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4.xml" ContentType="application/vnd.openxmlformats-officedocument.spreadsheetml.queryTable+xml"/>
  <Override PartName="/xl/tables/table4.xml" ContentType="application/vnd.openxmlformats-officedocument.spreadsheetml.table+xml"/>
  <Override PartName="/xl/queryTables/queryTable5.xml" ContentType="application/vnd.openxmlformats-officedocument.spreadsheetml.queryTable+xml"/>
  <Override PartName="/xl/tables/table5.xml" ContentType="application/vnd.openxmlformats-officedocument.spreadsheetml.table+xml"/>
  <Override PartName="/xl/queryTables/queryTable6.xml" ContentType="application/vnd.openxmlformats-officedocument.spreadsheetml.queryTable+xml"/>
  <Override PartName="/xl/tables/table6.xml" ContentType="application/vnd.openxmlformats-officedocument.spreadsheetml.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firstSheet="2" activeTab="3"/>
  </bookViews>
  <sheets>
    <sheet name="Report" sheetId="16" state="hidden" r:id="rId1"/>
    <sheet name="Query" sheetId="18" state="hidden" r:id="rId2"/>
    <sheet name="Bloomberg" sheetId="19" r:id="rId3"/>
    <sheet name="Function Of Rate" sheetId="27" r:id="rId4"/>
    <sheet name="Low rate" sheetId="28" r:id="rId5"/>
    <sheet name="Low Rate Result" sheetId="29" r:id="rId6"/>
    <sheet name="Sheet1" sheetId="30" state="hidden" r:id="rId7"/>
    <sheet name="Result Page 1" sheetId="31" r:id="rId8"/>
    <sheet name="Media Effect" sheetId="32" r:id="rId9"/>
    <sheet name="Result Page 2" sheetId="33" r:id="rId10"/>
  </sheets>
  <functionGroups builtInGroupCount="17"/>
  <externalReferences>
    <externalReference r:id="rId11"/>
    <externalReference r:id="rId12"/>
    <externalReference r:id="rId13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Report!$Z$2</definedName>
    <definedName name="CurrentRate">#REF!</definedName>
    <definedName name="CurrentRate1">'Function Of Rate'!$C$5</definedName>
    <definedName name="CurrentRateDate">#REF!</definedName>
    <definedName name="CurrMonth">Report!$Z$9</definedName>
    <definedName name="CuurentRate1">'Function Of Rate'!$C$5</definedName>
    <definedName name="CuurRate">#REF!</definedName>
    <definedName name="DatabaseEnv">Report!$Z$1</definedName>
    <definedName name="DateToChangeLag">Report!$Z$12</definedName>
    <definedName name="HistoricalMtgRatesDataTable">#REF!</definedName>
    <definedName name="IR">#REF!</definedName>
    <definedName name="LastMonth">Report!$Z$10</definedName>
    <definedName name="LastThursday">Report!$Z$13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Report!$Z$3</definedName>
    <definedName name="PDFReportName">Report!$Z$4</definedName>
    <definedName name="PivotTable10">#REF!</definedName>
    <definedName name="PivotTable11">#REF!</definedName>
    <definedName name="PivotTable12">#REF!</definedName>
    <definedName name="_xlnm.Print_Area" localSheetId="0">Report!$B$1:$S$54</definedName>
    <definedName name="_xlnm.Print_Area" localSheetId="7">'Result Page 1'!$B$4:$U$44</definedName>
    <definedName name="Query_from_Agency_10" localSheetId="1" hidden="1">Query!#REF!</definedName>
    <definedName name="Query_from_Agency_11" localSheetId="1" hidden="1">Query!$K$2:$L$3</definedName>
    <definedName name="Query_from_Agency_14" localSheetId="3" hidden="1">'Function Of Rate'!$F$11:$P$12</definedName>
    <definedName name="Query_from_Agency_15" localSheetId="3" hidden="1">'Function Of Rate'!$F$7:$P$8</definedName>
    <definedName name="Query_from_Agency_16" localSheetId="3" hidden="1">'Function Of Rate'!$F$2:$P$3</definedName>
    <definedName name="Query_from_Agency_17" localSheetId="3" hidden="1">'Function Of Rate'!$B$2:$C$3</definedName>
    <definedName name="Query_from_Agency_6" localSheetId="1" hidden="1">Query!$B$2:$C$233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Report!$AB$1</definedName>
    <definedName name="temp" localSheetId="3">'Function Of Rate'!#REF!</definedName>
    <definedName name="temp" localSheetId="4">'Low rate'!$B$2:$C$755</definedName>
    <definedName name="temp" localSheetId="5">'Low Rate Result'!$B$2:$C$232</definedName>
    <definedName name="temp" localSheetId="8">'Media Effect'!$B$3:$C$66</definedName>
    <definedName name="temp" localSheetId="1">Query!$G$2:$H$232</definedName>
    <definedName name="temp_1" localSheetId="3">'Function Of Rate'!$F$10:$P$11</definedName>
    <definedName name="temp_1" localSheetId="4">'Low rate'!$F$2:$I$102</definedName>
    <definedName name="temp_1" localSheetId="5">'Low Rate Result'!$J$2:$K$233</definedName>
    <definedName name="temp_1" localSheetId="8">'Media Effect'!$F$3:$J$66</definedName>
    <definedName name="temp_1" localSheetId="1">Query!#REF!</definedName>
    <definedName name="temp_17">#REF!</definedName>
    <definedName name="temp_2" localSheetId="3">'Function Of Rate'!$F$14:$P$15</definedName>
    <definedName name="temp_2" localSheetId="4">'Low rate'!$M$2:$P$755</definedName>
    <definedName name="temp_2" localSheetId="5">'Low Rate Result'!$M$2:$N$234</definedName>
    <definedName name="temp_2" localSheetId="8">'Media Effect'!$M$3:$N$235</definedName>
    <definedName name="temp_3" localSheetId="5">'Low Rate Result'!$P$2:$Q$234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G22" i="27" l="1"/>
  <c r="H22" i="27"/>
  <c r="I22" i="27"/>
  <c r="J22" i="27"/>
  <c r="K22" i="27"/>
  <c r="L22" i="27"/>
  <c r="M22" i="27"/>
  <c r="N22" i="27"/>
  <c r="O22" i="27"/>
  <c r="P22" i="27"/>
  <c r="F22" i="27"/>
  <c r="P21" i="27"/>
  <c r="O21" i="27"/>
  <c r="N21" i="27"/>
  <c r="M21" i="27"/>
  <c r="L21" i="27"/>
  <c r="K21" i="27"/>
  <c r="J21" i="27"/>
  <c r="I21" i="27"/>
  <c r="H21" i="27"/>
  <c r="G21" i="27"/>
  <c r="F21" i="27"/>
  <c r="P20" i="27"/>
  <c r="O20" i="27"/>
  <c r="N20" i="27"/>
  <c r="M20" i="27"/>
  <c r="L20" i="27"/>
  <c r="K20" i="27"/>
  <c r="J20" i="27"/>
  <c r="I20" i="27"/>
  <c r="H20" i="27"/>
  <c r="G20" i="27"/>
  <c r="F20" i="27"/>
  <c r="P19" i="27"/>
  <c r="O19" i="27"/>
  <c r="N19" i="27"/>
  <c r="M19" i="27"/>
  <c r="L19" i="27"/>
  <c r="K19" i="27"/>
  <c r="J19" i="27"/>
  <c r="I19" i="27"/>
  <c r="H19" i="27"/>
  <c r="G19" i="27"/>
  <c r="F19" i="27"/>
  <c r="C5" i="27"/>
  <c r="K18" i="27" s="1"/>
  <c r="B5" i="27"/>
  <c r="H4" i="29" l="1"/>
  <c r="H5" i="29"/>
  <c r="H6" i="29"/>
  <c r="H7" i="29"/>
  <c r="H8" i="29"/>
  <c r="H9" i="29"/>
  <c r="H10" i="29"/>
  <c r="H11" i="29"/>
  <c r="H12" i="29"/>
  <c r="H13" i="29"/>
  <c r="H14" i="29"/>
  <c r="H15" i="29"/>
  <c r="H16" i="29"/>
  <c r="H17" i="29"/>
  <c r="H18" i="29"/>
  <c r="H19" i="29"/>
  <c r="H20" i="29"/>
  <c r="H21" i="29"/>
  <c r="H22" i="29"/>
  <c r="H23" i="29"/>
  <c r="H24" i="29"/>
  <c r="H25" i="29"/>
  <c r="H26" i="29"/>
  <c r="H27" i="29"/>
  <c r="H28" i="29"/>
  <c r="H29" i="29"/>
  <c r="H30" i="29"/>
  <c r="H31" i="29"/>
  <c r="H32" i="29"/>
  <c r="H33" i="29"/>
  <c r="H34" i="29"/>
  <c r="H35" i="29"/>
  <c r="H36" i="29"/>
  <c r="H37" i="29"/>
  <c r="H38" i="29"/>
  <c r="H39" i="29"/>
  <c r="H40" i="29"/>
  <c r="H41" i="29"/>
  <c r="H42" i="29"/>
  <c r="H43" i="29"/>
  <c r="H44" i="29"/>
  <c r="H45" i="29"/>
  <c r="H46" i="29"/>
  <c r="H47" i="29"/>
  <c r="H48" i="29"/>
  <c r="H49" i="29"/>
  <c r="H50" i="29"/>
  <c r="H51" i="29"/>
  <c r="H52" i="29"/>
  <c r="H53" i="29"/>
  <c r="H54" i="29"/>
  <c r="H55" i="29"/>
  <c r="H56" i="29"/>
  <c r="H57" i="29"/>
  <c r="H58" i="29"/>
  <c r="H59" i="29"/>
  <c r="H60" i="29"/>
  <c r="H61" i="29"/>
  <c r="H62" i="29"/>
  <c r="H63" i="29"/>
  <c r="H64" i="29"/>
  <c r="H65" i="29"/>
  <c r="H66" i="29"/>
  <c r="H67" i="29"/>
  <c r="H68" i="29"/>
  <c r="H69" i="29"/>
  <c r="H70" i="29"/>
  <c r="H71" i="29"/>
  <c r="H72" i="29"/>
  <c r="H73" i="29"/>
  <c r="H74" i="29"/>
  <c r="H75" i="29"/>
  <c r="H76" i="29"/>
  <c r="H77" i="29"/>
  <c r="H78" i="29"/>
  <c r="H79" i="29"/>
  <c r="H80" i="29"/>
  <c r="H81" i="29"/>
  <c r="H82" i="29"/>
  <c r="H83" i="29"/>
  <c r="H84" i="29"/>
  <c r="H85" i="29"/>
  <c r="H86" i="29"/>
  <c r="H87" i="29"/>
  <c r="H88" i="29"/>
  <c r="H89" i="29"/>
  <c r="H90" i="29"/>
  <c r="H91" i="29"/>
  <c r="H92" i="29"/>
  <c r="H93" i="29"/>
  <c r="H94" i="29"/>
  <c r="H95" i="29"/>
  <c r="H96" i="29"/>
  <c r="H97" i="29"/>
  <c r="H98" i="29"/>
  <c r="H99" i="29"/>
  <c r="H100" i="29"/>
  <c r="H101" i="29"/>
  <c r="H102" i="29"/>
  <c r="H103" i="29"/>
  <c r="H104" i="29"/>
  <c r="H105" i="29"/>
  <c r="H106" i="29"/>
  <c r="H107" i="29"/>
  <c r="H108" i="29"/>
  <c r="H109" i="29"/>
  <c r="H110" i="29"/>
  <c r="H111" i="29"/>
  <c r="H112" i="29"/>
  <c r="H113" i="29"/>
  <c r="H114" i="29"/>
  <c r="H115" i="29"/>
  <c r="H116" i="29"/>
  <c r="H117" i="29"/>
  <c r="H118" i="29"/>
  <c r="H119" i="29"/>
  <c r="H120" i="29"/>
  <c r="H121" i="29"/>
  <c r="H122" i="29"/>
  <c r="H123" i="29"/>
  <c r="H124" i="29"/>
  <c r="H125" i="29"/>
  <c r="H126" i="29"/>
  <c r="H127" i="29"/>
  <c r="H128" i="29"/>
  <c r="H129" i="29"/>
  <c r="H130" i="29"/>
  <c r="H131" i="29"/>
  <c r="H132" i="29"/>
  <c r="H133" i="29"/>
  <c r="H134" i="29"/>
  <c r="H135" i="29"/>
  <c r="H136" i="29"/>
  <c r="H137" i="29"/>
  <c r="H138" i="29"/>
  <c r="H139" i="29"/>
  <c r="H140" i="29"/>
  <c r="H141" i="29"/>
  <c r="H142" i="29"/>
  <c r="H143" i="29"/>
  <c r="H144" i="29"/>
  <c r="H145" i="29"/>
  <c r="H146" i="29"/>
  <c r="H147" i="29"/>
  <c r="H148" i="29"/>
  <c r="H149" i="29"/>
  <c r="H150" i="29"/>
  <c r="H151" i="29"/>
  <c r="H152" i="29"/>
  <c r="H153" i="29"/>
  <c r="H154" i="29"/>
  <c r="H155" i="29"/>
  <c r="H156" i="29"/>
  <c r="H157" i="29"/>
  <c r="H158" i="29"/>
  <c r="H159" i="29"/>
  <c r="H160" i="29"/>
  <c r="H161" i="29"/>
  <c r="H162" i="29"/>
  <c r="H163" i="29"/>
  <c r="H164" i="29"/>
  <c r="H165" i="29"/>
  <c r="H166" i="29"/>
  <c r="H167" i="29"/>
  <c r="H168" i="29"/>
  <c r="H169" i="29"/>
  <c r="H170" i="29"/>
  <c r="H171" i="29"/>
  <c r="H172" i="29"/>
  <c r="H173" i="29"/>
  <c r="H174" i="29"/>
  <c r="H175" i="29"/>
  <c r="H176" i="29"/>
  <c r="H177" i="29"/>
  <c r="H178" i="29"/>
  <c r="H179" i="29"/>
  <c r="H180" i="29"/>
  <c r="H181" i="29"/>
  <c r="H182" i="29"/>
  <c r="H183" i="29"/>
  <c r="H184" i="29"/>
  <c r="H185" i="29"/>
  <c r="H186" i="29"/>
  <c r="H187" i="29"/>
  <c r="H188" i="29"/>
  <c r="H189" i="29"/>
  <c r="H190" i="29"/>
  <c r="H191" i="29"/>
  <c r="H192" i="29"/>
  <c r="H193" i="29"/>
  <c r="H194" i="29"/>
  <c r="H195" i="29"/>
  <c r="H196" i="29"/>
  <c r="H197" i="29"/>
  <c r="H198" i="29"/>
  <c r="H199" i="29"/>
  <c r="H200" i="29"/>
  <c r="H201" i="29"/>
  <c r="H202" i="29"/>
  <c r="H203" i="29"/>
  <c r="H204" i="29"/>
  <c r="H205" i="29"/>
  <c r="H206" i="29"/>
  <c r="H207" i="29"/>
  <c r="H208" i="29"/>
  <c r="H209" i="29"/>
  <c r="H210" i="29"/>
  <c r="H211" i="29"/>
  <c r="H212" i="29"/>
  <c r="H213" i="29"/>
  <c r="H214" i="29"/>
  <c r="H215" i="29"/>
  <c r="H216" i="29"/>
  <c r="H217" i="29"/>
  <c r="H218" i="29"/>
  <c r="H219" i="29"/>
  <c r="H220" i="29"/>
  <c r="H221" i="29"/>
  <c r="H222" i="29"/>
  <c r="H223" i="29"/>
  <c r="H224" i="29"/>
  <c r="H225" i="29"/>
  <c r="H226" i="29"/>
  <c r="H227" i="29"/>
  <c r="H228" i="29"/>
  <c r="H229" i="29"/>
  <c r="H230" i="29"/>
  <c r="H231" i="29"/>
  <c r="H232" i="29"/>
  <c r="H233" i="29"/>
  <c r="H3" i="29"/>
  <c r="Z137" i="29" l="1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5" i="29"/>
  <c r="F26" i="29"/>
  <c r="F27" i="29"/>
  <c r="F28" i="29"/>
  <c r="F29" i="29"/>
  <c r="F30" i="29"/>
  <c r="F31" i="29"/>
  <c r="F32" i="29"/>
  <c r="F33" i="29"/>
  <c r="F34" i="29"/>
  <c r="F35" i="29"/>
  <c r="F36" i="29"/>
  <c r="F37" i="29"/>
  <c r="F38" i="29"/>
  <c r="F39" i="29"/>
  <c r="F40" i="29"/>
  <c r="F41" i="29"/>
  <c r="F42" i="29"/>
  <c r="F43" i="29"/>
  <c r="F44" i="29"/>
  <c r="F45" i="29"/>
  <c r="F46" i="29"/>
  <c r="F47" i="29"/>
  <c r="F48" i="29"/>
  <c r="F49" i="29"/>
  <c r="F50" i="29"/>
  <c r="F51" i="29"/>
  <c r="F52" i="29"/>
  <c r="F53" i="29"/>
  <c r="F54" i="29"/>
  <c r="F55" i="29"/>
  <c r="F56" i="29"/>
  <c r="F57" i="29"/>
  <c r="F58" i="29"/>
  <c r="F59" i="29"/>
  <c r="F60" i="29"/>
  <c r="F61" i="29"/>
  <c r="F62" i="29"/>
  <c r="F63" i="29"/>
  <c r="F64" i="29"/>
  <c r="F65" i="29"/>
  <c r="F66" i="29"/>
  <c r="F67" i="29"/>
  <c r="F68" i="29"/>
  <c r="F69" i="29"/>
  <c r="F70" i="29"/>
  <c r="F71" i="29"/>
  <c r="F72" i="29"/>
  <c r="F73" i="29"/>
  <c r="F74" i="29"/>
  <c r="F75" i="29"/>
  <c r="F76" i="29"/>
  <c r="F77" i="29"/>
  <c r="F78" i="29"/>
  <c r="F79" i="29"/>
  <c r="F80" i="29"/>
  <c r="F81" i="29"/>
  <c r="F82" i="29"/>
  <c r="F83" i="29"/>
  <c r="F84" i="29"/>
  <c r="F85" i="29"/>
  <c r="F86" i="29"/>
  <c r="F87" i="29"/>
  <c r="F88" i="29"/>
  <c r="F89" i="29"/>
  <c r="F90" i="29"/>
  <c r="F91" i="29"/>
  <c r="F92" i="29"/>
  <c r="F93" i="29"/>
  <c r="F94" i="29"/>
  <c r="F95" i="29"/>
  <c r="F96" i="29"/>
  <c r="F97" i="29"/>
  <c r="F98" i="29"/>
  <c r="F99" i="29"/>
  <c r="F100" i="29"/>
  <c r="F101" i="29"/>
  <c r="F102" i="29"/>
  <c r="F103" i="29"/>
  <c r="F104" i="29"/>
  <c r="F105" i="29"/>
  <c r="F106" i="29"/>
  <c r="F107" i="29"/>
  <c r="F108" i="29"/>
  <c r="F109" i="29"/>
  <c r="F110" i="29"/>
  <c r="F111" i="29"/>
  <c r="F112" i="29"/>
  <c r="F113" i="29"/>
  <c r="F114" i="29"/>
  <c r="F115" i="29"/>
  <c r="F116" i="29"/>
  <c r="F117" i="29"/>
  <c r="F118" i="29"/>
  <c r="F119" i="29"/>
  <c r="F120" i="29"/>
  <c r="F121" i="29"/>
  <c r="F122" i="29"/>
  <c r="F123" i="29"/>
  <c r="F124" i="29"/>
  <c r="F125" i="29"/>
  <c r="F126" i="29"/>
  <c r="F127" i="29"/>
  <c r="F128" i="29"/>
  <c r="F129" i="29"/>
  <c r="F130" i="29"/>
  <c r="F131" i="29"/>
  <c r="F132" i="29"/>
  <c r="F133" i="29"/>
  <c r="F134" i="29"/>
  <c r="F135" i="29"/>
  <c r="F136" i="29"/>
  <c r="F137" i="29"/>
  <c r="F138" i="29"/>
  <c r="F139" i="29"/>
  <c r="F140" i="29"/>
  <c r="F141" i="29"/>
  <c r="F142" i="29"/>
  <c r="F143" i="29"/>
  <c r="F144" i="29"/>
  <c r="F145" i="29"/>
  <c r="F146" i="29"/>
  <c r="F147" i="29"/>
  <c r="F148" i="29"/>
  <c r="F149" i="29"/>
  <c r="F150" i="29"/>
  <c r="F151" i="29"/>
  <c r="F152" i="29"/>
  <c r="F153" i="29"/>
  <c r="F154" i="29"/>
  <c r="F155" i="29"/>
  <c r="F156" i="29"/>
  <c r="F157" i="29"/>
  <c r="F158" i="29"/>
  <c r="F159" i="29"/>
  <c r="F160" i="29"/>
  <c r="F161" i="29"/>
  <c r="F162" i="29"/>
  <c r="F163" i="29"/>
  <c r="F164" i="29"/>
  <c r="F165" i="29"/>
  <c r="F166" i="29"/>
  <c r="F167" i="29"/>
  <c r="F168" i="29"/>
  <c r="F169" i="29"/>
  <c r="F170" i="29"/>
  <c r="F171" i="29"/>
  <c r="F172" i="29"/>
  <c r="F173" i="29"/>
  <c r="F174" i="29"/>
  <c r="F175" i="29"/>
  <c r="F176" i="29"/>
  <c r="F177" i="29"/>
  <c r="F178" i="29"/>
  <c r="F179" i="29"/>
  <c r="F180" i="29"/>
  <c r="F181" i="29"/>
  <c r="F182" i="29"/>
  <c r="F183" i="29"/>
  <c r="F184" i="29"/>
  <c r="F185" i="29"/>
  <c r="F186" i="29"/>
  <c r="F187" i="29"/>
  <c r="F188" i="29"/>
  <c r="F189" i="29"/>
  <c r="F190" i="29"/>
  <c r="F191" i="29"/>
  <c r="F192" i="29"/>
  <c r="F193" i="29"/>
  <c r="F194" i="29"/>
  <c r="F195" i="29"/>
  <c r="F196" i="29"/>
  <c r="F197" i="29"/>
  <c r="F198" i="29"/>
  <c r="F199" i="29"/>
  <c r="F200" i="29"/>
  <c r="F201" i="29"/>
  <c r="F202" i="29"/>
  <c r="F203" i="29"/>
  <c r="F204" i="29"/>
  <c r="F205" i="29"/>
  <c r="F206" i="29"/>
  <c r="F207" i="29"/>
  <c r="F208" i="29"/>
  <c r="F209" i="29"/>
  <c r="F210" i="29"/>
  <c r="F211" i="29"/>
  <c r="F212" i="29"/>
  <c r="F213" i="29"/>
  <c r="F214" i="29"/>
  <c r="F215" i="29"/>
  <c r="F216" i="29"/>
  <c r="F217" i="29"/>
  <c r="F218" i="29"/>
  <c r="F219" i="29"/>
  <c r="F220" i="29"/>
  <c r="F221" i="29"/>
  <c r="F222" i="29"/>
  <c r="F223" i="29"/>
  <c r="F224" i="29"/>
  <c r="F225" i="29"/>
  <c r="F226" i="29"/>
  <c r="F227" i="29"/>
  <c r="F228" i="29"/>
  <c r="F229" i="29"/>
  <c r="F230" i="29"/>
  <c r="F231" i="29"/>
  <c r="F232" i="29"/>
  <c r="F233" i="29"/>
  <c r="F4" i="29"/>
  <c r="F5" i="29"/>
  <c r="F3" i="29"/>
  <c r="E4" i="29" l="1"/>
  <c r="E5" i="29"/>
  <c r="E6" i="29"/>
  <c r="E7" i="29"/>
  <c r="E8" i="29"/>
  <c r="E9" i="29"/>
  <c r="E10" i="29"/>
  <c r="E11" i="29"/>
  <c r="E12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73" i="29"/>
  <c r="E74" i="29"/>
  <c r="E75" i="29"/>
  <c r="E76" i="29"/>
  <c r="E77" i="29"/>
  <c r="E78" i="29"/>
  <c r="E79" i="29"/>
  <c r="E80" i="29"/>
  <c r="E81" i="29"/>
  <c r="E82" i="29"/>
  <c r="E83" i="29"/>
  <c r="E84" i="29"/>
  <c r="E85" i="29"/>
  <c r="E86" i="29"/>
  <c r="E87" i="29"/>
  <c r="E88" i="29"/>
  <c r="E89" i="29"/>
  <c r="E90" i="29"/>
  <c r="E91" i="29"/>
  <c r="E92" i="29"/>
  <c r="E93" i="29"/>
  <c r="E94" i="29"/>
  <c r="E95" i="29"/>
  <c r="E96" i="29"/>
  <c r="E97" i="29"/>
  <c r="E98" i="29"/>
  <c r="E99" i="29"/>
  <c r="E100" i="29"/>
  <c r="E101" i="29"/>
  <c r="E102" i="29"/>
  <c r="E103" i="29"/>
  <c r="E104" i="29"/>
  <c r="E105" i="29"/>
  <c r="E106" i="29"/>
  <c r="E107" i="29"/>
  <c r="E108" i="29"/>
  <c r="E109" i="29"/>
  <c r="E110" i="29"/>
  <c r="E111" i="29"/>
  <c r="E112" i="29"/>
  <c r="E113" i="29"/>
  <c r="E114" i="29"/>
  <c r="E115" i="29"/>
  <c r="E116" i="29"/>
  <c r="E117" i="29"/>
  <c r="E118" i="29"/>
  <c r="E119" i="29"/>
  <c r="E120" i="29"/>
  <c r="E121" i="29"/>
  <c r="E122" i="29"/>
  <c r="E123" i="29"/>
  <c r="E124" i="29"/>
  <c r="E125" i="29"/>
  <c r="E126" i="29"/>
  <c r="E127" i="29"/>
  <c r="E128" i="29"/>
  <c r="E129" i="29"/>
  <c r="E130" i="29"/>
  <c r="E131" i="29"/>
  <c r="E132" i="29"/>
  <c r="E133" i="29"/>
  <c r="E134" i="29"/>
  <c r="E135" i="29"/>
  <c r="E136" i="29"/>
  <c r="E137" i="29"/>
  <c r="E138" i="29"/>
  <c r="E139" i="29"/>
  <c r="E140" i="29"/>
  <c r="E141" i="29"/>
  <c r="E142" i="29"/>
  <c r="E143" i="29"/>
  <c r="E144" i="29"/>
  <c r="E145" i="29"/>
  <c r="E146" i="29"/>
  <c r="E147" i="29"/>
  <c r="E148" i="29"/>
  <c r="E149" i="29"/>
  <c r="E150" i="29"/>
  <c r="E151" i="29"/>
  <c r="E152" i="29"/>
  <c r="E153" i="29"/>
  <c r="E154" i="29"/>
  <c r="E155" i="29"/>
  <c r="E156" i="29"/>
  <c r="E157" i="29"/>
  <c r="E158" i="29"/>
  <c r="E159" i="29"/>
  <c r="E160" i="29"/>
  <c r="E161" i="29"/>
  <c r="E162" i="29"/>
  <c r="E163" i="29"/>
  <c r="E164" i="29"/>
  <c r="E165" i="29"/>
  <c r="E166" i="29"/>
  <c r="E167" i="29"/>
  <c r="E168" i="29"/>
  <c r="E169" i="29"/>
  <c r="E170" i="29"/>
  <c r="E171" i="29"/>
  <c r="E172" i="29"/>
  <c r="E173" i="29"/>
  <c r="E174" i="29"/>
  <c r="E175" i="29"/>
  <c r="E176" i="29"/>
  <c r="E177" i="29"/>
  <c r="E178" i="29"/>
  <c r="E179" i="29"/>
  <c r="E180" i="29"/>
  <c r="E181" i="29"/>
  <c r="E182" i="29"/>
  <c r="E183" i="29"/>
  <c r="E184" i="29"/>
  <c r="E185" i="29"/>
  <c r="E186" i="29"/>
  <c r="E187" i="29"/>
  <c r="E188" i="29"/>
  <c r="E189" i="29"/>
  <c r="E190" i="29"/>
  <c r="E191" i="29"/>
  <c r="E192" i="29"/>
  <c r="E193" i="29"/>
  <c r="E194" i="29"/>
  <c r="E195" i="29"/>
  <c r="E196" i="29"/>
  <c r="E197" i="29"/>
  <c r="E198" i="29"/>
  <c r="E199" i="29"/>
  <c r="E200" i="29"/>
  <c r="E201" i="29"/>
  <c r="E202" i="29"/>
  <c r="E203" i="29"/>
  <c r="E204" i="29"/>
  <c r="E205" i="29"/>
  <c r="E206" i="29"/>
  <c r="E207" i="29"/>
  <c r="E208" i="29"/>
  <c r="E209" i="29"/>
  <c r="E210" i="29"/>
  <c r="E211" i="29"/>
  <c r="E212" i="29"/>
  <c r="E213" i="29"/>
  <c r="E214" i="29"/>
  <c r="E215" i="29"/>
  <c r="E216" i="29"/>
  <c r="E217" i="29"/>
  <c r="E218" i="29"/>
  <c r="E219" i="29"/>
  <c r="E220" i="29"/>
  <c r="E221" i="29"/>
  <c r="E222" i="29"/>
  <c r="E223" i="29"/>
  <c r="E224" i="29"/>
  <c r="E225" i="29"/>
  <c r="E226" i="29"/>
  <c r="E227" i="29"/>
  <c r="E228" i="29"/>
  <c r="E229" i="29"/>
  <c r="E230" i="29"/>
  <c r="E231" i="29"/>
  <c r="E232" i="29"/>
  <c r="E233" i="29"/>
  <c r="E3" i="29"/>
  <c r="D4" i="29" l="1"/>
  <c r="D5" i="29"/>
  <c r="D6" i="29"/>
  <c r="D7" i="29"/>
  <c r="D8" i="29"/>
  <c r="D9" i="29"/>
  <c r="D10" i="29"/>
  <c r="D11" i="29"/>
  <c r="D12" i="29"/>
  <c r="D13" i="29"/>
  <c r="D14" i="29"/>
  <c r="D15" i="29"/>
  <c r="D16" i="29"/>
  <c r="D17" i="29"/>
  <c r="D18" i="29"/>
  <c r="D19" i="29"/>
  <c r="D20" i="29"/>
  <c r="D21" i="29"/>
  <c r="D22" i="29"/>
  <c r="D23" i="29"/>
  <c r="D24" i="29"/>
  <c r="D25" i="29"/>
  <c r="D26" i="29"/>
  <c r="D27" i="29"/>
  <c r="D28" i="29"/>
  <c r="D29" i="29"/>
  <c r="D30" i="29"/>
  <c r="D31" i="29"/>
  <c r="D32" i="29"/>
  <c r="D33" i="29"/>
  <c r="D34" i="29"/>
  <c r="D35" i="29"/>
  <c r="D36" i="29"/>
  <c r="D37" i="29"/>
  <c r="D38" i="29"/>
  <c r="D39" i="29"/>
  <c r="D40" i="29"/>
  <c r="D41" i="29"/>
  <c r="D42" i="29"/>
  <c r="D43" i="29"/>
  <c r="D44" i="29"/>
  <c r="D45" i="29"/>
  <c r="D46" i="29"/>
  <c r="D47" i="29"/>
  <c r="D48" i="29"/>
  <c r="D49" i="29"/>
  <c r="D50" i="29"/>
  <c r="D51" i="29"/>
  <c r="D52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D128" i="29"/>
  <c r="D129" i="29"/>
  <c r="D130" i="29"/>
  <c r="D131" i="29"/>
  <c r="D132" i="29"/>
  <c r="D133" i="29"/>
  <c r="D134" i="29"/>
  <c r="D135" i="29"/>
  <c r="D136" i="29"/>
  <c r="D137" i="29"/>
  <c r="D138" i="29"/>
  <c r="D139" i="29"/>
  <c r="D140" i="29"/>
  <c r="D141" i="29"/>
  <c r="D142" i="29"/>
  <c r="D143" i="29"/>
  <c r="D144" i="29"/>
  <c r="D145" i="29"/>
  <c r="D146" i="29"/>
  <c r="D147" i="29"/>
  <c r="D148" i="29"/>
  <c r="D149" i="29"/>
  <c r="D150" i="29"/>
  <c r="D151" i="29"/>
  <c r="D152" i="29"/>
  <c r="D153" i="29"/>
  <c r="D154" i="29"/>
  <c r="D155" i="29"/>
  <c r="D156" i="29"/>
  <c r="D157" i="29"/>
  <c r="D158" i="29"/>
  <c r="D159" i="29"/>
  <c r="D160" i="29"/>
  <c r="D161" i="29"/>
  <c r="D162" i="29"/>
  <c r="D163" i="29"/>
  <c r="D164" i="29"/>
  <c r="D165" i="29"/>
  <c r="D166" i="29"/>
  <c r="D167" i="29"/>
  <c r="D168" i="29"/>
  <c r="D169" i="29"/>
  <c r="D170" i="29"/>
  <c r="D171" i="29"/>
  <c r="D172" i="29"/>
  <c r="D173" i="29"/>
  <c r="D174" i="29"/>
  <c r="D175" i="29"/>
  <c r="D176" i="29"/>
  <c r="D177" i="29"/>
  <c r="D178" i="29"/>
  <c r="D179" i="29"/>
  <c r="D180" i="29"/>
  <c r="D181" i="29"/>
  <c r="D182" i="29"/>
  <c r="D183" i="29"/>
  <c r="D184" i="29"/>
  <c r="D185" i="29"/>
  <c r="D186" i="29"/>
  <c r="D187" i="29"/>
  <c r="D188" i="29"/>
  <c r="D189" i="29"/>
  <c r="D190" i="29"/>
  <c r="D191" i="29"/>
  <c r="D192" i="29"/>
  <c r="D193" i="29"/>
  <c r="D194" i="29"/>
  <c r="D195" i="29"/>
  <c r="D196" i="29"/>
  <c r="D197" i="29"/>
  <c r="D198" i="29"/>
  <c r="D199" i="29"/>
  <c r="D200" i="29"/>
  <c r="D201" i="29"/>
  <c r="D202" i="29"/>
  <c r="D203" i="29"/>
  <c r="D204" i="29"/>
  <c r="D205" i="29"/>
  <c r="D206" i="29"/>
  <c r="D207" i="29"/>
  <c r="D208" i="29"/>
  <c r="D209" i="29"/>
  <c r="D210" i="29"/>
  <c r="D211" i="29"/>
  <c r="D212" i="29"/>
  <c r="D213" i="29"/>
  <c r="D214" i="29"/>
  <c r="D215" i="29"/>
  <c r="D216" i="29"/>
  <c r="D217" i="29"/>
  <c r="D218" i="29"/>
  <c r="D219" i="29"/>
  <c r="D220" i="29"/>
  <c r="D221" i="29"/>
  <c r="D222" i="29"/>
  <c r="D223" i="29"/>
  <c r="D224" i="29"/>
  <c r="D225" i="29"/>
  <c r="D226" i="29"/>
  <c r="D227" i="29"/>
  <c r="D228" i="29"/>
  <c r="D229" i="29"/>
  <c r="D230" i="29"/>
  <c r="D231" i="29"/>
  <c r="D232" i="29"/>
  <c r="D233" i="29"/>
  <c r="D3" i="29"/>
  <c r="K4" i="28" l="1"/>
  <c r="K5" i="28"/>
  <c r="K6" i="28"/>
  <c r="K7" i="28"/>
  <c r="K8" i="28"/>
  <c r="K9" i="28"/>
  <c r="K10" i="28"/>
  <c r="K11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K37" i="28"/>
  <c r="K38" i="28"/>
  <c r="K39" i="28"/>
  <c r="K40" i="28"/>
  <c r="K41" i="28"/>
  <c r="K42" i="28"/>
  <c r="K43" i="28"/>
  <c r="K44" i="28"/>
  <c r="K45" i="28"/>
  <c r="K46" i="28"/>
  <c r="K47" i="28"/>
  <c r="K48" i="28"/>
  <c r="K49" i="28"/>
  <c r="K50" i="28"/>
  <c r="K51" i="28"/>
  <c r="K52" i="28"/>
  <c r="K53" i="28"/>
  <c r="K54" i="28"/>
  <c r="K55" i="28"/>
  <c r="K56" i="28"/>
  <c r="K57" i="28"/>
  <c r="K58" i="28"/>
  <c r="K59" i="28"/>
  <c r="K60" i="28"/>
  <c r="K61" i="28"/>
  <c r="K62" i="28"/>
  <c r="K63" i="28"/>
  <c r="K64" i="28"/>
  <c r="K65" i="28"/>
  <c r="K66" i="28"/>
  <c r="K67" i="28"/>
  <c r="K68" i="28"/>
  <c r="K69" i="28"/>
  <c r="K70" i="28"/>
  <c r="K71" i="28"/>
  <c r="K72" i="28"/>
  <c r="K73" i="28"/>
  <c r="K74" i="28"/>
  <c r="K75" i="28"/>
  <c r="K76" i="28"/>
  <c r="K77" i="28"/>
  <c r="K78" i="28"/>
  <c r="K79" i="28"/>
  <c r="K80" i="28"/>
  <c r="K81" i="28"/>
  <c r="K82" i="28"/>
  <c r="K83" i="28"/>
  <c r="K84" i="28"/>
  <c r="K85" i="28"/>
  <c r="K86" i="28"/>
  <c r="K87" i="28"/>
  <c r="K88" i="28"/>
  <c r="K89" i="28"/>
  <c r="K90" i="28"/>
  <c r="K91" i="28"/>
  <c r="K92" i="28"/>
  <c r="K93" i="28"/>
  <c r="K94" i="28"/>
  <c r="K95" i="28"/>
  <c r="K96" i="28"/>
  <c r="K97" i="28"/>
  <c r="K98" i="28"/>
  <c r="K99" i="28"/>
  <c r="K100" i="28"/>
  <c r="K101" i="28"/>
  <c r="K102" i="28"/>
  <c r="K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722" i="28"/>
  <c r="Q723" i="28"/>
  <c r="Q724" i="28"/>
  <c r="Q725" i="28"/>
  <c r="Q726" i="28"/>
  <c r="Q727" i="28"/>
  <c r="Q728" i="28"/>
  <c r="Q729" i="28"/>
  <c r="Q730" i="28"/>
  <c r="Q731" i="28"/>
  <c r="Q732" i="28"/>
  <c r="Q733" i="28"/>
  <c r="Q734" i="28"/>
  <c r="Q735" i="28"/>
  <c r="Q736" i="28"/>
  <c r="Q737" i="28"/>
  <c r="Q738" i="28"/>
  <c r="Q739" i="28"/>
  <c r="Q740" i="28"/>
  <c r="Q741" i="28"/>
  <c r="Q742" i="28"/>
  <c r="Q743" i="28"/>
  <c r="Q744" i="28"/>
  <c r="Q745" i="28"/>
  <c r="Q746" i="28"/>
  <c r="Q747" i="28"/>
  <c r="Q748" i="28"/>
  <c r="Q749" i="28"/>
  <c r="Q750" i="28"/>
  <c r="Q751" i="28"/>
  <c r="Q752" i="28"/>
  <c r="Q753" i="28"/>
  <c r="Q754" i="28"/>
  <c r="Q755" i="28"/>
  <c r="Q3" i="28"/>
  <c r="Z5" i="28" l="1"/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R39" i="16" l="1"/>
  <c r="P39" i="16"/>
  <c r="Q43" i="16"/>
  <c r="Q44" i="16"/>
  <c r="Q45" i="16"/>
  <c r="Q46" i="16"/>
  <c r="Q47" i="16"/>
  <c r="Q48" i="16"/>
  <c r="Q49" i="16"/>
  <c r="Q50" i="16"/>
  <c r="Q51" i="16"/>
  <c r="Q52" i="16"/>
  <c r="Q42" i="16"/>
  <c r="O43" i="16"/>
  <c r="O44" i="16"/>
  <c r="O45" i="16"/>
  <c r="O46" i="16"/>
  <c r="O47" i="16"/>
  <c r="O48" i="16"/>
  <c r="O49" i="16"/>
  <c r="O50" i="16"/>
  <c r="O51" i="16"/>
  <c r="O52" i="16"/>
  <c r="O42" i="16"/>
  <c r="G42" i="16"/>
  <c r="G43" i="16"/>
  <c r="G45" i="16"/>
  <c r="G46" i="16"/>
  <c r="G47" i="16"/>
  <c r="G51" i="16"/>
  <c r="N47" i="16"/>
  <c r="G50" i="16"/>
  <c r="Z13" i="16"/>
  <c r="Z9" i="16"/>
  <c r="Z10" i="16" s="1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P44" i="16" l="1"/>
  <c r="P46" i="16"/>
  <c r="P43" i="16"/>
  <c r="P45" i="16"/>
  <c r="P52" i="16"/>
  <c r="P48" i="16"/>
  <c r="P49" i="16"/>
  <c r="P51" i="16"/>
  <c r="P50" i="16"/>
  <c r="P42" i="16"/>
  <c r="R52" i="16"/>
  <c r="R51" i="16"/>
  <c r="R49" i="16"/>
  <c r="R50" i="16"/>
  <c r="R48" i="16"/>
  <c r="R43" i="16"/>
  <c r="R46" i="16"/>
  <c r="R44" i="16"/>
  <c r="R42" i="16"/>
  <c r="R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Z4" i="16" l="1"/>
  <c r="B2" i="19"/>
  <c r="G4" i="29" l="1"/>
  <c r="G12" i="29"/>
  <c r="G20" i="29"/>
  <c r="G28" i="29"/>
  <c r="G36" i="29"/>
  <c r="G44" i="29"/>
  <c r="G52" i="29"/>
  <c r="G60" i="29"/>
  <c r="G68" i="29"/>
  <c r="G76" i="29"/>
  <c r="G84" i="29"/>
  <c r="G92" i="29"/>
  <c r="G100" i="29"/>
  <c r="G108" i="29"/>
  <c r="G116" i="29"/>
  <c r="G124" i="29"/>
  <c r="G132" i="29"/>
  <c r="G140" i="29"/>
  <c r="G148" i="29"/>
  <c r="G156" i="29"/>
  <c r="G164" i="29"/>
  <c r="G172" i="29"/>
  <c r="G180" i="29"/>
  <c r="G188" i="29"/>
  <c r="G196" i="29"/>
  <c r="G204" i="29"/>
  <c r="G212" i="29"/>
  <c r="G220" i="29"/>
  <c r="G228" i="29"/>
  <c r="G70" i="29"/>
  <c r="G102" i="29"/>
  <c r="G118" i="29"/>
  <c r="G134" i="29"/>
  <c r="G150" i="29"/>
  <c r="G166" i="29"/>
  <c r="G182" i="29"/>
  <c r="G198" i="29"/>
  <c r="G214" i="29"/>
  <c r="G230" i="29"/>
  <c r="G15" i="29"/>
  <c r="G39" i="29"/>
  <c r="G55" i="29"/>
  <c r="G71" i="29"/>
  <c r="G87" i="29"/>
  <c r="G103" i="29"/>
  <c r="G119" i="29"/>
  <c r="G135" i="29"/>
  <c r="G151" i="29"/>
  <c r="G167" i="29"/>
  <c r="G183" i="29"/>
  <c r="G199" i="29"/>
  <c r="G215" i="29"/>
  <c r="G231" i="29"/>
  <c r="G16" i="29"/>
  <c r="G40" i="29"/>
  <c r="G56" i="29"/>
  <c r="G72" i="29"/>
  <c r="G88" i="29"/>
  <c r="G104" i="29"/>
  <c r="G120" i="29"/>
  <c r="G136" i="29"/>
  <c r="G152" i="29"/>
  <c r="G168" i="29"/>
  <c r="G184" i="29"/>
  <c r="G200" i="29"/>
  <c r="G224" i="29"/>
  <c r="G9" i="29"/>
  <c r="G25" i="29"/>
  <c r="G33" i="29"/>
  <c r="G49" i="29"/>
  <c r="G65" i="29"/>
  <c r="G81" i="29"/>
  <c r="G97" i="29"/>
  <c r="G113" i="29"/>
  <c r="G5" i="29"/>
  <c r="G13" i="29"/>
  <c r="G21" i="29"/>
  <c r="G29" i="29"/>
  <c r="G37" i="29"/>
  <c r="G45" i="29"/>
  <c r="G53" i="29"/>
  <c r="G61" i="29"/>
  <c r="G69" i="29"/>
  <c r="G77" i="29"/>
  <c r="G85" i="29"/>
  <c r="G93" i="29"/>
  <c r="G101" i="29"/>
  <c r="G109" i="29"/>
  <c r="G117" i="29"/>
  <c r="G125" i="29"/>
  <c r="G133" i="29"/>
  <c r="G141" i="29"/>
  <c r="G149" i="29"/>
  <c r="G157" i="29"/>
  <c r="G165" i="29"/>
  <c r="G173" i="29"/>
  <c r="G181" i="29"/>
  <c r="G189" i="29"/>
  <c r="G197" i="29"/>
  <c r="G205" i="29"/>
  <c r="G213" i="29"/>
  <c r="G221" i="29"/>
  <c r="G229" i="29"/>
  <c r="G6" i="29"/>
  <c r="G14" i="29"/>
  <c r="G22" i="29"/>
  <c r="G30" i="29"/>
  <c r="G38" i="29"/>
  <c r="G46" i="29"/>
  <c r="G54" i="29"/>
  <c r="G62" i="29"/>
  <c r="G78" i="29"/>
  <c r="G86" i="29"/>
  <c r="G94" i="29"/>
  <c r="G110" i="29"/>
  <c r="G126" i="29"/>
  <c r="G142" i="29"/>
  <c r="G158" i="29"/>
  <c r="G174" i="29"/>
  <c r="G190" i="29"/>
  <c r="G206" i="29"/>
  <c r="G222" i="29"/>
  <c r="G7" i="29"/>
  <c r="G23" i="29"/>
  <c r="G31" i="29"/>
  <c r="G47" i="29"/>
  <c r="G63" i="29"/>
  <c r="G79" i="29"/>
  <c r="G95" i="29"/>
  <c r="G111" i="29"/>
  <c r="G127" i="29"/>
  <c r="G143" i="29"/>
  <c r="G159" i="29"/>
  <c r="G175" i="29"/>
  <c r="G191" i="29"/>
  <c r="G207" i="29"/>
  <c r="G223" i="29"/>
  <c r="G8" i="29"/>
  <c r="G24" i="29"/>
  <c r="G32" i="29"/>
  <c r="G48" i="29"/>
  <c r="G64" i="29"/>
  <c r="G80" i="29"/>
  <c r="G96" i="29"/>
  <c r="G112" i="29"/>
  <c r="G128" i="29"/>
  <c r="G144" i="29"/>
  <c r="G160" i="29"/>
  <c r="G176" i="29"/>
  <c r="G192" i="29"/>
  <c r="G208" i="29"/>
  <c r="G216" i="29"/>
  <c r="G232" i="29"/>
  <c r="G17" i="29"/>
  <c r="G41" i="29"/>
  <c r="G57" i="29"/>
  <c r="G73" i="29"/>
  <c r="G89" i="29"/>
  <c r="G105" i="29"/>
  <c r="G10" i="29"/>
  <c r="G42" i="29"/>
  <c r="G74" i="29"/>
  <c r="G106" i="29"/>
  <c r="G130" i="29"/>
  <c r="G153" i="29"/>
  <c r="G171" i="29"/>
  <c r="G194" i="29"/>
  <c r="G217" i="29"/>
  <c r="G11" i="29"/>
  <c r="G43" i="29"/>
  <c r="G75" i="29"/>
  <c r="G107" i="29"/>
  <c r="G131" i="29"/>
  <c r="G154" i="29"/>
  <c r="G177" i="29"/>
  <c r="G195" i="29"/>
  <c r="G218" i="29"/>
  <c r="G51" i="29"/>
  <c r="G115" i="29"/>
  <c r="G161" i="29"/>
  <c r="G202" i="29"/>
  <c r="G26" i="29"/>
  <c r="G90" i="29"/>
  <c r="G139" i="29"/>
  <c r="G185" i="29"/>
  <c r="G226" i="29"/>
  <c r="G27" i="29"/>
  <c r="G122" i="29"/>
  <c r="G163" i="29"/>
  <c r="G209" i="29"/>
  <c r="G34" i="29"/>
  <c r="G98" i="29"/>
  <c r="G146" i="29"/>
  <c r="G187" i="29"/>
  <c r="G210" i="29"/>
  <c r="G35" i="29"/>
  <c r="G99" i="29"/>
  <c r="G147" i="29"/>
  <c r="G193" i="29"/>
  <c r="G18" i="29"/>
  <c r="G50" i="29"/>
  <c r="G82" i="29"/>
  <c r="G114" i="29"/>
  <c r="G137" i="29"/>
  <c r="G155" i="29"/>
  <c r="G178" i="29"/>
  <c r="G201" i="29"/>
  <c r="G219" i="29"/>
  <c r="G19" i="29"/>
  <c r="G83" i="29"/>
  <c r="G138" i="29"/>
  <c r="G179" i="29"/>
  <c r="G225" i="29"/>
  <c r="G58" i="29"/>
  <c r="G121" i="29"/>
  <c r="G162" i="29"/>
  <c r="G203" i="29"/>
  <c r="G59" i="29"/>
  <c r="G91" i="29"/>
  <c r="G145" i="29"/>
  <c r="G186" i="29"/>
  <c r="G227" i="29"/>
  <c r="G66" i="29"/>
  <c r="G123" i="29"/>
  <c r="G169" i="29"/>
  <c r="G233" i="29"/>
  <c r="G67" i="29"/>
  <c r="G129" i="29"/>
  <c r="G170" i="29"/>
  <c r="G211" i="29"/>
  <c r="G3" i="29"/>
  <c r="E4" i="18"/>
  <c r="E12" i="18"/>
  <c r="E20" i="18"/>
  <c r="E28" i="18"/>
  <c r="E36" i="18"/>
  <c r="E44" i="18"/>
  <c r="E52" i="18"/>
  <c r="E60" i="18"/>
  <c r="E68" i="18"/>
  <c r="E76" i="18"/>
  <c r="E84" i="18"/>
  <c r="E92" i="18"/>
  <c r="E100" i="18"/>
  <c r="E108" i="18"/>
  <c r="E116" i="18"/>
  <c r="E124" i="18"/>
  <c r="E132" i="18"/>
  <c r="E140" i="18"/>
  <c r="E148" i="18"/>
  <c r="E156" i="18"/>
  <c r="E164" i="18"/>
  <c r="E172" i="18"/>
  <c r="E180" i="18"/>
  <c r="E188" i="18"/>
  <c r="E196" i="18"/>
  <c r="E204" i="18"/>
  <c r="E212" i="18"/>
  <c r="E220" i="18"/>
  <c r="E228" i="18"/>
  <c r="E7" i="18"/>
  <c r="E31" i="18"/>
  <c r="E55" i="18"/>
  <c r="E79" i="18"/>
  <c r="E103" i="18"/>
  <c r="E127" i="18"/>
  <c r="E151" i="18"/>
  <c r="E175" i="18"/>
  <c r="E199" i="18"/>
  <c r="E223" i="18"/>
  <c r="E16" i="18"/>
  <c r="E56" i="18"/>
  <c r="E80" i="18"/>
  <c r="E104" i="18"/>
  <c r="E120" i="18"/>
  <c r="E144" i="18"/>
  <c r="E168" i="18"/>
  <c r="E192" i="18"/>
  <c r="E216" i="18"/>
  <c r="E9" i="18"/>
  <c r="E33" i="18"/>
  <c r="E49" i="18"/>
  <c r="E73" i="18"/>
  <c r="E97" i="18"/>
  <c r="E121" i="18"/>
  <c r="E145" i="18"/>
  <c r="E169" i="18"/>
  <c r="E193" i="18"/>
  <c r="E217" i="18"/>
  <c r="E10" i="18"/>
  <c r="E34" i="18"/>
  <c r="E42" i="18"/>
  <c r="E66" i="18"/>
  <c r="E90" i="18"/>
  <c r="E122" i="18"/>
  <c r="E146" i="18"/>
  <c r="E170" i="18"/>
  <c r="E194" i="18"/>
  <c r="E218" i="18"/>
  <c r="E3" i="18"/>
  <c r="E35" i="18"/>
  <c r="E59" i="18"/>
  <c r="E75" i="18"/>
  <c r="E99" i="18"/>
  <c r="E123" i="18"/>
  <c r="E147" i="18"/>
  <c r="E179" i="18"/>
  <c r="E203" i="18"/>
  <c r="E227" i="18"/>
  <c r="E5" i="18"/>
  <c r="E13" i="18"/>
  <c r="E21" i="18"/>
  <c r="E29" i="18"/>
  <c r="E37" i="18"/>
  <c r="E45" i="18"/>
  <c r="E53" i="18"/>
  <c r="E61" i="18"/>
  <c r="E69" i="18"/>
  <c r="E77" i="18"/>
  <c r="E85" i="18"/>
  <c r="E93" i="18"/>
  <c r="E101" i="18"/>
  <c r="E109" i="18"/>
  <c r="E117" i="18"/>
  <c r="E125" i="18"/>
  <c r="E133" i="18"/>
  <c r="E141" i="18"/>
  <c r="E149" i="18"/>
  <c r="E157" i="18"/>
  <c r="E165" i="18"/>
  <c r="E173" i="18"/>
  <c r="E181" i="18"/>
  <c r="E189" i="18"/>
  <c r="E197" i="18"/>
  <c r="E205" i="18"/>
  <c r="E213" i="18"/>
  <c r="E221" i="18"/>
  <c r="E229" i="18"/>
  <c r="E15" i="18"/>
  <c r="E39" i="18"/>
  <c r="E63" i="18"/>
  <c r="E87" i="18"/>
  <c r="E111" i="18"/>
  <c r="E135" i="18"/>
  <c r="E159" i="18"/>
  <c r="E183" i="18"/>
  <c r="E207" i="18"/>
  <c r="E24" i="18"/>
  <c r="E48" i="18"/>
  <c r="E72" i="18"/>
  <c r="E96" i="18"/>
  <c r="E128" i="18"/>
  <c r="E152" i="18"/>
  <c r="E176" i="18"/>
  <c r="E200" i="18"/>
  <c r="E232" i="18"/>
  <c r="E25" i="18"/>
  <c r="E57" i="18"/>
  <c r="E81" i="18"/>
  <c r="E105" i="18"/>
  <c r="E129" i="18"/>
  <c r="E153" i="18"/>
  <c r="E177" i="18"/>
  <c r="E201" i="18"/>
  <c r="E225" i="18"/>
  <c r="E18" i="18"/>
  <c r="E58" i="18"/>
  <c r="E82" i="18"/>
  <c r="E106" i="18"/>
  <c r="E130" i="18"/>
  <c r="E162" i="18"/>
  <c r="E186" i="18"/>
  <c r="E210" i="18"/>
  <c r="E11" i="18"/>
  <c r="E27" i="18"/>
  <c r="E43" i="18"/>
  <c r="E67" i="18"/>
  <c r="E91" i="18"/>
  <c r="E115" i="18"/>
  <c r="E139" i="18"/>
  <c r="E171" i="18"/>
  <c r="E195" i="18"/>
  <c r="E219" i="18"/>
  <c r="E6" i="18"/>
  <c r="E14" i="18"/>
  <c r="E22" i="18"/>
  <c r="E30" i="18"/>
  <c r="E38" i="18"/>
  <c r="E46" i="18"/>
  <c r="E54" i="18"/>
  <c r="E62" i="18"/>
  <c r="E70" i="18"/>
  <c r="E78" i="18"/>
  <c r="E86" i="18"/>
  <c r="E94" i="18"/>
  <c r="E102" i="18"/>
  <c r="E110" i="18"/>
  <c r="E118" i="18"/>
  <c r="E126" i="18"/>
  <c r="E134" i="18"/>
  <c r="E142" i="18"/>
  <c r="E150" i="18"/>
  <c r="E158" i="18"/>
  <c r="E166" i="18"/>
  <c r="E174" i="18"/>
  <c r="E182" i="18"/>
  <c r="E190" i="18"/>
  <c r="E198" i="18"/>
  <c r="E206" i="18"/>
  <c r="E214" i="18"/>
  <c r="E222" i="18"/>
  <c r="E230" i="18"/>
  <c r="E23" i="18"/>
  <c r="E47" i="18"/>
  <c r="E71" i="18"/>
  <c r="E95" i="18"/>
  <c r="E119" i="18"/>
  <c r="E143" i="18"/>
  <c r="E167" i="18"/>
  <c r="E191" i="18"/>
  <c r="E215" i="18"/>
  <c r="E231" i="18"/>
  <c r="E8" i="18"/>
  <c r="E32" i="18"/>
  <c r="E40" i="18"/>
  <c r="E64" i="18"/>
  <c r="E88" i="18"/>
  <c r="E112" i="18"/>
  <c r="E136" i="18"/>
  <c r="E160" i="18"/>
  <c r="E184" i="18"/>
  <c r="E208" i="18"/>
  <c r="E224" i="18"/>
  <c r="E17" i="18"/>
  <c r="E41" i="18"/>
  <c r="E65" i="18"/>
  <c r="E89" i="18"/>
  <c r="E113" i="18"/>
  <c r="E137" i="18"/>
  <c r="E161" i="18"/>
  <c r="E185" i="18"/>
  <c r="E209" i="18"/>
  <c r="E233" i="18"/>
  <c r="E26" i="18"/>
  <c r="E50" i="18"/>
  <c r="E74" i="18"/>
  <c r="E98" i="18"/>
  <c r="E114" i="18"/>
  <c r="E138" i="18"/>
  <c r="E154" i="18"/>
  <c r="E178" i="18"/>
  <c r="E202" i="18"/>
  <c r="E226" i="18"/>
  <c r="E19" i="18"/>
  <c r="E51" i="18"/>
  <c r="E83" i="18"/>
  <c r="E107" i="18"/>
  <c r="E131" i="18"/>
  <c r="E155" i="18"/>
  <c r="E163" i="18"/>
  <c r="E187" i="18"/>
  <c r="E211" i="1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46" i="16" l="1"/>
  <c r="L49" i="16"/>
  <c r="L44" i="16"/>
  <c r="L47" i="16"/>
  <c r="L51" i="16"/>
  <c r="L48" i="16"/>
  <c r="L50" i="16"/>
  <c r="L43" i="16"/>
  <c r="L45" i="16"/>
  <c r="L42" i="16"/>
  <c r="J48" i="16"/>
  <c r="K48" i="16"/>
  <c r="J50" i="16"/>
  <c r="K50" i="16"/>
  <c r="J44" i="16"/>
  <c r="K44" i="16"/>
  <c r="J51" i="16"/>
  <c r="K51" i="16"/>
  <c r="J46" i="16"/>
  <c r="K46" i="16"/>
  <c r="J45" i="16"/>
  <c r="K45" i="16"/>
  <c r="J43" i="16"/>
  <c r="K43" i="16"/>
  <c r="J49" i="16"/>
  <c r="K49" i="16"/>
  <c r="J47" i="16"/>
  <c r="K47" i="16"/>
  <c r="J42" i="16"/>
  <c r="K42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deleted="1" saveData="1">
    <dbPr connection="" command=""/>
  </connection>
  <connection id="2" name="FunctionOfRatesLoanWithLowestRateQuery" type="1" refreshedVersion="4" savePassword="1" saveData="1">
    <dbPr connection="DSN=Agency" command="exec RefinancibleUniverse_FunctionOfRates_LowestRate_Loan 3.94, '2015-06-11'"/>
  </connection>
  <connection id="3" name="FunctionOfRatesPoolQuery" type="1" refreshedVersion="4" savePassword="1" deleted="1" saveData="1">
    <dbPr connection="" command=""/>
  </connection>
  <connection id="4" name="LoanLevelQuery" type="1" refreshedVersion="4" savePassword="1" saveData="1">
    <dbPr connection="DSN=Agency" command="exec RefinancibleUniverse_LoanLevel '2015-06-07'"/>
  </connection>
  <connection id="5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6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7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8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9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0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1" name="PMMSQuery" type="1" refreshedVersion="4" savePassword="1" deleted="1" saveData="1">
    <dbPr connection="" command=""/>
  </connection>
  <connection id="12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3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4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5" name="temp10" type="6" refreshedVersion="4" background="1" saveData="1">
    <textPr codePage="437" sourceFile="C:\Users\lien.chen\Desktop\temp.csv" comma="1" qualifier="singleQuote">
      <textFields count="3">
        <textField/>
        <textField/>
        <textField/>
      </textFields>
    </textPr>
  </connection>
  <connection id="16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7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8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9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0" name="temp14" type="6" refreshedVersion="4" background="1" saveData="1">
    <textPr codePage="437" sourceFile="C:\Users\lien.chen\Desktop\temp.csv" comma="1" qualifier="singleQuote">
      <textFields count="3">
        <textField/>
        <textField/>
        <textField/>
      </textFields>
    </textPr>
  </connection>
  <connection id="21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2" name="temp16" type="6" refreshedVersion="4" background="1">
    <textPr codePage="437" sourceFile="C:\Users\lien.chen\Desktop\temp.csv" comma="1" qualifier="singleQuote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temp17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temp18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6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7" name="temp3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8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  <connection id="29" name="temp5" type="6" refreshedVersion="4" background="1" saveData="1">
    <textPr codePage="437" sourceFile="C:\Users\lien.chen\Desktop\temp.csv" comma="1" qualifier="singleQuote">
      <textFields count="4">
        <textField/>
        <textField/>
        <textField/>
        <textField/>
      </textFields>
    </textPr>
  </connection>
  <connection id="30" name="temp6" type="6" refreshedVersion="4" background="1" saveData="1">
    <textPr codePage="437" sourceFile="C:\Users\lien.chen\Desktop\temp.csv" comma="1" qualifier="singleQuote">
      <textFields count="4">
        <textField/>
        <textField/>
        <textField/>
        <textField/>
      </textFields>
    </textPr>
  </connection>
  <connection id="31" name="temp7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32" name="temp8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33" name="temp9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<sst xmlns="http://schemas.openxmlformats.org/spreadsheetml/2006/main" count="269" uniqueCount="105">
  <si>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</si>
  <si>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</si>
  <si>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</si>
  <si>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</si>
  <si>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</si>
  <si>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</si>
  <si>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</si>
  <si>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</si>
  <si>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</si>
  <si>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</si>
  <si>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</si>
  <si>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</si>
  <si>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</si>
  <si>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</si>
  <si>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</si>
  <si>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</si>
  <si>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</si>
  <si>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</si>
  <si>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</si>
  <si>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</si>
  <si>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</si>
  <si>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S:\IT\Production\Daily Reports\Primary Market\tmp\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</si>
  <si>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</si>
  <si>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</si>
  <si>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</si>
  <si>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</si>
  <si>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</si>
  <si>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</si>
  <si>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</si>
  <si>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</si>
  <si>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</si>
  <si>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Bloomberg Index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</si>
  <si>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</si>
  <si>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</si>
  <si>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</si>
  <si>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</si>
  <si>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</si>
  <si>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</si>
  <si>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</si>
  <si>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</si>
  <si>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</si>
  <si>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</si>
  <si>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</si>
  <si>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</si>
  <si>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</si>
  <si>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</si>
  <si>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</si>
  <si>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</si>
  <si>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</si>
  <si>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</si>
  <si>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</si>
  <si>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</si>
  <si>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</si>
  <si>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</si>
  <si>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</si>
  <si>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</si>
  <si>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</si>
  <si>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</si>
  <si>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</si>
  <si>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</si>
  <si>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</si>
  <si>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</si>
  <si>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</si>
  <si>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</si>
  <si>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</si>
  <si>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</si>
  <si>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</si>
  <si>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</si>
  <si>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</si>
  <si>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</si>
  <si>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</si>
  <si>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</si>
  <si>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</si>
  <si>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</si>
  <si>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</si>
  <si>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</si>
  <si>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</si>
  <si>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</si>
  <si>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Bloomberg Refi Index is conventional Refi Index (MBAVCMRS)</t>
  </si>
  <si>
    <t>Pool Level Model is based on FNCL data; Loan Level Model is using FGLMC loan level data.</t>
  </si>
  <si>
    <t>PMMS</t>
  </si>
  <si>
    <t>A56672000005</t>
  </si>
  <si>
    <t>asOf</t>
  </si>
  <si>
    <t>loanSeqNum</t>
  </si>
  <si>
    <t>firstPaymtDt</t>
  </si>
  <si>
    <t>minSurveyRate</t>
  </si>
  <si>
    <t>StartDate</t>
  </si>
  <si>
    <t>EndDate</t>
  </si>
  <si>
    <t>StartMonth</t>
  </si>
  <si>
    <t>Without Lowest Rate</t>
  </si>
  <si>
    <t>loanSeqNum = 'A56672000005'</t>
  </si>
  <si>
    <t>Lowest Rate Monthly</t>
  </si>
  <si>
    <t>Lowest Rate Weekly</t>
  </si>
  <si>
    <t>Refi Index</t>
  </si>
  <si>
    <t>EndMonth</t>
  </si>
  <si>
    <t>Lowest Rate Weekly-cerrect</t>
  </si>
  <si>
    <t>loanSeqNum: A56672000005</t>
  </si>
  <si>
    <t>For each loan, we calculate the lowest rate the borrower has ever seen.</t>
  </si>
  <si>
    <t>Two conditions:</t>
  </si>
  <si>
    <t>1) Current survey rate hits lowest rate</t>
  </si>
  <si>
    <t>2) Incentive &gt;= 50 bps</t>
  </si>
  <si>
    <t>NumberOfWeeks</t>
  </si>
  <si>
    <t>Media Effect</t>
  </si>
  <si>
    <t>Loan with Lowest Rate</t>
  </si>
  <si>
    <t>With Lowest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</si>
</sst>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82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1" fontId="7" fillId="0" borderId="44" xfId="1" applyNumberFormat="1" applyFont="1" applyBorder="1" applyAlignment="1">
      <alignment horizontal="center" vertical="center"/>
    </xf>
    <xf numFmtId="0" fontId="0" fillId="0" borderId="44" xfId="0" applyBorder="1"/>
    <xf numFmtId="10" fontId="0" fillId="0" borderId="44" xfId="0" applyNumberFormat="1" applyBorder="1"/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14" fontId="139" fillId="0" borderId="0" xfId="0" applyNumberFormat="1" applyFont="1"/>
    <xf numFmtId="0" fontId="139" fillId="0" borderId="0" xfId="0" applyFont="1" applyAlignment="1">
      <alignment horizontal="left"/>
    </xf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" fontId="7" fillId="0" borderId="50" xfId="1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" fontId="7" fillId="0" borderId="52" xfId="1" applyNumberFormat="1" applyFont="1" applyBorder="1" applyAlignment="1">
      <alignment horizontal="center" vertical="center"/>
    </xf>
    <xf numFmtId="1" fontId="7" fillId="0" borderId="53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177" fontId="0" fillId="0" borderId="0" xfId="0" applyNumberFormat="1"/>
    <xf numFmtId="14" fontId="0" fillId="68" borderId="0" xfId="0" applyNumberFormat="1" applyFill="1"/>
    <xf numFmtId="10" fontId="0" fillId="68" borderId="0" xfId="0" applyNumberFormat="1" applyFill="1"/>
    <xf numFmtId="1" fontId="0" fillId="68" borderId="0" xfId="0" applyNumberFormat="1" applyFill="1"/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  <xf numFmtId="9" fontId="0" fillId="0" borderId="0" xfId="1" applyFont="1"/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65"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8891D5"/>
      <color rgb="FF2E8A60"/>
      <color rgb="FFAD275C"/>
      <color rgb="FF74B629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Historical Refinancible Universe vs Refi Index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Query!$C$2</c:f>
              <c:strCache>
                <c:ptCount val="1"/>
                <c:pt idx="0">
                  <c:v>refinancible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Query!$B$3:$B$233</c:f>
              <c:numCache>
                <c:formatCode>m/d/yyyy</c:formatCode>
                <c:ptCount val="231"/>
                <c:pt idx="0">
                  <c:v>42159</c:v>
                </c:pt>
                <c:pt idx="1">
                  <c:v>42152</c:v>
                </c:pt>
                <c:pt idx="2">
                  <c:v>42145</c:v>
                </c:pt>
                <c:pt idx="3">
                  <c:v>42138</c:v>
                </c:pt>
                <c:pt idx="4">
                  <c:v>42131</c:v>
                </c:pt>
                <c:pt idx="5">
                  <c:v>42124</c:v>
                </c:pt>
                <c:pt idx="6">
                  <c:v>42117</c:v>
                </c:pt>
                <c:pt idx="7">
                  <c:v>42110</c:v>
                </c:pt>
                <c:pt idx="8">
                  <c:v>42103</c:v>
                </c:pt>
                <c:pt idx="9">
                  <c:v>42096</c:v>
                </c:pt>
                <c:pt idx="10">
                  <c:v>42089</c:v>
                </c:pt>
                <c:pt idx="11">
                  <c:v>42082</c:v>
                </c:pt>
                <c:pt idx="12">
                  <c:v>42075</c:v>
                </c:pt>
                <c:pt idx="13">
                  <c:v>42068</c:v>
                </c:pt>
                <c:pt idx="14">
                  <c:v>42061</c:v>
                </c:pt>
                <c:pt idx="15">
                  <c:v>42054</c:v>
                </c:pt>
                <c:pt idx="16">
                  <c:v>42047</c:v>
                </c:pt>
                <c:pt idx="17">
                  <c:v>42040</c:v>
                </c:pt>
                <c:pt idx="18">
                  <c:v>42033</c:v>
                </c:pt>
                <c:pt idx="19">
                  <c:v>42026</c:v>
                </c:pt>
                <c:pt idx="20">
                  <c:v>42019</c:v>
                </c:pt>
                <c:pt idx="21">
                  <c:v>42012</c:v>
                </c:pt>
                <c:pt idx="22">
                  <c:v>42004</c:v>
                </c:pt>
                <c:pt idx="23">
                  <c:v>41997</c:v>
                </c:pt>
                <c:pt idx="24">
                  <c:v>41991</c:v>
                </c:pt>
                <c:pt idx="25">
                  <c:v>41984</c:v>
                </c:pt>
                <c:pt idx="26">
                  <c:v>41977</c:v>
                </c:pt>
                <c:pt idx="27">
                  <c:v>41969</c:v>
                </c:pt>
                <c:pt idx="28">
                  <c:v>41963</c:v>
                </c:pt>
                <c:pt idx="29">
                  <c:v>41956</c:v>
                </c:pt>
                <c:pt idx="30">
                  <c:v>41949</c:v>
                </c:pt>
                <c:pt idx="31">
                  <c:v>41942</c:v>
                </c:pt>
                <c:pt idx="32">
                  <c:v>41935</c:v>
                </c:pt>
                <c:pt idx="33">
                  <c:v>41928</c:v>
                </c:pt>
                <c:pt idx="34">
                  <c:v>41921</c:v>
                </c:pt>
                <c:pt idx="35">
                  <c:v>41914</c:v>
                </c:pt>
                <c:pt idx="36">
                  <c:v>41907</c:v>
                </c:pt>
                <c:pt idx="37">
                  <c:v>41900</c:v>
                </c:pt>
                <c:pt idx="38">
                  <c:v>41893</c:v>
                </c:pt>
                <c:pt idx="39">
                  <c:v>41886</c:v>
                </c:pt>
                <c:pt idx="40">
                  <c:v>41879</c:v>
                </c:pt>
                <c:pt idx="41">
                  <c:v>41872</c:v>
                </c:pt>
                <c:pt idx="42">
                  <c:v>41865</c:v>
                </c:pt>
                <c:pt idx="43">
                  <c:v>41858</c:v>
                </c:pt>
                <c:pt idx="44">
                  <c:v>41851</c:v>
                </c:pt>
                <c:pt idx="45">
                  <c:v>41844</c:v>
                </c:pt>
                <c:pt idx="46">
                  <c:v>41837</c:v>
                </c:pt>
                <c:pt idx="47">
                  <c:v>41830</c:v>
                </c:pt>
                <c:pt idx="48">
                  <c:v>41823</c:v>
                </c:pt>
                <c:pt idx="49">
                  <c:v>41816</c:v>
                </c:pt>
                <c:pt idx="50">
                  <c:v>41809</c:v>
                </c:pt>
                <c:pt idx="51">
                  <c:v>41802</c:v>
                </c:pt>
                <c:pt idx="52">
                  <c:v>41795</c:v>
                </c:pt>
                <c:pt idx="53">
                  <c:v>41788</c:v>
                </c:pt>
                <c:pt idx="54">
                  <c:v>41781</c:v>
                </c:pt>
                <c:pt idx="55">
                  <c:v>41774</c:v>
                </c:pt>
                <c:pt idx="56">
                  <c:v>41767</c:v>
                </c:pt>
                <c:pt idx="57">
                  <c:v>41760</c:v>
                </c:pt>
                <c:pt idx="58">
                  <c:v>41753</c:v>
                </c:pt>
                <c:pt idx="59">
                  <c:v>41746</c:v>
                </c:pt>
                <c:pt idx="60">
                  <c:v>41739</c:v>
                </c:pt>
                <c:pt idx="61">
                  <c:v>41732</c:v>
                </c:pt>
                <c:pt idx="62">
                  <c:v>41725</c:v>
                </c:pt>
                <c:pt idx="63">
                  <c:v>41718</c:v>
                </c:pt>
                <c:pt idx="64">
                  <c:v>41711</c:v>
                </c:pt>
                <c:pt idx="65">
                  <c:v>41704</c:v>
                </c:pt>
                <c:pt idx="66">
                  <c:v>41697</c:v>
                </c:pt>
                <c:pt idx="67">
                  <c:v>41690</c:v>
                </c:pt>
                <c:pt idx="68">
                  <c:v>41683</c:v>
                </c:pt>
                <c:pt idx="69">
                  <c:v>41676</c:v>
                </c:pt>
                <c:pt idx="70">
                  <c:v>41669</c:v>
                </c:pt>
                <c:pt idx="71">
                  <c:v>41662</c:v>
                </c:pt>
                <c:pt idx="72">
                  <c:v>41655</c:v>
                </c:pt>
                <c:pt idx="73">
                  <c:v>41648</c:v>
                </c:pt>
                <c:pt idx="74">
                  <c:v>41641</c:v>
                </c:pt>
                <c:pt idx="75">
                  <c:v>41634</c:v>
                </c:pt>
                <c:pt idx="76">
                  <c:v>41627</c:v>
                </c:pt>
                <c:pt idx="77">
                  <c:v>41620</c:v>
                </c:pt>
                <c:pt idx="78">
                  <c:v>41613</c:v>
                </c:pt>
                <c:pt idx="79">
                  <c:v>41605</c:v>
                </c:pt>
                <c:pt idx="80">
                  <c:v>41599</c:v>
                </c:pt>
                <c:pt idx="81">
                  <c:v>41592</c:v>
                </c:pt>
                <c:pt idx="82">
                  <c:v>41585</c:v>
                </c:pt>
                <c:pt idx="83">
                  <c:v>41578</c:v>
                </c:pt>
                <c:pt idx="84">
                  <c:v>41571</c:v>
                </c:pt>
                <c:pt idx="85">
                  <c:v>41564</c:v>
                </c:pt>
                <c:pt idx="86">
                  <c:v>41557</c:v>
                </c:pt>
                <c:pt idx="87">
                  <c:v>41550</c:v>
                </c:pt>
                <c:pt idx="88">
                  <c:v>41543</c:v>
                </c:pt>
                <c:pt idx="89">
                  <c:v>41536</c:v>
                </c:pt>
                <c:pt idx="90">
                  <c:v>41529</c:v>
                </c:pt>
                <c:pt idx="91">
                  <c:v>41522</c:v>
                </c:pt>
                <c:pt idx="92">
                  <c:v>41515</c:v>
                </c:pt>
                <c:pt idx="93">
                  <c:v>41508</c:v>
                </c:pt>
                <c:pt idx="94">
                  <c:v>41501</c:v>
                </c:pt>
                <c:pt idx="95">
                  <c:v>41494</c:v>
                </c:pt>
                <c:pt idx="96">
                  <c:v>41487</c:v>
                </c:pt>
                <c:pt idx="97">
                  <c:v>41480</c:v>
                </c:pt>
                <c:pt idx="98">
                  <c:v>41473</c:v>
                </c:pt>
                <c:pt idx="99">
                  <c:v>41466</c:v>
                </c:pt>
                <c:pt idx="100">
                  <c:v>41458</c:v>
                </c:pt>
                <c:pt idx="101">
                  <c:v>41452</c:v>
                </c:pt>
                <c:pt idx="102">
                  <c:v>41445</c:v>
                </c:pt>
                <c:pt idx="103">
                  <c:v>41438</c:v>
                </c:pt>
                <c:pt idx="104">
                  <c:v>41431</c:v>
                </c:pt>
                <c:pt idx="105">
                  <c:v>41424</c:v>
                </c:pt>
                <c:pt idx="106">
                  <c:v>41417</c:v>
                </c:pt>
                <c:pt idx="107">
                  <c:v>41410</c:v>
                </c:pt>
                <c:pt idx="108">
                  <c:v>41403</c:v>
                </c:pt>
                <c:pt idx="109">
                  <c:v>41396</c:v>
                </c:pt>
                <c:pt idx="110">
                  <c:v>41389</c:v>
                </c:pt>
                <c:pt idx="111">
                  <c:v>41382</c:v>
                </c:pt>
                <c:pt idx="112">
                  <c:v>41375</c:v>
                </c:pt>
                <c:pt idx="113">
                  <c:v>41368</c:v>
                </c:pt>
                <c:pt idx="114">
                  <c:v>41361</c:v>
                </c:pt>
                <c:pt idx="115">
                  <c:v>41354</c:v>
                </c:pt>
                <c:pt idx="116">
                  <c:v>41347</c:v>
                </c:pt>
                <c:pt idx="117">
                  <c:v>41340</c:v>
                </c:pt>
                <c:pt idx="118">
                  <c:v>41333</c:v>
                </c:pt>
                <c:pt idx="119">
                  <c:v>41326</c:v>
                </c:pt>
                <c:pt idx="120">
                  <c:v>41319</c:v>
                </c:pt>
                <c:pt idx="121">
                  <c:v>41312</c:v>
                </c:pt>
                <c:pt idx="122">
                  <c:v>41305</c:v>
                </c:pt>
                <c:pt idx="123">
                  <c:v>41298</c:v>
                </c:pt>
                <c:pt idx="124">
                  <c:v>41291</c:v>
                </c:pt>
                <c:pt idx="125">
                  <c:v>41284</c:v>
                </c:pt>
                <c:pt idx="126">
                  <c:v>41277</c:v>
                </c:pt>
                <c:pt idx="127">
                  <c:v>41270</c:v>
                </c:pt>
                <c:pt idx="128">
                  <c:v>41263</c:v>
                </c:pt>
                <c:pt idx="129">
                  <c:v>41256</c:v>
                </c:pt>
                <c:pt idx="130">
                  <c:v>41249</c:v>
                </c:pt>
                <c:pt idx="131">
                  <c:v>41242</c:v>
                </c:pt>
                <c:pt idx="132">
                  <c:v>41234</c:v>
                </c:pt>
                <c:pt idx="133">
                  <c:v>41228</c:v>
                </c:pt>
                <c:pt idx="134">
                  <c:v>41221</c:v>
                </c:pt>
                <c:pt idx="135">
                  <c:v>41214</c:v>
                </c:pt>
                <c:pt idx="136">
                  <c:v>41207</c:v>
                </c:pt>
                <c:pt idx="137">
                  <c:v>41200</c:v>
                </c:pt>
                <c:pt idx="138">
                  <c:v>41193</c:v>
                </c:pt>
                <c:pt idx="139">
                  <c:v>41186</c:v>
                </c:pt>
                <c:pt idx="140">
                  <c:v>41179</c:v>
                </c:pt>
                <c:pt idx="141">
                  <c:v>41172</c:v>
                </c:pt>
                <c:pt idx="142">
                  <c:v>41165</c:v>
                </c:pt>
                <c:pt idx="143">
                  <c:v>41158</c:v>
                </c:pt>
                <c:pt idx="144">
                  <c:v>41151</c:v>
                </c:pt>
                <c:pt idx="145">
                  <c:v>41144</c:v>
                </c:pt>
                <c:pt idx="146">
                  <c:v>41137</c:v>
                </c:pt>
                <c:pt idx="147">
                  <c:v>41130</c:v>
                </c:pt>
                <c:pt idx="148">
                  <c:v>41123</c:v>
                </c:pt>
                <c:pt idx="149">
                  <c:v>41116</c:v>
                </c:pt>
                <c:pt idx="150">
                  <c:v>41109</c:v>
                </c:pt>
                <c:pt idx="151">
                  <c:v>41102</c:v>
                </c:pt>
                <c:pt idx="152">
                  <c:v>41095</c:v>
                </c:pt>
                <c:pt idx="153">
                  <c:v>41088</c:v>
                </c:pt>
                <c:pt idx="154">
                  <c:v>41081</c:v>
                </c:pt>
                <c:pt idx="155">
                  <c:v>41074</c:v>
                </c:pt>
                <c:pt idx="156">
                  <c:v>41067</c:v>
                </c:pt>
                <c:pt idx="157">
                  <c:v>41060</c:v>
                </c:pt>
                <c:pt idx="158">
                  <c:v>41053</c:v>
                </c:pt>
                <c:pt idx="159">
                  <c:v>41046</c:v>
                </c:pt>
                <c:pt idx="160">
                  <c:v>41039</c:v>
                </c:pt>
                <c:pt idx="161">
                  <c:v>41032</c:v>
                </c:pt>
                <c:pt idx="162">
                  <c:v>41025</c:v>
                </c:pt>
                <c:pt idx="163">
                  <c:v>41018</c:v>
                </c:pt>
                <c:pt idx="164">
                  <c:v>41011</c:v>
                </c:pt>
                <c:pt idx="165">
                  <c:v>41004</c:v>
                </c:pt>
                <c:pt idx="166">
                  <c:v>40997</c:v>
                </c:pt>
                <c:pt idx="167">
                  <c:v>40990</c:v>
                </c:pt>
                <c:pt idx="168">
                  <c:v>40983</c:v>
                </c:pt>
                <c:pt idx="169">
                  <c:v>40976</c:v>
                </c:pt>
                <c:pt idx="170">
                  <c:v>40969</c:v>
                </c:pt>
                <c:pt idx="171">
                  <c:v>40962</c:v>
                </c:pt>
                <c:pt idx="172">
                  <c:v>40955</c:v>
                </c:pt>
                <c:pt idx="173">
                  <c:v>40948</c:v>
                </c:pt>
                <c:pt idx="174">
                  <c:v>40941</c:v>
                </c:pt>
                <c:pt idx="175">
                  <c:v>40934</c:v>
                </c:pt>
                <c:pt idx="176">
                  <c:v>40927</c:v>
                </c:pt>
                <c:pt idx="177">
                  <c:v>40920</c:v>
                </c:pt>
                <c:pt idx="178">
                  <c:v>40913</c:v>
                </c:pt>
                <c:pt idx="179">
                  <c:v>40906</c:v>
                </c:pt>
                <c:pt idx="180">
                  <c:v>40899</c:v>
                </c:pt>
                <c:pt idx="181">
                  <c:v>40892</c:v>
                </c:pt>
                <c:pt idx="182">
                  <c:v>40885</c:v>
                </c:pt>
                <c:pt idx="183">
                  <c:v>40878</c:v>
                </c:pt>
                <c:pt idx="184">
                  <c:v>40870</c:v>
                </c:pt>
                <c:pt idx="185">
                  <c:v>40864</c:v>
                </c:pt>
                <c:pt idx="186">
                  <c:v>40857</c:v>
                </c:pt>
                <c:pt idx="187">
                  <c:v>40850</c:v>
                </c:pt>
                <c:pt idx="188">
                  <c:v>40843</c:v>
                </c:pt>
                <c:pt idx="189">
                  <c:v>40836</c:v>
                </c:pt>
                <c:pt idx="190">
                  <c:v>40829</c:v>
                </c:pt>
                <c:pt idx="191">
                  <c:v>40822</c:v>
                </c:pt>
                <c:pt idx="192">
                  <c:v>40815</c:v>
                </c:pt>
                <c:pt idx="193">
                  <c:v>40808</c:v>
                </c:pt>
                <c:pt idx="194">
                  <c:v>40801</c:v>
                </c:pt>
                <c:pt idx="195">
                  <c:v>40794</c:v>
                </c:pt>
                <c:pt idx="196">
                  <c:v>40787</c:v>
                </c:pt>
                <c:pt idx="197">
                  <c:v>40780</c:v>
                </c:pt>
                <c:pt idx="198">
                  <c:v>40773</c:v>
                </c:pt>
                <c:pt idx="199">
                  <c:v>40766</c:v>
                </c:pt>
                <c:pt idx="200">
                  <c:v>40759</c:v>
                </c:pt>
                <c:pt idx="201">
                  <c:v>40752</c:v>
                </c:pt>
                <c:pt idx="202">
                  <c:v>40745</c:v>
                </c:pt>
                <c:pt idx="203">
                  <c:v>40738</c:v>
                </c:pt>
                <c:pt idx="204">
                  <c:v>40731</c:v>
                </c:pt>
                <c:pt idx="205">
                  <c:v>40724</c:v>
                </c:pt>
                <c:pt idx="206">
                  <c:v>40717</c:v>
                </c:pt>
                <c:pt idx="207">
                  <c:v>40710</c:v>
                </c:pt>
                <c:pt idx="208">
                  <c:v>40703</c:v>
                </c:pt>
                <c:pt idx="209">
                  <c:v>40696</c:v>
                </c:pt>
                <c:pt idx="210">
                  <c:v>40689</c:v>
                </c:pt>
                <c:pt idx="211">
                  <c:v>40682</c:v>
                </c:pt>
                <c:pt idx="212">
                  <c:v>40675</c:v>
                </c:pt>
                <c:pt idx="213">
                  <c:v>40668</c:v>
                </c:pt>
                <c:pt idx="214">
                  <c:v>40661</c:v>
                </c:pt>
                <c:pt idx="215">
                  <c:v>40654</c:v>
                </c:pt>
                <c:pt idx="216">
                  <c:v>40647</c:v>
                </c:pt>
                <c:pt idx="217">
                  <c:v>40640</c:v>
                </c:pt>
                <c:pt idx="218">
                  <c:v>40633</c:v>
                </c:pt>
                <c:pt idx="219">
                  <c:v>40626</c:v>
                </c:pt>
                <c:pt idx="220">
                  <c:v>40619</c:v>
                </c:pt>
                <c:pt idx="221">
                  <c:v>40612</c:v>
                </c:pt>
                <c:pt idx="222">
                  <c:v>40605</c:v>
                </c:pt>
                <c:pt idx="223">
                  <c:v>40598</c:v>
                </c:pt>
                <c:pt idx="224">
                  <c:v>40591</c:v>
                </c:pt>
                <c:pt idx="225">
                  <c:v>40584</c:v>
                </c:pt>
                <c:pt idx="226">
                  <c:v>40577</c:v>
                </c:pt>
                <c:pt idx="227">
                  <c:v>40570</c:v>
                </c:pt>
                <c:pt idx="228">
                  <c:v>40563</c:v>
                </c:pt>
                <c:pt idx="229">
                  <c:v>40556</c:v>
                </c:pt>
                <c:pt idx="230">
                  <c:v>40549</c:v>
                </c:pt>
              </c:numCache>
            </c:numRef>
          </c:cat>
          <c:val>
            <c:numRef>
              <c:f>Query!$C$3:$C$233</c:f>
              <c:numCache>
                <c:formatCode>0.00%</c:formatCode>
                <c:ptCount val="231"/>
                <c:pt idx="0">
                  <c:v>0.54411437418255881</c:v>
                </c:pt>
                <c:pt idx="1">
                  <c:v>0.54951676769042945</c:v>
                </c:pt>
                <c:pt idx="2">
                  <c:v>0.55264936292906153</c:v>
                </c:pt>
                <c:pt idx="3">
                  <c:v>0.56120232410101856</c:v>
                </c:pt>
                <c:pt idx="4">
                  <c:v>0.58097914250817684</c:v>
                </c:pt>
                <c:pt idx="5">
                  <c:v>0.63639402671923606</c:v>
                </c:pt>
                <c:pt idx="6">
                  <c:v>0.64951370522505292</c:v>
                </c:pt>
                <c:pt idx="7">
                  <c:v>0.63055503904182508</c:v>
                </c:pt>
                <c:pt idx="8">
                  <c:v>0.64459292642165245</c:v>
                </c:pt>
                <c:pt idx="9">
                  <c:v>0.62778439660000751</c:v>
                </c:pt>
                <c:pt idx="10">
                  <c:v>0.64195316325793905</c:v>
                </c:pt>
                <c:pt idx="11">
                  <c:v>0.60937196228640689</c:v>
                </c:pt>
                <c:pt idx="12">
                  <c:v>0.57559445438514367</c:v>
                </c:pt>
                <c:pt idx="13">
                  <c:v>0.61966926616186646</c:v>
                </c:pt>
                <c:pt idx="14">
                  <c:v>0.61098575112407738</c:v>
                </c:pt>
                <c:pt idx="15">
                  <c:v>0.62651628119673453</c:v>
                </c:pt>
                <c:pt idx="16">
                  <c:v>0.64890841265420796</c:v>
                </c:pt>
                <c:pt idx="17">
                  <c:v>0.68438167594716182</c:v>
                </c:pt>
                <c:pt idx="18">
                  <c:v>0.66264885680249008</c:v>
                </c:pt>
                <c:pt idx="19">
                  <c:v>0.66474126748702123</c:v>
                </c:pt>
                <c:pt idx="20">
                  <c:v>0.66264885680249008</c:v>
                </c:pt>
                <c:pt idx="21">
                  <c:v>0.63580141506138355</c:v>
                </c:pt>
                <c:pt idx="22">
                  <c:v>0.59072795930158906</c:v>
                </c:pt>
                <c:pt idx="23">
                  <c:v>0.60574636223541978</c:v>
                </c:pt>
                <c:pt idx="24">
                  <c:v>0.6155496963810797</c:v>
                </c:pt>
                <c:pt idx="25">
                  <c:v>0.5786710507683992</c:v>
                </c:pt>
                <c:pt idx="26">
                  <c:v>0.59279776197128353</c:v>
                </c:pt>
                <c:pt idx="27">
                  <c:v>0.57290983086857539</c:v>
                </c:pt>
                <c:pt idx="28">
                  <c:v>0.56606721089043732</c:v>
                </c:pt>
                <c:pt idx="29">
                  <c:v>0.55497671209744126</c:v>
                </c:pt>
                <c:pt idx="30">
                  <c:v>0.54857982917990311</c:v>
                </c:pt>
                <c:pt idx="31">
                  <c:v>0.57181297396619646</c:v>
                </c:pt>
                <c:pt idx="32">
                  <c:v>0.58745733896979668</c:v>
                </c:pt>
                <c:pt idx="33">
                  <c:v>0.57517284737260799</c:v>
                </c:pt>
                <c:pt idx="34">
                  <c:v>0.47165449273347226</c:v>
                </c:pt>
                <c:pt idx="35">
                  <c:v>0.43232059685066798</c:v>
                </c:pt>
                <c:pt idx="36">
                  <c:v>0.41373230170663788</c:v>
                </c:pt>
                <c:pt idx="37">
                  <c:v>0.3981672862675662</c:v>
                </c:pt>
                <c:pt idx="38">
                  <c:v>0.4741591952243816</c:v>
                </c:pt>
                <c:pt idx="39">
                  <c:v>0.4873264191007175</c:v>
                </c:pt>
                <c:pt idx="40">
                  <c:v>0.49084413664233395</c:v>
                </c:pt>
                <c:pt idx="41">
                  <c:v>0.49084413664233395</c:v>
                </c:pt>
                <c:pt idx="42">
                  <c:v>0.45575254137027688</c:v>
                </c:pt>
                <c:pt idx="43">
                  <c:v>0.42413376349642812</c:v>
                </c:pt>
                <c:pt idx="44">
                  <c:v>0.45923072088835232</c:v>
                </c:pt>
                <c:pt idx="45">
                  <c:v>0.45155296827836544</c:v>
                </c:pt>
                <c:pt idx="46">
                  <c:v>0.45155296827836544</c:v>
                </c:pt>
                <c:pt idx="47">
                  <c:v>0.42147742037560049</c:v>
                </c:pt>
                <c:pt idx="48">
                  <c:v>0.48178321750260522</c:v>
                </c:pt>
                <c:pt idx="49">
                  <c:v>0.46847875373528863</c:v>
                </c:pt>
                <c:pt idx="50">
                  <c:v>0.42635938692148717</c:v>
                </c:pt>
                <c:pt idx="51">
                  <c:v>0.41096738430920449</c:v>
                </c:pt>
                <c:pt idx="52">
                  <c:v>0.46847875373528863</c:v>
                </c:pt>
                <c:pt idx="53">
                  <c:v>0.46362020494951672</c:v>
                </c:pt>
                <c:pt idx="54">
                  <c:v>0.44799454346559853</c:v>
                </c:pt>
                <c:pt idx="55">
                  <c:v>0.4132153406951769</c:v>
                </c:pt>
                <c:pt idx="56">
                  <c:v>0.40975674753773905</c:v>
                </c:pt>
                <c:pt idx="57">
                  <c:v>0.37360583835556432</c:v>
                </c:pt>
                <c:pt idx="58">
                  <c:v>0.37393962817107157</c:v>
                </c:pt>
                <c:pt idx="59">
                  <c:v>0.38166972699665563</c:v>
                </c:pt>
                <c:pt idx="60">
                  <c:v>0.36683376695248865</c:v>
                </c:pt>
                <c:pt idx="61">
                  <c:v>0.35521926568999218</c:v>
                </c:pt>
                <c:pt idx="62">
                  <c:v>0.36565400061256043</c:v>
                </c:pt>
                <c:pt idx="63">
                  <c:v>0.38030249532079374</c:v>
                </c:pt>
                <c:pt idx="64">
                  <c:v>0.36933430427665681</c:v>
                </c:pt>
                <c:pt idx="65">
                  <c:v>0.38316963725836589</c:v>
                </c:pt>
                <c:pt idx="66">
                  <c:v>0.36967404481869215</c:v>
                </c:pt>
                <c:pt idx="67">
                  <c:v>0.3755719775185945</c:v>
                </c:pt>
                <c:pt idx="68">
                  <c:v>0.38532630107916044</c:v>
                </c:pt>
                <c:pt idx="69">
                  <c:v>0.40068103493110224</c:v>
                </c:pt>
                <c:pt idx="70">
                  <c:v>0.38160196936392621</c:v>
                </c:pt>
                <c:pt idx="71">
                  <c:v>0.37084428304329614</c:v>
                </c:pt>
                <c:pt idx="72">
                  <c:v>0.36774882579493112</c:v>
                </c:pt>
                <c:pt idx="73">
                  <c:v>0.2902260049252946</c:v>
                </c:pt>
                <c:pt idx="74">
                  <c:v>0.26212623729092371</c:v>
                </c:pt>
                <c:pt idx="75">
                  <c:v>0.33029809597210952</c:v>
                </c:pt>
                <c:pt idx="76">
                  <c:v>0.33974567777608206</c:v>
                </c:pt>
                <c:pt idx="77">
                  <c:v>0.3707206267478419</c:v>
                </c:pt>
                <c:pt idx="78">
                  <c:v>0.37338021104571051</c:v>
                </c:pt>
                <c:pt idx="79">
                  <c:v>0.3969981593322805</c:v>
                </c:pt>
                <c:pt idx="80">
                  <c:v>0.41410653536495057</c:v>
                </c:pt>
                <c:pt idx="81">
                  <c:v>0.38756459325455095</c:v>
                </c:pt>
                <c:pt idx="82">
                  <c:v>0.42159370418067171</c:v>
                </c:pt>
                <c:pt idx="83">
                  <c:v>0.4605405147219428</c:v>
                </c:pt>
                <c:pt idx="84">
                  <c:v>0.43156912924668556</c:v>
                </c:pt>
                <c:pt idx="85">
                  <c:v>0.40232481590336117</c:v>
                </c:pt>
                <c:pt idx="86">
                  <c:v>0.41314719259777027</c:v>
                </c:pt>
                <c:pt idx="87">
                  <c:v>0.41528178559290679</c:v>
                </c:pt>
                <c:pt idx="88">
                  <c:v>0.40445747526612724</c:v>
                </c:pt>
                <c:pt idx="89">
                  <c:v>0.33277831045649614</c:v>
                </c:pt>
                <c:pt idx="90">
                  <c:v>0.27463010199382165</c:v>
                </c:pt>
                <c:pt idx="91">
                  <c:v>0.2818649256036454</c:v>
                </c:pt>
                <c:pt idx="92">
                  <c:v>0.32707732602530493</c:v>
                </c:pt>
                <c:pt idx="93">
                  <c:v>0.28211495793674252</c:v>
                </c:pt>
                <c:pt idx="94">
                  <c:v>0.40797811985401045</c:v>
                </c:pt>
                <c:pt idx="95">
                  <c:v>0.40797811985401045</c:v>
                </c:pt>
                <c:pt idx="96">
                  <c:v>0.40917398895537016</c:v>
                </c:pt>
                <c:pt idx="97">
                  <c:v>0.42922629610906576</c:v>
                </c:pt>
                <c:pt idx="98">
                  <c:v>0.42624975952077765</c:v>
                </c:pt>
                <c:pt idx="99">
                  <c:v>0.31856955774356621</c:v>
                </c:pt>
                <c:pt idx="100">
                  <c:v>0.4330864642120939</c:v>
                </c:pt>
                <c:pt idx="101">
                  <c:v>0.39082116641682313</c:v>
                </c:pt>
                <c:pt idx="102">
                  <c:v>0.58795254732817659</c:v>
                </c:pt>
                <c:pt idx="103">
                  <c:v>0.57343184072471942</c:v>
                </c:pt>
                <c:pt idx="104">
                  <c:v>0.60569175356282723</c:v>
                </c:pt>
                <c:pt idx="105">
                  <c:v>0.63267241864898449</c:v>
                </c:pt>
                <c:pt idx="106">
                  <c:v>0.69528028144531095</c:v>
                </c:pt>
                <c:pt idx="107">
                  <c:v>0.77783403735744605</c:v>
                </c:pt>
                <c:pt idx="108">
                  <c:v>0.80807149473903783</c:v>
                </c:pt>
                <c:pt idx="109">
                  <c:v>0.81686282095814366</c:v>
                </c:pt>
                <c:pt idx="110">
                  <c:v>0.82478602429419701</c:v>
                </c:pt>
                <c:pt idx="111">
                  <c:v>0.8263799320049966</c:v>
                </c:pt>
                <c:pt idx="112">
                  <c:v>0.81951890925716175</c:v>
                </c:pt>
                <c:pt idx="113">
                  <c:v>0.74812714109915845</c:v>
                </c:pt>
                <c:pt idx="114">
                  <c:v>0.73085022058809757</c:v>
                </c:pt>
                <c:pt idx="115">
                  <c:v>0.76832708554350626</c:v>
                </c:pt>
                <c:pt idx="116">
                  <c:v>0.70260073761186825</c:v>
                </c:pt>
                <c:pt idx="117">
                  <c:v>0.81254588826988361</c:v>
                </c:pt>
                <c:pt idx="118">
                  <c:v>0.81599621049204552</c:v>
                </c:pt>
                <c:pt idx="119">
                  <c:v>0.75767121274967097</c:v>
                </c:pt>
                <c:pt idx="120">
                  <c:v>0.79744674672768578</c:v>
                </c:pt>
                <c:pt idx="121">
                  <c:v>0.79744674672768578</c:v>
                </c:pt>
                <c:pt idx="122">
                  <c:v>0.84748759806752005</c:v>
                </c:pt>
                <c:pt idx="123">
                  <c:v>0.88379536104531342</c:v>
                </c:pt>
                <c:pt idx="124">
                  <c:v>0.88631407683414742</c:v>
                </c:pt>
                <c:pt idx="125">
                  <c:v>0.88507237465236011</c:v>
                </c:pt>
                <c:pt idx="126">
                  <c:v>0.88829814088555981</c:v>
                </c:pt>
                <c:pt idx="127">
                  <c:v>0.91018597538933266</c:v>
                </c:pt>
                <c:pt idx="128">
                  <c:v>0.90965157918840345</c:v>
                </c:pt>
                <c:pt idx="129">
                  <c:v>0.9126136851792267</c:v>
                </c:pt>
                <c:pt idx="130">
                  <c:v>0.9105479087849232</c:v>
                </c:pt>
                <c:pt idx="131">
                  <c:v>0.92756020040727527</c:v>
                </c:pt>
                <c:pt idx="132">
                  <c:v>0.9299301195282087</c:v>
                </c:pt>
                <c:pt idx="133">
                  <c:v>0.92772026190850965</c:v>
                </c:pt>
                <c:pt idx="134">
                  <c:v>0.9252942527060104</c:v>
                </c:pt>
                <c:pt idx="135">
                  <c:v>0.92571311512973709</c:v>
                </c:pt>
                <c:pt idx="136">
                  <c:v>0.95079229345734595</c:v>
                </c:pt>
                <c:pt idx="137">
                  <c:v>0.95277295236812309</c:v>
                </c:pt>
                <c:pt idx="138">
                  <c:v>0.95159604304738465</c:v>
                </c:pt>
                <c:pt idx="139">
                  <c:v>0.95362908529618629</c:v>
                </c:pt>
                <c:pt idx="140">
                  <c:v>0.96459917415866681</c:v>
                </c:pt>
                <c:pt idx="141">
                  <c:v>0.95891425076544745</c:v>
                </c:pt>
                <c:pt idx="142">
                  <c:v>0.94047646256577366</c:v>
                </c:pt>
                <c:pt idx="143">
                  <c:v>0.91761037893987563</c:v>
                </c:pt>
                <c:pt idx="144">
                  <c:v>0.92408794393225557</c:v>
                </c:pt>
                <c:pt idx="145">
                  <c:v>0.85694996797233836</c:v>
                </c:pt>
                <c:pt idx="146">
                  <c:v>0.88445471641937157</c:v>
                </c:pt>
                <c:pt idx="147">
                  <c:v>0.92408794393225557</c:v>
                </c:pt>
                <c:pt idx="148">
                  <c:v>0.9385222539497815</c:v>
                </c:pt>
                <c:pt idx="149">
                  <c:v>0.98451993370244106</c:v>
                </c:pt>
                <c:pt idx="150">
                  <c:v>0.97186924857158052</c:v>
                </c:pt>
                <c:pt idx="151">
                  <c:v>0.94551237246929465</c:v>
                </c:pt>
                <c:pt idx="152">
                  <c:v>0.8819114104860859</c:v>
                </c:pt>
                <c:pt idx="153">
                  <c:v>0.89407594990163874</c:v>
                </c:pt>
                <c:pt idx="154">
                  <c:v>0.89407594990163874</c:v>
                </c:pt>
                <c:pt idx="155">
                  <c:v>0.88667449797815956</c:v>
                </c:pt>
                <c:pt idx="156">
                  <c:v>0.8920195449585564</c:v>
                </c:pt>
                <c:pt idx="157">
                  <c:v>0.89512122084695944</c:v>
                </c:pt>
                <c:pt idx="158">
                  <c:v>0.89443957907281746</c:v>
                </c:pt>
                <c:pt idx="159">
                  <c:v>0.8948997967143093</c:v>
                </c:pt>
                <c:pt idx="160">
                  <c:v>0.89337268606647302</c:v>
                </c:pt>
                <c:pt idx="161">
                  <c:v>0.89225108632442729</c:v>
                </c:pt>
                <c:pt idx="162">
                  <c:v>0.90849340717481886</c:v>
                </c:pt>
                <c:pt idx="163">
                  <c:v>0.9034983903169389</c:v>
                </c:pt>
                <c:pt idx="164">
                  <c:v>0.90849340717481886</c:v>
                </c:pt>
                <c:pt idx="165">
                  <c:v>0.86928745494692716</c:v>
                </c:pt>
                <c:pt idx="166">
                  <c:v>0.87490910290764468</c:v>
                </c:pt>
                <c:pt idx="167">
                  <c:v>0.78959380464288376</c:v>
                </c:pt>
                <c:pt idx="168">
                  <c:v>0.90514599034862198</c:v>
                </c:pt>
                <c:pt idx="169">
                  <c:v>0.91902765125865959</c:v>
                </c:pt>
                <c:pt idx="170">
                  <c:v>0.91584710240533518</c:v>
                </c:pt>
                <c:pt idx="171">
                  <c:v>0.90921329115869776</c:v>
                </c:pt>
                <c:pt idx="172">
                  <c:v>0.94107838104995334</c:v>
                </c:pt>
                <c:pt idx="173">
                  <c:v>0.94107838104995334</c:v>
                </c:pt>
                <c:pt idx="174">
                  <c:v>0.94107838104995334</c:v>
                </c:pt>
                <c:pt idx="175">
                  <c:v>0.91861521434498927</c:v>
                </c:pt>
                <c:pt idx="176">
                  <c:v>0.95182771809710431</c:v>
                </c:pt>
                <c:pt idx="177">
                  <c:v>0.95320351892281485</c:v>
                </c:pt>
                <c:pt idx="178">
                  <c:v>0.94481773750585774</c:v>
                </c:pt>
                <c:pt idx="179">
                  <c:v>0.94762260030460288</c:v>
                </c:pt>
                <c:pt idx="180">
                  <c:v>0.9601958662364245</c:v>
                </c:pt>
                <c:pt idx="181">
                  <c:v>0.93969161247928745</c:v>
                </c:pt>
                <c:pt idx="182">
                  <c:v>0.9248746068169833</c:v>
                </c:pt>
                <c:pt idx="183">
                  <c:v>0.91542628506626045</c:v>
                </c:pt>
                <c:pt idx="184">
                  <c:v>0.94997170807452469</c:v>
                </c:pt>
                <c:pt idx="185">
                  <c:v>0.93485323798856346</c:v>
                </c:pt>
                <c:pt idx="186">
                  <c:v>0.94404770550683115</c:v>
                </c:pt>
                <c:pt idx="187">
                  <c:v>0.93485323798856346</c:v>
                </c:pt>
                <c:pt idx="188">
                  <c:v>0.86512672485653175</c:v>
                </c:pt>
                <c:pt idx="189">
                  <c:v>0.85635864773186432</c:v>
                </c:pt>
                <c:pt idx="190">
                  <c:v>0.84917694017596268</c:v>
                </c:pt>
                <c:pt idx="191">
                  <c:v>0.96725200604215567</c:v>
                </c:pt>
                <c:pt idx="192">
                  <c:v>0.94644262124543443</c:v>
                </c:pt>
                <c:pt idx="193">
                  <c:v>0.90242289630359074</c:v>
                </c:pt>
                <c:pt idx="194">
                  <c:v>0.90242289630359074</c:v>
                </c:pt>
                <c:pt idx="195">
                  <c:v>0.87859103936280614</c:v>
                </c:pt>
                <c:pt idx="196">
                  <c:v>0.84129278814437181</c:v>
                </c:pt>
                <c:pt idx="197">
                  <c:v>0.84714025108084823</c:v>
                </c:pt>
                <c:pt idx="198">
                  <c:v>0.86117434904403212</c:v>
                </c:pt>
                <c:pt idx="199">
                  <c:v>0.83404184296119399</c:v>
                </c:pt>
                <c:pt idx="200">
                  <c:v>0.81803711941746404</c:v>
                </c:pt>
                <c:pt idx="201">
                  <c:v>0.61660059317974736</c:v>
                </c:pt>
                <c:pt idx="202">
                  <c:v>0.66675683999516944</c:v>
                </c:pt>
                <c:pt idx="203">
                  <c:v>0.684475421712615</c:v>
                </c:pt>
                <c:pt idx="204">
                  <c:v>0.60410549631050647</c:v>
                </c:pt>
                <c:pt idx="205">
                  <c:v>0.69050447134038251</c:v>
                </c:pt>
                <c:pt idx="206">
                  <c:v>0.66311590107349083</c:v>
                </c:pt>
                <c:pt idx="207">
                  <c:v>0.72397022872334449</c:v>
                </c:pt>
                <c:pt idx="208">
                  <c:v>0.74517189360077984</c:v>
                </c:pt>
                <c:pt idx="209">
                  <c:v>0.66311590107349083</c:v>
                </c:pt>
                <c:pt idx="210">
                  <c:v>0.61599363608099678</c:v>
                </c:pt>
                <c:pt idx="211">
                  <c:v>0.61264076908113763</c:v>
                </c:pt>
                <c:pt idx="212">
                  <c:v>0.60662155942020002</c:v>
                </c:pt>
                <c:pt idx="213">
                  <c:v>0.59391131067456038</c:v>
                </c:pt>
                <c:pt idx="214">
                  <c:v>0.59445921362542997</c:v>
                </c:pt>
                <c:pt idx="215">
                  <c:v>0.59356262313394537</c:v>
                </c:pt>
                <c:pt idx="216">
                  <c:v>0.58155199492979581</c:v>
                </c:pt>
                <c:pt idx="217">
                  <c:v>0.58542144661011908</c:v>
                </c:pt>
                <c:pt idx="218">
                  <c:v>0.593225708201635</c:v>
                </c:pt>
                <c:pt idx="219">
                  <c:v>0.59950595681897523</c:v>
                </c:pt>
                <c:pt idx="220">
                  <c:v>0.60261779474869925</c:v>
                </c:pt>
                <c:pt idx="221">
                  <c:v>0.59090570789662444</c:v>
                </c:pt>
                <c:pt idx="222">
                  <c:v>0.59224775585706535</c:v>
                </c:pt>
                <c:pt idx="223">
                  <c:v>0.57709503787578109</c:v>
                </c:pt>
                <c:pt idx="224">
                  <c:v>0.52965901814335548</c:v>
                </c:pt>
                <c:pt idx="225">
                  <c:v>0.50868797673712363</c:v>
                </c:pt>
                <c:pt idx="226">
                  <c:v>0.60653142223595213</c:v>
                </c:pt>
                <c:pt idx="227">
                  <c:v>0.62392159162868732</c:v>
                </c:pt>
                <c:pt idx="228">
                  <c:v>0.62597730951219899</c:v>
                </c:pt>
                <c:pt idx="229">
                  <c:v>0.62817294477626939</c:v>
                </c:pt>
                <c:pt idx="230">
                  <c:v>0.62402170072443153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Query!$B$3:$B$233</c:f>
              <c:numCache>
                <c:formatCode>m/d/yyyy</c:formatCode>
                <c:ptCount val="231"/>
                <c:pt idx="0">
                  <c:v>42159</c:v>
                </c:pt>
                <c:pt idx="1">
                  <c:v>42152</c:v>
                </c:pt>
                <c:pt idx="2">
                  <c:v>42145</c:v>
                </c:pt>
                <c:pt idx="3">
                  <c:v>42138</c:v>
                </c:pt>
                <c:pt idx="4">
                  <c:v>42131</c:v>
                </c:pt>
                <c:pt idx="5">
                  <c:v>42124</c:v>
                </c:pt>
                <c:pt idx="6">
                  <c:v>42117</c:v>
                </c:pt>
                <c:pt idx="7">
                  <c:v>42110</c:v>
                </c:pt>
                <c:pt idx="8">
                  <c:v>42103</c:v>
                </c:pt>
                <c:pt idx="9">
                  <c:v>42096</c:v>
                </c:pt>
                <c:pt idx="10">
                  <c:v>42089</c:v>
                </c:pt>
                <c:pt idx="11">
                  <c:v>42082</c:v>
                </c:pt>
                <c:pt idx="12">
                  <c:v>42075</c:v>
                </c:pt>
                <c:pt idx="13">
                  <c:v>42068</c:v>
                </c:pt>
                <c:pt idx="14">
                  <c:v>42061</c:v>
                </c:pt>
                <c:pt idx="15">
                  <c:v>42054</c:v>
                </c:pt>
                <c:pt idx="16">
                  <c:v>42047</c:v>
                </c:pt>
                <c:pt idx="17">
                  <c:v>42040</c:v>
                </c:pt>
                <c:pt idx="18">
                  <c:v>42033</c:v>
                </c:pt>
                <c:pt idx="19">
                  <c:v>42026</c:v>
                </c:pt>
                <c:pt idx="20">
                  <c:v>42019</c:v>
                </c:pt>
                <c:pt idx="21">
                  <c:v>42012</c:v>
                </c:pt>
                <c:pt idx="22">
                  <c:v>42004</c:v>
                </c:pt>
                <c:pt idx="23">
                  <c:v>41997</c:v>
                </c:pt>
                <c:pt idx="24">
                  <c:v>41991</c:v>
                </c:pt>
                <c:pt idx="25">
                  <c:v>41984</c:v>
                </c:pt>
                <c:pt idx="26">
                  <c:v>41977</c:v>
                </c:pt>
                <c:pt idx="27">
                  <c:v>41969</c:v>
                </c:pt>
                <c:pt idx="28">
                  <c:v>41963</c:v>
                </c:pt>
                <c:pt idx="29">
                  <c:v>41956</c:v>
                </c:pt>
                <c:pt idx="30">
                  <c:v>41949</c:v>
                </c:pt>
                <c:pt idx="31">
                  <c:v>41942</c:v>
                </c:pt>
                <c:pt idx="32">
                  <c:v>41935</c:v>
                </c:pt>
                <c:pt idx="33">
                  <c:v>41928</c:v>
                </c:pt>
                <c:pt idx="34">
                  <c:v>41921</c:v>
                </c:pt>
                <c:pt idx="35">
                  <c:v>41914</c:v>
                </c:pt>
                <c:pt idx="36">
                  <c:v>41907</c:v>
                </c:pt>
                <c:pt idx="37">
                  <c:v>41900</c:v>
                </c:pt>
                <c:pt idx="38">
                  <c:v>41893</c:v>
                </c:pt>
                <c:pt idx="39">
                  <c:v>41886</c:v>
                </c:pt>
                <c:pt idx="40">
                  <c:v>41879</c:v>
                </c:pt>
                <c:pt idx="41">
                  <c:v>41872</c:v>
                </c:pt>
                <c:pt idx="42">
                  <c:v>41865</c:v>
                </c:pt>
                <c:pt idx="43">
                  <c:v>41858</c:v>
                </c:pt>
                <c:pt idx="44">
                  <c:v>41851</c:v>
                </c:pt>
                <c:pt idx="45">
                  <c:v>41844</c:v>
                </c:pt>
                <c:pt idx="46">
                  <c:v>41837</c:v>
                </c:pt>
                <c:pt idx="47">
                  <c:v>41830</c:v>
                </c:pt>
                <c:pt idx="48">
                  <c:v>41823</c:v>
                </c:pt>
                <c:pt idx="49">
                  <c:v>41816</c:v>
                </c:pt>
                <c:pt idx="50">
                  <c:v>41809</c:v>
                </c:pt>
                <c:pt idx="51">
                  <c:v>41802</c:v>
                </c:pt>
                <c:pt idx="52">
                  <c:v>41795</c:v>
                </c:pt>
                <c:pt idx="53">
                  <c:v>41788</c:v>
                </c:pt>
                <c:pt idx="54">
                  <c:v>41781</c:v>
                </c:pt>
                <c:pt idx="55">
                  <c:v>41774</c:v>
                </c:pt>
                <c:pt idx="56">
                  <c:v>41767</c:v>
                </c:pt>
                <c:pt idx="57">
                  <c:v>41760</c:v>
                </c:pt>
                <c:pt idx="58">
                  <c:v>41753</c:v>
                </c:pt>
                <c:pt idx="59">
                  <c:v>41746</c:v>
                </c:pt>
                <c:pt idx="60">
                  <c:v>41739</c:v>
                </c:pt>
                <c:pt idx="61">
                  <c:v>41732</c:v>
                </c:pt>
                <c:pt idx="62">
                  <c:v>41725</c:v>
                </c:pt>
                <c:pt idx="63">
                  <c:v>41718</c:v>
                </c:pt>
                <c:pt idx="64">
                  <c:v>41711</c:v>
                </c:pt>
                <c:pt idx="65">
                  <c:v>41704</c:v>
                </c:pt>
                <c:pt idx="66">
                  <c:v>41697</c:v>
                </c:pt>
                <c:pt idx="67">
                  <c:v>41690</c:v>
                </c:pt>
                <c:pt idx="68">
                  <c:v>41683</c:v>
                </c:pt>
                <c:pt idx="69">
                  <c:v>41676</c:v>
                </c:pt>
                <c:pt idx="70">
                  <c:v>41669</c:v>
                </c:pt>
                <c:pt idx="71">
                  <c:v>41662</c:v>
                </c:pt>
                <c:pt idx="72">
                  <c:v>41655</c:v>
                </c:pt>
                <c:pt idx="73">
                  <c:v>41648</c:v>
                </c:pt>
                <c:pt idx="74">
                  <c:v>41641</c:v>
                </c:pt>
                <c:pt idx="75">
                  <c:v>41634</c:v>
                </c:pt>
                <c:pt idx="76">
                  <c:v>41627</c:v>
                </c:pt>
                <c:pt idx="77">
                  <c:v>41620</c:v>
                </c:pt>
                <c:pt idx="78">
                  <c:v>41613</c:v>
                </c:pt>
                <c:pt idx="79">
                  <c:v>41605</c:v>
                </c:pt>
                <c:pt idx="80">
                  <c:v>41599</c:v>
                </c:pt>
                <c:pt idx="81">
                  <c:v>41592</c:v>
                </c:pt>
                <c:pt idx="82">
                  <c:v>41585</c:v>
                </c:pt>
                <c:pt idx="83">
                  <c:v>41578</c:v>
                </c:pt>
                <c:pt idx="84">
                  <c:v>41571</c:v>
                </c:pt>
                <c:pt idx="85">
                  <c:v>41564</c:v>
                </c:pt>
                <c:pt idx="86">
                  <c:v>41557</c:v>
                </c:pt>
                <c:pt idx="87">
                  <c:v>41550</c:v>
                </c:pt>
                <c:pt idx="88">
                  <c:v>41543</c:v>
                </c:pt>
                <c:pt idx="89">
                  <c:v>41536</c:v>
                </c:pt>
                <c:pt idx="90">
                  <c:v>41529</c:v>
                </c:pt>
                <c:pt idx="91">
                  <c:v>41522</c:v>
                </c:pt>
                <c:pt idx="92">
                  <c:v>41515</c:v>
                </c:pt>
                <c:pt idx="93">
                  <c:v>41508</c:v>
                </c:pt>
                <c:pt idx="94">
                  <c:v>41501</c:v>
                </c:pt>
                <c:pt idx="95">
                  <c:v>41494</c:v>
                </c:pt>
                <c:pt idx="96">
                  <c:v>41487</c:v>
                </c:pt>
                <c:pt idx="97">
                  <c:v>41480</c:v>
                </c:pt>
                <c:pt idx="98">
                  <c:v>41473</c:v>
                </c:pt>
                <c:pt idx="99">
                  <c:v>41466</c:v>
                </c:pt>
                <c:pt idx="100">
                  <c:v>41458</c:v>
                </c:pt>
                <c:pt idx="101">
                  <c:v>41452</c:v>
                </c:pt>
                <c:pt idx="102">
                  <c:v>41445</c:v>
                </c:pt>
                <c:pt idx="103">
                  <c:v>41438</c:v>
                </c:pt>
                <c:pt idx="104">
                  <c:v>41431</c:v>
                </c:pt>
                <c:pt idx="105">
                  <c:v>41424</c:v>
                </c:pt>
                <c:pt idx="106">
                  <c:v>41417</c:v>
                </c:pt>
                <c:pt idx="107">
                  <c:v>41410</c:v>
                </c:pt>
                <c:pt idx="108">
                  <c:v>41403</c:v>
                </c:pt>
                <c:pt idx="109">
                  <c:v>41396</c:v>
                </c:pt>
                <c:pt idx="110">
                  <c:v>41389</c:v>
                </c:pt>
                <c:pt idx="111">
                  <c:v>41382</c:v>
                </c:pt>
                <c:pt idx="112">
                  <c:v>41375</c:v>
                </c:pt>
                <c:pt idx="113">
                  <c:v>41368</c:v>
                </c:pt>
                <c:pt idx="114">
                  <c:v>41361</c:v>
                </c:pt>
                <c:pt idx="115">
                  <c:v>41354</c:v>
                </c:pt>
                <c:pt idx="116">
                  <c:v>41347</c:v>
                </c:pt>
                <c:pt idx="117">
                  <c:v>41340</c:v>
                </c:pt>
                <c:pt idx="118">
                  <c:v>41333</c:v>
                </c:pt>
                <c:pt idx="119">
                  <c:v>41326</c:v>
                </c:pt>
                <c:pt idx="120">
                  <c:v>41319</c:v>
                </c:pt>
                <c:pt idx="121">
                  <c:v>41312</c:v>
                </c:pt>
                <c:pt idx="122">
                  <c:v>41305</c:v>
                </c:pt>
                <c:pt idx="123">
                  <c:v>41298</c:v>
                </c:pt>
                <c:pt idx="124">
                  <c:v>41291</c:v>
                </c:pt>
                <c:pt idx="125">
                  <c:v>41284</c:v>
                </c:pt>
                <c:pt idx="126">
                  <c:v>41277</c:v>
                </c:pt>
                <c:pt idx="127">
                  <c:v>41270</c:v>
                </c:pt>
                <c:pt idx="128">
                  <c:v>41263</c:v>
                </c:pt>
                <c:pt idx="129">
                  <c:v>41256</c:v>
                </c:pt>
                <c:pt idx="130">
                  <c:v>41249</c:v>
                </c:pt>
                <c:pt idx="131">
                  <c:v>41242</c:v>
                </c:pt>
                <c:pt idx="132">
                  <c:v>41234</c:v>
                </c:pt>
                <c:pt idx="133">
                  <c:v>41228</c:v>
                </c:pt>
                <c:pt idx="134">
                  <c:v>41221</c:v>
                </c:pt>
                <c:pt idx="135">
                  <c:v>41214</c:v>
                </c:pt>
                <c:pt idx="136">
                  <c:v>41207</c:v>
                </c:pt>
                <c:pt idx="137">
                  <c:v>41200</c:v>
                </c:pt>
                <c:pt idx="138">
                  <c:v>41193</c:v>
                </c:pt>
                <c:pt idx="139">
                  <c:v>41186</c:v>
                </c:pt>
                <c:pt idx="140">
                  <c:v>41179</c:v>
                </c:pt>
                <c:pt idx="141">
                  <c:v>41172</c:v>
                </c:pt>
                <c:pt idx="142">
                  <c:v>41165</c:v>
                </c:pt>
                <c:pt idx="143">
                  <c:v>41158</c:v>
                </c:pt>
                <c:pt idx="144">
                  <c:v>41151</c:v>
                </c:pt>
                <c:pt idx="145">
                  <c:v>41144</c:v>
                </c:pt>
                <c:pt idx="146">
                  <c:v>41137</c:v>
                </c:pt>
                <c:pt idx="147">
                  <c:v>41130</c:v>
                </c:pt>
                <c:pt idx="148">
                  <c:v>41123</c:v>
                </c:pt>
                <c:pt idx="149">
                  <c:v>41116</c:v>
                </c:pt>
                <c:pt idx="150">
                  <c:v>41109</c:v>
                </c:pt>
                <c:pt idx="151">
                  <c:v>41102</c:v>
                </c:pt>
                <c:pt idx="152">
                  <c:v>41095</c:v>
                </c:pt>
                <c:pt idx="153">
                  <c:v>41088</c:v>
                </c:pt>
                <c:pt idx="154">
                  <c:v>41081</c:v>
                </c:pt>
                <c:pt idx="155">
                  <c:v>41074</c:v>
                </c:pt>
                <c:pt idx="156">
                  <c:v>41067</c:v>
                </c:pt>
                <c:pt idx="157">
                  <c:v>41060</c:v>
                </c:pt>
                <c:pt idx="158">
                  <c:v>41053</c:v>
                </c:pt>
                <c:pt idx="159">
                  <c:v>41046</c:v>
                </c:pt>
                <c:pt idx="160">
                  <c:v>41039</c:v>
                </c:pt>
                <c:pt idx="161">
                  <c:v>41032</c:v>
                </c:pt>
                <c:pt idx="162">
                  <c:v>41025</c:v>
                </c:pt>
                <c:pt idx="163">
                  <c:v>41018</c:v>
                </c:pt>
                <c:pt idx="164">
                  <c:v>41011</c:v>
                </c:pt>
                <c:pt idx="165">
                  <c:v>41004</c:v>
                </c:pt>
                <c:pt idx="166">
                  <c:v>40997</c:v>
                </c:pt>
                <c:pt idx="167">
                  <c:v>40990</c:v>
                </c:pt>
                <c:pt idx="168">
                  <c:v>40983</c:v>
                </c:pt>
                <c:pt idx="169">
                  <c:v>40976</c:v>
                </c:pt>
                <c:pt idx="170">
                  <c:v>40969</c:v>
                </c:pt>
                <c:pt idx="171">
                  <c:v>40962</c:v>
                </c:pt>
                <c:pt idx="172">
                  <c:v>40955</c:v>
                </c:pt>
                <c:pt idx="173">
                  <c:v>40948</c:v>
                </c:pt>
                <c:pt idx="174">
                  <c:v>40941</c:v>
                </c:pt>
                <c:pt idx="175">
                  <c:v>40934</c:v>
                </c:pt>
                <c:pt idx="176">
                  <c:v>40927</c:v>
                </c:pt>
                <c:pt idx="177">
                  <c:v>40920</c:v>
                </c:pt>
                <c:pt idx="178">
                  <c:v>40913</c:v>
                </c:pt>
                <c:pt idx="179">
                  <c:v>40906</c:v>
                </c:pt>
                <c:pt idx="180">
                  <c:v>40899</c:v>
                </c:pt>
                <c:pt idx="181">
                  <c:v>40892</c:v>
                </c:pt>
                <c:pt idx="182">
                  <c:v>40885</c:v>
                </c:pt>
                <c:pt idx="183">
                  <c:v>40878</c:v>
                </c:pt>
                <c:pt idx="184">
                  <c:v>40870</c:v>
                </c:pt>
                <c:pt idx="185">
                  <c:v>40864</c:v>
                </c:pt>
                <c:pt idx="186">
                  <c:v>40857</c:v>
                </c:pt>
                <c:pt idx="187">
                  <c:v>40850</c:v>
                </c:pt>
                <c:pt idx="188">
                  <c:v>40843</c:v>
                </c:pt>
                <c:pt idx="189">
                  <c:v>40836</c:v>
                </c:pt>
                <c:pt idx="190">
                  <c:v>40829</c:v>
                </c:pt>
                <c:pt idx="191">
                  <c:v>40822</c:v>
                </c:pt>
                <c:pt idx="192">
                  <c:v>40815</c:v>
                </c:pt>
                <c:pt idx="193">
                  <c:v>40808</c:v>
                </c:pt>
                <c:pt idx="194">
                  <c:v>40801</c:v>
                </c:pt>
                <c:pt idx="195">
                  <c:v>40794</c:v>
                </c:pt>
                <c:pt idx="196">
                  <c:v>40787</c:v>
                </c:pt>
                <c:pt idx="197">
                  <c:v>40780</c:v>
                </c:pt>
                <c:pt idx="198">
                  <c:v>40773</c:v>
                </c:pt>
                <c:pt idx="199">
                  <c:v>40766</c:v>
                </c:pt>
                <c:pt idx="200">
                  <c:v>40759</c:v>
                </c:pt>
                <c:pt idx="201">
                  <c:v>40752</c:v>
                </c:pt>
                <c:pt idx="202">
                  <c:v>40745</c:v>
                </c:pt>
                <c:pt idx="203">
                  <c:v>40738</c:v>
                </c:pt>
                <c:pt idx="204">
                  <c:v>40731</c:v>
                </c:pt>
                <c:pt idx="205">
                  <c:v>40724</c:v>
                </c:pt>
                <c:pt idx="206">
                  <c:v>40717</c:v>
                </c:pt>
                <c:pt idx="207">
                  <c:v>40710</c:v>
                </c:pt>
                <c:pt idx="208">
                  <c:v>40703</c:v>
                </c:pt>
                <c:pt idx="209">
                  <c:v>40696</c:v>
                </c:pt>
                <c:pt idx="210">
                  <c:v>40689</c:v>
                </c:pt>
                <c:pt idx="211">
                  <c:v>40682</c:v>
                </c:pt>
                <c:pt idx="212">
                  <c:v>40675</c:v>
                </c:pt>
                <c:pt idx="213">
                  <c:v>40668</c:v>
                </c:pt>
                <c:pt idx="214">
                  <c:v>40661</c:v>
                </c:pt>
                <c:pt idx="215">
                  <c:v>40654</c:v>
                </c:pt>
                <c:pt idx="216">
                  <c:v>40647</c:v>
                </c:pt>
                <c:pt idx="217">
                  <c:v>40640</c:v>
                </c:pt>
                <c:pt idx="218">
                  <c:v>40633</c:v>
                </c:pt>
                <c:pt idx="219">
                  <c:v>40626</c:v>
                </c:pt>
                <c:pt idx="220">
                  <c:v>40619</c:v>
                </c:pt>
                <c:pt idx="221">
                  <c:v>40612</c:v>
                </c:pt>
                <c:pt idx="222">
                  <c:v>40605</c:v>
                </c:pt>
                <c:pt idx="223">
                  <c:v>40598</c:v>
                </c:pt>
                <c:pt idx="224">
                  <c:v>40591</c:v>
                </c:pt>
                <c:pt idx="225">
                  <c:v>40584</c:v>
                </c:pt>
                <c:pt idx="226">
                  <c:v>40577</c:v>
                </c:pt>
                <c:pt idx="227">
                  <c:v>40570</c:v>
                </c:pt>
                <c:pt idx="228">
                  <c:v>40563</c:v>
                </c:pt>
                <c:pt idx="229">
                  <c:v>40556</c:v>
                </c:pt>
                <c:pt idx="230">
                  <c:v>40549</c:v>
                </c:pt>
              </c:numCache>
            </c:numRef>
          </c:cat>
          <c:val>
            <c:numRef>
              <c:f>Query!$D$3:$D$233</c:f>
              <c:numCache>
                <c:formatCode>0.00%</c:formatCode>
                <c:ptCount val="231"/>
                <c:pt idx="0">
                  <c:v>0.49151040605794738</c:v>
                </c:pt>
                <c:pt idx="1">
                  <c:v>0.49518214427458052</c:v>
                </c:pt>
                <c:pt idx="2">
                  <c:v>0.49530657385961702</c:v>
                </c:pt>
                <c:pt idx="3">
                  <c:v>0.52626041924754496</c:v>
                </c:pt>
                <c:pt idx="4">
                  <c:v>0.53238458781035902</c:v>
                </c:pt>
                <c:pt idx="5">
                  <c:v>0.608876308109219</c:v>
                </c:pt>
                <c:pt idx="6">
                  <c:v>0.63350921207897204</c:v>
                </c:pt>
                <c:pt idx="7">
                  <c:v>0.60745911385405604</c:v>
                </c:pt>
                <c:pt idx="8">
                  <c:v>0.63179874985391804</c:v>
                </c:pt>
                <c:pt idx="9">
                  <c:v>0.60618674833379105</c:v>
                </c:pt>
                <c:pt idx="10">
                  <c:v>0.61985540937113104</c:v>
                </c:pt>
                <c:pt idx="11">
                  <c:v>0.58146564562660097</c:v>
                </c:pt>
                <c:pt idx="12">
                  <c:v>0.51703371456013503</c:v>
                </c:pt>
                <c:pt idx="13">
                  <c:v>0.58384753948448997</c:v>
                </c:pt>
                <c:pt idx="14">
                  <c:v>0.56144623129586702</c:v>
                </c:pt>
                <c:pt idx="15">
                  <c:v>0.59003468905342005</c:v>
                </c:pt>
                <c:pt idx="16">
                  <c:v>0.62719075850631201</c:v>
                </c:pt>
                <c:pt idx="17">
                  <c:v>0.65455905311871299</c:v>
                </c:pt>
                <c:pt idx="18">
                  <c:v>0.65582330233583797</c:v>
                </c:pt>
                <c:pt idx="19">
                  <c:v>0.65720471867066899</c:v>
                </c:pt>
                <c:pt idx="20">
                  <c:v>0.65582330233583797</c:v>
                </c:pt>
                <c:pt idx="21">
                  <c:v>0.59931706558407905</c:v>
                </c:pt>
                <c:pt idx="22">
                  <c:v>0.53680415412734395</c:v>
                </c:pt>
                <c:pt idx="23">
                  <c:v>0.57166642614489205</c:v>
                </c:pt>
                <c:pt idx="24">
                  <c:v>0.57447022909045797</c:v>
                </c:pt>
                <c:pt idx="25">
                  <c:v>0.53353274326337596</c:v>
                </c:pt>
                <c:pt idx="26">
                  <c:v>0.53685925114667898</c:v>
                </c:pt>
                <c:pt idx="27">
                  <c:v>0.51222876537846296</c:v>
                </c:pt>
                <c:pt idx="28">
                  <c:v>0.51126312077979097</c:v>
                </c:pt>
                <c:pt idx="29">
                  <c:v>0.47696082053878203</c:v>
                </c:pt>
                <c:pt idx="30">
                  <c:v>0.47679161148246502</c:v>
                </c:pt>
                <c:pt idx="31">
                  <c:v>0.519221652370358</c:v>
                </c:pt>
                <c:pt idx="32">
                  <c:v>0.54838604953283498</c:v>
                </c:pt>
                <c:pt idx="33">
                  <c:v>0.51982909302980596</c:v>
                </c:pt>
                <c:pt idx="34">
                  <c:v>0.45168042618119703</c:v>
                </c:pt>
                <c:pt idx="35">
                  <c:v>0.419925946793896</c:v>
                </c:pt>
                <c:pt idx="36">
                  <c:v>0.40569534905697002</c:v>
                </c:pt>
                <c:pt idx="37">
                  <c:v>0.403775681059653</c:v>
                </c:pt>
                <c:pt idx="38">
                  <c:v>0.45995272695767497</c:v>
                </c:pt>
                <c:pt idx="39">
                  <c:v>0.46145357757128402</c:v>
                </c:pt>
                <c:pt idx="40">
                  <c:v>0.46725416935729103</c:v>
                </c:pt>
                <c:pt idx="41">
                  <c:v>0.46725416935729103</c:v>
                </c:pt>
                <c:pt idx="42">
                  <c:v>0.437009219217877</c:v>
                </c:pt>
                <c:pt idx="43">
                  <c:v>0.41284557270170602</c:v>
                </c:pt>
                <c:pt idx="44">
                  <c:v>0.44366576481104603</c:v>
                </c:pt>
                <c:pt idx="45">
                  <c:v>0.44241787954298001</c:v>
                </c:pt>
                <c:pt idx="46">
                  <c:v>0.44241787954298001</c:v>
                </c:pt>
                <c:pt idx="47">
                  <c:v>0.41926854513922601</c:v>
                </c:pt>
                <c:pt idx="48">
                  <c:v>0.47241973099249801</c:v>
                </c:pt>
                <c:pt idx="49">
                  <c:v>0.447997908024105</c:v>
                </c:pt>
                <c:pt idx="50">
                  <c:v>0.42434402519227898</c:v>
                </c:pt>
                <c:pt idx="51">
                  <c:v>0.42258598579352902</c:v>
                </c:pt>
                <c:pt idx="52">
                  <c:v>0.447997908024105</c:v>
                </c:pt>
                <c:pt idx="53">
                  <c:v>0.44740081291084099</c:v>
                </c:pt>
                <c:pt idx="54">
                  <c:v>0.44562837110466802</c:v>
                </c:pt>
                <c:pt idx="55">
                  <c:v>0.42349289634896597</c:v>
                </c:pt>
                <c:pt idx="56">
                  <c:v>0.42315654967107302</c:v>
                </c:pt>
                <c:pt idx="57">
                  <c:v>0.37348002875422498</c:v>
                </c:pt>
                <c:pt idx="58">
                  <c:v>0.37394334466633</c:v>
                </c:pt>
                <c:pt idx="59">
                  <c:v>0.37550642358643799</c:v>
                </c:pt>
                <c:pt idx="60">
                  <c:v>0.34451093908200903</c:v>
                </c:pt>
                <c:pt idx="61">
                  <c:v>0.31383635422742501</c:v>
                </c:pt>
                <c:pt idx="62">
                  <c:v>0.34373332978073601</c:v>
                </c:pt>
                <c:pt idx="63">
                  <c:v>0.37475184713589199</c:v>
                </c:pt>
                <c:pt idx="64">
                  <c:v>0.34537825411835699</c:v>
                </c:pt>
                <c:pt idx="65">
                  <c:v>0.37584545219724702</c:v>
                </c:pt>
                <c:pt idx="66">
                  <c:v>0.34853875137296803</c:v>
                </c:pt>
                <c:pt idx="67">
                  <c:v>0.35043602810261099</c:v>
                </c:pt>
                <c:pt idx="68">
                  <c:v>0.380280894786581</c:v>
                </c:pt>
                <c:pt idx="69">
                  <c:v>0.407383000493176</c:v>
                </c:pt>
                <c:pt idx="70">
                  <c:v>0.38449844249950499</c:v>
                </c:pt>
                <c:pt idx="71">
                  <c:v>0.32547727058860199</c:v>
                </c:pt>
                <c:pt idx="72">
                  <c:v>0.32467403778332998</c:v>
                </c:pt>
                <c:pt idx="73">
                  <c:v>0.29015447722721099</c:v>
                </c:pt>
                <c:pt idx="74">
                  <c:v>0.265306805945277</c:v>
                </c:pt>
                <c:pt idx="75">
                  <c:v>0.29162362501885603</c:v>
                </c:pt>
                <c:pt idx="76">
                  <c:v>0.29198850689481598</c:v>
                </c:pt>
                <c:pt idx="77">
                  <c:v>0.33082970500556302</c:v>
                </c:pt>
                <c:pt idx="78">
                  <c:v>0.331227934580689</c:v>
                </c:pt>
                <c:pt idx="79">
                  <c:v>0.401262959025458</c:v>
                </c:pt>
                <c:pt idx="80">
                  <c:v>0.42989701258795199</c:v>
                </c:pt>
                <c:pt idx="81">
                  <c:v>0.37120289750535601</c:v>
                </c:pt>
                <c:pt idx="82">
                  <c:v>0.44788779304034998</c:v>
                </c:pt>
                <c:pt idx="83">
                  <c:v>0.47501022290439499</c:v>
                </c:pt>
                <c:pt idx="84">
                  <c:v>0.45648777309490202</c:v>
                </c:pt>
                <c:pt idx="85">
                  <c:v>0.40902347477168999</c:v>
                </c:pt>
                <c:pt idx="86">
                  <c:v>0.43701315967767701</c:v>
                </c:pt>
                <c:pt idx="87">
                  <c:v>0.43751781158176101</c:v>
                </c:pt>
                <c:pt idx="88">
                  <c:v>0.41607421536967498</c:v>
                </c:pt>
                <c:pt idx="89">
                  <c:v>0.32091811677951898</c:v>
                </c:pt>
                <c:pt idx="90">
                  <c:v>0.28251411119681702</c:v>
                </c:pt>
                <c:pt idx="91">
                  <c:v>0.29894428975906101</c:v>
                </c:pt>
                <c:pt idx="92">
                  <c:v>0.32738957382411199</c:v>
                </c:pt>
                <c:pt idx="93">
                  <c:v>0.28848466841060699</c:v>
                </c:pt>
                <c:pt idx="94">
                  <c:v>0.36292296585782302</c:v>
                </c:pt>
                <c:pt idx="95">
                  <c:v>0.36292296585782302</c:v>
                </c:pt>
                <c:pt idx="96">
                  <c:v>0.36357930006355599</c:v>
                </c:pt>
                <c:pt idx="97">
                  <c:v>0.40895553727695599</c:v>
                </c:pt>
                <c:pt idx="98">
                  <c:v>0.407195502334876</c:v>
                </c:pt>
                <c:pt idx="99">
                  <c:v>0.32003461094412999</c:v>
                </c:pt>
                <c:pt idx="100">
                  <c:v>0.439218479739446</c:v>
                </c:pt>
                <c:pt idx="101">
                  <c:v>0.35042164075900101</c:v>
                </c:pt>
                <c:pt idx="102">
                  <c:v>0.55919632116239604</c:v>
                </c:pt>
                <c:pt idx="103">
                  <c:v>0.55842108987699401</c:v>
                </c:pt>
                <c:pt idx="104">
                  <c:v>0.57861777554698002</c:v>
                </c:pt>
                <c:pt idx="105">
                  <c:v>0.61546645850988302</c:v>
                </c:pt>
                <c:pt idx="106">
                  <c:v>0.68530860108825797</c:v>
                </c:pt>
                <c:pt idx="107">
                  <c:v>0.72159050384319001</c:v>
                </c:pt>
                <c:pt idx="108">
                  <c:v>0.75094523370436095</c:v>
                </c:pt>
                <c:pt idx="109">
                  <c:v>0.77520531199879605</c:v>
                </c:pt>
                <c:pt idx="110">
                  <c:v>0.759939269856726</c:v>
                </c:pt>
                <c:pt idx="111">
                  <c:v>0.76108985756873504</c:v>
                </c:pt>
                <c:pt idx="112">
                  <c:v>0.73719138808657003</c:v>
                </c:pt>
                <c:pt idx="113">
                  <c:v>0.71361316522728502</c:v>
                </c:pt>
                <c:pt idx="114">
                  <c:v>0.712062870316722</c:v>
                </c:pt>
                <c:pt idx="115">
                  <c:v>0.72870485724391698</c:v>
                </c:pt>
                <c:pt idx="116">
                  <c:v>0.69793386100167498</c:v>
                </c:pt>
                <c:pt idx="117">
                  <c:v>0.731898053840778</c:v>
                </c:pt>
                <c:pt idx="118">
                  <c:v>0.75332777657917305</c:v>
                </c:pt>
                <c:pt idx="119">
                  <c:v>0.73462902469773095</c:v>
                </c:pt>
                <c:pt idx="120">
                  <c:v>0.75155379277106704</c:v>
                </c:pt>
                <c:pt idx="121">
                  <c:v>0.75155379277106704</c:v>
                </c:pt>
                <c:pt idx="122">
                  <c:v>0.77322369572310801</c:v>
                </c:pt>
                <c:pt idx="123">
                  <c:v>0.81634992305868503</c:v>
                </c:pt>
                <c:pt idx="124">
                  <c:v>0.83503612629874802</c:v>
                </c:pt>
                <c:pt idx="125">
                  <c:v>0.81798384699460103</c:v>
                </c:pt>
                <c:pt idx="126">
                  <c:v>0.83696581575361895</c:v>
                </c:pt>
                <c:pt idx="127">
                  <c:v>0.85626060279274896</c:v>
                </c:pt>
                <c:pt idx="128">
                  <c:v>0.85522983991809798</c:v>
                </c:pt>
                <c:pt idx="129">
                  <c:v>0.87412257034895602</c:v>
                </c:pt>
                <c:pt idx="130">
                  <c:v>0.85662578219432695</c:v>
                </c:pt>
                <c:pt idx="131">
                  <c:v>0.86996445945149903</c:v>
                </c:pt>
                <c:pt idx="132">
                  <c:v>0.88773399472374204</c:v>
                </c:pt>
                <c:pt idx="133">
                  <c:v>0.86999483052125803</c:v>
                </c:pt>
                <c:pt idx="134">
                  <c:v>0.85194480836680198</c:v>
                </c:pt>
                <c:pt idx="135">
                  <c:v>0.85225052894835196</c:v>
                </c:pt>
                <c:pt idx="136">
                  <c:v>0.87683234085301398</c:v>
                </c:pt>
                <c:pt idx="137">
                  <c:v>0.89368551357821302</c:v>
                </c:pt>
                <c:pt idx="138">
                  <c:v>0.87811016351224602</c:v>
                </c:pt>
                <c:pt idx="139">
                  <c:v>0.89522709255279198</c:v>
                </c:pt>
                <c:pt idx="140">
                  <c:v>0.91259028169208301</c:v>
                </c:pt>
                <c:pt idx="141">
                  <c:v>0.87344930653794395</c:v>
                </c:pt>
                <c:pt idx="142">
                  <c:v>0.85731125996939705</c:v>
                </c:pt>
                <c:pt idx="143">
                  <c:v>0.854493626143913</c:v>
                </c:pt>
                <c:pt idx="144">
                  <c:v>0.86745968477328095</c:v>
                </c:pt>
                <c:pt idx="145">
                  <c:v>0.83819941388679298</c:v>
                </c:pt>
                <c:pt idx="146">
                  <c:v>0.85198632502448901</c:v>
                </c:pt>
                <c:pt idx="147">
                  <c:v>0.86745968477328095</c:v>
                </c:pt>
                <c:pt idx="148">
                  <c:v>0.86768818253450297</c:v>
                </c:pt>
                <c:pt idx="149">
                  <c:v>0.89814744996460805</c:v>
                </c:pt>
                <c:pt idx="150">
                  <c:v>0.88516739973977598</c:v>
                </c:pt>
                <c:pt idx="151">
                  <c:v>0.88265848165302496</c:v>
                </c:pt>
                <c:pt idx="152">
                  <c:v>0.85531584833132801</c:v>
                </c:pt>
                <c:pt idx="153">
                  <c:v>0.86306170802286497</c:v>
                </c:pt>
                <c:pt idx="154">
                  <c:v>0.86306170802286497</c:v>
                </c:pt>
                <c:pt idx="155">
                  <c:v>0.84549296973434196</c:v>
                </c:pt>
                <c:pt idx="156">
                  <c:v>0.86243439572202496</c:v>
                </c:pt>
                <c:pt idx="157">
                  <c:v>0.83268888035603505</c:v>
                </c:pt>
                <c:pt idx="158">
                  <c:v>0.82948257912141399</c:v>
                </c:pt>
                <c:pt idx="159">
                  <c:v>0.83152220645888697</c:v>
                </c:pt>
                <c:pt idx="160">
                  <c:v>0.807152941952609</c:v>
                </c:pt>
                <c:pt idx="161">
                  <c:v>0.80437080516661097</c:v>
                </c:pt>
                <c:pt idx="162">
                  <c:v>0.80193881910043296</c:v>
                </c:pt>
                <c:pt idx="163">
                  <c:v>0.77781138796328697</c:v>
                </c:pt>
                <c:pt idx="164">
                  <c:v>0.80193881910043296</c:v>
                </c:pt>
                <c:pt idx="165">
                  <c:v>0.75253147533014197</c:v>
                </c:pt>
                <c:pt idx="166">
                  <c:v>0.749723434167341</c:v>
                </c:pt>
                <c:pt idx="167">
                  <c:v>0.69937061468571404</c:v>
                </c:pt>
                <c:pt idx="168">
                  <c:v>0.77421402081353796</c:v>
                </c:pt>
                <c:pt idx="169">
                  <c:v>0.78283886771012201</c:v>
                </c:pt>
                <c:pt idx="170">
                  <c:v>0.77480777056815697</c:v>
                </c:pt>
                <c:pt idx="171">
                  <c:v>0.76669716579457303</c:v>
                </c:pt>
                <c:pt idx="172">
                  <c:v>0.79842547980239797</c:v>
                </c:pt>
                <c:pt idx="173">
                  <c:v>0.79842547980239797</c:v>
                </c:pt>
                <c:pt idx="174">
                  <c:v>0.79842547980239797</c:v>
                </c:pt>
                <c:pt idx="175">
                  <c:v>0.78339393568549298</c:v>
                </c:pt>
                <c:pt idx="176">
                  <c:v>0.81461584859780101</c:v>
                </c:pt>
                <c:pt idx="177">
                  <c:v>0.81626218699844599</c:v>
                </c:pt>
                <c:pt idx="178">
                  <c:v>0.80629912189469399</c:v>
                </c:pt>
                <c:pt idx="179">
                  <c:v>0.81734633197465201</c:v>
                </c:pt>
                <c:pt idx="180">
                  <c:v>0.82537040355923197</c:v>
                </c:pt>
                <c:pt idx="181">
                  <c:v>0.79646175435893696</c:v>
                </c:pt>
                <c:pt idx="182">
                  <c:v>0.79445840936885304</c:v>
                </c:pt>
                <c:pt idx="183">
                  <c:v>0.79441104681633201</c:v>
                </c:pt>
                <c:pt idx="184">
                  <c:v>0.80850149462655696</c:v>
                </c:pt>
                <c:pt idx="185">
                  <c:v>0.80719780316763601</c:v>
                </c:pt>
                <c:pt idx="186">
                  <c:v>0.80724570771905702</c:v>
                </c:pt>
                <c:pt idx="187">
                  <c:v>0.80719780316763601</c:v>
                </c:pt>
                <c:pt idx="188">
                  <c:v>0.77033919514702098</c:v>
                </c:pt>
                <c:pt idx="189">
                  <c:v>0.76889855223368597</c:v>
                </c:pt>
                <c:pt idx="190">
                  <c:v>0.75043074974252599</c:v>
                </c:pt>
                <c:pt idx="191">
                  <c:v>0.82324225699227804</c:v>
                </c:pt>
                <c:pt idx="192">
                  <c:v>0.83535228019697605</c:v>
                </c:pt>
                <c:pt idx="193">
                  <c:v>0.78804143101353397</c:v>
                </c:pt>
                <c:pt idx="194">
                  <c:v>0.78804143101353397</c:v>
                </c:pt>
                <c:pt idx="195">
                  <c:v>0.78586619764471199</c:v>
                </c:pt>
                <c:pt idx="196">
                  <c:v>0.72518805605942505</c:v>
                </c:pt>
                <c:pt idx="197">
                  <c:v>0.73013076231760698</c:v>
                </c:pt>
                <c:pt idx="198">
                  <c:v>0.76968967049094095</c:v>
                </c:pt>
                <c:pt idx="199">
                  <c:v>0.68796050816059295</c:v>
                </c:pt>
                <c:pt idx="200">
                  <c:v>0.59636201439054404</c:v>
                </c:pt>
                <c:pt idx="201">
                  <c:v>0.52333294764067595</c:v>
                </c:pt>
                <c:pt idx="202">
                  <c:v>0.53018048409344898</c:v>
                </c:pt>
                <c:pt idx="203">
                  <c:v>0.55014388201104203</c:v>
                </c:pt>
                <c:pt idx="204">
                  <c:v>0.49771283747510803</c:v>
                </c:pt>
                <c:pt idx="205">
                  <c:v>0.55445082777023702</c:v>
                </c:pt>
                <c:pt idx="206">
                  <c:v>0.53450860338875705</c:v>
                </c:pt>
                <c:pt idx="207">
                  <c:v>0.55544034698333999</c:v>
                </c:pt>
                <c:pt idx="208">
                  <c:v>0.55556126357331004</c:v>
                </c:pt>
                <c:pt idx="209">
                  <c:v>0.53450860338875705</c:v>
                </c:pt>
                <c:pt idx="210">
                  <c:v>0.50568534347274297</c:v>
                </c:pt>
                <c:pt idx="211">
                  <c:v>0.50447592982476996</c:v>
                </c:pt>
                <c:pt idx="212">
                  <c:v>0.50042582297659</c:v>
                </c:pt>
                <c:pt idx="213">
                  <c:v>0.45891120103405703</c:v>
                </c:pt>
                <c:pt idx="214">
                  <c:v>0.44565511936132601</c:v>
                </c:pt>
                <c:pt idx="215">
                  <c:v>0.44381782258269298</c:v>
                </c:pt>
                <c:pt idx="216">
                  <c:v>0.41340612440810998</c:v>
                </c:pt>
                <c:pt idx="217">
                  <c:v>0.414778538159287</c:v>
                </c:pt>
                <c:pt idx="218">
                  <c:v>0.42282958858632702</c:v>
                </c:pt>
                <c:pt idx="219">
                  <c:v>0.450158099668103</c:v>
                </c:pt>
                <c:pt idx="220">
                  <c:v>0.46784663358763601</c:v>
                </c:pt>
                <c:pt idx="221">
                  <c:v>0.42124985629360401</c:v>
                </c:pt>
                <c:pt idx="222">
                  <c:v>0.42215163100202302</c:v>
                </c:pt>
                <c:pt idx="223">
                  <c:v>0.41551493659156002</c:v>
                </c:pt>
                <c:pt idx="224">
                  <c:v>0.37678804128174298</c:v>
                </c:pt>
                <c:pt idx="225">
                  <c:v>0.35529176669040102</c:v>
                </c:pt>
                <c:pt idx="226">
                  <c:v>0.43462013043084002</c:v>
                </c:pt>
                <c:pt idx="227">
                  <c:v>0.47679593730615699</c:v>
                </c:pt>
                <c:pt idx="228">
                  <c:v>0.48029569588235599</c:v>
                </c:pt>
                <c:pt idx="229">
                  <c:v>0.49650185657562101</c:v>
                </c:pt>
                <c:pt idx="230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8176512"/>
        <c:axId val="238354432"/>
      </c:lineChart>
      <c:lineChart>
        <c:grouping val="standar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Bloomberg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Query!$B$3:$B$233</c:f>
              <c:numCache>
                <c:formatCode>m/d/yyyy</c:formatCode>
                <c:ptCount val="231"/>
                <c:pt idx="0">
                  <c:v>42159</c:v>
                </c:pt>
                <c:pt idx="1">
                  <c:v>42152</c:v>
                </c:pt>
                <c:pt idx="2">
                  <c:v>42145</c:v>
                </c:pt>
                <c:pt idx="3">
                  <c:v>42138</c:v>
                </c:pt>
                <c:pt idx="4">
                  <c:v>42131</c:v>
                </c:pt>
                <c:pt idx="5">
                  <c:v>42124</c:v>
                </c:pt>
                <c:pt idx="6">
                  <c:v>42117</c:v>
                </c:pt>
                <c:pt idx="7">
                  <c:v>42110</c:v>
                </c:pt>
                <c:pt idx="8">
                  <c:v>42103</c:v>
                </c:pt>
                <c:pt idx="9">
                  <c:v>42096</c:v>
                </c:pt>
                <c:pt idx="10">
                  <c:v>42089</c:v>
                </c:pt>
                <c:pt idx="11">
                  <c:v>42082</c:v>
                </c:pt>
                <c:pt idx="12">
                  <c:v>42075</c:v>
                </c:pt>
                <c:pt idx="13">
                  <c:v>42068</c:v>
                </c:pt>
                <c:pt idx="14">
                  <c:v>42061</c:v>
                </c:pt>
                <c:pt idx="15">
                  <c:v>42054</c:v>
                </c:pt>
                <c:pt idx="16">
                  <c:v>42047</c:v>
                </c:pt>
                <c:pt idx="17">
                  <c:v>42040</c:v>
                </c:pt>
                <c:pt idx="18">
                  <c:v>42033</c:v>
                </c:pt>
                <c:pt idx="19">
                  <c:v>42026</c:v>
                </c:pt>
                <c:pt idx="20">
                  <c:v>42019</c:v>
                </c:pt>
                <c:pt idx="21">
                  <c:v>42012</c:v>
                </c:pt>
                <c:pt idx="22">
                  <c:v>42004</c:v>
                </c:pt>
                <c:pt idx="23">
                  <c:v>41997</c:v>
                </c:pt>
                <c:pt idx="24">
                  <c:v>41991</c:v>
                </c:pt>
                <c:pt idx="25">
                  <c:v>41984</c:v>
                </c:pt>
                <c:pt idx="26">
                  <c:v>41977</c:v>
                </c:pt>
                <c:pt idx="27">
                  <c:v>41969</c:v>
                </c:pt>
                <c:pt idx="28">
                  <c:v>41963</c:v>
                </c:pt>
                <c:pt idx="29">
                  <c:v>41956</c:v>
                </c:pt>
                <c:pt idx="30">
                  <c:v>41949</c:v>
                </c:pt>
                <c:pt idx="31">
                  <c:v>41942</c:v>
                </c:pt>
                <c:pt idx="32">
                  <c:v>41935</c:v>
                </c:pt>
                <c:pt idx="33">
                  <c:v>41928</c:v>
                </c:pt>
                <c:pt idx="34">
                  <c:v>41921</c:v>
                </c:pt>
                <c:pt idx="35">
                  <c:v>41914</c:v>
                </c:pt>
                <c:pt idx="36">
                  <c:v>41907</c:v>
                </c:pt>
                <c:pt idx="37">
                  <c:v>41900</c:v>
                </c:pt>
                <c:pt idx="38">
                  <c:v>41893</c:v>
                </c:pt>
                <c:pt idx="39">
                  <c:v>41886</c:v>
                </c:pt>
                <c:pt idx="40">
                  <c:v>41879</c:v>
                </c:pt>
                <c:pt idx="41">
                  <c:v>41872</c:v>
                </c:pt>
                <c:pt idx="42">
                  <c:v>41865</c:v>
                </c:pt>
                <c:pt idx="43">
                  <c:v>41858</c:v>
                </c:pt>
                <c:pt idx="44">
                  <c:v>41851</c:v>
                </c:pt>
                <c:pt idx="45">
                  <c:v>41844</c:v>
                </c:pt>
                <c:pt idx="46">
                  <c:v>41837</c:v>
                </c:pt>
                <c:pt idx="47">
                  <c:v>41830</c:v>
                </c:pt>
                <c:pt idx="48">
                  <c:v>41823</c:v>
                </c:pt>
                <c:pt idx="49">
                  <c:v>41816</c:v>
                </c:pt>
                <c:pt idx="50">
                  <c:v>41809</c:v>
                </c:pt>
                <c:pt idx="51">
                  <c:v>41802</c:v>
                </c:pt>
                <c:pt idx="52">
                  <c:v>41795</c:v>
                </c:pt>
                <c:pt idx="53">
                  <c:v>41788</c:v>
                </c:pt>
                <c:pt idx="54">
                  <c:v>41781</c:v>
                </c:pt>
                <c:pt idx="55">
                  <c:v>41774</c:v>
                </c:pt>
                <c:pt idx="56">
                  <c:v>41767</c:v>
                </c:pt>
                <c:pt idx="57">
                  <c:v>41760</c:v>
                </c:pt>
                <c:pt idx="58">
                  <c:v>41753</c:v>
                </c:pt>
                <c:pt idx="59">
                  <c:v>41746</c:v>
                </c:pt>
                <c:pt idx="60">
                  <c:v>41739</c:v>
                </c:pt>
                <c:pt idx="61">
                  <c:v>41732</c:v>
                </c:pt>
                <c:pt idx="62">
                  <c:v>41725</c:v>
                </c:pt>
                <c:pt idx="63">
                  <c:v>41718</c:v>
                </c:pt>
                <c:pt idx="64">
                  <c:v>41711</c:v>
                </c:pt>
                <c:pt idx="65">
                  <c:v>41704</c:v>
                </c:pt>
                <c:pt idx="66">
                  <c:v>41697</c:v>
                </c:pt>
                <c:pt idx="67">
                  <c:v>41690</c:v>
                </c:pt>
                <c:pt idx="68">
                  <c:v>41683</c:v>
                </c:pt>
                <c:pt idx="69">
                  <c:v>41676</c:v>
                </c:pt>
                <c:pt idx="70">
                  <c:v>41669</c:v>
                </c:pt>
                <c:pt idx="71">
                  <c:v>41662</c:v>
                </c:pt>
                <c:pt idx="72">
                  <c:v>41655</c:v>
                </c:pt>
                <c:pt idx="73">
                  <c:v>41648</c:v>
                </c:pt>
                <c:pt idx="74">
                  <c:v>41641</c:v>
                </c:pt>
                <c:pt idx="75">
                  <c:v>41634</c:v>
                </c:pt>
                <c:pt idx="76">
                  <c:v>41627</c:v>
                </c:pt>
                <c:pt idx="77">
                  <c:v>41620</c:v>
                </c:pt>
                <c:pt idx="78">
                  <c:v>41613</c:v>
                </c:pt>
                <c:pt idx="79">
                  <c:v>41605</c:v>
                </c:pt>
                <c:pt idx="80">
                  <c:v>41599</c:v>
                </c:pt>
                <c:pt idx="81">
                  <c:v>41592</c:v>
                </c:pt>
                <c:pt idx="82">
                  <c:v>41585</c:v>
                </c:pt>
                <c:pt idx="83">
                  <c:v>41578</c:v>
                </c:pt>
                <c:pt idx="84">
                  <c:v>41571</c:v>
                </c:pt>
                <c:pt idx="85">
                  <c:v>41564</c:v>
                </c:pt>
                <c:pt idx="86">
                  <c:v>41557</c:v>
                </c:pt>
                <c:pt idx="87">
                  <c:v>41550</c:v>
                </c:pt>
                <c:pt idx="88">
                  <c:v>41543</c:v>
                </c:pt>
                <c:pt idx="89">
                  <c:v>41536</c:v>
                </c:pt>
                <c:pt idx="90">
                  <c:v>41529</c:v>
                </c:pt>
                <c:pt idx="91">
                  <c:v>41522</c:v>
                </c:pt>
                <c:pt idx="92">
                  <c:v>41515</c:v>
                </c:pt>
                <c:pt idx="93">
                  <c:v>41508</c:v>
                </c:pt>
                <c:pt idx="94">
                  <c:v>41501</c:v>
                </c:pt>
                <c:pt idx="95">
                  <c:v>41494</c:v>
                </c:pt>
                <c:pt idx="96">
                  <c:v>41487</c:v>
                </c:pt>
                <c:pt idx="97">
                  <c:v>41480</c:v>
                </c:pt>
                <c:pt idx="98">
                  <c:v>41473</c:v>
                </c:pt>
                <c:pt idx="99">
                  <c:v>41466</c:v>
                </c:pt>
                <c:pt idx="100">
                  <c:v>41458</c:v>
                </c:pt>
                <c:pt idx="101">
                  <c:v>41452</c:v>
                </c:pt>
                <c:pt idx="102">
                  <c:v>41445</c:v>
                </c:pt>
                <c:pt idx="103">
                  <c:v>41438</c:v>
                </c:pt>
                <c:pt idx="104">
                  <c:v>41431</c:v>
                </c:pt>
                <c:pt idx="105">
                  <c:v>41424</c:v>
                </c:pt>
                <c:pt idx="106">
                  <c:v>41417</c:v>
                </c:pt>
                <c:pt idx="107">
                  <c:v>41410</c:v>
                </c:pt>
                <c:pt idx="108">
                  <c:v>41403</c:v>
                </c:pt>
                <c:pt idx="109">
                  <c:v>41396</c:v>
                </c:pt>
                <c:pt idx="110">
                  <c:v>41389</c:v>
                </c:pt>
                <c:pt idx="111">
                  <c:v>41382</c:v>
                </c:pt>
                <c:pt idx="112">
                  <c:v>41375</c:v>
                </c:pt>
                <c:pt idx="113">
                  <c:v>41368</c:v>
                </c:pt>
                <c:pt idx="114">
                  <c:v>41361</c:v>
                </c:pt>
                <c:pt idx="115">
                  <c:v>41354</c:v>
                </c:pt>
                <c:pt idx="116">
                  <c:v>41347</c:v>
                </c:pt>
                <c:pt idx="117">
                  <c:v>41340</c:v>
                </c:pt>
                <c:pt idx="118">
                  <c:v>41333</c:v>
                </c:pt>
                <c:pt idx="119">
                  <c:v>41326</c:v>
                </c:pt>
                <c:pt idx="120">
                  <c:v>41319</c:v>
                </c:pt>
                <c:pt idx="121">
                  <c:v>41312</c:v>
                </c:pt>
                <c:pt idx="122">
                  <c:v>41305</c:v>
                </c:pt>
                <c:pt idx="123">
                  <c:v>41298</c:v>
                </c:pt>
                <c:pt idx="124">
                  <c:v>41291</c:v>
                </c:pt>
                <c:pt idx="125">
                  <c:v>41284</c:v>
                </c:pt>
                <c:pt idx="126">
                  <c:v>41277</c:v>
                </c:pt>
                <c:pt idx="127">
                  <c:v>41270</c:v>
                </c:pt>
                <c:pt idx="128">
                  <c:v>41263</c:v>
                </c:pt>
                <c:pt idx="129">
                  <c:v>41256</c:v>
                </c:pt>
                <c:pt idx="130">
                  <c:v>41249</c:v>
                </c:pt>
                <c:pt idx="131">
                  <c:v>41242</c:v>
                </c:pt>
                <c:pt idx="132">
                  <c:v>41234</c:v>
                </c:pt>
                <c:pt idx="133">
                  <c:v>41228</c:v>
                </c:pt>
                <c:pt idx="134">
                  <c:v>41221</c:v>
                </c:pt>
                <c:pt idx="135">
                  <c:v>41214</c:v>
                </c:pt>
                <c:pt idx="136">
                  <c:v>41207</c:v>
                </c:pt>
                <c:pt idx="137">
                  <c:v>41200</c:v>
                </c:pt>
                <c:pt idx="138">
                  <c:v>41193</c:v>
                </c:pt>
                <c:pt idx="139">
                  <c:v>41186</c:v>
                </c:pt>
                <c:pt idx="140">
                  <c:v>41179</c:v>
                </c:pt>
                <c:pt idx="141">
                  <c:v>41172</c:v>
                </c:pt>
                <c:pt idx="142">
                  <c:v>41165</c:v>
                </c:pt>
                <c:pt idx="143">
                  <c:v>41158</c:v>
                </c:pt>
                <c:pt idx="144">
                  <c:v>41151</c:v>
                </c:pt>
                <c:pt idx="145">
                  <c:v>41144</c:v>
                </c:pt>
                <c:pt idx="146">
                  <c:v>41137</c:v>
                </c:pt>
                <c:pt idx="147">
                  <c:v>41130</c:v>
                </c:pt>
                <c:pt idx="148">
                  <c:v>41123</c:v>
                </c:pt>
                <c:pt idx="149">
                  <c:v>41116</c:v>
                </c:pt>
                <c:pt idx="150">
                  <c:v>41109</c:v>
                </c:pt>
                <c:pt idx="151">
                  <c:v>41102</c:v>
                </c:pt>
                <c:pt idx="152">
                  <c:v>41095</c:v>
                </c:pt>
                <c:pt idx="153">
                  <c:v>41088</c:v>
                </c:pt>
                <c:pt idx="154">
                  <c:v>41081</c:v>
                </c:pt>
                <c:pt idx="155">
                  <c:v>41074</c:v>
                </c:pt>
                <c:pt idx="156">
                  <c:v>41067</c:v>
                </c:pt>
                <c:pt idx="157">
                  <c:v>41060</c:v>
                </c:pt>
                <c:pt idx="158">
                  <c:v>41053</c:v>
                </c:pt>
                <c:pt idx="159">
                  <c:v>41046</c:v>
                </c:pt>
                <c:pt idx="160">
                  <c:v>41039</c:v>
                </c:pt>
                <c:pt idx="161">
                  <c:v>41032</c:v>
                </c:pt>
                <c:pt idx="162">
                  <c:v>41025</c:v>
                </c:pt>
                <c:pt idx="163">
                  <c:v>41018</c:v>
                </c:pt>
                <c:pt idx="164">
                  <c:v>41011</c:v>
                </c:pt>
                <c:pt idx="165">
                  <c:v>41004</c:v>
                </c:pt>
                <c:pt idx="166">
                  <c:v>40997</c:v>
                </c:pt>
                <c:pt idx="167">
                  <c:v>40990</c:v>
                </c:pt>
                <c:pt idx="168">
                  <c:v>40983</c:v>
                </c:pt>
                <c:pt idx="169">
                  <c:v>40976</c:v>
                </c:pt>
                <c:pt idx="170">
                  <c:v>40969</c:v>
                </c:pt>
                <c:pt idx="171">
                  <c:v>40962</c:v>
                </c:pt>
                <c:pt idx="172">
                  <c:v>40955</c:v>
                </c:pt>
                <c:pt idx="173">
                  <c:v>40948</c:v>
                </c:pt>
                <c:pt idx="174">
                  <c:v>40941</c:v>
                </c:pt>
                <c:pt idx="175">
                  <c:v>40934</c:v>
                </c:pt>
                <c:pt idx="176">
                  <c:v>40927</c:v>
                </c:pt>
                <c:pt idx="177">
                  <c:v>40920</c:v>
                </c:pt>
                <c:pt idx="178">
                  <c:v>40913</c:v>
                </c:pt>
                <c:pt idx="179">
                  <c:v>40906</c:v>
                </c:pt>
                <c:pt idx="180">
                  <c:v>40899</c:v>
                </c:pt>
                <c:pt idx="181">
                  <c:v>40892</c:v>
                </c:pt>
                <c:pt idx="182">
                  <c:v>40885</c:v>
                </c:pt>
                <c:pt idx="183">
                  <c:v>40878</c:v>
                </c:pt>
                <c:pt idx="184">
                  <c:v>40870</c:v>
                </c:pt>
                <c:pt idx="185">
                  <c:v>40864</c:v>
                </c:pt>
                <c:pt idx="186">
                  <c:v>40857</c:v>
                </c:pt>
                <c:pt idx="187">
                  <c:v>40850</c:v>
                </c:pt>
                <c:pt idx="188">
                  <c:v>40843</c:v>
                </c:pt>
                <c:pt idx="189">
                  <c:v>40836</c:v>
                </c:pt>
                <c:pt idx="190">
                  <c:v>40829</c:v>
                </c:pt>
                <c:pt idx="191">
                  <c:v>40822</c:v>
                </c:pt>
                <c:pt idx="192">
                  <c:v>40815</c:v>
                </c:pt>
                <c:pt idx="193">
                  <c:v>40808</c:v>
                </c:pt>
                <c:pt idx="194">
                  <c:v>40801</c:v>
                </c:pt>
                <c:pt idx="195">
                  <c:v>40794</c:v>
                </c:pt>
                <c:pt idx="196">
                  <c:v>40787</c:v>
                </c:pt>
                <c:pt idx="197">
                  <c:v>40780</c:v>
                </c:pt>
                <c:pt idx="198">
                  <c:v>40773</c:v>
                </c:pt>
                <c:pt idx="199">
                  <c:v>40766</c:v>
                </c:pt>
                <c:pt idx="200">
                  <c:v>40759</c:v>
                </c:pt>
                <c:pt idx="201">
                  <c:v>40752</c:v>
                </c:pt>
                <c:pt idx="202">
                  <c:v>40745</c:v>
                </c:pt>
                <c:pt idx="203">
                  <c:v>40738</c:v>
                </c:pt>
                <c:pt idx="204">
                  <c:v>40731</c:v>
                </c:pt>
                <c:pt idx="205">
                  <c:v>40724</c:v>
                </c:pt>
                <c:pt idx="206">
                  <c:v>40717</c:v>
                </c:pt>
                <c:pt idx="207">
                  <c:v>40710</c:v>
                </c:pt>
                <c:pt idx="208">
                  <c:v>40703</c:v>
                </c:pt>
                <c:pt idx="209">
                  <c:v>40696</c:v>
                </c:pt>
                <c:pt idx="210">
                  <c:v>40689</c:v>
                </c:pt>
                <c:pt idx="211">
                  <c:v>40682</c:v>
                </c:pt>
                <c:pt idx="212">
                  <c:v>40675</c:v>
                </c:pt>
                <c:pt idx="213">
                  <c:v>40668</c:v>
                </c:pt>
                <c:pt idx="214">
                  <c:v>40661</c:v>
                </c:pt>
                <c:pt idx="215">
                  <c:v>40654</c:v>
                </c:pt>
                <c:pt idx="216">
                  <c:v>40647</c:v>
                </c:pt>
                <c:pt idx="217">
                  <c:v>40640</c:v>
                </c:pt>
                <c:pt idx="218">
                  <c:v>40633</c:v>
                </c:pt>
                <c:pt idx="219">
                  <c:v>40626</c:v>
                </c:pt>
                <c:pt idx="220">
                  <c:v>40619</c:v>
                </c:pt>
                <c:pt idx="221">
                  <c:v>40612</c:v>
                </c:pt>
                <c:pt idx="222">
                  <c:v>40605</c:v>
                </c:pt>
                <c:pt idx="223">
                  <c:v>40598</c:v>
                </c:pt>
                <c:pt idx="224">
                  <c:v>40591</c:v>
                </c:pt>
                <c:pt idx="225">
                  <c:v>40584</c:v>
                </c:pt>
                <c:pt idx="226">
                  <c:v>40577</c:v>
                </c:pt>
                <c:pt idx="227">
                  <c:v>40570</c:v>
                </c:pt>
                <c:pt idx="228">
                  <c:v>40563</c:v>
                </c:pt>
                <c:pt idx="229">
                  <c:v>40556</c:v>
                </c:pt>
                <c:pt idx="230">
                  <c:v>40549</c:v>
                </c:pt>
              </c:numCache>
            </c:numRef>
          </c:cat>
          <c:val>
            <c:numRef>
              <c:f>Query!$E$3:$E$233</c:f>
              <c:numCache>
                <c:formatCode>0.00</c:formatCode>
                <c:ptCount val="231"/>
                <c:pt idx="0">
                  <c:v>#N/A</c:v>
                </c:pt>
                <c:pt idx="1">
                  <c:v>1233.9000000000001</c:v>
                </c:pt>
                <c:pt idx="2">
                  <c:v>1408.1</c:v>
                </c:pt>
                <c:pt idx="3">
                  <c:v>1448.8</c:v>
                </c:pt>
                <c:pt idx="4">
                  <c:v>1477.8</c:v>
                </c:pt>
                <c:pt idx="5">
                  <c:v>1559.4</c:v>
                </c:pt>
                <c:pt idx="6">
                  <c:v>1723</c:v>
                </c:pt>
                <c:pt idx="7">
                  <c:v>1817</c:v>
                </c:pt>
                <c:pt idx="8">
                  <c:v>1804.6</c:v>
                </c:pt>
                <c:pt idx="9">
                  <c:v>1854.7</c:v>
                </c:pt>
                <c:pt idx="10">
                  <c:v>1941.6</c:v>
                </c:pt>
                <c:pt idx="11">
                  <c:v>1860.8</c:v>
                </c:pt>
                <c:pt idx="12">
                  <c:v>1623.6</c:v>
                </c:pt>
                <c:pt idx="13">
                  <c:v>1685.7</c:v>
                </c:pt>
                <c:pt idx="14">
                  <c:v>1740.3</c:v>
                </c:pt>
                <c:pt idx="15">
                  <c:v>1703.1</c:v>
                </c:pt>
                <c:pt idx="16">
                  <c:v>1904.2</c:v>
                </c:pt>
                <c:pt idx="17">
                  <c:v>2291.3000000000002</c:v>
                </c:pt>
                <c:pt idx="18">
                  <c:v>2584.8000000000002</c:v>
                </c:pt>
                <c:pt idx="19">
                  <c:v>2572.3000000000002</c:v>
                </c:pt>
                <c:pt idx="20">
                  <c:v>2799.3</c:v>
                </c:pt>
                <c:pt idx="21">
                  <c:v>2271.5</c:v>
                </c:pt>
                <c:pt idx="22">
                  <c:v>1347.6</c:v>
                </c:pt>
                <c:pt idx="23">
                  <c:v>1164.2</c:v>
                </c:pt>
                <c:pt idx="24">
                  <c:v>1538.7</c:v>
                </c:pt>
                <c:pt idx="25">
                  <c:v>1518.8</c:v>
                </c:pt>
                <c:pt idx="26">
                  <c:v>1548.6</c:v>
                </c:pt>
                <c:pt idx="27">
                  <c:v>#N/A</c:v>
                </c:pt>
                <c:pt idx="28">
                  <c:v>1547.9</c:v>
                </c:pt>
                <c:pt idx="29">
                  <c:v>1563.2</c:v>
                </c:pt>
                <c:pt idx="30">
                  <c:v>1565.3</c:v>
                </c:pt>
                <c:pt idx="31">
                  <c:v>1604.8</c:v>
                </c:pt>
                <c:pt idx="32">
                  <c:v>1713.6</c:v>
                </c:pt>
                <c:pt idx="33">
                  <c:v>1898.2</c:v>
                </c:pt>
                <c:pt idx="34">
                  <c:v>1560.6</c:v>
                </c:pt>
                <c:pt idx="35">
                  <c:v>1387.1</c:v>
                </c:pt>
                <c:pt idx="36">
                  <c:v>1326.2</c:v>
                </c:pt>
                <c:pt idx="37">
                  <c:v>1335.1</c:v>
                </c:pt>
                <c:pt idx="38">
                  <c:v>1398.4</c:v>
                </c:pt>
                <c:pt idx="39">
                  <c:v>1275.8</c:v>
                </c:pt>
                <c:pt idx="40">
                  <c:v>1436</c:v>
                </c:pt>
                <c:pt idx="41">
                  <c:v>1439.4</c:v>
                </c:pt>
                <c:pt idx="42">
                  <c:v>1404.9</c:v>
                </c:pt>
                <c:pt idx="43">
                  <c:v>1342.6</c:v>
                </c:pt>
                <c:pt idx="44">
                  <c:v>1373.9</c:v>
                </c:pt>
                <c:pt idx="45">
                  <c:v>1327.5</c:v>
                </c:pt>
                <c:pt idx="46">
                  <c:v>1400.7</c:v>
                </c:pt>
                <c:pt idx="47">
                  <c:v>1329.7</c:v>
                </c:pt>
                <c:pt idx="48">
                  <c:v>1346.8</c:v>
                </c:pt>
                <c:pt idx="49">
                  <c:v>1341.8</c:v>
                </c:pt>
                <c:pt idx="50">
                  <c:v>1333.5</c:v>
                </c:pt>
                <c:pt idx="51">
                  <c:v>1321.3</c:v>
                </c:pt>
                <c:pt idx="52">
                  <c:v>1516.9</c:v>
                </c:pt>
                <c:pt idx="53">
                  <c:v>1382.6</c:v>
                </c:pt>
                <c:pt idx="54">
                  <c:v>1453.4</c:v>
                </c:pt>
                <c:pt idx="55">
                  <c:v>1460.6</c:v>
                </c:pt>
                <c:pt idx="56">
                  <c:v>1400.9</c:v>
                </c:pt>
                <c:pt idx="57">
                  <c:v>1323.9</c:v>
                </c:pt>
                <c:pt idx="58">
                  <c:v>1298.0999999999999</c:v>
                </c:pt>
                <c:pt idx="59">
                  <c:v>1370.9</c:v>
                </c:pt>
                <c:pt idx="60">
                  <c:v>1429.9</c:v>
                </c:pt>
                <c:pt idx="61">
                  <c:v>1324.7</c:v>
                </c:pt>
                <c:pt idx="62">
                  <c:v>1383.5</c:v>
                </c:pt>
                <c:pt idx="63">
                  <c:v>1426.3</c:v>
                </c:pt>
                <c:pt idx="64">
                  <c:v>1552.1</c:v>
                </c:pt>
                <c:pt idx="65">
                  <c:v>1528</c:v>
                </c:pt>
                <c:pt idx="66">
                  <c:v>1600.6</c:v>
                </c:pt>
                <c:pt idx="67">
                  <c:v>1442.3</c:v>
                </c:pt>
                <c:pt idx="68">
                  <c:v>1650.6</c:v>
                </c:pt>
                <c:pt idx="69">
                  <c:v>1674.2</c:v>
                </c:pt>
                <c:pt idx="70">
                  <c:v>1667.5</c:v>
                </c:pt>
                <c:pt idx="71">
                  <c:v>1601.2</c:v>
                </c:pt>
                <c:pt idx="72">
                  <c:v>1675.8</c:v>
                </c:pt>
                <c:pt idx="73">
                  <c:v>1507</c:v>
                </c:pt>
                <c:pt idx="74">
                  <c:v>1352.7</c:v>
                </c:pt>
                <c:pt idx="75">
                  <c:v>1277.8</c:v>
                </c:pt>
                <c:pt idx="76">
                  <c:v>1426.7</c:v>
                </c:pt>
                <c:pt idx="77">
                  <c:v>1529.8</c:v>
                </c:pt>
                <c:pt idx="78">
                  <c:v>1599.4</c:v>
                </c:pt>
                <c:pt idx="79">
                  <c:v>#N/A</c:v>
                </c:pt>
                <c:pt idx="80">
                  <c:v>1917.2</c:v>
                </c:pt>
                <c:pt idx="81">
                  <c:v>1903.5</c:v>
                </c:pt>
                <c:pt idx="82">
                  <c:v>2056.9</c:v>
                </c:pt>
                <c:pt idx="83">
                  <c:v>2105.6</c:v>
                </c:pt>
                <c:pt idx="84">
                  <c:v>2211.8000000000002</c:v>
                </c:pt>
                <c:pt idx="85">
                  <c:v>2033.7</c:v>
                </c:pt>
                <c:pt idx="86">
                  <c:v>2102.6999999999998</c:v>
                </c:pt>
                <c:pt idx="87">
                  <c:v>2025.3</c:v>
                </c:pt>
                <c:pt idx="88">
                  <c:v>1956.6</c:v>
                </c:pt>
                <c:pt idx="89">
                  <c:v>1922.9</c:v>
                </c:pt>
                <c:pt idx="90">
                  <c:v>1814</c:v>
                </c:pt>
                <c:pt idx="91">
                  <c:v>1512.9</c:v>
                </c:pt>
                <c:pt idx="92">
                  <c:v>1909</c:v>
                </c:pt>
                <c:pt idx="93">
                  <c:v>1842.6</c:v>
                </c:pt>
                <c:pt idx="94">
                  <c:v>1935.1</c:v>
                </c:pt>
                <c:pt idx="95">
                  <c:v>2110.6</c:v>
                </c:pt>
                <c:pt idx="96">
                  <c:v>2228.9</c:v>
                </c:pt>
                <c:pt idx="97">
                  <c:v>2218.3000000000002</c:v>
                </c:pt>
                <c:pt idx="98">
                  <c:v>2288</c:v>
                </c:pt>
                <c:pt idx="99">
                  <c:v>2242.1999999999998</c:v>
                </c:pt>
                <c:pt idx="100">
                  <c:v>#N/A</c:v>
                </c:pt>
                <c:pt idx="101">
                  <c:v>2573.4</c:v>
                </c:pt>
                <c:pt idx="102">
                  <c:v>3040.1</c:v>
                </c:pt>
                <c:pt idx="103">
                  <c:v>3214.4</c:v>
                </c:pt>
                <c:pt idx="104">
                  <c:v>3339.8</c:v>
                </c:pt>
                <c:pt idx="105">
                  <c:v>3163.6</c:v>
                </c:pt>
                <c:pt idx="106">
                  <c:v>3709.4</c:v>
                </c:pt>
                <c:pt idx="107">
                  <c:v>4241.5</c:v>
                </c:pt>
                <c:pt idx="108">
                  <c:v>4797.2</c:v>
                </c:pt>
                <c:pt idx="109">
                  <c:v>5279.9</c:v>
                </c:pt>
                <c:pt idx="110">
                  <c:v>4854.1000000000004</c:v>
                </c:pt>
                <c:pt idx="111">
                  <c:v>4672.1000000000004</c:v>
                </c:pt>
                <c:pt idx="112">
                  <c:v>4726.8999999999996</c:v>
                </c:pt>
                <c:pt idx="113">
                  <c:v>4528.8999999999996</c:v>
                </c:pt>
                <c:pt idx="114">
                  <c:v>4119.2</c:v>
                </c:pt>
                <c:pt idx="115">
                  <c:v>4412.8999999999996</c:v>
                </c:pt>
                <c:pt idx="116">
                  <c:v>4111.3</c:v>
                </c:pt>
                <c:pt idx="117">
                  <c:v>4485.2</c:v>
                </c:pt>
                <c:pt idx="118">
                  <c:v>4724.8999999999996</c:v>
                </c:pt>
                <c:pt idx="119">
                  <c:v>4136.3</c:v>
                </c:pt>
                <c:pt idx="120">
                  <c:v>4261.8</c:v>
                </c:pt>
                <c:pt idx="121">
                  <c:v>4284.3</c:v>
                </c:pt>
                <c:pt idx="122">
                  <c:v>4579</c:v>
                </c:pt>
                <c:pt idx="123">
                  <c:v>4433.6000000000004</c:v>
                </c:pt>
                <c:pt idx="124">
                  <c:v>4937.3999999999996</c:v>
                </c:pt>
                <c:pt idx="125">
                  <c:v>4554.3999999999996</c:v>
                </c:pt>
                <c:pt idx="126">
                  <c:v>3896.4</c:v>
                </c:pt>
                <c:pt idx="127">
                  <c:v>3488.9</c:v>
                </c:pt>
                <c:pt idx="128">
                  <c:v>3983.2</c:v>
                </c:pt>
                <c:pt idx="129">
                  <c:v>4564.3999999999996</c:v>
                </c:pt>
                <c:pt idx="130">
                  <c:v>5368.1</c:v>
                </c:pt>
                <c:pt idx="131">
                  <c:v>4943</c:v>
                </c:pt>
                <c:pt idx="132">
                  <c:v>#N/A</c:v>
                </c:pt>
                <c:pt idx="133">
                  <c:v>4702.3999999999996</c:v>
                </c:pt>
                <c:pt idx="134">
                  <c:v>4856.1000000000004</c:v>
                </c:pt>
                <c:pt idx="135">
                  <c:v>4297.7</c:v>
                </c:pt>
                <c:pt idx="136">
                  <c:v>4550.7</c:v>
                </c:pt>
                <c:pt idx="137">
                  <c:v>4847.2</c:v>
                </c:pt>
                <c:pt idx="138">
                  <c:v>5572.2</c:v>
                </c:pt>
                <c:pt idx="139">
                  <c:v>5892.5</c:v>
                </c:pt>
                <c:pt idx="140">
                  <c:v>5965.5</c:v>
                </c:pt>
                <c:pt idx="141">
                  <c:v>4979</c:v>
                </c:pt>
                <c:pt idx="142">
                  <c:v>4823.3</c:v>
                </c:pt>
                <c:pt idx="143">
                  <c:v>4779.1000000000004</c:v>
                </c:pt>
                <c:pt idx="144">
                  <c:v>4274.8</c:v>
                </c:pt>
                <c:pt idx="145">
                  <c:v>4414.6000000000004</c:v>
                </c:pt>
                <c:pt idx="146">
                  <c:v>4671.1000000000004</c:v>
                </c:pt>
                <c:pt idx="147">
                  <c:v>5172.2</c:v>
                </c:pt>
                <c:pt idx="148">
                  <c:v>5444.3</c:v>
                </c:pt>
                <c:pt idx="149">
                  <c:v>5492.1</c:v>
                </c:pt>
                <c:pt idx="150">
                  <c:v>5383.1</c:v>
                </c:pt>
                <c:pt idx="151">
                  <c:v>5246.8</c:v>
                </c:pt>
                <c:pt idx="152">
                  <c:v>4267.8999999999996</c:v>
                </c:pt>
                <c:pt idx="153">
                  <c:v>4372.2</c:v>
                </c:pt>
                <c:pt idx="154">
                  <c:v>4585.8</c:v>
                </c:pt>
                <c:pt idx="155">
                  <c:v>4719.6000000000004</c:v>
                </c:pt>
                <c:pt idx="156">
                  <c:v>5590</c:v>
                </c:pt>
                <c:pt idx="157">
                  <c:v>4736</c:v>
                </c:pt>
                <c:pt idx="158">
                  <c:v>4675.8999999999996</c:v>
                </c:pt>
                <c:pt idx="159">
                  <c:v>4732</c:v>
                </c:pt>
                <c:pt idx="160">
                  <c:v>4482</c:v>
                </c:pt>
                <c:pt idx="161">
                  <c:v>3924.4</c:v>
                </c:pt>
                <c:pt idx="162">
                  <c:v>3856</c:v>
                </c:pt>
                <c:pt idx="163">
                  <c:v>3892.2</c:v>
                </c:pt>
                <c:pt idx="164">
                  <c:v>4144.3</c:v>
                </c:pt>
                <c:pt idx="165">
                  <c:v>3549.3</c:v>
                </c:pt>
                <c:pt idx="166">
                  <c:v>3699.5</c:v>
                </c:pt>
                <c:pt idx="167">
                  <c:v>3588.4</c:v>
                </c:pt>
                <c:pt idx="168">
                  <c:v>3715.2</c:v>
                </c:pt>
                <c:pt idx="169">
                  <c:v>4063.4</c:v>
                </c:pt>
                <c:pt idx="170">
                  <c:v>4277.6000000000004</c:v>
                </c:pt>
                <c:pt idx="171">
                  <c:v>4379.1000000000004</c:v>
                </c:pt>
                <c:pt idx="172">
                  <c:v>4466.8999999999996</c:v>
                </c:pt>
                <c:pt idx="173">
                  <c:v>4716.1000000000004</c:v>
                </c:pt>
                <c:pt idx="174">
                  <c:v>4617.1000000000004</c:v>
                </c:pt>
                <c:pt idx="175">
                  <c:v>4184.3</c:v>
                </c:pt>
                <c:pt idx="176">
                  <c:v>4326.3999999999996</c:v>
                </c:pt>
                <c:pt idx="177">
                  <c:v>4626.5</c:v>
                </c:pt>
                <c:pt idx="178">
                  <c:v>3668.3</c:v>
                </c:pt>
                <c:pt idx="179">
                  <c:v>3608.1</c:v>
                </c:pt>
                <c:pt idx="180">
                  <c:v>3684.5</c:v>
                </c:pt>
                <c:pt idx="181">
                  <c:v>3676.1</c:v>
                </c:pt>
                <c:pt idx="182">
                  <c:v>3708.6</c:v>
                </c:pt>
                <c:pt idx="183">
                  <c:v>3394.7</c:v>
                </c:pt>
                <c:pt idx="184">
                  <c:v>#N/A</c:v>
                </c:pt>
                <c:pt idx="185">
                  <c:v>3466.8</c:v>
                </c:pt>
                <c:pt idx="186">
                  <c:v>3664.5</c:v>
                </c:pt>
                <c:pt idx="187">
                  <c:v>4137.6000000000004</c:v>
                </c:pt>
                <c:pt idx="188">
                  <c:v>3695</c:v>
                </c:pt>
                <c:pt idx="189">
                  <c:v>3719.3</c:v>
                </c:pt>
                <c:pt idx="190">
                  <c:v>3553.2</c:v>
                </c:pt>
                <c:pt idx="191">
                  <c:v>4251.1000000000004</c:v>
                </c:pt>
                <c:pt idx="192">
                  <c:v>4241.8</c:v>
                </c:pt>
                <c:pt idx="193">
                  <c:v>4512.1000000000004</c:v>
                </c:pt>
                <c:pt idx="194">
                  <c:v>4033.8</c:v>
                </c:pt>
                <c:pt idx="195">
                  <c:v>3571.7</c:v>
                </c:pt>
                <c:pt idx="196">
                  <c:v>3372</c:v>
                </c:pt>
                <c:pt idx="197">
                  <c:v>3601.3</c:v>
                </c:pt>
                <c:pt idx="198">
                  <c:v>4110.8</c:v>
                </c:pt>
                <c:pt idx="199">
                  <c:v>4184.3999999999996</c:v>
                </c:pt>
                <c:pt idx="200">
                  <c:v>3880.9</c:v>
                </c:pt>
                <c:pt idx="201">
                  <c:v>2974.1</c:v>
                </c:pt>
                <c:pt idx="202">
                  <c:v>2769.6</c:v>
                </c:pt>
                <c:pt idx="203">
                  <c:v>2923.8</c:v>
                </c:pt>
                <c:pt idx="204">
                  <c:v>2362.6999999999998</c:v>
                </c:pt>
                <c:pt idx="205">
                  <c:v>2527.5</c:v>
                </c:pt>
                <c:pt idx="206">
                  <c:v>2809.5</c:v>
                </c:pt>
                <c:pt idx="207">
                  <c:v>2857.9</c:v>
                </c:pt>
                <c:pt idx="208">
                  <c:v>3101.7</c:v>
                </c:pt>
                <c:pt idx="209">
                  <c:v>2648</c:v>
                </c:pt>
                <c:pt idx="210">
                  <c:v>2619.6999999999998</c:v>
                </c:pt>
                <c:pt idx="211">
                  <c:v>2764.6</c:v>
                </c:pt>
                <c:pt idx="212">
                  <c:v>2742.2</c:v>
                </c:pt>
                <c:pt idx="213">
                  <c:v>2414.9</c:v>
                </c:pt>
                <c:pt idx="214">
                  <c:v>2220.1</c:v>
                </c:pt>
                <c:pt idx="215">
                  <c:v>2091.4</c:v>
                </c:pt>
                <c:pt idx="216">
                  <c:v>2065.3000000000002</c:v>
                </c:pt>
                <c:pt idx="217">
                  <c:v>2010.6</c:v>
                </c:pt>
                <c:pt idx="218">
                  <c:v>2194.4</c:v>
                </c:pt>
                <c:pt idx="219">
                  <c:v>2350.6999999999998</c:v>
                </c:pt>
                <c:pt idx="220">
                  <c:v>2620.8000000000002</c:v>
                </c:pt>
                <c:pt idx="221">
                  <c:v>2563.6</c:v>
                </c:pt>
                <c:pt idx="222">
                  <c:v>2539.4</c:v>
                </c:pt>
                <c:pt idx="223">
                  <c:v>2155.5</c:v>
                </c:pt>
                <c:pt idx="224">
                  <c:v>2325.3000000000002</c:v>
                </c:pt>
                <c:pt idx="225">
                  <c:v>1953.2</c:v>
                </c:pt>
                <c:pt idx="226">
                  <c:v>2190.4</c:v>
                </c:pt>
                <c:pt idx="227">
                  <c:v>2371.1</c:v>
                </c:pt>
                <c:pt idx="228">
                  <c:v>2129.6999999999998</c:v>
                </c:pt>
                <c:pt idx="229">
                  <c:v>2528.6999999999998</c:v>
                </c:pt>
                <c:pt idx="230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61696"/>
        <c:axId val="238357888"/>
      </c:lineChart>
      <c:dateAx>
        <c:axId val="2381765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38354432"/>
        <c:crosses val="autoZero"/>
        <c:auto val="1"/>
        <c:lblOffset val="100"/>
        <c:baseTimeUnit val="days"/>
        <c:majorUnit val="6"/>
        <c:majorTimeUnit val="months"/>
      </c:dateAx>
      <c:valAx>
        <c:axId val="2383544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38176512"/>
        <c:crosses val="autoZero"/>
        <c:crossBetween val="between"/>
      </c:valAx>
      <c:valAx>
        <c:axId val="2383578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Bloomberg MBAVCMRS Index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304461696"/>
        <c:crosses val="max"/>
        <c:crossBetween val="between"/>
      </c:valAx>
      <c:dateAx>
        <c:axId val="30446169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38357888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Rate'!$E$17</c:f>
              <c:strCache>
                <c:ptCount val="1"/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numRef>
              <c:f>'Function Of Rate'!$F$16:$P$16</c:f>
              <c:numCache>
                <c:formatCode>General</c:formatCode>
                <c:ptCount val="11"/>
              </c:numCache>
            </c:numRef>
          </c:cat>
          <c:val>
            <c:numRef>
              <c:f>'Function Of Rate'!$F$17:$P$17</c:f>
              <c:numCache>
                <c:formatCode>General</c:formatCode>
                <c:ptCount val="11"/>
              </c:numCache>
            </c:numRef>
          </c:val>
          <c:smooth val="0"/>
        </c:ser>
        <c:ser>
          <c:idx val="1"/>
          <c:order val="1"/>
          <c:tx>
            <c:strRef>
              <c:f>'Function Of Rate'!$E$18</c:f>
              <c:strCache>
                <c:ptCount val="1"/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numRef>
              <c:f>'Function Of Rate'!$F$16:$P$16</c:f>
              <c:numCache>
                <c:formatCode>General</c:formatCode>
                <c:ptCount val="11"/>
              </c:numCache>
            </c:numRef>
          </c:cat>
          <c:val>
            <c:numRef>
              <c:f>'Function Of Rate'!$F$18:$P$18</c:f>
              <c:numCache>
                <c:formatCode>0.0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 formatCode="0.00">
                  <c:v>3.94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060288"/>
        <c:axId val="226017280"/>
      </c:lineChart>
      <c:catAx>
        <c:axId val="32606028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26017280"/>
        <c:crosses val="autoZero"/>
        <c:auto val="1"/>
        <c:lblAlgn val="ctr"/>
        <c:lblOffset val="100"/>
        <c:noMultiLvlLbl val="0"/>
      </c:catAx>
      <c:valAx>
        <c:axId val="2260172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26060288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'[3]Function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'[3]Function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'[3]Function Of Rate'!$F$16:$P$16</c:f>
              <c:numCache>
                <c:formatCode>General</c:formatCode>
                <c:ptCount val="11"/>
                <c:pt idx="0">
                  <c:v>0.74492476719510592</c:v>
                </c:pt>
                <c:pt idx="1">
                  <c:v>0.64601740039207833</c:v>
                </c:pt>
                <c:pt idx="2">
                  <c:v>0.59771025792025401</c:v>
                </c:pt>
                <c:pt idx="3">
                  <c:v>0.55998614996335327</c:v>
                </c:pt>
                <c:pt idx="4">
                  <c:v>0.51911820532540343</c:v>
                </c:pt>
                <c:pt idx="5">
                  <c:v>0.45632581310344905</c:v>
                </c:pt>
                <c:pt idx="6">
                  <c:v>0.38235255501284277</c:v>
                </c:pt>
                <c:pt idx="7">
                  <c:v>0.33088245815712847</c:v>
                </c:pt>
                <c:pt idx="8">
                  <c:v>0.29096915042973487</c:v>
                </c:pt>
                <c:pt idx="9">
                  <c:v>0.27207120643295979</c:v>
                </c:pt>
                <c:pt idx="10">
                  <c:v>0.20483896904857218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'[3]Function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'[3]Function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'[3]Function Of Rate'!$F$17:$P$17</c:f>
              <c:numCache>
                <c:formatCode>General</c:formatCode>
                <c:ptCount val="11"/>
                <c:pt idx="0">
                  <c:v>0.66132281927372705</c:v>
                </c:pt>
                <c:pt idx="1">
                  <c:v>0.61742443167358063</c:v>
                </c:pt>
                <c:pt idx="2">
                  <c:v>0.55482890552564113</c:v>
                </c:pt>
                <c:pt idx="3">
                  <c:v>0.52193552323103543</c:v>
                </c:pt>
                <c:pt idx="4">
                  <c:v>0.45915371064370136</c:v>
                </c:pt>
                <c:pt idx="5">
                  <c:v>0.39779633268543002</c:v>
                </c:pt>
                <c:pt idx="6">
                  <c:v>0.36431880223413576</c:v>
                </c:pt>
                <c:pt idx="7">
                  <c:v>0.32134943910537084</c:v>
                </c:pt>
                <c:pt idx="8">
                  <c:v>0.29464449046498603</c:v>
                </c:pt>
                <c:pt idx="9">
                  <c:v>0.24410272227756832</c:v>
                </c:pt>
                <c:pt idx="10">
                  <c:v>0.20106252470542499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'[3]Function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'[3]Function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'[3]Function Of Rate'!$F$18:$P$18</c:f>
              <c:numCache>
                <c:formatCode>General</c:formatCode>
                <c:ptCount val="11"/>
                <c:pt idx="0">
                  <c:v>0.20405539978490747</c:v>
                </c:pt>
                <c:pt idx="1">
                  <c:v>8.8363009906858286E-3</c:v>
                </c:pt>
                <c:pt idx="2">
                  <c:v>1.7846726369342121E-3</c:v>
                </c:pt>
                <c:pt idx="3">
                  <c:v>2.8983733075451279E-4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'Function Of Rate'!$E$22</c:f>
              <c:strCache>
                <c:ptCount val="1"/>
                <c:pt idx="0">
                  <c:v>Media Effect</c:v>
                </c:pt>
              </c:strCache>
            </c:strRef>
          </c:tx>
          <c:marker>
            <c:symbol val="circle"/>
            <c:size val="5"/>
            <c:spPr>
              <a:solidFill>
                <a:srgbClr val="7030A0"/>
              </a:solidFill>
              <a:ln>
                <a:solidFill>
                  <a:srgbClr val="2E8A60"/>
                </a:solidFill>
              </a:ln>
            </c:spPr>
          </c:marker>
          <c:val>
            <c:numRef>
              <c:f>'Function Of Rate'!$F$22:$P$22</c:f>
              <c:numCache>
                <c:formatCode>0.00%</c:formatCode>
                <c:ptCount val="11"/>
                <c:pt idx="0">
                  <c:v>0.21907818282542799</c:v>
                </c:pt>
                <c:pt idx="1">
                  <c:v>0.190108436739896</c:v>
                </c:pt>
                <c:pt idx="2">
                  <c:v>0.14316673607349001</c:v>
                </c:pt>
                <c:pt idx="3">
                  <c:v>3.2242913939845102E-3</c:v>
                </c:pt>
                <c:pt idx="4">
                  <c:v>1.24187519436403E-3</c:v>
                </c:pt>
                <c:pt idx="5">
                  <c:v>6.0159410239188805E-4</c:v>
                </c:pt>
                <c:pt idx="6">
                  <c:v>4.06477365970085E-4</c:v>
                </c:pt>
                <c:pt idx="7">
                  <c:v>1.6491162527492001E-4</c:v>
                </c:pt>
                <c:pt idx="8">
                  <c:v>1.11925657248564E-4</c:v>
                </c:pt>
                <c:pt idx="9">
                  <c:v>4.0945274596614099E-5</c:v>
                </c:pt>
                <c:pt idx="10">
                  <c:v>4.0945274596614099E-5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51360"/>
        <c:axId val="363156224"/>
      </c:lineChart>
      <c:catAx>
        <c:axId val="36315136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63156224"/>
        <c:crosses val="autoZero"/>
        <c:auto val="1"/>
        <c:lblAlgn val="ctr"/>
        <c:lblOffset val="100"/>
        <c:noMultiLvlLbl val="0"/>
      </c:catAx>
      <c:valAx>
        <c:axId val="36315622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63151360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'Low rate'!$C$2</c:f>
              <c:strCache>
                <c:ptCount val="1"/>
                <c:pt idx="0">
                  <c:v>PMMS</c:v>
                </c:pt>
              </c:strCache>
            </c:strRef>
          </c:tx>
          <c:marker>
            <c:symbol val="none"/>
          </c:marker>
          <c:cat>
            <c:numRef>
              <c:f>'Low rate'!$B$3:$B$755</c:f>
              <c:numCache>
                <c:formatCode>m/d/yyyy</c:formatCode>
                <c:ptCount val="753"/>
                <c:pt idx="0">
                  <c:v>36896</c:v>
                </c:pt>
                <c:pt idx="1">
                  <c:v>36903</c:v>
                </c:pt>
                <c:pt idx="2">
                  <c:v>36910</c:v>
                </c:pt>
                <c:pt idx="3">
                  <c:v>36917</c:v>
                </c:pt>
                <c:pt idx="4">
                  <c:v>36924</c:v>
                </c:pt>
                <c:pt idx="5">
                  <c:v>36931</c:v>
                </c:pt>
                <c:pt idx="6">
                  <c:v>36938</c:v>
                </c:pt>
                <c:pt idx="7">
                  <c:v>36945</c:v>
                </c:pt>
                <c:pt idx="8">
                  <c:v>36952</c:v>
                </c:pt>
                <c:pt idx="9">
                  <c:v>36959</c:v>
                </c:pt>
                <c:pt idx="10">
                  <c:v>36966</c:v>
                </c:pt>
                <c:pt idx="11">
                  <c:v>36973</c:v>
                </c:pt>
                <c:pt idx="12">
                  <c:v>36980</c:v>
                </c:pt>
                <c:pt idx="13">
                  <c:v>36987</c:v>
                </c:pt>
                <c:pt idx="14">
                  <c:v>36994</c:v>
                </c:pt>
                <c:pt idx="15">
                  <c:v>37001</c:v>
                </c:pt>
                <c:pt idx="16">
                  <c:v>37008</c:v>
                </c:pt>
                <c:pt idx="17">
                  <c:v>37015</c:v>
                </c:pt>
                <c:pt idx="18">
                  <c:v>37022</c:v>
                </c:pt>
                <c:pt idx="19">
                  <c:v>37029</c:v>
                </c:pt>
                <c:pt idx="20">
                  <c:v>37036</c:v>
                </c:pt>
                <c:pt idx="21">
                  <c:v>37043</c:v>
                </c:pt>
                <c:pt idx="22">
                  <c:v>37050</c:v>
                </c:pt>
                <c:pt idx="23">
                  <c:v>37057</c:v>
                </c:pt>
                <c:pt idx="24">
                  <c:v>37064</c:v>
                </c:pt>
                <c:pt idx="25">
                  <c:v>37071</c:v>
                </c:pt>
                <c:pt idx="26">
                  <c:v>37078</c:v>
                </c:pt>
                <c:pt idx="27">
                  <c:v>37085</c:v>
                </c:pt>
                <c:pt idx="28">
                  <c:v>37092</c:v>
                </c:pt>
                <c:pt idx="29">
                  <c:v>37099</c:v>
                </c:pt>
                <c:pt idx="30">
                  <c:v>37106</c:v>
                </c:pt>
                <c:pt idx="31">
                  <c:v>37113</c:v>
                </c:pt>
                <c:pt idx="32">
                  <c:v>37120</c:v>
                </c:pt>
                <c:pt idx="33">
                  <c:v>37127</c:v>
                </c:pt>
                <c:pt idx="34">
                  <c:v>37134</c:v>
                </c:pt>
                <c:pt idx="35">
                  <c:v>37141</c:v>
                </c:pt>
                <c:pt idx="36">
                  <c:v>37148</c:v>
                </c:pt>
                <c:pt idx="37">
                  <c:v>37155</c:v>
                </c:pt>
                <c:pt idx="38">
                  <c:v>37162</c:v>
                </c:pt>
                <c:pt idx="39">
                  <c:v>37169</c:v>
                </c:pt>
                <c:pt idx="40">
                  <c:v>37176</c:v>
                </c:pt>
                <c:pt idx="41">
                  <c:v>37183</c:v>
                </c:pt>
                <c:pt idx="42">
                  <c:v>37190</c:v>
                </c:pt>
                <c:pt idx="43">
                  <c:v>37197</c:v>
                </c:pt>
                <c:pt idx="44">
                  <c:v>37204</c:v>
                </c:pt>
                <c:pt idx="45">
                  <c:v>37211</c:v>
                </c:pt>
                <c:pt idx="46">
                  <c:v>37218</c:v>
                </c:pt>
                <c:pt idx="47">
                  <c:v>37225</c:v>
                </c:pt>
                <c:pt idx="48">
                  <c:v>37232</c:v>
                </c:pt>
                <c:pt idx="49">
                  <c:v>37239</c:v>
                </c:pt>
                <c:pt idx="50">
                  <c:v>37246</c:v>
                </c:pt>
                <c:pt idx="51">
                  <c:v>37253</c:v>
                </c:pt>
                <c:pt idx="52">
                  <c:v>37260</c:v>
                </c:pt>
                <c:pt idx="53">
                  <c:v>37267</c:v>
                </c:pt>
                <c:pt idx="54">
                  <c:v>37274</c:v>
                </c:pt>
                <c:pt idx="55">
                  <c:v>37281</c:v>
                </c:pt>
                <c:pt idx="56">
                  <c:v>37288</c:v>
                </c:pt>
                <c:pt idx="57">
                  <c:v>37295</c:v>
                </c:pt>
                <c:pt idx="58">
                  <c:v>37302</c:v>
                </c:pt>
                <c:pt idx="59">
                  <c:v>37309</c:v>
                </c:pt>
                <c:pt idx="60">
                  <c:v>37316</c:v>
                </c:pt>
                <c:pt idx="61">
                  <c:v>37323</c:v>
                </c:pt>
                <c:pt idx="62">
                  <c:v>37330</c:v>
                </c:pt>
                <c:pt idx="63">
                  <c:v>37337</c:v>
                </c:pt>
                <c:pt idx="64">
                  <c:v>37344</c:v>
                </c:pt>
                <c:pt idx="65">
                  <c:v>37351</c:v>
                </c:pt>
                <c:pt idx="66">
                  <c:v>37358</c:v>
                </c:pt>
                <c:pt idx="67">
                  <c:v>37365</c:v>
                </c:pt>
                <c:pt idx="68">
                  <c:v>37372</c:v>
                </c:pt>
                <c:pt idx="69">
                  <c:v>37379</c:v>
                </c:pt>
                <c:pt idx="70">
                  <c:v>37386</c:v>
                </c:pt>
                <c:pt idx="71">
                  <c:v>37393</c:v>
                </c:pt>
                <c:pt idx="72">
                  <c:v>37400</c:v>
                </c:pt>
                <c:pt idx="73">
                  <c:v>37407</c:v>
                </c:pt>
                <c:pt idx="74">
                  <c:v>37414</c:v>
                </c:pt>
                <c:pt idx="75">
                  <c:v>37421</c:v>
                </c:pt>
                <c:pt idx="76">
                  <c:v>37428</c:v>
                </c:pt>
                <c:pt idx="77">
                  <c:v>37435</c:v>
                </c:pt>
                <c:pt idx="78">
                  <c:v>37442</c:v>
                </c:pt>
                <c:pt idx="79">
                  <c:v>37449</c:v>
                </c:pt>
                <c:pt idx="80">
                  <c:v>37456</c:v>
                </c:pt>
                <c:pt idx="81">
                  <c:v>37463</c:v>
                </c:pt>
                <c:pt idx="82">
                  <c:v>37470</c:v>
                </c:pt>
                <c:pt idx="83">
                  <c:v>37477</c:v>
                </c:pt>
                <c:pt idx="84">
                  <c:v>37484</c:v>
                </c:pt>
                <c:pt idx="85">
                  <c:v>37491</c:v>
                </c:pt>
                <c:pt idx="86">
                  <c:v>37498</c:v>
                </c:pt>
                <c:pt idx="87">
                  <c:v>37505</c:v>
                </c:pt>
                <c:pt idx="88">
                  <c:v>37512</c:v>
                </c:pt>
                <c:pt idx="89">
                  <c:v>37519</c:v>
                </c:pt>
                <c:pt idx="90">
                  <c:v>37526</c:v>
                </c:pt>
                <c:pt idx="91">
                  <c:v>37533</c:v>
                </c:pt>
                <c:pt idx="92">
                  <c:v>37540</c:v>
                </c:pt>
                <c:pt idx="93">
                  <c:v>37547</c:v>
                </c:pt>
                <c:pt idx="94">
                  <c:v>37554</c:v>
                </c:pt>
                <c:pt idx="95">
                  <c:v>37561</c:v>
                </c:pt>
                <c:pt idx="96">
                  <c:v>37568</c:v>
                </c:pt>
                <c:pt idx="97">
                  <c:v>37575</c:v>
                </c:pt>
                <c:pt idx="98">
                  <c:v>37582</c:v>
                </c:pt>
                <c:pt idx="99">
                  <c:v>37589</c:v>
                </c:pt>
                <c:pt idx="100">
                  <c:v>37596</c:v>
                </c:pt>
                <c:pt idx="101">
                  <c:v>37603</c:v>
                </c:pt>
                <c:pt idx="102">
                  <c:v>37610</c:v>
                </c:pt>
                <c:pt idx="103">
                  <c:v>37617</c:v>
                </c:pt>
                <c:pt idx="104">
                  <c:v>37624</c:v>
                </c:pt>
                <c:pt idx="105">
                  <c:v>37631</c:v>
                </c:pt>
                <c:pt idx="106">
                  <c:v>37638</c:v>
                </c:pt>
                <c:pt idx="107">
                  <c:v>37645</c:v>
                </c:pt>
                <c:pt idx="108">
                  <c:v>37652</c:v>
                </c:pt>
                <c:pt idx="109">
                  <c:v>37659</c:v>
                </c:pt>
                <c:pt idx="110">
                  <c:v>37666</c:v>
                </c:pt>
                <c:pt idx="111">
                  <c:v>37673</c:v>
                </c:pt>
                <c:pt idx="112">
                  <c:v>37680</c:v>
                </c:pt>
                <c:pt idx="113">
                  <c:v>37687</c:v>
                </c:pt>
                <c:pt idx="114">
                  <c:v>37694</c:v>
                </c:pt>
                <c:pt idx="115">
                  <c:v>37701</c:v>
                </c:pt>
                <c:pt idx="116">
                  <c:v>37708</c:v>
                </c:pt>
                <c:pt idx="117">
                  <c:v>37715</c:v>
                </c:pt>
                <c:pt idx="118">
                  <c:v>37722</c:v>
                </c:pt>
                <c:pt idx="119">
                  <c:v>37729</c:v>
                </c:pt>
                <c:pt idx="120">
                  <c:v>37736</c:v>
                </c:pt>
                <c:pt idx="121">
                  <c:v>37743</c:v>
                </c:pt>
                <c:pt idx="122">
                  <c:v>37750</c:v>
                </c:pt>
                <c:pt idx="123">
                  <c:v>37757</c:v>
                </c:pt>
                <c:pt idx="124">
                  <c:v>37764</c:v>
                </c:pt>
                <c:pt idx="125">
                  <c:v>37771</c:v>
                </c:pt>
                <c:pt idx="126">
                  <c:v>37778</c:v>
                </c:pt>
                <c:pt idx="127">
                  <c:v>37785</c:v>
                </c:pt>
                <c:pt idx="128">
                  <c:v>37792</c:v>
                </c:pt>
                <c:pt idx="129">
                  <c:v>37799</c:v>
                </c:pt>
                <c:pt idx="130">
                  <c:v>37806</c:v>
                </c:pt>
                <c:pt idx="131">
                  <c:v>37813</c:v>
                </c:pt>
                <c:pt idx="132">
                  <c:v>37820</c:v>
                </c:pt>
                <c:pt idx="133">
                  <c:v>37827</c:v>
                </c:pt>
                <c:pt idx="134">
                  <c:v>37834</c:v>
                </c:pt>
                <c:pt idx="135">
                  <c:v>37841</c:v>
                </c:pt>
                <c:pt idx="136">
                  <c:v>37848</c:v>
                </c:pt>
                <c:pt idx="137">
                  <c:v>37855</c:v>
                </c:pt>
                <c:pt idx="138">
                  <c:v>37862</c:v>
                </c:pt>
                <c:pt idx="139">
                  <c:v>37869</c:v>
                </c:pt>
                <c:pt idx="140">
                  <c:v>37876</c:v>
                </c:pt>
                <c:pt idx="141">
                  <c:v>37883</c:v>
                </c:pt>
                <c:pt idx="142">
                  <c:v>37890</c:v>
                </c:pt>
                <c:pt idx="143">
                  <c:v>37897</c:v>
                </c:pt>
                <c:pt idx="144">
                  <c:v>37904</c:v>
                </c:pt>
                <c:pt idx="145">
                  <c:v>37911</c:v>
                </c:pt>
                <c:pt idx="146">
                  <c:v>37918</c:v>
                </c:pt>
                <c:pt idx="147">
                  <c:v>37925</c:v>
                </c:pt>
                <c:pt idx="148">
                  <c:v>37932</c:v>
                </c:pt>
                <c:pt idx="149">
                  <c:v>37939</c:v>
                </c:pt>
                <c:pt idx="150">
                  <c:v>37946</c:v>
                </c:pt>
                <c:pt idx="151">
                  <c:v>37953</c:v>
                </c:pt>
                <c:pt idx="152">
                  <c:v>37960</c:v>
                </c:pt>
                <c:pt idx="153">
                  <c:v>37967</c:v>
                </c:pt>
                <c:pt idx="154">
                  <c:v>37974</c:v>
                </c:pt>
                <c:pt idx="155">
                  <c:v>37981</c:v>
                </c:pt>
                <c:pt idx="156">
                  <c:v>37986</c:v>
                </c:pt>
                <c:pt idx="157">
                  <c:v>37994</c:v>
                </c:pt>
                <c:pt idx="158">
                  <c:v>38001</c:v>
                </c:pt>
                <c:pt idx="159">
                  <c:v>38008</c:v>
                </c:pt>
                <c:pt idx="160">
                  <c:v>38015</c:v>
                </c:pt>
                <c:pt idx="161">
                  <c:v>38022</c:v>
                </c:pt>
                <c:pt idx="162">
                  <c:v>38029</c:v>
                </c:pt>
                <c:pt idx="163">
                  <c:v>38036</c:v>
                </c:pt>
                <c:pt idx="164">
                  <c:v>38043</c:v>
                </c:pt>
                <c:pt idx="165">
                  <c:v>38050</c:v>
                </c:pt>
                <c:pt idx="166">
                  <c:v>38057</c:v>
                </c:pt>
                <c:pt idx="167">
                  <c:v>38064</c:v>
                </c:pt>
                <c:pt idx="168">
                  <c:v>38071</c:v>
                </c:pt>
                <c:pt idx="169">
                  <c:v>38078</c:v>
                </c:pt>
                <c:pt idx="170">
                  <c:v>38085</c:v>
                </c:pt>
                <c:pt idx="171">
                  <c:v>38092</c:v>
                </c:pt>
                <c:pt idx="172">
                  <c:v>38099</c:v>
                </c:pt>
                <c:pt idx="173">
                  <c:v>38106</c:v>
                </c:pt>
                <c:pt idx="174">
                  <c:v>38113</c:v>
                </c:pt>
                <c:pt idx="175">
                  <c:v>38120</c:v>
                </c:pt>
                <c:pt idx="176">
                  <c:v>38127</c:v>
                </c:pt>
                <c:pt idx="177">
                  <c:v>38134</c:v>
                </c:pt>
                <c:pt idx="178">
                  <c:v>38141</c:v>
                </c:pt>
                <c:pt idx="179">
                  <c:v>38148</c:v>
                </c:pt>
                <c:pt idx="180">
                  <c:v>38155</c:v>
                </c:pt>
                <c:pt idx="181">
                  <c:v>38162</c:v>
                </c:pt>
                <c:pt idx="182">
                  <c:v>38169</c:v>
                </c:pt>
                <c:pt idx="183">
                  <c:v>38176</c:v>
                </c:pt>
                <c:pt idx="184">
                  <c:v>38183</c:v>
                </c:pt>
                <c:pt idx="185">
                  <c:v>38190</c:v>
                </c:pt>
                <c:pt idx="186">
                  <c:v>38197</c:v>
                </c:pt>
                <c:pt idx="187">
                  <c:v>38204</c:v>
                </c:pt>
                <c:pt idx="188">
                  <c:v>38211</c:v>
                </c:pt>
                <c:pt idx="189">
                  <c:v>38218</c:v>
                </c:pt>
                <c:pt idx="190">
                  <c:v>38225</c:v>
                </c:pt>
                <c:pt idx="191">
                  <c:v>38232</c:v>
                </c:pt>
                <c:pt idx="192">
                  <c:v>38239</c:v>
                </c:pt>
                <c:pt idx="193">
                  <c:v>38246</c:v>
                </c:pt>
                <c:pt idx="194">
                  <c:v>38253</c:v>
                </c:pt>
                <c:pt idx="195">
                  <c:v>38260</c:v>
                </c:pt>
                <c:pt idx="196">
                  <c:v>38267</c:v>
                </c:pt>
                <c:pt idx="197">
                  <c:v>38274</c:v>
                </c:pt>
                <c:pt idx="198">
                  <c:v>38281</c:v>
                </c:pt>
                <c:pt idx="199">
                  <c:v>38288</c:v>
                </c:pt>
                <c:pt idx="200">
                  <c:v>38295</c:v>
                </c:pt>
                <c:pt idx="201">
                  <c:v>38302</c:v>
                </c:pt>
                <c:pt idx="202">
                  <c:v>38309</c:v>
                </c:pt>
                <c:pt idx="203">
                  <c:v>38315</c:v>
                </c:pt>
                <c:pt idx="204">
                  <c:v>38323</c:v>
                </c:pt>
                <c:pt idx="205">
                  <c:v>38330</c:v>
                </c:pt>
                <c:pt idx="206">
                  <c:v>38337</c:v>
                </c:pt>
                <c:pt idx="207">
                  <c:v>38343</c:v>
                </c:pt>
                <c:pt idx="208">
                  <c:v>38350</c:v>
                </c:pt>
                <c:pt idx="209">
                  <c:v>38358</c:v>
                </c:pt>
                <c:pt idx="210">
                  <c:v>38365</c:v>
                </c:pt>
                <c:pt idx="211">
                  <c:v>38372</c:v>
                </c:pt>
                <c:pt idx="212">
                  <c:v>38379</c:v>
                </c:pt>
                <c:pt idx="213">
                  <c:v>38386</c:v>
                </c:pt>
                <c:pt idx="214">
                  <c:v>38393</c:v>
                </c:pt>
                <c:pt idx="215">
                  <c:v>38400</c:v>
                </c:pt>
                <c:pt idx="216">
                  <c:v>38407</c:v>
                </c:pt>
                <c:pt idx="217">
                  <c:v>38414</c:v>
                </c:pt>
                <c:pt idx="218">
                  <c:v>38421</c:v>
                </c:pt>
                <c:pt idx="219">
                  <c:v>38428</c:v>
                </c:pt>
                <c:pt idx="220">
                  <c:v>38435</c:v>
                </c:pt>
                <c:pt idx="221">
                  <c:v>38442</c:v>
                </c:pt>
                <c:pt idx="222">
                  <c:v>38449</c:v>
                </c:pt>
                <c:pt idx="223">
                  <c:v>38456</c:v>
                </c:pt>
                <c:pt idx="224">
                  <c:v>38463</c:v>
                </c:pt>
                <c:pt idx="225">
                  <c:v>38470</c:v>
                </c:pt>
                <c:pt idx="226">
                  <c:v>38477</c:v>
                </c:pt>
                <c:pt idx="227">
                  <c:v>38484</c:v>
                </c:pt>
                <c:pt idx="228">
                  <c:v>38491</c:v>
                </c:pt>
                <c:pt idx="229">
                  <c:v>38498</c:v>
                </c:pt>
                <c:pt idx="230">
                  <c:v>38505</c:v>
                </c:pt>
                <c:pt idx="231">
                  <c:v>38512</c:v>
                </c:pt>
                <c:pt idx="232">
                  <c:v>38519</c:v>
                </c:pt>
                <c:pt idx="233">
                  <c:v>38526</c:v>
                </c:pt>
                <c:pt idx="234">
                  <c:v>38533</c:v>
                </c:pt>
                <c:pt idx="235">
                  <c:v>38540</c:v>
                </c:pt>
                <c:pt idx="236">
                  <c:v>38547</c:v>
                </c:pt>
                <c:pt idx="237">
                  <c:v>38554</c:v>
                </c:pt>
                <c:pt idx="238">
                  <c:v>38561</c:v>
                </c:pt>
                <c:pt idx="239">
                  <c:v>38568</c:v>
                </c:pt>
                <c:pt idx="240">
                  <c:v>38575</c:v>
                </c:pt>
                <c:pt idx="241">
                  <c:v>38582</c:v>
                </c:pt>
                <c:pt idx="242">
                  <c:v>38589</c:v>
                </c:pt>
                <c:pt idx="243">
                  <c:v>38596</c:v>
                </c:pt>
                <c:pt idx="244">
                  <c:v>38603</c:v>
                </c:pt>
                <c:pt idx="245">
                  <c:v>38610</c:v>
                </c:pt>
                <c:pt idx="246">
                  <c:v>38617</c:v>
                </c:pt>
                <c:pt idx="247">
                  <c:v>38624</c:v>
                </c:pt>
                <c:pt idx="248">
                  <c:v>38631</c:v>
                </c:pt>
                <c:pt idx="249">
                  <c:v>38638</c:v>
                </c:pt>
                <c:pt idx="250">
                  <c:v>38645</c:v>
                </c:pt>
                <c:pt idx="251">
                  <c:v>38652</c:v>
                </c:pt>
                <c:pt idx="252">
                  <c:v>38659</c:v>
                </c:pt>
                <c:pt idx="253">
                  <c:v>38666</c:v>
                </c:pt>
                <c:pt idx="254">
                  <c:v>38673</c:v>
                </c:pt>
                <c:pt idx="255">
                  <c:v>38679</c:v>
                </c:pt>
                <c:pt idx="256">
                  <c:v>38687</c:v>
                </c:pt>
                <c:pt idx="257">
                  <c:v>38694</c:v>
                </c:pt>
                <c:pt idx="258">
                  <c:v>38701</c:v>
                </c:pt>
                <c:pt idx="259">
                  <c:v>38708</c:v>
                </c:pt>
                <c:pt idx="260">
                  <c:v>38715</c:v>
                </c:pt>
                <c:pt idx="261">
                  <c:v>38722</c:v>
                </c:pt>
                <c:pt idx="262">
                  <c:v>38729</c:v>
                </c:pt>
                <c:pt idx="263">
                  <c:v>38736</c:v>
                </c:pt>
                <c:pt idx="264">
                  <c:v>38743</c:v>
                </c:pt>
                <c:pt idx="265">
                  <c:v>38750</c:v>
                </c:pt>
                <c:pt idx="266">
                  <c:v>38757</c:v>
                </c:pt>
                <c:pt idx="267">
                  <c:v>38764</c:v>
                </c:pt>
                <c:pt idx="268">
                  <c:v>38771</c:v>
                </c:pt>
                <c:pt idx="269">
                  <c:v>38778</c:v>
                </c:pt>
                <c:pt idx="270">
                  <c:v>38785</c:v>
                </c:pt>
                <c:pt idx="271">
                  <c:v>38792</c:v>
                </c:pt>
                <c:pt idx="272">
                  <c:v>38799</c:v>
                </c:pt>
                <c:pt idx="273">
                  <c:v>38806</c:v>
                </c:pt>
                <c:pt idx="274">
                  <c:v>38813</c:v>
                </c:pt>
                <c:pt idx="275">
                  <c:v>38820</c:v>
                </c:pt>
                <c:pt idx="276">
                  <c:v>38827</c:v>
                </c:pt>
                <c:pt idx="277">
                  <c:v>38834</c:v>
                </c:pt>
                <c:pt idx="278">
                  <c:v>38841</c:v>
                </c:pt>
                <c:pt idx="279">
                  <c:v>38848</c:v>
                </c:pt>
                <c:pt idx="280">
                  <c:v>38855</c:v>
                </c:pt>
                <c:pt idx="281">
                  <c:v>38862</c:v>
                </c:pt>
                <c:pt idx="282">
                  <c:v>38869</c:v>
                </c:pt>
                <c:pt idx="283">
                  <c:v>38876</c:v>
                </c:pt>
                <c:pt idx="284">
                  <c:v>38883</c:v>
                </c:pt>
                <c:pt idx="285">
                  <c:v>38890</c:v>
                </c:pt>
                <c:pt idx="286">
                  <c:v>38897</c:v>
                </c:pt>
                <c:pt idx="287">
                  <c:v>38904</c:v>
                </c:pt>
                <c:pt idx="288">
                  <c:v>38911</c:v>
                </c:pt>
                <c:pt idx="289">
                  <c:v>38918</c:v>
                </c:pt>
                <c:pt idx="290">
                  <c:v>38925</c:v>
                </c:pt>
                <c:pt idx="291">
                  <c:v>38932</c:v>
                </c:pt>
                <c:pt idx="292">
                  <c:v>38939</c:v>
                </c:pt>
                <c:pt idx="293">
                  <c:v>38946</c:v>
                </c:pt>
                <c:pt idx="294">
                  <c:v>38953</c:v>
                </c:pt>
                <c:pt idx="295">
                  <c:v>38960</c:v>
                </c:pt>
                <c:pt idx="296">
                  <c:v>38967</c:v>
                </c:pt>
                <c:pt idx="297">
                  <c:v>38974</c:v>
                </c:pt>
                <c:pt idx="298">
                  <c:v>38981</c:v>
                </c:pt>
                <c:pt idx="299">
                  <c:v>38988</c:v>
                </c:pt>
                <c:pt idx="300">
                  <c:v>38995</c:v>
                </c:pt>
                <c:pt idx="301">
                  <c:v>39002</c:v>
                </c:pt>
                <c:pt idx="302">
                  <c:v>39009</c:v>
                </c:pt>
                <c:pt idx="303">
                  <c:v>39016</c:v>
                </c:pt>
                <c:pt idx="304">
                  <c:v>39023</c:v>
                </c:pt>
                <c:pt idx="305">
                  <c:v>39030</c:v>
                </c:pt>
                <c:pt idx="306">
                  <c:v>39037</c:v>
                </c:pt>
                <c:pt idx="307">
                  <c:v>39043</c:v>
                </c:pt>
                <c:pt idx="308">
                  <c:v>39051</c:v>
                </c:pt>
                <c:pt idx="309">
                  <c:v>39058</c:v>
                </c:pt>
                <c:pt idx="310">
                  <c:v>39065</c:v>
                </c:pt>
                <c:pt idx="311">
                  <c:v>39072</c:v>
                </c:pt>
                <c:pt idx="312">
                  <c:v>39079</c:v>
                </c:pt>
                <c:pt idx="313">
                  <c:v>39086</c:v>
                </c:pt>
                <c:pt idx="314">
                  <c:v>39093</c:v>
                </c:pt>
                <c:pt idx="315">
                  <c:v>39100</c:v>
                </c:pt>
                <c:pt idx="316">
                  <c:v>39107</c:v>
                </c:pt>
                <c:pt idx="317">
                  <c:v>39114</c:v>
                </c:pt>
                <c:pt idx="318">
                  <c:v>39121</c:v>
                </c:pt>
                <c:pt idx="319">
                  <c:v>39128</c:v>
                </c:pt>
                <c:pt idx="320">
                  <c:v>39135</c:v>
                </c:pt>
                <c:pt idx="321">
                  <c:v>39142</c:v>
                </c:pt>
                <c:pt idx="322">
                  <c:v>39149</c:v>
                </c:pt>
                <c:pt idx="323">
                  <c:v>39156</c:v>
                </c:pt>
                <c:pt idx="324">
                  <c:v>39163</c:v>
                </c:pt>
                <c:pt idx="325">
                  <c:v>39170</c:v>
                </c:pt>
                <c:pt idx="326">
                  <c:v>39177</c:v>
                </c:pt>
                <c:pt idx="327">
                  <c:v>39184</c:v>
                </c:pt>
                <c:pt idx="328">
                  <c:v>39191</c:v>
                </c:pt>
                <c:pt idx="329">
                  <c:v>39198</c:v>
                </c:pt>
                <c:pt idx="330">
                  <c:v>39205</c:v>
                </c:pt>
                <c:pt idx="331">
                  <c:v>39212</c:v>
                </c:pt>
                <c:pt idx="332">
                  <c:v>39219</c:v>
                </c:pt>
                <c:pt idx="333">
                  <c:v>39226</c:v>
                </c:pt>
                <c:pt idx="334">
                  <c:v>39233</c:v>
                </c:pt>
                <c:pt idx="335">
                  <c:v>39240</c:v>
                </c:pt>
                <c:pt idx="336">
                  <c:v>39247</c:v>
                </c:pt>
                <c:pt idx="337">
                  <c:v>39254</c:v>
                </c:pt>
                <c:pt idx="338">
                  <c:v>39261</c:v>
                </c:pt>
                <c:pt idx="339">
                  <c:v>39268</c:v>
                </c:pt>
                <c:pt idx="340">
                  <c:v>39275</c:v>
                </c:pt>
                <c:pt idx="341">
                  <c:v>39282</c:v>
                </c:pt>
                <c:pt idx="342">
                  <c:v>39289</c:v>
                </c:pt>
                <c:pt idx="343">
                  <c:v>39296</c:v>
                </c:pt>
                <c:pt idx="344">
                  <c:v>39303</c:v>
                </c:pt>
                <c:pt idx="345">
                  <c:v>39310</c:v>
                </c:pt>
                <c:pt idx="346">
                  <c:v>39317</c:v>
                </c:pt>
                <c:pt idx="347">
                  <c:v>39324</c:v>
                </c:pt>
                <c:pt idx="348">
                  <c:v>39331</c:v>
                </c:pt>
                <c:pt idx="349">
                  <c:v>39338</c:v>
                </c:pt>
                <c:pt idx="350">
                  <c:v>39345</c:v>
                </c:pt>
                <c:pt idx="351">
                  <c:v>39352</c:v>
                </c:pt>
                <c:pt idx="352">
                  <c:v>39359</c:v>
                </c:pt>
                <c:pt idx="353">
                  <c:v>39366</c:v>
                </c:pt>
                <c:pt idx="354">
                  <c:v>39373</c:v>
                </c:pt>
                <c:pt idx="355">
                  <c:v>39380</c:v>
                </c:pt>
                <c:pt idx="356">
                  <c:v>39387</c:v>
                </c:pt>
                <c:pt idx="357">
                  <c:v>39394</c:v>
                </c:pt>
                <c:pt idx="358">
                  <c:v>39401</c:v>
                </c:pt>
                <c:pt idx="359">
                  <c:v>39407</c:v>
                </c:pt>
                <c:pt idx="360">
                  <c:v>39415</c:v>
                </c:pt>
                <c:pt idx="361">
                  <c:v>39422</c:v>
                </c:pt>
                <c:pt idx="362">
                  <c:v>39429</c:v>
                </c:pt>
                <c:pt idx="363">
                  <c:v>39436</c:v>
                </c:pt>
                <c:pt idx="364">
                  <c:v>39443</c:v>
                </c:pt>
                <c:pt idx="365">
                  <c:v>39450</c:v>
                </c:pt>
                <c:pt idx="366">
                  <c:v>39457</c:v>
                </c:pt>
                <c:pt idx="367">
                  <c:v>39464</c:v>
                </c:pt>
                <c:pt idx="368">
                  <c:v>39471</c:v>
                </c:pt>
                <c:pt idx="369">
                  <c:v>39478</c:v>
                </c:pt>
                <c:pt idx="370">
                  <c:v>39485</c:v>
                </c:pt>
                <c:pt idx="371">
                  <c:v>39492</c:v>
                </c:pt>
                <c:pt idx="372">
                  <c:v>39499</c:v>
                </c:pt>
                <c:pt idx="373">
                  <c:v>39506</c:v>
                </c:pt>
                <c:pt idx="374">
                  <c:v>39513</c:v>
                </c:pt>
                <c:pt idx="375">
                  <c:v>39520</c:v>
                </c:pt>
                <c:pt idx="376">
                  <c:v>39527</c:v>
                </c:pt>
                <c:pt idx="377">
                  <c:v>39534</c:v>
                </c:pt>
                <c:pt idx="378">
                  <c:v>39541</c:v>
                </c:pt>
                <c:pt idx="379">
                  <c:v>39548</c:v>
                </c:pt>
                <c:pt idx="380">
                  <c:v>39555</c:v>
                </c:pt>
                <c:pt idx="381">
                  <c:v>39562</c:v>
                </c:pt>
                <c:pt idx="382">
                  <c:v>39569</c:v>
                </c:pt>
                <c:pt idx="383">
                  <c:v>39576</c:v>
                </c:pt>
                <c:pt idx="384">
                  <c:v>39583</c:v>
                </c:pt>
                <c:pt idx="385">
                  <c:v>39590</c:v>
                </c:pt>
                <c:pt idx="386">
                  <c:v>39597</c:v>
                </c:pt>
                <c:pt idx="387">
                  <c:v>39604</c:v>
                </c:pt>
                <c:pt idx="388">
                  <c:v>39611</c:v>
                </c:pt>
                <c:pt idx="389">
                  <c:v>39618</c:v>
                </c:pt>
                <c:pt idx="390">
                  <c:v>39625</c:v>
                </c:pt>
                <c:pt idx="391">
                  <c:v>39632</c:v>
                </c:pt>
                <c:pt idx="392">
                  <c:v>39639</c:v>
                </c:pt>
                <c:pt idx="393">
                  <c:v>39646</c:v>
                </c:pt>
                <c:pt idx="394">
                  <c:v>39653</c:v>
                </c:pt>
                <c:pt idx="395">
                  <c:v>39660</c:v>
                </c:pt>
                <c:pt idx="396">
                  <c:v>39667</c:v>
                </c:pt>
                <c:pt idx="397">
                  <c:v>39674</c:v>
                </c:pt>
                <c:pt idx="398">
                  <c:v>39681</c:v>
                </c:pt>
                <c:pt idx="399">
                  <c:v>39688</c:v>
                </c:pt>
                <c:pt idx="400">
                  <c:v>39695</c:v>
                </c:pt>
                <c:pt idx="401">
                  <c:v>39702</c:v>
                </c:pt>
                <c:pt idx="402">
                  <c:v>39709</c:v>
                </c:pt>
                <c:pt idx="403">
                  <c:v>39716</c:v>
                </c:pt>
                <c:pt idx="404">
                  <c:v>39723</c:v>
                </c:pt>
                <c:pt idx="405">
                  <c:v>39730</c:v>
                </c:pt>
                <c:pt idx="406">
                  <c:v>39737</c:v>
                </c:pt>
                <c:pt idx="407">
                  <c:v>39744</c:v>
                </c:pt>
                <c:pt idx="408">
                  <c:v>39751</c:v>
                </c:pt>
                <c:pt idx="409">
                  <c:v>39758</c:v>
                </c:pt>
                <c:pt idx="410">
                  <c:v>39765</c:v>
                </c:pt>
                <c:pt idx="411">
                  <c:v>39772</c:v>
                </c:pt>
                <c:pt idx="412">
                  <c:v>39778</c:v>
                </c:pt>
                <c:pt idx="413">
                  <c:v>39786</c:v>
                </c:pt>
                <c:pt idx="414">
                  <c:v>39793</c:v>
                </c:pt>
                <c:pt idx="415">
                  <c:v>39800</c:v>
                </c:pt>
                <c:pt idx="416">
                  <c:v>39806</c:v>
                </c:pt>
                <c:pt idx="417">
                  <c:v>39813</c:v>
                </c:pt>
                <c:pt idx="418">
                  <c:v>39821</c:v>
                </c:pt>
                <c:pt idx="419">
                  <c:v>39828</c:v>
                </c:pt>
                <c:pt idx="420">
                  <c:v>39835</c:v>
                </c:pt>
                <c:pt idx="421">
                  <c:v>39842</c:v>
                </c:pt>
                <c:pt idx="422">
                  <c:v>39849</c:v>
                </c:pt>
                <c:pt idx="423">
                  <c:v>39856</c:v>
                </c:pt>
                <c:pt idx="424">
                  <c:v>39863</c:v>
                </c:pt>
                <c:pt idx="425">
                  <c:v>39870</c:v>
                </c:pt>
                <c:pt idx="426">
                  <c:v>39877</c:v>
                </c:pt>
                <c:pt idx="427">
                  <c:v>39884</c:v>
                </c:pt>
                <c:pt idx="428">
                  <c:v>39891</c:v>
                </c:pt>
                <c:pt idx="429">
                  <c:v>39898</c:v>
                </c:pt>
                <c:pt idx="430">
                  <c:v>39905</c:v>
                </c:pt>
                <c:pt idx="431">
                  <c:v>39912</c:v>
                </c:pt>
                <c:pt idx="432">
                  <c:v>39919</c:v>
                </c:pt>
                <c:pt idx="433">
                  <c:v>39926</c:v>
                </c:pt>
                <c:pt idx="434">
                  <c:v>39933</c:v>
                </c:pt>
                <c:pt idx="435">
                  <c:v>39940</c:v>
                </c:pt>
                <c:pt idx="436">
                  <c:v>39947</c:v>
                </c:pt>
                <c:pt idx="437">
                  <c:v>39954</c:v>
                </c:pt>
                <c:pt idx="438">
                  <c:v>39961</c:v>
                </c:pt>
                <c:pt idx="439">
                  <c:v>39968</c:v>
                </c:pt>
                <c:pt idx="440">
                  <c:v>39975</c:v>
                </c:pt>
                <c:pt idx="441">
                  <c:v>39982</c:v>
                </c:pt>
                <c:pt idx="442">
                  <c:v>39989</c:v>
                </c:pt>
                <c:pt idx="443">
                  <c:v>39996</c:v>
                </c:pt>
                <c:pt idx="444">
                  <c:v>40003</c:v>
                </c:pt>
                <c:pt idx="445">
                  <c:v>40010</c:v>
                </c:pt>
                <c:pt idx="446">
                  <c:v>40017</c:v>
                </c:pt>
                <c:pt idx="447">
                  <c:v>40024</c:v>
                </c:pt>
                <c:pt idx="448">
                  <c:v>40031</c:v>
                </c:pt>
                <c:pt idx="449">
                  <c:v>40038</c:v>
                </c:pt>
                <c:pt idx="450">
                  <c:v>40045</c:v>
                </c:pt>
                <c:pt idx="451">
                  <c:v>40052</c:v>
                </c:pt>
                <c:pt idx="452">
                  <c:v>40059</c:v>
                </c:pt>
                <c:pt idx="453">
                  <c:v>40066</c:v>
                </c:pt>
                <c:pt idx="454">
                  <c:v>40073</c:v>
                </c:pt>
                <c:pt idx="455">
                  <c:v>40080</c:v>
                </c:pt>
                <c:pt idx="456">
                  <c:v>40087</c:v>
                </c:pt>
                <c:pt idx="457">
                  <c:v>40094</c:v>
                </c:pt>
                <c:pt idx="458">
                  <c:v>40101</c:v>
                </c:pt>
                <c:pt idx="459">
                  <c:v>40108</c:v>
                </c:pt>
                <c:pt idx="460">
                  <c:v>40115</c:v>
                </c:pt>
                <c:pt idx="461">
                  <c:v>40122</c:v>
                </c:pt>
                <c:pt idx="462">
                  <c:v>40129</c:v>
                </c:pt>
                <c:pt idx="463">
                  <c:v>40136</c:v>
                </c:pt>
                <c:pt idx="464">
                  <c:v>40142</c:v>
                </c:pt>
                <c:pt idx="465">
                  <c:v>40150</c:v>
                </c:pt>
                <c:pt idx="466">
                  <c:v>40157</c:v>
                </c:pt>
                <c:pt idx="467">
                  <c:v>40164</c:v>
                </c:pt>
                <c:pt idx="468">
                  <c:v>40171</c:v>
                </c:pt>
                <c:pt idx="469">
                  <c:v>40178</c:v>
                </c:pt>
                <c:pt idx="470">
                  <c:v>40185</c:v>
                </c:pt>
                <c:pt idx="471">
                  <c:v>40192</c:v>
                </c:pt>
                <c:pt idx="472">
                  <c:v>40199</c:v>
                </c:pt>
                <c:pt idx="473">
                  <c:v>40206</c:v>
                </c:pt>
                <c:pt idx="474">
                  <c:v>40213</c:v>
                </c:pt>
                <c:pt idx="475">
                  <c:v>40220</c:v>
                </c:pt>
                <c:pt idx="476">
                  <c:v>40227</c:v>
                </c:pt>
                <c:pt idx="477">
                  <c:v>40234</c:v>
                </c:pt>
                <c:pt idx="478">
                  <c:v>40241</c:v>
                </c:pt>
                <c:pt idx="479">
                  <c:v>40248</c:v>
                </c:pt>
                <c:pt idx="480">
                  <c:v>40255</c:v>
                </c:pt>
                <c:pt idx="481">
                  <c:v>40262</c:v>
                </c:pt>
                <c:pt idx="482">
                  <c:v>40269</c:v>
                </c:pt>
                <c:pt idx="483">
                  <c:v>40276</c:v>
                </c:pt>
                <c:pt idx="484">
                  <c:v>40283</c:v>
                </c:pt>
                <c:pt idx="485">
                  <c:v>40290</c:v>
                </c:pt>
                <c:pt idx="486">
                  <c:v>40297</c:v>
                </c:pt>
                <c:pt idx="487">
                  <c:v>40304</c:v>
                </c:pt>
                <c:pt idx="488">
                  <c:v>40311</c:v>
                </c:pt>
                <c:pt idx="489">
                  <c:v>40318</c:v>
                </c:pt>
                <c:pt idx="490">
                  <c:v>40325</c:v>
                </c:pt>
                <c:pt idx="491">
                  <c:v>40332</c:v>
                </c:pt>
                <c:pt idx="492">
                  <c:v>40339</c:v>
                </c:pt>
                <c:pt idx="493">
                  <c:v>40346</c:v>
                </c:pt>
                <c:pt idx="494">
                  <c:v>40353</c:v>
                </c:pt>
                <c:pt idx="495">
                  <c:v>40360</c:v>
                </c:pt>
                <c:pt idx="496">
                  <c:v>40367</c:v>
                </c:pt>
                <c:pt idx="497">
                  <c:v>40374</c:v>
                </c:pt>
                <c:pt idx="498">
                  <c:v>40381</c:v>
                </c:pt>
                <c:pt idx="499">
                  <c:v>40388</c:v>
                </c:pt>
                <c:pt idx="500">
                  <c:v>40395</c:v>
                </c:pt>
                <c:pt idx="501">
                  <c:v>40402</c:v>
                </c:pt>
                <c:pt idx="502">
                  <c:v>40409</c:v>
                </c:pt>
                <c:pt idx="503">
                  <c:v>40416</c:v>
                </c:pt>
                <c:pt idx="504">
                  <c:v>40423</c:v>
                </c:pt>
                <c:pt idx="505">
                  <c:v>40430</c:v>
                </c:pt>
                <c:pt idx="506">
                  <c:v>40437</c:v>
                </c:pt>
                <c:pt idx="507">
                  <c:v>40444</c:v>
                </c:pt>
                <c:pt idx="508">
                  <c:v>40451</c:v>
                </c:pt>
                <c:pt idx="509">
                  <c:v>40458</c:v>
                </c:pt>
                <c:pt idx="510">
                  <c:v>40465</c:v>
                </c:pt>
                <c:pt idx="511">
                  <c:v>40472</c:v>
                </c:pt>
                <c:pt idx="512">
                  <c:v>40479</c:v>
                </c:pt>
                <c:pt idx="513">
                  <c:v>40486</c:v>
                </c:pt>
                <c:pt idx="514">
                  <c:v>40493</c:v>
                </c:pt>
                <c:pt idx="515">
                  <c:v>40500</c:v>
                </c:pt>
                <c:pt idx="516">
                  <c:v>40506</c:v>
                </c:pt>
                <c:pt idx="517">
                  <c:v>40514</c:v>
                </c:pt>
                <c:pt idx="518">
                  <c:v>40521</c:v>
                </c:pt>
                <c:pt idx="519">
                  <c:v>40528</c:v>
                </c:pt>
                <c:pt idx="520">
                  <c:v>40535</c:v>
                </c:pt>
                <c:pt idx="521">
                  <c:v>40542</c:v>
                </c:pt>
                <c:pt idx="522">
                  <c:v>40549</c:v>
                </c:pt>
                <c:pt idx="523">
                  <c:v>40556</c:v>
                </c:pt>
                <c:pt idx="524">
                  <c:v>40563</c:v>
                </c:pt>
                <c:pt idx="525">
                  <c:v>40570</c:v>
                </c:pt>
                <c:pt idx="526">
                  <c:v>40577</c:v>
                </c:pt>
                <c:pt idx="527">
                  <c:v>40584</c:v>
                </c:pt>
                <c:pt idx="528">
                  <c:v>40591</c:v>
                </c:pt>
                <c:pt idx="529">
                  <c:v>40598</c:v>
                </c:pt>
                <c:pt idx="530">
                  <c:v>40605</c:v>
                </c:pt>
                <c:pt idx="531">
                  <c:v>40612</c:v>
                </c:pt>
                <c:pt idx="532">
                  <c:v>40619</c:v>
                </c:pt>
                <c:pt idx="533">
                  <c:v>40626</c:v>
                </c:pt>
                <c:pt idx="534">
                  <c:v>40633</c:v>
                </c:pt>
                <c:pt idx="535">
                  <c:v>40640</c:v>
                </c:pt>
                <c:pt idx="536">
                  <c:v>40647</c:v>
                </c:pt>
                <c:pt idx="537">
                  <c:v>40654</c:v>
                </c:pt>
                <c:pt idx="538">
                  <c:v>40661</c:v>
                </c:pt>
                <c:pt idx="539">
                  <c:v>40668</c:v>
                </c:pt>
                <c:pt idx="540">
                  <c:v>40675</c:v>
                </c:pt>
                <c:pt idx="541">
                  <c:v>40682</c:v>
                </c:pt>
                <c:pt idx="542">
                  <c:v>40689</c:v>
                </c:pt>
                <c:pt idx="543">
                  <c:v>40696</c:v>
                </c:pt>
                <c:pt idx="544">
                  <c:v>40703</c:v>
                </c:pt>
                <c:pt idx="545">
                  <c:v>40710</c:v>
                </c:pt>
                <c:pt idx="546">
                  <c:v>40717</c:v>
                </c:pt>
                <c:pt idx="547">
                  <c:v>40724</c:v>
                </c:pt>
                <c:pt idx="548">
                  <c:v>40731</c:v>
                </c:pt>
                <c:pt idx="549">
                  <c:v>40738</c:v>
                </c:pt>
                <c:pt idx="550">
                  <c:v>40745</c:v>
                </c:pt>
                <c:pt idx="551">
                  <c:v>40752</c:v>
                </c:pt>
                <c:pt idx="552">
                  <c:v>40759</c:v>
                </c:pt>
                <c:pt idx="553">
                  <c:v>40766</c:v>
                </c:pt>
                <c:pt idx="554">
                  <c:v>40773</c:v>
                </c:pt>
                <c:pt idx="555">
                  <c:v>40780</c:v>
                </c:pt>
                <c:pt idx="556">
                  <c:v>40787</c:v>
                </c:pt>
                <c:pt idx="557">
                  <c:v>40794</c:v>
                </c:pt>
                <c:pt idx="558">
                  <c:v>40801</c:v>
                </c:pt>
                <c:pt idx="559">
                  <c:v>40808</c:v>
                </c:pt>
                <c:pt idx="560">
                  <c:v>40815</c:v>
                </c:pt>
                <c:pt idx="561">
                  <c:v>40822</c:v>
                </c:pt>
                <c:pt idx="562">
                  <c:v>40829</c:v>
                </c:pt>
                <c:pt idx="563">
                  <c:v>40836</c:v>
                </c:pt>
                <c:pt idx="564">
                  <c:v>40843</c:v>
                </c:pt>
                <c:pt idx="565">
                  <c:v>40850</c:v>
                </c:pt>
                <c:pt idx="566">
                  <c:v>40857</c:v>
                </c:pt>
                <c:pt idx="567">
                  <c:v>40864</c:v>
                </c:pt>
                <c:pt idx="568">
                  <c:v>40870</c:v>
                </c:pt>
                <c:pt idx="569">
                  <c:v>40878</c:v>
                </c:pt>
                <c:pt idx="570">
                  <c:v>40885</c:v>
                </c:pt>
                <c:pt idx="571">
                  <c:v>40892</c:v>
                </c:pt>
                <c:pt idx="572">
                  <c:v>40899</c:v>
                </c:pt>
                <c:pt idx="573">
                  <c:v>40906</c:v>
                </c:pt>
                <c:pt idx="574">
                  <c:v>40913</c:v>
                </c:pt>
                <c:pt idx="575">
                  <c:v>40920</c:v>
                </c:pt>
                <c:pt idx="576">
                  <c:v>40927</c:v>
                </c:pt>
                <c:pt idx="577">
                  <c:v>40934</c:v>
                </c:pt>
                <c:pt idx="578">
                  <c:v>40941</c:v>
                </c:pt>
                <c:pt idx="579">
                  <c:v>40948</c:v>
                </c:pt>
                <c:pt idx="580">
                  <c:v>40955</c:v>
                </c:pt>
                <c:pt idx="581">
                  <c:v>40962</c:v>
                </c:pt>
                <c:pt idx="582">
                  <c:v>40969</c:v>
                </c:pt>
                <c:pt idx="583">
                  <c:v>40976</c:v>
                </c:pt>
                <c:pt idx="584">
                  <c:v>40983</c:v>
                </c:pt>
                <c:pt idx="585">
                  <c:v>40990</c:v>
                </c:pt>
                <c:pt idx="586">
                  <c:v>40997</c:v>
                </c:pt>
                <c:pt idx="587">
                  <c:v>41004</c:v>
                </c:pt>
                <c:pt idx="588">
                  <c:v>41011</c:v>
                </c:pt>
                <c:pt idx="589">
                  <c:v>41018</c:v>
                </c:pt>
                <c:pt idx="590">
                  <c:v>41025</c:v>
                </c:pt>
                <c:pt idx="591">
                  <c:v>41032</c:v>
                </c:pt>
                <c:pt idx="592">
                  <c:v>41039</c:v>
                </c:pt>
                <c:pt idx="593">
                  <c:v>41046</c:v>
                </c:pt>
                <c:pt idx="594">
                  <c:v>41053</c:v>
                </c:pt>
                <c:pt idx="595">
                  <c:v>41060</c:v>
                </c:pt>
                <c:pt idx="596">
                  <c:v>41067</c:v>
                </c:pt>
                <c:pt idx="597">
                  <c:v>41074</c:v>
                </c:pt>
                <c:pt idx="598">
                  <c:v>41081</c:v>
                </c:pt>
                <c:pt idx="599">
                  <c:v>41088</c:v>
                </c:pt>
                <c:pt idx="600">
                  <c:v>41095</c:v>
                </c:pt>
                <c:pt idx="601">
                  <c:v>41102</c:v>
                </c:pt>
                <c:pt idx="602">
                  <c:v>41109</c:v>
                </c:pt>
                <c:pt idx="603">
                  <c:v>41116</c:v>
                </c:pt>
                <c:pt idx="604">
                  <c:v>41123</c:v>
                </c:pt>
                <c:pt idx="605">
                  <c:v>41130</c:v>
                </c:pt>
                <c:pt idx="606">
                  <c:v>41137</c:v>
                </c:pt>
                <c:pt idx="607">
                  <c:v>41144</c:v>
                </c:pt>
                <c:pt idx="608">
                  <c:v>41151</c:v>
                </c:pt>
                <c:pt idx="609">
                  <c:v>41158</c:v>
                </c:pt>
                <c:pt idx="610">
                  <c:v>41165</c:v>
                </c:pt>
                <c:pt idx="611">
                  <c:v>41172</c:v>
                </c:pt>
                <c:pt idx="612">
                  <c:v>41179</c:v>
                </c:pt>
                <c:pt idx="613">
                  <c:v>41186</c:v>
                </c:pt>
                <c:pt idx="614">
                  <c:v>41193</c:v>
                </c:pt>
                <c:pt idx="615">
                  <c:v>41200</c:v>
                </c:pt>
                <c:pt idx="616">
                  <c:v>41207</c:v>
                </c:pt>
                <c:pt idx="617">
                  <c:v>41214</c:v>
                </c:pt>
                <c:pt idx="618">
                  <c:v>41221</c:v>
                </c:pt>
                <c:pt idx="619">
                  <c:v>41228</c:v>
                </c:pt>
                <c:pt idx="620">
                  <c:v>41234</c:v>
                </c:pt>
                <c:pt idx="621">
                  <c:v>41242</c:v>
                </c:pt>
                <c:pt idx="622">
                  <c:v>41249</c:v>
                </c:pt>
                <c:pt idx="623">
                  <c:v>41256</c:v>
                </c:pt>
                <c:pt idx="624">
                  <c:v>41263</c:v>
                </c:pt>
                <c:pt idx="625">
                  <c:v>41270</c:v>
                </c:pt>
                <c:pt idx="626">
                  <c:v>41277</c:v>
                </c:pt>
                <c:pt idx="627">
                  <c:v>41284</c:v>
                </c:pt>
                <c:pt idx="628">
                  <c:v>41291</c:v>
                </c:pt>
                <c:pt idx="629">
                  <c:v>41298</c:v>
                </c:pt>
                <c:pt idx="630">
                  <c:v>41305</c:v>
                </c:pt>
                <c:pt idx="631">
                  <c:v>41312</c:v>
                </c:pt>
                <c:pt idx="632">
                  <c:v>41319</c:v>
                </c:pt>
                <c:pt idx="633">
                  <c:v>41326</c:v>
                </c:pt>
                <c:pt idx="634">
                  <c:v>41333</c:v>
                </c:pt>
                <c:pt idx="635">
                  <c:v>41340</c:v>
                </c:pt>
                <c:pt idx="636">
                  <c:v>41347</c:v>
                </c:pt>
                <c:pt idx="637">
                  <c:v>41354</c:v>
                </c:pt>
                <c:pt idx="638">
                  <c:v>41361</c:v>
                </c:pt>
                <c:pt idx="639">
                  <c:v>41368</c:v>
                </c:pt>
                <c:pt idx="640">
                  <c:v>41375</c:v>
                </c:pt>
                <c:pt idx="641">
                  <c:v>41382</c:v>
                </c:pt>
                <c:pt idx="642">
                  <c:v>41389</c:v>
                </c:pt>
                <c:pt idx="643">
                  <c:v>41396</c:v>
                </c:pt>
                <c:pt idx="644">
                  <c:v>41403</c:v>
                </c:pt>
                <c:pt idx="645">
                  <c:v>41410</c:v>
                </c:pt>
                <c:pt idx="646">
                  <c:v>41417</c:v>
                </c:pt>
                <c:pt idx="647">
                  <c:v>41424</c:v>
                </c:pt>
                <c:pt idx="648">
                  <c:v>41431</c:v>
                </c:pt>
                <c:pt idx="649">
                  <c:v>41438</c:v>
                </c:pt>
                <c:pt idx="650">
                  <c:v>41445</c:v>
                </c:pt>
                <c:pt idx="651">
                  <c:v>41452</c:v>
                </c:pt>
                <c:pt idx="652">
                  <c:v>41458</c:v>
                </c:pt>
                <c:pt idx="653">
                  <c:v>41466</c:v>
                </c:pt>
                <c:pt idx="654">
                  <c:v>41473</c:v>
                </c:pt>
                <c:pt idx="655">
                  <c:v>41480</c:v>
                </c:pt>
                <c:pt idx="656">
                  <c:v>41487</c:v>
                </c:pt>
                <c:pt idx="657">
                  <c:v>41494</c:v>
                </c:pt>
                <c:pt idx="658">
                  <c:v>41501</c:v>
                </c:pt>
                <c:pt idx="659">
                  <c:v>41508</c:v>
                </c:pt>
                <c:pt idx="660">
                  <c:v>41515</c:v>
                </c:pt>
                <c:pt idx="661">
                  <c:v>41522</c:v>
                </c:pt>
                <c:pt idx="662">
                  <c:v>41529</c:v>
                </c:pt>
                <c:pt idx="663">
                  <c:v>41536</c:v>
                </c:pt>
                <c:pt idx="664">
                  <c:v>41543</c:v>
                </c:pt>
                <c:pt idx="665">
                  <c:v>41550</c:v>
                </c:pt>
                <c:pt idx="666">
                  <c:v>41557</c:v>
                </c:pt>
                <c:pt idx="667">
                  <c:v>41564</c:v>
                </c:pt>
                <c:pt idx="668">
                  <c:v>41571</c:v>
                </c:pt>
                <c:pt idx="669">
                  <c:v>41578</c:v>
                </c:pt>
                <c:pt idx="670">
                  <c:v>41585</c:v>
                </c:pt>
                <c:pt idx="671">
                  <c:v>41592</c:v>
                </c:pt>
                <c:pt idx="672">
                  <c:v>41599</c:v>
                </c:pt>
                <c:pt idx="673">
                  <c:v>41605</c:v>
                </c:pt>
                <c:pt idx="674">
                  <c:v>41613</c:v>
                </c:pt>
                <c:pt idx="675">
                  <c:v>41620</c:v>
                </c:pt>
                <c:pt idx="676">
                  <c:v>41627</c:v>
                </c:pt>
                <c:pt idx="677">
                  <c:v>41634</c:v>
                </c:pt>
                <c:pt idx="678">
                  <c:v>41641</c:v>
                </c:pt>
                <c:pt idx="679">
                  <c:v>41648</c:v>
                </c:pt>
                <c:pt idx="680">
                  <c:v>41655</c:v>
                </c:pt>
                <c:pt idx="681">
                  <c:v>41662</c:v>
                </c:pt>
                <c:pt idx="682">
                  <c:v>41669</c:v>
                </c:pt>
                <c:pt idx="683">
                  <c:v>41676</c:v>
                </c:pt>
                <c:pt idx="684">
                  <c:v>41683</c:v>
                </c:pt>
                <c:pt idx="685">
                  <c:v>41690</c:v>
                </c:pt>
                <c:pt idx="686">
                  <c:v>41697</c:v>
                </c:pt>
                <c:pt idx="687">
                  <c:v>41704</c:v>
                </c:pt>
                <c:pt idx="688">
                  <c:v>41711</c:v>
                </c:pt>
                <c:pt idx="689">
                  <c:v>41718</c:v>
                </c:pt>
                <c:pt idx="690">
                  <c:v>41725</c:v>
                </c:pt>
                <c:pt idx="691">
                  <c:v>41732</c:v>
                </c:pt>
                <c:pt idx="692">
                  <c:v>41739</c:v>
                </c:pt>
                <c:pt idx="693">
                  <c:v>41746</c:v>
                </c:pt>
                <c:pt idx="694">
                  <c:v>41753</c:v>
                </c:pt>
                <c:pt idx="695">
                  <c:v>41760</c:v>
                </c:pt>
                <c:pt idx="696">
                  <c:v>41767</c:v>
                </c:pt>
                <c:pt idx="697">
                  <c:v>41774</c:v>
                </c:pt>
                <c:pt idx="698">
                  <c:v>41781</c:v>
                </c:pt>
                <c:pt idx="699">
                  <c:v>41788</c:v>
                </c:pt>
                <c:pt idx="700">
                  <c:v>41795</c:v>
                </c:pt>
                <c:pt idx="701">
                  <c:v>41802</c:v>
                </c:pt>
                <c:pt idx="702">
                  <c:v>41809</c:v>
                </c:pt>
                <c:pt idx="703">
                  <c:v>41816</c:v>
                </c:pt>
                <c:pt idx="704">
                  <c:v>41823</c:v>
                </c:pt>
                <c:pt idx="705">
                  <c:v>41830</c:v>
                </c:pt>
                <c:pt idx="706">
                  <c:v>41837</c:v>
                </c:pt>
                <c:pt idx="707">
                  <c:v>41844</c:v>
                </c:pt>
                <c:pt idx="708">
                  <c:v>41851</c:v>
                </c:pt>
                <c:pt idx="709">
                  <c:v>41858</c:v>
                </c:pt>
                <c:pt idx="710">
                  <c:v>41865</c:v>
                </c:pt>
                <c:pt idx="711">
                  <c:v>41872</c:v>
                </c:pt>
                <c:pt idx="712">
                  <c:v>41879</c:v>
                </c:pt>
                <c:pt idx="713">
                  <c:v>41886</c:v>
                </c:pt>
                <c:pt idx="714">
                  <c:v>41893</c:v>
                </c:pt>
                <c:pt idx="715">
                  <c:v>41900</c:v>
                </c:pt>
                <c:pt idx="716">
                  <c:v>41907</c:v>
                </c:pt>
                <c:pt idx="717">
                  <c:v>41914</c:v>
                </c:pt>
                <c:pt idx="718">
                  <c:v>41921</c:v>
                </c:pt>
                <c:pt idx="719">
                  <c:v>41928</c:v>
                </c:pt>
                <c:pt idx="720">
                  <c:v>41935</c:v>
                </c:pt>
                <c:pt idx="721">
                  <c:v>41942</c:v>
                </c:pt>
                <c:pt idx="722">
                  <c:v>41949</c:v>
                </c:pt>
                <c:pt idx="723">
                  <c:v>41956</c:v>
                </c:pt>
                <c:pt idx="724">
                  <c:v>41963</c:v>
                </c:pt>
                <c:pt idx="725">
                  <c:v>41969</c:v>
                </c:pt>
                <c:pt idx="726">
                  <c:v>41977</c:v>
                </c:pt>
                <c:pt idx="727">
                  <c:v>41984</c:v>
                </c:pt>
                <c:pt idx="728">
                  <c:v>41991</c:v>
                </c:pt>
                <c:pt idx="729">
                  <c:v>41997</c:v>
                </c:pt>
                <c:pt idx="730">
                  <c:v>42004</c:v>
                </c:pt>
                <c:pt idx="731">
                  <c:v>42012</c:v>
                </c:pt>
                <c:pt idx="732">
                  <c:v>42019</c:v>
                </c:pt>
                <c:pt idx="733">
                  <c:v>42026</c:v>
                </c:pt>
                <c:pt idx="734">
                  <c:v>42033</c:v>
                </c:pt>
                <c:pt idx="735">
                  <c:v>42040</c:v>
                </c:pt>
                <c:pt idx="736">
                  <c:v>42047</c:v>
                </c:pt>
                <c:pt idx="737">
                  <c:v>42054</c:v>
                </c:pt>
                <c:pt idx="738">
                  <c:v>42061</c:v>
                </c:pt>
                <c:pt idx="739">
                  <c:v>42068</c:v>
                </c:pt>
                <c:pt idx="740">
                  <c:v>42075</c:v>
                </c:pt>
                <c:pt idx="741">
                  <c:v>42082</c:v>
                </c:pt>
                <c:pt idx="742">
                  <c:v>42089</c:v>
                </c:pt>
                <c:pt idx="743">
                  <c:v>42096</c:v>
                </c:pt>
                <c:pt idx="744">
                  <c:v>42103</c:v>
                </c:pt>
                <c:pt idx="745">
                  <c:v>42110</c:v>
                </c:pt>
                <c:pt idx="746">
                  <c:v>42117</c:v>
                </c:pt>
                <c:pt idx="747">
                  <c:v>42124</c:v>
                </c:pt>
                <c:pt idx="748">
                  <c:v>42131</c:v>
                </c:pt>
                <c:pt idx="749">
                  <c:v>42138</c:v>
                </c:pt>
                <c:pt idx="750">
                  <c:v>42145</c:v>
                </c:pt>
                <c:pt idx="751">
                  <c:v>42152</c:v>
                </c:pt>
                <c:pt idx="752">
                  <c:v>42159</c:v>
                </c:pt>
              </c:numCache>
            </c:numRef>
          </c:cat>
          <c:val>
            <c:numRef>
              <c:f>'Low rate'!$C$3:$C$755</c:f>
              <c:numCache>
                <c:formatCode>General</c:formatCode>
                <c:ptCount val="753"/>
                <c:pt idx="0">
                  <c:v>7.07</c:v>
                </c:pt>
                <c:pt idx="1">
                  <c:v>6.8649999999999904</c:v>
                </c:pt>
                <c:pt idx="2">
                  <c:v>6.9949999999999903</c:v>
                </c:pt>
                <c:pt idx="3">
                  <c:v>7.1</c:v>
                </c:pt>
                <c:pt idx="4">
                  <c:v>7.09</c:v>
                </c:pt>
                <c:pt idx="5">
                  <c:v>6.98</c:v>
                </c:pt>
                <c:pt idx="6">
                  <c:v>6.9849999999999897</c:v>
                </c:pt>
                <c:pt idx="7">
                  <c:v>7.0949999999999998</c:v>
                </c:pt>
                <c:pt idx="8">
                  <c:v>7.0049999999999999</c:v>
                </c:pt>
                <c:pt idx="9">
                  <c:v>6.9449999999999896</c:v>
                </c:pt>
                <c:pt idx="10">
                  <c:v>6.9349999999999996</c:v>
                </c:pt>
                <c:pt idx="11">
                  <c:v>6.89</c:v>
                </c:pt>
                <c:pt idx="12">
                  <c:v>6.8849999999999998</c:v>
                </c:pt>
                <c:pt idx="13">
                  <c:v>6.9849999999999897</c:v>
                </c:pt>
                <c:pt idx="14">
                  <c:v>6.99</c:v>
                </c:pt>
                <c:pt idx="15">
                  <c:v>7.1149999999999904</c:v>
                </c:pt>
                <c:pt idx="16">
                  <c:v>7.12</c:v>
                </c:pt>
                <c:pt idx="17">
                  <c:v>7.1149999999999904</c:v>
                </c:pt>
                <c:pt idx="18">
                  <c:v>7.0749999999999904</c:v>
                </c:pt>
                <c:pt idx="19">
                  <c:v>7.14</c:v>
                </c:pt>
                <c:pt idx="20">
                  <c:v>7.2</c:v>
                </c:pt>
                <c:pt idx="21">
                  <c:v>7.2149999999999999</c:v>
                </c:pt>
                <c:pt idx="22">
                  <c:v>7.2</c:v>
                </c:pt>
                <c:pt idx="23">
                  <c:v>7.1149999999999904</c:v>
                </c:pt>
                <c:pt idx="24">
                  <c:v>7.11</c:v>
                </c:pt>
                <c:pt idx="25">
                  <c:v>7.11</c:v>
                </c:pt>
                <c:pt idx="26">
                  <c:v>7.165</c:v>
                </c:pt>
                <c:pt idx="27">
                  <c:v>7.1849999999999996</c:v>
                </c:pt>
                <c:pt idx="28">
                  <c:v>7.0549999999999997</c:v>
                </c:pt>
                <c:pt idx="29">
                  <c:v>7.0049999999999999</c:v>
                </c:pt>
                <c:pt idx="30">
                  <c:v>6.9749999999999996</c:v>
                </c:pt>
                <c:pt idx="31">
                  <c:v>6.9749999999999996</c:v>
                </c:pt>
                <c:pt idx="32">
                  <c:v>6.8949999999999996</c:v>
                </c:pt>
                <c:pt idx="33">
                  <c:v>6.8849999999999998</c:v>
                </c:pt>
                <c:pt idx="34">
                  <c:v>6.8949999999999996</c:v>
                </c:pt>
                <c:pt idx="35">
                  <c:v>6.8649999999999904</c:v>
                </c:pt>
                <c:pt idx="36">
                  <c:v>6.835</c:v>
                </c:pt>
                <c:pt idx="37">
                  <c:v>6.7749999999999897</c:v>
                </c:pt>
                <c:pt idx="38">
                  <c:v>6.6949999999999896</c:v>
                </c:pt>
                <c:pt idx="39">
                  <c:v>6.59</c:v>
                </c:pt>
                <c:pt idx="40">
                  <c:v>6.5549999999999997</c:v>
                </c:pt>
                <c:pt idx="41">
                  <c:v>6.585</c:v>
                </c:pt>
                <c:pt idx="42">
                  <c:v>6.59</c:v>
                </c:pt>
                <c:pt idx="43">
                  <c:v>6.5349999999999904</c:v>
                </c:pt>
                <c:pt idx="44">
                  <c:v>6.4</c:v>
                </c:pt>
                <c:pt idx="45">
                  <c:v>6.46</c:v>
                </c:pt>
                <c:pt idx="46">
                  <c:v>6.7</c:v>
                </c:pt>
                <c:pt idx="47">
                  <c:v>6.9449999999999896</c:v>
                </c:pt>
                <c:pt idx="48">
                  <c:v>6.7649999999999997</c:v>
                </c:pt>
                <c:pt idx="49">
                  <c:v>7.04</c:v>
                </c:pt>
                <c:pt idx="50">
                  <c:v>7.0949999999999998</c:v>
                </c:pt>
                <c:pt idx="51">
                  <c:v>7.11</c:v>
                </c:pt>
                <c:pt idx="52">
                  <c:v>7.09</c:v>
                </c:pt>
                <c:pt idx="53">
                  <c:v>7.01</c:v>
                </c:pt>
                <c:pt idx="54">
                  <c:v>6.7549999999999999</c:v>
                </c:pt>
                <c:pt idx="55">
                  <c:v>6.8849999999999998</c:v>
                </c:pt>
                <c:pt idx="56">
                  <c:v>6.9449999999999896</c:v>
                </c:pt>
                <c:pt idx="57">
                  <c:v>6.8049999999999997</c:v>
                </c:pt>
                <c:pt idx="58">
                  <c:v>6.7850000000000001</c:v>
                </c:pt>
                <c:pt idx="59">
                  <c:v>6.7349999999999897</c:v>
                </c:pt>
                <c:pt idx="60">
                  <c:v>6.7249999999999996</c:v>
                </c:pt>
                <c:pt idx="61">
                  <c:v>6.7949999999999999</c:v>
                </c:pt>
                <c:pt idx="62">
                  <c:v>7.0049999999999999</c:v>
                </c:pt>
                <c:pt idx="63">
                  <c:v>7.0649999999999897</c:v>
                </c:pt>
                <c:pt idx="64">
                  <c:v>7.1049999999999898</c:v>
                </c:pt>
                <c:pt idx="65">
                  <c:v>7.0549999999999997</c:v>
                </c:pt>
                <c:pt idx="66">
                  <c:v>6.94</c:v>
                </c:pt>
                <c:pt idx="67">
                  <c:v>6.8650000000000002</c:v>
                </c:pt>
                <c:pt idx="68">
                  <c:v>6.8049999999999997</c:v>
                </c:pt>
                <c:pt idx="69">
                  <c:v>6.7050000000000001</c:v>
                </c:pt>
                <c:pt idx="70">
                  <c:v>6.7149999999999999</c:v>
                </c:pt>
                <c:pt idx="71">
                  <c:v>6.8149999999999897</c:v>
                </c:pt>
                <c:pt idx="72">
                  <c:v>6.7349999999999897</c:v>
                </c:pt>
                <c:pt idx="73">
                  <c:v>6.71</c:v>
                </c:pt>
                <c:pt idx="74">
                  <c:v>6.6349999999999998</c:v>
                </c:pt>
                <c:pt idx="75">
                  <c:v>6.6349999999999998</c:v>
                </c:pt>
                <c:pt idx="76">
                  <c:v>6.5049999999999999</c:v>
                </c:pt>
                <c:pt idx="77">
                  <c:v>6.4249999999999998</c:v>
                </c:pt>
                <c:pt idx="78">
                  <c:v>6.4450000000000003</c:v>
                </c:pt>
                <c:pt idx="79">
                  <c:v>6.415</c:v>
                </c:pt>
                <c:pt idx="80">
                  <c:v>6.39</c:v>
                </c:pt>
                <c:pt idx="81">
                  <c:v>6.24</c:v>
                </c:pt>
                <c:pt idx="82">
                  <c:v>6.33</c:v>
                </c:pt>
                <c:pt idx="83">
                  <c:v>6.21</c:v>
                </c:pt>
                <c:pt idx="84">
                  <c:v>6.12</c:v>
                </c:pt>
                <c:pt idx="85">
                  <c:v>6.1949999999999896</c:v>
                </c:pt>
                <c:pt idx="86">
                  <c:v>6.1449999999999996</c:v>
                </c:pt>
                <c:pt idx="87">
                  <c:v>6.05</c:v>
                </c:pt>
                <c:pt idx="88">
                  <c:v>6.08</c:v>
                </c:pt>
                <c:pt idx="89">
                  <c:v>5.9749999999999996</c:v>
                </c:pt>
                <c:pt idx="90">
                  <c:v>5.89</c:v>
                </c:pt>
                <c:pt idx="91">
                  <c:v>5.8849999999999998</c:v>
                </c:pt>
                <c:pt idx="92">
                  <c:v>5.88</c:v>
                </c:pt>
                <c:pt idx="93">
                  <c:v>6.0250000000000004</c:v>
                </c:pt>
                <c:pt idx="94">
                  <c:v>6.21</c:v>
                </c:pt>
                <c:pt idx="95">
                  <c:v>6.03</c:v>
                </c:pt>
                <c:pt idx="96">
                  <c:v>6.01</c:v>
                </c:pt>
                <c:pt idx="97">
                  <c:v>5.84</c:v>
                </c:pt>
                <c:pt idx="98">
                  <c:v>5.93</c:v>
                </c:pt>
                <c:pt idx="99">
                  <c:v>6.03</c:v>
                </c:pt>
                <c:pt idx="100">
                  <c:v>6.0650000000000004</c:v>
                </c:pt>
                <c:pt idx="101">
                  <c:v>5.915</c:v>
                </c:pt>
                <c:pt idx="102">
                  <c:v>5.93</c:v>
                </c:pt>
                <c:pt idx="103">
                  <c:v>5.83</c:v>
                </c:pt>
                <c:pt idx="104">
                  <c:v>5.75</c:v>
                </c:pt>
                <c:pt idx="105">
                  <c:v>5.8250000000000002</c:v>
                </c:pt>
                <c:pt idx="106">
                  <c:v>5.87</c:v>
                </c:pt>
                <c:pt idx="107">
                  <c:v>5.81</c:v>
                </c:pt>
                <c:pt idx="108">
                  <c:v>5.8</c:v>
                </c:pt>
                <c:pt idx="109">
                  <c:v>5.8049999999999997</c:v>
                </c:pt>
                <c:pt idx="110">
                  <c:v>5.76</c:v>
                </c:pt>
                <c:pt idx="111">
                  <c:v>5.74</c:v>
                </c:pt>
                <c:pt idx="112">
                  <c:v>5.69</c:v>
                </c:pt>
                <c:pt idx="113">
                  <c:v>5.57</c:v>
                </c:pt>
                <c:pt idx="114">
                  <c:v>5.51</c:v>
                </c:pt>
                <c:pt idx="115">
                  <c:v>5.69</c:v>
                </c:pt>
                <c:pt idx="116">
                  <c:v>5.81</c:v>
                </c:pt>
                <c:pt idx="117">
                  <c:v>5.69</c:v>
                </c:pt>
                <c:pt idx="118">
                  <c:v>5.75</c:v>
                </c:pt>
                <c:pt idx="119">
                  <c:v>5.72</c:v>
                </c:pt>
                <c:pt idx="120">
                  <c:v>5.69</c:v>
                </c:pt>
                <c:pt idx="121">
                  <c:v>5.6</c:v>
                </c:pt>
                <c:pt idx="122">
                  <c:v>5.5449999999999999</c:v>
                </c:pt>
                <c:pt idx="123">
                  <c:v>5.35</c:v>
                </c:pt>
                <c:pt idx="124">
                  <c:v>5.2649999999999997</c:v>
                </c:pt>
                <c:pt idx="125">
                  <c:v>5.21</c:v>
                </c:pt>
                <c:pt idx="126">
                  <c:v>5.1349999999999998</c:v>
                </c:pt>
                <c:pt idx="127">
                  <c:v>5.085</c:v>
                </c:pt>
                <c:pt idx="128">
                  <c:v>5.1100000000000003</c:v>
                </c:pt>
                <c:pt idx="129">
                  <c:v>5.14</c:v>
                </c:pt>
                <c:pt idx="130">
                  <c:v>5.2750000000000004</c:v>
                </c:pt>
                <c:pt idx="131">
                  <c:v>5.42</c:v>
                </c:pt>
                <c:pt idx="132">
                  <c:v>5.5449999999999999</c:v>
                </c:pt>
                <c:pt idx="133">
                  <c:v>5.79</c:v>
                </c:pt>
                <c:pt idx="134">
                  <c:v>6.0149999999999997</c:v>
                </c:pt>
                <c:pt idx="135">
                  <c:v>6.2649999999999997</c:v>
                </c:pt>
                <c:pt idx="136">
                  <c:v>6.165</c:v>
                </c:pt>
                <c:pt idx="137">
                  <c:v>6.23</c:v>
                </c:pt>
                <c:pt idx="138">
                  <c:v>6.2450000000000001</c:v>
                </c:pt>
                <c:pt idx="139">
                  <c:v>6.34</c:v>
                </c:pt>
                <c:pt idx="140">
                  <c:v>6.06</c:v>
                </c:pt>
                <c:pt idx="141">
                  <c:v>5.8849999999999998</c:v>
                </c:pt>
                <c:pt idx="142">
                  <c:v>5.88</c:v>
                </c:pt>
                <c:pt idx="143">
                  <c:v>5.67</c:v>
                </c:pt>
                <c:pt idx="144">
                  <c:v>5.85</c:v>
                </c:pt>
                <c:pt idx="145">
                  <c:v>5.9249999999999998</c:v>
                </c:pt>
                <c:pt idx="146">
                  <c:v>5.9749999999999996</c:v>
                </c:pt>
                <c:pt idx="147">
                  <c:v>5.84</c:v>
                </c:pt>
                <c:pt idx="148">
                  <c:v>5.9050000000000002</c:v>
                </c:pt>
                <c:pt idx="149">
                  <c:v>5.93</c:v>
                </c:pt>
                <c:pt idx="150">
                  <c:v>5.73</c:v>
                </c:pt>
                <c:pt idx="151">
                  <c:v>5.79</c:v>
                </c:pt>
                <c:pt idx="152">
                  <c:v>5.92</c:v>
                </c:pt>
                <c:pt idx="153">
                  <c:v>5.8049999999999997</c:v>
                </c:pt>
                <c:pt idx="154">
                  <c:v>5.7450000000000001</c:v>
                </c:pt>
                <c:pt idx="155">
                  <c:v>5.7349999999999897</c:v>
                </c:pt>
                <c:pt idx="156">
                  <c:v>5.7749999999999897</c:v>
                </c:pt>
                <c:pt idx="157">
                  <c:v>5.7949999999999999</c:v>
                </c:pt>
                <c:pt idx="158">
                  <c:v>5.56</c:v>
                </c:pt>
                <c:pt idx="159">
                  <c:v>5.54</c:v>
                </c:pt>
                <c:pt idx="160">
                  <c:v>5.6049999999999898</c:v>
                </c:pt>
                <c:pt idx="161">
                  <c:v>5.62</c:v>
                </c:pt>
                <c:pt idx="162">
                  <c:v>5.585</c:v>
                </c:pt>
                <c:pt idx="163">
                  <c:v>5.48</c:v>
                </c:pt>
                <c:pt idx="164">
                  <c:v>5.5049999999999999</c:v>
                </c:pt>
                <c:pt idx="165">
                  <c:v>5.5149999999999997</c:v>
                </c:pt>
                <c:pt idx="166">
                  <c:v>5.31</c:v>
                </c:pt>
                <c:pt idx="167">
                  <c:v>5.3049999999999997</c:v>
                </c:pt>
                <c:pt idx="168">
                  <c:v>5.3250000000000002</c:v>
                </c:pt>
                <c:pt idx="169">
                  <c:v>5.42</c:v>
                </c:pt>
                <c:pt idx="170">
                  <c:v>5.7149999999999999</c:v>
                </c:pt>
                <c:pt idx="171">
                  <c:v>5.79</c:v>
                </c:pt>
                <c:pt idx="172">
                  <c:v>5.8650000000000002</c:v>
                </c:pt>
                <c:pt idx="173">
                  <c:v>5.9349999999999996</c:v>
                </c:pt>
                <c:pt idx="174">
                  <c:v>6.0449999999999999</c:v>
                </c:pt>
                <c:pt idx="175">
                  <c:v>6.2649999999999997</c:v>
                </c:pt>
                <c:pt idx="176">
                  <c:v>6.2249999999999996</c:v>
                </c:pt>
                <c:pt idx="177">
                  <c:v>6.22</c:v>
                </c:pt>
                <c:pt idx="178">
                  <c:v>6.2050000000000001</c:v>
                </c:pt>
                <c:pt idx="179">
                  <c:v>6.2249999999999996</c:v>
                </c:pt>
                <c:pt idx="180">
                  <c:v>6.1950000000000003</c:v>
                </c:pt>
                <c:pt idx="181">
                  <c:v>6.15</c:v>
                </c:pt>
                <c:pt idx="182">
                  <c:v>6.11</c:v>
                </c:pt>
                <c:pt idx="183">
                  <c:v>5.91</c:v>
                </c:pt>
                <c:pt idx="184">
                  <c:v>5.9</c:v>
                </c:pt>
                <c:pt idx="185">
                  <c:v>5.88</c:v>
                </c:pt>
                <c:pt idx="186">
                  <c:v>5.98</c:v>
                </c:pt>
                <c:pt idx="187">
                  <c:v>5.915</c:v>
                </c:pt>
                <c:pt idx="188">
                  <c:v>5.75</c:v>
                </c:pt>
                <c:pt idx="189">
                  <c:v>5.7349999999999897</c:v>
                </c:pt>
                <c:pt idx="190">
                  <c:v>5.7450000000000001</c:v>
                </c:pt>
                <c:pt idx="191">
                  <c:v>5.72</c:v>
                </c:pt>
                <c:pt idx="192">
                  <c:v>5.78</c:v>
                </c:pt>
                <c:pt idx="193">
                  <c:v>5.7</c:v>
                </c:pt>
                <c:pt idx="194">
                  <c:v>5.625</c:v>
                </c:pt>
                <c:pt idx="195">
                  <c:v>5.62</c:v>
                </c:pt>
                <c:pt idx="196">
                  <c:v>5.72</c:v>
                </c:pt>
                <c:pt idx="197">
                  <c:v>5.64</c:v>
                </c:pt>
                <c:pt idx="198">
                  <c:v>5.6150000000000002</c:v>
                </c:pt>
                <c:pt idx="199">
                  <c:v>5.5649999999999897</c:v>
                </c:pt>
                <c:pt idx="200">
                  <c:v>5.6</c:v>
                </c:pt>
                <c:pt idx="201">
                  <c:v>5.6849999999999996</c:v>
                </c:pt>
                <c:pt idx="202">
                  <c:v>5.64</c:v>
                </c:pt>
                <c:pt idx="203">
                  <c:v>5.62</c:v>
                </c:pt>
                <c:pt idx="204">
                  <c:v>5.71</c:v>
                </c:pt>
                <c:pt idx="205">
                  <c:v>5.6349999999999998</c:v>
                </c:pt>
                <c:pt idx="206">
                  <c:v>5.58</c:v>
                </c:pt>
                <c:pt idx="207">
                  <c:v>5.65</c:v>
                </c:pt>
                <c:pt idx="208">
                  <c:v>5.71</c:v>
                </c:pt>
                <c:pt idx="209">
                  <c:v>5.6949999999999896</c:v>
                </c:pt>
                <c:pt idx="210">
                  <c:v>5.64</c:v>
                </c:pt>
                <c:pt idx="211">
                  <c:v>5.5949999999999998</c:v>
                </c:pt>
                <c:pt idx="212">
                  <c:v>5.56</c:v>
                </c:pt>
                <c:pt idx="213">
                  <c:v>5.5549999999999997</c:v>
                </c:pt>
                <c:pt idx="214">
                  <c:v>5.52</c:v>
                </c:pt>
                <c:pt idx="215">
                  <c:v>5.5449999999999999</c:v>
                </c:pt>
                <c:pt idx="216">
                  <c:v>5.6150000000000002</c:v>
                </c:pt>
                <c:pt idx="217">
                  <c:v>5.7149999999999999</c:v>
                </c:pt>
                <c:pt idx="218">
                  <c:v>5.75</c:v>
                </c:pt>
                <c:pt idx="219">
                  <c:v>5.875</c:v>
                </c:pt>
                <c:pt idx="220">
                  <c:v>5.9349999999999996</c:v>
                </c:pt>
                <c:pt idx="221">
                  <c:v>5.9649999999999999</c:v>
                </c:pt>
                <c:pt idx="222">
                  <c:v>5.8549999999999898</c:v>
                </c:pt>
                <c:pt idx="223">
                  <c:v>5.835</c:v>
                </c:pt>
                <c:pt idx="224">
                  <c:v>5.6749999999999998</c:v>
                </c:pt>
                <c:pt idx="225">
                  <c:v>5.68</c:v>
                </c:pt>
                <c:pt idx="226">
                  <c:v>5.65</c:v>
                </c:pt>
                <c:pt idx="227">
                  <c:v>5.6449999999999996</c:v>
                </c:pt>
                <c:pt idx="228">
                  <c:v>5.6349999999999998</c:v>
                </c:pt>
                <c:pt idx="229">
                  <c:v>5.55</c:v>
                </c:pt>
                <c:pt idx="230">
                  <c:v>5.52</c:v>
                </c:pt>
                <c:pt idx="231">
                  <c:v>5.46</c:v>
                </c:pt>
                <c:pt idx="232">
                  <c:v>5.5049999999999999</c:v>
                </c:pt>
                <c:pt idx="233">
                  <c:v>5.47</c:v>
                </c:pt>
                <c:pt idx="234">
                  <c:v>5.43</c:v>
                </c:pt>
                <c:pt idx="235">
                  <c:v>5.52</c:v>
                </c:pt>
                <c:pt idx="236">
                  <c:v>5.56</c:v>
                </c:pt>
                <c:pt idx="237">
                  <c:v>5.58</c:v>
                </c:pt>
                <c:pt idx="238">
                  <c:v>5.6449999999999996</c:v>
                </c:pt>
                <c:pt idx="239">
                  <c:v>5.72</c:v>
                </c:pt>
                <c:pt idx="240">
                  <c:v>5.7649999999999997</c:v>
                </c:pt>
                <c:pt idx="241">
                  <c:v>5.6749999999999998</c:v>
                </c:pt>
                <c:pt idx="242">
                  <c:v>5.6449999999999996</c:v>
                </c:pt>
                <c:pt idx="243">
                  <c:v>5.61</c:v>
                </c:pt>
                <c:pt idx="244">
                  <c:v>5.61</c:v>
                </c:pt>
                <c:pt idx="245">
                  <c:v>5.64</c:v>
                </c:pt>
                <c:pt idx="246">
                  <c:v>5.7</c:v>
                </c:pt>
                <c:pt idx="247">
                  <c:v>5.7850000000000001</c:v>
                </c:pt>
                <c:pt idx="248">
                  <c:v>5.8550000000000004</c:v>
                </c:pt>
                <c:pt idx="249">
                  <c:v>5.93</c:v>
                </c:pt>
                <c:pt idx="250">
                  <c:v>5.9749999999999996</c:v>
                </c:pt>
                <c:pt idx="251">
                  <c:v>6.0250000000000004</c:v>
                </c:pt>
                <c:pt idx="252">
                  <c:v>6.1849999999999996</c:v>
                </c:pt>
                <c:pt idx="253">
                  <c:v>6.2350000000000003</c:v>
                </c:pt>
                <c:pt idx="254">
                  <c:v>6.27</c:v>
                </c:pt>
                <c:pt idx="255">
                  <c:v>6.18</c:v>
                </c:pt>
                <c:pt idx="256">
                  <c:v>6.1349999999999998</c:v>
                </c:pt>
                <c:pt idx="257">
                  <c:v>6.22</c:v>
                </c:pt>
                <c:pt idx="258">
                  <c:v>6.1749999999999998</c:v>
                </c:pt>
                <c:pt idx="259">
                  <c:v>6.16</c:v>
                </c:pt>
                <c:pt idx="260">
                  <c:v>6.0949999999999998</c:v>
                </c:pt>
                <c:pt idx="261">
                  <c:v>6.085</c:v>
                </c:pt>
                <c:pt idx="262">
                  <c:v>6.05</c:v>
                </c:pt>
                <c:pt idx="263">
                  <c:v>5.9749999999999996</c:v>
                </c:pt>
                <c:pt idx="264">
                  <c:v>5.9950000000000001</c:v>
                </c:pt>
                <c:pt idx="265">
                  <c:v>6.1050000000000004</c:v>
                </c:pt>
                <c:pt idx="266">
                  <c:v>6.14</c:v>
                </c:pt>
                <c:pt idx="267">
                  <c:v>6.1550000000000002</c:v>
                </c:pt>
                <c:pt idx="268">
                  <c:v>6.16</c:v>
                </c:pt>
                <c:pt idx="269">
                  <c:v>6.14</c:v>
                </c:pt>
                <c:pt idx="270">
                  <c:v>6.27</c:v>
                </c:pt>
                <c:pt idx="271">
                  <c:v>6.2649999999999997</c:v>
                </c:pt>
                <c:pt idx="272">
                  <c:v>6.22</c:v>
                </c:pt>
                <c:pt idx="273">
                  <c:v>6.2249999999999996</c:v>
                </c:pt>
                <c:pt idx="274">
                  <c:v>6.33</c:v>
                </c:pt>
                <c:pt idx="275">
                  <c:v>6.39</c:v>
                </c:pt>
                <c:pt idx="276">
                  <c:v>6.43</c:v>
                </c:pt>
                <c:pt idx="277">
                  <c:v>6.4550000000000001</c:v>
                </c:pt>
                <c:pt idx="278">
                  <c:v>6.49</c:v>
                </c:pt>
                <c:pt idx="279">
                  <c:v>6.4550000000000001</c:v>
                </c:pt>
                <c:pt idx="280">
                  <c:v>6.4749999999999996</c:v>
                </c:pt>
                <c:pt idx="281">
                  <c:v>6.47</c:v>
                </c:pt>
                <c:pt idx="282">
                  <c:v>6.52</c:v>
                </c:pt>
                <c:pt idx="283">
                  <c:v>6.4950000000000001</c:v>
                </c:pt>
                <c:pt idx="284">
                  <c:v>6.5049999999999999</c:v>
                </c:pt>
                <c:pt idx="285">
                  <c:v>6.585</c:v>
                </c:pt>
                <c:pt idx="286">
                  <c:v>6.6550000000000002</c:v>
                </c:pt>
                <c:pt idx="287">
                  <c:v>6.665</c:v>
                </c:pt>
                <c:pt idx="288">
                  <c:v>6.64</c:v>
                </c:pt>
                <c:pt idx="289">
                  <c:v>6.6749999999999998</c:v>
                </c:pt>
                <c:pt idx="290">
                  <c:v>6.5449999999999999</c:v>
                </c:pt>
                <c:pt idx="291">
                  <c:v>6.4550000000000001</c:v>
                </c:pt>
                <c:pt idx="292">
                  <c:v>6.3999999999999897</c:v>
                </c:pt>
                <c:pt idx="293">
                  <c:v>6.3449999999999998</c:v>
                </c:pt>
                <c:pt idx="294">
                  <c:v>6.33</c:v>
                </c:pt>
                <c:pt idx="295">
                  <c:v>6.29</c:v>
                </c:pt>
                <c:pt idx="296">
                  <c:v>6.3199999999999896</c:v>
                </c:pt>
                <c:pt idx="297">
                  <c:v>6.3049999999999997</c:v>
                </c:pt>
                <c:pt idx="298">
                  <c:v>6.2750000000000004</c:v>
                </c:pt>
                <c:pt idx="299">
                  <c:v>6.1599999999999904</c:v>
                </c:pt>
                <c:pt idx="300">
                  <c:v>6.125</c:v>
                </c:pt>
                <c:pt idx="301">
                  <c:v>6.2450000000000001</c:v>
                </c:pt>
                <c:pt idx="302">
                  <c:v>6.2350000000000003</c:v>
                </c:pt>
                <c:pt idx="303">
                  <c:v>6.25</c:v>
                </c:pt>
                <c:pt idx="304">
                  <c:v>6.1599999999999904</c:v>
                </c:pt>
                <c:pt idx="305">
                  <c:v>6.23</c:v>
                </c:pt>
                <c:pt idx="306">
                  <c:v>6.1150000000000002</c:v>
                </c:pt>
                <c:pt idx="307">
                  <c:v>6.0549999999999997</c:v>
                </c:pt>
                <c:pt idx="308">
                  <c:v>5.9899999999999904</c:v>
                </c:pt>
                <c:pt idx="309">
                  <c:v>5.9850000000000003</c:v>
                </c:pt>
                <c:pt idx="310">
                  <c:v>5.97</c:v>
                </c:pt>
                <c:pt idx="311">
                  <c:v>5.9799999999999898</c:v>
                </c:pt>
                <c:pt idx="312">
                  <c:v>6.0299999999999896</c:v>
                </c:pt>
                <c:pt idx="313">
                  <c:v>6.0299999999999896</c:v>
                </c:pt>
                <c:pt idx="314">
                  <c:v>6.06</c:v>
                </c:pt>
                <c:pt idx="315">
                  <c:v>6.08</c:v>
                </c:pt>
                <c:pt idx="316">
                  <c:v>6.1</c:v>
                </c:pt>
                <c:pt idx="317">
                  <c:v>6.1899999999999897</c:v>
                </c:pt>
                <c:pt idx="318">
                  <c:v>6.1050000000000004</c:v>
                </c:pt>
                <c:pt idx="319">
                  <c:v>6.1499999999999897</c:v>
                </c:pt>
                <c:pt idx="320">
                  <c:v>6.0949999999999998</c:v>
                </c:pt>
                <c:pt idx="321">
                  <c:v>6.0299999999999896</c:v>
                </c:pt>
                <c:pt idx="322">
                  <c:v>6.0149999999999997</c:v>
                </c:pt>
                <c:pt idx="323">
                  <c:v>5.9899999999999904</c:v>
                </c:pt>
                <c:pt idx="324">
                  <c:v>6.01</c:v>
                </c:pt>
                <c:pt idx="325">
                  <c:v>6.01</c:v>
                </c:pt>
                <c:pt idx="326">
                  <c:v>6.02</c:v>
                </c:pt>
                <c:pt idx="327">
                  <c:v>6.0699999999999896</c:v>
                </c:pt>
                <c:pt idx="328">
                  <c:v>6.0449999999999999</c:v>
                </c:pt>
                <c:pt idx="329">
                  <c:v>6.0350000000000001</c:v>
                </c:pt>
                <c:pt idx="330">
                  <c:v>6.0350000000000001</c:v>
                </c:pt>
                <c:pt idx="331">
                  <c:v>6.0250000000000004</c:v>
                </c:pt>
                <c:pt idx="332">
                  <c:v>6.06</c:v>
                </c:pt>
                <c:pt idx="333">
                  <c:v>6.22</c:v>
                </c:pt>
                <c:pt idx="334">
                  <c:v>6.27</c:v>
                </c:pt>
                <c:pt idx="335">
                  <c:v>6.38</c:v>
                </c:pt>
                <c:pt idx="336">
                  <c:v>6.59</c:v>
                </c:pt>
                <c:pt idx="337">
                  <c:v>6.5650000000000004</c:v>
                </c:pt>
                <c:pt idx="338">
                  <c:v>6.52</c:v>
                </c:pt>
                <c:pt idx="339">
                  <c:v>6.4799999999999898</c:v>
                </c:pt>
                <c:pt idx="340">
                  <c:v>6.58</c:v>
                </c:pt>
                <c:pt idx="341">
                  <c:v>6.58</c:v>
                </c:pt>
                <c:pt idx="342">
                  <c:v>6.54</c:v>
                </c:pt>
                <c:pt idx="343">
                  <c:v>6.5049999999999999</c:v>
                </c:pt>
                <c:pt idx="344">
                  <c:v>6.4399999999999897</c:v>
                </c:pt>
                <c:pt idx="345">
                  <c:v>6.47</c:v>
                </c:pt>
                <c:pt idx="346">
                  <c:v>6.3699999999999903</c:v>
                </c:pt>
                <c:pt idx="347">
                  <c:v>6.3250000000000002</c:v>
                </c:pt>
                <c:pt idx="348">
                  <c:v>6.335</c:v>
                </c:pt>
                <c:pt idx="349">
                  <c:v>6.1849999999999996</c:v>
                </c:pt>
                <c:pt idx="350">
                  <c:v>6.2149999999999999</c:v>
                </c:pt>
                <c:pt idx="351">
                  <c:v>6.2949999999999999</c:v>
                </c:pt>
                <c:pt idx="352">
                  <c:v>6.2450000000000001</c:v>
                </c:pt>
                <c:pt idx="353">
                  <c:v>6.25</c:v>
                </c:pt>
                <c:pt idx="354">
                  <c:v>6.2750000000000004</c:v>
                </c:pt>
                <c:pt idx="355">
                  <c:v>6.2050000000000001</c:v>
                </c:pt>
                <c:pt idx="356">
                  <c:v>6.1099999999999897</c:v>
                </c:pt>
                <c:pt idx="357">
                  <c:v>6.09</c:v>
                </c:pt>
                <c:pt idx="358">
                  <c:v>6.09</c:v>
                </c:pt>
                <c:pt idx="359">
                  <c:v>6.0750000000000002</c:v>
                </c:pt>
                <c:pt idx="360">
                  <c:v>5.9749999999999996</c:v>
                </c:pt>
                <c:pt idx="361">
                  <c:v>5.81</c:v>
                </c:pt>
                <c:pt idx="362">
                  <c:v>5.9850000000000003</c:v>
                </c:pt>
                <c:pt idx="363">
                  <c:v>5.9899999999999904</c:v>
                </c:pt>
                <c:pt idx="364">
                  <c:v>6.0449999999999999</c:v>
                </c:pt>
                <c:pt idx="365">
                  <c:v>5.9450000000000003</c:v>
                </c:pt>
                <c:pt idx="366">
                  <c:v>5.72</c:v>
                </c:pt>
                <c:pt idx="367">
                  <c:v>5.5650000000000004</c:v>
                </c:pt>
                <c:pt idx="368">
                  <c:v>5.33</c:v>
                </c:pt>
                <c:pt idx="369">
                  <c:v>5.5299999999999896</c:v>
                </c:pt>
                <c:pt idx="370">
                  <c:v>5.52</c:v>
                </c:pt>
                <c:pt idx="371">
                  <c:v>5.5699999999999896</c:v>
                </c:pt>
                <c:pt idx="372">
                  <c:v>5.94</c:v>
                </c:pt>
                <c:pt idx="373">
                  <c:v>6.1150000000000002</c:v>
                </c:pt>
                <c:pt idx="374">
                  <c:v>5.9050000000000002</c:v>
                </c:pt>
                <c:pt idx="375">
                  <c:v>6.0049999999999999</c:v>
                </c:pt>
                <c:pt idx="376">
                  <c:v>5.7450000000000001</c:v>
                </c:pt>
                <c:pt idx="377">
                  <c:v>5.6999999999999904</c:v>
                </c:pt>
                <c:pt idx="378">
                  <c:v>5.7549999999999999</c:v>
                </c:pt>
                <c:pt idx="379">
                  <c:v>5.7299999999999898</c:v>
                </c:pt>
                <c:pt idx="380">
                  <c:v>5.7299999999999898</c:v>
                </c:pt>
                <c:pt idx="381">
                  <c:v>5.8550000000000004</c:v>
                </c:pt>
                <c:pt idx="382">
                  <c:v>5.9349999999999996</c:v>
                </c:pt>
                <c:pt idx="383">
                  <c:v>5.875</c:v>
                </c:pt>
                <c:pt idx="384">
                  <c:v>5.91</c:v>
                </c:pt>
                <c:pt idx="385">
                  <c:v>5.8550000000000004</c:v>
                </c:pt>
                <c:pt idx="386">
                  <c:v>5.98</c:v>
                </c:pt>
                <c:pt idx="387">
                  <c:v>5.99</c:v>
                </c:pt>
                <c:pt idx="388">
                  <c:v>6.2450000000000001</c:v>
                </c:pt>
                <c:pt idx="389">
                  <c:v>6.3449999999999998</c:v>
                </c:pt>
                <c:pt idx="390">
                  <c:v>6.35</c:v>
                </c:pt>
                <c:pt idx="391">
                  <c:v>6.25</c:v>
                </c:pt>
                <c:pt idx="392">
                  <c:v>6.27</c:v>
                </c:pt>
                <c:pt idx="393">
                  <c:v>6.16</c:v>
                </c:pt>
                <c:pt idx="394">
                  <c:v>6.53</c:v>
                </c:pt>
                <c:pt idx="395">
                  <c:v>6.4449999999999896</c:v>
                </c:pt>
                <c:pt idx="396">
                  <c:v>6.4449999999999896</c:v>
                </c:pt>
                <c:pt idx="397">
                  <c:v>6.4449999999999896</c:v>
                </c:pt>
                <c:pt idx="398">
                  <c:v>6.3949999999999996</c:v>
                </c:pt>
                <c:pt idx="399">
                  <c:v>6.3</c:v>
                </c:pt>
                <c:pt idx="400">
                  <c:v>6.2749999999999897</c:v>
                </c:pt>
                <c:pt idx="401">
                  <c:v>5.8549999999999898</c:v>
                </c:pt>
                <c:pt idx="402">
                  <c:v>5.68</c:v>
                </c:pt>
                <c:pt idx="403">
                  <c:v>6.0149999999999997</c:v>
                </c:pt>
                <c:pt idx="404">
                  <c:v>6</c:v>
                </c:pt>
                <c:pt idx="405">
                  <c:v>5.84</c:v>
                </c:pt>
                <c:pt idx="406">
                  <c:v>6.36</c:v>
                </c:pt>
                <c:pt idx="407">
                  <c:v>5.94</c:v>
                </c:pt>
                <c:pt idx="408">
                  <c:v>6.3849999999999998</c:v>
                </c:pt>
                <c:pt idx="409">
                  <c:v>6.125</c:v>
                </c:pt>
                <c:pt idx="410">
                  <c:v>6.0649999999999897</c:v>
                </c:pt>
                <c:pt idx="411">
                  <c:v>5.9649999999999999</c:v>
                </c:pt>
                <c:pt idx="412">
                  <c:v>5.8949999999999996</c:v>
                </c:pt>
                <c:pt idx="413">
                  <c:v>5.4550000000000001</c:v>
                </c:pt>
                <c:pt idx="414">
                  <c:v>5.3949999999999996</c:v>
                </c:pt>
                <c:pt idx="415">
                  <c:v>5.1150000000000002</c:v>
                </c:pt>
                <c:pt idx="416">
                  <c:v>5.09</c:v>
                </c:pt>
                <c:pt idx="417">
                  <c:v>5.0249999999999897</c:v>
                </c:pt>
                <c:pt idx="418">
                  <c:v>4.91</c:v>
                </c:pt>
                <c:pt idx="419">
                  <c:v>4.8849999999999998</c:v>
                </c:pt>
                <c:pt idx="420">
                  <c:v>5.0449999999999999</c:v>
                </c:pt>
                <c:pt idx="421">
                  <c:v>5.0249999999999897</c:v>
                </c:pt>
                <c:pt idx="422">
                  <c:v>5.2</c:v>
                </c:pt>
                <c:pt idx="423">
                  <c:v>5.085</c:v>
                </c:pt>
                <c:pt idx="424">
                  <c:v>4.9649999999999999</c:v>
                </c:pt>
                <c:pt idx="425">
                  <c:v>4.9950000000000001</c:v>
                </c:pt>
                <c:pt idx="426">
                  <c:v>5.0750000000000002</c:v>
                </c:pt>
                <c:pt idx="427">
                  <c:v>4.9550000000000001</c:v>
                </c:pt>
                <c:pt idx="428">
                  <c:v>4.9050000000000002</c:v>
                </c:pt>
                <c:pt idx="429">
                  <c:v>4.7749999999999897</c:v>
                </c:pt>
                <c:pt idx="430">
                  <c:v>4.7050000000000001</c:v>
                </c:pt>
                <c:pt idx="431">
                  <c:v>4.7949999999999999</c:v>
                </c:pt>
                <c:pt idx="432">
                  <c:v>4.72</c:v>
                </c:pt>
                <c:pt idx="433">
                  <c:v>4.7249999999999996</c:v>
                </c:pt>
                <c:pt idx="434">
                  <c:v>4.7050000000000001</c:v>
                </c:pt>
                <c:pt idx="435">
                  <c:v>4.7649999999999997</c:v>
                </c:pt>
                <c:pt idx="436">
                  <c:v>4.76</c:v>
                </c:pt>
                <c:pt idx="437">
                  <c:v>4.7450000000000001</c:v>
                </c:pt>
                <c:pt idx="438">
                  <c:v>4.835</c:v>
                </c:pt>
                <c:pt idx="439">
                  <c:v>5.2149999999999999</c:v>
                </c:pt>
                <c:pt idx="440">
                  <c:v>5.5149999999999997</c:v>
                </c:pt>
                <c:pt idx="441">
                  <c:v>5.3049999999999997</c:v>
                </c:pt>
                <c:pt idx="442">
                  <c:v>5.3449999999999998</c:v>
                </c:pt>
                <c:pt idx="443">
                  <c:v>5.2450000000000001</c:v>
                </c:pt>
                <c:pt idx="444">
                  <c:v>5.125</c:v>
                </c:pt>
                <c:pt idx="445">
                  <c:v>5.0649999999999897</c:v>
                </c:pt>
                <c:pt idx="446">
                  <c:v>5.125</c:v>
                </c:pt>
                <c:pt idx="447">
                  <c:v>5.1749999999999998</c:v>
                </c:pt>
                <c:pt idx="448">
                  <c:v>5.12</c:v>
                </c:pt>
                <c:pt idx="449">
                  <c:v>5.2149999999999999</c:v>
                </c:pt>
                <c:pt idx="450">
                  <c:v>5.0449999999999999</c:v>
                </c:pt>
                <c:pt idx="451">
                  <c:v>5.0649999999999897</c:v>
                </c:pt>
                <c:pt idx="452">
                  <c:v>5.0049999999999999</c:v>
                </c:pt>
                <c:pt idx="453">
                  <c:v>4.9950000000000001</c:v>
                </c:pt>
                <c:pt idx="454">
                  <c:v>4.9649999999999999</c:v>
                </c:pt>
                <c:pt idx="455">
                  <c:v>4.9400000000000004</c:v>
                </c:pt>
                <c:pt idx="456">
                  <c:v>4.8650000000000002</c:v>
                </c:pt>
                <c:pt idx="457">
                  <c:v>4.7949999999999999</c:v>
                </c:pt>
                <c:pt idx="458">
                  <c:v>4.8449999999999998</c:v>
                </c:pt>
                <c:pt idx="459">
                  <c:v>4.9249999999999998</c:v>
                </c:pt>
                <c:pt idx="460">
                  <c:v>4.9550000000000001</c:v>
                </c:pt>
                <c:pt idx="461">
                  <c:v>4.9050000000000002</c:v>
                </c:pt>
                <c:pt idx="462">
                  <c:v>4.835</c:v>
                </c:pt>
                <c:pt idx="463">
                  <c:v>4.7549999999999999</c:v>
                </c:pt>
                <c:pt idx="464">
                  <c:v>4.7050000000000001</c:v>
                </c:pt>
                <c:pt idx="465">
                  <c:v>4.6349999999999998</c:v>
                </c:pt>
                <c:pt idx="466">
                  <c:v>4.7349999999999897</c:v>
                </c:pt>
                <c:pt idx="467">
                  <c:v>4.8650000000000002</c:v>
                </c:pt>
                <c:pt idx="468">
                  <c:v>4.9749999999999996</c:v>
                </c:pt>
                <c:pt idx="469">
                  <c:v>5.0649999999999897</c:v>
                </c:pt>
                <c:pt idx="470">
                  <c:v>5.0149999999999997</c:v>
                </c:pt>
                <c:pt idx="471">
                  <c:v>4.9849999999999897</c:v>
                </c:pt>
                <c:pt idx="472">
                  <c:v>4.915</c:v>
                </c:pt>
                <c:pt idx="473">
                  <c:v>4.88</c:v>
                </c:pt>
                <c:pt idx="474">
                  <c:v>4.9349999999999996</c:v>
                </c:pt>
                <c:pt idx="475">
                  <c:v>4.8949999999999996</c:v>
                </c:pt>
                <c:pt idx="476">
                  <c:v>4.8549999999999898</c:v>
                </c:pt>
                <c:pt idx="477">
                  <c:v>4.9749999999999996</c:v>
                </c:pt>
                <c:pt idx="478">
                  <c:v>4.8949999999999996</c:v>
                </c:pt>
                <c:pt idx="479">
                  <c:v>4.875</c:v>
                </c:pt>
                <c:pt idx="480">
                  <c:v>4.8849999999999998</c:v>
                </c:pt>
                <c:pt idx="481">
                  <c:v>4.8899999999999997</c:v>
                </c:pt>
                <c:pt idx="482">
                  <c:v>5.0049999999999999</c:v>
                </c:pt>
                <c:pt idx="483">
                  <c:v>5.1100000000000003</c:v>
                </c:pt>
                <c:pt idx="484">
                  <c:v>4.97</c:v>
                </c:pt>
                <c:pt idx="485">
                  <c:v>4.9950000000000001</c:v>
                </c:pt>
                <c:pt idx="486">
                  <c:v>4.9849999999999897</c:v>
                </c:pt>
                <c:pt idx="487">
                  <c:v>4.9249999999999998</c:v>
                </c:pt>
                <c:pt idx="488">
                  <c:v>4.8549999999999898</c:v>
                </c:pt>
                <c:pt idx="489">
                  <c:v>4.7649999999999997</c:v>
                </c:pt>
                <c:pt idx="490">
                  <c:v>4.7050000000000001</c:v>
                </c:pt>
                <c:pt idx="491">
                  <c:v>4.74</c:v>
                </c:pt>
                <c:pt idx="492">
                  <c:v>4.6449999999999996</c:v>
                </c:pt>
                <c:pt idx="493">
                  <c:v>4.6749999999999998</c:v>
                </c:pt>
                <c:pt idx="494">
                  <c:v>4.6150000000000002</c:v>
                </c:pt>
                <c:pt idx="495">
                  <c:v>4.5049999999999999</c:v>
                </c:pt>
                <c:pt idx="496">
                  <c:v>4.4950000000000001</c:v>
                </c:pt>
                <c:pt idx="497">
                  <c:v>4.4950000000000001</c:v>
                </c:pt>
                <c:pt idx="498">
                  <c:v>4.4849999999999897</c:v>
                </c:pt>
                <c:pt idx="499">
                  <c:v>4.4649999999999999</c:v>
                </c:pt>
                <c:pt idx="500">
                  <c:v>4.415</c:v>
                </c:pt>
                <c:pt idx="501">
                  <c:v>4.3650000000000002</c:v>
                </c:pt>
                <c:pt idx="502">
                  <c:v>4.3449999999999998</c:v>
                </c:pt>
                <c:pt idx="503">
                  <c:v>4.2850000000000001</c:v>
                </c:pt>
                <c:pt idx="504">
                  <c:v>4.2450000000000001</c:v>
                </c:pt>
                <c:pt idx="505">
                  <c:v>4.2749999999999897</c:v>
                </c:pt>
                <c:pt idx="506">
                  <c:v>4.2949999999999999</c:v>
                </c:pt>
                <c:pt idx="507">
                  <c:v>4.2949999999999999</c:v>
                </c:pt>
                <c:pt idx="508">
                  <c:v>4.2699999999999996</c:v>
                </c:pt>
                <c:pt idx="509">
                  <c:v>4.22</c:v>
                </c:pt>
                <c:pt idx="510">
                  <c:v>4.1399999999999997</c:v>
                </c:pt>
                <c:pt idx="511">
                  <c:v>4.16</c:v>
                </c:pt>
                <c:pt idx="512">
                  <c:v>4.18</c:v>
                </c:pt>
                <c:pt idx="513">
                  <c:v>4.1900000000000004</c:v>
                </c:pt>
                <c:pt idx="514">
                  <c:v>4.12</c:v>
                </c:pt>
                <c:pt idx="515">
                  <c:v>4.3649999999999904</c:v>
                </c:pt>
                <c:pt idx="516">
                  <c:v>4.3499999999999996</c:v>
                </c:pt>
                <c:pt idx="517">
                  <c:v>4.41</c:v>
                </c:pt>
                <c:pt idx="518">
                  <c:v>4.5350000000000001</c:v>
                </c:pt>
                <c:pt idx="519">
                  <c:v>4.7549999999999999</c:v>
                </c:pt>
                <c:pt idx="520">
                  <c:v>4.7349999999999897</c:v>
                </c:pt>
                <c:pt idx="521">
                  <c:v>4.8099999999999996</c:v>
                </c:pt>
                <c:pt idx="522">
                  <c:v>4.72</c:v>
                </c:pt>
                <c:pt idx="523">
                  <c:v>4.66</c:v>
                </c:pt>
                <c:pt idx="524">
                  <c:v>4.6900000000000004</c:v>
                </c:pt>
                <c:pt idx="525">
                  <c:v>4.7249999999999996</c:v>
                </c:pt>
                <c:pt idx="526">
                  <c:v>4.76</c:v>
                </c:pt>
                <c:pt idx="527">
                  <c:v>4.9749999999999996</c:v>
                </c:pt>
                <c:pt idx="528">
                  <c:v>4.9249999999999998</c:v>
                </c:pt>
                <c:pt idx="529">
                  <c:v>4.8499999999999996</c:v>
                </c:pt>
                <c:pt idx="530">
                  <c:v>4.7949999999999999</c:v>
                </c:pt>
                <c:pt idx="531">
                  <c:v>4.8049999999999997</c:v>
                </c:pt>
                <c:pt idx="532">
                  <c:v>4.6849999999999996</c:v>
                </c:pt>
                <c:pt idx="533">
                  <c:v>4.7349999999999897</c:v>
                </c:pt>
                <c:pt idx="534">
                  <c:v>4.7850000000000001</c:v>
                </c:pt>
                <c:pt idx="535">
                  <c:v>4.7949999999999999</c:v>
                </c:pt>
                <c:pt idx="536">
                  <c:v>4.8099999999999996</c:v>
                </c:pt>
                <c:pt idx="537">
                  <c:v>4.7249999999999996</c:v>
                </c:pt>
                <c:pt idx="538">
                  <c:v>4.7050000000000001</c:v>
                </c:pt>
                <c:pt idx="539">
                  <c:v>4.6349999999999998</c:v>
                </c:pt>
                <c:pt idx="540">
                  <c:v>4.5549999999999997</c:v>
                </c:pt>
                <c:pt idx="541">
                  <c:v>4.5350000000000001</c:v>
                </c:pt>
                <c:pt idx="542">
                  <c:v>4.5249999999999897</c:v>
                </c:pt>
                <c:pt idx="543">
                  <c:v>4.45</c:v>
                </c:pt>
                <c:pt idx="544">
                  <c:v>4.415</c:v>
                </c:pt>
                <c:pt idx="545">
                  <c:v>4.4249999999999998</c:v>
                </c:pt>
                <c:pt idx="546">
                  <c:v>4.45</c:v>
                </c:pt>
                <c:pt idx="547">
                  <c:v>4.4349999999999996</c:v>
                </c:pt>
                <c:pt idx="548">
                  <c:v>4.5249999999999897</c:v>
                </c:pt>
                <c:pt idx="549">
                  <c:v>4.4349999999999996</c:v>
                </c:pt>
                <c:pt idx="550">
                  <c:v>4.4449999999999896</c:v>
                </c:pt>
                <c:pt idx="551">
                  <c:v>4.5</c:v>
                </c:pt>
                <c:pt idx="552">
                  <c:v>4.34</c:v>
                </c:pt>
                <c:pt idx="553">
                  <c:v>4.2450000000000001</c:v>
                </c:pt>
                <c:pt idx="554">
                  <c:v>4.0750000000000002</c:v>
                </c:pt>
                <c:pt idx="555">
                  <c:v>4.1449999999999996</c:v>
                </c:pt>
                <c:pt idx="556">
                  <c:v>4.1449999999999996</c:v>
                </c:pt>
                <c:pt idx="557">
                  <c:v>4.0449999999999999</c:v>
                </c:pt>
                <c:pt idx="558">
                  <c:v>4.0149999999999997</c:v>
                </c:pt>
                <c:pt idx="559">
                  <c:v>4.0149999999999997</c:v>
                </c:pt>
                <c:pt idx="560">
                  <c:v>3.9349999999999898</c:v>
                </c:pt>
                <c:pt idx="561">
                  <c:v>3.89</c:v>
                </c:pt>
                <c:pt idx="562">
                  <c:v>4.07</c:v>
                </c:pt>
                <c:pt idx="563">
                  <c:v>4.0599999999999996</c:v>
                </c:pt>
                <c:pt idx="564">
                  <c:v>4.05</c:v>
                </c:pt>
                <c:pt idx="565">
                  <c:v>3.9249999999999998</c:v>
                </c:pt>
                <c:pt idx="566">
                  <c:v>3.915</c:v>
                </c:pt>
                <c:pt idx="567">
                  <c:v>3.9249999999999998</c:v>
                </c:pt>
                <c:pt idx="568">
                  <c:v>3.9049999999999998</c:v>
                </c:pt>
                <c:pt idx="569">
                  <c:v>3.9249999999999998</c:v>
                </c:pt>
                <c:pt idx="570">
                  <c:v>3.915</c:v>
                </c:pt>
                <c:pt idx="571">
                  <c:v>3.89</c:v>
                </c:pt>
                <c:pt idx="572">
                  <c:v>3.835</c:v>
                </c:pt>
                <c:pt idx="573">
                  <c:v>3.875</c:v>
                </c:pt>
                <c:pt idx="574">
                  <c:v>3.86</c:v>
                </c:pt>
                <c:pt idx="575">
                  <c:v>3.8149999999999999</c:v>
                </c:pt>
                <c:pt idx="576">
                  <c:v>3.83</c:v>
                </c:pt>
                <c:pt idx="577">
                  <c:v>3.9049999999999998</c:v>
                </c:pt>
                <c:pt idx="578">
                  <c:v>3.82</c:v>
                </c:pt>
                <c:pt idx="579">
                  <c:v>3.82</c:v>
                </c:pt>
                <c:pt idx="580">
                  <c:v>3.82</c:v>
                </c:pt>
                <c:pt idx="581">
                  <c:v>3.9</c:v>
                </c:pt>
                <c:pt idx="582">
                  <c:v>3.85</c:v>
                </c:pt>
                <c:pt idx="583">
                  <c:v>3.83</c:v>
                </c:pt>
                <c:pt idx="584">
                  <c:v>3.87</c:v>
                </c:pt>
                <c:pt idx="585">
                  <c:v>4.03</c:v>
                </c:pt>
                <c:pt idx="586">
                  <c:v>3.915</c:v>
                </c:pt>
                <c:pt idx="587">
                  <c:v>3.9049999999999998</c:v>
                </c:pt>
                <c:pt idx="588">
                  <c:v>3.8049999999999899</c:v>
                </c:pt>
                <c:pt idx="589">
                  <c:v>3.85</c:v>
                </c:pt>
                <c:pt idx="590">
                  <c:v>3.8049999999999899</c:v>
                </c:pt>
                <c:pt idx="591">
                  <c:v>3.79</c:v>
                </c:pt>
                <c:pt idx="592">
                  <c:v>3.7549999999999999</c:v>
                </c:pt>
                <c:pt idx="593">
                  <c:v>3.7149999999999999</c:v>
                </c:pt>
                <c:pt idx="594">
                  <c:v>3.73</c:v>
                </c:pt>
                <c:pt idx="595">
                  <c:v>3.7</c:v>
                </c:pt>
                <c:pt idx="596">
                  <c:v>3.59499999999999</c:v>
                </c:pt>
                <c:pt idx="597">
                  <c:v>3.6349999999999998</c:v>
                </c:pt>
                <c:pt idx="598">
                  <c:v>3.585</c:v>
                </c:pt>
                <c:pt idx="599">
                  <c:v>3.585</c:v>
                </c:pt>
                <c:pt idx="600">
                  <c:v>3.57</c:v>
                </c:pt>
                <c:pt idx="601">
                  <c:v>3.4849999999999999</c:v>
                </c:pt>
                <c:pt idx="602">
                  <c:v>3.4549999999999899</c:v>
                </c:pt>
                <c:pt idx="603">
                  <c:v>3.415</c:v>
                </c:pt>
                <c:pt idx="604">
                  <c:v>3.4749999999999899</c:v>
                </c:pt>
                <c:pt idx="605">
                  <c:v>3.48999999999999</c:v>
                </c:pt>
                <c:pt idx="606">
                  <c:v>3.52</c:v>
                </c:pt>
                <c:pt idx="607">
                  <c:v>3.585</c:v>
                </c:pt>
                <c:pt idx="608">
                  <c:v>3.48999999999999</c:v>
                </c:pt>
                <c:pt idx="609">
                  <c:v>3.4749999999999899</c:v>
                </c:pt>
                <c:pt idx="610">
                  <c:v>3.44999999999999</c:v>
                </c:pt>
                <c:pt idx="611">
                  <c:v>3.39</c:v>
                </c:pt>
                <c:pt idx="612">
                  <c:v>3.3</c:v>
                </c:pt>
                <c:pt idx="613">
                  <c:v>3.26</c:v>
                </c:pt>
                <c:pt idx="614">
                  <c:v>3.3149999999999999</c:v>
                </c:pt>
                <c:pt idx="615">
                  <c:v>3.2949999999999999</c:v>
                </c:pt>
                <c:pt idx="616">
                  <c:v>3.335</c:v>
                </c:pt>
                <c:pt idx="617">
                  <c:v>3.3149999999999999</c:v>
                </c:pt>
                <c:pt idx="618">
                  <c:v>3.32499999999999</c:v>
                </c:pt>
                <c:pt idx="619">
                  <c:v>3.2649999999999899</c:v>
                </c:pt>
                <c:pt idx="620">
                  <c:v>3.2349999999999999</c:v>
                </c:pt>
                <c:pt idx="621">
                  <c:v>3.27</c:v>
                </c:pt>
                <c:pt idx="622">
                  <c:v>3.2649999999999899</c:v>
                </c:pt>
                <c:pt idx="623">
                  <c:v>3.2449999999999899</c:v>
                </c:pt>
                <c:pt idx="624">
                  <c:v>3.2949999999999999</c:v>
                </c:pt>
                <c:pt idx="625">
                  <c:v>3.2749999999999999</c:v>
                </c:pt>
                <c:pt idx="626">
                  <c:v>3.2649999999999899</c:v>
                </c:pt>
                <c:pt idx="627">
                  <c:v>3.32499999999999</c:v>
                </c:pt>
                <c:pt idx="628">
                  <c:v>3.3049999999999899</c:v>
                </c:pt>
                <c:pt idx="629">
                  <c:v>3.34499999999999</c:v>
                </c:pt>
                <c:pt idx="630">
                  <c:v>3.4549999999999899</c:v>
                </c:pt>
                <c:pt idx="631">
                  <c:v>3.48</c:v>
                </c:pt>
                <c:pt idx="632">
                  <c:v>3.48</c:v>
                </c:pt>
                <c:pt idx="633">
                  <c:v>3.51</c:v>
                </c:pt>
                <c:pt idx="634">
                  <c:v>3.46</c:v>
                </c:pt>
                <c:pt idx="635">
                  <c:v>3.4449999999999998</c:v>
                </c:pt>
                <c:pt idx="636">
                  <c:v>3.58</c:v>
                </c:pt>
                <c:pt idx="637">
                  <c:v>3.49</c:v>
                </c:pt>
                <c:pt idx="638">
                  <c:v>3.52</c:v>
                </c:pt>
                <c:pt idx="639">
                  <c:v>3.49</c:v>
                </c:pt>
                <c:pt idx="640">
                  <c:v>3.38</c:v>
                </c:pt>
                <c:pt idx="641">
                  <c:v>3.335</c:v>
                </c:pt>
                <c:pt idx="642">
                  <c:v>3.35</c:v>
                </c:pt>
                <c:pt idx="643">
                  <c:v>3.2749999999999999</c:v>
                </c:pt>
                <c:pt idx="644">
                  <c:v>3.34499999999999</c:v>
                </c:pt>
                <c:pt idx="645">
                  <c:v>3.4349999999999898</c:v>
                </c:pt>
                <c:pt idx="646">
                  <c:v>3.5149999999999899</c:v>
                </c:pt>
                <c:pt idx="647">
                  <c:v>3.76</c:v>
                </c:pt>
                <c:pt idx="648">
                  <c:v>3.835</c:v>
                </c:pt>
                <c:pt idx="649">
                  <c:v>3.9049999999999998</c:v>
                </c:pt>
                <c:pt idx="650">
                  <c:v>3.88</c:v>
                </c:pt>
                <c:pt idx="651">
                  <c:v>4.41</c:v>
                </c:pt>
                <c:pt idx="652">
                  <c:v>4.2149999999999999</c:v>
                </c:pt>
                <c:pt idx="653">
                  <c:v>4.46</c:v>
                </c:pt>
                <c:pt idx="654">
                  <c:v>4.2949999999999999</c:v>
                </c:pt>
                <c:pt idx="655">
                  <c:v>4.26</c:v>
                </c:pt>
                <c:pt idx="656">
                  <c:v>4.3149999999999897</c:v>
                </c:pt>
                <c:pt idx="657">
                  <c:v>4.3250000000000002</c:v>
                </c:pt>
                <c:pt idx="658">
                  <c:v>4.3250000000000002</c:v>
                </c:pt>
                <c:pt idx="659">
                  <c:v>4.53</c:v>
                </c:pt>
                <c:pt idx="660">
                  <c:v>4.4349999999999996</c:v>
                </c:pt>
                <c:pt idx="661">
                  <c:v>4.4950000000000001</c:v>
                </c:pt>
                <c:pt idx="662">
                  <c:v>4.5199999999999996</c:v>
                </c:pt>
                <c:pt idx="663">
                  <c:v>4.4249999999999998</c:v>
                </c:pt>
                <c:pt idx="664">
                  <c:v>4.2450000000000001</c:v>
                </c:pt>
                <c:pt idx="665">
                  <c:v>4.1449999999999996</c:v>
                </c:pt>
                <c:pt idx="666">
                  <c:v>4.1550000000000002</c:v>
                </c:pt>
                <c:pt idx="667">
                  <c:v>4.2050000000000001</c:v>
                </c:pt>
                <c:pt idx="668">
                  <c:v>4.08</c:v>
                </c:pt>
                <c:pt idx="669">
                  <c:v>4.0249999999999897</c:v>
                </c:pt>
                <c:pt idx="670">
                  <c:v>4.1100000000000003</c:v>
                </c:pt>
                <c:pt idx="671">
                  <c:v>4.2749999999999897</c:v>
                </c:pt>
                <c:pt idx="672">
                  <c:v>4.1449999999999996</c:v>
                </c:pt>
                <c:pt idx="673">
                  <c:v>4.2149999999999999</c:v>
                </c:pt>
                <c:pt idx="674">
                  <c:v>4.335</c:v>
                </c:pt>
                <c:pt idx="675">
                  <c:v>4.3449999999999998</c:v>
                </c:pt>
                <c:pt idx="676">
                  <c:v>4.3949999999999996</c:v>
                </c:pt>
                <c:pt idx="677">
                  <c:v>4.4050000000000002</c:v>
                </c:pt>
                <c:pt idx="678">
                  <c:v>4.4800000000000004</c:v>
                </c:pt>
                <c:pt idx="679">
                  <c:v>4.4349999999999996</c:v>
                </c:pt>
                <c:pt idx="680">
                  <c:v>4.335</c:v>
                </c:pt>
                <c:pt idx="681">
                  <c:v>4.3149999999999897</c:v>
                </c:pt>
                <c:pt idx="682">
                  <c:v>4.2450000000000001</c:v>
                </c:pt>
                <c:pt idx="683">
                  <c:v>4.1550000000000002</c:v>
                </c:pt>
                <c:pt idx="684">
                  <c:v>4.2050000000000001</c:v>
                </c:pt>
                <c:pt idx="685">
                  <c:v>4.2549999999999999</c:v>
                </c:pt>
                <c:pt idx="686">
                  <c:v>4.2949999999999999</c:v>
                </c:pt>
                <c:pt idx="687">
                  <c:v>4.2050000000000001</c:v>
                </c:pt>
                <c:pt idx="688">
                  <c:v>4.2699999999999996</c:v>
                </c:pt>
                <c:pt idx="689">
                  <c:v>4.22</c:v>
                </c:pt>
                <c:pt idx="690">
                  <c:v>4.3</c:v>
                </c:pt>
                <c:pt idx="691">
                  <c:v>4.335</c:v>
                </c:pt>
                <c:pt idx="692">
                  <c:v>4.2649999999999997</c:v>
                </c:pt>
                <c:pt idx="693">
                  <c:v>4.1949999999999896</c:v>
                </c:pt>
                <c:pt idx="694">
                  <c:v>4.2300000000000004</c:v>
                </c:pt>
                <c:pt idx="695">
                  <c:v>4.2149999999999999</c:v>
                </c:pt>
                <c:pt idx="696">
                  <c:v>4.1100000000000003</c:v>
                </c:pt>
                <c:pt idx="697">
                  <c:v>4.0999999999999996</c:v>
                </c:pt>
                <c:pt idx="698">
                  <c:v>4.04</c:v>
                </c:pt>
                <c:pt idx="699">
                  <c:v>4.0199999999999996</c:v>
                </c:pt>
                <c:pt idx="700">
                  <c:v>4.0149999999999997</c:v>
                </c:pt>
                <c:pt idx="701">
                  <c:v>4.0999999999999996</c:v>
                </c:pt>
                <c:pt idx="702">
                  <c:v>4.07</c:v>
                </c:pt>
                <c:pt idx="703">
                  <c:v>4.0149999999999997</c:v>
                </c:pt>
                <c:pt idx="704">
                  <c:v>3.9950000000000001</c:v>
                </c:pt>
                <c:pt idx="705">
                  <c:v>4.0750000000000002</c:v>
                </c:pt>
                <c:pt idx="706">
                  <c:v>4.03</c:v>
                </c:pt>
                <c:pt idx="707">
                  <c:v>4.03</c:v>
                </c:pt>
                <c:pt idx="708">
                  <c:v>4.0199999999999996</c:v>
                </c:pt>
                <c:pt idx="709">
                  <c:v>4.0649999999999897</c:v>
                </c:pt>
                <c:pt idx="710">
                  <c:v>4.0199999999999996</c:v>
                </c:pt>
                <c:pt idx="711">
                  <c:v>3.9749999999999899</c:v>
                </c:pt>
                <c:pt idx="712">
                  <c:v>3.9749999999999899</c:v>
                </c:pt>
                <c:pt idx="713">
                  <c:v>3.9749999999999899</c:v>
                </c:pt>
                <c:pt idx="714">
                  <c:v>3.9950000000000001</c:v>
                </c:pt>
                <c:pt idx="715">
                  <c:v>4.1050000000000004</c:v>
                </c:pt>
                <c:pt idx="716">
                  <c:v>4.0750000000000002</c:v>
                </c:pt>
                <c:pt idx="717">
                  <c:v>4.04</c:v>
                </c:pt>
                <c:pt idx="718">
                  <c:v>3.9950000000000001</c:v>
                </c:pt>
                <c:pt idx="719">
                  <c:v>3.8450000000000002</c:v>
                </c:pt>
                <c:pt idx="720">
                  <c:v>3.7949999999999999</c:v>
                </c:pt>
                <c:pt idx="721">
                  <c:v>3.855</c:v>
                </c:pt>
                <c:pt idx="722">
                  <c:v>3.8949999999999898</c:v>
                </c:pt>
                <c:pt idx="723">
                  <c:v>3.8849999999999998</c:v>
                </c:pt>
                <c:pt idx="724">
                  <c:v>3.8650000000000002</c:v>
                </c:pt>
                <c:pt idx="725">
                  <c:v>3.8450000000000002</c:v>
                </c:pt>
                <c:pt idx="726">
                  <c:v>3.7650000000000001</c:v>
                </c:pt>
                <c:pt idx="727">
                  <c:v>3.8050000000000002</c:v>
                </c:pt>
                <c:pt idx="728">
                  <c:v>3.69999999999999</c:v>
                </c:pt>
                <c:pt idx="729">
                  <c:v>3.73</c:v>
                </c:pt>
                <c:pt idx="730">
                  <c:v>3.77</c:v>
                </c:pt>
                <c:pt idx="731">
                  <c:v>3.63</c:v>
                </c:pt>
                <c:pt idx="732">
                  <c:v>3.56</c:v>
                </c:pt>
                <c:pt idx="733">
                  <c:v>3.5549999999999899</c:v>
                </c:pt>
                <c:pt idx="734">
                  <c:v>3.56</c:v>
                </c:pt>
                <c:pt idx="735">
                  <c:v>3.5149999999999899</c:v>
                </c:pt>
                <c:pt idx="736">
                  <c:v>3.59</c:v>
                </c:pt>
                <c:pt idx="737">
                  <c:v>3.6599999999999899</c:v>
                </c:pt>
                <c:pt idx="738">
                  <c:v>3.69999999999999</c:v>
                </c:pt>
                <c:pt idx="739">
                  <c:v>3.65</c:v>
                </c:pt>
                <c:pt idx="740">
                  <c:v>3.76</c:v>
                </c:pt>
                <c:pt idx="741">
                  <c:v>3.6799999999999899</c:v>
                </c:pt>
                <c:pt idx="742">
                  <c:v>3.59</c:v>
                </c:pt>
                <c:pt idx="743">
                  <c:v>3.6</c:v>
                </c:pt>
                <c:pt idx="744">
                  <c:v>3.56</c:v>
                </c:pt>
                <c:pt idx="745">
                  <c:v>3.59499999999999</c:v>
                </c:pt>
                <c:pt idx="746">
                  <c:v>3.55</c:v>
                </c:pt>
                <c:pt idx="747">
                  <c:v>3.58</c:v>
                </c:pt>
                <c:pt idx="748">
                  <c:v>3.69999999999999</c:v>
                </c:pt>
                <c:pt idx="749">
                  <c:v>3.75</c:v>
                </c:pt>
                <c:pt idx="750">
                  <c:v>3.7649999999999899</c:v>
                </c:pt>
                <c:pt idx="751">
                  <c:v>3.77</c:v>
                </c:pt>
                <c:pt idx="752">
                  <c:v>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556480"/>
        <c:axId val="303558016"/>
      </c:lineChart>
      <c:dateAx>
        <c:axId val="3035564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3558016"/>
        <c:crosses val="autoZero"/>
        <c:auto val="1"/>
        <c:lblOffset val="100"/>
        <c:baseTimeUnit val="days"/>
      </c:dateAx>
      <c:valAx>
        <c:axId val="303558016"/>
        <c:scaling>
          <c:orientation val="minMax"/>
          <c:min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3556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'Low rate'!$I$2</c:f>
              <c:strCache>
                <c:ptCount val="1"/>
                <c:pt idx="0">
                  <c:v>minSurveyRate</c:v>
                </c:pt>
              </c:strCache>
            </c:strRef>
          </c:tx>
          <c:marker>
            <c:symbol val="none"/>
          </c:marker>
          <c:cat>
            <c:numRef>
              <c:f>'Low rate'!$F$3:$H$102</c:f>
              <c:numCache>
                <c:formatCode>m/d/yyyy</c:formatCode>
                <c:ptCount val="100"/>
                <c:pt idx="0">
                  <c:v>39142</c:v>
                </c:pt>
                <c:pt idx="1">
                  <c:v>39173</c:v>
                </c:pt>
                <c:pt idx="2">
                  <c:v>39203</c:v>
                </c:pt>
                <c:pt idx="3">
                  <c:v>39234</c:v>
                </c:pt>
                <c:pt idx="4">
                  <c:v>39264</c:v>
                </c:pt>
                <c:pt idx="5">
                  <c:v>39295</c:v>
                </c:pt>
                <c:pt idx="6">
                  <c:v>39326</c:v>
                </c:pt>
                <c:pt idx="7">
                  <c:v>39356</c:v>
                </c:pt>
                <c:pt idx="8">
                  <c:v>39387</c:v>
                </c:pt>
                <c:pt idx="9">
                  <c:v>39417</c:v>
                </c:pt>
                <c:pt idx="10">
                  <c:v>39448</c:v>
                </c:pt>
                <c:pt idx="11">
                  <c:v>39479</c:v>
                </c:pt>
                <c:pt idx="12">
                  <c:v>39508</c:v>
                </c:pt>
                <c:pt idx="13">
                  <c:v>39539</c:v>
                </c:pt>
                <c:pt idx="14">
                  <c:v>39569</c:v>
                </c:pt>
                <c:pt idx="15">
                  <c:v>39600</c:v>
                </c:pt>
                <c:pt idx="16">
                  <c:v>39630</c:v>
                </c:pt>
                <c:pt idx="17">
                  <c:v>39661</c:v>
                </c:pt>
                <c:pt idx="18">
                  <c:v>39692</c:v>
                </c:pt>
                <c:pt idx="19">
                  <c:v>39722</c:v>
                </c:pt>
                <c:pt idx="20">
                  <c:v>39753</c:v>
                </c:pt>
                <c:pt idx="21">
                  <c:v>39783</c:v>
                </c:pt>
                <c:pt idx="22">
                  <c:v>39814</c:v>
                </c:pt>
                <c:pt idx="23">
                  <c:v>39845</c:v>
                </c:pt>
                <c:pt idx="24">
                  <c:v>39873</c:v>
                </c:pt>
                <c:pt idx="25">
                  <c:v>39904</c:v>
                </c:pt>
                <c:pt idx="26">
                  <c:v>39934</c:v>
                </c:pt>
                <c:pt idx="27">
                  <c:v>39965</c:v>
                </c:pt>
                <c:pt idx="28">
                  <c:v>39995</c:v>
                </c:pt>
                <c:pt idx="29">
                  <c:v>40026</c:v>
                </c:pt>
                <c:pt idx="30">
                  <c:v>40057</c:v>
                </c:pt>
                <c:pt idx="31">
                  <c:v>40087</c:v>
                </c:pt>
                <c:pt idx="32">
                  <c:v>40118</c:v>
                </c:pt>
                <c:pt idx="33">
                  <c:v>40148</c:v>
                </c:pt>
                <c:pt idx="34">
                  <c:v>40179</c:v>
                </c:pt>
                <c:pt idx="35">
                  <c:v>40210</c:v>
                </c:pt>
                <c:pt idx="36">
                  <c:v>40238</c:v>
                </c:pt>
                <c:pt idx="37">
                  <c:v>40269</c:v>
                </c:pt>
                <c:pt idx="38">
                  <c:v>40299</c:v>
                </c:pt>
                <c:pt idx="39">
                  <c:v>40330</c:v>
                </c:pt>
                <c:pt idx="40">
                  <c:v>40360</c:v>
                </c:pt>
                <c:pt idx="41">
                  <c:v>40391</c:v>
                </c:pt>
                <c:pt idx="42">
                  <c:v>40422</c:v>
                </c:pt>
                <c:pt idx="43">
                  <c:v>40452</c:v>
                </c:pt>
                <c:pt idx="44">
                  <c:v>40483</c:v>
                </c:pt>
                <c:pt idx="45">
                  <c:v>40513</c:v>
                </c:pt>
                <c:pt idx="46">
                  <c:v>40544</c:v>
                </c:pt>
                <c:pt idx="47">
                  <c:v>40575</c:v>
                </c:pt>
                <c:pt idx="48">
                  <c:v>40603</c:v>
                </c:pt>
                <c:pt idx="49">
                  <c:v>40634</c:v>
                </c:pt>
                <c:pt idx="50">
                  <c:v>40664</c:v>
                </c:pt>
                <c:pt idx="51">
                  <c:v>40695</c:v>
                </c:pt>
                <c:pt idx="52">
                  <c:v>40725</c:v>
                </c:pt>
                <c:pt idx="53">
                  <c:v>40756</c:v>
                </c:pt>
                <c:pt idx="54">
                  <c:v>40787</c:v>
                </c:pt>
                <c:pt idx="55">
                  <c:v>40817</c:v>
                </c:pt>
                <c:pt idx="56">
                  <c:v>40848</c:v>
                </c:pt>
                <c:pt idx="57">
                  <c:v>40878</c:v>
                </c:pt>
                <c:pt idx="58">
                  <c:v>40909</c:v>
                </c:pt>
                <c:pt idx="59">
                  <c:v>40940</c:v>
                </c:pt>
                <c:pt idx="60">
                  <c:v>40969</c:v>
                </c:pt>
                <c:pt idx="61">
                  <c:v>41000</c:v>
                </c:pt>
                <c:pt idx="62">
                  <c:v>41030</c:v>
                </c:pt>
                <c:pt idx="63">
                  <c:v>41061</c:v>
                </c:pt>
                <c:pt idx="64">
                  <c:v>41091</c:v>
                </c:pt>
                <c:pt idx="65">
                  <c:v>41122</c:v>
                </c:pt>
                <c:pt idx="66">
                  <c:v>41153</c:v>
                </c:pt>
                <c:pt idx="67">
                  <c:v>41183</c:v>
                </c:pt>
                <c:pt idx="68">
                  <c:v>41214</c:v>
                </c:pt>
                <c:pt idx="69">
                  <c:v>41244</c:v>
                </c:pt>
                <c:pt idx="70">
                  <c:v>41275</c:v>
                </c:pt>
                <c:pt idx="71">
                  <c:v>41306</c:v>
                </c:pt>
                <c:pt idx="72">
                  <c:v>41334</c:v>
                </c:pt>
                <c:pt idx="73">
                  <c:v>41365</c:v>
                </c:pt>
                <c:pt idx="74">
                  <c:v>41395</c:v>
                </c:pt>
                <c:pt idx="75">
                  <c:v>41426</c:v>
                </c:pt>
                <c:pt idx="76">
                  <c:v>41456</c:v>
                </c:pt>
                <c:pt idx="77">
                  <c:v>41487</c:v>
                </c:pt>
                <c:pt idx="78">
                  <c:v>41518</c:v>
                </c:pt>
                <c:pt idx="79">
                  <c:v>41548</c:v>
                </c:pt>
                <c:pt idx="80">
                  <c:v>41579</c:v>
                </c:pt>
                <c:pt idx="81">
                  <c:v>41609</c:v>
                </c:pt>
                <c:pt idx="82">
                  <c:v>41640</c:v>
                </c:pt>
                <c:pt idx="83">
                  <c:v>41671</c:v>
                </c:pt>
                <c:pt idx="84">
                  <c:v>41699</c:v>
                </c:pt>
                <c:pt idx="85">
                  <c:v>41730</c:v>
                </c:pt>
                <c:pt idx="86">
                  <c:v>41760</c:v>
                </c:pt>
                <c:pt idx="87">
                  <c:v>41791</c:v>
                </c:pt>
                <c:pt idx="88">
                  <c:v>41821</c:v>
                </c:pt>
                <c:pt idx="89">
                  <c:v>41852</c:v>
                </c:pt>
                <c:pt idx="90">
                  <c:v>41883</c:v>
                </c:pt>
                <c:pt idx="91">
                  <c:v>41913</c:v>
                </c:pt>
                <c:pt idx="92">
                  <c:v>41944</c:v>
                </c:pt>
                <c:pt idx="93">
                  <c:v>41974</c:v>
                </c:pt>
                <c:pt idx="94">
                  <c:v>42005</c:v>
                </c:pt>
                <c:pt idx="95">
                  <c:v>42036</c:v>
                </c:pt>
                <c:pt idx="96">
                  <c:v>42064</c:v>
                </c:pt>
                <c:pt idx="97">
                  <c:v>42095</c:v>
                </c:pt>
                <c:pt idx="98">
                  <c:v>42125</c:v>
                </c:pt>
                <c:pt idx="99">
                  <c:v>42156</c:v>
                </c:pt>
              </c:numCache>
            </c:numRef>
          </c:cat>
          <c:val>
            <c:numRef>
              <c:f>'Low rate'!$I$3:$I$102</c:f>
              <c:numCache>
                <c:formatCode>0.00</c:formatCode>
                <c:ptCount val="100"/>
                <c:pt idx="0">
                  <c:v>6.0299899999999997</c:v>
                </c:pt>
                <c:pt idx="1">
                  <c:v>5.9899899999999997</c:v>
                </c:pt>
                <c:pt idx="2">
                  <c:v>5.9899899999999997</c:v>
                </c:pt>
                <c:pt idx="3">
                  <c:v>5.9899899999999997</c:v>
                </c:pt>
                <c:pt idx="4">
                  <c:v>5.9899899999999997</c:v>
                </c:pt>
                <c:pt idx="5">
                  <c:v>5.9899899999999997</c:v>
                </c:pt>
                <c:pt idx="6">
                  <c:v>5.9899899999999997</c:v>
                </c:pt>
                <c:pt idx="7">
                  <c:v>5.9899899999999997</c:v>
                </c:pt>
                <c:pt idx="8">
                  <c:v>5.9899899999999997</c:v>
                </c:pt>
                <c:pt idx="9">
                  <c:v>5.9749999999999996</c:v>
                </c:pt>
                <c:pt idx="10">
                  <c:v>5.81</c:v>
                </c:pt>
                <c:pt idx="11">
                  <c:v>5.33</c:v>
                </c:pt>
                <c:pt idx="12">
                  <c:v>5.33</c:v>
                </c:pt>
                <c:pt idx="13">
                  <c:v>5.33</c:v>
                </c:pt>
                <c:pt idx="14">
                  <c:v>5.33</c:v>
                </c:pt>
                <c:pt idx="15">
                  <c:v>5.33</c:v>
                </c:pt>
                <c:pt idx="16">
                  <c:v>5.33</c:v>
                </c:pt>
                <c:pt idx="17">
                  <c:v>5.33</c:v>
                </c:pt>
                <c:pt idx="18">
                  <c:v>5.33</c:v>
                </c:pt>
                <c:pt idx="19">
                  <c:v>5.33</c:v>
                </c:pt>
                <c:pt idx="20">
                  <c:v>5.33</c:v>
                </c:pt>
                <c:pt idx="21">
                  <c:v>5.33</c:v>
                </c:pt>
                <c:pt idx="22">
                  <c:v>5.0249899999999998</c:v>
                </c:pt>
                <c:pt idx="23">
                  <c:v>4.8849999999999998</c:v>
                </c:pt>
                <c:pt idx="24">
                  <c:v>4.8849999999999998</c:v>
                </c:pt>
                <c:pt idx="25">
                  <c:v>4.7749899999999998</c:v>
                </c:pt>
                <c:pt idx="26">
                  <c:v>4.7050000000000001</c:v>
                </c:pt>
                <c:pt idx="27">
                  <c:v>4.7050000000000001</c:v>
                </c:pt>
                <c:pt idx="28">
                  <c:v>4.7050000000000001</c:v>
                </c:pt>
                <c:pt idx="29">
                  <c:v>4.7050000000000001</c:v>
                </c:pt>
                <c:pt idx="30">
                  <c:v>4.7050000000000001</c:v>
                </c:pt>
                <c:pt idx="31">
                  <c:v>4.7050000000000001</c:v>
                </c:pt>
                <c:pt idx="32">
                  <c:v>4.7050000000000001</c:v>
                </c:pt>
                <c:pt idx="33">
                  <c:v>4.7050000000000001</c:v>
                </c:pt>
                <c:pt idx="34">
                  <c:v>4.6349999999999998</c:v>
                </c:pt>
                <c:pt idx="35">
                  <c:v>4.6349999999999998</c:v>
                </c:pt>
                <c:pt idx="36">
                  <c:v>4.6349999999999998</c:v>
                </c:pt>
                <c:pt idx="37">
                  <c:v>4.6349999999999998</c:v>
                </c:pt>
                <c:pt idx="38">
                  <c:v>4.6349999999999998</c:v>
                </c:pt>
                <c:pt idx="39">
                  <c:v>4.6349999999999998</c:v>
                </c:pt>
                <c:pt idx="40">
                  <c:v>4.5049999999999999</c:v>
                </c:pt>
                <c:pt idx="41">
                  <c:v>4.4649999999999999</c:v>
                </c:pt>
                <c:pt idx="42">
                  <c:v>4.2850000000000001</c:v>
                </c:pt>
                <c:pt idx="43">
                  <c:v>4.2450000000000001</c:v>
                </c:pt>
                <c:pt idx="44">
                  <c:v>4.1399999999999997</c:v>
                </c:pt>
                <c:pt idx="45">
                  <c:v>4.12</c:v>
                </c:pt>
                <c:pt idx="46">
                  <c:v>4.12</c:v>
                </c:pt>
                <c:pt idx="47">
                  <c:v>4.12</c:v>
                </c:pt>
                <c:pt idx="48">
                  <c:v>4.12</c:v>
                </c:pt>
                <c:pt idx="49">
                  <c:v>4.12</c:v>
                </c:pt>
                <c:pt idx="50">
                  <c:v>4.12</c:v>
                </c:pt>
                <c:pt idx="51">
                  <c:v>4.12</c:v>
                </c:pt>
                <c:pt idx="52">
                  <c:v>4.12</c:v>
                </c:pt>
                <c:pt idx="53">
                  <c:v>4.12</c:v>
                </c:pt>
                <c:pt idx="54">
                  <c:v>4.0750000000000002</c:v>
                </c:pt>
                <c:pt idx="55">
                  <c:v>3.93499</c:v>
                </c:pt>
                <c:pt idx="56">
                  <c:v>3.89</c:v>
                </c:pt>
                <c:pt idx="57">
                  <c:v>3.89</c:v>
                </c:pt>
                <c:pt idx="58">
                  <c:v>3.835</c:v>
                </c:pt>
                <c:pt idx="59">
                  <c:v>3.8149999999999999</c:v>
                </c:pt>
                <c:pt idx="60">
                  <c:v>3.8149999999999999</c:v>
                </c:pt>
                <c:pt idx="61">
                  <c:v>3.8149999999999999</c:v>
                </c:pt>
                <c:pt idx="62">
                  <c:v>3.8050000000000002</c:v>
                </c:pt>
                <c:pt idx="63">
                  <c:v>3.7</c:v>
                </c:pt>
                <c:pt idx="64">
                  <c:v>3.585</c:v>
                </c:pt>
                <c:pt idx="65">
                  <c:v>3.415</c:v>
                </c:pt>
                <c:pt idx="66">
                  <c:v>3.415</c:v>
                </c:pt>
                <c:pt idx="67">
                  <c:v>3.3</c:v>
                </c:pt>
                <c:pt idx="68">
                  <c:v>3.26</c:v>
                </c:pt>
                <c:pt idx="69">
                  <c:v>3.2349999999999999</c:v>
                </c:pt>
                <c:pt idx="70">
                  <c:v>3.2349999999999999</c:v>
                </c:pt>
                <c:pt idx="71">
                  <c:v>3.2349999999999999</c:v>
                </c:pt>
                <c:pt idx="72">
                  <c:v>3.2349999999999999</c:v>
                </c:pt>
                <c:pt idx="73">
                  <c:v>3.2349999999999999</c:v>
                </c:pt>
                <c:pt idx="74">
                  <c:v>3.2349999999999999</c:v>
                </c:pt>
                <c:pt idx="75">
                  <c:v>3.2349999999999999</c:v>
                </c:pt>
                <c:pt idx="76">
                  <c:v>3.2349999999999999</c:v>
                </c:pt>
                <c:pt idx="77">
                  <c:v>3.2349999999999999</c:v>
                </c:pt>
                <c:pt idx="78">
                  <c:v>3.2349999999999999</c:v>
                </c:pt>
                <c:pt idx="79">
                  <c:v>3.2349999999999999</c:v>
                </c:pt>
                <c:pt idx="80">
                  <c:v>3.2349999999999999</c:v>
                </c:pt>
                <c:pt idx="81">
                  <c:v>3.2349999999999999</c:v>
                </c:pt>
                <c:pt idx="82">
                  <c:v>3.2349999999999999</c:v>
                </c:pt>
                <c:pt idx="83">
                  <c:v>3.2349999999999999</c:v>
                </c:pt>
                <c:pt idx="84">
                  <c:v>3.2349999999999999</c:v>
                </c:pt>
                <c:pt idx="85">
                  <c:v>3.2349999999999999</c:v>
                </c:pt>
                <c:pt idx="86">
                  <c:v>3.2349999999999999</c:v>
                </c:pt>
                <c:pt idx="87">
                  <c:v>3.2349999999999999</c:v>
                </c:pt>
                <c:pt idx="88">
                  <c:v>3.2349999999999999</c:v>
                </c:pt>
                <c:pt idx="89">
                  <c:v>3.2349999999999999</c:v>
                </c:pt>
                <c:pt idx="90">
                  <c:v>3.2349999999999999</c:v>
                </c:pt>
                <c:pt idx="91">
                  <c:v>3.2349999999999999</c:v>
                </c:pt>
                <c:pt idx="92">
                  <c:v>3.2349999999999999</c:v>
                </c:pt>
                <c:pt idx="93">
                  <c:v>3.2349999999999999</c:v>
                </c:pt>
                <c:pt idx="94">
                  <c:v>3.2349999999999999</c:v>
                </c:pt>
                <c:pt idx="95">
                  <c:v>3.2349999999999999</c:v>
                </c:pt>
                <c:pt idx="96">
                  <c:v>3.2349999999999999</c:v>
                </c:pt>
                <c:pt idx="97">
                  <c:v>3.2349999999999999</c:v>
                </c:pt>
                <c:pt idx="98">
                  <c:v>3.2349999999999999</c:v>
                </c:pt>
                <c:pt idx="99">
                  <c:v>3.2349999999999999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094592"/>
        <c:axId val="304100480"/>
      </c:lineChart>
      <c:dateAx>
        <c:axId val="3040945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4100480"/>
        <c:crosses val="autoZero"/>
        <c:auto val="1"/>
        <c:lblOffset val="100"/>
        <c:baseTimeUnit val="months"/>
        <c:majorUnit val="2"/>
        <c:majorTimeUnit val="years"/>
      </c:dateAx>
      <c:valAx>
        <c:axId val="30410048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04094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'Low rate'!$B$324:$B$755</c:f>
              <c:numCache>
                <c:formatCode>m/d/yyyy</c:formatCode>
                <c:ptCount val="432"/>
                <c:pt idx="0">
                  <c:v>39142</c:v>
                </c:pt>
                <c:pt idx="1">
                  <c:v>39149</c:v>
                </c:pt>
                <c:pt idx="2">
                  <c:v>39156</c:v>
                </c:pt>
                <c:pt idx="3">
                  <c:v>39163</c:v>
                </c:pt>
                <c:pt idx="4">
                  <c:v>39170</c:v>
                </c:pt>
                <c:pt idx="5">
                  <c:v>39177</c:v>
                </c:pt>
                <c:pt idx="6">
                  <c:v>39184</c:v>
                </c:pt>
                <c:pt idx="7">
                  <c:v>39191</c:v>
                </c:pt>
                <c:pt idx="8">
                  <c:v>39198</c:v>
                </c:pt>
                <c:pt idx="9">
                  <c:v>39205</c:v>
                </c:pt>
                <c:pt idx="10">
                  <c:v>39212</c:v>
                </c:pt>
                <c:pt idx="11">
                  <c:v>39219</c:v>
                </c:pt>
                <c:pt idx="12">
                  <c:v>39226</c:v>
                </c:pt>
                <c:pt idx="13">
                  <c:v>39233</c:v>
                </c:pt>
                <c:pt idx="14">
                  <c:v>39240</c:v>
                </c:pt>
                <c:pt idx="15">
                  <c:v>39247</c:v>
                </c:pt>
                <c:pt idx="16">
                  <c:v>39254</c:v>
                </c:pt>
                <c:pt idx="17">
                  <c:v>39261</c:v>
                </c:pt>
                <c:pt idx="18">
                  <c:v>39268</c:v>
                </c:pt>
                <c:pt idx="19">
                  <c:v>39275</c:v>
                </c:pt>
                <c:pt idx="20">
                  <c:v>39282</c:v>
                </c:pt>
                <c:pt idx="21">
                  <c:v>39289</c:v>
                </c:pt>
                <c:pt idx="22">
                  <c:v>39296</c:v>
                </c:pt>
                <c:pt idx="23">
                  <c:v>39303</c:v>
                </c:pt>
                <c:pt idx="24">
                  <c:v>39310</c:v>
                </c:pt>
                <c:pt idx="25">
                  <c:v>39317</c:v>
                </c:pt>
                <c:pt idx="26">
                  <c:v>39324</c:v>
                </c:pt>
                <c:pt idx="27">
                  <c:v>39331</c:v>
                </c:pt>
                <c:pt idx="28">
                  <c:v>39338</c:v>
                </c:pt>
                <c:pt idx="29">
                  <c:v>39345</c:v>
                </c:pt>
                <c:pt idx="30">
                  <c:v>39352</c:v>
                </c:pt>
                <c:pt idx="31">
                  <c:v>39359</c:v>
                </c:pt>
                <c:pt idx="32">
                  <c:v>39366</c:v>
                </c:pt>
                <c:pt idx="33">
                  <c:v>39373</c:v>
                </c:pt>
                <c:pt idx="34">
                  <c:v>39380</c:v>
                </c:pt>
                <c:pt idx="35">
                  <c:v>39387</c:v>
                </c:pt>
                <c:pt idx="36">
                  <c:v>39394</c:v>
                </c:pt>
                <c:pt idx="37">
                  <c:v>39401</c:v>
                </c:pt>
                <c:pt idx="38">
                  <c:v>39407</c:v>
                </c:pt>
                <c:pt idx="39">
                  <c:v>39415</c:v>
                </c:pt>
                <c:pt idx="40">
                  <c:v>39422</c:v>
                </c:pt>
                <c:pt idx="41">
                  <c:v>39429</c:v>
                </c:pt>
                <c:pt idx="42">
                  <c:v>39436</c:v>
                </c:pt>
                <c:pt idx="43">
                  <c:v>39443</c:v>
                </c:pt>
                <c:pt idx="44">
                  <c:v>39450</c:v>
                </c:pt>
                <c:pt idx="45">
                  <c:v>39457</c:v>
                </c:pt>
                <c:pt idx="46">
                  <c:v>39464</c:v>
                </c:pt>
                <c:pt idx="47">
                  <c:v>39471</c:v>
                </c:pt>
                <c:pt idx="48">
                  <c:v>39478</c:v>
                </c:pt>
                <c:pt idx="49">
                  <c:v>39485</c:v>
                </c:pt>
                <c:pt idx="50">
                  <c:v>39492</c:v>
                </c:pt>
                <c:pt idx="51">
                  <c:v>39499</c:v>
                </c:pt>
                <c:pt idx="52">
                  <c:v>39506</c:v>
                </c:pt>
                <c:pt idx="53">
                  <c:v>39513</c:v>
                </c:pt>
                <c:pt idx="54">
                  <c:v>39520</c:v>
                </c:pt>
                <c:pt idx="55">
                  <c:v>39527</c:v>
                </c:pt>
                <c:pt idx="56">
                  <c:v>39534</c:v>
                </c:pt>
                <c:pt idx="57">
                  <c:v>39541</c:v>
                </c:pt>
                <c:pt idx="58">
                  <c:v>39548</c:v>
                </c:pt>
                <c:pt idx="59">
                  <c:v>39555</c:v>
                </c:pt>
                <c:pt idx="60">
                  <c:v>39562</c:v>
                </c:pt>
                <c:pt idx="61">
                  <c:v>39569</c:v>
                </c:pt>
                <c:pt idx="62">
                  <c:v>39576</c:v>
                </c:pt>
                <c:pt idx="63">
                  <c:v>39583</c:v>
                </c:pt>
                <c:pt idx="64">
                  <c:v>39590</c:v>
                </c:pt>
                <c:pt idx="65">
                  <c:v>39597</c:v>
                </c:pt>
                <c:pt idx="66">
                  <c:v>39604</c:v>
                </c:pt>
                <c:pt idx="67">
                  <c:v>39611</c:v>
                </c:pt>
                <c:pt idx="68">
                  <c:v>39618</c:v>
                </c:pt>
                <c:pt idx="69">
                  <c:v>39625</c:v>
                </c:pt>
                <c:pt idx="70">
                  <c:v>39632</c:v>
                </c:pt>
                <c:pt idx="71">
                  <c:v>39639</c:v>
                </c:pt>
                <c:pt idx="72">
                  <c:v>39646</c:v>
                </c:pt>
                <c:pt idx="73">
                  <c:v>39653</c:v>
                </c:pt>
                <c:pt idx="74">
                  <c:v>39660</c:v>
                </c:pt>
                <c:pt idx="75">
                  <c:v>39667</c:v>
                </c:pt>
                <c:pt idx="76">
                  <c:v>39674</c:v>
                </c:pt>
                <c:pt idx="77">
                  <c:v>39681</c:v>
                </c:pt>
                <c:pt idx="78">
                  <c:v>39688</c:v>
                </c:pt>
                <c:pt idx="79">
                  <c:v>39695</c:v>
                </c:pt>
                <c:pt idx="80">
                  <c:v>39702</c:v>
                </c:pt>
                <c:pt idx="81">
                  <c:v>39709</c:v>
                </c:pt>
                <c:pt idx="82">
                  <c:v>39716</c:v>
                </c:pt>
                <c:pt idx="83">
                  <c:v>39723</c:v>
                </c:pt>
                <c:pt idx="84">
                  <c:v>39730</c:v>
                </c:pt>
                <c:pt idx="85">
                  <c:v>39737</c:v>
                </c:pt>
                <c:pt idx="86">
                  <c:v>39744</c:v>
                </c:pt>
                <c:pt idx="87">
                  <c:v>39751</c:v>
                </c:pt>
                <c:pt idx="88">
                  <c:v>39758</c:v>
                </c:pt>
                <c:pt idx="89">
                  <c:v>39765</c:v>
                </c:pt>
                <c:pt idx="90">
                  <c:v>39772</c:v>
                </c:pt>
                <c:pt idx="91">
                  <c:v>39778</c:v>
                </c:pt>
                <c:pt idx="92">
                  <c:v>39786</c:v>
                </c:pt>
                <c:pt idx="93">
                  <c:v>39793</c:v>
                </c:pt>
                <c:pt idx="94">
                  <c:v>39800</c:v>
                </c:pt>
                <c:pt idx="95">
                  <c:v>39806</c:v>
                </c:pt>
                <c:pt idx="96">
                  <c:v>39813</c:v>
                </c:pt>
                <c:pt idx="97">
                  <c:v>39821</c:v>
                </c:pt>
                <c:pt idx="98">
                  <c:v>39828</c:v>
                </c:pt>
                <c:pt idx="99">
                  <c:v>39835</c:v>
                </c:pt>
                <c:pt idx="100">
                  <c:v>39842</c:v>
                </c:pt>
                <c:pt idx="101">
                  <c:v>39849</c:v>
                </c:pt>
                <c:pt idx="102">
                  <c:v>39856</c:v>
                </c:pt>
                <c:pt idx="103">
                  <c:v>39863</c:v>
                </c:pt>
                <c:pt idx="104">
                  <c:v>39870</c:v>
                </c:pt>
                <c:pt idx="105">
                  <c:v>39877</c:v>
                </c:pt>
                <c:pt idx="106">
                  <c:v>39884</c:v>
                </c:pt>
                <c:pt idx="107">
                  <c:v>39891</c:v>
                </c:pt>
                <c:pt idx="108">
                  <c:v>39898</c:v>
                </c:pt>
                <c:pt idx="109">
                  <c:v>39905</c:v>
                </c:pt>
                <c:pt idx="110">
                  <c:v>39912</c:v>
                </c:pt>
                <c:pt idx="111">
                  <c:v>39919</c:v>
                </c:pt>
                <c:pt idx="112">
                  <c:v>39926</c:v>
                </c:pt>
                <c:pt idx="113">
                  <c:v>39933</c:v>
                </c:pt>
                <c:pt idx="114">
                  <c:v>39940</c:v>
                </c:pt>
                <c:pt idx="115">
                  <c:v>39947</c:v>
                </c:pt>
                <c:pt idx="116">
                  <c:v>39954</c:v>
                </c:pt>
                <c:pt idx="117">
                  <c:v>39961</c:v>
                </c:pt>
                <c:pt idx="118">
                  <c:v>39968</c:v>
                </c:pt>
                <c:pt idx="119">
                  <c:v>39975</c:v>
                </c:pt>
                <c:pt idx="120">
                  <c:v>39982</c:v>
                </c:pt>
                <c:pt idx="121">
                  <c:v>39989</c:v>
                </c:pt>
                <c:pt idx="122">
                  <c:v>39996</c:v>
                </c:pt>
                <c:pt idx="123">
                  <c:v>40003</c:v>
                </c:pt>
                <c:pt idx="124">
                  <c:v>40010</c:v>
                </c:pt>
                <c:pt idx="125">
                  <c:v>40017</c:v>
                </c:pt>
                <c:pt idx="126">
                  <c:v>40024</c:v>
                </c:pt>
                <c:pt idx="127">
                  <c:v>40031</c:v>
                </c:pt>
                <c:pt idx="128">
                  <c:v>40038</c:v>
                </c:pt>
                <c:pt idx="129">
                  <c:v>40045</c:v>
                </c:pt>
                <c:pt idx="130">
                  <c:v>40052</c:v>
                </c:pt>
                <c:pt idx="131">
                  <c:v>40059</c:v>
                </c:pt>
                <c:pt idx="132">
                  <c:v>40066</c:v>
                </c:pt>
                <c:pt idx="133">
                  <c:v>40073</c:v>
                </c:pt>
                <c:pt idx="134">
                  <c:v>40080</c:v>
                </c:pt>
                <c:pt idx="135">
                  <c:v>40087</c:v>
                </c:pt>
                <c:pt idx="136">
                  <c:v>40094</c:v>
                </c:pt>
                <c:pt idx="137">
                  <c:v>40101</c:v>
                </c:pt>
                <c:pt idx="138">
                  <c:v>40108</c:v>
                </c:pt>
                <c:pt idx="139">
                  <c:v>40115</c:v>
                </c:pt>
                <c:pt idx="140">
                  <c:v>40122</c:v>
                </c:pt>
                <c:pt idx="141">
                  <c:v>40129</c:v>
                </c:pt>
                <c:pt idx="142">
                  <c:v>40136</c:v>
                </c:pt>
                <c:pt idx="143">
                  <c:v>40142</c:v>
                </c:pt>
                <c:pt idx="144">
                  <c:v>40150</c:v>
                </c:pt>
                <c:pt idx="145">
                  <c:v>40157</c:v>
                </c:pt>
                <c:pt idx="146">
                  <c:v>40164</c:v>
                </c:pt>
                <c:pt idx="147">
                  <c:v>40171</c:v>
                </c:pt>
                <c:pt idx="148">
                  <c:v>40178</c:v>
                </c:pt>
                <c:pt idx="149">
                  <c:v>40185</c:v>
                </c:pt>
                <c:pt idx="150">
                  <c:v>40192</c:v>
                </c:pt>
                <c:pt idx="151">
                  <c:v>40199</c:v>
                </c:pt>
                <c:pt idx="152">
                  <c:v>40206</c:v>
                </c:pt>
                <c:pt idx="153">
                  <c:v>40213</c:v>
                </c:pt>
                <c:pt idx="154">
                  <c:v>40220</c:v>
                </c:pt>
                <c:pt idx="155">
                  <c:v>40227</c:v>
                </c:pt>
                <c:pt idx="156">
                  <c:v>40234</c:v>
                </c:pt>
                <c:pt idx="157">
                  <c:v>40241</c:v>
                </c:pt>
                <c:pt idx="158">
                  <c:v>40248</c:v>
                </c:pt>
                <c:pt idx="159">
                  <c:v>40255</c:v>
                </c:pt>
                <c:pt idx="160">
                  <c:v>40262</c:v>
                </c:pt>
                <c:pt idx="161">
                  <c:v>40269</c:v>
                </c:pt>
                <c:pt idx="162">
                  <c:v>40276</c:v>
                </c:pt>
                <c:pt idx="163">
                  <c:v>40283</c:v>
                </c:pt>
                <c:pt idx="164">
                  <c:v>40290</c:v>
                </c:pt>
                <c:pt idx="165">
                  <c:v>40297</c:v>
                </c:pt>
                <c:pt idx="166">
                  <c:v>40304</c:v>
                </c:pt>
                <c:pt idx="167">
                  <c:v>40311</c:v>
                </c:pt>
                <c:pt idx="168">
                  <c:v>40318</c:v>
                </c:pt>
                <c:pt idx="169">
                  <c:v>40325</c:v>
                </c:pt>
                <c:pt idx="170">
                  <c:v>40332</c:v>
                </c:pt>
                <c:pt idx="171">
                  <c:v>40339</c:v>
                </c:pt>
                <c:pt idx="172">
                  <c:v>40346</c:v>
                </c:pt>
                <c:pt idx="173">
                  <c:v>40353</c:v>
                </c:pt>
                <c:pt idx="174">
                  <c:v>40360</c:v>
                </c:pt>
                <c:pt idx="175">
                  <c:v>40367</c:v>
                </c:pt>
                <c:pt idx="176">
                  <c:v>40374</c:v>
                </c:pt>
                <c:pt idx="177">
                  <c:v>40381</c:v>
                </c:pt>
                <c:pt idx="178">
                  <c:v>40388</c:v>
                </c:pt>
                <c:pt idx="179">
                  <c:v>40395</c:v>
                </c:pt>
                <c:pt idx="180">
                  <c:v>40402</c:v>
                </c:pt>
                <c:pt idx="181">
                  <c:v>40409</c:v>
                </c:pt>
                <c:pt idx="182">
                  <c:v>40416</c:v>
                </c:pt>
                <c:pt idx="183">
                  <c:v>40423</c:v>
                </c:pt>
                <c:pt idx="184">
                  <c:v>40430</c:v>
                </c:pt>
                <c:pt idx="185">
                  <c:v>40437</c:v>
                </c:pt>
                <c:pt idx="186">
                  <c:v>40444</c:v>
                </c:pt>
                <c:pt idx="187">
                  <c:v>40451</c:v>
                </c:pt>
                <c:pt idx="188">
                  <c:v>40458</c:v>
                </c:pt>
                <c:pt idx="189">
                  <c:v>40465</c:v>
                </c:pt>
                <c:pt idx="190">
                  <c:v>40472</c:v>
                </c:pt>
                <c:pt idx="191">
                  <c:v>40479</c:v>
                </c:pt>
                <c:pt idx="192">
                  <c:v>40486</c:v>
                </c:pt>
                <c:pt idx="193">
                  <c:v>40493</c:v>
                </c:pt>
                <c:pt idx="194">
                  <c:v>40500</c:v>
                </c:pt>
                <c:pt idx="195">
                  <c:v>40506</c:v>
                </c:pt>
                <c:pt idx="196">
                  <c:v>40514</c:v>
                </c:pt>
                <c:pt idx="197">
                  <c:v>40521</c:v>
                </c:pt>
                <c:pt idx="198">
                  <c:v>40528</c:v>
                </c:pt>
                <c:pt idx="199">
                  <c:v>40535</c:v>
                </c:pt>
                <c:pt idx="200">
                  <c:v>40542</c:v>
                </c:pt>
                <c:pt idx="201">
                  <c:v>40549</c:v>
                </c:pt>
                <c:pt idx="202">
                  <c:v>40556</c:v>
                </c:pt>
                <c:pt idx="203">
                  <c:v>40563</c:v>
                </c:pt>
                <c:pt idx="204">
                  <c:v>40570</c:v>
                </c:pt>
                <c:pt idx="205">
                  <c:v>40577</c:v>
                </c:pt>
                <c:pt idx="206">
                  <c:v>40584</c:v>
                </c:pt>
                <c:pt idx="207">
                  <c:v>40591</c:v>
                </c:pt>
                <c:pt idx="208">
                  <c:v>40598</c:v>
                </c:pt>
                <c:pt idx="209">
                  <c:v>40605</c:v>
                </c:pt>
                <c:pt idx="210">
                  <c:v>40612</c:v>
                </c:pt>
                <c:pt idx="211">
                  <c:v>40619</c:v>
                </c:pt>
                <c:pt idx="212">
                  <c:v>40626</c:v>
                </c:pt>
                <c:pt idx="213">
                  <c:v>40633</c:v>
                </c:pt>
                <c:pt idx="214">
                  <c:v>40640</c:v>
                </c:pt>
                <c:pt idx="215">
                  <c:v>40647</c:v>
                </c:pt>
                <c:pt idx="216">
                  <c:v>40654</c:v>
                </c:pt>
                <c:pt idx="217">
                  <c:v>40661</c:v>
                </c:pt>
                <c:pt idx="218">
                  <c:v>40668</c:v>
                </c:pt>
                <c:pt idx="219">
                  <c:v>40675</c:v>
                </c:pt>
                <c:pt idx="220">
                  <c:v>40682</c:v>
                </c:pt>
                <c:pt idx="221">
                  <c:v>40689</c:v>
                </c:pt>
                <c:pt idx="222">
                  <c:v>40696</c:v>
                </c:pt>
                <c:pt idx="223">
                  <c:v>40703</c:v>
                </c:pt>
                <c:pt idx="224">
                  <c:v>40710</c:v>
                </c:pt>
                <c:pt idx="225">
                  <c:v>40717</c:v>
                </c:pt>
                <c:pt idx="226">
                  <c:v>40724</c:v>
                </c:pt>
                <c:pt idx="227">
                  <c:v>40731</c:v>
                </c:pt>
                <c:pt idx="228">
                  <c:v>40738</c:v>
                </c:pt>
                <c:pt idx="229">
                  <c:v>40745</c:v>
                </c:pt>
                <c:pt idx="230">
                  <c:v>40752</c:v>
                </c:pt>
                <c:pt idx="231">
                  <c:v>40759</c:v>
                </c:pt>
                <c:pt idx="232">
                  <c:v>40766</c:v>
                </c:pt>
                <c:pt idx="233">
                  <c:v>40773</c:v>
                </c:pt>
                <c:pt idx="234">
                  <c:v>40780</c:v>
                </c:pt>
                <c:pt idx="235">
                  <c:v>40787</c:v>
                </c:pt>
                <c:pt idx="236">
                  <c:v>40794</c:v>
                </c:pt>
                <c:pt idx="237">
                  <c:v>40801</c:v>
                </c:pt>
                <c:pt idx="238">
                  <c:v>40808</c:v>
                </c:pt>
                <c:pt idx="239">
                  <c:v>40815</c:v>
                </c:pt>
                <c:pt idx="240">
                  <c:v>40822</c:v>
                </c:pt>
                <c:pt idx="241">
                  <c:v>40829</c:v>
                </c:pt>
                <c:pt idx="242">
                  <c:v>40836</c:v>
                </c:pt>
                <c:pt idx="243">
                  <c:v>40843</c:v>
                </c:pt>
                <c:pt idx="244">
                  <c:v>40850</c:v>
                </c:pt>
                <c:pt idx="245">
                  <c:v>40857</c:v>
                </c:pt>
                <c:pt idx="246">
                  <c:v>40864</c:v>
                </c:pt>
                <c:pt idx="247">
                  <c:v>40870</c:v>
                </c:pt>
                <c:pt idx="248">
                  <c:v>40878</c:v>
                </c:pt>
                <c:pt idx="249">
                  <c:v>40885</c:v>
                </c:pt>
                <c:pt idx="250">
                  <c:v>40892</c:v>
                </c:pt>
                <c:pt idx="251">
                  <c:v>40899</c:v>
                </c:pt>
                <c:pt idx="252">
                  <c:v>40906</c:v>
                </c:pt>
                <c:pt idx="253">
                  <c:v>40913</c:v>
                </c:pt>
                <c:pt idx="254">
                  <c:v>40920</c:v>
                </c:pt>
                <c:pt idx="255">
                  <c:v>40927</c:v>
                </c:pt>
                <c:pt idx="256">
                  <c:v>40934</c:v>
                </c:pt>
                <c:pt idx="257">
                  <c:v>40941</c:v>
                </c:pt>
                <c:pt idx="258">
                  <c:v>40948</c:v>
                </c:pt>
                <c:pt idx="259">
                  <c:v>40955</c:v>
                </c:pt>
                <c:pt idx="260">
                  <c:v>40962</c:v>
                </c:pt>
                <c:pt idx="261">
                  <c:v>40969</c:v>
                </c:pt>
                <c:pt idx="262">
                  <c:v>40976</c:v>
                </c:pt>
                <c:pt idx="263">
                  <c:v>40983</c:v>
                </c:pt>
                <c:pt idx="264">
                  <c:v>40990</c:v>
                </c:pt>
                <c:pt idx="265">
                  <c:v>40997</c:v>
                </c:pt>
                <c:pt idx="266">
                  <c:v>41004</c:v>
                </c:pt>
                <c:pt idx="267">
                  <c:v>41011</c:v>
                </c:pt>
                <c:pt idx="268">
                  <c:v>41018</c:v>
                </c:pt>
                <c:pt idx="269">
                  <c:v>41025</c:v>
                </c:pt>
                <c:pt idx="270">
                  <c:v>41032</c:v>
                </c:pt>
                <c:pt idx="271">
                  <c:v>41039</c:v>
                </c:pt>
                <c:pt idx="272">
                  <c:v>41046</c:v>
                </c:pt>
                <c:pt idx="273">
                  <c:v>41053</c:v>
                </c:pt>
                <c:pt idx="274">
                  <c:v>41060</c:v>
                </c:pt>
                <c:pt idx="275">
                  <c:v>41067</c:v>
                </c:pt>
                <c:pt idx="276">
                  <c:v>41074</c:v>
                </c:pt>
                <c:pt idx="277">
                  <c:v>41081</c:v>
                </c:pt>
                <c:pt idx="278">
                  <c:v>41088</c:v>
                </c:pt>
                <c:pt idx="279">
                  <c:v>41095</c:v>
                </c:pt>
                <c:pt idx="280">
                  <c:v>41102</c:v>
                </c:pt>
                <c:pt idx="281">
                  <c:v>41109</c:v>
                </c:pt>
                <c:pt idx="282">
                  <c:v>41116</c:v>
                </c:pt>
                <c:pt idx="283">
                  <c:v>41123</c:v>
                </c:pt>
                <c:pt idx="284">
                  <c:v>41130</c:v>
                </c:pt>
                <c:pt idx="285">
                  <c:v>41137</c:v>
                </c:pt>
                <c:pt idx="286">
                  <c:v>41144</c:v>
                </c:pt>
                <c:pt idx="287">
                  <c:v>41151</c:v>
                </c:pt>
                <c:pt idx="288">
                  <c:v>41158</c:v>
                </c:pt>
                <c:pt idx="289">
                  <c:v>41165</c:v>
                </c:pt>
                <c:pt idx="290">
                  <c:v>41172</c:v>
                </c:pt>
                <c:pt idx="291">
                  <c:v>41179</c:v>
                </c:pt>
                <c:pt idx="292">
                  <c:v>41186</c:v>
                </c:pt>
                <c:pt idx="293">
                  <c:v>41193</c:v>
                </c:pt>
                <c:pt idx="294">
                  <c:v>41200</c:v>
                </c:pt>
                <c:pt idx="295">
                  <c:v>41207</c:v>
                </c:pt>
                <c:pt idx="296">
                  <c:v>41214</c:v>
                </c:pt>
                <c:pt idx="297">
                  <c:v>41221</c:v>
                </c:pt>
                <c:pt idx="298">
                  <c:v>41228</c:v>
                </c:pt>
                <c:pt idx="299">
                  <c:v>41234</c:v>
                </c:pt>
                <c:pt idx="300">
                  <c:v>41242</c:v>
                </c:pt>
                <c:pt idx="301">
                  <c:v>41249</c:v>
                </c:pt>
                <c:pt idx="302">
                  <c:v>41256</c:v>
                </c:pt>
                <c:pt idx="303">
                  <c:v>41263</c:v>
                </c:pt>
                <c:pt idx="304">
                  <c:v>41270</c:v>
                </c:pt>
                <c:pt idx="305">
                  <c:v>41277</c:v>
                </c:pt>
                <c:pt idx="306">
                  <c:v>41284</c:v>
                </c:pt>
                <c:pt idx="307">
                  <c:v>41291</c:v>
                </c:pt>
                <c:pt idx="308">
                  <c:v>41298</c:v>
                </c:pt>
                <c:pt idx="309">
                  <c:v>41305</c:v>
                </c:pt>
                <c:pt idx="310">
                  <c:v>41312</c:v>
                </c:pt>
                <c:pt idx="311">
                  <c:v>41319</c:v>
                </c:pt>
                <c:pt idx="312">
                  <c:v>41326</c:v>
                </c:pt>
                <c:pt idx="313">
                  <c:v>41333</c:v>
                </c:pt>
                <c:pt idx="314">
                  <c:v>41340</c:v>
                </c:pt>
                <c:pt idx="315">
                  <c:v>41347</c:v>
                </c:pt>
                <c:pt idx="316">
                  <c:v>41354</c:v>
                </c:pt>
                <c:pt idx="317">
                  <c:v>41361</c:v>
                </c:pt>
                <c:pt idx="318">
                  <c:v>41368</c:v>
                </c:pt>
                <c:pt idx="319">
                  <c:v>41375</c:v>
                </c:pt>
                <c:pt idx="320">
                  <c:v>41382</c:v>
                </c:pt>
                <c:pt idx="321">
                  <c:v>41389</c:v>
                </c:pt>
                <c:pt idx="322">
                  <c:v>41396</c:v>
                </c:pt>
                <c:pt idx="323">
                  <c:v>41403</c:v>
                </c:pt>
                <c:pt idx="324">
                  <c:v>41410</c:v>
                </c:pt>
                <c:pt idx="325">
                  <c:v>41417</c:v>
                </c:pt>
                <c:pt idx="326">
                  <c:v>41424</c:v>
                </c:pt>
                <c:pt idx="327">
                  <c:v>41431</c:v>
                </c:pt>
                <c:pt idx="328">
                  <c:v>41438</c:v>
                </c:pt>
                <c:pt idx="329">
                  <c:v>41445</c:v>
                </c:pt>
                <c:pt idx="330">
                  <c:v>41452</c:v>
                </c:pt>
                <c:pt idx="331">
                  <c:v>41458</c:v>
                </c:pt>
                <c:pt idx="332">
                  <c:v>41466</c:v>
                </c:pt>
                <c:pt idx="333">
                  <c:v>41473</c:v>
                </c:pt>
                <c:pt idx="334">
                  <c:v>41480</c:v>
                </c:pt>
                <c:pt idx="335">
                  <c:v>41487</c:v>
                </c:pt>
                <c:pt idx="336">
                  <c:v>41494</c:v>
                </c:pt>
                <c:pt idx="337">
                  <c:v>41501</c:v>
                </c:pt>
                <c:pt idx="338">
                  <c:v>41508</c:v>
                </c:pt>
                <c:pt idx="339">
                  <c:v>41515</c:v>
                </c:pt>
                <c:pt idx="340">
                  <c:v>41522</c:v>
                </c:pt>
                <c:pt idx="341">
                  <c:v>41529</c:v>
                </c:pt>
                <c:pt idx="342">
                  <c:v>41536</c:v>
                </c:pt>
                <c:pt idx="343">
                  <c:v>41543</c:v>
                </c:pt>
                <c:pt idx="344">
                  <c:v>41550</c:v>
                </c:pt>
                <c:pt idx="345">
                  <c:v>41557</c:v>
                </c:pt>
                <c:pt idx="346">
                  <c:v>41564</c:v>
                </c:pt>
                <c:pt idx="347">
                  <c:v>41571</c:v>
                </c:pt>
                <c:pt idx="348">
                  <c:v>41578</c:v>
                </c:pt>
                <c:pt idx="349">
                  <c:v>41585</c:v>
                </c:pt>
                <c:pt idx="350">
                  <c:v>41592</c:v>
                </c:pt>
                <c:pt idx="351">
                  <c:v>41599</c:v>
                </c:pt>
                <c:pt idx="352">
                  <c:v>41605</c:v>
                </c:pt>
                <c:pt idx="353">
                  <c:v>41613</c:v>
                </c:pt>
                <c:pt idx="354">
                  <c:v>41620</c:v>
                </c:pt>
                <c:pt idx="355">
                  <c:v>41627</c:v>
                </c:pt>
                <c:pt idx="356">
                  <c:v>41634</c:v>
                </c:pt>
                <c:pt idx="357">
                  <c:v>41641</c:v>
                </c:pt>
                <c:pt idx="358">
                  <c:v>41648</c:v>
                </c:pt>
                <c:pt idx="359">
                  <c:v>41655</c:v>
                </c:pt>
                <c:pt idx="360">
                  <c:v>41662</c:v>
                </c:pt>
                <c:pt idx="361">
                  <c:v>41669</c:v>
                </c:pt>
                <c:pt idx="362">
                  <c:v>41676</c:v>
                </c:pt>
                <c:pt idx="363">
                  <c:v>41683</c:v>
                </c:pt>
                <c:pt idx="364">
                  <c:v>41690</c:v>
                </c:pt>
                <c:pt idx="365">
                  <c:v>41697</c:v>
                </c:pt>
                <c:pt idx="366">
                  <c:v>41704</c:v>
                </c:pt>
                <c:pt idx="367">
                  <c:v>41711</c:v>
                </c:pt>
                <c:pt idx="368">
                  <c:v>41718</c:v>
                </c:pt>
                <c:pt idx="369">
                  <c:v>41725</c:v>
                </c:pt>
                <c:pt idx="370">
                  <c:v>41732</c:v>
                </c:pt>
                <c:pt idx="371">
                  <c:v>41739</c:v>
                </c:pt>
                <c:pt idx="372">
                  <c:v>41746</c:v>
                </c:pt>
                <c:pt idx="373">
                  <c:v>41753</c:v>
                </c:pt>
                <c:pt idx="374">
                  <c:v>41760</c:v>
                </c:pt>
                <c:pt idx="375">
                  <c:v>41767</c:v>
                </c:pt>
                <c:pt idx="376">
                  <c:v>41774</c:v>
                </c:pt>
                <c:pt idx="377">
                  <c:v>41781</c:v>
                </c:pt>
                <c:pt idx="378">
                  <c:v>41788</c:v>
                </c:pt>
                <c:pt idx="379">
                  <c:v>41795</c:v>
                </c:pt>
                <c:pt idx="380">
                  <c:v>41802</c:v>
                </c:pt>
                <c:pt idx="381">
                  <c:v>41809</c:v>
                </c:pt>
                <c:pt idx="382">
                  <c:v>41816</c:v>
                </c:pt>
                <c:pt idx="383">
                  <c:v>41823</c:v>
                </c:pt>
                <c:pt idx="384">
                  <c:v>41830</c:v>
                </c:pt>
                <c:pt idx="385">
                  <c:v>41837</c:v>
                </c:pt>
                <c:pt idx="386">
                  <c:v>41844</c:v>
                </c:pt>
                <c:pt idx="387">
                  <c:v>41851</c:v>
                </c:pt>
                <c:pt idx="388">
                  <c:v>41858</c:v>
                </c:pt>
                <c:pt idx="389">
                  <c:v>41865</c:v>
                </c:pt>
                <c:pt idx="390">
                  <c:v>41872</c:v>
                </c:pt>
                <c:pt idx="391">
                  <c:v>41879</c:v>
                </c:pt>
                <c:pt idx="392">
                  <c:v>41886</c:v>
                </c:pt>
                <c:pt idx="393">
                  <c:v>41893</c:v>
                </c:pt>
                <c:pt idx="394">
                  <c:v>41900</c:v>
                </c:pt>
                <c:pt idx="395">
                  <c:v>41907</c:v>
                </c:pt>
                <c:pt idx="396">
                  <c:v>41914</c:v>
                </c:pt>
                <c:pt idx="397">
                  <c:v>41921</c:v>
                </c:pt>
                <c:pt idx="398">
                  <c:v>41928</c:v>
                </c:pt>
                <c:pt idx="399">
                  <c:v>41935</c:v>
                </c:pt>
                <c:pt idx="400">
                  <c:v>41942</c:v>
                </c:pt>
                <c:pt idx="401">
                  <c:v>41949</c:v>
                </c:pt>
                <c:pt idx="402">
                  <c:v>41956</c:v>
                </c:pt>
                <c:pt idx="403">
                  <c:v>41963</c:v>
                </c:pt>
                <c:pt idx="404">
                  <c:v>41969</c:v>
                </c:pt>
                <c:pt idx="405">
                  <c:v>41977</c:v>
                </c:pt>
                <c:pt idx="406">
                  <c:v>41984</c:v>
                </c:pt>
                <c:pt idx="407">
                  <c:v>41991</c:v>
                </c:pt>
                <c:pt idx="408">
                  <c:v>41997</c:v>
                </c:pt>
                <c:pt idx="409">
                  <c:v>42004</c:v>
                </c:pt>
                <c:pt idx="410">
                  <c:v>42012</c:v>
                </c:pt>
                <c:pt idx="411">
                  <c:v>42019</c:v>
                </c:pt>
                <c:pt idx="412">
                  <c:v>42026</c:v>
                </c:pt>
                <c:pt idx="413">
                  <c:v>42033</c:v>
                </c:pt>
                <c:pt idx="414">
                  <c:v>42040</c:v>
                </c:pt>
                <c:pt idx="415">
                  <c:v>42047</c:v>
                </c:pt>
                <c:pt idx="416">
                  <c:v>42054</c:v>
                </c:pt>
                <c:pt idx="417">
                  <c:v>42061</c:v>
                </c:pt>
                <c:pt idx="418">
                  <c:v>42068</c:v>
                </c:pt>
                <c:pt idx="419">
                  <c:v>42075</c:v>
                </c:pt>
                <c:pt idx="420">
                  <c:v>42082</c:v>
                </c:pt>
                <c:pt idx="421">
                  <c:v>42089</c:v>
                </c:pt>
                <c:pt idx="422">
                  <c:v>42096</c:v>
                </c:pt>
                <c:pt idx="423">
                  <c:v>42103</c:v>
                </c:pt>
                <c:pt idx="424">
                  <c:v>42110</c:v>
                </c:pt>
                <c:pt idx="425">
                  <c:v>42117</c:v>
                </c:pt>
                <c:pt idx="426">
                  <c:v>42124</c:v>
                </c:pt>
                <c:pt idx="427">
                  <c:v>42131</c:v>
                </c:pt>
                <c:pt idx="428">
                  <c:v>42138</c:v>
                </c:pt>
                <c:pt idx="429">
                  <c:v>42145</c:v>
                </c:pt>
                <c:pt idx="430">
                  <c:v>42152</c:v>
                </c:pt>
                <c:pt idx="431">
                  <c:v>42159</c:v>
                </c:pt>
              </c:numCache>
            </c:numRef>
          </c:cat>
          <c:val>
            <c:numRef>
              <c:f>'Low rate'!$C$324:$C$755</c:f>
              <c:numCache>
                <c:formatCode>General</c:formatCode>
                <c:ptCount val="432"/>
                <c:pt idx="0">
                  <c:v>6.0299999999999896</c:v>
                </c:pt>
                <c:pt idx="1">
                  <c:v>6.0149999999999997</c:v>
                </c:pt>
                <c:pt idx="2">
                  <c:v>5.9899999999999904</c:v>
                </c:pt>
                <c:pt idx="3">
                  <c:v>6.01</c:v>
                </c:pt>
                <c:pt idx="4">
                  <c:v>6.01</c:v>
                </c:pt>
                <c:pt idx="5">
                  <c:v>6.02</c:v>
                </c:pt>
                <c:pt idx="6">
                  <c:v>6.0699999999999896</c:v>
                </c:pt>
                <c:pt idx="7">
                  <c:v>6.0449999999999999</c:v>
                </c:pt>
                <c:pt idx="8">
                  <c:v>6.0350000000000001</c:v>
                </c:pt>
                <c:pt idx="9">
                  <c:v>6.0350000000000001</c:v>
                </c:pt>
                <c:pt idx="10">
                  <c:v>6.0250000000000004</c:v>
                </c:pt>
                <c:pt idx="11">
                  <c:v>6.06</c:v>
                </c:pt>
                <c:pt idx="12">
                  <c:v>6.22</c:v>
                </c:pt>
                <c:pt idx="13">
                  <c:v>6.27</c:v>
                </c:pt>
                <c:pt idx="14">
                  <c:v>6.38</c:v>
                </c:pt>
                <c:pt idx="15">
                  <c:v>6.59</c:v>
                </c:pt>
                <c:pt idx="16">
                  <c:v>6.5650000000000004</c:v>
                </c:pt>
                <c:pt idx="17">
                  <c:v>6.52</c:v>
                </c:pt>
                <c:pt idx="18">
                  <c:v>6.4799999999999898</c:v>
                </c:pt>
                <c:pt idx="19">
                  <c:v>6.58</c:v>
                </c:pt>
                <c:pt idx="20">
                  <c:v>6.58</c:v>
                </c:pt>
                <c:pt idx="21">
                  <c:v>6.54</c:v>
                </c:pt>
                <c:pt idx="22">
                  <c:v>6.5049999999999999</c:v>
                </c:pt>
                <c:pt idx="23">
                  <c:v>6.4399999999999897</c:v>
                </c:pt>
                <c:pt idx="24">
                  <c:v>6.47</c:v>
                </c:pt>
                <c:pt idx="25">
                  <c:v>6.3699999999999903</c:v>
                </c:pt>
                <c:pt idx="26">
                  <c:v>6.3250000000000002</c:v>
                </c:pt>
                <c:pt idx="27">
                  <c:v>6.335</c:v>
                </c:pt>
                <c:pt idx="28">
                  <c:v>6.1849999999999996</c:v>
                </c:pt>
                <c:pt idx="29">
                  <c:v>6.2149999999999999</c:v>
                </c:pt>
                <c:pt idx="30">
                  <c:v>6.2949999999999999</c:v>
                </c:pt>
                <c:pt idx="31">
                  <c:v>6.2450000000000001</c:v>
                </c:pt>
                <c:pt idx="32">
                  <c:v>6.25</c:v>
                </c:pt>
                <c:pt idx="33">
                  <c:v>6.2750000000000004</c:v>
                </c:pt>
                <c:pt idx="34">
                  <c:v>6.2050000000000001</c:v>
                </c:pt>
                <c:pt idx="35">
                  <c:v>6.1099999999999897</c:v>
                </c:pt>
                <c:pt idx="36">
                  <c:v>6.09</c:v>
                </c:pt>
                <c:pt idx="37">
                  <c:v>6.09</c:v>
                </c:pt>
                <c:pt idx="38">
                  <c:v>6.0750000000000002</c:v>
                </c:pt>
                <c:pt idx="39">
                  <c:v>5.9749999999999996</c:v>
                </c:pt>
                <c:pt idx="40">
                  <c:v>5.81</c:v>
                </c:pt>
                <c:pt idx="41">
                  <c:v>5.9850000000000003</c:v>
                </c:pt>
                <c:pt idx="42">
                  <c:v>5.9899999999999904</c:v>
                </c:pt>
                <c:pt idx="43">
                  <c:v>6.0449999999999999</c:v>
                </c:pt>
                <c:pt idx="44">
                  <c:v>5.9450000000000003</c:v>
                </c:pt>
                <c:pt idx="45">
                  <c:v>5.72</c:v>
                </c:pt>
                <c:pt idx="46">
                  <c:v>5.5650000000000004</c:v>
                </c:pt>
                <c:pt idx="47">
                  <c:v>5.33</c:v>
                </c:pt>
                <c:pt idx="48">
                  <c:v>5.5299999999999896</c:v>
                </c:pt>
                <c:pt idx="49">
                  <c:v>5.52</c:v>
                </c:pt>
                <c:pt idx="50">
                  <c:v>5.5699999999999896</c:v>
                </c:pt>
                <c:pt idx="51">
                  <c:v>5.94</c:v>
                </c:pt>
                <c:pt idx="52">
                  <c:v>6.1150000000000002</c:v>
                </c:pt>
                <c:pt idx="53">
                  <c:v>5.9050000000000002</c:v>
                </c:pt>
                <c:pt idx="54">
                  <c:v>6.0049999999999999</c:v>
                </c:pt>
                <c:pt idx="55">
                  <c:v>5.7450000000000001</c:v>
                </c:pt>
                <c:pt idx="56">
                  <c:v>5.6999999999999904</c:v>
                </c:pt>
                <c:pt idx="57">
                  <c:v>5.7549999999999999</c:v>
                </c:pt>
                <c:pt idx="58">
                  <c:v>5.7299999999999898</c:v>
                </c:pt>
                <c:pt idx="59">
                  <c:v>5.7299999999999898</c:v>
                </c:pt>
                <c:pt idx="60">
                  <c:v>5.8550000000000004</c:v>
                </c:pt>
                <c:pt idx="61">
                  <c:v>5.9349999999999996</c:v>
                </c:pt>
                <c:pt idx="62">
                  <c:v>5.875</c:v>
                </c:pt>
                <c:pt idx="63">
                  <c:v>5.91</c:v>
                </c:pt>
                <c:pt idx="64">
                  <c:v>5.8550000000000004</c:v>
                </c:pt>
                <c:pt idx="65">
                  <c:v>5.98</c:v>
                </c:pt>
                <c:pt idx="66">
                  <c:v>5.99</c:v>
                </c:pt>
                <c:pt idx="67">
                  <c:v>6.2450000000000001</c:v>
                </c:pt>
                <c:pt idx="68">
                  <c:v>6.3449999999999998</c:v>
                </c:pt>
                <c:pt idx="69">
                  <c:v>6.35</c:v>
                </c:pt>
                <c:pt idx="70">
                  <c:v>6.25</c:v>
                </c:pt>
                <c:pt idx="71">
                  <c:v>6.27</c:v>
                </c:pt>
                <c:pt idx="72">
                  <c:v>6.16</c:v>
                </c:pt>
                <c:pt idx="73">
                  <c:v>6.53</c:v>
                </c:pt>
                <c:pt idx="74">
                  <c:v>6.4449999999999896</c:v>
                </c:pt>
                <c:pt idx="75">
                  <c:v>6.4449999999999896</c:v>
                </c:pt>
                <c:pt idx="76">
                  <c:v>6.4449999999999896</c:v>
                </c:pt>
                <c:pt idx="77">
                  <c:v>6.3949999999999996</c:v>
                </c:pt>
                <c:pt idx="78">
                  <c:v>6.3</c:v>
                </c:pt>
                <c:pt idx="79">
                  <c:v>6.2749999999999897</c:v>
                </c:pt>
                <c:pt idx="80">
                  <c:v>5.8549999999999898</c:v>
                </c:pt>
                <c:pt idx="81">
                  <c:v>5.68</c:v>
                </c:pt>
                <c:pt idx="82">
                  <c:v>6.0149999999999997</c:v>
                </c:pt>
                <c:pt idx="83">
                  <c:v>6</c:v>
                </c:pt>
                <c:pt idx="84">
                  <c:v>5.84</c:v>
                </c:pt>
                <c:pt idx="85">
                  <c:v>6.36</c:v>
                </c:pt>
                <c:pt idx="86">
                  <c:v>5.94</c:v>
                </c:pt>
                <c:pt idx="87">
                  <c:v>6.3849999999999998</c:v>
                </c:pt>
                <c:pt idx="88">
                  <c:v>6.125</c:v>
                </c:pt>
                <c:pt idx="89">
                  <c:v>6.0649999999999897</c:v>
                </c:pt>
                <c:pt idx="90">
                  <c:v>5.9649999999999999</c:v>
                </c:pt>
                <c:pt idx="91">
                  <c:v>5.8949999999999996</c:v>
                </c:pt>
                <c:pt idx="92">
                  <c:v>5.4550000000000001</c:v>
                </c:pt>
                <c:pt idx="93">
                  <c:v>5.3949999999999996</c:v>
                </c:pt>
                <c:pt idx="94">
                  <c:v>5.1150000000000002</c:v>
                </c:pt>
                <c:pt idx="95">
                  <c:v>5.09</c:v>
                </c:pt>
                <c:pt idx="96">
                  <c:v>5.0249999999999897</c:v>
                </c:pt>
                <c:pt idx="97">
                  <c:v>4.91</c:v>
                </c:pt>
                <c:pt idx="98">
                  <c:v>4.8849999999999998</c:v>
                </c:pt>
                <c:pt idx="99">
                  <c:v>5.0449999999999999</c:v>
                </c:pt>
                <c:pt idx="100">
                  <c:v>5.0249999999999897</c:v>
                </c:pt>
                <c:pt idx="101">
                  <c:v>5.2</c:v>
                </c:pt>
                <c:pt idx="102">
                  <c:v>5.085</c:v>
                </c:pt>
                <c:pt idx="103">
                  <c:v>4.9649999999999999</c:v>
                </c:pt>
                <c:pt idx="104">
                  <c:v>4.9950000000000001</c:v>
                </c:pt>
                <c:pt idx="105">
                  <c:v>5.0750000000000002</c:v>
                </c:pt>
                <c:pt idx="106">
                  <c:v>4.9550000000000001</c:v>
                </c:pt>
                <c:pt idx="107">
                  <c:v>4.9050000000000002</c:v>
                </c:pt>
                <c:pt idx="108">
                  <c:v>4.7749999999999897</c:v>
                </c:pt>
                <c:pt idx="109">
                  <c:v>4.7050000000000001</c:v>
                </c:pt>
                <c:pt idx="110">
                  <c:v>4.7949999999999999</c:v>
                </c:pt>
                <c:pt idx="111">
                  <c:v>4.72</c:v>
                </c:pt>
                <c:pt idx="112">
                  <c:v>4.7249999999999996</c:v>
                </c:pt>
                <c:pt idx="113">
                  <c:v>4.7050000000000001</c:v>
                </c:pt>
                <c:pt idx="114">
                  <c:v>4.7649999999999997</c:v>
                </c:pt>
                <c:pt idx="115">
                  <c:v>4.76</c:v>
                </c:pt>
                <c:pt idx="116">
                  <c:v>4.7450000000000001</c:v>
                </c:pt>
                <c:pt idx="117">
                  <c:v>4.835</c:v>
                </c:pt>
                <c:pt idx="118">
                  <c:v>5.2149999999999999</c:v>
                </c:pt>
                <c:pt idx="119">
                  <c:v>5.5149999999999997</c:v>
                </c:pt>
                <c:pt idx="120">
                  <c:v>5.3049999999999997</c:v>
                </c:pt>
                <c:pt idx="121">
                  <c:v>5.3449999999999998</c:v>
                </c:pt>
                <c:pt idx="122">
                  <c:v>5.2450000000000001</c:v>
                </c:pt>
                <c:pt idx="123">
                  <c:v>5.125</c:v>
                </c:pt>
                <c:pt idx="124">
                  <c:v>5.0649999999999897</c:v>
                </c:pt>
                <c:pt idx="125">
                  <c:v>5.125</c:v>
                </c:pt>
                <c:pt idx="126">
                  <c:v>5.1749999999999998</c:v>
                </c:pt>
                <c:pt idx="127">
                  <c:v>5.12</c:v>
                </c:pt>
                <c:pt idx="128">
                  <c:v>5.2149999999999999</c:v>
                </c:pt>
                <c:pt idx="129">
                  <c:v>5.0449999999999999</c:v>
                </c:pt>
                <c:pt idx="130">
                  <c:v>5.0649999999999897</c:v>
                </c:pt>
                <c:pt idx="131">
                  <c:v>5.0049999999999999</c:v>
                </c:pt>
                <c:pt idx="132">
                  <c:v>4.9950000000000001</c:v>
                </c:pt>
                <c:pt idx="133">
                  <c:v>4.9649999999999999</c:v>
                </c:pt>
                <c:pt idx="134">
                  <c:v>4.9400000000000004</c:v>
                </c:pt>
                <c:pt idx="135">
                  <c:v>4.8650000000000002</c:v>
                </c:pt>
                <c:pt idx="136">
                  <c:v>4.7949999999999999</c:v>
                </c:pt>
                <c:pt idx="137">
                  <c:v>4.8449999999999998</c:v>
                </c:pt>
                <c:pt idx="138">
                  <c:v>4.9249999999999998</c:v>
                </c:pt>
                <c:pt idx="139">
                  <c:v>4.9550000000000001</c:v>
                </c:pt>
                <c:pt idx="140">
                  <c:v>4.9050000000000002</c:v>
                </c:pt>
                <c:pt idx="141">
                  <c:v>4.835</c:v>
                </c:pt>
                <c:pt idx="142">
                  <c:v>4.7549999999999999</c:v>
                </c:pt>
                <c:pt idx="143">
                  <c:v>4.7050000000000001</c:v>
                </c:pt>
                <c:pt idx="144">
                  <c:v>4.6349999999999998</c:v>
                </c:pt>
                <c:pt idx="145">
                  <c:v>4.7349999999999897</c:v>
                </c:pt>
                <c:pt idx="146">
                  <c:v>4.8650000000000002</c:v>
                </c:pt>
                <c:pt idx="147">
                  <c:v>4.9749999999999996</c:v>
                </c:pt>
                <c:pt idx="148">
                  <c:v>5.0649999999999897</c:v>
                </c:pt>
                <c:pt idx="149">
                  <c:v>5.0149999999999997</c:v>
                </c:pt>
                <c:pt idx="150">
                  <c:v>4.9849999999999897</c:v>
                </c:pt>
                <c:pt idx="151">
                  <c:v>4.915</c:v>
                </c:pt>
                <c:pt idx="152">
                  <c:v>4.88</c:v>
                </c:pt>
                <c:pt idx="153">
                  <c:v>4.9349999999999996</c:v>
                </c:pt>
                <c:pt idx="154">
                  <c:v>4.8949999999999996</c:v>
                </c:pt>
                <c:pt idx="155">
                  <c:v>4.8549999999999898</c:v>
                </c:pt>
                <c:pt idx="156">
                  <c:v>4.9749999999999996</c:v>
                </c:pt>
                <c:pt idx="157">
                  <c:v>4.8949999999999996</c:v>
                </c:pt>
                <c:pt idx="158">
                  <c:v>4.875</c:v>
                </c:pt>
                <c:pt idx="159">
                  <c:v>4.8849999999999998</c:v>
                </c:pt>
                <c:pt idx="160">
                  <c:v>4.8899999999999997</c:v>
                </c:pt>
                <c:pt idx="161">
                  <c:v>5.0049999999999999</c:v>
                </c:pt>
                <c:pt idx="162">
                  <c:v>5.1100000000000003</c:v>
                </c:pt>
                <c:pt idx="163">
                  <c:v>4.97</c:v>
                </c:pt>
                <c:pt idx="164">
                  <c:v>4.9950000000000001</c:v>
                </c:pt>
                <c:pt idx="165">
                  <c:v>4.9849999999999897</c:v>
                </c:pt>
                <c:pt idx="166">
                  <c:v>4.9249999999999998</c:v>
                </c:pt>
                <c:pt idx="167">
                  <c:v>4.8549999999999898</c:v>
                </c:pt>
                <c:pt idx="168">
                  <c:v>4.7649999999999997</c:v>
                </c:pt>
                <c:pt idx="169">
                  <c:v>4.7050000000000001</c:v>
                </c:pt>
                <c:pt idx="170">
                  <c:v>4.74</c:v>
                </c:pt>
                <c:pt idx="171">
                  <c:v>4.6449999999999996</c:v>
                </c:pt>
                <c:pt idx="172">
                  <c:v>4.6749999999999998</c:v>
                </c:pt>
                <c:pt idx="173">
                  <c:v>4.6150000000000002</c:v>
                </c:pt>
                <c:pt idx="174">
                  <c:v>4.5049999999999999</c:v>
                </c:pt>
                <c:pt idx="175">
                  <c:v>4.4950000000000001</c:v>
                </c:pt>
                <c:pt idx="176">
                  <c:v>4.4950000000000001</c:v>
                </c:pt>
                <c:pt idx="177">
                  <c:v>4.4849999999999897</c:v>
                </c:pt>
                <c:pt idx="178">
                  <c:v>4.4649999999999999</c:v>
                </c:pt>
                <c:pt idx="179">
                  <c:v>4.415</c:v>
                </c:pt>
                <c:pt idx="180">
                  <c:v>4.3650000000000002</c:v>
                </c:pt>
                <c:pt idx="181">
                  <c:v>4.3449999999999998</c:v>
                </c:pt>
                <c:pt idx="182">
                  <c:v>4.2850000000000001</c:v>
                </c:pt>
                <c:pt idx="183">
                  <c:v>4.2450000000000001</c:v>
                </c:pt>
                <c:pt idx="184">
                  <c:v>4.2749999999999897</c:v>
                </c:pt>
                <c:pt idx="185">
                  <c:v>4.2949999999999999</c:v>
                </c:pt>
                <c:pt idx="186">
                  <c:v>4.2949999999999999</c:v>
                </c:pt>
                <c:pt idx="187">
                  <c:v>4.2699999999999996</c:v>
                </c:pt>
                <c:pt idx="188">
                  <c:v>4.22</c:v>
                </c:pt>
                <c:pt idx="189">
                  <c:v>4.1399999999999997</c:v>
                </c:pt>
                <c:pt idx="190">
                  <c:v>4.16</c:v>
                </c:pt>
                <c:pt idx="191">
                  <c:v>4.18</c:v>
                </c:pt>
                <c:pt idx="192">
                  <c:v>4.1900000000000004</c:v>
                </c:pt>
                <c:pt idx="193">
                  <c:v>4.12</c:v>
                </c:pt>
                <c:pt idx="194">
                  <c:v>4.3649999999999904</c:v>
                </c:pt>
                <c:pt idx="195">
                  <c:v>4.3499999999999996</c:v>
                </c:pt>
                <c:pt idx="196">
                  <c:v>4.41</c:v>
                </c:pt>
                <c:pt idx="197">
                  <c:v>4.5350000000000001</c:v>
                </c:pt>
                <c:pt idx="198">
                  <c:v>4.7549999999999999</c:v>
                </c:pt>
                <c:pt idx="199">
                  <c:v>4.7349999999999897</c:v>
                </c:pt>
                <c:pt idx="200">
                  <c:v>4.8099999999999996</c:v>
                </c:pt>
                <c:pt idx="201">
                  <c:v>4.72</c:v>
                </c:pt>
                <c:pt idx="202">
                  <c:v>4.66</c:v>
                </c:pt>
                <c:pt idx="203">
                  <c:v>4.6900000000000004</c:v>
                </c:pt>
                <c:pt idx="204">
                  <c:v>4.7249999999999996</c:v>
                </c:pt>
                <c:pt idx="205">
                  <c:v>4.76</c:v>
                </c:pt>
                <c:pt idx="206">
                  <c:v>4.9749999999999996</c:v>
                </c:pt>
                <c:pt idx="207">
                  <c:v>4.9249999999999998</c:v>
                </c:pt>
                <c:pt idx="208">
                  <c:v>4.8499999999999996</c:v>
                </c:pt>
                <c:pt idx="209">
                  <c:v>4.7949999999999999</c:v>
                </c:pt>
                <c:pt idx="210">
                  <c:v>4.8049999999999997</c:v>
                </c:pt>
                <c:pt idx="211">
                  <c:v>4.6849999999999996</c:v>
                </c:pt>
                <c:pt idx="212">
                  <c:v>4.7349999999999897</c:v>
                </c:pt>
                <c:pt idx="213">
                  <c:v>4.7850000000000001</c:v>
                </c:pt>
                <c:pt idx="214">
                  <c:v>4.7949999999999999</c:v>
                </c:pt>
                <c:pt idx="215">
                  <c:v>4.8099999999999996</c:v>
                </c:pt>
                <c:pt idx="216">
                  <c:v>4.7249999999999996</c:v>
                </c:pt>
                <c:pt idx="217">
                  <c:v>4.7050000000000001</c:v>
                </c:pt>
                <c:pt idx="218">
                  <c:v>4.6349999999999998</c:v>
                </c:pt>
                <c:pt idx="219">
                  <c:v>4.5549999999999997</c:v>
                </c:pt>
                <c:pt idx="220">
                  <c:v>4.5350000000000001</c:v>
                </c:pt>
                <c:pt idx="221">
                  <c:v>4.5249999999999897</c:v>
                </c:pt>
                <c:pt idx="222">
                  <c:v>4.45</c:v>
                </c:pt>
                <c:pt idx="223">
                  <c:v>4.415</c:v>
                </c:pt>
                <c:pt idx="224">
                  <c:v>4.4249999999999998</c:v>
                </c:pt>
                <c:pt idx="225">
                  <c:v>4.45</c:v>
                </c:pt>
                <c:pt idx="226">
                  <c:v>4.4349999999999996</c:v>
                </c:pt>
                <c:pt idx="227">
                  <c:v>4.5249999999999897</c:v>
                </c:pt>
                <c:pt idx="228">
                  <c:v>4.4349999999999996</c:v>
                </c:pt>
                <c:pt idx="229">
                  <c:v>4.4449999999999896</c:v>
                </c:pt>
                <c:pt idx="230">
                  <c:v>4.5</c:v>
                </c:pt>
                <c:pt idx="231">
                  <c:v>4.34</c:v>
                </c:pt>
                <c:pt idx="232">
                  <c:v>4.2450000000000001</c:v>
                </c:pt>
                <c:pt idx="233">
                  <c:v>4.0750000000000002</c:v>
                </c:pt>
                <c:pt idx="234">
                  <c:v>4.1449999999999996</c:v>
                </c:pt>
                <c:pt idx="235">
                  <c:v>4.1449999999999996</c:v>
                </c:pt>
                <c:pt idx="236">
                  <c:v>4.0449999999999999</c:v>
                </c:pt>
                <c:pt idx="237">
                  <c:v>4.0149999999999997</c:v>
                </c:pt>
                <c:pt idx="238">
                  <c:v>4.0149999999999997</c:v>
                </c:pt>
                <c:pt idx="239">
                  <c:v>3.9349999999999898</c:v>
                </c:pt>
                <c:pt idx="240">
                  <c:v>3.89</c:v>
                </c:pt>
                <c:pt idx="241">
                  <c:v>4.07</c:v>
                </c:pt>
                <c:pt idx="242">
                  <c:v>4.0599999999999996</c:v>
                </c:pt>
                <c:pt idx="243">
                  <c:v>4.05</c:v>
                </c:pt>
                <c:pt idx="244">
                  <c:v>3.9249999999999998</c:v>
                </c:pt>
                <c:pt idx="245">
                  <c:v>3.915</c:v>
                </c:pt>
                <c:pt idx="246">
                  <c:v>3.9249999999999998</c:v>
                </c:pt>
                <c:pt idx="247">
                  <c:v>3.9049999999999998</c:v>
                </c:pt>
                <c:pt idx="248">
                  <c:v>3.9249999999999998</c:v>
                </c:pt>
                <c:pt idx="249">
                  <c:v>3.915</c:v>
                </c:pt>
                <c:pt idx="250">
                  <c:v>3.89</c:v>
                </c:pt>
                <c:pt idx="251">
                  <c:v>3.835</c:v>
                </c:pt>
                <c:pt idx="252">
                  <c:v>3.875</c:v>
                </c:pt>
                <c:pt idx="253">
                  <c:v>3.86</c:v>
                </c:pt>
                <c:pt idx="254">
                  <c:v>3.8149999999999999</c:v>
                </c:pt>
                <c:pt idx="255">
                  <c:v>3.83</c:v>
                </c:pt>
                <c:pt idx="256">
                  <c:v>3.9049999999999998</c:v>
                </c:pt>
                <c:pt idx="257">
                  <c:v>3.82</c:v>
                </c:pt>
                <c:pt idx="258">
                  <c:v>3.82</c:v>
                </c:pt>
                <c:pt idx="259">
                  <c:v>3.82</c:v>
                </c:pt>
                <c:pt idx="260">
                  <c:v>3.9</c:v>
                </c:pt>
                <c:pt idx="261">
                  <c:v>3.85</c:v>
                </c:pt>
                <c:pt idx="262">
                  <c:v>3.83</c:v>
                </c:pt>
                <c:pt idx="263">
                  <c:v>3.87</c:v>
                </c:pt>
                <c:pt idx="264">
                  <c:v>4.03</c:v>
                </c:pt>
                <c:pt idx="265">
                  <c:v>3.915</c:v>
                </c:pt>
                <c:pt idx="266">
                  <c:v>3.9049999999999998</c:v>
                </c:pt>
                <c:pt idx="267">
                  <c:v>3.8049999999999899</c:v>
                </c:pt>
                <c:pt idx="268">
                  <c:v>3.85</c:v>
                </c:pt>
                <c:pt idx="269">
                  <c:v>3.8049999999999899</c:v>
                </c:pt>
                <c:pt idx="270">
                  <c:v>3.79</c:v>
                </c:pt>
                <c:pt idx="271">
                  <c:v>3.7549999999999999</c:v>
                </c:pt>
                <c:pt idx="272">
                  <c:v>3.7149999999999999</c:v>
                </c:pt>
                <c:pt idx="273">
                  <c:v>3.73</c:v>
                </c:pt>
                <c:pt idx="274">
                  <c:v>3.7</c:v>
                </c:pt>
                <c:pt idx="275">
                  <c:v>3.59499999999999</c:v>
                </c:pt>
                <c:pt idx="276">
                  <c:v>3.6349999999999998</c:v>
                </c:pt>
                <c:pt idx="277">
                  <c:v>3.585</c:v>
                </c:pt>
                <c:pt idx="278">
                  <c:v>3.585</c:v>
                </c:pt>
                <c:pt idx="279">
                  <c:v>3.57</c:v>
                </c:pt>
                <c:pt idx="280">
                  <c:v>3.4849999999999999</c:v>
                </c:pt>
                <c:pt idx="281">
                  <c:v>3.4549999999999899</c:v>
                </c:pt>
                <c:pt idx="282">
                  <c:v>3.415</c:v>
                </c:pt>
                <c:pt idx="283">
                  <c:v>3.4749999999999899</c:v>
                </c:pt>
                <c:pt idx="284">
                  <c:v>3.48999999999999</c:v>
                </c:pt>
                <c:pt idx="285">
                  <c:v>3.52</c:v>
                </c:pt>
                <c:pt idx="286">
                  <c:v>3.585</c:v>
                </c:pt>
                <c:pt idx="287">
                  <c:v>3.48999999999999</c:v>
                </c:pt>
                <c:pt idx="288">
                  <c:v>3.4749999999999899</c:v>
                </c:pt>
                <c:pt idx="289">
                  <c:v>3.44999999999999</c:v>
                </c:pt>
                <c:pt idx="290">
                  <c:v>3.39</c:v>
                </c:pt>
                <c:pt idx="291">
                  <c:v>3.3</c:v>
                </c:pt>
                <c:pt idx="292">
                  <c:v>3.26</c:v>
                </c:pt>
                <c:pt idx="293">
                  <c:v>3.3149999999999999</c:v>
                </c:pt>
                <c:pt idx="294">
                  <c:v>3.2949999999999999</c:v>
                </c:pt>
                <c:pt idx="295">
                  <c:v>3.335</c:v>
                </c:pt>
                <c:pt idx="296">
                  <c:v>3.3149999999999999</c:v>
                </c:pt>
                <c:pt idx="297">
                  <c:v>3.32499999999999</c:v>
                </c:pt>
                <c:pt idx="298">
                  <c:v>3.2649999999999899</c:v>
                </c:pt>
                <c:pt idx="299">
                  <c:v>3.2349999999999999</c:v>
                </c:pt>
                <c:pt idx="300">
                  <c:v>3.27</c:v>
                </c:pt>
                <c:pt idx="301">
                  <c:v>3.2649999999999899</c:v>
                </c:pt>
                <c:pt idx="302">
                  <c:v>3.2449999999999899</c:v>
                </c:pt>
                <c:pt idx="303">
                  <c:v>3.2949999999999999</c:v>
                </c:pt>
                <c:pt idx="304">
                  <c:v>3.2749999999999999</c:v>
                </c:pt>
                <c:pt idx="305">
                  <c:v>3.2649999999999899</c:v>
                </c:pt>
                <c:pt idx="306">
                  <c:v>3.32499999999999</c:v>
                </c:pt>
                <c:pt idx="307">
                  <c:v>3.3049999999999899</c:v>
                </c:pt>
                <c:pt idx="308">
                  <c:v>3.34499999999999</c:v>
                </c:pt>
                <c:pt idx="309">
                  <c:v>3.4549999999999899</c:v>
                </c:pt>
                <c:pt idx="310">
                  <c:v>3.48</c:v>
                </c:pt>
                <c:pt idx="311">
                  <c:v>3.48</c:v>
                </c:pt>
                <c:pt idx="312">
                  <c:v>3.51</c:v>
                </c:pt>
                <c:pt idx="313">
                  <c:v>3.46</c:v>
                </c:pt>
                <c:pt idx="314">
                  <c:v>3.4449999999999998</c:v>
                </c:pt>
                <c:pt idx="315">
                  <c:v>3.58</c:v>
                </c:pt>
                <c:pt idx="316">
                  <c:v>3.49</c:v>
                </c:pt>
                <c:pt idx="317">
                  <c:v>3.52</c:v>
                </c:pt>
                <c:pt idx="318">
                  <c:v>3.49</c:v>
                </c:pt>
                <c:pt idx="319">
                  <c:v>3.38</c:v>
                </c:pt>
                <c:pt idx="320">
                  <c:v>3.335</c:v>
                </c:pt>
                <c:pt idx="321">
                  <c:v>3.35</c:v>
                </c:pt>
                <c:pt idx="322">
                  <c:v>3.2749999999999999</c:v>
                </c:pt>
                <c:pt idx="323">
                  <c:v>3.34499999999999</c:v>
                </c:pt>
                <c:pt idx="324">
                  <c:v>3.4349999999999898</c:v>
                </c:pt>
                <c:pt idx="325">
                  <c:v>3.5149999999999899</c:v>
                </c:pt>
                <c:pt idx="326">
                  <c:v>3.76</c:v>
                </c:pt>
                <c:pt idx="327">
                  <c:v>3.835</c:v>
                </c:pt>
                <c:pt idx="328">
                  <c:v>3.9049999999999998</c:v>
                </c:pt>
                <c:pt idx="329">
                  <c:v>3.88</c:v>
                </c:pt>
                <c:pt idx="330">
                  <c:v>4.41</c:v>
                </c:pt>
                <c:pt idx="331">
                  <c:v>4.2149999999999999</c:v>
                </c:pt>
                <c:pt idx="332">
                  <c:v>4.46</c:v>
                </c:pt>
                <c:pt idx="333">
                  <c:v>4.2949999999999999</c:v>
                </c:pt>
                <c:pt idx="334">
                  <c:v>4.26</c:v>
                </c:pt>
                <c:pt idx="335">
                  <c:v>4.3149999999999897</c:v>
                </c:pt>
                <c:pt idx="336">
                  <c:v>4.3250000000000002</c:v>
                </c:pt>
                <c:pt idx="337">
                  <c:v>4.3250000000000002</c:v>
                </c:pt>
                <c:pt idx="338">
                  <c:v>4.53</c:v>
                </c:pt>
                <c:pt idx="339">
                  <c:v>4.4349999999999996</c:v>
                </c:pt>
                <c:pt idx="340">
                  <c:v>4.4950000000000001</c:v>
                </c:pt>
                <c:pt idx="341">
                  <c:v>4.5199999999999996</c:v>
                </c:pt>
                <c:pt idx="342">
                  <c:v>4.4249999999999998</c:v>
                </c:pt>
                <c:pt idx="343">
                  <c:v>4.2450000000000001</c:v>
                </c:pt>
                <c:pt idx="344">
                  <c:v>4.1449999999999996</c:v>
                </c:pt>
                <c:pt idx="345">
                  <c:v>4.1550000000000002</c:v>
                </c:pt>
                <c:pt idx="346">
                  <c:v>4.2050000000000001</c:v>
                </c:pt>
                <c:pt idx="347">
                  <c:v>4.08</c:v>
                </c:pt>
                <c:pt idx="348">
                  <c:v>4.0249999999999897</c:v>
                </c:pt>
                <c:pt idx="349">
                  <c:v>4.1100000000000003</c:v>
                </c:pt>
                <c:pt idx="350">
                  <c:v>4.2749999999999897</c:v>
                </c:pt>
                <c:pt idx="351">
                  <c:v>4.1449999999999996</c:v>
                </c:pt>
                <c:pt idx="352">
                  <c:v>4.2149999999999999</c:v>
                </c:pt>
                <c:pt idx="353">
                  <c:v>4.335</c:v>
                </c:pt>
                <c:pt idx="354">
                  <c:v>4.3449999999999998</c:v>
                </c:pt>
                <c:pt idx="355">
                  <c:v>4.3949999999999996</c:v>
                </c:pt>
                <c:pt idx="356">
                  <c:v>4.4050000000000002</c:v>
                </c:pt>
                <c:pt idx="357">
                  <c:v>4.4800000000000004</c:v>
                </c:pt>
                <c:pt idx="358">
                  <c:v>4.4349999999999996</c:v>
                </c:pt>
                <c:pt idx="359">
                  <c:v>4.335</c:v>
                </c:pt>
                <c:pt idx="360">
                  <c:v>4.3149999999999897</c:v>
                </c:pt>
                <c:pt idx="361">
                  <c:v>4.2450000000000001</c:v>
                </c:pt>
                <c:pt idx="362">
                  <c:v>4.1550000000000002</c:v>
                </c:pt>
                <c:pt idx="363">
                  <c:v>4.2050000000000001</c:v>
                </c:pt>
                <c:pt idx="364">
                  <c:v>4.2549999999999999</c:v>
                </c:pt>
                <c:pt idx="365">
                  <c:v>4.2949999999999999</c:v>
                </c:pt>
                <c:pt idx="366">
                  <c:v>4.2050000000000001</c:v>
                </c:pt>
                <c:pt idx="367">
                  <c:v>4.2699999999999996</c:v>
                </c:pt>
                <c:pt idx="368">
                  <c:v>4.22</c:v>
                </c:pt>
                <c:pt idx="369">
                  <c:v>4.3</c:v>
                </c:pt>
                <c:pt idx="370">
                  <c:v>4.335</c:v>
                </c:pt>
                <c:pt idx="371">
                  <c:v>4.2649999999999997</c:v>
                </c:pt>
                <c:pt idx="372">
                  <c:v>4.1949999999999896</c:v>
                </c:pt>
                <c:pt idx="373">
                  <c:v>4.2300000000000004</c:v>
                </c:pt>
                <c:pt idx="374">
                  <c:v>4.2149999999999999</c:v>
                </c:pt>
                <c:pt idx="375">
                  <c:v>4.1100000000000003</c:v>
                </c:pt>
                <c:pt idx="376">
                  <c:v>4.0999999999999996</c:v>
                </c:pt>
                <c:pt idx="377">
                  <c:v>4.04</c:v>
                </c:pt>
                <c:pt idx="378">
                  <c:v>4.0199999999999996</c:v>
                </c:pt>
                <c:pt idx="379">
                  <c:v>4.0149999999999997</c:v>
                </c:pt>
                <c:pt idx="380">
                  <c:v>4.0999999999999996</c:v>
                </c:pt>
                <c:pt idx="381">
                  <c:v>4.07</c:v>
                </c:pt>
                <c:pt idx="382">
                  <c:v>4.0149999999999997</c:v>
                </c:pt>
                <c:pt idx="383">
                  <c:v>3.9950000000000001</c:v>
                </c:pt>
                <c:pt idx="384">
                  <c:v>4.0750000000000002</c:v>
                </c:pt>
                <c:pt idx="385">
                  <c:v>4.03</c:v>
                </c:pt>
                <c:pt idx="386">
                  <c:v>4.03</c:v>
                </c:pt>
                <c:pt idx="387">
                  <c:v>4.0199999999999996</c:v>
                </c:pt>
                <c:pt idx="388">
                  <c:v>4.0649999999999897</c:v>
                </c:pt>
                <c:pt idx="389">
                  <c:v>4.0199999999999996</c:v>
                </c:pt>
                <c:pt idx="390">
                  <c:v>3.9749999999999899</c:v>
                </c:pt>
                <c:pt idx="391">
                  <c:v>3.9749999999999899</c:v>
                </c:pt>
                <c:pt idx="392">
                  <c:v>3.9749999999999899</c:v>
                </c:pt>
                <c:pt idx="393">
                  <c:v>3.9950000000000001</c:v>
                </c:pt>
                <c:pt idx="394">
                  <c:v>4.1050000000000004</c:v>
                </c:pt>
                <c:pt idx="395">
                  <c:v>4.0750000000000002</c:v>
                </c:pt>
                <c:pt idx="396">
                  <c:v>4.04</c:v>
                </c:pt>
                <c:pt idx="397">
                  <c:v>3.9950000000000001</c:v>
                </c:pt>
                <c:pt idx="398">
                  <c:v>3.8450000000000002</c:v>
                </c:pt>
                <c:pt idx="399">
                  <c:v>3.7949999999999999</c:v>
                </c:pt>
                <c:pt idx="400">
                  <c:v>3.855</c:v>
                </c:pt>
                <c:pt idx="401">
                  <c:v>3.8949999999999898</c:v>
                </c:pt>
                <c:pt idx="402">
                  <c:v>3.8849999999999998</c:v>
                </c:pt>
                <c:pt idx="403">
                  <c:v>3.8650000000000002</c:v>
                </c:pt>
                <c:pt idx="404">
                  <c:v>3.8450000000000002</c:v>
                </c:pt>
                <c:pt idx="405">
                  <c:v>3.7650000000000001</c:v>
                </c:pt>
                <c:pt idx="406">
                  <c:v>3.8050000000000002</c:v>
                </c:pt>
                <c:pt idx="407">
                  <c:v>3.69999999999999</c:v>
                </c:pt>
                <c:pt idx="408">
                  <c:v>3.73</c:v>
                </c:pt>
                <c:pt idx="409">
                  <c:v>3.77</c:v>
                </c:pt>
                <c:pt idx="410">
                  <c:v>3.63</c:v>
                </c:pt>
                <c:pt idx="411">
                  <c:v>3.56</c:v>
                </c:pt>
                <c:pt idx="412">
                  <c:v>3.5549999999999899</c:v>
                </c:pt>
                <c:pt idx="413">
                  <c:v>3.56</c:v>
                </c:pt>
                <c:pt idx="414">
                  <c:v>3.5149999999999899</c:v>
                </c:pt>
                <c:pt idx="415">
                  <c:v>3.59</c:v>
                </c:pt>
                <c:pt idx="416">
                  <c:v>3.6599999999999899</c:v>
                </c:pt>
                <c:pt idx="417">
                  <c:v>3.69999999999999</c:v>
                </c:pt>
                <c:pt idx="418">
                  <c:v>3.65</c:v>
                </c:pt>
                <c:pt idx="419">
                  <c:v>3.76</c:v>
                </c:pt>
                <c:pt idx="420">
                  <c:v>3.6799999999999899</c:v>
                </c:pt>
                <c:pt idx="421">
                  <c:v>3.59</c:v>
                </c:pt>
                <c:pt idx="422">
                  <c:v>3.6</c:v>
                </c:pt>
                <c:pt idx="423">
                  <c:v>3.56</c:v>
                </c:pt>
                <c:pt idx="424">
                  <c:v>3.59499999999999</c:v>
                </c:pt>
                <c:pt idx="425">
                  <c:v>3.55</c:v>
                </c:pt>
                <c:pt idx="426">
                  <c:v>3.58</c:v>
                </c:pt>
                <c:pt idx="427">
                  <c:v>3.69999999999999</c:v>
                </c:pt>
                <c:pt idx="428">
                  <c:v>3.75</c:v>
                </c:pt>
                <c:pt idx="429">
                  <c:v>3.7649999999999899</c:v>
                </c:pt>
                <c:pt idx="430">
                  <c:v>3.77</c:v>
                </c:pt>
                <c:pt idx="431">
                  <c:v>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112384"/>
        <c:axId val="304113920"/>
      </c:lineChart>
      <c:dateAx>
        <c:axId val="30411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4113920"/>
        <c:crosses val="autoZero"/>
        <c:auto val="1"/>
        <c:lblOffset val="100"/>
        <c:baseTimeUnit val="days"/>
        <c:majorUnit val="2"/>
        <c:majorTimeUnit val="years"/>
      </c:dateAx>
      <c:valAx>
        <c:axId val="30411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41123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'Low rate'!$P$2</c:f>
              <c:strCache>
                <c:ptCount val="1"/>
                <c:pt idx="0">
                  <c:v>minSurveyRate</c:v>
                </c:pt>
              </c:strCache>
            </c:strRef>
          </c:tx>
          <c:marker>
            <c:symbol val="none"/>
          </c:marker>
          <c:cat>
            <c:numRef>
              <c:f>'Low rate'!$N$3:$O$755</c:f>
              <c:numCache>
                <c:formatCode>m/d/yyyy</c:formatCode>
                <c:ptCount val="753"/>
                <c:pt idx="0">
                  <c:v>36896</c:v>
                </c:pt>
                <c:pt idx="1">
                  <c:v>36903</c:v>
                </c:pt>
                <c:pt idx="2">
                  <c:v>36910</c:v>
                </c:pt>
                <c:pt idx="3">
                  <c:v>36917</c:v>
                </c:pt>
                <c:pt idx="4">
                  <c:v>36924</c:v>
                </c:pt>
                <c:pt idx="5">
                  <c:v>36931</c:v>
                </c:pt>
                <c:pt idx="6">
                  <c:v>36938</c:v>
                </c:pt>
                <c:pt idx="7">
                  <c:v>36945</c:v>
                </c:pt>
                <c:pt idx="8">
                  <c:v>36952</c:v>
                </c:pt>
                <c:pt idx="9">
                  <c:v>36959</c:v>
                </c:pt>
                <c:pt idx="10">
                  <c:v>36966</c:v>
                </c:pt>
                <c:pt idx="11">
                  <c:v>36973</c:v>
                </c:pt>
                <c:pt idx="12">
                  <c:v>36980</c:v>
                </c:pt>
                <c:pt idx="13">
                  <c:v>36987</c:v>
                </c:pt>
                <c:pt idx="14">
                  <c:v>36994</c:v>
                </c:pt>
                <c:pt idx="15">
                  <c:v>37001</c:v>
                </c:pt>
                <c:pt idx="16">
                  <c:v>37008</c:v>
                </c:pt>
                <c:pt idx="17">
                  <c:v>37015</c:v>
                </c:pt>
                <c:pt idx="18">
                  <c:v>37022</c:v>
                </c:pt>
                <c:pt idx="19">
                  <c:v>37029</c:v>
                </c:pt>
                <c:pt idx="20">
                  <c:v>37036</c:v>
                </c:pt>
                <c:pt idx="21">
                  <c:v>37043</c:v>
                </c:pt>
                <c:pt idx="22">
                  <c:v>37050</c:v>
                </c:pt>
                <c:pt idx="23">
                  <c:v>37057</c:v>
                </c:pt>
                <c:pt idx="24">
                  <c:v>37064</c:v>
                </c:pt>
                <c:pt idx="25">
                  <c:v>37071</c:v>
                </c:pt>
                <c:pt idx="26">
                  <c:v>37078</c:v>
                </c:pt>
                <c:pt idx="27">
                  <c:v>37085</c:v>
                </c:pt>
                <c:pt idx="28">
                  <c:v>37092</c:v>
                </c:pt>
                <c:pt idx="29">
                  <c:v>37099</c:v>
                </c:pt>
                <c:pt idx="30">
                  <c:v>37106</c:v>
                </c:pt>
                <c:pt idx="31">
                  <c:v>37113</c:v>
                </c:pt>
                <c:pt idx="32">
                  <c:v>37120</c:v>
                </c:pt>
                <c:pt idx="33">
                  <c:v>37127</c:v>
                </c:pt>
                <c:pt idx="34">
                  <c:v>37134</c:v>
                </c:pt>
                <c:pt idx="35">
                  <c:v>37141</c:v>
                </c:pt>
                <c:pt idx="36">
                  <c:v>37148</c:v>
                </c:pt>
                <c:pt idx="37">
                  <c:v>37155</c:v>
                </c:pt>
                <c:pt idx="38">
                  <c:v>37162</c:v>
                </c:pt>
                <c:pt idx="39">
                  <c:v>37169</c:v>
                </c:pt>
                <c:pt idx="40">
                  <c:v>37176</c:v>
                </c:pt>
                <c:pt idx="41">
                  <c:v>37183</c:v>
                </c:pt>
                <c:pt idx="42">
                  <c:v>37190</c:v>
                </c:pt>
                <c:pt idx="43">
                  <c:v>37197</c:v>
                </c:pt>
                <c:pt idx="44">
                  <c:v>37204</c:v>
                </c:pt>
                <c:pt idx="45">
                  <c:v>37211</c:v>
                </c:pt>
                <c:pt idx="46">
                  <c:v>37218</c:v>
                </c:pt>
                <c:pt idx="47">
                  <c:v>37225</c:v>
                </c:pt>
                <c:pt idx="48">
                  <c:v>37232</c:v>
                </c:pt>
                <c:pt idx="49">
                  <c:v>37239</c:v>
                </c:pt>
                <c:pt idx="50">
                  <c:v>37246</c:v>
                </c:pt>
                <c:pt idx="51">
                  <c:v>37253</c:v>
                </c:pt>
                <c:pt idx="52">
                  <c:v>37260</c:v>
                </c:pt>
                <c:pt idx="53">
                  <c:v>37267</c:v>
                </c:pt>
                <c:pt idx="54">
                  <c:v>37274</c:v>
                </c:pt>
                <c:pt idx="55">
                  <c:v>37281</c:v>
                </c:pt>
                <c:pt idx="56">
                  <c:v>37288</c:v>
                </c:pt>
                <c:pt idx="57">
                  <c:v>37295</c:v>
                </c:pt>
                <c:pt idx="58">
                  <c:v>37302</c:v>
                </c:pt>
                <c:pt idx="59">
                  <c:v>37309</c:v>
                </c:pt>
                <c:pt idx="60">
                  <c:v>37316</c:v>
                </c:pt>
                <c:pt idx="61">
                  <c:v>37323</c:v>
                </c:pt>
                <c:pt idx="62">
                  <c:v>37330</c:v>
                </c:pt>
                <c:pt idx="63">
                  <c:v>37337</c:v>
                </c:pt>
                <c:pt idx="64">
                  <c:v>37344</c:v>
                </c:pt>
                <c:pt idx="65">
                  <c:v>37351</c:v>
                </c:pt>
                <c:pt idx="66">
                  <c:v>37358</c:v>
                </c:pt>
                <c:pt idx="67">
                  <c:v>37365</c:v>
                </c:pt>
                <c:pt idx="68">
                  <c:v>37372</c:v>
                </c:pt>
                <c:pt idx="69">
                  <c:v>37379</c:v>
                </c:pt>
                <c:pt idx="70">
                  <c:v>37386</c:v>
                </c:pt>
                <c:pt idx="71">
                  <c:v>37393</c:v>
                </c:pt>
                <c:pt idx="72">
                  <c:v>37400</c:v>
                </c:pt>
                <c:pt idx="73">
                  <c:v>37407</c:v>
                </c:pt>
                <c:pt idx="74">
                  <c:v>37414</c:v>
                </c:pt>
                <c:pt idx="75">
                  <c:v>37421</c:v>
                </c:pt>
                <c:pt idx="76">
                  <c:v>37428</c:v>
                </c:pt>
                <c:pt idx="77">
                  <c:v>37435</c:v>
                </c:pt>
                <c:pt idx="78">
                  <c:v>37442</c:v>
                </c:pt>
                <c:pt idx="79">
                  <c:v>37449</c:v>
                </c:pt>
                <c:pt idx="80">
                  <c:v>37456</c:v>
                </c:pt>
                <c:pt idx="81">
                  <c:v>37463</c:v>
                </c:pt>
                <c:pt idx="82">
                  <c:v>37470</c:v>
                </c:pt>
                <c:pt idx="83">
                  <c:v>37477</c:v>
                </c:pt>
                <c:pt idx="84">
                  <c:v>37484</c:v>
                </c:pt>
                <c:pt idx="85">
                  <c:v>37491</c:v>
                </c:pt>
                <c:pt idx="86">
                  <c:v>37498</c:v>
                </c:pt>
                <c:pt idx="87">
                  <c:v>37505</c:v>
                </c:pt>
                <c:pt idx="88">
                  <c:v>37512</c:v>
                </c:pt>
                <c:pt idx="89">
                  <c:v>37519</c:v>
                </c:pt>
                <c:pt idx="90">
                  <c:v>37526</c:v>
                </c:pt>
                <c:pt idx="91">
                  <c:v>37533</c:v>
                </c:pt>
                <c:pt idx="92">
                  <c:v>37540</c:v>
                </c:pt>
                <c:pt idx="93">
                  <c:v>37547</c:v>
                </c:pt>
                <c:pt idx="94">
                  <c:v>37554</c:v>
                </c:pt>
                <c:pt idx="95">
                  <c:v>37561</c:v>
                </c:pt>
                <c:pt idx="96">
                  <c:v>37568</c:v>
                </c:pt>
                <c:pt idx="97">
                  <c:v>37575</c:v>
                </c:pt>
                <c:pt idx="98">
                  <c:v>37582</c:v>
                </c:pt>
                <c:pt idx="99">
                  <c:v>37589</c:v>
                </c:pt>
                <c:pt idx="100">
                  <c:v>37596</c:v>
                </c:pt>
                <c:pt idx="101">
                  <c:v>37603</c:v>
                </c:pt>
                <c:pt idx="102">
                  <c:v>37610</c:v>
                </c:pt>
                <c:pt idx="103">
                  <c:v>37617</c:v>
                </c:pt>
                <c:pt idx="104">
                  <c:v>37624</c:v>
                </c:pt>
                <c:pt idx="105">
                  <c:v>37631</c:v>
                </c:pt>
                <c:pt idx="106">
                  <c:v>37638</c:v>
                </c:pt>
                <c:pt idx="107">
                  <c:v>37645</c:v>
                </c:pt>
                <c:pt idx="108">
                  <c:v>37652</c:v>
                </c:pt>
                <c:pt idx="109">
                  <c:v>37659</c:v>
                </c:pt>
                <c:pt idx="110">
                  <c:v>37666</c:v>
                </c:pt>
                <c:pt idx="111">
                  <c:v>37673</c:v>
                </c:pt>
                <c:pt idx="112">
                  <c:v>37680</c:v>
                </c:pt>
                <c:pt idx="113">
                  <c:v>37687</c:v>
                </c:pt>
                <c:pt idx="114">
                  <c:v>37694</c:v>
                </c:pt>
                <c:pt idx="115">
                  <c:v>37701</c:v>
                </c:pt>
                <c:pt idx="116">
                  <c:v>37708</c:v>
                </c:pt>
                <c:pt idx="117">
                  <c:v>37715</c:v>
                </c:pt>
                <c:pt idx="118">
                  <c:v>37722</c:v>
                </c:pt>
                <c:pt idx="119">
                  <c:v>37729</c:v>
                </c:pt>
                <c:pt idx="120">
                  <c:v>37736</c:v>
                </c:pt>
                <c:pt idx="121">
                  <c:v>37743</c:v>
                </c:pt>
                <c:pt idx="122">
                  <c:v>37750</c:v>
                </c:pt>
                <c:pt idx="123">
                  <c:v>37757</c:v>
                </c:pt>
                <c:pt idx="124">
                  <c:v>37764</c:v>
                </c:pt>
                <c:pt idx="125">
                  <c:v>37771</c:v>
                </c:pt>
                <c:pt idx="126">
                  <c:v>37778</c:v>
                </c:pt>
                <c:pt idx="127">
                  <c:v>37785</c:v>
                </c:pt>
                <c:pt idx="128">
                  <c:v>37792</c:v>
                </c:pt>
                <c:pt idx="129">
                  <c:v>37799</c:v>
                </c:pt>
                <c:pt idx="130">
                  <c:v>37806</c:v>
                </c:pt>
                <c:pt idx="131">
                  <c:v>37813</c:v>
                </c:pt>
                <c:pt idx="132">
                  <c:v>37820</c:v>
                </c:pt>
                <c:pt idx="133">
                  <c:v>37827</c:v>
                </c:pt>
                <c:pt idx="134">
                  <c:v>37834</c:v>
                </c:pt>
                <c:pt idx="135">
                  <c:v>37841</c:v>
                </c:pt>
                <c:pt idx="136">
                  <c:v>37848</c:v>
                </c:pt>
                <c:pt idx="137">
                  <c:v>37855</c:v>
                </c:pt>
                <c:pt idx="138">
                  <c:v>37862</c:v>
                </c:pt>
                <c:pt idx="139">
                  <c:v>37869</c:v>
                </c:pt>
                <c:pt idx="140">
                  <c:v>37876</c:v>
                </c:pt>
                <c:pt idx="141">
                  <c:v>37883</c:v>
                </c:pt>
                <c:pt idx="142">
                  <c:v>37890</c:v>
                </c:pt>
                <c:pt idx="143">
                  <c:v>37897</c:v>
                </c:pt>
                <c:pt idx="144">
                  <c:v>37904</c:v>
                </c:pt>
                <c:pt idx="145">
                  <c:v>37911</c:v>
                </c:pt>
                <c:pt idx="146">
                  <c:v>37918</c:v>
                </c:pt>
                <c:pt idx="147">
                  <c:v>37925</c:v>
                </c:pt>
                <c:pt idx="148">
                  <c:v>37932</c:v>
                </c:pt>
                <c:pt idx="149">
                  <c:v>37939</c:v>
                </c:pt>
                <c:pt idx="150">
                  <c:v>37946</c:v>
                </c:pt>
                <c:pt idx="151">
                  <c:v>37953</c:v>
                </c:pt>
                <c:pt idx="152">
                  <c:v>37960</c:v>
                </c:pt>
                <c:pt idx="153">
                  <c:v>37967</c:v>
                </c:pt>
                <c:pt idx="154">
                  <c:v>37974</c:v>
                </c:pt>
                <c:pt idx="155">
                  <c:v>37981</c:v>
                </c:pt>
                <c:pt idx="156">
                  <c:v>37986</c:v>
                </c:pt>
                <c:pt idx="157">
                  <c:v>37994</c:v>
                </c:pt>
                <c:pt idx="158">
                  <c:v>38001</c:v>
                </c:pt>
                <c:pt idx="159">
                  <c:v>38008</c:v>
                </c:pt>
                <c:pt idx="160">
                  <c:v>38015</c:v>
                </c:pt>
                <c:pt idx="161">
                  <c:v>38022</c:v>
                </c:pt>
                <c:pt idx="162">
                  <c:v>38029</c:v>
                </c:pt>
                <c:pt idx="163">
                  <c:v>38036</c:v>
                </c:pt>
                <c:pt idx="164">
                  <c:v>38043</c:v>
                </c:pt>
                <c:pt idx="165">
                  <c:v>38050</c:v>
                </c:pt>
                <c:pt idx="166">
                  <c:v>38057</c:v>
                </c:pt>
                <c:pt idx="167">
                  <c:v>38064</c:v>
                </c:pt>
                <c:pt idx="168">
                  <c:v>38071</c:v>
                </c:pt>
                <c:pt idx="169">
                  <c:v>38078</c:v>
                </c:pt>
                <c:pt idx="170">
                  <c:v>38085</c:v>
                </c:pt>
                <c:pt idx="171">
                  <c:v>38092</c:v>
                </c:pt>
                <c:pt idx="172">
                  <c:v>38099</c:v>
                </c:pt>
                <c:pt idx="173">
                  <c:v>38106</c:v>
                </c:pt>
                <c:pt idx="174">
                  <c:v>38113</c:v>
                </c:pt>
                <c:pt idx="175">
                  <c:v>38120</c:v>
                </c:pt>
                <c:pt idx="176">
                  <c:v>38127</c:v>
                </c:pt>
                <c:pt idx="177">
                  <c:v>38134</c:v>
                </c:pt>
                <c:pt idx="178">
                  <c:v>38141</c:v>
                </c:pt>
                <c:pt idx="179">
                  <c:v>38148</c:v>
                </c:pt>
                <c:pt idx="180">
                  <c:v>38155</c:v>
                </c:pt>
                <c:pt idx="181">
                  <c:v>38162</c:v>
                </c:pt>
                <c:pt idx="182">
                  <c:v>38169</c:v>
                </c:pt>
                <c:pt idx="183">
                  <c:v>38176</c:v>
                </c:pt>
                <c:pt idx="184">
                  <c:v>38183</c:v>
                </c:pt>
                <c:pt idx="185">
                  <c:v>38190</c:v>
                </c:pt>
                <c:pt idx="186">
                  <c:v>38197</c:v>
                </c:pt>
                <c:pt idx="187">
                  <c:v>38204</c:v>
                </c:pt>
                <c:pt idx="188">
                  <c:v>38211</c:v>
                </c:pt>
                <c:pt idx="189">
                  <c:v>38218</c:v>
                </c:pt>
                <c:pt idx="190">
                  <c:v>38225</c:v>
                </c:pt>
                <c:pt idx="191">
                  <c:v>38232</c:v>
                </c:pt>
                <c:pt idx="192">
                  <c:v>38239</c:v>
                </c:pt>
                <c:pt idx="193">
                  <c:v>38246</c:v>
                </c:pt>
                <c:pt idx="194">
                  <c:v>38253</c:v>
                </c:pt>
                <c:pt idx="195">
                  <c:v>38260</c:v>
                </c:pt>
                <c:pt idx="196">
                  <c:v>38267</c:v>
                </c:pt>
                <c:pt idx="197">
                  <c:v>38274</c:v>
                </c:pt>
                <c:pt idx="198">
                  <c:v>38281</c:v>
                </c:pt>
                <c:pt idx="199">
                  <c:v>38288</c:v>
                </c:pt>
                <c:pt idx="200">
                  <c:v>38295</c:v>
                </c:pt>
                <c:pt idx="201">
                  <c:v>38302</c:v>
                </c:pt>
                <c:pt idx="202">
                  <c:v>38309</c:v>
                </c:pt>
                <c:pt idx="203">
                  <c:v>38315</c:v>
                </c:pt>
                <c:pt idx="204">
                  <c:v>38323</c:v>
                </c:pt>
                <c:pt idx="205">
                  <c:v>38330</c:v>
                </c:pt>
                <c:pt idx="206">
                  <c:v>38337</c:v>
                </c:pt>
                <c:pt idx="207">
                  <c:v>38343</c:v>
                </c:pt>
                <c:pt idx="208">
                  <c:v>38350</c:v>
                </c:pt>
                <c:pt idx="209">
                  <c:v>38358</c:v>
                </c:pt>
                <c:pt idx="210">
                  <c:v>38365</c:v>
                </c:pt>
                <c:pt idx="211">
                  <c:v>38372</c:v>
                </c:pt>
                <c:pt idx="212">
                  <c:v>38379</c:v>
                </c:pt>
                <c:pt idx="213">
                  <c:v>38386</c:v>
                </c:pt>
                <c:pt idx="214">
                  <c:v>38393</c:v>
                </c:pt>
                <c:pt idx="215">
                  <c:v>38400</c:v>
                </c:pt>
                <c:pt idx="216">
                  <c:v>38407</c:v>
                </c:pt>
                <c:pt idx="217">
                  <c:v>38414</c:v>
                </c:pt>
                <c:pt idx="218">
                  <c:v>38421</c:v>
                </c:pt>
                <c:pt idx="219">
                  <c:v>38428</c:v>
                </c:pt>
                <c:pt idx="220">
                  <c:v>38435</c:v>
                </c:pt>
                <c:pt idx="221">
                  <c:v>38442</c:v>
                </c:pt>
                <c:pt idx="222">
                  <c:v>38449</c:v>
                </c:pt>
                <c:pt idx="223">
                  <c:v>38456</c:v>
                </c:pt>
                <c:pt idx="224">
                  <c:v>38463</c:v>
                </c:pt>
                <c:pt idx="225">
                  <c:v>38470</c:v>
                </c:pt>
                <c:pt idx="226">
                  <c:v>38477</c:v>
                </c:pt>
                <c:pt idx="227">
                  <c:v>38484</c:v>
                </c:pt>
                <c:pt idx="228">
                  <c:v>38491</c:v>
                </c:pt>
                <c:pt idx="229">
                  <c:v>38498</c:v>
                </c:pt>
                <c:pt idx="230">
                  <c:v>38505</c:v>
                </c:pt>
                <c:pt idx="231">
                  <c:v>38512</c:v>
                </c:pt>
                <c:pt idx="232">
                  <c:v>38519</c:v>
                </c:pt>
                <c:pt idx="233">
                  <c:v>38526</c:v>
                </c:pt>
                <c:pt idx="234">
                  <c:v>38533</c:v>
                </c:pt>
                <c:pt idx="235">
                  <c:v>38540</c:v>
                </c:pt>
                <c:pt idx="236">
                  <c:v>38547</c:v>
                </c:pt>
                <c:pt idx="237">
                  <c:v>38554</c:v>
                </c:pt>
                <c:pt idx="238">
                  <c:v>38561</c:v>
                </c:pt>
                <c:pt idx="239">
                  <c:v>38568</c:v>
                </c:pt>
                <c:pt idx="240">
                  <c:v>38575</c:v>
                </c:pt>
                <c:pt idx="241">
                  <c:v>38582</c:v>
                </c:pt>
                <c:pt idx="242">
                  <c:v>38589</c:v>
                </c:pt>
                <c:pt idx="243">
                  <c:v>38596</c:v>
                </c:pt>
                <c:pt idx="244">
                  <c:v>38603</c:v>
                </c:pt>
                <c:pt idx="245">
                  <c:v>38610</c:v>
                </c:pt>
                <c:pt idx="246">
                  <c:v>38617</c:v>
                </c:pt>
                <c:pt idx="247">
                  <c:v>38624</c:v>
                </c:pt>
                <c:pt idx="248">
                  <c:v>38631</c:v>
                </c:pt>
                <c:pt idx="249">
                  <c:v>38638</c:v>
                </c:pt>
                <c:pt idx="250">
                  <c:v>38645</c:v>
                </c:pt>
                <c:pt idx="251">
                  <c:v>38652</c:v>
                </c:pt>
                <c:pt idx="252">
                  <c:v>38659</c:v>
                </c:pt>
                <c:pt idx="253">
                  <c:v>38666</c:v>
                </c:pt>
                <c:pt idx="254">
                  <c:v>38673</c:v>
                </c:pt>
                <c:pt idx="255">
                  <c:v>38679</c:v>
                </c:pt>
                <c:pt idx="256">
                  <c:v>38687</c:v>
                </c:pt>
                <c:pt idx="257">
                  <c:v>38694</c:v>
                </c:pt>
                <c:pt idx="258">
                  <c:v>38701</c:v>
                </c:pt>
                <c:pt idx="259">
                  <c:v>38708</c:v>
                </c:pt>
                <c:pt idx="260">
                  <c:v>38715</c:v>
                </c:pt>
                <c:pt idx="261">
                  <c:v>38722</c:v>
                </c:pt>
                <c:pt idx="262">
                  <c:v>38729</c:v>
                </c:pt>
                <c:pt idx="263">
                  <c:v>38736</c:v>
                </c:pt>
                <c:pt idx="264">
                  <c:v>38743</c:v>
                </c:pt>
                <c:pt idx="265">
                  <c:v>38750</c:v>
                </c:pt>
                <c:pt idx="266">
                  <c:v>38757</c:v>
                </c:pt>
                <c:pt idx="267">
                  <c:v>38764</c:v>
                </c:pt>
                <c:pt idx="268">
                  <c:v>38771</c:v>
                </c:pt>
                <c:pt idx="269">
                  <c:v>38778</c:v>
                </c:pt>
                <c:pt idx="270">
                  <c:v>38785</c:v>
                </c:pt>
                <c:pt idx="271">
                  <c:v>38792</c:v>
                </c:pt>
                <c:pt idx="272">
                  <c:v>38799</c:v>
                </c:pt>
                <c:pt idx="273">
                  <c:v>38806</c:v>
                </c:pt>
                <c:pt idx="274">
                  <c:v>38813</c:v>
                </c:pt>
                <c:pt idx="275">
                  <c:v>38820</c:v>
                </c:pt>
                <c:pt idx="276">
                  <c:v>38827</c:v>
                </c:pt>
                <c:pt idx="277">
                  <c:v>38834</c:v>
                </c:pt>
                <c:pt idx="278">
                  <c:v>38841</c:v>
                </c:pt>
                <c:pt idx="279">
                  <c:v>38848</c:v>
                </c:pt>
                <c:pt idx="280">
                  <c:v>38855</c:v>
                </c:pt>
                <c:pt idx="281">
                  <c:v>38862</c:v>
                </c:pt>
                <c:pt idx="282">
                  <c:v>38869</c:v>
                </c:pt>
                <c:pt idx="283">
                  <c:v>38876</c:v>
                </c:pt>
                <c:pt idx="284">
                  <c:v>38883</c:v>
                </c:pt>
                <c:pt idx="285">
                  <c:v>38890</c:v>
                </c:pt>
                <c:pt idx="286">
                  <c:v>38897</c:v>
                </c:pt>
                <c:pt idx="287">
                  <c:v>38904</c:v>
                </c:pt>
                <c:pt idx="288">
                  <c:v>38911</c:v>
                </c:pt>
                <c:pt idx="289">
                  <c:v>38918</c:v>
                </c:pt>
                <c:pt idx="290">
                  <c:v>38925</c:v>
                </c:pt>
                <c:pt idx="291">
                  <c:v>38932</c:v>
                </c:pt>
                <c:pt idx="292">
                  <c:v>38939</c:v>
                </c:pt>
                <c:pt idx="293">
                  <c:v>38946</c:v>
                </c:pt>
                <c:pt idx="294">
                  <c:v>38953</c:v>
                </c:pt>
                <c:pt idx="295">
                  <c:v>38960</c:v>
                </c:pt>
                <c:pt idx="296">
                  <c:v>38967</c:v>
                </c:pt>
                <c:pt idx="297">
                  <c:v>38974</c:v>
                </c:pt>
                <c:pt idx="298">
                  <c:v>38981</c:v>
                </c:pt>
                <c:pt idx="299">
                  <c:v>38988</c:v>
                </c:pt>
                <c:pt idx="300">
                  <c:v>38995</c:v>
                </c:pt>
                <c:pt idx="301">
                  <c:v>39002</c:v>
                </c:pt>
                <c:pt idx="302">
                  <c:v>39009</c:v>
                </c:pt>
                <c:pt idx="303">
                  <c:v>39016</c:v>
                </c:pt>
                <c:pt idx="304">
                  <c:v>39023</c:v>
                </c:pt>
                <c:pt idx="305">
                  <c:v>39030</c:v>
                </c:pt>
                <c:pt idx="306">
                  <c:v>39037</c:v>
                </c:pt>
                <c:pt idx="307">
                  <c:v>39043</c:v>
                </c:pt>
                <c:pt idx="308">
                  <c:v>39051</c:v>
                </c:pt>
                <c:pt idx="309">
                  <c:v>39058</c:v>
                </c:pt>
                <c:pt idx="310">
                  <c:v>39065</c:v>
                </c:pt>
                <c:pt idx="311">
                  <c:v>39072</c:v>
                </c:pt>
                <c:pt idx="312">
                  <c:v>39079</c:v>
                </c:pt>
                <c:pt idx="313">
                  <c:v>39086</c:v>
                </c:pt>
                <c:pt idx="314">
                  <c:v>39093</c:v>
                </c:pt>
                <c:pt idx="315">
                  <c:v>39100</c:v>
                </c:pt>
                <c:pt idx="316">
                  <c:v>39107</c:v>
                </c:pt>
                <c:pt idx="317">
                  <c:v>39114</c:v>
                </c:pt>
                <c:pt idx="318">
                  <c:v>39121</c:v>
                </c:pt>
                <c:pt idx="319">
                  <c:v>39128</c:v>
                </c:pt>
                <c:pt idx="320">
                  <c:v>39135</c:v>
                </c:pt>
                <c:pt idx="321">
                  <c:v>39142</c:v>
                </c:pt>
                <c:pt idx="322">
                  <c:v>39149</c:v>
                </c:pt>
                <c:pt idx="323">
                  <c:v>39156</c:v>
                </c:pt>
                <c:pt idx="324">
                  <c:v>39163</c:v>
                </c:pt>
                <c:pt idx="325">
                  <c:v>39170</c:v>
                </c:pt>
                <c:pt idx="326">
                  <c:v>39177</c:v>
                </c:pt>
                <c:pt idx="327">
                  <c:v>39184</c:v>
                </c:pt>
                <c:pt idx="328">
                  <c:v>39191</c:v>
                </c:pt>
                <c:pt idx="329">
                  <c:v>39198</c:v>
                </c:pt>
                <c:pt idx="330">
                  <c:v>39205</c:v>
                </c:pt>
                <c:pt idx="331">
                  <c:v>39212</c:v>
                </c:pt>
                <c:pt idx="332">
                  <c:v>39219</c:v>
                </c:pt>
                <c:pt idx="333">
                  <c:v>39226</c:v>
                </c:pt>
                <c:pt idx="334">
                  <c:v>39233</c:v>
                </c:pt>
                <c:pt idx="335">
                  <c:v>39240</c:v>
                </c:pt>
                <c:pt idx="336">
                  <c:v>39247</c:v>
                </c:pt>
                <c:pt idx="337">
                  <c:v>39254</c:v>
                </c:pt>
                <c:pt idx="338">
                  <c:v>39261</c:v>
                </c:pt>
                <c:pt idx="339">
                  <c:v>39268</c:v>
                </c:pt>
                <c:pt idx="340">
                  <c:v>39275</c:v>
                </c:pt>
                <c:pt idx="341">
                  <c:v>39282</c:v>
                </c:pt>
                <c:pt idx="342">
                  <c:v>39289</c:v>
                </c:pt>
                <c:pt idx="343">
                  <c:v>39296</c:v>
                </c:pt>
                <c:pt idx="344">
                  <c:v>39303</c:v>
                </c:pt>
                <c:pt idx="345">
                  <c:v>39310</c:v>
                </c:pt>
                <c:pt idx="346">
                  <c:v>39317</c:v>
                </c:pt>
                <c:pt idx="347">
                  <c:v>39324</c:v>
                </c:pt>
                <c:pt idx="348">
                  <c:v>39331</c:v>
                </c:pt>
                <c:pt idx="349">
                  <c:v>39338</c:v>
                </c:pt>
                <c:pt idx="350">
                  <c:v>39345</c:v>
                </c:pt>
                <c:pt idx="351">
                  <c:v>39352</c:v>
                </c:pt>
                <c:pt idx="352">
                  <c:v>39359</c:v>
                </c:pt>
                <c:pt idx="353">
                  <c:v>39366</c:v>
                </c:pt>
                <c:pt idx="354">
                  <c:v>39373</c:v>
                </c:pt>
                <c:pt idx="355">
                  <c:v>39380</c:v>
                </c:pt>
                <c:pt idx="356">
                  <c:v>39387</c:v>
                </c:pt>
                <c:pt idx="357">
                  <c:v>39394</c:v>
                </c:pt>
                <c:pt idx="358">
                  <c:v>39401</c:v>
                </c:pt>
                <c:pt idx="359">
                  <c:v>39407</c:v>
                </c:pt>
                <c:pt idx="360">
                  <c:v>39415</c:v>
                </c:pt>
                <c:pt idx="361">
                  <c:v>39422</c:v>
                </c:pt>
                <c:pt idx="362">
                  <c:v>39429</c:v>
                </c:pt>
                <c:pt idx="363">
                  <c:v>39436</c:v>
                </c:pt>
                <c:pt idx="364">
                  <c:v>39443</c:v>
                </c:pt>
                <c:pt idx="365">
                  <c:v>39450</c:v>
                </c:pt>
                <c:pt idx="366">
                  <c:v>39457</c:v>
                </c:pt>
                <c:pt idx="367">
                  <c:v>39464</c:v>
                </c:pt>
                <c:pt idx="368">
                  <c:v>39471</c:v>
                </c:pt>
                <c:pt idx="369">
                  <c:v>39478</c:v>
                </c:pt>
                <c:pt idx="370">
                  <c:v>39485</c:v>
                </c:pt>
                <c:pt idx="371">
                  <c:v>39492</c:v>
                </c:pt>
                <c:pt idx="372">
                  <c:v>39499</c:v>
                </c:pt>
                <c:pt idx="373">
                  <c:v>39506</c:v>
                </c:pt>
                <c:pt idx="374">
                  <c:v>39513</c:v>
                </c:pt>
                <c:pt idx="375">
                  <c:v>39520</c:v>
                </c:pt>
                <c:pt idx="376">
                  <c:v>39527</c:v>
                </c:pt>
                <c:pt idx="377">
                  <c:v>39534</c:v>
                </c:pt>
                <c:pt idx="378">
                  <c:v>39541</c:v>
                </c:pt>
                <c:pt idx="379">
                  <c:v>39548</c:v>
                </c:pt>
                <c:pt idx="380">
                  <c:v>39555</c:v>
                </c:pt>
                <c:pt idx="381">
                  <c:v>39562</c:v>
                </c:pt>
                <c:pt idx="382">
                  <c:v>39569</c:v>
                </c:pt>
                <c:pt idx="383">
                  <c:v>39576</c:v>
                </c:pt>
                <c:pt idx="384">
                  <c:v>39583</c:v>
                </c:pt>
                <c:pt idx="385">
                  <c:v>39590</c:v>
                </c:pt>
                <c:pt idx="386">
                  <c:v>39597</c:v>
                </c:pt>
                <c:pt idx="387">
                  <c:v>39604</c:v>
                </c:pt>
                <c:pt idx="388">
                  <c:v>39611</c:v>
                </c:pt>
                <c:pt idx="389">
                  <c:v>39618</c:v>
                </c:pt>
                <c:pt idx="390">
                  <c:v>39625</c:v>
                </c:pt>
                <c:pt idx="391">
                  <c:v>39632</c:v>
                </c:pt>
                <c:pt idx="392">
                  <c:v>39639</c:v>
                </c:pt>
                <c:pt idx="393">
                  <c:v>39646</c:v>
                </c:pt>
                <c:pt idx="394">
                  <c:v>39653</c:v>
                </c:pt>
                <c:pt idx="395">
                  <c:v>39660</c:v>
                </c:pt>
                <c:pt idx="396">
                  <c:v>39667</c:v>
                </c:pt>
                <c:pt idx="397">
                  <c:v>39674</c:v>
                </c:pt>
                <c:pt idx="398">
                  <c:v>39681</c:v>
                </c:pt>
                <c:pt idx="399">
                  <c:v>39688</c:v>
                </c:pt>
                <c:pt idx="400">
                  <c:v>39695</c:v>
                </c:pt>
                <c:pt idx="401">
                  <c:v>39702</c:v>
                </c:pt>
                <c:pt idx="402">
                  <c:v>39709</c:v>
                </c:pt>
                <c:pt idx="403">
                  <c:v>39716</c:v>
                </c:pt>
                <c:pt idx="404">
                  <c:v>39723</c:v>
                </c:pt>
                <c:pt idx="405">
                  <c:v>39730</c:v>
                </c:pt>
                <c:pt idx="406">
                  <c:v>39737</c:v>
                </c:pt>
                <c:pt idx="407">
                  <c:v>39744</c:v>
                </c:pt>
                <c:pt idx="408">
                  <c:v>39751</c:v>
                </c:pt>
                <c:pt idx="409">
                  <c:v>39758</c:v>
                </c:pt>
                <c:pt idx="410">
                  <c:v>39765</c:v>
                </c:pt>
                <c:pt idx="411">
                  <c:v>39772</c:v>
                </c:pt>
                <c:pt idx="412">
                  <c:v>39778</c:v>
                </c:pt>
                <c:pt idx="413">
                  <c:v>39786</c:v>
                </c:pt>
                <c:pt idx="414">
                  <c:v>39793</c:v>
                </c:pt>
                <c:pt idx="415">
                  <c:v>39800</c:v>
                </c:pt>
                <c:pt idx="416">
                  <c:v>39806</c:v>
                </c:pt>
                <c:pt idx="417">
                  <c:v>39813</c:v>
                </c:pt>
                <c:pt idx="418">
                  <c:v>39821</c:v>
                </c:pt>
                <c:pt idx="419">
                  <c:v>39828</c:v>
                </c:pt>
                <c:pt idx="420">
                  <c:v>39835</c:v>
                </c:pt>
                <c:pt idx="421">
                  <c:v>39842</c:v>
                </c:pt>
                <c:pt idx="422">
                  <c:v>39849</c:v>
                </c:pt>
                <c:pt idx="423">
                  <c:v>39856</c:v>
                </c:pt>
                <c:pt idx="424">
                  <c:v>39863</c:v>
                </c:pt>
                <c:pt idx="425">
                  <c:v>39870</c:v>
                </c:pt>
                <c:pt idx="426">
                  <c:v>39877</c:v>
                </c:pt>
                <c:pt idx="427">
                  <c:v>39884</c:v>
                </c:pt>
                <c:pt idx="428">
                  <c:v>39891</c:v>
                </c:pt>
                <c:pt idx="429">
                  <c:v>39898</c:v>
                </c:pt>
                <c:pt idx="430">
                  <c:v>39905</c:v>
                </c:pt>
                <c:pt idx="431">
                  <c:v>39912</c:v>
                </c:pt>
                <c:pt idx="432">
                  <c:v>39919</c:v>
                </c:pt>
                <c:pt idx="433">
                  <c:v>39926</c:v>
                </c:pt>
                <c:pt idx="434">
                  <c:v>39933</c:v>
                </c:pt>
                <c:pt idx="435">
                  <c:v>39940</c:v>
                </c:pt>
                <c:pt idx="436">
                  <c:v>39947</c:v>
                </c:pt>
                <c:pt idx="437">
                  <c:v>39954</c:v>
                </c:pt>
                <c:pt idx="438">
                  <c:v>39961</c:v>
                </c:pt>
                <c:pt idx="439">
                  <c:v>39968</c:v>
                </c:pt>
                <c:pt idx="440">
                  <c:v>39975</c:v>
                </c:pt>
                <c:pt idx="441">
                  <c:v>39982</c:v>
                </c:pt>
                <c:pt idx="442">
                  <c:v>39989</c:v>
                </c:pt>
                <c:pt idx="443">
                  <c:v>39996</c:v>
                </c:pt>
                <c:pt idx="444">
                  <c:v>40003</c:v>
                </c:pt>
                <c:pt idx="445">
                  <c:v>40010</c:v>
                </c:pt>
                <c:pt idx="446">
                  <c:v>40017</c:v>
                </c:pt>
                <c:pt idx="447">
                  <c:v>40024</c:v>
                </c:pt>
                <c:pt idx="448">
                  <c:v>40031</c:v>
                </c:pt>
                <c:pt idx="449">
                  <c:v>40038</c:v>
                </c:pt>
                <c:pt idx="450">
                  <c:v>40045</c:v>
                </c:pt>
                <c:pt idx="451">
                  <c:v>40052</c:v>
                </c:pt>
                <c:pt idx="452">
                  <c:v>40059</c:v>
                </c:pt>
                <c:pt idx="453">
                  <c:v>40066</c:v>
                </c:pt>
                <c:pt idx="454">
                  <c:v>40073</c:v>
                </c:pt>
                <c:pt idx="455">
                  <c:v>40080</c:v>
                </c:pt>
                <c:pt idx="456">
                  <c:v>40087</c:v>
                </c:pt>
                <c:pt idx="457">
                  <c:v>40094</c:v>
                </c:pt>
                <c:pt idx="458">
                  <c:v>40101</c:v>
                </c:pt>
                <c:pt idx="459">
                  <c:v>40108</c:v>
                </c:pt>
                <c:pt idx="460">
                  <c:v>40115</c:v>
                </c:pt>
                <c:pt idx="461">
                  <c:v>40122</c:v>
                </c:pt>
                <c:pt idx="462">
                  <c:v>40129</c:v>
                </c:pt>
                <c:pt idx="463">
                  <c:v>40136</c:v>
                </c:pt>
                <c:pt idx="464">
                  <c:v>40142</c:v>
                </c:pt>
                <c:pt idx="465">
                  <c:v>40150</c:v>
                </c:pt>
                <c:pt idx="466">
                  <c:v>40157</c:v>
                </c:pt>
                <c:pt idx="467">
                  <c:v>40164</c:v>
                </c:pt>
                <c:pt idx="468">
                  <c:v>40171</c:v>
                </c:pt>
                <c:pt idx="469">
                  <c:v>40178</c:v>
                </c:pt>
                <c:pt idx="470">
                  <c:v>40185</c:v>
                </c:pt>
                <c:pt idx="471">
                  <c:v>40192</c:v>
                </c:pt>
                <c:pt idx="472">
                  <c:v>40199</c:v>
                </c:pt>
                <c:pt idx="473">
                  <c:v>40206</c:v>
                </c:pt>
                <c:pt idx="474">
                  <c:v>40213</c:v>
                </c:pt>
                <c:pt idx="475">
                  <c:v>40220</c:v>
                </c:pt>
                <c:pt idx="476">
                  <c:v>40227</c:v>
                </c:pt>
                <c:pt idx="477">
                  <c:v>40234</c:v>
                </c:pt>
                <c:pt idx="478">
                  <c:v>40241</c:v>
                </c:pt>
                <c:pt idx="479">
                  <c:v>40248</c:v>
                </c:pt>
                <c:pt idx="480">
                  <c:v>40255</c:v>
                </c:pt>
                <c:pt idx="481">
                  <c:v>40262</c:v>
                </c:pt>
                <c:pt idx="482">
                  <c:v>40269</c:v>
                </c:pt>
                <c:pt idx="483">
                  <c:v>40276</c:v>
                </c:pt>
                <c:pt idx="484">
                  <c:v>40283</c:v>
                </c:pt>
                <c:pt idx="485">
                  <c:v>40290</c:v>
                </c:pt>
                <c:pt idx="486">
                  <c:v>40297</c:v>
                </c:pt>
                <c:pt idx="487">
                  <c:v>40304</c:v>
                </c:pt>
                <c:pt idx="488">
                  <c:v>40311</c:v>
                </c:pt>
                <c:pt idx="489">
                  <c:v>40318</c:v>
                </c:pt>
                <c:pt idx="490">
                  <c:v>40325</c:v>
                </c:pt>
                <c:pt idx="491">
                  <c:v>40332</c:v>
                </c:pt>
                <c:pt idx="492">
                  <c:v>40339</c:v>
                </c:pt>
                <c:pt idx="493">
                  <c:v>40346</c:v>
                </c:pt>
                <c:pt idx="494">
                  <c:v>40353</c:v>
                </c:pt>
                <c:pt idx="495">
                  <c:v>40360</c:v>
                </c:pt>
                <c:pt idx="496">
                  <c:v>40367</c:v>
                </c:pt>
                <c:pt idx="497">
                  <c:v>40374</c:v>
                </c:pt>
                <c:pt idx="498">
                  <c:v>40381</c:v>
                </c:pt>
                <c:pt idx="499">
                  <c:v>40388</c:v>
                </c:pt>
                <c:pt idx="500">
                  <c:v>40395</c:v>
                </c:pt>
                <c:pt idx="501">
                  <c:v>40402</c:v>
                </c:pt>
                <c:pt idx="502">
                  <c:v>40409</c:v>
                </c:pt>
                <c:pt idx="503">
                  <c:v>40416</c:v>
                </c:pt>
                <c:pt idx="504">
                  <c:v>40423</c:v>
                </c:pt>
                <c:pt idx="505">
                  <c:v>40430</c:v>
                </c:pt>
                <c:pt idx="506">
                  <c:v>40437</c:v>
                </c:pt>
                <c:pt idx="507">
                  <c:v>40444</c:v>
                </c:pt>
                <c:pt idx="508">
                  <c:v>40451</c:v>
                </c:pt>
                <c:pt idx="509">
                  <c:v>40458</c:v>
                </c:pt>
                <c:pt idx="510">
                  <c:v>40465</c:v>
                </c:pt>
                <c:pt idx="511">
                  <c:v>40472</c:v>
                </c:pt>
                <c:pt idx="512">
                  <c:v>40479</c:v>
                </c:pt>
                <c:pt idx="513">
                  <c:v>40486</c:v>
                </c:pt>
                <c:pt idx="514">
                  <c:v>40493</c:v>
                </c:pt>
                <c:pt idx="515">
                  <c:v>40500</c:v>
                </c:pt>
                <c:pt idx="516">
                  <c:v>40506</c:v>
                </c:pt>
                <c:pt idx="517">
                  <c:v>40514</c:v>
                </c:pt>
                <c:pt idx="518">
                  <c:v>40521</c:v>
                </c:pt>
                <c:pt idx="519">
                  <c:v>40528</c:v>
                </c:pt>
                <c:pt idx="520">
                  <c:v>40535</c:v>
                </c:pt>
                <c:pt idx="521">
                  <c:v>40542</c:v>
                </c:pt>
                <c:pt idx="522">
                  <c:v>40549</c:v>
                </c:pt>
                <c:pt idx="523">
                  <c:v>40556</c:v>
                </c:pt>
                <c:pt idx="524">
                  <c:v>40563</c:v>
                </c:pt>
                <c:pt idx="525">
                  <c:v>40570</c:v>
                </c:pt>
                <c:pt idx="526">
                  <c:v>40577</c:v>
                </c:pt>
                <c:pt idx="527">
                  <c:v>40584</c:v>
                </c:pt>
                <c:pt idx="528">
                  <c:v>40591</c:v>
                </c:pt>
                <c:pt idx="529">
                  <c:v>40598</c:v>
                </c:pt>
                <c:pt idx="530">
                  <c:v>40605</c:v>
                </c:pt>
                <c:pt idx="531">
                  <c:v>40612</c:v>
                </c:pt>
                <c:pt idx="532">
                  <c:v>40619</c:v>
                </c:pt>
                <c:pt idx="533">
                  <c:v>40626</c:v>
                </c:pt>
                <c:pt idx="534">
                  <c:v>40633</c:v>
                </c:pt>
                <c:pt idx="535">
                  <c:v>40640</c:v>
                </c:pt>
                <c:pt idx="536">
                  <c:v>40647</c:v>
                </c:pt>
                <c:pt idx="537">
                  <c:v>40654</c:v>
                </c:pt>
                <c:pt idx="538">
                  <c:v>40661</c:v>
                </c:pt>
                <c:pt idx="539">
                  <c:v>40668</c:v>
                </c:pt>
                <c:pt idx="540">
                  <c:v>40675</c:v>
                </c:pt>
                <c:pt idx="541">
                  <c:v>40682</c:v>
                </c:pt>
                <c:pt idx="542">
                  <c:v>40689</c:v>
                </c:pt>
                <c:pt idx="543">
                  <c:v>40696</c:v>
                </c:pt>
                <c:pt idx="544">
                  <c:v>40703</c:v>
                </c:pt>
                <c:pt idx="545">
                  <c:v>40710</c:v>
                </c:pt>
                <c:pt idx="546">
                  <c:v>40717</c:v>
                </c:pt>
                <c:pt idx="547">
                  <c:v>40724</c:v>
                </c:pt>
                <c:pt idx="548">
                  <c:v>40731</c:v>
                </c:pt>
                <c:pt idx="549">
                  <c:v>40738</c:v>
                </c:pt>
                <c:pt idx="550">
                  <c:v>40745</c:v>
                </c:pt>
                <c:pt idx="551">
                  <c:v>40752</c:v>
                </c:pt>
                <c:pt idx="552">
                  <c:v>40759</c:v>
                </c:pt>
                <c:pt idx="553">
                  <c:v>40766</c:v>
                </c:pt>
                <c:pt idx="554">
                  <c:v>40773</c:v>
                </c:pt>
                <c:pt idx="555">
                  <c:v>40780</c:v>
                </c:pt>
                <c:pt idx="556">
                  <c:v>40787</c:v>
                </c:pt>
                <c:pt idx="557">
                  <c:v>40794</c:v>
                </c:pt>
                <c:pt idx="558">
                  <c:v>40801</c:v>
                </c:pt>
                <c:pt idx="559">
                  <c:v>40808</c:v>
                </c:pt>
                <c:pt idx="560">
                  <c:v>40815</c:v>
                </c:pt>
                <c:pt idx="561">
                  <c:v>40822</c:v>
                </c:pt>
                <c:pt idx="562">
                  <c:v>40829</c:v>
                </c:pt>
                <c:pt idx="563">
                  <c:v>40836</c:v>
                </c:pt>
                <c:pt idx="564">
                  <c:v>40843</c:v>
                </c:pt>
                <c:pt idx="565">
                  <c:v>40850</c:v>
                </c:pt>
                <c:pt idx="566">
                  <c:v>40857</c:v>
                </c:pt>
                <c:pt idx="567">
                  <c:v>40864</c:v>
                </c:pt>
                <c:pt idx="568">
                  <c:v>40870</c:v>
                </c:pt>
                <c:pt idx="569">
                  <c:v>40878</c:v>
                </c:pt>
                <c:pt idx="570">
                  <c:v>40885</c:v>
                </c:pt>
                <c:pt idx="571">
                  <c:v>40892</c:v>
                </c:pt>
                <c:pt idx="572">
                  <c:v>40899</c:v>
                </c:pt>
                <c:pt idx="573">
                  <c:v>40906</c:v>
                </c:pt>
                <c:pt idx="574">
                  <c:v>40913</c:v>
                </c:pt>
                <c:pt idx="575">
                  <c:v>40920</c:v>
                </c:pt>
                <c:pt idx="576">
                  <c:v>40927</c:v>
                </c:pt>
                <c:pt idx="577">
                  <c:v>40934</c:v>
                </c:pt>
                <c:pt idx="578">
                  <c:v>40941</c:v>
                </c:pt>
                <c:pt idx="579">
                  <c:v>40948</c:v>
                </c:pt>
                <c:pt idx="580">
                  <c:v>40955</c:v>
                </c:pt>
                <c:pt idx="581">
                  <c:v>40962</c:v>
                </c:pt>
                <c:pt idx="582">
                  <c:v>40969</c:v>
                </c:pt>
                <c:pt idx="583">
                  <c:v>40976</c:v>
                </c:pt>
                <c:pt idx="584">
                  <c:v>40983</c:v>
                </c:pt>
                <c:pt idx="585">
                  <c:v>40990</c:v>
                </c:pt>
                <c:pt idx="586">
                  <c:v>40997</c:v>
                </c:pt>
                <c:pt idx="587">
                  <c:v>41004</c:v>
                </c:pt>
                <c:pt idx="588">
                  <c:v>41011</c:v>
                </c:pt>
                <c:pt idx="589">
                  <c:v>41018</c:v>
                </c:pt>
                <c:pt idx="590">
                  <c:v>41025</c:v>
                </c:pt>
                <c:pt idx="591">
                  <c:v>41032</c:v>
                </c:pt>
                <c:pt idx="592">
                  <c:v>41039</c:v>
                </c:pt>
                <c:pt idx="593">
                  <c:v>41046</c:v>
                </c:pt>
                <c:pt idx="594">
                  <c:v>41053</c:v>
                </c:pt>
                <c:pt idx="595">
                  <c:v>41060</c:v>
                </c:pt>
                <c:pt idx="596">
                  <c:v>41067</c:v>
                </c:pt>
                <c:pt idx="597">
                  <c:v>41074</c:v>
                </c:pt>
                <c:pt idx="598">
                  <c:v>41081</c:v>
                </c:pt>
                <c:pt idx="599">
                  <c:v>41088</c:v>
                </c:pt>
                <c:pt idx="600">
                  <c:v>41095</c:v>
                </c:pt>
                <c:pt idx="601">
                  <c:v>41102</c:v>
                </c:pt>
                <c:pt idx="602">
                  <c:v>41109</c:v>
                </c:pt>
                <c:pt idx="603">
                  <c:v>41116</c:v>
                </c:pt>
                <c:pt idx="604">
                  <c:v>41123</c:v>
                </c:pt>
                <c:pt idx="605">
                  <c:v>41130</c:v>
                </c:pt>
                <c:pt idx="606">
                  <c:v>41137</c:v>
                </c:pt>
                <c:pt idx="607">
                  <c:v>41144</c:v>
                </c:pt>
                <c:pt idx="608">
                  <c:v>41151</c:v>
                </c:pt>
                <c:pt idx="609">
                  <c:v>41158</c:v>
                </c:pt>
                <c:pt idx="610">
                  <c:v>41165</c:v>
                </c:pt>
                <c:pt idx="611">
                  <c:v>41172</c:v>
                </c:pt>
                <c:pt idx="612">
                  <c:v>41179</c:v>
                </c:pt>
                <c:pt idx="613">
                  <c:v>41186</c:v>
                </c:pt>
                <c:pt idx="614">
                  <c:v>41193</c:v>
                </c:pt>
                <c:pt idx="615">
                  <c:v>41200</c:v>
                </c:pt>
                <c:pt idx="616">
                  <c:v>41207</c:v>
                </c:pt>
                <c:pt idx="617">
                  <c:v>41214</c:v>
                </c:pt>
                <c:pt idx="618">
                  <c:v>41221</c:v>
                </c:pt>
                <c:pt idx="619">
                  <c:v>41228</c:v>
                </c:pt>
                <c:pt idx="620">
                  <c:v>41234</c:v>
                </c:pt>
                <c:pt idx="621">
                  <c:v>41242</c:v>
                </c:pt>
                <c:pt idx="622">
                  <c:v>41249</c:v>
                </c:pt>
                <c:pt idx="623">
                  <c:v>41256</c:v>
                </c:pt>
                <c:pt idx="624">
                  <c:v>41263</c:v>
                </c:pt>
                <c:pt idx="625">
                  <c:v>41270</c:v>
                </c:pt>
                <c:pt idx="626">
                  <c:v>41277</c:v>
                </c:pt>
                <c:pt idx="627">
                  <c:v>41284</c:v>
                </c:pt>
                <c:pt idx="628">
                  <c:v>41291</c:v>
                </c:pt>
                <c:pt idx="629">
                  <c:v>41298</c:v>
                </c:pt>
                <c:pt idx="630">
                  <c:v>41305</c:v>
                </c:pt>
                <c:pt idx="631">
                  <c:v>41312</c:v>
                </c:pt>
                <c:pt idx="632">
                  <c:v>41319</c:v>
                </c:pt>
                <c:pt idx="633">
                  <c:v>41326</c:v>
                </c:pt>
                <c:pt idx="634">
                  <c:v>41333</c:v>
                </c:pt>
                <c:pt idx="635">
                  <c:v>41340</c:v>
                </c:pt>
                <c:pt idx="636">
                  <c:v>41347</c:v>
                </c:pt>
                <c:pt idx="637">
                  <c:v>41354</c:v>
                </c:pt>
                <c:pt idx="638">
                  <c:v>41361</c:v>
                </c:pt>
                <c:pt idx="639">
                  <c:v>41368</c:v>
                </c:pt>
                <c:pt idx="640">
                  <c:v>41375</c:v>
                </c:pt>
                <c:pt idx="641">
                  <c:v>41382</c:v>
                </c:pt>
                <c:pt idx="642">
                  <c:v>41389</c:v>
                </c:pt>
                <c:pt idx="643">
                  <c:v>41396</c:v>
                </c:pt>
                <c:pt idx="644">
                  <c:v>41403</c:v>
                </c:pt>
                <c:pt idx="645">
                  <c:v>41410</c:v>
                </c:pt>
                <c:pt idx="646">
                  <c:v>41417</c:v>
                </c:pt>
                <c:pt idx="647">
                  <c:v>41424</c:v>
                </c:pt>
                <c:pt idx="648">
                  <c:v>41431</c:v>
                </c:pt>
                <c:pt idx="649">
                  <c:v>41438</c:v>
                </c:pt>
                <c:pt idx="650">
                  <c:v>41445</c:v>
                </c:pt>
                <c:pt idx="651">
                  <c:v>41452</c:v>
                </c:pt>
                <c:pt idx="652">
                  <c:v>41458</c:v>
                </c:pt>
                <c:pt idx="653">
                  <c:v>41466</c:v>
                </c:pt>
                <c:pt idx="654">
                  <c:v>41473</c:v>
                </c:pt>
                <c:pt idx="655">
                  <c:v>41480</c:v>
                </c:pt>
                <c:pt idx="656">
                  <c:v>41487</c:v>
                </c:pt>
                <c:pt idx="657">
                  <c:v>41494</c:v>
                </c:pt>
                <c:pt idx="658">
                  <c:v>41501</c:v>
                </c:pt>
                <c:pt idx="659">
                  <c:v>41508</c:v>
                </c:pt>
                <c:pt idx="660">
                  <c:v>41515</c:v>
                </c:pt>
                <c:pt idx="661">
                  <c:v>41522</c:v>
                </c:pt>
                <c:pt idx="662">
                  <c:v>41529</c:v>
                </c:pt>
                <c:pt idx="663">
                  <c:v>41536</c:v>
                </c:pt>
                <c:pt idx="664">
                  <c:v>41543</c:v>
                </c:pt>
                <c:pt idx="665">
                  <c:v>41550</c:v>
                </c:pt>
                <c:pt idx="666">
                  <c:v>41557</c:v>
                </c:pt>
                <c:pt idx="667">
                  <c:v>41564</c:v>
                </c:pt>
                <c:pt idx="668">
                  <c:v>41571</c:v>
                </c:pt>
                <c:pt idx="669">
                  <c:v>41578</c:v>
                </c:pt>
                <c:pt idx="670">
                  <c:v>41585</c:v>
                </c:pt>
                <c:pt idx="671">
                  <c:v>41592</c:v>
                </c:pt>
                <c:pt idx="672">
                  <c:v>41599</c:v>
                </c:pt>
                <c:pt idx="673">
                  <c:v>41605</c:v>
                </c:pt>
                <c:pt idx="674">
                  <c:v>41613</c:v>
                </c:pt>
                <c:pt idx="675">
                  <c:v>41620</c:v>
                </c:pt>
                <c:pt idx="676">
                  <c:v>41627</c:v>
                </c:pt>
                <c:pt idx="677">
                  <c:v>41634</c:v>
                </c:pt>
                <c:pt idx="678">
                  <c:v>41641</c:v>
                </c:pt>
                <c:pt idx="679">
                  <c:v>41648</c:v>
                </c:pt>
                <c:pt idx="680">
                  <c:v>41655</c:v>
                </c:pt>
                <c:pt idx="681">
                  <c:v>41662</c:v>
                </c:pt>
                <c:pt idx="682">
                  <c:v>41669</c:v>
                </c:pt>
                <c:pt idx="683">
                  <c:v>41676</c:v>
                </c:pt>
                <c:pt idx="684">
                  <c:v>41683</c:v>
                </c:pt>
                <c:pt idx="685">
                  <c:v>41690</c:v>
                </c:pt>
                <c:pt idx="686">
                  <c:v>41697</c:v>
                </c:pt>
                <c:pt idx="687">
                  <c:v>41704</c:v>
                </c:pt>
                <c:pt idx="688">
                  <c:v>41711</c:v>
                </c:pt>
                <c:pt idx="689">
                  <c:v>41718</c:v>
                </c:pt>
                <c:pt idx="690">
                  <c:v>41725</c:v>
                </c:pt>
                <c:pt idx="691">
                  <c:v>41732</c:v>
                </c:pt>
                <c:pt idx="692">
                  <c:v>41739</c:v>
                </c:pt>
                <c:pt idx="693">
                  <c:v>41746</c:v>
                </c:pt>
                <c:pt idx="694">
                  <c:v>41753</c:v>
                </c:pt>
                <c:pt idx="695">
                  <c:v>41760</c:v>
                </c:pt>
                <c:pt idx="696">
                  <c:v>41767</c:v>
                </c:pt>
                <c:pt idx="697">
                  <c:v>41774</c:v>
                </c:pt>
                <c:pt idx="698">
                  <c:v>41781</c:v>
                </c:pt>
                <c:pt idx="699">
                  <c:v>41788</c:v>
                </c:pt>
                <c:pt idx="700">
                  <c:v>41795</c:v>
                </c:pt>
                <c:pt idx="701">
                  <c:v>41802</c:v>
                </c:pt>
                <c:pt idx="702">
                  <c:v>41809</c:v>
                </c:pt>
                <c:pt idx="703">
                  <c:v>41816</c:v>
                </c:pt>
                <c:pt idx="704">
                  <c:v>41823</c:v>
                </c:pt>
                <c:pt idx="705">
                  <c:v>41830</c:v>
                </c:pt>
                <c:pt idx="706">
                  <c:v>41837</c:v>
                </c:pt>
                <c:pt idx="707">
                  <c:v>41844</c:v>
                </c:pt>
                <c:pt idx="708">
                  <c:v>41851</c:v>
                </c:pt>
                <c:pt idx="709">
                  <c:v>41858</c:v>
                </c:pt>
                <c:pt idx="710">
                  <c:v>41865</c:v>
                </c:pt>
                <c:pt idx="711">
                  <c:v>41872</c:v>
                </c:pt>
                <c:pt idx="712">
                  <c:v>41879</c:v>
                </c:pt>
                <c:pt idx="713">
                  <c:v>41886</c:v>
                </c:pt>
                <c:pt idx="714">
                  <c:v>41893</c:v>
                </c:pt>
                <c:pt idx="715">
                  <c:v>41900</c:v>
                </c:pt>
                <c:pt idx="716">
                  <c:v>41907</c:v>
                </c:pt>
                <c:pt idx="717">
                  <c:v>41914</c:v>
                </c:pt>
                <c:pt idx="718">
                  <c:v>41921</c:v>
                </c:pt>
                <c:pt idx="719">
                  <c:v>41928</c:v>
                </c:pt>
                <c:pt idx="720">
                  <c:v>41935</c:v>
                </c:pt>
                <c:pt idx="721">
                  <c:v>41942</c:v>
                </c:pt>
                <c:pt idx="722">
                  <c:v>41949</c:v>
                </c:pt>
                <c:pt idx="723">
                  <c:v>41956</c:v>
                </c:pt>
                <c:pt idx="724">
                  <c:v>41963</c:v>
                </c:pt>
                <c:pt idx="725">
                  <c:v>41969</c:v>
                </c:pt>
                <c:pt idx="726">
                  <c:v>41977</c:v>
                </c:pt>
                <c:pt idx="727">
                  <c:v>41984</c:v>
                </c:pt>
                <c:pt idx="728">
                  <c:v>41991</c:v>
                </c:pt>
                <c:pt idx="729">
                  <c:v>41997</c:v>
                </c:pt>
                <c:pt idx="730">
                  <c:v>42004</c:v>
                </c:pt>
                <c:pt idx="731">
                  <c:v>42012</c:v>
                </c:pt>
                <c:pt idx="732">
                  <c:v>42019</c:v>
                </c:pt>
                <c:pt idx="733">
                  <c:v>42026</c:v>
                </c:pt>
                <c:pt idx="734">
                  <c:v>42033</c:v>
                </c:pt>
                <c:pt idx="735">
                  <c:v>42040</c:v>
                </c:pt>
                <c:pt idx="736">
                  <c:v>42047</c:v>
                </c:pt>
                <c:pt idx="737">
                  <c:v>42054</c:v>
                </c:pt>
                <c:pt idx="738">
                  <c:v>42061</c:v>
                </c:pt>
                <c:pt idx="739">
                  <c:v>42068</c:v>
                </c:pt>
                <c:pt idx="740">
                  <c:v>42075</c:v>
                </c:pt>
                <c:pt idx="741">
                  <c:v>42082</c:v>
                </c:pt>
                <c:pt idx="742">
                  <c:v>42089</c:v>
                </c:pt>
                <c:pt idx="743">
                  <c:v>42096</c:v>
                </c:pt>
                <c:pt idx="744">
                  <c:v>42103</c:v>
                </c:pt>
                <c:pt idx="745">
                  <c:v>42110</c:v>
                </c:pt>
                <c:pt idx="746">
                  <c:v>42117</c:v>
                </c:pt>
                <c:pt idx="747">
                  <c:v>42124</c:v>
                </c:pt>
                <c:pt idx="748">
                  <c:v>42131</c:v>
                </c:pt>
                <c:pt idx="749">
                  <c:v>42138</c:v>
                </c:pt>
                <c:pt idx="750">
                  <c:v>42145</c:v>
                </c:pt>
                <c:pt idx="751">
                  <c:v>42152</c:v>
                </c:pt>
                <c:pt idx="752">
                  <c:v>42159</c:v>
                </c:pt>
              </c:numCache>
            </c:numRef>
          </c:cat>
          <c:val>
            <c:numRef>
              <c:f>'Low rate'!$P$3:$P$755</c:f>
              <c:numCache>
                <c:formatCode>0.00</c:formatCode>
                <c:ptCount val="753"/>
                <c:pt idx="0">
                  <c:v>7.07</c:v>
                </c:pt>
                <c:pt idx="1">
                  <c:v>6.8649899999999997</c:v>
                </c:pt>
                <c:pt idx="2">
                  <c:v>6.8649899999999997</c:v>
                </c:pt>
                <c:pt idx="3">
                  <c:v>6.8649899999999997</c:v>
                </c:pt>
                <c:pt idx="4">
                  <c:v>6.8649899999999997</c:v>
                </c:pt>
                <c:pt idx="5">
                  <c:v>6.8649899999999997</c:v>
                </c:pt>
                <c:pt idx="6">
                  <c:v>6.8649899999999997</c:v>
                </c:pt>
                <c:pt idx="7">
                  <c:v>6.8649899999999997</c:v>
                </c:pt>
                <c:pt idx="8">
                  <c:v>6.8649899999999997</c:v>
                </c:pt>
                <c:pt idx="9">
                  <c:v>6.8649899999999997</c:v>
                </c:pt>
                <c:pt idx="10">
                  <c:v>6.8649899999999997</c:v>
                </c:pt>
                <c:pt idx="11">
                  <c:v>6.8649899999999997</c:v>
                </c:pt>
                <c:pt idx="12">
                  <c:v>6.8649899999999997</c:v>
                </c:pt>
                <c:pt idx="13">
                  <c:v>6.8649899999999997</c:v>
                </c:pt>
                <c:pt idx="14">
                  <c:v>6.8649899999999997</c:v>
                </c:pt>
                <c:pt idx="15">
                  <c:v>6.8649899999999997</c:v>
                </c:pt>
                <c:pt idx="16">
                  <c:v>6.8649899999999997</c:v>
                </c:pt>
                <c:pt idx="17">
                  <c:v>6.8649899999999997</c:v>
                </c:pt>
                <c:pt idx="18">
                  <c:v>6.8649899999999997</c:v>
                </c:pt>
                <c:pt idx="19">
                  <c:v>6.8649899999999997</c:v>
                </c:pt>
                <c:pt idx="20">
                  <c:v>6.8649899999999997</c:v>
                </c:pt>
                <c:pt idx="21">
                  <c:v>6.8649899999999997</c:v>
                </c:pt>
                <c:pt idx="22">
                  <c:v>6.8649899999999997</c:v>
                </c:pt>
                <c:pt idx="23">
                  <c:v>6.8649899999999997</c:v>
                </c:pt>
                <c:pt idx="24">
                  <c:v>6.8649899999999997</c:v>
                </c:pt>
                <c:pt idx="25">
                  <c:v>6.8649899999999997</c:v>
                </c:pt>
                <c:pt idx="26">
                  <c:v>6.8649899999999997</c:v>
                </c:pt>
                <c:pt idx="27">
                  <c:v>6.8649899999999997</c:v>
                </c:pt>
                <c:pt idx="28">
                  <c:v>6.8649899999999997</c:v>
                </c:pt>
                <c:pt idx="29">
                  <c:v>6.8649899999999997</c:v>
                </c:pt>
                <c:pt idx="30">
                  <c:v>6.8649899999999997</c:v>
                </c:pt>
                <c:pt idx="31">
                  <c:v>6.8649899999999997</c:v>
                </c:pt>
                <c:pt idx="32">
                  <c:v>6.8649899999999997</c:v>
                </c:pt>
                <c:pt idx="33">
                  <c:v>6.8649899999999997</c:v>
                </c:pt>
                <c:pt idx="34">
                  <c:v>6.8649899999999997</c:v>
                </c:pt>
                <c:pt idx="35">
                  <c:v>6.8649899999999997</c:v>
                </c:pt>
                <c:pt idx="36">
                  <c:v>6.835</c:v>
                </c:pt>
                <c:pt idx="37">
                  <c:v>6.7750000000000004</c:v>
                </c:pt>
                <c:pt idx="38">
                  <c:v>6.6949899999999998</c:v>
                </c:pt>
                <c:pt idx="39">
                  <c:v>6.59</c:v>
                </c:pt>
                <c:pt idx="40">
                  <c:v>6.5549999999999997</c:v>
                </c:pt>
                <c:pt idx="41">
                  <c:v>6.5549999999999997</c:v>
                </c:pt>
                <c:pt idx="42">
                  <c:v>6.5549999999999997</c:v>
                </c:pt>
                <c:pt idx="43">
                  <c:v>6.5349899999999996</c:v>
                </c:pt>
                <c:pt idx="44">
                  <c:v>6.4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6.4</c:v>
                </c:pt>
                <c:pt idx="57">
                  <c:v>6.4</c:v>
                </c:pt>
                <c:pt idx="58">
                  <c:v>6.4</c:v>
                </c:pt>
                <c:pt idx="59">
                  <c:v>6.4</c:v>
                </c:pt>
                <c:pt idx="60">
                  <c:v>6.4</c:v>
                </c:pt>
                <c:pt idx="61">
                  <c:v>6.4</c:v>
                </c:pt>
                <c:pt idx="62">
                  <c:v>6.4</c:v>
                </c:pt>
                <c:pt idx="63">
                  <c:v>6.4</c:v>
                </c:pt>
                <c:pt idx="64">
                  <c:v>6.4</c:v>
                </c:pt>
                <c:pt idx="65">
                  <c:v>6.4</c:v>
                </c:pt>
                <c:pt idx="66">
                  <c:v>6.4</c:v>
                </c:pt>
                <c:pt idx="67">
                  <c:v>6.4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6.39</c:v>
                </c:pt>
                <c:pt idx="81">
                  <c:v>6.24</c:v>
                </c:pt>
                <c:pt idx="82">
                  <c:v>6.24</c:v>
                </c:pt>
                <c:pt idx="83">
                  <c:v>6.21</c:v>
                </c:pt>
                <c:pt idx="84">
                  <c:v>6.12</c:v>
                </c:pt>
                <c:pt idx="85">
                  <c:v>6.12</c:v>
                </c:pt>
                <c:pt idx="86">
                  <c:v>6.12</c:v>
                </c:pt>
                <c:pt idx="87">
                  <c:v>6.05</c:v>
                </c:pt>
                <c:pt idx="88">
                  <c:v>6.05</c:v>
                </c:pt>
                <c:pt idx="89">
                  <c:v>5.9749999999999996</c:v>
                </c:pt>
                <c:pt idx="90">
                  <c:v>5.89</c:v>
                </c:pt>
                <c:pt idx="91">
                  <c:v>5.8849999999999998</c:v>
                </c:pt>
                <c:pt idx="92">
                  <c:v>5.88</c:v>
                </c:pt>
                <c:pt idx="93">
                  <c:v>5.88</c:v>
                </c:pt>
                <c:pt idx="94">
                  <c:v>5.88</c:v>
                </c:pt>
                <c:pt idx="95">
                  <c:v>5.88</c:v>
                </c:pt>
                <c:pt idx="96">
                  <c:v>5.88</c:v>
                </c:pt>
                <c:pt idx="97">
                  <c:v>5.84</c:v>
                </c:pt>
                <c:pt idx="98">
                  <c:v>5.84</c:v>
                </c:pt>
                <c:pt idx="99">
                  <c:v>5.84</c:v>
                </c:pt>
                <c:pt idx="100">
                  <c:v>5.84</c:v>
                </c:pt>
                <c:pt idx="101">
                  <c:v>5.84</c:v>
                </c:pt>
                <c:pt idx="102">
                  <c:v>5.84</c:v>
                </c:pt>
                <c:pt idx="103">
                  <c:v>5.83</c:v>
                </c:pt>
                <c:pt idx="104">
                  <c:v>5.75</c:v>
                </c:pt>
                <c:pt idx="105">
                  <c:v>5.75</c:v>
                </c:pt>
                <c:pt idx="106">
                  <c:v>5.75</c:v>
                </c:pt>
                <c:pt idx="107">
                  <c:v>5.75</c:v>
                </c:pt>
                <c:pt idx="108">
                  <c:v>5.75</c:v>
                </c:pt>
                <c:pt idx="109">
                  <c:v>5.75</c:v>
                </c:pt>
                <c:pt idx="110">
                  <c:v>5.75</c:v>
                </c:pt>
                <c:pt idx="111">
                  <c:v>5.74</c:v>
                </c:pt>
                <c:pt idx="112">
                  <c:v>5.69</c:v>
                </c:pt>
                <c:pt idx="113">
                  <c:v>5.57</c:v>
                </c:pt>
                <c:pt idx="114">
                  <c:v>5.51</c:v>
                </c:pt>
                <c:pt idx="115">
                  <c:v>5.51</c:v>
                </c:pt>
                <c:pt idx="116">
                  <c:v>5.51</c:v>
                </c:pt>
                <c:pt idx="117">
                  <c:v>5.51</c:v>
                </c:pt>
                <c:pt idx="118">
                  <c:v>5.51</c:v>
                </c:pt>
                <c:pt idx="119">
                  <c:v>5.51</c:v>
                </c:pt>
                <c:pt idx="120">
                  <c:v>5.51</c:v>
                </c:pt>
                <c:pt idx="121">
                  <c:v>5.51</c:v>
                </c:pt>
                <c:pt idx="122">
                  <c:v>5.51</c:v>
                </c:pt>
                <c:pt idx="123">
                  <c:v>5.35</c:v>
                </c:pt>
                <c:pt idx="124">
                  <c:v>5.2649999999999997</c:v>
                </c:pt>
                <c:pt idx="125">
                  <c:v>5.21</c:v>
                </c:pt>
                <c:pt idx="126">
                  <c:v>5.1349999999999998</c:v>
                </c:pt>
                <c:pt idx="127">
                  <c:v>5.085</c:v>
                </c:pt>
                <c:pt idx="128">
                  <c:v>5.085</c:v>
                </c:pt>
                <c:pt idx="129">
                  <c:v>5.085</c:v>
                </c:pt>
                <c:pt idx="130">
                  <c:v>5.085</c:v>
                </c:pt>
                <c:pt idx="131">
                  <c:v>5.085</c:v>
                </c:pt>
                <c:pt idx="132">
                  <c:v>5.085</c:v>
                </c:pt>
                <c:pt idx="133">
                  <c:v>5.085</c:v>
                </c:pt>
                <c:pt idx="134">
                  <c:v>5.085</c:v>
                </c:pt>
                <c:pt idx="135">
                  <c:v>5.085</c:v>
                </c:pt>
                <c:pt idx="136">
                  <c:v>5.085</c:v>
                </c:pt>
                <c:pt idx="137">
                  <c:v>5.085</c:v>
                </c:pt>
                <c:pt idx="138">
                  <c:v>5.085</c:v>
                </c:pt>
                <c:pt idx="139">
                  <c:v>5.085</c:v>
                </c:pt>
                <c:pt idx="140">
                  <c:v>5.085</c:v>
                </c:pt>
                <c:pt idx="141">
                  <c:v>5.085</c:v>
                </c:pt>
                <c:pt idx="142">
                  <c:v>5.085</c:v>
                </c:pt>
                <c:pt idx="143">
                  <c:v>5.085</c:v>
                </c:pt>
                <c:pt idx="144">
                  <c:v>5.085</c:v>
                </c:pt>
                <c:pt idx="145">
                  <c:v>5.085</c:v>
                </c:pt>
                <c:pt idx="146">
                  <c:v>5.085</c:v>
                </c:pt>
                <c:pt idx="147">
                  <c:v>5.085</c:v>
                </c:pt>
                <c:pt idx="148">
                  <c:v>5.085</c:v>
                </c:pt>
                <c:pt idx="149">
                  <c:v>5.085</c:v>
                </c:pt>
                <c:pt idx="150">
                  <c:v>5.085</c:v>
                </c:pt>
                <c:pt idx="151">
                  <c:v>5.085</c:v>
                </c:pt>
                <c:pt idx="152">
                  <c:v>5.085</c:v>
                </c:pt>
                <c:pt idx="153">
                  <c:v>5.085</c:v>
                </c:pt>
                <c:pt idx="154">
                  <c:v>5.085</c:v>
                </c:pt>
                <c:pt idx="155">
                  <c:v>5.085</c:v>
                </c:pt>
                <c:pt idx="156">
                  <c:v>5.085</c:v>
                </c:pt>
                <c:pt idx="157">
                  <c:v>5.085</c:v>
                </c:pt>
                <c:pt idx="158">
                  <c:v>5.085</c:v>
                </c:pt>
                <c:pt idx="159">
                  <c:v>5.085</c:v>
                </c:pt>
                <c:pt idx="160">
                  <c:v>5.085</c:v>
                </c:pt>
                <c:pt idx="161">
                  <c:v>5.085</c:v>
                </c:pt>
                <c:pt idx="162">
                  <c:v>5.085</c:v>
                </c:pt>
                <c:pt idx="163">
                  <c:v>5.085</c:v>
                </c:pt>
                <c:pt idx="164">
                  <c:v>5.085</c:v>
                </c:pt>
                <c:pt idx="165">
                  <c:v>5.085</c:v>
                </c:pt>
                <c:pt idx="166">
                  <c:v>5.085</c:v>
                </c:pt>
                <c:pt idx="167">
                  <c:v>5.085</c:v>
                </c:pt>
                <c:pt idx="168">
                  <c:v>5.085</c:v>
                </c:pt>
                <c:pt idx="169">
                  <c:v>5.085</c:v>
                </c:pt>
                <c:pt idx="170">
                  <c:v>5.085</c:v>
                </c:pt>
                <c:pt idx="171">
                  <c:v>5.085</c:v>
                </c:pt>
                <c:pt idx="172">
                  <c:v>5.085</c:v>
                </c:pt>
                <c:pt idx="173">
                  <c:v>5.085</c:v>
                </c:pt>
                <c:pt idx="174">
                  <c:v>5.085</c:v>
                </c:pt>
                <c:pt idx="175">
                  <c:v>5.085</c:v>
                </c:pt>
                <c:pt idx="176">
                  <c:v>5.085</c:v>
                </c:pt>
                <c:pt idx="177">
                  <c:v>5.085</c:v>
                </c:pt>
                <c:pt idx="178">
                  <c:v>5.085</c:v>
                </c:pt>
                <c:pt idx="179">
                  <c:v>5.085</c:v>
                </c:pt>
                <c:pt idx="180">
                  <c:v>5.085</c:v>
                </c:pt>
                <c:pt idx="181">
                  <c:v>5.085</c:v>
                </c:pt>
                <c:pt idx="182">
                  <c:v>5.085</c:v>
                </c:pt>
                <c:pt idx="183">
                  <c:v>5.085</c:v>
                </c:pt>
                <c:pt idx="184">
                  <c:v>5.085</c:v>
                </c:pt>
                <c:pt idx="185">
                  <c:v>5.085</c:v>
                </c:pt>
                <c:pt idx="186">
                  <c:v>5.085</c:v>
                </c:pt>
                <c:pt idx="187">
                  <c:v>5.085</c:v>
                </c:pt>
                <c:pt idx="188">
                  <c:v>5.085</c:v>
                </c:pt>
                <c:pt idx="189">
                  <c:v>5.085</c:v>
                </c:pt>
                <c:pt idx="190">
                  <c:v>5.085</c:v>
                </c:pt>
                <c:pt idx="191">
                  <c:v>5.085</c:v>
                </c:pt>
                <c:pt idx="192">
                  <c:v>5.085</c:v>
                </c:pt>
                <c:pt idx="193">
                  <c:v>5.085</c:v>
                </c:pt>
                <c:pt idx="194">
                  <c:v>5.085</c:v>
                </c:pt>
                <c:pt idx="195">
                  <c:v>5.085</c:v>
                </c:pt>
                <c:pt idx="196">
                  <c:v>5.085</c:v>
                </c:pt>
                <c:pt idx="197">
                  <c:v>5.085</c:v>
                </c:pt>
                <c:pt idx="198">
                  <c:v>5.085</c:v>
                </c:pt>
                <c:pt idx="199">
                  <c:v>5.085</c:v>
                </c:pt>
                <c:pt idx="200">
                  <c:v>5.085</c:v>
                </c:pt>
                <c:pt idx="201">
                  <c:v>5.085</c:v>
                </c:pt>
                <c:pt idx="202">
                  <c:v>5.085</c:v>
                </c:pt>
                <c:pt idx="203">
                  <c:v>5.085</c:v>
                </c:pt>
                <c:pt idx="204">
                  <c:v>5.085</c:v>
                </c:pt>
                <c:pt idx="205">
                  <c:v>5.085</c:v>
                </c:pt>
                <c:pt idx="206">
                  <c:v>5.085</c:v>
                </c:pt>
                <c:pt idx="207">
                  <c:v>5.085</c:v>
                </c:pt>
                <c:pt idx="208">
                  <c:v>5.085</c:v>
                </c:pt>
                <c:pt idx="209">
                  <c:v>5.085</c:v>
                </c:pt>
                <c:pt idx="210">
                  <c:v>5.085</c:v>
                </c:pt>
                <c:pt idx="211">
                  <c:v>5.085</c:v>
                </c:pt>
                <c:pt idx="212">
                  <c:v>5.085</c:v>
                </c:pt>
                <c:pt idx="213">
                  <c:v>5.085</c:v>
                </c:pt>
                <c:pt idx="214">
                  <c:v>5.085</c:v>
                </c:pt>
                <c:pt idx="215">
                  <c:v>5.085</c:v>
                </c:pt>
                <c:pt idx="216">
                  <c:v>5.085</c:v>
                </c:pt>
                <c:pt idx="217">
                  <c:v>5.085</c:v>
                </c:pt>
                <c:pt idx="218">
                  <c:v>5.085</c:v>
                </c:pt>
                <c:pt idx="219">
                  <c:v>5.085</c:v>
                </c:pt>
                <c:pt idx="220">
                  <c:v>5.085</c:v>
                </c:pt>
                <c:pt idx="221">
                  <c:v>5.085</c:v>
                </c:pt>
                <c:pt idx="222">
                  <c:v>5.085</c:v>
                </c:pt>
                <c:pt idx="223">
                  <c:v>5.085</c:v>
                </c:pt>
                <c:pt idx="224">
                  <c:v>5.085</c:v>
                </c:pt>
                <c:pt idx="225">
                  <c:v>5.085</c:v>
                </c:pt>
                <c:pt idx="226">
                  <c:v>5.085</c:v>
                </c:pt>
                <c:pt idx="227">
                  <c:v>5.085</c:v>
                </c:pt>
                <c:pt idx="228">
                  <c:v>5.085</c:v>
                </c:pt>
                <c:pt idx="229">
                  <c:v>5.085</c:v>
                </c:pt>
                <c:pt idx="230">
                  <c:v>5.085</c:v>
                </c:pt>
                <c:pt idx="231">
                  <c:v>5.085</c:v>
                </c:pt>
                <c:pt idx="232">
                  <c:v>5.085</c:v>
                </c:pt>
                <c:pt idx="233">
                  <c:v>5.085</c:v>
                </c:pt>
                <c:pt idx="234">
                  <c:v>5.085</c:v>
                </c:pt>
                <c:pt idx="235">
                  <c:v>5.085</c:v>
                </c:pt>
                <c:pt idx="236">
                  <c:v>5.085</c:v>
                </c:pt>
                <c:pt idx="237">
                  <c:v>5.085</c:v>
                </c:pt>
                <c:pt idx="238">
                  <c:v>5.085</c:v>
                </c:pt>
                <c:pt idx="239">
                  <c:v>5.085</c:v>
                </c:pt>
                <c:pt idx="240">
                  <c:v>5.085</c:v>
                </c:pt>
                <c:pt idx="241">
                  <c:v>5.085</c:v>
                </c:pt>
                <c:pt idx="242">
                  <c:v>5.085</c:v>
                </c:pt>
                <c:pt idx="243">
                  <c:v>5.085</c:v>
                </c:pt>
                <c:pt idx="244">
                  <c:v>5.085</c:v>
                </c:pt>
                <c:pt idx="245">
                  <c:v>5.085</c:v>
                </c:pt>
                <c:pt idx="246">
                  <c:v>5.085</c:v>
                </c:pt>
                <c:pt idx="247">
                  <c:v>5.085</c:v>
                </c:pt>
                <c:pt idx="248">
                  <c:v>5.085</c:v>
                </c:pt>
                <c:pt idx="249">
                  <c:v>5.085</c:v>
                </c:pt>
                <c:pt idx="250">
                  <c:v>5.085</c:v>
                </c:pt>
                <c:pt idx="251">
                  <c:v>5.085</c:v>
                </c:pt>
                <c:pt idx="252">
                  <c:v>5.085</c:v>
                </c:pt>
                <c:pt idx="253">
                  <c:v>5.085</c:v>
                </c:pt>
                <c:pt idx="254">
                  <c:v>5.085</c:v>
                </c:pt>
                <c:pt idx="255">
                  <c:v>5.085</c:v>
                </c:pt>
                <c:pt idx="256">
                  <c:v>5.085</c:v>
                </c:pt>
                <c:pt idx="257">
                  <c:v>5.085</c:v>
                </c:pt>
                <c:pt idx="258">
                  <c:v>5.085</c:v>
                </c:pt>
                <c:pt idx="259">
                  <c:v>5.085</c:v>
                </c:pt>
                <c:pt idx="260">
                  <c:v>5.085</c:v>
                </c:pt>
                <c:pt idx="261">
                  <c:v>5.085</c:v>
                </c:pt>
                <c:pt idx="262">
                  <c:v>5.085</c:v>
                </c:pt>
                <c:pt idx="263">
                  <c:v>5.085</c:v>
                </c:pt>
                <c:pt idx="264">
                  <c:v>5.085</c:v>
                </c:pt>
                <c:pt idx="265">
                  <c:v>5.085</c:v>
                </c:pt>
                <c:pt idx="266">
                  <c:v>5.085</c:v>
                </c:pt>
                <c:pt idx="267">
                  <c:v>5.085</c:v>
                </c:pt>
                <c:pt idx="268">
                  <c:v>5.085</c:v>
                </c:pt>
                <c:pt idx="269">
                  <c:v>5.085</c:v>
                </c:pt>
                <c:pt idx="270">
                  <c:v>5.085</c:v>
                </c:pt>
                <c:pt idx="271">
                  <c:v>5.085</c:v>
                </c:pt>
                <c:pt idx="272">
                  <c:v>5.085</c:v>
                </c:pt>
                <c:pt idx="273">
                  <c:v>5.085</c:v>
                </c:pt>
                <c:pt idx="274">
                  <c:v>5.085</c:v>
                </c:pt>
                <c:pt idx="275">
                  <c:v>5.085</c:v>
                </c:pt>
                <c:pt idx="276">
                  <c:v>5.085</c:v>
                </c:pt>
                <c:pt idx="277">
                  <c:v>5.085</c:v>
                </c:pt>
                <c:pt idx="278">
                  <c:v>5.085</c:v>
                </c:pt>
                <c:pt idx="279">
                  <c:v>5.085</c:v>
                </c:pt>
                <c:pt idx="280">
                  <c:v>5.085</c:v>
                </c:pt>
                <c:pt idx="281">
                  <c:v>5.085</c:v>
                </c:pt>
                <c:pt idx="282">
                  <c:v>5.085</c:v>
                </c:pt>
                <c:pt idx="283">
                  <c:v>5.085</c:v>
                </c:pt>
                <c:pt idx="284">
                  <c:v>5.085</c:v>
                </c:pt>
                <c:pt idx="285">
                  <c:v>5.085</c:v>
                </c:pt>
                <c:pt idx="286">
                  <c:v>5.085</c:v>
                </c:pt>
                <c:pt idx="287">
                  <c:v>5.085</c:v>
                </c:pt>
                <c:pt idx="288">
                  <c:v>5.085</c:v>
                </c:pt>
                <c:pt idx="289">
                  <c:v>5.085</c:v>
                </c:pt>
                <c:pt idx="290">
                  <c:v>5.085</c:v>
                </c:pt>
                <c:pt idx="291">
                  <c:v>5.085</c:v>
                </c:pt>
                <c:pt idx="292">
                  <c:v>5.085</c:v>
                </c:pt>
                <c:pt idx="293">
                  <c:v>5.085</c:v>
                </c:pt>
                <c:pt idx="294">
                  <c:v>5.085</c:v>
                </c:pt>
                <c:pt idx="295">
                  <c:v>5.085</c:v>
                </c:pt>
                <c:pt idx="296">
                  <c:v>5.085</c:v>
                </c:pt>
                <c:pt idx="297">
                  <c:v>5.085</c:v>
                </c:pt>
                <c:pt idx="298">
                  <c:v>5.085</c:v>
                </c:pt>
                <c:pt idx="299">
                  <c:v>5.085</c:v>
                </c:pt>
                <c:pt idx="300">
                  <c:v>5.085</c:v>
                </c:pt>
                <c:pt idx="301">
                  <c:v>5.085</c:v>
                </c:pt>
                <c:pt idx="302">
                  <c:v>5.085</c:v>
                </c:pt>
                <c:pt idx="303">
                  <c:v>5.085</c:v>
                </c:pt>
                <c:pt idx="304">
                  <c:v>5.085</c:v>
                </c:pt>
                <c:pt idx="305">
                  <c:v>5.085</c:v>
                </c:pt>
                <c:pt idx="306">
                  <c:v>5.085</c:v>
                </c:pt>
                <c:pt idx="307">
                  <c:v>5.085</c:v>
                </c:pt>
                <c:pt idx="308">
                  <c:v>5.085</c:v>
                </c:pt>
                <c:pt idx="309">
                  <c:v>5.085</c:v>
                </c:pt>
                <c:pt idx="310">
                  <c:v>5.085</c:v>
                </c:pt>
                <c:pt idx="311">
                  <c:v>5.085</c:v>
                </c:pt>
                <c:pt idx="312">
                  <c:v>5.085</c:v>
                </c:pt>
                <c:pt idx="313">
                  <c:v>5.085</c:v>
                </c:pt>
                <c:pt idx="314">
                  <c:v>5.085</c:v>
                </c:pt>
                <c:pt idx="315">
                  <c:v>5.085</c:v>
                </c:pt>
                <c:pt idx="316">
                  <c:v>5.085</c:v>
                </c:pt>
                <c:pt idx="317">
                  <c:v>5.085</c:v>
                </c:pt>
                <c:pt idx="318">
                  <c:v>5.085</c:v>
                </c:pt>
                <c:pt idx="319">
                  <c:v>5.085</c:v>
                </c:pt>
                <c:pt idx="320">
                  <c:v>5.085</c:v>
                </c:pt>
                <c:pt idx="321">
                  <c:v>5.085</c:v>
                </c:pt>
                <c:pt idx="322">
                  <c:v>5.085</c:v>
                </c:pt>
                <c:pt idx="323">
                  <c:v>5.085</c:v>
                </c:pt>
                <c:pt idx="324">
                  <c:v>5.085</c:v>
                </c:pt>
                <c:pt idx="325">
                  <c:v>5.085</c:v>
                </c:pt>
                <c:pt idx="326">
                  <c:v>5.085</c:v>
                </c:pt>
                <c:pt idx="327">
                  <c:v>5.085</c:v>
                </c:pt>
                <c:pt idx="328">
                  <c:v>5.085</c:v>
                </c:pt>
                <c:pt idx="329">
                  <c:v>5.085</c:v>
                </c:pt>
                <c:pt idx="330">
                  <c:v>5.085</c:v>
                </c:pt>
                <c:pt idx="331">
                  <c:v>5.085</c:v>
                </c:pt>
                <c:pt idx="332">
                  <c:v>5.085</c:v>
                </c:pt>
                <c:pt idx="333">
                  <c:v>5.085</c:v>
                </c:pt>
                <c:pt idx="334">
                  <c:v>5.085</c:v>
                </c:pt>
                <c:pt idx="335">
                  <c:v>5.085</c:v>
                </c:pt>
                <c:pt idx="336">
                  <c:v>5.085</c:v>
                </c:pt>
                <c:pt idx="337">
                  <c:v>5.085</c:v>
                </c:pt>
                <c:pt idx="338">
                  <c:v>5.085</c:v>
                </c:pt>
                <c:pt idx="339">
                  <c:v>5.085</c:v>
                </c:pt>
                <c:pt idx="340">
                  <c:v>5.085</c:v>
                </c:pt>
                <c:pt idx="341">
                  <c:v>5.085</c:v>
                </c:pt>
                <c:pt idx="342">
                  <c:v>5.085</c:v>
                </c:pt>
                <c:pt idx="343">
                  <c:v>5.085</c:v>
                </c:pt>
                <c:pt idx="344">
                  <c:v>5.085</c:v>
                </c:pt>
                <c:pt idx="345">
                  <c:v>5.085</c:v>
                </c:pt>
                <c:pt idx="346">
                  <c:v>5.085</c:v>
                </c:pt>
                <c:pt idx="347">
                  <c:v>5.085</c:v>
                </c:pt>
                <c:pt idx="348">
                  <c:v>5.085</c:v>
                </c:pt>
                <c:pt idx="349">
                  <c:v>5.085</c:v>
                </c:pt>
                <c:pt idx="350">
                  <c:v>5.085</c:v>
                </c:pt>
                <c:pt idx="351">
                  <c:v>5.085</c:v>
                </c:pt>
                <c:pt idx="352">
                  <c:v>5.085</c:v>
                </c:pt>
                <c:pt idx="353">
                  <c:v>5.085</c:v>
                </c:pt>
                <c:pt idx="354">
                  <c:v>5.085</c:v>
                </c:pt>
                <c:pt idx="355">
                  <c:v>5.085</c:v>
                </c:pt>
                <c:pt idx="356">
                  <c:v>5.085</c:v>
                </c:pt>
                <c:pt idx="357">
                  <c:v>5.085</c:v>
                </c:pt>
                <c:pt idx="358">
                  <c:v>5.085</c:v>
                </c:pt>
                <c:pt idx="359">
                  <c:v>5.085</c:v>
                </c:pt>
                <c:pt idx="360">
                  <c:v>5.085</c:v>
                </c:pt>
                <c:pt idx="361">
                  <c:v>5.085</c:v>
                </c:pt>
                <c:pt idx="362">
                  <c:v>5.085</c:v>
                </c:pt>
                <c:pt idx="363">
                  <c:v>5.085</c:v>
                </c:pt>
                <c:pt idx="364">
                  <c:v>5.085</c:v>
                </c:pt>
                <c:pt idx="365">
                  <c:v>5.085</c:v>
                </c:pt>
                <c:pt idx="366">
                  <c:v>5.085</c:v>
                </c:pt>
                <c:pt idx="367">
                  <c:v>5.085</c:v>
                </c:pt>
                <c:pt idx="368">
                  <c:v>5.085</c:v>
                </c:pt>
                <c:pt idx="369">
                  <c:v>5.085</c:v>
                </c:pt>
                <c:pt idx="370">
                  <c:v>5.085</c:v>
                </c:pt>
                <c:pt idx="371">
                  <c:v>5.085</c:v>
                </c:pt>
                <c:pt idx="372">
                  <c:v>5.085</c:v>
                </c:pt>
                <c:pt idx="373">
                  <c:v>5.085</c:v>
                </c:pt>
                <c:pt idx="374">
                  <c:v>5.085</c:v>
                </c:pt>
                <c:pt idx="375">
                  <c:v>5.085</c:v>
                </c:pt>
                <c:pt idx="376">
                  <c:v>5.085</c:v>
                </c:pt>
                <c:pt idx="377">
                  <c:v>5.085</c:v>
                </c:pt>
                <c:pt idx="378">
                  <c:v>5.085</c:v>
                </c:pt>
                <c:pt idx="379">
                  <c:v>5.085</c:v>
                </c:pt>
                <c:pt idx="380">
                  <c:v>5.085</c:v>
                </c:pt>
                <c:pt idx="381">
                  <c:v>5.085</c:v>
                </c:pt>
                <c:pt idx="382">
                  <c:v>5.085</c:v>
                </c:pt>
                <c:pt idx="383">
                  <c:v>5.085</c:v>
                </c:pt>
                <c:pt idx="384">
                  <c:v>5.085</c:v>
                </c:pt>
                <c:pt idx="385">
                  <c:v>5.085</c:v>
                </c:pt>
                <c:pt idx="386">
                  <c:v>5.085</c:v>
                </c:pt>
                <c:pt idx="387">
                  <c:v>5.085</c:v>
                </c:pt>
                <c:pt idx="388">
                  <c:v>5.085</c:v>
                </c:pt>
                <c:pt idx="389">
                  <c:v>5.085</c:v>
                </c:pt>
                <c:pt idx="390">
                  <c:v>5.085</c:v>
                </c:pt>
                <c:pt idx="391">
                  <c:v>5.085</c:v>
                </c:pt>
                <c:pt idx="392">
                  <c:v>5.085</c:v>
                </c:pt>
                <c:pt idx="393">
                  <c:v>5.085</c:v>
                </c:pt>
                <c:pt idx="394">
                  <c:v>5.085</c:v>
                </c:pt>
                <c:pt idx="395">
                  <c:v>5.085</c:v>
                </c:pt>
                <c:pt idx="396">
                  <c:v>5.085</c:v>
                </c:pt>
                <c:pt idx="397">
                  <c:v>5.085</c:v>
                </c:pt>
                <c:pt idx="398">
                  <c:v>5.085</c:v>
                </c:pt>
                <c:pt idx="399">
                  <c:v>5.085</c:v>
                </c:pt>
                <c:pt idx="400">
                  <c:v>5.085</c:v>
                </c:pt>
                <c:pt idx="401">
                  <c:v>5.085</c:v>
                </c:pt>
                <c:pt idx="402">
                  <c:v>5.085</c:v>
                </c:pt>
                <c:pt idx="403">
                  <c:v>5.085</c:v>
                </c:pt>
                <c:pt idx="404">
                  <c:v>5.085</c:v>
                </c:pt>
                <c:pt idx="405">
                  <c:v>5.085</c:v>
                </c:pt>
                <c:pt idx="406">
                  <c:v>5.085</c:v>
                </c:pt>
                <c:pt idx="407">
                  <c:v>5.085</c:v>
                </c:pt>
                <c:pt idx="408">
                  <c:v>5.085</c:v>
                </c:pt>
                <c:pt idx="409">
                  <c:v>5.085</c:v>
                </c:pt>
                <c:pt idx="410">
                  <c:v>5.085</c:v>
                </c:pt>
                <c:pt idx="411">
                  <c:v>5.085</c:v>
                </c:pt>
                <c:pt idx="412">
                  <c:v>5.085</c:v>
                </c:pt>
                <c:pt idx="413">
                  <c:v>5.085</c:v>
                </c:pt>
                <c:pt idx="414">
                  <c:v>5.085</c:v>
                </c:pt>
                <c:pt idx="415">
                  <c:v>5.085</c:v>
                </c:pt>
                <c:pt idx="416">
                  <c:v>5.085</c:v>
                </c:pt>
                <c:pt idx="417">
                  <c:v>5.0249899999999998</c:v>
                </c:pt>
                <c:pt idx="418">
                  <c:v>4.91</c:v>
                </c:pt>
                <c:pt idx="419">
                  <c:v>4.8849999999999998</c:v>
                </c:pt>
                <c:pt idx="420">
                  <c:v>4.8849999999999998</c:v>
                </c:pt>
                <c:pt idx="421">
                  <c:v>4.8849999999999998</c:v>
                </c:pt>
                <c:pt idx="422">
                  <c:v>4.8849999999999998</c:v>
                </c:pt>
                <c:pt idx="423">
                  <c:v>4.8849999999999998</c:v>
                </c:pt>
                <c:pt idx="424">
                  <c:v>4.8849999999999998</c:v>
                </c:pt>
                <c:pt idx="425">
                  <c:v>4.8849999999999998</c:v>
                </c:pt>
                <c:pt idx="426">
                  <c:v>4.8849999999999998</c:v>
                </c:pt>
                <c:pt idx="427">
                  <c:v>4.8849999999999998</c:v>
                </c:pt>
                <c:pt idx="428">
                  <c:v>4.8849999999999998</c:v>
                </c:pt>
                <c:pt idx="429">
                  <c:v>4.7749899999999998</c:v>
                </c:pt>
                <c:pt idx="430">
                  <c:v>4.7050000000000001</c:v>
                </c:pt>
                <c:pt idx="431">
                  <c:v>4.7050000000000001</c:v>
                </c:pt>
                <c:pt idx="432">
                  <c:v>4.7050000000000001</c:v>
                </c:pt>
                <c:pt idx="433">
                  <c:v>4.7050000000000001</c:v>
                </c:pt>
                <c:pt idx="434">
                  <c:v>4.7050000000000001</c:v>
                </c:pt>
                <c:pt idx="435">
                  <c:v>4.7050000000000001</c:v>
                </c:pt>
                <c:pt idx="436">
                  <c:v>4.7050000000000001</c:v>
                </c:pt>
                <c:pt idx="437">
                  <c:v>4.7050000000000001</c:v>
                </c:pt>
                <c:pt idx="438">
                  <c:v>4.7050000000000001</c:v>
                </c:pt>
                <c:pt idx="439">
                  <c:v>4.7050000000000001</c:v>
                </c:pt>
                <c:pt idx="440">
                  <c:v>4.7050000000000001</c:v>
                </c:pt>
                <c:pt idx="441">
                  <c:v>4.7050000000000001</c:v>
                </c:pt>
                <c:pt idx="442">
                  <c:v>4.7050000000000001</c:v>
                </c:pt>
                <c:pt idx="443">
                  <c:v>4.7050000000000001</c:v>
                </c:pt>
                <c:pt idx="444">
                  <c:v>4.7050000000000001</c:v>
                </c:pt>
                <c:pt idx="445">
                  <c:v>4.7050000000000001</c:v>
                </c:pt>
                <c:pt idx="446">
                  <c:v>4.7050000000000001</c:v>
                </c:pt>
                <c:pt idx="447">
                  <c:v>4.7050000000000001</c:v>
                </c:pt>
                <c:pt idx="448">
                  <c:v>4.7050000000000001</c:v>
                </c:pt>
                <c:pt idx="449">
                  <c:v>4.7050000000000001</c:v>
                </c:pt>
                <c:pt idx="450">
                  <c:v>4.7050000000000001</c:v>
                </c:pt>
                <c:pt idx="451">
                  <c:v>4.7050000000000001</c:v>
                </c:pt>
                <c:pt idx="452">
                  <c:v>4.7050000000000001</c:v>
                </c:pt>
                <c:pt idx="453">
                  <c:v>4.7050000000000001</c:v>
                </c:pt>
                <c:pt idx="454">
                  <c:v>4.7050000000000001</c:v>
                </c:pt>
                <c:pt idx="455">
                  <c:v>4.7050000000000001</c:v>
                </c:pt>
                <c:pt idx="456">
                  <c:v>4.7050000000000001</c:v>
                </c:pt>
                <c:pt idx="457">
                  <c:v>4.7050000000000001</c:v>
                </c:pt>
                <c:pt idx="458">
                  <c:v>4.7050000000000001</c:v>
                </c:pt>
                <c:pt idx="459">
                  <c:v>4.7050000000000001</c:v>
                </c:pt>
                <c:pt idx="460">
                  <c:v>4.7050000000000001</c:v>
                </c:pt>
                <c:pt idx="461">
                  <c:v>4.7050000000000001</c:v>
                </c:pt>
                <c:pt idx="462">
                  <c:v>4.7050000000000001</c:v>
                </c:pt>
                <c:pt idx="463">
                  <c:v>4.7050000000000001</c:v>
                </c:pt>
                <c:pt idx="464">
                  <c:v>4.7050000000000001</c:v>
                </c:pt>
                <c:pt idx="465">
                  <c:v>4.6349999999999998</c:v>
                </c:pt>
                <c:pt idx="466">
                  <c:v>4.6349999999999998</c:v>
                </c:pt>
                <c:pt idx="467">
                  <c:v>4.6349999999999998</c:v>
                </c:pt>
                <c:pt idx="468">
                  <c:v>4.6349999999999998</c:v>
                </c:pt>
                <c:pt idx="469">
                  <c:v>4.6349999999999998</c:v>
                </c:pt>
                <c:pt idx="470">
                  <c:v>4.6349999999999998</c:v>
                </c:pt>
                <c:pt idx="471">
                  <c:v>4.6349999999999998</c:v>
                </c:pt>
                <c:pt idx="472">
                  <c:v>4.6349999999999998</c:v>
                </c:pt>
                <c:pt idx="473">
                  <c:v>4.6349999999999998</c:v>
                </c:pt>
                <c:pt idx="474">
                  <c:v>4.6349999999999998</c:v>
                </c:pt>
                <c:pt idx="475">
                  <c:v>4.6349999999999998</c:v>
                </c:pt>
                <c:pt idx="476">
                  <c:v>4.6349999999999998</c:v>
                </c:pt>
                <c:pt idx="477">
                  <c:v>4.6349999999999998</c:v>
                </c:pt>
                <c:pt idx="478">
                  <c:v>4.6349999999999998</c:v>
                </c:pt>
                <c:pt idx="479">
                  <c:v>4.6349999999999998</c:v>
                </c:pt>
                <c:pt idx="480">
                  <c:v>4.6349999999999998</c:v>
                </c:pt>
                <c:pt idx="481">
                  <c:v>4.6349999999999998</c:v>
                </c:pt>
                <c:pt idx="482">
                  <c:v>4.6349999999999998</c:v>
                </c:pt>
                <c:pt idx="483">
                  <c:v>4.6349999999999998</c:v>
                </c:pt>
                <c:pt idx="484">
                  <c:v>4.6349999999999998</c:v>
                </c:pt>
                <c:pt idx="485">
                  <c:v>4.6349999999999998</c:v>
                </c:pt>
                <c:pt idx="486">
                  <c:v>4.6349999999999998</c:v>
                </c:pt>
                <c:pt idx="487">
                  <c:v>4.6349999999999998</c:v>
                </c:pt>
                <c:pt idx="488">
                  <c:v>4.6349999999999998</c:v>
                </c:pt>
                <c:pt idx="489">
                  <c:v>4.6349999999999998</c:v>
                </c:pt>
                <c:pt idx="490">
                  <c:v>4.6349999999999998</c:v>
                </c:pt>
                <c:pt idx="491">
                  <c:v>4.6349999999999998</c:v>
                </c:pt>
                <c:pt idx="492">
                  <c:v>4.6349999999999998</c:v>
                </c:pt>
                <c:pt idx="493">
                  <c:v>4.6349999999999998</c:v>
                </c:pt>
                <c:pt idx="494">
                  <c:v>4.6150000000000002</c:v>
                </c:pt>
                <c:pt idx="495">
                  <c:v>4.5049999999999999</c:v>
                </c:pt>
                <c:pt idx="496">
                  <c:v>4.4950000000000001</c:v>
                </c:pt>
                <c:pt idx="497">
                  <c:v>4.4950000000000001</c:v>
                </c:pt>
                <c:pt idx="498">
                  <c:v>4.4849899999999998</c:v>
                </c:pt>
                <c:pt idx="499">
                  <c:v>4.4649999999999999</c:v>
                </c:pt>
                <c:pt idx="500">
                  <c:v>4.415</c:v>
                </c:pt>
                <c:pt idx="501">
                  <c:v>4.3650000000000002</c:v>
                </c:pt>
                <c:pt idx="502">
                  <c:v>4.3449999999999998</c:v>
                </c:pt>
                <c:pt idx="503">
                  <c:v>4.2850000000000001</c:v>
                </c:pt>
                <c:pt idx="504">
                  <c:v>4.2450000000000001</c:v>
                </c:pt>
                <c:pt idx="505">
                  <c:v>4.2450000000000001</c:v>
                </c:pt>
                <c:pt idx="506">
                  <c:v>4.2450000000000001</c:v>
                </c:pt>
                <c:pt idx="507">
                  <c:v>4.2450000000000001</c:v>
                </c:pt>
                <c:pt idx="508">
                  <c:v>4.2450000000000001</c:v>
                </c:pt>
                <c:pt idx="509">
                  <c:v>4.22</c:v>
                </c:pt>
                <c:pt idx="510">
                  <c:v>4.1399999999999997</c:v>
                </c:pt>
                <c:pt idx="511">
                  <c:v>4.1399999999999997</c:v>
                </c:pt>
                <c:pt idx="512">
                  <c:v>4.1399999999999997</c:v>
                </c:pt>
                <c:pt idx="513">
                  <c:v>4.1399999999999997</c:v>
                </c:pt>
                <c:pt idx="514">
                  <c:v>4.12</c:v>
                </c:pt>
                <c:pt idx="515">
                  <c:v>4.12</c:v>
                </c:pt>
                <c:pt idx="516">
                  <c:v>4.12</c:v>
                </c:pt>
                <c:pt idx="517">
                  <c:v>4.12</c:v>
                </c:pt>
                <c:pt idx="518">
                  <c:v>4.12</c:v>
                </c:pt>
                <c:pt idx="519">
                  <c:v>4.12</c:v>
                </c:pt>
                <c:pt idx="520">
                  <c:v>4.12</c:v>
                </c:pt>
                <c:pt idx="521">
                  <c:v>4.12</c:v>
                </c:pt>
                <c:pt idx="522">
                  <c:v>4.12</c:v>
                </c:pt>
                <c:pt idx="523">
                  <c:v>4.12</c:v>
                </c:pt>
                <c:pt idx="524">
                  <c:v>4.12</c:v>
                </c:pt>
                <c:pt idx="525">
                  <c:v>4.12</c:v>
                </c:pt>
                <c:pt idx="526">
                  <c:v>4.12</c:v>
                </c:pt>
                <c:pt idx="527">
                  <c:v>4.12</c:v>
                </c:pt>
                <c:pt idx="528">
                  <c:v>4.12</c:v>
                </c:pt>
                <c:pt idx="529">
                  <c:v>4.12</c:v>
                </c:pt>
                <c:pt idx="530">
                  <c:v>4.12</c:v>
                </c:pt>
                <c:pt idx="531">
                  <c:v>4.12</c:v>
                </c:pt>
                <c:pt idx="532">
                  <c:v>4.12</c:v>
                </c:pt>
                <c:pt idx="533">
                  <c:v>4.12</c:v>
                </c:pt>
                <c:pt idx="534">
                  <c:v>4.12</c:v>
                </c:pt>
                <c:pt idx="535">
                  <c:v>4.12</c:v>
                </c:pt>
                <c:pt idx="536">
                  <c:v>4.12</c:v>
                </c:pt>
                <c:pt idx="537">
                  <c:v>4.12</c:v>
                </c:pt>
                <c:pt idx="538">
                  <c:v>4.12</c:v>
                </c:pt>
                <c:pt idx="539">
                  <c:v>4.12</c:v>
                </c:pt>
                <c:pt idx="540">
                  <c:v>4.12</c:v>
                </c:pt>
                <c:pt idx="541">
                  <c:v>4.12</c:v>
                </c:pt>
                <c:pt idx="542">
                  <c:v>4.12</c:v>
                </c:pt>
                <c:pt idx="543">
                  <c:v>4.12</c:v>
                </c:pt>
                <c:pt idx="544">
                  <c:v>4.12</c:v>
                </c:pt>
                <c:pt idx="545">
                  <c:v>4.12</c:v>
                </c:pt>
                <c:pt idx="546">
                  <c:v>4.12</c:v>
                </c:pt>
                <c:pt idx="547">
                  <c:v>4.12</c:v>
                </c:pt>
                <c:pt idx="548">
                  <c:v>4.12</c:v>
                </c:pt>
                <c:pt idx="549">
                  <c:v>4.12</c:v>
                </c:pt>
                <c:pt idx="550">
                  <c:v>4.12</c:v>
                </c:pt>
                <c:pt idx="551">
                  <c:v>4.12</c:v>
                </c:pt>
                <c:pt idx="552">
                  <c:v>4.12</c:v>
                </c:pt>
                <c:pt idx="553">
                  <c:v>4.12</c:v>
                </c:pt>
                <c:pt idx="554">
                  <c:v>4.0750000000000002</c:v>
                </c:pt>
                <c:pt idx="555">
                  <c:v>4.0750000000000002</c:v>
                </c:pt>
                <c:pt idx="556">
                  <c:v>4.0750000000000002</c:v>
                </c:pt>
                <c:pt idx="557">
                  <c:v>4.0449999999999999</c:v>
                </c:pt>
                <c:pt idx="558">
                  <c:v>4.0149900000000001</c:v>
                </c:pt>
                <c:pt idx="559">
                  <c:v>4.0149900000000001</c:v>
                </c:pt>
                <c:pt idx="560">
                  <c:v>3.93499</c:v>
                </c:pt>
                <c:pt idx="561">
                  <c:v>3.89</c:v>
                </c:pt>
                <c:pt idx="562">
                  <c:v>3.89</c:v>
                </c:pt>
                <c:pt idx="563">
                  <c:v>3.89</c:v>
                </c:pt>
                <c:pt idx="564">
                  <c:v>3.89</c:v>
                </c:pt>
                <c:pt idx="565">
                  <c:v>3.89</c:v>
                </c:pt>
                <c:pt idx="566">
                  <c:v>3.89</c:v>
                </c:pt>
                <c:pt idx="567">
                  <c:v>3.89</c:v>
                </c:pt>
                <c:pt idx="568">
                  <c:v>3.89</c:v>
                </c:pt>
                <c:pt idx="569">
                  <c:v>3.89</c:v>
                </c:pt>
                <c:pt idx="570">
                  <c:v>3.89</c:v>
                </c:pt>
                <c:pt idx="571">
                  <c:v>3.89</c:v>
                </c:pt>
                <c:pt idx="572">
                  <c:v>3.835</c:v>
                </c:pt>
                <c:pt idx="573">
                  <c:v>3.835</c:v>
                </c:pt>
                <c:pt idx="574">
                  <c:v>3.835</c:v>
                </c:pt>
                <c:pt idx="575">
                  <c:v>3.8149999999999999</c:v>
                </c:pt>
                <c:pt idx="576">
                  <c:v>3.8149999999999999</c:v>
                </c:pt>
                <c:pt idx="577">
                  <c:v>3.8149999999999999</c:v>
                </c:pt>
                <c:pt idx="578">
                  <c:v>3.8149999999999999</c:v>
                </c:pt>
                <c:pt idx="579">
                  <c:v>3.8149999999999999</c:v>
                </c:pt>
                <c:pt idx="580">
                  <c:v>3.8149999999999999</c:v>
                </c:pt>
                <c:pt idx="581">
                  <c:v>3.8149999999999999</c:v>
                </c:pt>
                <c:pt idx="582">
                  <c:v>3.8149999999999999</c:v>
                </c:pt>
                <c:pt idx="583">
                  <c:v>3.8149999999999999</c:v>
                </c:pt>
                <c:pt idx="584">
                  <c:v>3.8149999999999999</c:v>
                </c:pt>
                <c:pt idx="585">
                  <c:v>3.8149999999999999</c:v>
                </c:pt>
                <c:pt idx="586">
                  <c:v>3.8149999999999999</c:v>
                </c:pt>
                <c:pt idx="587">
                  <c:v>3.8149999999999999</c:v>
                </c:pt>
                <c:pt idx="588">
                  <c:v>3.8050000000000002</c:v>
                </c:pt>
                <c:pt idx="589">
                  <c:v>3.8050000000000002</c:v>
                </c:pt>
                <c:pt idx="590">
                  <c:v>3.8050000000000002</c:v>
                </c:pt>
                <c:pt idx="591">
                  <c:v>3.79</c:v>
                </c:pt>
                <c:pt idx="592">
                  <c:v>3.7549999999999999</c:v>
                </c:pt>
                <c:pt idx="593">
                  <c:v>3.7149999999999999</c:v>
                </c:pt>
                <c:pt idx="594">
                  <c:v>3.7149999999999999</c:v>
                </c:pt>
                <c:pt idx="595">
                  <c:v>3.7</c:v>
                </c:pt>
                <c:pt idx="596">
                  <c:v>3.5950000000000002</c:v>
                </c:pt>
                <c:pt idx="597">
                  <c:v>3.5950000000000002</c:v>
                </c:pt>
                <c:pt idx="598">
                  <c:v>3.585</c:v>
                </c:pt>
                <c:pt idx="599">
                  <c:v>3.585</c:v>
                </c:pt>
                <c:pt idx="600">
                  <c:v>3.57</c:v>
                </c:pt>
                <c:pt idx="601">
                  <c:v>3.4849999999999999</c:v>
                </c:pt>
                <c:pt idx="602">
                  <c:v>3.45499</c:v>
                </c:pt>
                <c:pt idx="603">
                  <c:v>3.415</c:v>
                </c:pt>
                <c:pt idx="604">
                  <c:v>3.415</c:v>
                </c:pt>
                <c:pt idx="605">
                  <c:v>3.415</c:v>
                </c:pt>
                <c:pt idx="606">
                  <c:v>3.415</c:v>
                </c:pt>
                <c:pt idx="607">
                  <c:v>3.415</c:v>
                </c:pt>
                <c:pt idx="608">
                  <c:v>3.415</c:v>
                </c:pt>
                <c:pt idx="609">
                  <c:v>3.415</c:v>
                </c:pt>
                <c:pt idx="610">
                  <c:v>3.415</c:v>
                </c:pt>
                <c:pt idx="611">
                  <c:v>3.39</c:v>
                </c:pt>
                <c:pt idx="612">
                  <c:v>3.3</c:v>
                </c:pt>
                <c:pt idx="613">
                  <c:v>3.26</c:v>
                </c:pt>
                <c:pt idx="614">
                  <c:v>3.26</c:v>
                </c:pt>
                <c:pt idx="615">
                  <c:v>3.26</c:v>
                </c:pt>
                <c:pt idx="616">
                  <c:v>3.26</c:v>
                </c:pt>
                <c:pt idx="617">
                  <c:v>3.26</c:v>
                </c:pt>
                <c:pt idx="618">
                  <c:v>3.26</c:v>
                </c:pt>
                <c:pt idx="619">
                  <c:v>3.26</c:v>
                </c:pt>
                <c:pt idx="620">
                  <c:v>3.2349999999999999</c:v>
                </c:pt>
                <c:pt idx="621">
                  <c:v>3.2349999999999999</c:v>
                </c:pt>
                <c:pt idx="622">
                  <c:v>3.2349999999999999</c:v>
                </c:pt>
                <c:pt idx="623">
                  <c:v>3.2349999999999999</c:v>
                </c:pt>
                <c:pt idx="624">
                  <c:v>3.2349999999999999</c:v>
                </c:pt>
                <c:pt idx="625">
                  <c:v>3.2349999999999999</c:v>
                </c:pt>
                <c:pt idx="626">
                  <c:v>3.2349999999999999</c:v>
                </c:pt>
                <c:pt idx="627">
                  <c:v>3.2349999999999999</c:v>
                </c:pt>
                <c:pt idx="628">
                  <c:v>3.2349999999999999</c:v>
                </c:pt>
                <c:pt idx="629">
                  <c:v>3.2349999999999999</c:v>
                </c:pt>
                <c:pt idx="630">
                  <c:v>3.2349999999999999</c:v>
                </c:pt>
                <c:pt idx="631">
                  <c:v>3.2349999999999999</c:v>
                </c:pt>
                <c:pt idx="632">
                  <c:v>3.2349999999999999</c:v>
                </c:pt>
                <c:pt idx="633">
                  <c:v>3.2349999999999999</c:v>
                </c:pt>
                <c:pt idx="634">
                  <c:v>3.2349999999999999</c:v>
                </c:pt>
                <c:pt idx="635">
                  <c:v>3.2349999999999999</c:v>
                </c:pt>
                <c:pt idx="636">
                  <c:v>3.2349999999999999</c:v>
                </c:pt>
                <c:pt idx="637">
                  <c:v>3.2349999999999999</c:v>
                </c:pt>
                <c:pt idx="638">
                  <c:v>3.2349999999999999</c:v>
                </c:pt>
                <c:pt idx="639">
                  <c:v>3.2349999999999999</c:v>
                </c:pt>
                <c:pt idx="640">
                  <c:v>3.2349999999999999</c:v>
                </c:pt>
                <c:pt idx="641">
                  <c:v>3.2349999999999999</c:v>
                </c:pt>
                <c:pt idx="642">
                  <c:v>3.2349999999999999</c:v>
                </c:pt>
                <c:pt idx="643">
                  <c:v>3.2349999999999999</c:v>
                </c:pt>
                <c:pt idx="644">
                  <c:v>3.2349999999999999</c:v>
                </c:pt>
                <c:pt idx="645">
                  <c:v>3.2349999999999999</c:v>
                </c:pt>
                <c:pt idx="646">
                  <c:v>3.2349999999999999</c:v>
                </c:pt>
                <c:pt idx="647">
                  <c:v>3.2349999999999999</c:v>
                </c:pt>
                <c:pt idx="648">
                  <c:v>3.2349999999999999</c:v>
                </c:pt>
                <c:pt idx="649">
                  <c:v>3.2349999999999999</c:v>
                </c:pt>
                <c:pt idx="650">
                  <c:v>3.2349999999999999</c:v>
                </c:pt>
                <c:pt idx="651">
                  <c:v>3.2349999999999999</c:v>
                </c:pt>
                <c:pt idx="652">
                  <c:v>3.2349999999999999</c:v>
                </c:pt>
                <c:pt idx="653">
                  <c:v>3.2349999999999999</c:v>
                </c:pt>
                <c:pt idx="654">
                  <c:v>3.2349999999999999</c:v>
                </c:pt>
                <c:pt idx="655">
                  <c:v>3.2349999999999999</c:v>
                </c:pt>
                <c:pt idx="656">
                  <c:v>3.2349999999999999</c:v>
                </c:pt>
                <c:pt idx="657">
                  <c:v>3.2349999999999999</c:v>
                </c:pt>
                <c:pt idx="658">
                  <c:v>3.2349999999999999</c:v>
                </c:pt>
                <c:pt idx="659">
                  <c:v>3.2349999999999999</c:v>
                </c:pt>
                <c:pt idx="660">
                  <c:v>3.2349999999999999</c:v>
                </c:pt>
                <c:pt idx="661">
                  <c:v>3.2349999999999999</c:v>
                </c:pt>
                <c:pt idx="662">
                  <c:v>3.2349999999999999</c:v>
                </c:pt>
                <c:pt idx="663">
                  <c:v>3.2349999999999999</c:v>
                </c:pt>
                <c:pt idx="664">
                  <c:v>3.2349999999999999</c:v>
                </c:pt>
                <c:pt idx="665">
                  <c:v>3.2349999999999999</c:v>
                </c:pt>
                <c:pt idx="666">
                  <c:v>3.2349999999999999</c:v>
                </c:pt>
                <c:pt idx="667">
                  <c:v>3.2349999999999999</c:v>
                </c:pt>
                <c:pt idx="668">
                  <c:v>3.2349999999999999</c:v>
                </c:pt>
                <c:pt idx="669">
                  <c:v>3.2349999999999999</c:v>
                </c:pt>
                <c:pt idx="670">
                  <c:v>3.2349999999999999</c:v>
                </c:pt>
                <c:pt idx="671">
                  <c:v>3.2349999999999999</c:v>
                </c:pt>
                <c:pt idx="672">
                  <c:v>3.2349999999999999</c:v>
                </c:pt>
                <c:pt idx="673">
                  <c:v>3.2349999999999999</c:v>
                </c:pt>
                <c:pt idx="674">
                  <c:v>3.2349999999999999</c:v>
                </c:pt>
                <c:pt idx="675">
                  <c:v>3.2349999999999999</c:v>
                </c:pt>
                <c:pt idx="676">
                  <c:v>3.2349999999999999</c:v>
                </c:pt>
                <c:pt idx="677">
                  <c:v>3.2349999999999999</c:v>
                </c:pt>
                <c:pt idx="678">
                  <c:v>3.2349999999999999</c:v>
                </c:pt>
                <c:pt idx="679">
                  <c:v>3.2349999999999999</c:v>
                </c:pt>
                <c:pt idx="680">
                  <c:v>3.2349999999999999</c:v>
                </c:pt>
                <c:pt idx="681">
                  <c:v>3.2349999999999999</c:v>
                </c:pt>
                <c:pt idx="682">
                  <c:v>3.2349999999999999</c:v>
                </c:pt>
                <c:pt idx="683">
                  <c:v>3.2349999999999999</c:v>
                </c:pt>
                <c:pt idx="684">
                  <c:v>3.2349999999999999</c:v>
                </c:pt>
                <c:pt idx="685">
                  <c:v>3.2349999999999999</c:v>
                </c:pt>
                <c:pt idx="686">
                  <c:v>3.2349999999999999</c:v>
                </c:pt>
                <c:pt idx="687">
                  <c:v>3.2349999999999999</c:v>
                </c:pt>
                <c:pt idx="688">
                  <c:v>3.2349999999999999</c:v>
                </c:pt>
                <c:pt idx="689">
                  <c:v>3.2349999999999999</c:v>
                </c:pt>
                <c:pt idx="690">
                  <c:v>3.2349999999999999</c:v>
                </c:pt>
                <c:pt idx="691">
                  <c:v>3.2349999999999999</c:v>
                </c:pt>
                <c:pt idx="692">
                  <c:v>3.2349999999999999</c:v>
                </c:pt>
                <c:pt idx="693">
                  <c:v>3.2349999999999999</c:v>
                </c:pt>
                <c:pt idx="694">
                  <c:v>3.2349999999999999</c:v>
                </c:pt>
                <c:pt idx="695">
                  <c:v>3.2349999999999999</c:v>
                </c:pt>
                <c:pt idx="696">
                  <c:v>3.2349999999999999</c:v>
                </c:pt>
                <c:pt idx="697">
                  <c:v>3.2349999999999999</c:v>
                </c:pt>
                <c:pt idx="698">
                  <c:v>3.2349999999999999</c:v>
                </c:pt>
                <c:pt idx="699">
                  <c:v>3.2349999999999999</c:v>
                </c:pt>
                <c:pt idx="700">
                  <c:v>3.2349999999999999</c:v>
                </c:pt>
                <c:pt idx="701">
                  <c:v>3.2349999999999999</c:v>
                </c:pt>
                <c:pt idx="702">
                  <c:v>3.2349999999999999</c:v>
                </c:pt>
                <c:pt idx="703">
                  <c:v>3.2349999999999999</c:v>
                </c:pt>
                <c:pt idx="704">
                  <c:v>3.2349999999999999</c:v>
                </c:pt>
                <c:pt idx="705">
                  <c:v>3.2349999999999999</c:v>
                </c:pt>
                <c:pt idx="706">
                  <c:v>3.2349999999999999</c:v>
                </c:pt>
                <c:pt idx="707">
                  <c:v>3.2349999999999999</c:v>
                </c:pt>
                <c:pt idx="708">
                  <c:v>3.2349999999999999</c:v>
                </c:pt>
                <c:pt idx="709">
                  <c:v>3.2349999999999999</c:v>
                </c:pt>
                <c:pt idx="710">
                  <c:v>3.2349999999999999</c:v>
                </c:pt>
                <c:pt idx="711">
                  <c:v>3.2349999999999999</c:v>
                </c:pt>
                <c:pt idx="712">
                  <c:v>3.2349999999999999</c:v>
                </c:pt>
                <c:pt idx="713">
                  <c:v>3.2349999999999999</c:v>
                </c:pt>
                <c:pt idx="714">
                  <c:v>3.2349999999999999</c:v>
                </c:pt>
                <c:pt idx="715">
                  <c:v>3.2349999999999999</c:v>
                </c:pt>
                <c:pt idx="716">
                  <c:v>3.2349999999999999</c:v>
                </c:pt>
                <c:pt idx="717">
                  <c:v>3.2349999999999999</c:v>
                </c:pt>
                <c:pt idx="718">
                  <c:v>3.2349999999999999</c:v>
                </c:pt>
                <c:pt idx="719">
                  <c:v>3.2349999999999999</c:v>
                </c:pt>
                <c:pt idx="720">
                  <c:v>3.2349999999999999</c:v>
                </c:pt>
                <c:pt idx="721">
                  <c:v>3.2349999999999999</c:v>
                </c:pt>
                <c:pt idx="722">
                  <c:v>3.2349999999999999</c:v>
                </c:pt>
                <c:pt idx="723">
                  <c:v>3.2349999999999999</c:v>
                </c:pt>
                <c:pt idx="724">
                  <c:v>3.2349999999999999</c:v>
                </c:pt>
                <c:pt idx="725">
                  <c:v>3.2349999999999999</c:v>
                </c:pt>
                <c:pt idx="726">
                  <c:v>3.2349999999999999</c:v>
                </c:pt>
                <c:pt idx="727">
                  <c:v>3.2349999999999999</c:v>
                </c:pt>
                <c:pt idx="728">
                  <c:v>3.2349999999999999</c:v>
                </c:pt>
                <c:pt idx="729">
                  <c:v>3.2349999999999999</c:v>
                </c:pt>
                <c:pt idx="730">
                  <c:v>3.2349999999999999</c:v>
                </c:pt>
                <c:pt idx="731">
                  <c:v>3.2349999999999999</c:v>
                </c:pt>
                <c:pt idx="732">
                  <c:v>3.2349999999999999</c:v>
                </c:pt>
                <c:pt idx="733">
                  <c:v>3.2349999999999999</c:v>
                </c:pt>
                <c:pt idx="734">
                  <c:v>3.2349999999999999</c:v>
                </c:pt>
                <c:pt idx="735">
                  <c:v>3.2349999999999999</c:v>
                </c:pt>
                <c:pt idx="736">
                  <c:v>3.2349999999999999</c:v>
                </c:pt>
                <c:pt idx="737">
                  <c:v>3.2349999999999999</c:v>
                </c:pt>
                <c:pt idx="738">
                  <c:v>3.2349999999999999</c:v>
                </c:pt>
                <c:pt idx="739">
                  <c:v>3.2349999999999999</c:v>
                </c:pt>
                <c:pt idx="740">
                  <c:v>3.2349999999999999</c:v>
                </c:pt>
                <c:pt idx="741">
                  <c:v>3.2349999999999999</c:v>
                </c:pt>
                <c:pt idx="742">
                  <c:v>3.2349999999999999</c:v>
                </c:pt>
                <c:pt idx="743">
                  <c:v>3.2349999999999999</c:v>
                </c:pt>
                <c:pt idx="744">
                  <c:v>3.2349999999999999</c:v>
                </c:pt>
                <c:pt idx="745">
                  <c:v>3.2349999999999999</c:v>
                </c:pt>
                <c:pt idx="746">
                  <c:v>3.2349999999999999</c:v>
                </c:pt>
                <c:pt idx="747">
                  <c:v>3.2349999999999999</c:v>
                </c:pt>
                <c:pt idx="748">
                  <c:v>3.2349999999999999</c:v>
                </c:pt>
                <c:pt idx="749">
                  <c:v>3.2349999999999999</c:v>
                </c:pt>
                <c:pt idx="750">
                  <c:v>3.2349999999999999</c:v>
                </c:pt>
                <c:pt idx="751">
                  <c:v>3.2349999999999999</c:v>
                </c:pt>
                <c:pt idx="752">
                  <c:v>3.2349999999999999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'Low rate'!$Q$2</c:f>
              <c:strCache>
                <c:ptCount val="1"/>
                <c:pt idx="0">
                  <c:v>PMMS</c:v>
                </c:pt>
              </c:strCache>
            </c:strRef>
          </c:tx>
          <c:marker>
            <c:symbol val="none"/>
          </c:marker>
          <c:cat>
            <c:numRef>
              <c:f>'Low rate'!$N$3:$O$755</c:f>
              <c:numCache>
                <c:formatCode>m/d/yyyy</c:formatCode>
                <c:ptCount val="753"/>
                <c:pt idx="0">
                  <c:v>36896</c:v>
                </c:pt>
                <c:pt idx="1">
                  <c:v>36903</c:v>
                </c:pt>
                <c:pt idx="2">
                  <c:v>36910</c:v>
                </c:pt>
                <c:pt idx="3">
                  <c:v>36917</c:v>
                </c:pt>
                <c:pt idx="4">
                  <c:v>36924</c:v>
                </c:pt>
                <c:pt idx="5">
                  <c:v>36931</c:v>
                </c:pt>
                <c:pt idx="6">
                  <c:v>36938</c:v>
                </c:pt>
                <c:pt idx="7">
                  <c:v>36945</c:v>
                </c:pt>
                <c:pt idx="8">
                  <c:v>36952</c:v>
                </c:pt>
                <c:pt idx="9">
                  <c:v>36959</c:v>
                </c:pt>
                <c:pt idx="10">
                  <c:v>36966</c:v>
                </c:pt>
                <c:pt idx="11">
                  <c:v>36973</c:v>
                </c:pt>
                <c:pt idx="12">
                  <c:v>36980</c:v>
                </c:pt>
                <c:pt idx="13">
                  <c:v>36987</c:v>
                </c:pt>
                <c:pt idx="14">
                  <c:v>36994</c:v>
                </c:pt>
                <c:pt idx="15">
                  <c:v>37001</c:v>
                </c:pt>
                <c:pt idx="16">
                  <c:v>37008</c:v>
                </c:pt>
                <c:pt idx="17">
                  <c:v>37015</c:v>
                </c:pt>
                <c:pt idx="18">
                  <c:v>37022</c:v>
                </c:pt>
                <c:pt idx="19">
                  <c:v>37029</c:v>
                </c:pt>
                <c:pt idx="20">
                  <c:v>37036</c:v>
                </c:pt>
                <c:pt idx="21">
                  <c:v>37043</c:v>
                </c:pt>
                <c:pt idx="22">
                  <c:v>37050</c:v>
                </c:pt>
                <c:pt idx="23">
                  <c:v>37057</c:v>
                </c:pt>
                <c:pt idx="24">
                  <c:v>37064</c:v>
                </c:pt>
                <c:pt idx="25">
                  <c:v>37071</c:v>
                </c:pt>
                <c:pt idx="26">
                  <c:v>37078</c:v>
                </c:pt>
                <c:pt idx="27">
                  <c:v>37085</c:v>
                </c:pt>
                <c:pt idx="28">
                  <c:v>37092</c:v>
                </c:pt>
                <c:pt idx="29">
                  <c:v>37099</c:v>
                </c:pt>
                <c:pt idx="30">
                  <c:v>37106</c:v>
                </c:pt>
                <c:pt idx="31">
                  <c:v>37113</c:v>
                </c:pt>
                <c:pt idx="32">
                  <c:v>37120</c:v>
                </c:pt>
                <c:pt idx="33">
                  <c:v>37127</c:v>
                </c:pt>
                <c:pt idx="34">
                  <c:v>37134</c:v>
                </c:pt>
                <c:pt idx="35">
                  <c:v>37141</c:v>
                </c:pt>
                <c:pt idx="36">
                  <c:v>37148</c:v>
                </c:pt>
                <c:pt idx="37">
                  <c:v>37155</c:v>
                </c:pt>
                <c:pt idx="38">
                  <c:v>37162</c:v>
                </c:pt>
                <c:pt idx="39">
                  <c:v>37169</c:v>
                </c:pt>
                <c:pt idx="40">
                  <c:v>37176</c:v>
                </c:pt>
                <c:pt idx="41">
                  <c:v>37183</c:v>
                </c:pt>
                <c:pt idx="42">
                  <c:v>37190</c:v>
                </c:pt>
                <c:pt idx="43">
                  <c:v>37197</c:v>
                </c:pt>
                <c:pt idx="44">
                  <c:v>37204</c:v>
                </c:pt>
                <c:pt idx="45">
                  <c:v>37211</c:v>
                </c:pt>
                <c:pt idx="46">
                  <c:v>37218</c:v>
                </c:pt>
                <c:pt idx="47">
                  <c:v>37225</c:v>
                </c:pt>
                <c:pt idx="48">
                  <c:v>37232</c:v>
                </c:pt>
                <c:pt idx="49">
                  <c:v>37239</c:v>
                </c:pt>
                <c:pt idx="50">
                  <c:v>37246</c:v>
                </c:pt>
                <c:pt idx="51">
                  <c:v>37253</c:v>
                </c:pt>
                <c:pt idx="52">
                  <c:v>37260</c:v>
                </c:pt>
                <c:pt idx="53">
                  <c:v>37267</c:v>
                </c:pt>
                <c:pt idx="54">
                  <c:v>37274</c:v>
                </c:pt>
                <c:pt idx="55">
                  <c:v>37281</c:v>
                </c:pt>
                <c:pt idx="56">
                  <c:v>37288</c:v>
                </c:pt>
                <c:pt idx="57">
                  <c:v>37295</c:v>
                </c:pt>
                <c:pt idx="58">
                  <c:v>37302</c:v>
                </c:pt>
                <c:pt idx="59">
                  <c:v>37309</c:v>
                </c:pt>
                <c:pt idx="60">
                  <c:v>37316</c:v>
                </c:pt>
                <c:pt idx="61">
                  <c:v>37323</c:v>
                </c:pt>
                <c:pt idx="62">
                  <c:v>37330</c:v>
                </c:pt>
                <c:pt idx="63">
                  <c:v>37337</c:v>
                </c:pt>
                <c:pt idx="64">
                  <c:v>37344</c:v>
                </c:pt>
                <c:pt idx="65">
                  <c:v>37351</c:v>
                </c:pt>
                <c:pt idx="66">
                  <c:v>37358</c:v>
                </c:pt>
                <c:pt idx="67">
                  <c:v>37365</c:v>
                </c:pt>
                <c:pt idx="68">
                  <c:v>37372</c:v>
                </c:pt>
                <c:pt idx="69">
                  <c:v>37379</c:v>
                </c:pt>
                <c:pt idx="70">
                  <c:v>37386</c:v>
                </c:pt>
                <c:pt idx="71">
                  <c:v>37393</c:v>
                </c:pt>
                <c:pt idx="72">
                  <c:v>37400</c:v>
                </c:pt>
                <c:pt idx="73">
                  <c:v>37407</c:v>
                </c:pt>
                <c:pt idx="74">
                  <c:v>37414</c:v>
                </c:pt>
                <c:pt idx="75">
                  <c:v>37421</c:v>
                </c:pt>
                <c:pt idx="76">
                  <c:v>37428</c:v>
                </c:pt>
                <c:pt idx="77">
                  <c:v>37435</c:v>
                </c:pt>
                <c:pt idx="78">
                  <c:v>37442</c:v>
                </c:pt>
                <c:pt idx="79">
                  <c:v>37449</c:v>
                </c:pt>
                <c:pt idx="80">
                  <c:v>37456</c:v>
                </c:pt>
                <c:pt idx="81">
                  <c:v>37463</c:v>
                </c:pt>
                <c:pt idx="82">
                  <c:v>37470</c:v>
                </c:pt>
                <c:pt idx="83">
                  <c:v>37477</c:v>
                </c:pt>
                <c:pt idx="84">
                  <c:v>37484</c:v>
                </c:pt>
                <c:pt idx="85">
                  <c:v>37491</c:v>
                </c:pt>
                <c:pt idx="86">
                  <c:v>37498</c:v>
                </c:pt>
                <c:pt idx="87">
                  <c:v>37505</c:v>
                </c:pt>
                <c:pt idx="88">
                  <c:v>37512</c:v>
                </c:pt>
                <c:pt idx="89">
                  <c:v>37519</c:v>
                </c:pt>
                <c:pt idx="90">
                  <c:v>37526</c:v>
                </c:pt>
                <c:pt idx="91">
                  <c:v>37533</c:v>
                </c:pt>
                <c:pt idx="92">
                  <c:v>37540</c:v>
                </c:pt>
                <c:pt idx="93">
                  <c:v>37547</c:v>
                </c:pt>
                <c:pt idx="94">
                  <c:v>37554</c:v>
                </c:pt>
                <c:pt idx="95">
                  <c:v>37561</c:v>
                </c:pt>
                <c:pt idx="96">
                  <c:v>37568</c:v>
                </c:pt>
                <c:pt idx="97">
                  <c:v>37575</c:v>
                </c:pt>
                <c:pt idx="98">
                  <c:v>37582</c:v>
                </c:pt>
                <c:pt idx="99">
                  <c:v>37589</c:v>
                </c:pt>
                <c:pt idx="100">
                  <c:v>37596</c:v>
                </c:pt>
                <c:pt idx="101">
                  <c:v>37603</c:v>
                </c:pt>
                <c:pt idx="102">
                  <c:v>37610</c:v>
                </c:pt>
                <c:pt idx="103">
                  <c:v>37617</c:v>
                </c:pt>
                <c:pt idx="104">
                  <c:v>37624</c:v>
                </c:pt>
                <c:pt idx="105">
                  <c:v>37631</c:v>
                </c:pt>
                <c:pt idx="106">
                  <c:v>37638</c:v>
                </c:pt>
                <c:pt idx="107">
                  <c:v>37645</c:v>
                </c:pt>
                <c:pt idx="108">
                  <c:v>37652</c:v>
                </c:pt>
                <c:pt idx="109">
                  <c:v>37659</c:v>
                </c:pt>
                <c:pt idx="110">
                  <c:v>37666</c:v>
                </c:pt>
                <c:pt idx="111">
                  <c:v>37673</c:v>
                </c:pt>
                <c:pt idx="112">
                  <c:v>37680</c:v>
                </c:pt>
                <c:pt idx="113">
                  <c:v>37687</c:v>
                </c:pt>
                <c:pt idx="114">
                  <c:v>37694</c:v>
                </c:pt>
                <c:pt idx="115">
                  <c:v>37701</c:v>
                </c:pt>
                <c:pt idx="116">
                  <c:v>37708</c:v>
                </c:pt>
                <c:pt idx="117">
                  <c:v>37715</c:v>
                </c:pt>
                <c:pt idx="118">
                  <c:v>37722</c:v>
                </c:pt>
                <c:pt idx="119">
                  <c:v>37729</c:v>
                </c:pt>
                <c:pt idx="120">
                  <c:v>37736</c:v>
                </c:pt>
                <c:pt idx="121">
                  <c:v>37743</c:v>
                </c:pt>
                <c:pt idx="122">
                  <c:v>37750</c:v>
                </c:pt>
                <c:pt idx="123">
                  <c:v>37757</c:v>
                </c:pt>
                <c:pt idx="124">
                  <c:v>37764</c:v>
                </c:pt>
                <c:pt idx="125">
                  <c:v>37771</c:v>
                </c:pt>
                <c:pt idx="126">
                  <c:v>37778</c:v>
                </c:pt>
                <c:pt idx="127">
                  <c:v>37785</c:v>
                </c:pt>
                <c:pt idx="128">
                  <c:v>37792</c:v>
                </c:pt>
                <c:pt idx="129">
                  <c:v>37799</c:v>
                </c:pt>
                <c:pt idx="130">
                  <c:v>37806</c:v>
                </c:pt>
                <c:pt idx="131">
                  <c:v>37813</c:v>
                </c:pt>
                <c:pt idx="132">
                  <c:v>37820</c:v>
                </c:pt>
                <c:pt idx="133">
                  <c:v>37827</c:v>
                </c:pt>
                <c:pt idx="134">
                  <c:v>37834</c:v>
                </c:pt>
                <c:pt idx="135">
                  <c:v>37841</c:v>
                </c:pt>
                <c:pt idx="136">
                  <c:v>37848</c:v>
                </c:pt>
                <c:pt idx="137">
                  <c:v>37855</c:v>
                </c:pt>
                <c:pt idx="138">
                  <c:v>37862</c:v>
                </c:pt>
                <c:pt idx="139">
                  <c:v>37869</c:v>
                </c:pt>
                <c:pt idx="140">
                  <c:v>37876</c:v>
                </c:pt>
                <c:pt idx="141">
                  <c:v>37883</c:v>
                </c:pt>
                <c:pt idx="142">
                  <c:v>37890</c:v>
                </c:pt>
                <c:pt idx="143">
                  <c:v>37897</c:v>
                </c:pt>
                <c:pt idx="144">
                  <c:v>37904</c:v>
                </c:pt>
                <c:pt idx="145">
                  <c:v>37911</c:v>
                </c:pt>
                <c:pt idx="146">
                  <c:v>37918</c:v>
                </c:pt>
                <c:pt idx="147">
                  <c:v>37925</c:v>
                </c:pt>
                <c:pt idx="148">
                  <c:v>37932</c:v>
                </c:pt>
                <c:pt idx="149">
                  <c:v>37939</c:v>
                </c:pt>
                <c:pt idx="150">
                  <c:v>37946</c:v>
                </c:pt>
                <c:pt idx="151">
                  <c:v>37953</c:v>
                </c:pt>
                <c:pt idx="152">
                  <c:v>37960</c:v>
                </c:pt>
                <c:pt idx="153">
                  <c:v>37967</c:v>
                </c:pt>
                <c:pt idx="154">
                  <c:v>37974</c:v>
                </c:pt>
                <c:pt idx="155">
                  <c:v>37981</c:v>
                </c:pt>
                <c:pt idx="156">
                  <c:v>37986</c:v>
                </c:pt>
                <c:pt idx="157">
                  <c:v>37994</c:v>
                </c:pt>
                <c:pt idx="158">
                  <c:v>38001</c:v>
                </c:pt>
                <c:pt idx="159">
                  <c:v>38008</c:v>
                </c:pt>
                <c:pt idx="160">
                  <c:v>38015</c:v>
                </c:pt>
                <c:pt idx="161">
                  <c:v>38022</c:v>
                </c:pt>
                <c:pt idx="162">
                  <c:v>38029</c:v>
                </c:pt>
                <c:pt idx="163">
                  <c:v>38036</c:v>
                </c:pt>
                <c:pt idx="164">
                  <c:v>38043</c:v>
                </c:pt>
                <c:pt idx="165">
                  <c:v>38050</c:v>
                </c:pt>
                <c:pt idx="166">
                  <c:v>38057</c:v>
                </c:pt>
                <c:pt idx="167">
                  <c:v>38064</c:v>
                </c:pt>
                <c:pt idx="168">
                  <c:v>38071</c:v>
                </c:pt>
                <c:pt idx="169">
                  <c:v>38078</c:v>
                </c:pt>
                <c:pt idx="170">
                  <c:v>38085</c:v>
                </c:pt>
                <c:pt idx="171">
                  <c:v>38092</c:v>
                </c:pt>
                <c:pt idx="172">
                  <c:v>38099</c:v>
                </c:pt>
                <c:pt idx="173">
                  <c:v>38106</c:v>
                </c:pt>
                <c:pt idx="174">
                  <c:v>38113</c:v>
                </c:pt>
                <c:pt idx="175">
                  <c:v>38120</c:v>
                </c:pt>
                <c:pt idx="176">
                  <c:v>38127</c:v>
                </c:pt>
                <c:pt idx="177">
                  <c:v>38134</c:v>
                </c:pt>
                <c:pt idx="178">
                  <c:v>38141</c:v>
                </c:pt>
                <c:pt idx="179">
                  <c:v>38148</c:v>
                </c:pt>
                <c:pt idx="180">
                  <c:v>38155</c:v>
                </c:pt>
                <c:pt idx="181">
                  <c:v>38162</c:v>
                </c:pt>
                <c:pt idx="182">
                  <c:v>38169</c:v>
                </c:pt>
                <c:pt idx="183">
                  <c:v>38176</c:v>
                </c:pt>
                <c:pt idx="184">
                  <c:v>38183</c:v>
                </c:pt>
                <c:pt idx="185">
                  <c:v>38190</c:v>
                </c:pt>
                <c:pt idx="186">
                  <c:v>38197</c:v>
                </c:pt>
                <c:pt idx="187">
                  <c:v>38204</c:v>
                </c:pt>
                <c:pt idx="188">
                  <c:v>38211</c:v>
                </c:pt>
                <c:pt idx="189">
                  <c:v>38218</c:v>
                </c:pt>
                <c:pt idx="190">
                  <c:v>38225</c:v>
                </c:pt>
                <c:pt idx="191">
                  <c:v>38232</c:v>
                </c:pt>
                <c:pt idx="192">
                  <c:v>38239</c:v>
                </c:pt>
                <c:pt idx="193">
                  <c:v>38246</c:v>
                </c:pt>
                <c:pt idx="194">
                  <c:v>38253</c:v>
                </c:pt>
                <c:pt idx="195">
                  <c:v>38260</c:v>
                </c:pt>
                <c:pt idx="196">
                  <c:v>38267</c:v>
                </c:pt>
                <c:pt idx="197">
                  <c:v>38274</c:v>
                </c:pt>
                <c:pt idx="198">
                  <c:v>38281</c:v>
                </c:pt>
                <c:pt idx="199">
                  <c:v>38288</c:v>
                </c:pt>
                <c:pt idx="200">
                  <c:v>38295</c:v>
                </c:pt>
                <c:pt idx="201">
                  <c:v>38302</c:v>
                </c:pt>
                <c:pt idx="202">
                  <c:v>38309</c:v>
                </c:pt>
                <c:pt idx="203">
                  <c:v>38315</c:v>
                </c:pt>
                <c:pt idx="204">
                  <c:v>38323</c:v>
                </c:pt>
                <c:pt idx="205">
                  <c:v>38330</c:v>
                </c:pt>
                <c:pt idx="206">
                  <c:v>38337</c:v>
                </c:pt>
                <c:pt idx="207">
                  <c:v>38343</c:v>
                </c:pt>
                <c:pt idx="208">
                  <c:v>38350</c:v>
                </c:pt>
                <c:pt idx="209">
                  <c:v>38358</c:v>
                </c:pt>
                <c:pt idx="210">
                  <c:v>38365</c:v>
                </c:pt>
                <c:pt idx="211">
                  <c:v>38372</c:v>
                </c:pt>
                <c:pt idx="212">
                  <c:v>38379</c:v>
                </c:pt>
                <c:pt idx="213">
                  <c:v>38386</c:v>
                </c:pt>
                <c:pt idx="214">
                  <c:v>38393</c:v>
                </c:pt>
                <c:pt idx="215">
                  <c:v>38400</c:v>
                </c:pt>
                <c:pt idx="216">
                  <c:v>38407</c:v>
                </c:pt>
                <c:pt idx="217">
                  <c:v>38414</c:v>
                </c:pt>
                <c:pt idx="218">
                  <c:v>38421</c:v>
                </c:pt>
                <c:pt idx="219">
                  <c:v>38428</c:v>
                </c:pt>
                <c:pt idx="220">
                  <c:v>38435</c:v>
                </c:pt>
                <c:pt idx="221">
                  <c:v>38442</c:v>
                </c:pt>
                <c:pt idx="222">
                  <c:v>38449</c:v>
                </c:pt>
                <c:pt idx="223">
                  <c:v>38456</c:v>
                </c:pt>
                <c:pt idx="224">
                  <c:v>38463</c:v>
                </c:pt>
                <c:pt idx="225">
                  <c:v>38470</c:v>
                </c:pt>
                <c:pt idx="226">
                  <c:v>38477</c:v>
                </c:pt>
                <c:pt idx="227">
                  <c:v>38484</c:v>
                </c:pt>
                <c:pt idx="228">
                  <c:v>38491</c:v>
                </c:pt>
                <c:pt idx="229">
                  <c:v>38498</c:v>
                </c:pt>
                <c:pt idx="230">
                  <c:v>38505</c:v>
                </c:pt>
                <c:pt idx="231">
                  <c:v>38512</c:v>
                </c:pt>
                <c:pt idx="232">
                  <c:v>38519</c:v>
                </c:pt>
                <c:pt idx="233">
                  <c:v>38526</c:v>
                </c:pt>
                <c:pt idx="234">
                  <c:v>38533</c:v>
                </c:pt>
                <c:pt idx="235">
                  <c:v>38540</c:v>
                </c:pt>
                <c:pt idx="236">
                  <c:v>38547</c:v>
                </c:pt>
                <c:pt idx="237">
                  <c:v>38554</c:v>
                </c:pt>
                <c:pt idx="238">
                  <c:v>38561</c:v>
                </c:pt>
                <c:pt idx="239">
                  <c:v>38568</c:v>
                </c:pt>
                <c:pt idx="240">
                  <c:v>38575</c:v>
                </c:pt>
                <c:pt idx="241">
                  <c:v>38582</c:v>
                </c:pt>
                <c:pt idx="242">
                  <c:v>38589</c:v>
                </c:pt>
                <c:pt idx="243">
                  <c:v>38596</c:v>
                </c:pt>
                <c:pt idx="244">
                  <c:v>38603</c:v>
                </c:pt>
                <c:pt idx="245">
                  <c:v>38610</c:v>
                </c:pt>
                <c:pt idx="246">
                  <c:v>38617</c:v>
                </c:pt>
                <c:pt idx="247">
                  <c:v>38624</c:v>
                </c:pt>
                <c:pt idx="248">
                  <c:v>38631</c:v>
                </c:pt>
                <c:pt idx="249">
                  <c:v>38638</c:v>
                </c:pt>
                <c:pt idx="250">
                  <c:v>38645</c:v>
                </c:pt>
                <c:pt idx="251">
                  <c:v>38652</c:v>
                </c:pt>
                <c:pt idx="252">
                  <c:v>38659</c:v>
                </c:pt>
                <c:pt idx="253">
                  <c:v>38666</c:v>
                </c:pt>
                <c:pt idx="254">
                  <c:v>38673</c:v>
                </c:pt>
                <c:pt idx="255">
                  <c:v>38679</c:v>
                </c:pt>
                <c:pt idx="256">
                  <c:v>38687</c:v>
                </c:pt>
                <c:pt idx="257">
                  <c:v>38694</c:v>
                </c:pt>
                <c:pt idx="258">
                  <c:v>38701</c:v>
                </c:pt>
                <c:pt idx="259">
                  <c:v>38708</c:v>
                </c:pt>
                <c:pt idx="260">
                  <c:v>38715</c:v>
                </c:pt>
                <c:pt idx="261">
                  <c:v>38722</c:v>
                </c:pt>
                <c:pt idx="262">
                  <c:v>38729</c:v>
                </c:pt>
                <c:pt idx="263">
                  <c:v>38736</c:v>
                </c:pt>
                <c:pt idx="264">
                  <c:v>38743</c:v>
                </c:pt>
                <c:pt idx="265">
                  <c:v>38750</c:v>
                </c:pt>
                <c:pt idx="266">
                  <c:v>38757</c:v>
                </c:pt>
                <c:pt idx="267">
                  <c:v>38764</c:v>
                </c:pt>
                <c:pt idx="268">
                  <c:v>38771</c:v>
                </c:pt>
                <c:pt idx="269">
                  <c:v>38778</c:v>
                </c:pt>
                <c:pt idx="270">
                  <c:v>38785</c:v>
                </c:pt>
                <c:pt idx="271">
                  <c:v>38792</c:v>
                </c:pt>
                <c:pt idx="272">
                  <c:v>38799</c:v>
                </c:pt>
                <c:pt idx="273">
                  <c:v>38806</c:v>
                </c:pt>
                <c:pt idx="274">
                  <c:v>38813</c:v>
                </c:pt>
                <c:pt idx="275">
                  <c:v>38820</c:v>
                </c:pt>
                <c:pt idx="276">
                  <c:v>38827</c:v>
                </c:pt>
                <c:pt idx="277">
                  <c:v>38834</c:v>
                </c:pt>
                <c:pt idx="278">
                  <c:v>38841</c:v>
                </c:pt>
                <c:pt idx="279">
                  <c:v>38848</c:v>
                </c:pt>
                <c:pt idx="280">
                  <c:v>38855</c:v>
                </c:pt>
                <c:pt idx="281">
                  <c:v>38862</c:v>
                </c:pt>
                <c:pt idx="282">
                  <c:v>38869</c:v>
                </c:pt>
                <c:pt idx="283">
                  <c:v>38876</c:v>
                </c:pt>
                <c:pt idx="284">
                  <c:v>38883</c:v>
                </c:pt>
                <c:pt idx="285">
                  <c:v>38890</c:v>
                </c:pt>
                <c:pt idx="286">
                  <c:v>38897</c:v>
                </c:pt>
                <c:pt idx="287">
                  <c:v>38904</c:v>
                </c:pt>
                <c:pt idx="288">
                  <c:v>38911</c:v>
                </c:pt>
                <c:pt idx="289">
                  <c:v>38918</c:v>
                </c:pt>
                <c:pt idx="290">
                  <c:v>38925</c:v>
                </c:pt>
                <c:pt idx="291">
                  <c:v>38932</c:v>
                </c:pt>
                <c:pt idx="292">
                  <c:v>38939</c:v>
                </c:pt>
                <c:pt idx="293">
                  <c:v>38946</c:v>
                </c:pt>
                <c:pt idx="294">
                  <c:v>38953</c:v>
                </c:pt>
                <c:pt idx="295">
                  <c:v>38960</c:v>
                </c:pt>
                <c:pt idx="296">
                  <c:v>38967</c:v>
                </c:pt>
                <c:pt idx="297">
                  <c:v>38974</c:v>
                </c:pt>
                <c:pt idx="298">
                  <c:v>38981</c:v>
                </c:pt>
                <c:pt idx="299">
                  <c:v>38988</c:v>
                </c:pt>
                <c:pt idx="300">
                  <c:v>38995</c:v>
                </c:pt>
                <c:pt idx="301">
                  <c:v>39002</c:v>
                </c:pt>
                <c:pt idx="302">
                  <c:v>39009</c:v>
                </c:pt>
                <c:pt idx="303">
                  <c:v>39016</c:v>
                </c:pt>
                <c:pt idx="304">
                  <c:v>39023</c:v>
                </c:pt>
                <c:pt idx="305">
                  <c:v>39030</c:v>
                </c:pt>
                <c:pt idx="306">
                  <c:v>39037</c:v>
                </c:pt>
                <c:pt idx="307">
                  <c:v>39043</c:v>
                </c:pt>
                <c:pt idx="308">
                  <c:v>39051</c:v>
                </c:pt>
                <c:pt idx="309">
                  <c:v>39058</c:v>
                </c:pt>
                <c:pt idx="310">
                  <c:v>39065</c:v>
                </c:pt>
                <c:pt idx="311">
                  <c:v>39072</c:v>
                </c:pt>
                <c:pt idx="312">
                  <c:v>39079</c:v>
                </c:pt>
                <c:pt idx="313">
                  <c:v>39086</c:v>
                </c:pt>
                <c:pt idx="314">
                  <c:v>39093</c:v>
                </c:pt>
                <c:pt idx="315">
                  <c:v>39100</c:v>
                </c:pt>
                <c:pt idx="316">
                  <c:v>39107</c:v>
                </c:pt>
                <c:pt idx="317">
                  <c:v>39114</c:v>
                </c:pt>
                <c:pt idx="318">
                  <c:v>39121</c:v>
                </c:pt>
                <c:pt idx="319">
                  <c:v>39128</c:v>
                </c:pt>
                <c:pt idx="320">
                  <c:v>39135</c:v>
                </c:pt>
                <c:pt idx="321">
                  <c:v>39142</c:v>
                </c:pt>
                <c:pt idx="322">
                  <c:v>39149</c:v>
                </c:pt>
                <c:pt idx="323">
                  <c:v>39156</c:v>
                </c:pt>
                <c:pt idx="324">
                  <c:v>39163</c:v>
                </c:pt>
                <c:pt idx="325">
                  <c:v>39170</c:v>
                </c:pt>
                <c:pt idx="326">
                  <c:v>39177</c:v>
                </c:pt>
                <c:pt idx="327">
                  <c:v>39184</c:v>
                </c:pt>
                <c:pt idx="328">
                  <c:v>39191</c:v>
                </c:pt>
                <c:pt idx="329">
                  <c:v>39198</c:v>
                </c:pt>
                <c:pt idx="330">
                  <c:v>39205</c:v>
                </c:pt>
                <c:pt idx="331">
                  <c:v>39212</c:v>
                </c:pt>
                <c:pt idx="332">
                  <c:v>39219</c:v>
                </c:pt>
                <c:pt idx="333">
                  <c:v>39226</c:v>
                </c:pt>
                <c:pt idx="334">
                  <c:v>39233</c:v>
                </c:pt>
                <c:pt idx="335">
                  <c:v>39240</c:v>
                </c:pt>
                <c:pt idx="336">
                  <c:v>39247</c:v>
                </c:pt>
                <c:pt idx="337">
                  <c:v>39254</c:v>
                </c:pt>
                <c:pt idx="338">
                  <c:v>39261</c:v>
                </c:pt>
                <c:pt idx="339">
                  <c:v>39268</c:v>
                </c:pt>
                <c:pt idx="340">
                  <c:v>39275</c:v>
                </c:pt>
                <c:pt idx="341">
                  <c:v>39282</c:v>
                </c:pt>
                <c:pt idx="342">
                  <c:v>39289</c:v>
                </c:pt>
                <c:pt idx="343">
                  <c:v>39296</c:v>
                </c:pt>
                <c:pt idx="344">
                  <c:v>39303</c:v>
                </c:pt>
                <c:pt idx="345">
                  <c:v>39310</c:v>
                </c:pt>
                <c:pt idx="346">
                  <c:v>39317</c:v>
                </c:pt>
                <c:pt idx="347">
                  <c:v>39324</c:v>
                </c:pt>
                <c:pt idx="348">
                  <c:v>39331</c:v>
                </c:pt>
                <c:pt idx="349">
                  <c:v>39338</c:v>
                </c:pt>
                <c:pt idx="350">
                  <c:v>39345</c:v>
                </c:pt>
                <c:pt idx="351">
                  <c:v>39352</c:v>
                </c:pt>
                <c:pt idx="352">
                  <c:v>39359</c:v>
                </c:pt>
                <c:pt idx="353">
                  <c:v>39366</c:v>
                </c:pt>
                <c:pt idx="354">
                  <c:v>39373</c:v>
                </c:pt>
                <c:pt idx="355">
                  <c:v>39380</c:v>
                </c:pt>
                <c:pt idx="356">
                  <c:v>39387</c:v>
                </c:pt>
                <c:pt idx="357">
                  <c:v>39394</c:v>
                </c:pt>
                <c:pt idx="358">
                  <c:v>39401</c:v>
                </c:pt>
                <c:pt idx="359">
                  <c:v>39407</c:v>
                </c:pt>
                <c:pt idx="360">
                  <c:v>39415</c:v>
                </c:pt>
                <c:pt idx="361">
                  <c:v>39422</c:v>
                </c:pt>
                <c:pt idx="362">
                  <c:v>39429</c:v>
                </c:pt>
                <c:pt idx="363">
                  <c:v>39436</c:v>
                </c:pt>
                <c:pt idx="364">
                  <c:v>39443</c:v>
                </c:pt>
                <c:pt idx="365">
                  <c:v>39450</c:v>
                </c:pt>
                <c:pt idx="366">
                  <c:v>39457</c:v>
                </c:pt>
                <c:pt idx="367">
                  <c:v>39464</c:v>
                </c:pt>
                <c:pt idx="368">
                  <c:v>39471</c:v>
                </c:pt>
                <c:pt idx="369">
                  <c:v>39478</c:v>
                </c:pt>
                <c:pt idx="370">
                  <c:v>39485</c:v>
                </c:pt>
                <c:pt idx="371">
                  <c:v>39492</c:v>
                </c:pt>
                <c:pt idx="372">
                  <c:v>39499</c:v>
                </c:pt>
                <c:pt idx="373">
                  <c:v>39506</c:v>
                </c:pt>
                <c:pt idx="374">
                  <c:v>39513</c:v>
                </c:pt>
                <c:pt idx="375">
                  <c:v>39520</c:v>
                </c:pt>
                <c:pt idx="376">
                  <c:v>39527</c:v>
                </c:pt>
                <c:pt idx="377">
                  <c:v>39534</c:v>
                </c:pt>
                <c:pt idx="378">
                  <c:v>39541</c:v>
                </c:pt>
                <c:pt idx="379">
                  <c:v>39548</c:v>
                </c:pt>
                <c:pt idx="380">
                  <c:v>39555</c:v>
                </c:pt>
                <c:pt idx="381">
                  <c:v>39562</c:v>
                </c:pt>
                <c:pt idx="382">
                  <c:v>39569</c:v>
                </c:pt>
                <c:pt idx="383">
                  <c:v>39576</c:v>
                </c:pt>
                <c:pt idx="384">
                  <c:v>39583</c:v>
                </c:pt>
                <c:pt idx="385">
                  <c:v>39590</c:v>
                </c:pt>
                <c:pt idx="386">
                  <c:v>39597</c:v>
                </c:pt>
                <c:pt idx="387">
                  <c:v>39604</c:v>
                </c:pt>
                <c:pt idx="388">
                  <c:v>39611</c:v>
                </c:pt>
                <c:pt idx="389">
                  <c:v>39618</c:v>
                </c:pt>
                <c:pt idx="390">
                  <c:v>39625</c:v>
                </c:pt>
                <c:pt idx="391">
                  <c:v>39632</c:v>
                </c:pt>
                <c:pt idx="392">
                  <c:v>39639</c:v>
                </c:pt>
                <c:pt idx="393">
                  <c:v>39646</c:v>
                </c:pt>
                <c:pt idx="394">
                  <c:v>39653</c:v>
                </c:pt>
                <c:pt idx="395">
                  <c:v>39660</c:v>
                </c:pt>
                <c:pt idx="396">
                  <c:v>39667</c:v>
                </c:pt>
                <c:pt idx="397">
                  <c:v>39674</c:v>
                </c:pt>
                <c:pt idx="398">
                  <c:v>39681</c:v>
                </c:pt>
                <c:pt idx="399">
                  <c:v>39688</c:v>
                </c:pt>
                <c:pt idx="400">
                  <c:v>39695</c:v>
                </c:pt>
                <c:pt idx="401">
                  <c:v>39702</c:v>
                </c:pt>
                <c:pt idx="402">
                  <c:v>39709</c:v>
                </c:pt>
                <c:pt idx="403">
                  <c:v>39716</c:v>
                </c:pt>
                <c:pt idx="404">
                  <c:v>39723</c:v>
                </c:pt>
                <c:pt idx="405">
                  <c:v>39730</c:v>
                </c:pt>
                <c:pt idx="406">
                  <c:v>39737</c:v>
                </c:pt>
                <c:pt idx="407">
                  <c:v>39744</c:v>
                </c:pt>
                <c:pt idx="408">
                  <c:v>39751</c:v>
                </c:pt>
                <c:pt idx="409">
                  <c:v>39758</c:v>
                </c:pt>
                <c:pt idx="410">
                  <c:v>39765</c:v>
                </c:pt>
                <c:pt idx="411">
                  <c:v>39772</c:v>
                </c:pt>
                <c:pt idx="412">
                  <c:v>39778</c:v>
                </c:pt>
                <c:pt idx="413">
                  <c:v>39786</c:v>
                </c:pt>
                <c:pt idx="414">
                  <c:v>39793</c:v>
                </c:pt>
                <c:pt idx="415">
                  <c:v>39800</c:v>
                </c:pt>
                <c:pt idx="416">
                  <c:v>39806</c:v>
                </c:pt>
                <c:pt idx="417">
                  <c:v>39813</c:v>
                </c:pt>
                <c:pt idx="418">
                  <c:v>39821</c:v>
                </c:pt>
                <c:pt idx="419">
                  <c:v>39828</c:v>
                </c:pt>
                <c:pt idx="420">
                  <c:v>39835</c:v>
                </c:pt>
                <c:pt idx="421">
                  <c:v>39842</c:v>
                </c:pt>
                <c:pt idx="422">
                  <c:v>39849</c:v>
                </c:pt>
                <c:pt idx="423">
                  <c:v>39856</c:v>
                </c:pt>
                <c:pt idx="424">
                  <c:v>39863</c:v>
                </c:pt>
                <c:pt idx="425">
                  <c:v>39870</c:v>
                </c:pt>
                <c:pt idx="426">
                  <c:v>39877</c:v>
                </c:pt>
                <c:pt idx="427">
                  <c:v>39884</c:v>
                </c:pt>
                <c:pt idx="428">
                  <c:v>39891</c:v>
                </c:pt>
                <c:pt idx="429">
                  <c:v>39898</c:v>
                </c:pt>
                <c:pt idx="430">
                  <c:v>39905</c:v>
                </c:pt>
                <c:pt idx="431">
                  <c:v>39912</c:v>
                </c:pt>
                <c:pt idx="432">
                  <c:v>39919</c:v>
                </c:pt>
                <c:pt idx="433">
                  <c:v>39926</c:v>
                </c:pt>
                <c:pt idx="434">
                  <c:v>39933</c:v>
                </c:pt>
                <c:pt idx="435">
                  <c:v>39940</c:v>
                </c:pt>
                <c:pt idx="436">
                  <c:v>39947</c:v>
                </c:pt>
                <c:pt idx="437">
                  <c:v>39954</c:v>
                </c:pt>
                <c:pt idx="438">
                  <c:v>39961</c:v>
                </c:pt>
                <c:pt idx="439">
                  <c:v>39968</c:v>
                </c:pt>
                <c:pt idx="440">
                  <c:v>39975</c:v>
                </c:pt>
                <c:pt idx="441">
                  <c:v>39982</c:v>
                </c:pt>
                <c:pt idx="442">
                  <c:v>39989</c:v>
                </c:pt>
                <c:pt idx="443">
                  <c:v>39996</c:v>
                </c:pt>
                <c:pt idx="444">
                  <c:v>40003</c:v>
                </c:pt>
                <c:pt idx="445">
                  <c:v>40010</c:v>
                </c:pt>
                <c:pt idx="446">
                  <c:v>40017</c:v>
                </c:pt>
                <c:pt idx="447">
                  <c:v>40024</c:v>
                </c:pt>
                <c:pt idx="448">
                  <c:v>40031</c:v>
                </c:pt>
                <c:pt idx="449">
                  <c:v>40038</c:v>
                </c:pt>
                <c:pt idx="450">
                  <c:v>40045</c:v>
                </c:pt>
                <c:pt idx="451">
                  <c:v>40052</c:v>
                </c:pt>
                <c:pt idx="452">
                  <c:v>40059</c:v>
                </c:pt>
                <c:pt idx="453">
                  <c:v>40066</c:v>
                </c:pt>
                <c:pt idx="454">
                  <c:v>40073</c:v>
                </c:pt>
                <c:pt idx="455">
                  <c:v>40080</c:v>
                </c:pt>
                <c:pt idx="456">
                  <c:v>40087</c:v>
                </c:pt>
                <c:pt idx="457">
                  <c:v>40094</c:v>
                </c:pt>
                <c:pt idx="458">
                  <c:v>40101</c:v>
                </c:pt>
                <c:pt idx="459">
                  <c:v>40108</c:v>
                </c:pt>
                <c:pt idx="460">
                  <c:v>40115</c:v>
                </c:pt>
                <c:pt idx="461">
                  <c:v>40122</c:v>
                </c:pt>
                <c:pt idx="462">
                  <c:v>40129</c:v>
                </c:pt>
                <c:pt idx="463">
                  <c:v>40136</c:v>
                </c:pt>
                <c:pt idx="464">
                  <c:v>40142</c:v>
                </c:pt>
                <c:pt idx="465">
                  <c:v>40150</c:v>
                </c:pt>
                <c:pt idx="466">
                  <c:v>40157</c:v>
                </c:pt>
                <c:pt idx="467">
                  <c:v>40164</c:v>
                </c:pt>
                <c:pt idx="468">
                  <c:v>40171</c:v>
                </c:pt>
                <c:pt idx="469">
                  <c:v>40178</c:v>
                </c:pt>
                <c:pt idx="470">
                  <c:v>40185</c:v>
                </c:pt>
                <c:pt idx="471">
                  <c:v>40192</c:v>
                </c:pt>
                <c:pt idx="472">
                  <c:v>40199</c:v>
                </c:pt>
                <c:pt idx="473">
                  <c:v>40206</c:v>
                </c:pt>
                <c:pt idx="474">
                  <c:v>40213</c:v>
                </c:pt>
                <c:pt idx="475">
                  <c:v>40220</c:v>
                </c:pt>
                <c:pt idx="476">
                  <c:v>40227</c:v>
                </c:pt>
                <c:pt idx="477">
                  <c:v>40234</c:v>
                </c:pt>
                <c:pt idx="478">
                  <c:v>40241</c:v>
                </c:pt>
                <c:pt idx="479">
                  <c:v>40248</c:v>
                </c:pt>
                <c:pt idx="480">
                  <c:v>40255</c:v>
                </c:pt>
                <c:pt idx="481">
                  <c:v>40262</c:v>
                </c:pt>
                <c:pt idx="482">
                  <c:v>40269</c:v>
                </c:pt>
                <c:pt idx="483">
                  <c:v>40276</c:v>
                </c:pt>
                <c:pt idx="484">
                  <c:v>40283</c:v>
                </c:pt>
                <c:pt idx="485">
                  <c:v>40290</c:v>
                </c:pt>
                <c:pt idx="486">
                  <c:v>40297</c:v>
                </c:pt>
                <c:pt idx="487">
                  <c:v>40304</c:v>
                </c:pt>
                <c:pt idx="488">
                  <c:v>40311</c:v>
                </c:pt>
                <c:pt idx="489">
                  <c:v>40318</c:v>
                </c:pt>
                <c:pt idx="490">
                  <c:v>40325</c:v>
                </c:pt>
                <c:pt idx="491">
                  <c:v>40332</c:v>
                </c:pt>
                <c:pt idx="492">
                  <c:v>40339</c:v>
                </c:pt>
                <c:pt idx="493">
                  <c:v>40346</c:v>
                </c:pt>
                <c:pt idx="494">
                  <c:v>40353</c:v>
                </c:pt>
                <c:pt idx="495">
                  <c:v>40360</c:v>
                </c:pt>
                <c:pt idx="496">
                  <c:v>40367</c:v>
                </c:pt>
                <c:pt idx="497">
                  <c:v>40374</c:v>
                </c:pt>
                <c:pt idx="498">
                  <c:v>40381</c:v>
                </c:pt>
                <c:pt idx="499">
                  <c:v>40388</c:v>
                </c:pt>
                <c:pt idx="500">
                  <c:v>40395</c:v>
                </c:pt>
                <c:pt idx="501">
                  <c:v>40402</c:v>
                </c:pt>
                <c:pt idx="502">
                  <c:v>40409</c:v>
                </c:pt>
                <c:pt idx="503">
                  <c:v>40416</c:v>
                </c:pt>
                <c:pt idx="504">
                  <c:v>40423</c:v>
                </c:pt>
                <c:pt idx="505">
                  <c:v>40430</c:v>
                </c:pt>
                <c:pt idx="506">
                  <c:v>40437</c:v>
                </c:pt>
                <c:pt idx="507">
                  <c:v>40444</c:v>
                </c:pt>
                <c:pt idx="508">
                  <c:v>40451</c:v>
                </c:pt>
                <c:pt idx="509">
                  <c:v>40458</c:v>
                </c:pt>
                <c:pt idx="510">
                  <c:v>40465</c:v>
                </c:pt>
                <c:pt idx="511">
                  <c:v>40472</c:v>
                </c:pt>
                <c:pt idx="512">
                  <c:v>40479</c:v>
                </c:pt>
                <c:pt idx="513">
                  <c:v>40486</c:v>
                </c:pt>
                <c:pt idx="514">
                  <c:v>40493</c:v>
                </c:pt>
                <c:pt idx="515">
                  <c:v>40500</c:v>
                </c:pt>
                <c:pt idx="516">
                  <c:v>40506</c:v>
                </c:pt>
                <c:pt idx="517">
                  <c:v>40514</c:v>
                </c:pt>
                <c:pt idx="518">
                  <c:v>40521</c:v>
                </c:pt>
                <c:pt idx="519">
                  <c:v>40528</c:v>
                </c:pt>
                <c:pt idx="520">
                  <c:v>40535</c:v>
                </c:pt>
                <c:pt idx="521">
                  <c:v>40542</c:v>
                </c:pt>
                <c:pt idx="522">
                  <c:v>40549</c:v>
                </c:pt>
                <c:pt idx="523">
                  <c:v>40556</c:v>
                </c:pt>
                <c:pt idx="524">
                  <c:v>40563</c:v>
                </c:pt>
                <c:pt idx="525">
                  <c:v>40570</c:v>
                </c:pt>
                <c:pt idx="526">
                  <c:v>40577</c:v>
                </c:pt>
                <c:pt idx="527">
                  <c:v>40584</c:v>
                </c:pt>
                <c:pt idx="528">
                  <c:v>40591</c:v>
                </c:pt>
                <c:pt idx="529">
                  <c:v>40598</c:v>
                </c:pt>
                <c:pt idx="530">
                  <c:v>40605</c:v>
                </c:pt>
                <c:pt idx="531">
                  <c:v>40612</c:v>
                </c:pt>
                <c:pt idx="532">
                  <c:v>40619</c:v>
                </c:pt>
                <c:pt idx="533">
                  <c:v>40626</c:v>
                </c:pt>
                <c:pt idx="534">
                  <c:v>40633</c:v>
                </c:pt>
                <c:pt idx="535">
                  <c:v>40640</c:v>
                </c:pt>
                <c:pt idx="536">
                  <c:v>40647</c:v>
                </c:pt>
                <c:pt idx="537">
                  <c:v>40654</c:v>
                </c:pt>
                <c:pt idx="538">
                  <c:v>40661</c:v>
                </c:pt>
                <c:pt idx="539">
                  <c:v>40668</c:v>
                </c:pt>
                <c:pt idx="540">
                  <c:v>40675</c:v>
                </c:pt>
                <c:pt idx="541">
                  <c:v>40682</c:v>
                </c:pt>
                <c:pt idx="542">
                  <c:v>40689</c:v>
                </c:pt>
                <c:pt idx="543">
                  <c:v>40696</c:v>
                </c:pt>
                <c:pt idx="544">
                  <c:v>40703</c:v>
                </c:pt>
                <c:pt idx="545">
                  <c:v>40710</c:v>
                </c:pt>
                <c:pt idx="546">
                  <c:v>40717</c:v>
                </c:pt>
                <c:pt idx="547">
                  <c:v>40724</c:v>
                </c:pt>
                <c:pt idx="548">
                  <c:v>40731</c:v>
                </c:pt>
                <c:pt idx="549">
                  <c:v>40738</c:v>
                </c:pt>
                <c:pt idx="550">
                  <c:v>40745</c:v>
                </c:pt>
                <c:pt idx="551">
                  <c:v>40752</c:v>
                </c:pt>
                <c:pt idx="552">
                  <c:v>40759</c:v>
                </c:pt>
                <c:pt idx="553">
                  <c:v>40766</c:v>
                </c:pt>
                <c:pt idx="554">
                  <c:v>40773</c:v>
                </c:pt>
                <c:pt idx="555">
                  <c:v>40780</c:v>
                </c:pt>
                <c:pt idx="556">
                  <c:v>40787</c:v>
                </c:pt>
                <c:pt idx="557">
                  <c:v>40794</c:v>
                </c:pt>
                <c:pt idx="558">
                  <c:v>40801</c:v>
                </c:pt>
                <c:pt idx="559">
                  <c:v>40808</c:v>
                </c:pt>
                <c:pt idx="560">
                  <c:v>40815</c:v>
                </c:pt>
                <c:pt idx="561">
                  <c:v>40822</c:v>
                </c:pt>
                <c:pt idx="562">
                  <c:v>40829</c:v>
                </c:pt>
                <c:pt idx="563">
                  <c:v>40836</c:v>
                </c:pt>
                <c:pt idx="564">
                  <c:v>40843</c:v>
                </c:pt>
                <c:pt idx="565">
                  <c:v>40850</c:v>
                </c:pt>
                <c:pt idx="566">
                  <c:v>40857</c:v>
                </c:pt>
                <c:pt idx="567">
                  <c:v>40864</c:v>
                </c:pt>
                <c:pt idx="568">
                  <c:v>40870</c:v>
                </c:pt>
                <c:pt idx="569">
                  <c:v>40878</c:v>
                </c:pt>
                <c:pt idx="570">
                  <c:v>40885</c:v>
                </c:pt>
                <c:pt idx="571">
                  <c:v>40892</c:v>
                </c:pt>
                <c:pt idx="572">
                  <c:v>40899</c:v>
                </c:pt>
                <c:pt idx="573">
                  <c:v>40906</c:v>
                </c:pt>
                <c:pt idx="574">
                  <c:v>40913</c:v>
                </c:pt>
                <c:pt idx="575">
                  <c:v>40920</c:v>
                </c:pt>
                <c:pt idx="576">
                  <c:v>40927</c:v>
                </c:pt>
                <c:pt idx="577">
                  <c:v>40934</c:v>
                </c:pt>
                <c:pt idx="578">
                  <c:v>40941</c:v>
                </c:pt>
                <c:pt idx="579">
                  <c:v>40948</c:v>
                </c:pt>
                <c:pt idx="580">
                  <c:v>40955</c:v>
                </c:pt>
                <c:pt idx="581">
                  <c:v>40962</c:v>
                </c:pt>
                <c:pt idx="582">
                  <c:v>40969</c:v>
                </c:pt>
                <c:pt idx="583">
                  <c:v>40976</c:v>
                </c:pt>
                <c:pt idx="584">
                  <c:v>40983</c:v>
                </c:pt>
                <c:pt idx="585">
                  <c:v>40990</c:v>
                </c:pt>
                <c:pt idx="586">
                  <c:v>40997</c:v>
                </c:pt>
                <c:pt idx="587">
                  <c:v>41004</c:v>
                </c:pt>
                <c:pt idx="588">
                  <c:v>41011</c:v>
                </c:pt>
                <c:pt idx="589">
                  <c:v>41018</c:v>
                </c:pt>
                <c:pt idx="590">
                  <c:v>41025</c:v>
                </c:pt>
                <c:pt idx="591">
                  <c:v>41032</c:v>
                </c:pt>
                <c:pt idx="592">
                  <c:v>41039</c:v>
                </c:pt>
                <c:pt idx="593">
                  <c:v>41046</c:v>
                </c:pt>
                <c:pt idx="594">
                  <c:v>41053</c:v>
                </c:pt>
                <c:pt idx="595">
                  <c:v>41060</c:v>
                </c:pt>
                <c:pt idx="596">
                  <c:v>41067</c:v>
                </c:pt>
                <c:pt idx="597">
                  <c:v>41074</c:v>
                </c:pt>
                <c:pt idx="598">
                  <c:v>41081</c:v>
                </c:pt>
                <c:pt idx="599">
                  <c:v>41088</c:v>
                </c:pt>
                <c:pt idx="600">
                  <c:v>41095</c:v>
                </c:pt>
                <c:pt idx="601">
                  <c:v>41102</c:v>
                </c:pt>
                <c:pt idx="602">
                  <c:v>41109</c:v>
                </c:pt>
                <c:pt idx="603">
                  <c:v>41116</c:v>
                </c:pt>
                <c:pt idx="604">
                  <c:v>41123</c:v>
                </c:pt>
                <c:pt idx="605">
                  <c:v>41130</c:v>
                </c:pt>
                <c:pt idx="606">
                  <c:v>41137</c:v>
                </c:pt>
                <c:pt idx="607">
                  <c:v>41144</c:v>
                </c:pt>
                <c:pt idx="608">
                  <c:v>41151</c:v>
                </c:pt>
                <c:pt idx="609">
                  <c:v>41158</c:v>
                </c:pt>
                <c:pt idx="610">
                  <c:v>41165</c:v>
                </c:pt>
                <c:pt idx="611">
                  <c:v>41172</c:v>
                </c:pt>
                <c:pt idx="612">
                  <c:v>41179</c:v>
                </c:pt>
                <c:pt idx="613">
                  <c:v>41186</c:v>
                </c:pt>
                <c:pt idx="614">
                  <c:v>41193</c:v>
                </c:pt>
                <c:pt idx="615">
                  <c:v>41200</c:v>
                </c:pt>
                <c:pt idx="616">
                  <c:v>41207</c:v>
                </c:pt>
                <c:pt idx="617">
                  <c:v>41214</c:v>
                </c:pt>
                <c:pt idx="618">
                  <c:v>41221</c:v>
                </c:pt>
                <c:pt idx="619">
                  <c:v>41228</c:v>
                </c:pt>
                <c:pt idx="620">
                  <c:v>41234</c:v>
                </c:pt>
                <c:pt idx="621">
                  <c:v>41242</c:v>
                </c:pt>
                <c:pt idx="622">
                  <c:v>41249</c:v>
                </c:pt>
                <c:pt idx="623">
                  <c:v>41256</c:v>
                </c:pt>
                <c:pt idx="624">
                  <c:v>41263</c:v>
                </c:pt>
                <c:pt idx="625">
                  <c:v>41270</c:v>
                </c:pt>
                <c:pt idx="626">
                  <c:v>41277</c:v>
                </c:pt>
                <c:pt idx="627">
                  <c:v>41284</c:v>
                </c:pt>
                <c:pt idx="628">
                  <c:v>41291</c:v>
                </c:pt>
                <c:pt idx="629">
                  <c:v>41298</c:v>
                </c:pt>
                <c:pt idx="630">
                  <c:v>41305</c:v>
                </c:pt>
                <c:pt idx="631">
                  <c:v>41312</c:v>
                </c:pt>
                <c:pt idx="632">
                  <c:v>41319</c:v>
                </c:pt>
                <c:pt idx="633">
                  <c:v>41326</c:v>
                </c:pt>
                <c:pt idx="634">
                  <c:v>41333</c:v>
                </c:pt>
                <c:pt idx="635">
                  <c:v>41340</c:v>
                </c:pt>
                <c:pt idx="636">
                  <c:v>41347</c:v>
                </c:pt>
                <c:pt idx="637">
                  <c:v>41354</c:v>
                </c:pt>
                <c:pt idx="638">
                  <c:v>41361</c:v>
                </c:pt>
                <c:pt idx="639">
                  <c:v>41368</c:v>
                </c:pt>
                <c:pt idx="640">
                  <c:v>41375</c:v>
                </c:pt>
                <c:pt idx="641">
                  <c:v>41382</c:v>
                </c:pt>
                <c:pt idx="642">
                  <c:v>41389</c:v>
                </c:pt>
                <c:pt idx="643">
                  <c:v>41396</c:v>
                </c:pt>
                <c:pt idx="644">
                  <c:v>41403</c:v>
                </c:pt>
                <c:pt idx="645">
                  <c:v>41410</c:v>
                </c:pt>
                <c:pt idx="646">
                  <c:v>41417</c:v>
                </c:pt>
                <c:pt idx="647">
                  <c:v>41424</c:v>
                </c:pt>
                <c:pt idx="648">
                  <c:v>41431</c:v>
                </c:pt>
                <c:pt idx="649">
                  <c:v>41438</c:v>
                </c:pt>
                <c:pt idx="650">
                  <c:v>41445</c:v>
                </c:pt>
                <c:pt idx="651">
                  <c:v>41452</c:v>
                </c:pt>
                <c:pt idx="652">
                  <c:v>41458</c:v>
                </c:pt>
                <c:pt idx="653">
                  <c:v>41466</c:v>
                </c:pt>
                <c:pt idx="654">
                  <c:v>41473</c:v>
                </c:pt>
                <c:pt idx="655">
                  <c:v>41480</c:v>
                </c:pt>
                <c:pt idx="656">
                  <c:v>41487</c:v>
                </c:pt>
                <c:pt idx="657">
                  <c:v>41494</c:v>
                </c:pt>
                <c:pt idx="658">
                  <c:v>41501</c:v>
                </c:pt>
                <c:pt idx="659">
                  <c:v>41508</c:v>
                </c:pt>
                <c:pt idx="660">
                  <c:v>41515</c:v>
                </c:pt>
                <c:pt idx="661">
                  <c:v>41522</c:v>
                </c:pt>
                <c:pt idx="662">
                  <c:v>41529</c:v>
                </c:pt>
                <c:pt idx="663">
                  <c:v>41536</c:v>
                </c:pt>
                <c:pt idx="664">
                  <c:v>41543</c:v>
                </c:pt>
                <c:pt idx="665">
                  <c:v>41550</c:v>
                </c:pt>
                <c:pt idx="666">
                  <c:v>41557</c:v>
                </c:pt>
                <c:pt idx="667">
                  <c:v>41564</c:v>
                </c:pt>
                <c:pt idx="668">
                  <c:v>41571</c:v>
                </c:pt>
                <c:pt idx="669">
                  <c:v>41578</c:v>
                </c:pt>
                <c:pt idx="670">
                  <c:v>41585</c:v>
                </c:pt>
                <c:pt idx="671">
                  <c:v>41592</c:v>
                </c:pt>
                <c:pt idx="672">
                  <c:v>41599</c:v>
                </c:pt>
                <c:pt idx="673">
                  <c:v>41605</c:v>
                </c:pt>
                <c:pt idx="674">
                  <c:v>41613</c:v>
                </c:pt>
                <c:pt idx="675">
                  <c:v>41620</c:v>
                </c:pt>
                <c:pt idx="676">
                  <c:v>41627</c:v>
                </c:pt>
                <c:pt idx="677">
                  <c:v>41634</c:v>
                </c:pt>
                <c:pt idx="678">
                  <c:v>41641</c:v>
                </c:pt>
                <c:pt idx="679">
                  <c:v>41648</c:v>
                </c:pt>
                <c:pt idx="680">
                  <c:v>41655</c:v>
                </c:pt>
                <c:pt idx="681">
                  <c:v>41662</c:v>
                </c:pt>
                <c:pt idx="682">
                  <c:v>41669</c:v>
                </c:pt>
                <c:pt idx="683">
                  <c:v>41676</c:v>
                </c:pt>
                <c:pt idx="684">
                  <c:v>41683</c:v>
                </c:pt>
                <c:pt idx="685">
                  <c:v>41690</c:v>
                </c:pt>
                <c:pt idx="686">
                  <c:v>41697</c:v>
                </c:pt>
                <c:pt idx="687">
                  <c:v>41704</c:v>
                </c:pt>
                <c:pt idx="688">
                  <c:v>41711</c:v>
                </c:pt>
                <c:pt idx="689">
                  <c:v>41718</c:v>
                </c:pt>
                <c:pt idx="690">
                  <c:v>41725</c:v>
                </c:pt>
                <c:pt idx="691">
                  <c:v>41732</c:v>
                </c:pt>
                <c:pt idx="692">
                  <c:v>41739</c:v>
                </c:pt>
                <c:pt idx="693">
                  <c:v>41746</c:v>
                </c:pt>
                <c:pt idx="694">
                  <c:v>41753</c:v>
                </c:pt>
                <c:pt idx="695">
                  <c:v>41760</c:v>
                </c:pt>
                <c:pt idx="696">
                  <c:v>41767</c:v>
                </c:pt>
                <c:pt idx="697">
                  <c:v>41774</c:v>
                </c:pt>
                <c:pt idx="698">
                  <c:v>41781</c:v>
                </c:pt>
                <c:pt idx="699">
                  <c:v>41788</c:v>
                </c:pt>
                <c:pt idx="700">
                  <c:v>41795</c:v>
                </c:pt>
                <c:pt idx="701">
                  <c:v>41802</c:v>
                </c:pt>
                <c:pt idx="702">
                  <c:v>41809</c:v>
                </c:pt>
                <c:pt idx="703">
                  <c:v>41816</c:v>
                </c:pt>
                <c:pt idx="704">
                  <c:v>41823</c:v>
                </c:pt>
                <c:pt idx="705">
                  <c:v>41830</c:v>
                </c:pt>
                <c:pt idx="706">
                  <c:v>41837</c:v>
                </c:pt>
                <c:pt idx="707">
                  <c:v>41844</c:v>
                </c:pt>
                <c:pt idx="708">
                  <c:v>41851</c:v>
                </c:pt>
                <c:pt idx="709">
                  <c:v>41858</c:v>
                </c:pt>
                <c:pt idx="710">
                  <c:v>41865</c:v>
                </c:pt>
                <c:pt idx="711">
                  <c:v>41872</c:v>
                </c:pt>
                <c:pt idx="712">
                  <c:v>41879</c:v>
                </c:pt>
                <c:pt idx="713">
                  <c:v>41886</c:v>
                </c:pt>
                <c:pt idx="714">
                  <c:v>41893</c:v>
                </c:pt>
                <c:pt idx="715">
                  <c:v>41900</c:v>
                </c:pt>
                <c:pt idx="716">
                  <c:v>41907</c:v>
                </c:pt>
                <c:pt idx="717">
                  <c:v>41914</c:v>
                </c:pt>
                <c:pt idx="718">
                  <c:v>41921</c:v>
                </c:pt>
                <c:pt idx="719">
                  <c:v>41928</c:v>
                </c:pt>
                <c:pt idx="720">
                  <c:v>41935</c:v>
                </c:pt>
                <c:pt idx="721">
                  <c:v>41942</c:v>
                </c:pt>
                <c:pt idx="722">
                  <c:v>41949</c:v>
                </c:pt>
                <c:pt idx="723">
                  <c:v>41956</c:v>
                </c:pt>
                <c:pt idx="724">
                  <c:v>41963</c:v>
                </c:pt>
                <c:pt idx="725">
                  <c:v>41969</c:v>
                </c:pt>
                <c:pt idx="726">
                  <c:v>41977</c:v>
                </c:pt>
                <c:pt idx="727">
                  <c:v>41984</c:v>
                </c:pt>
                <c:pt idx="728">
                  <c:v>41991</c:v>
                </c:pt>
                <c:pt idx="729">
                  <c:v>41997</c:v>
                </c:pt>
                <c:pt idx="730">
                  <c:v>42004</c:v>
                </c:pt>
                <c:pt idx="731">
                  <c:v>42012</c:v>
                </c:pt>
                <c:pt idx="732">
                  <c:v>42019</c:v>
                </c:pt>
                <c:pt idx="733">
                  <c:v>42026</c:v>
                </c:pt>
                <c:pt idx="734">
                  <c:v>42033</c:v>
                </c:pt>
                <c:pt idx="735">
                  <c:v>42040</c:v>
                </c:pt>
                <c:pt idx="736">
                  <c:v>42047</c:v>
                </c:pt>
                <c:pt idx="737">
                  <c:v>42054</c:v>
                </c:pt>
                <c:pt idx="738">
                  <c:v>42061</c:v>
                </c:pt>
                <c:pt idx="739">
                  <c:v>42068</c:v>
                </c:pt>
                <c:pt idx="740">
                  <c:v>42075</c:v>
                </c:pt>
                <c:pt idx="741">
                  <c:v>42082</c:v>
                </c:pt>
                <c:pt idx="742">
                  <c:v>42089</c:v>
                </c:pt>
                <c:pt idx="743">
                  <c:v>42096</c:v>
                </c:pt>
                <c:pt idx="744">
                  <c:v>42103</c:v>
                </c:pt>
                <c:pt idx="745">
                  <c:v>42110</c:v>
                </c:pt>
                <c:pt idx="746">
                  <c:v>42117</c:v>
                </c:pt>
                <c:pt idx="747">
                  <c:v>42124</c:v>
                </c:pt>
                <c:pt idx="748">
                  <c:v>42131</c:v>
                </c:pt>
                <c:pt idx="749">
                  <c:v>42138</c:v>
                </c:pt>
                <c:pt idx="750">
                  <c:v>42145</c:v>
                </c:pt>
                <c:pt idx="751">
                  <c:v>42152</c:v>
                </c:pt>
                <c:pt idx="752">
                  <c:v>42159</c:v>
                </c:pt>
              </c:numCache>
            </c:numRef>
          </c:cat>
          <c:val>
            <c:numRef>
              <c:f>'Low rate'!$Q$3:$Q$755</c:f>
              <c:numCache>
                <c:formatCode>0.00</c:formatCode>
                <c:ptCount val="753"/>
                <c:pt idx="0">
                  <c:v>7.07</c:v>
                </c:pt>
                <c:pt idx="1">
                  <c:v>6.8649999999999904</c:v>
                </c:pt>
                <c:pt idx="2">
                  <c:v>6.9949999999999903</c:v>
                </c:pt>
                <c:pt idx="3">
                  <c:v>7.1</c:v>
                </c:pt>
                <c:pt idx="4">
                  <c:v>7.09</c:v>
                </c:pt>
                <c:pt idx="5">
                  <c:v>6.98</c:v>
                </c:pt>
                <c:pt idx="6">
                  <c:v>6.9849999999999897</c:v>
                </c:pt>
                <c:pt idx="7">
                  <c:v>7.0949999999999998</c:v>
                </c:pt>
                <c:pt idx="8">
                  <c:v>7.0049999999999999</c:v>
                </c:pt>
                <c:pt idx="9">
                  <c:v>6.9449999999999896</c:v>
                </c:pt>
                <c:pt idx="10">
                  <c:v>6.9349999999999996</c:v>
                </c:pt>
                <c:pt idx="11">
                  <c:v>6.89</c:v>
                </c:pt>
                <c:pt idx="12">
                  <c:v>6.8849999999999998</c:v>
                </c:pt>
                <c:pt idx="13">
                  <c:v>6.9849999999999897</c:v>
                </c:pt>
                <c:pt idx="14">
                  <c:v>6.99</c:v>
                </c:pt>
                <c:pt idx="15">
                  <c:v>7.1149999999999904</c:v>
                </c:pt>
                <c:pt idx="16">
                  <c:v>7.12</c:v>
                </c:pt>
                <c:pt idx="17">
                  <c:v>7.1149999999999904</c:v>
                </c:pt>
                <c:pt idx="18">
                  <c:v>7.0749999999999904</c:v>
                </c:pt>
                <c:pt idx="19">
                  <c:v>7.14</c:v>
                </c:pt>
                <c:pt idx="20">
                  <c:v>7.2</c:v>
                </c:pt>
                <c:pt idx="21">
                  <c:v>7.2149999999999999</c:v>
                </c:pt>
                <c:pt idx="22">
                  <c:v>7.2</c:v>
                </c:pt>
                <c:pt idx="23">
                  <c:v>7.1149999999999904</c:v>
                </c:pt>
                <c:pt idx="24">
                  <c:v>7.11</c:v>
                </c:pt>
                <c:pt idx="25">
                  <c:v>7.11</c:v>
                </c:pt>
                <c:pt idx="26">
                  <c:v>7.165</c:v>
                </c:pt>
                <c:pt idx="27">
                  <c:v>7.1849999999999996</c:v>
                </c:pt>
                <c:pt idx="28">
                  <c:v>7.0549999999999997</c:v>
                </c:pt>
                <c:pt idx="29">
                  <c:v>7.0049999999999999</c:v>
                </c:pt>
                <c:pt idx="30">
                  <c:v>6.9749999999999996</c:v>
                </c:pt>
                <c:pt idx="31">
                  <c:v>6.9749999999999996</c:v>
                </c:pt>
                <c:pt idx="32">
                  <c:v>6.8949999999999996</c:v>
                </c:pt>
                <c:pt idx="33">
                  <c:v>6.8849999999999998</c:v>
                </c:pt>
                <c:pt idx="34">
                  <c:v>6.8949999999999996</c:v>
                </c:pt>
                <c:pt idx="35">
                  <c:v>6.8649999999999904</c:v>
                </c:pt>
                <c:pt idx="36">
                  <c:v>6.835</c:v>
                </c:pt>
                <c:pt idx="37">
                  <c:v>6.7749999999999897</c:v>
                </c:pt>
                <c:pt idx="38">
                  <c:v>6.6949999999999896</c:v>
                </c:pt>
                <c:pt idx="39">
                  <c:v>6.59</c:v>
                </c:pt>
                <c:pt idx="40">
                  <c:v>6.5549999999999997</c:v>
                </c:pt>
                <c:pt idx="41">
                  <c:v>6.585</c:v>
                </c:pt>
                <c:pt idx="42">
                  <c:v>6.59</c:v>
                </c:pt>
                <c:pt idx="43">
                  <c:v>6.5349999999999904</c:v>
                </c:pt>
                <c:pt idx="44">
                  <c:v>6.4</c:v>
                </c:pt>
                <c:pt idx="45">
                  <c:v>6.46</c:v>
                </c:pt>
                <c:pt idx="46">
                  <c:v>6.7</c:v>
                </c:pt>
                <c:pt idx="47">
                  <c:v>6.9449999999999896</c:v>
                </c:pt>
                <c:pt idx="48">
                  <c:v>6.7649999999999997</c:v>
                </c:pt>
                <c:pt idx="49">
                  <c:v>7.04</c:v>
                </c:pt>
                <c:pt idx="50">
                  <c:v>7.0949999999999998</c:v>
                </c:pt>
                <c:pt idx="51">
                  <c:v>7.11</c:v>
                </c:pt>
                <c:pt idx="52">
                  <c:v>7.09</c:v>
                </c:pt>
                <c:pt idx="53">
                  <c:v>7.01</c:v>
                </c:pt>
                <c:pt idx="54">
                  <c:v>6.7549999999999999</c:v>
                </c:pt>
                <c:pt idx="55">
                  <c:v>6.8849999999999998</c:v>
                </c:pt>
                <c:pt idx="56">
                  <c:v>6.9449999999999896</c:v>
                </c:pt>
                <c:pt idx="57">
                  <c:v>6.8049999999999997</c:v>
                </c:pt>
                <c:pt idx="58">
                  <c:v>6.7850000000000001</c:v>
                </c:pt>
                <c:pt idx="59">
                  <c:v>6.7349999999999897</c:v>
                </c:pt>
                <c:pt idx="60">
                  <c:v>6.7249999999999996</c:v>
                </c:pt>
                <c:pt idx="61">
                  <c:v>6.7949999999999999</c:v>
                </c:pt>
                <c:pt idx="62">
                  <c:v>7.0049999999999999</c:v>
                </c:pt>
                <c:pt idx="63">
                  <c:v>7.0649999999999897</c:v>
                </c:pt>
                <c:pt idx="64">
                  <c:v>7.1049999999999898</c:v>
                </c:pt>
                <c:pt idx="65">
                  <c:v>7.0549999999999997</c:v>
                </c:pt>
                <c:pt idx="66">
                  <c:v>6.94</c:v>
                </c:pt>
                <c:pt idx="67">
                  <c:v>6.8650000000000002</c:v>
                </c:pt>
                <c:pt idx="68">
                  <c:v>6.8049999999999997</c:v>
                </c:pt>
                <c:pt idx="69">
                  <c:v>6.7050000000000001</c:v>
                </c:pt>
                <c:pt idx="70">
                  <c:v>6.7149999999999999</c:v>
                </c:pt>
                <c:pt idx="71">
                  <c:v>6.8149999999999897</c:v>
                </c:pt>
                <c:pt idx="72">
                  <c:v>6.7349999999999897</c:v>
                </c:pt>
                <c:pt idx="73">
                  <c:v>6.71</c:v>
                </c:pt>
                <c:pt idx="74">
                  <c:v>6.6349999999999998</c:v>
                </c:pt>
                <c:pt idx="75">
                  <c:v>6.6349999999999998</c:v>
                </c:pt>
                <c:pt idx="76">
                  <c:v>6.5049999999999999</c:v>
                </c:pt>
                <c:pt idx="77">
                  <c:v>6.4249999999999998</c:v>
                </c:pt>
                <c:pt idx="78">
                  <c:v>6.4450000000000003</c:v>
                </c:pt>
                <c:pt idx="79">
                  <c:v>6.415</c:v>
                </c:pt>
                <c:pt idx="80">
                  <c:v>6.39</c:v>
                </c:pt>
                <c:pt idx="81">
                  <c:v>6.24</c:v>
                </c:pt>
                <c:pt idx="82">
                  <c:v>6.33</c:v>
                </c:pt>
                <c:pt idx="83">
                  <c:v>6.21</c:v>
                </c:pt>
                <c:pt idx="84">
                  <c:v>6.12</c:v>
                </c:pt>
                <c:pt idx="85">
                  <c:v>6.1949999999999896</c:v>
                </c:pt>
                <c:pt idx="86">
                  <c:v>6.1449999999999996</c:v>
                </c:pt>
                <c:pt idx="87">
                  <c:v>6.05</c:v>
                </c:pt>
                <c:pt idx="88">
                  <c:v>6.08</c:v>
                </c:pt>
                <c:pt idx="89">
                  <c:v>5.9749999999999996</c:v>
                </c:pt>
                <c:pt idx="90">
                  <c:v>5.89</c:v>
                </c:pt>
                <c:pt idx="91">
                  <c:v>5.8849999999999998</c:v>
                </c:pt>
                <c:pt idx="92">
                  <c:v>5.88</c:v>
                </c:pt>
                <c:pt idx="93">
                  <c:v>6.0250000000000004</c:v>
                </c:pt>
                <c:pt idx="94">
                  <c:v>6.21</c:v>
                </c:pt>
                <c:pt idx="95">
                  <c:v>6.03</c:v>
                </c:pt>
                <c:pt idx="96">
                  <c:v>6.01</c:v>
                </c:pt>
                <c:pt idx="97">
                  <c:v>5.84</c:v>
                </c:pt>
                <c:pt idx="98">
                  <c:v>5.93</c:v>
                </c:pt>
                <c:pt idx="99">
                  <c:v>6.03</c:v>
                </c:pt>
                <c:pt idx="100">
                  <c:v>6.0650000000000004</c:v>
                </c:pt>
                <c:pt idx="101">
                  <c:v>5.915</c:v>
                </c:pt>
                <c:pt idx="102">
                  <c:v>5.93</c:v>
                </c:pt>
                <c:pt idx="103">
                  <c:v>5.83</c:v>
                </c:pt>
                <c:pt idx="104">
                  <c:v>5.75</c:v>
                </c:pt>
                <c:pt idx="105">
                  <c:v>5.8250000000000002</c:v>
                </c:pt>
                <c:pt idx="106">
                  <c:v>5.87</c:v>
                </c:pt>
                <c:pt idx="107">
                  <c:v>5.81</c:v>
                </c:pt>
                <c:pt idx="108">
                  <c:v>5.8</c:v>
                </c:pt>
                <c:pt idx="109">
                  <c:v>5.8049999999999997</c:v>
                </c:pt>
                <c:pt idx="110">
                  <c:v>5.76</c:v>
                </c:pt>
                <c:pt idx="111">
                  <c:v>5.74</c:v>
                </c:pt>
                <c:pt idx="112">
                  <c:v>5.69</c:v>
                </c:pt>
                <c:pt idx="113">
                  <c:v>5.57</c:v>
                </c:pt>
                <c:pt idx="114">
                  <c:v>5.51</c:v>
                </c:pt>
                <c:pt idx="115">
                  <c:v>5.69</c:v>
                </c:pt>
                <c:pt idx="116">
                  <c:v>5.81</c:v>
                </c:pt>
                <c:pt idx="117">
                  <c:v>5.69</c:v>
                </c:pt>
                <c:pt idx="118">
                  <c:v>5.75</c:v>
                </c:pt>
                <c:pt idx="119">
                  <c:v>5.72</c:v>
                </c:pt>
                <c:pt idx="120">
                  <c:v>5.69</c:v>
                </c:pt>
                <c:pt idx="121">
                  <c:v>5.6</c:v>
                </c:pt>
                <c:pt idx="122">
                  <c:v>5.5449999999999999</c:v>
                </c:pt>
                <c:pt idx="123">
                  <c:v>5.35</c:v>
                </c:pt>
                <c:pt idx="124">
                  <c:v>5.2649999999999997</c:v>
                </c:pt>
                <c:pt idx="125">
                  <c:v>5.21</c:v>
                </c:pt>
                <c:pt idx="126">
                  <c:v>5.1349999999999998</c:v>
                </c:pt>
                <c:pt idx="127">
                  <c:v>5.085</c:v>
                </c:pt>
                <c:pt idx="128">
                  <c:v>5.1100000000000003</c:v>
                </c:pt>
                <c:pt idx="129">
                  <c:v>5.14</c:v>
                </c:pt>
                <c:pt idx="130">
                  <c:v>5.2750000000000004</c:v>
                </c:pt>
                <c:pt idx="131">
                  <c:v>5.42</c:v>
                </c:pt>
                <c:pt idx="132">
                  <c:v>5.5449999999999999</c:v>
                </c:pt>
                <c:pt idx="133">
                  <c:v>5.79</c:v>
                </c:pt>
                <c:pt idx="134">
                  <c:v>6.0149999999999997</c:v>
                </c:pt>
                <c:pt idx="135">
                  <c:v>6.2649999999999997</c:v>
                </c:pt>
                <c:pt idx="136">
                  <c:v>6.165</c:v>
                </c:pt>
                <c:pt idx="137">
                  <c:v>6.23</c:v>
                </c:pt>
                <c:pt idx="138">
                  <c:v>6.2450000000000001</c:v>
                </c:pt>
                <c:pt idx="139">
                  <c:v>6.34</c:v>
                </c:pt>
                <c:pt idx="140">
                  <c:v>6.06</c:v>
                </c:pt>
                <c:pt idx="141">
                  <c:v>5.8849999999999998</c:v>
                </c:pt>
                <c:pt idx="142">
                  <c:v>5.88</c:v>
                </c:pt>
                <c:pt idx="143">
                  <c:v>5.67</c:v>
                </c:pt>
                <c:pt idx="144">
                  <c:v>5.85</c:v>
                </c:pt>
                <c:pt idx="145">
                  <c:v>5.9249999999999998</c:v>
                </c:pt>
                <c:pt idx="146">
                  <c:v>5.9749999999999996</c:v>
                </c:pt>
                <c:pt idx="147">
                  <c:v>5.84</c:v>
                </c:pt>
                <c:pt idx="148">
                  <c:v>5.9050000000000002</c:v>
                </c:pt>
                <c:pt idx="149">
                  <c:v>5.93</c:v>
                </c:pt>
                <c:pt idx="150">
                  <c:v>5.73</c:v>
                </c:pt>
                <c:pt idx="151">
                  <c:v>5.79</c:v>
                </c:pt>
                <c:pt idx="152">
                  <c:v>5.92</c:v>
                </c:pt>
                <c:pt idx="153">
                  <c:v>5.8049999999999997</c:v>
                </c:pt>
                <c:pt idx="154">
                  <c:v>5.7450000000000001</c:v>
                </c:pt>
                <c:pt idx="155">
                  <c:v>5.7349999999999897</c:v>
                </c:pt>
                <c:pt idx="156">
                  <c:v>5.7749999999999897</c:v>
                </c:pt>
                <c:pt idx="157">
                  <c:v>5.7949999999999999</c:v>
                </c:pt>
                <c:pt idx="158">
                  <c:v>5.56</c:v>
                </c:pt>
                <c:pt idx="159">
                  <c:v>5.54</c:v>
                </c:pt>
                <c:pt idx="160">
                  <c:v>5.6049999999999898</c:v>
                </c:pt>
                <c:pt idx="161">
                  <c:v>5.62</c:v>
                </c:pt>
                <c:pt idx="162">
                  <c:v>5.585</c:v>
                </c:pt>
                <c:pt idx="163">
                  <c:v>5.48</c:v>
                </c:pt>
                <c:pt idx="164">
                  <c:v>5.5049999999999999</c:v>
                </c:pt>
                <c:pt idx="165">
                  <c:v>5.5149999999999997</c:v>
                </c:pt>
                <c:pt idx="166">
                  <c:v>5.31</c:v>
                </c:pt>
                <c:pt idx="167">
                  <c:v>5.3049999999999997</c:v>
                </c:pt>
                <c:pt idx="168">
                  <c:v>5.3250000000000002</c:v>
                </c:pt>
                <c:pt idx="169">
                  <c:v>5.42</c:v>
                </c:pt>
                <c:pt idx="170">
                  <c:v>5.7149999999999999</c:v>
                </c:pt>
                <c:pt idx="171">
                  <c:v>5.79</c:v>
                </c:pt>
                <c:pt idx="172">
                  <c:v>5.8650000000000002</c:v>
                </c:pt>
                <c:pt idx="173">
                  <c:v>5.9349999999999996</c:v>
                </c:pt>
                <c:pt idx="174">
                  <c:v>6.0449999999999999</c:v>
                </c:pt>
                <c:pt idx="175">
                  <c:v>6.2649999999999997</c:v>
                </c:pt>
                <c:pt idx="176">
                  <c:v>6.2249999999999996</c:v>
                </c:pt>
                <c:pt idx="177">
                  <c:v>6.22</c:v>
                </c:pt>
                <c:pt idx="178">
                  <c:v>6.2050000000000001</c:v>
                </c:pt>
                <c:pt idx="179">
                  <c:v>6.2249999999999996</c:v>
                </c:pt>
                <c:pt idx="180">
                  <c:v>6.1950000000000003</c:v>
                </c:pt>
                <c:pt idx="181">
                  <c:v>6.15</c:v>
                </c:pt>
                <c:pt idx="182">
                  <c:v>6.11</c:v>
                </c:pt>
                <c:pt idx="183">
                  <c:v>5.91</c:v>
                </c:pt>
                <c:pt idx="184">
                  <c:v>5.9</c:v>
                </c:pt>
                <c:pt idx="185">
                  <c:v>5.88</c:v>
                </c:pt>
                <c:pt idx="186">
                  <c:v>5.98</c:v>
                </c:pt>
                <c:pt idx="187">
                  <c:v>5.915</c:v>
                </c:pt>
                <c:pt idx="188">
                  <c:v>5.75</c:v>
                </c:pt>
                <c:pt idx="189">
                  <c:v>5.7349999999999897</c:v>
                </c:pt>
                <c:pt idx="190">
                  <c:v>5.7450000000000001</c:v>
                </c:pt>
                <c:pt idx="191">
                  <c:v>5.72</c:v>
                </c:pt>
                <c:pt idx="192">
                  <c:v>5.78</c:v>
                </c:pt>
                <c:pt idx="193">
                  <c:v>5.7</c:v>
                </c:pt>
                <c:pt idx="194">
                  <c:v>5.625</c:v>
                </c:pt>
                <c:pt idx="195">
                  <c:v>5.62</c:v>
                </c:pt>
                <c:pt idx="196">
                  <c:v>5.72</c:v>
                </c:pt>
                <c:pt idx="197">
                  <c:v>5.64</c:v>
                </c:pt>
                <c:pt idx="198">
                  <c:v>5.6150000000000002</c:v>
                </c:pt>
                <c:pt idx="199">
                  <c:v>5.5649999999999897</c:v>
                </c:pt>
                <c:pt idx="200">
                  <c:v>5.6</c:v>
                </c:pt>
                <c:pt idx="201">
                  <c:v>5.6849999999999996</c:v>
                </c:pt>
                <c:pt idx="202">
                  <c:v>5.64</c:v>
                </c:pt>
                <c:pt idx="203">
                  <c:v>5.62</c:v>
                </c:pt>
                <c:pt idx="204">
                  <c:v>5.71</c:v>
                </c:pt>
                <c:pt idx="205">
                  <c:v>5.6349999999999998</c:v>
                </c:pt>
                <c:pt idx="206">
                  <c:v>5.58</c:v>
                </c:pt>
                <c:pt idx="207">
                  <c:v>5.65</c:v>
                </c:pt>
                <c:pt idx="208">
                  <c:v>5.71</c:v>
                </c:pt>
                <c:pt idx="209">
                  <c:v>5.6949999999999896</c:v>
                </c:pt>
                <c:pt idx="210">
                  <c:v>5.64</c:v>
                </c:pt>
                <c:pt idx="211">
                  <c:v>5.5949999999999998</c:v>
                </c:pt>
                <c:pt idx="212">
                  <c:v>5.56</c:v>
                </c:pt>
                <c:pt idx="213">
                  <c:v>5.5549999999999997</c:v>
                </c:pt>
                <c:pt idx="214">
                  <c:v>5.52</c:v>
                </c:pt>
                <c:pt idx="215">
                  <c:v>5.5449999999999999</c:v>
                </c:pt>
                <c:pt idx="216">
                  <c:v>5.6150000000000002</c:v>
                </c:pt>
                <c:pt idx="217">
                  <c:v>5.7149999999999999</c:v>
                </c:pt>
                <c:pt idx="218">
                  <c:v>5.75</c:v>
                </c:pt>
                <c:pt idx="219">
                  <c:v>5.875</c:v>
                </c:pt>
                <c:pt idx="220">
                  <c:v>5.9349999999999996</c:v>
                </c:pt>
                <c:pt idx="221">
                  <c:v>5.9649999999999999</c:v>
                </c:pt>
                <c:pt idx="222">
                  <c:v>5.8549999999999898</c:v>
                </c:pt>
                <c:pt idx="223">
                  <c:v>5.835</c:v>
                </c:pt>
                <c:pt idx="224">
                  <c:v>5.6749999999999998</c:v>
                </c:pt>
                <c:pt idx="225">
                  <c:v>5.68</c:v>
                </c:pt>
                <c:pt idx="226">
                  <c:v>5.65</c:v>
                </c:pt>
                <c:pt idx="227">
                  <c:v>5.6449999999999996</c:v>
                </c:pt>
                <c:pt idx="228">
                  <c:v>5.6349999999999998</c:v>
                </c:pt>
                <c:pt idx="229">
                  <c:v>5.55</c:v>
                </c:pt>
                <c:pt idx="230">
                  <c:v>5.52</c:v>
                </c:pt>
                <c:pt idx="231">
                  <c:v>5.46</c:v>
                </c:pt>
                <c:pt idx="232">
                  <c:v>5.5049999999999999</c:v>
                </c:pt>
                <c:pt idx="233">
                  <c:v>5.47</c:v>
                </c:pt>
                <c:pt idx="234">
                  <c:v>5.43</c:v>
                </c:pt>
                <c:pt idx="235">
                  <c:v>5.52</c:v>
                </c:pt>
                <c:pt idx="236">
                  <c:v>5.56</c:v>
                </c:pt>
                <c:pt idx="237">
                  <c:v>5.58</c:v>
                </c:pt>
                <c:pt idx="238">
                  <c:v>5.6449999999999996</c:v>
                </c:pt>
                <c:pt idx="239">
                  <c:v>5.72</c:v>
                </c:pt>
                <c:pt idx="240">
                  <c:v>5.7649999999999997</c:v>
                </c:pt>
                <c:pt idx="241">
                  <c:v>5.6749999999999998</c:v>
                </c:pt>
                <c:pt idx="242">
                  <c:v>5.6449999999999996</c:v>
                </c:pt>
                <c:pt idx="243">
                  <c:v>5.61</c:v>
                </c:pt>
                <c:pt idx="244">
                  <c:v>5.61</c:v>
                </c:pt>
                <c:pt idx="245">
                  <c:v>5.64</c:v>
                </c:pt>
                <c:pt idx="246">
                  <c:v>5.7</c:v>
                </c:pt>
                <c:pt idx="247">
                  <c:v>5.7850000000000001</c:v>
                </c:pt>
                <c:pt idx="248">
                  <c:v>5.8550000000000004</c:v>
                </c:pt>
                <c:pt idx="249">
                  <c:v>5.93</c:v>
                </c:pt>
                <c:pt idx="250">
                  <c:v>5.9749999999999996</c:v>
                </c:pt>
                <c:pt idx="251">
                  <c:v>6.0250000000000004</c:v>
                </c:pt>
                <c:pt idx="252">
                  <c:v>6.1849999999999996</c:v>
                </c:pt>
                <c:pt idx="253">
                  <c:v>6.2350000000000003</c:v>
                </c:pt>
                <c:pt idx="254">
                  <c:v>6.27</c:v>
                </c:pt>
                <c:pt idx="255">
                  <c:v>6.18</c:v>
                </c:pt>
                <c:pt idx="256">
                  <c:v>6.1349999999999998</c:v>
                </c:pt>
                <c:pt idx="257">
                  <c:v>6.22</c:v>
                </c:pt>
                <c:pt idx="258">
                  <c:v>6.1749999999999998</c:v>
                </c:pt>
                <c:pt idx="259">
                  <c:v>6.16</c:v>
                </c:pt>
                <c:pt idx="260">
                  <c:v>6.0949999999999998</c:v>
                </c:pt>
                <c:pt idx="261">
                  <c:v>6.085</c:v>
                </c:pt>
                <c:pt idx="262">
                  <c:v>6.05</c:v>
                </c:pt>
                <c:pt idx="263">
                  <c:v>5.9749999999999996</c:v>
                </c:pt>
                <c:pt idx="264">
                  <c:v>5.9950000000000001</c:v>
                </c:pt>
                <c:pt idx="265">
                  <c:v>6.1050000000000004</c:v>
                </c:pt>
                <c:pt idx="266">
                  <c:v>6.14</c:v>
                </c:pt>
                <c:pt idx="267">
                  <c:v>6.1550000000000002</c:v>
                </c:pt>
                <c:pt idx="268">
                  <c:v>6.16</c:v>
                </c:pt>
                <c:pt idx="269">
                  <c:v>6.14</c:v>
                </c:pt>
                <c:pt idx="270">
                  <c:v>6.27</c:v>
                </c:pt>
                <c:pt idx="271">
                  <c:v>6.2649999999999997</c:v>
                </c:pt>
                <c:pt idx="272">
                  <c:v>6.22</c:v>
                </c:pt>
                <c:pt idx="273">
                  <c:v>6.2249999999999996</c:v>
                </c:pt>
                <c:pt idx="274">
                  <c:v>6.33</c:v>
                </c:pt>
                <c:pt idx="275">
                  <c:v>6.39</c:v>
                </c:pt>
                <c:pt idx="276">
                  <c:v>6.43</c:v>
                </c:pt>
                <c:pt idx="277">
                  <c:v>6.4550000000000001</c:v>
                </c:pt>
                <c:pt idx="278">
                  <c:v>6.49</c:v>
                </c:pt>
                <c:pt idx="279">
                  <c:v>6.4550000000000001</c:v>
                </c:pt>
                <c:pt idx="280">
                  <c:v>6.4749999999999996</c:v>
                </c:pt>
                <c:pt idx="281">
                  <c:v>6.47</c:v>
                </c:pt>
                <c:pt idx="282">
                  <c:v>6.52</c:v>
                </c:pt>
                <c:pt idx="283">
                  <c:v>6.4950000000000001</c:v>
                </c:pt>
                <c:pt idx="284">
                  <c:v>6.5049999999999999</c:v>
                </c:pt>
                <c:pt idx="285">
                  <c:v>6.585</c:v>
                </c:pt>
                <c:pt idx="286">
                  <c:v>6.6550000000000002</c:v>
                </c:pt>
                <c:pt idx="287">
                  <c:v>6.665</c:v>
                </c:pt>
                <c:pt idx="288">
                  <c:v>6.64</c:v>
                </c:pt>
                <c:pt idx="289">
                  <c:v>6.6749999999999998</c:v>
                </c:pt>
                <c:pt idx="290">
                  <c:v>6.5449999999999999</c:v>
                </c:pt>
                <c:pt idx="291">
                  <c:v>6.4550000000000001</c:v>
                </c:pt>
                <c:pt idx="292">
                  <c:v>6.3999999999999897</c:v>
                </c:pt>
                <c:pt idx="293">
                  <c:v>6.3449999999999998</c:v>
                </c:pt>
                <c:pt idx="294">
                  <c:v>6.33</c:v>
                </c:pt>
                <c:pt idx="295">
                  <c:v>6.29</c:v>
                </c:pt>
                <c:pt idx="296">
                  <c:v>6.3199999999999896</c:v>
                </c:pt>
                <c:pt idx="297">
                  <c:v>6.3049999999999997</c:v>
                </c:pt>
                <c:pt idx="298">
                  <c:v>6.2750000000000004</c:v>
                </c:pt>
                <c:pt idx="299">
                  <c:v>6.1599999999999904</c:v>
                </c:pt>
                <c:pt idx="300">
                  <c:v>6.125</c:v>
                </c:pt>
                <c:pt idx="301">
                  <c:v>6.2450000000000001</c:v>
                </c:pt>
                <c:pt idx="302">
                  <c:v>6.2350000000000003</c:v>
                </c:pt>
                <c:pt idx="303">
                  <c:v>6.25</c:v>
                </c:pt>
                <c:pt idx="304">
                  <c:v>6.1599999999999904</c:v>
                </c:pt>
                <c:pt idx="305">
                  <c:v>6.23</c:v>
                </c:pt>
                <c:pt idx="306">
                  <c:v>6.1150000000000002</c:v>
                </c:pt>
                <c:pt idx="307">
                  <c:v>6.0549999999999997</c:v>
                </c:pt>
                <c:pt idx="308">
                  <c:v>5.9899999999999904</c:v>
                </c:pt>
                <c:pt idx="309">
                  <c:v>5.9850000000000003</c:v>
                </c:pt>
                <c:pt idx="310">
                  <c:v>5.97</c:v>
                </c:pt>
                <c:pt idx="311">
                  <c:v>5.9799999999999898</c:v>
                </c:pt>
                <c:pt idx="312">
                  <c:v>6.0299999999999896</c:v>
                </c:pt>
                <c:pt idx="313">
                  <c:v>6.0299999999999896</c:v>
                </c:pt>
                <c:pt idx="314">
                  <c:v>6.06</c:v>
                </c:pt>
                <c:pt idx="315">
                  <c:v>6.08</c:v>
                </c:pt>
                <c:pt idx="316">
                  <c:v>6.1</c:v>
                </c:pt>
                <c:pt idx="317">
                  <c:v>6.1899999999999897</c:v>
                </c:pt>
                <c:pt idx="318">
                  <c:v>6.1050000000000004</c:v>
                </c:pt>
                <c:pt idx="319">
                  <c:v>6.1499999999999897</c:v>
                </c:pt>
                <c:pt idx="320">
                  <c:v>6.0949999999999998</c:v>
                </c:pt>
                <c:pt idx="321">
                  <c:v>6.0299999999999896</c:v>
                </c:pt>
                <c:pt idx="322">
                  <c:v>6.0149999999999997</c:v>
                </c:pt>
                <c:pt idx="323">
                  <c:v>5.9899999999999904</c:v>
                </c:pt>
                <c:pt idx="324">
                  <c:v>6.01</c:v>
                </c:pt>
                <c:pt idx="325">
                  <c:v>6.01</c:v>
                </c:pt>
                <c:pt idx="326">
                  <c:v>6.02</c:v>
                </c:pt>
                <c:pt idx="327">
                  <c:v>6.0699999999999896</c:v>
                </c:pt>
                <c:pt idx="328">
                  <c:v>6.0449999999999999</c:v>
                </c:pt>
                <c:pt idx="329">
                  <c:v>6.0350000000000001</c:v>
                </c:pt>
                <c:pt idx="330">
                  <c:v>6.0350000000000001</c:v>
                </c:pt>
                <c:pt idx="331">
                  <c:v>6.0250000000000004</c:v>
                </c:pt>
                <c:pt idx="332">
                  <c:v>6.06</c:v>
                </c:pt>
                <c:pt idx="333">
                  <c:v>6.22</c:v>
                </c:pt>
                <c:pt idx="334">
                  <c:v>6.27</c:v>
                </c:pt>
                <c:pt idx="335">
                  <c:v>6.38</c:v>
                </c:pt>
                <c:pt idx="336">
                  <c:v>6.59</c:v>
                </c:pt>
                <c:pt idx="337">
                  <c:v>6.5650000000000004</c:v>
                </c:pt>
                <c:pt idx="338">
                  <c:v>6.52</c:v>
                </c:pt>
                <c:pt idx="339">
                  <c:v>6.4799999999999898</c:v>
                </c:pt>
                <c:pt idx="340">
                  <c:v>6.58</c:v>
                </c:pt>
                <c:pt idx="341">
                  <c:v>6.58</c:v>
                </c:pt>
                <c:pt idx="342">
                  <c:v>6.54</c:v>
                </c:pt>
                <c:pt idx="343">
                  <c:v>6.5049999999999999</c:v>
                </c:pt>
                <c:pt idx="344">
                  <c:v>6.4399999999999897</c:v>
                </c:pt>
                <c:pt idx="345">
                  <c:v>6.47</c:v>
                </c:pt>
                <c:pt idx="346">
                  <c:v>6.3699999999999903</c:v>
                </c:pt>
                <c:pt idx="347">
                  <c:v>6.3250000000000002</c:v>
                </c:pt>
                <c:pt idx="348">
                  <c:v>6.335</c:v>
                </c:pt>
                <c:pt idx="349">
                  <c:v>6.1849999999999996</c:v>
                </c:pt>
                <c:pt idx="350">
                  <c:v>6.2149999999999999</c:v>
                </c:pt>
                <c:pt idx="351">
                  <c:v>6.2949999999999999</c:v>
                </c:pt>
                <c:pt idx="352">
                  <c:v>6.2450000000000001</c:v>
                </c:pt>
                <c:pt idx="353">
                  <c:v>6.25</c:v>
                </c:pt>
                <c:pt idx="354">
                  <c:v>6.2750000000000004</c:v>
                </c:pt>
                <c:pt idx="355">
                  <c:v>6.2050000000000001</c:v>
                </c:pt>
                <c:pt idx="356">
                  <c:v>6.1099999999999897</c:v>
                </c:pt>
                <c:pt idx="357">
                  <c:v>6.09</c:v>
                </c:pt>
                <c:pt idx="358">
                  <c:v>6.09</c:v>
                </c:pt>
                <c:pt idx="359">
                  <c:v>6.0750000000000002</c:v>
                </c:pt>
                <c:pt idx="360">
                  <c:v>5.9749999999999996</c:v>
                </c:pt>
                <c:pt idx="361">
                  <c:v>5.81</c:v>
                </c:pt>
                <c:pt idx="362">
                  <c:v>5.9850000000000003</c:v>
                </c:pt>
                <c:pt idx="363">
                  <c:v>5.9899999999999904</c:v>
                </c:pt>
                <c:pt idx="364">
                  <c:v>6.0449999999999999</c:v>
                </c:pt>
                <c:pt idx="365">
                  <c:v>5.9450000000000003</c:v>
                </c:pt>
                <c:pt idx="366">
                  <c:v>5.72</c:v>
                </c:pt>
                <c:pt idx="367">
                  <c:v>5.5650000000000004</c:v>
                </c:pt>
                <c:pt idx="368">
                  <c:v>5.33</c:v>
                </c:pt>
                <c:pt idx="369">
                  <c:v>5.5299999999999896</c:v>
                </c:pt>
                <c:pt idx="370">
                  <c:v>5.52</c:v>
                </c:pt>
                <c:pt idx="371">
                  <c:v>5.5699999999999896</c:v>
                </c:pt>
                <c:pt idx="372">
                  <c:v>5.94</c:v>
                </c:pt>
                <c:pt idx="373">
                  <c:v>6.1150000000000002</c:v>
                </c:pt>
                <c:pt idx="374">
                  <c:v>5.9050000000000002</c:v>
                </c:pt>
                <c:pt idx="375">
                  <c:v>6.0049999999999999</c:v>
                </c:pt>
                <c:pt idx="376">
                  <c:v>5.7450000000000001</c:v>
                </c:pt>
                <c:pt idx="377">
                  <c:v>5.6999999999999904</c:v>
                </c:pt>
                <c:pt idx="378">
                  <c:v>5.7549999999999999</c:v>
                </c:pt>
                <c:pt idx="379">
                  <c:v>5.7299999999999898</c:v>
                </c:pt>
                <c:pt idx="380">
                  <c:v>5.7299999999999898</c:v>
                </c:pt>
                <c:pt idx="381">
                  <c:v>5.8550000000000004</c:v>
                </c:pt>
                <c:pt idx="382">
                  <c:v>5.9349999999999996</c:v>
                </c:pt>
                <c:pt idx="383">
                  <c:v>5.875</c:v>
                </c:pt>
                <c:pt idx="384">
                  <c:v>5.91</c:v>
                </c:pt>
                <c:pt idx="385">
                  <c:v>5.8550000000000004</c:v>
                </c:pt>
                <c:pt idx="386">
                  <c:v>5.98</c:v>
                </c:pt>
                <c:pt idx="387">
                  <c:v>5.99</c:v>
                </c:pt>
                <c:pt idx="388">
                  <c:v>6.2450000000000001</c:v>
                </c:pt>
                <c:pt idx="389">
                  <c:v>6.3449999999999998</c:v>
                </c:pt>
                <c:pt idx="390">
                  <c:v>6.35</c:v>
                </c:pt>
                <c:pt idx="391">
                  <c:v>6.25</c:v>
                </c:pt>
                <c:pt idx="392">
                  <c:v>6.27</c:v>
                </c:pt>
                <c:pt idx="393">
                  <c:v>6.16</c:v>
                </c:pt>
                <c:pt idx="394">
                  <c:v>6.53</c:v>
                </c:pt>
                <c:pt idx="395">
                  <c:v>6.4449999999999896</c:v>
                </c:pt>
                <c:pt idx="396">
                  <c:v>6.4449999999999896</c:v>
                </c:pt>
                <c:pt idx="397">
                  <c:v>6.4449999999999896</c:v>
                </c:pt>
                <c:pt idx="398">
                  <c:v>6.3949999999999996</c:v>
                </c:pt>
                <c:pt idx="399">
                  <c:v>6.3</c:v>
                </c:pt>
                <c:pt idx="400">
                  <c:v>6.2749999999999897</c:v>
                </c:pt>
                <c:pt idx="401">
                  <c:v>5.8549999999999898</c:v>
                </c:pt>
                <c:pt idx="402">
                  <c:v>5.68</c:v>
                </c:pt>
                <c:pt idx="403">
                  <c:v>6.0149999999999997</c:v>
                </c:pt>
                <c:pt idx="404">
                  <c:v>6</c:v>
                </c:pt>
                <c:pt idx="405">
                  <c:v>5.84</c:v>
                </c:pt>
                <c:pt idx="406">
                  <c:v>6.36</c:v>
                </c:pt>
                <c:pt idx="407">
                  <c:v>5.94</c:v>
                </c:pt>
                <c:pt idx="408">
                  <c:v>6.3849999999999998</c:v>
                </c:pt>
                <c:pt idx="409">
                  <c:v>6.125</c:v>
                </c:pt>
                <c:pt idx="410">
                  <c:v>6.0649999999999897</c:v>
                </c:pt>
                <c:pt idx="411">
                  <c:v>5.9649999999999999</c:v>
                </c:pt>
                <c:pt idx="412">
                  <c:v>5.8949999999999996</c:v>
                </c:pt>
                <c:pt idx="413">
                  <c:v>5.4550000000000001</c:v>
                </c:pt>
                <c:pt idx="414">
                  <c:v>5.3949999999999996</c:v>
                </c:pt>
                <c:pt idx="415">
                  <c:v>5.1150000000000002</c:v>
                </c:pt>
                <c:pt idx="416">
                  <c:v>5.09</c:v>
                </c:pt>
                <c:pt idx="417">
                  <c:v>5.0249999999999897</c:v>
                </c:pt>
                <c:pt idx="418">
                  <c:v>4.91</c:v>
                </c:pt>
                <c:pt idx="419">
                  <c:v>4.8849999999999998</c:v>
                </c:pt>
                <c:pt idx="420">
                  <c:v>5.0449999999999999</c:v>
                </c:pt>
                <c:pt idx="421">
                  <c:v>5.0249999999999897</c:v>
                </c:pt>
                <c:pt idx="422">
                  <c:v>5.2</c:v>
                </c:pt>
                <c:pt idx="423">
                  <c:v>5.085</c:v>
                </c:pt>
                <c:pt idx="424">
                  <c:v>4.9649999999999999</c:v>
                </c:pt>
                <c:pt idx="425">
                  <c:v>4.9950000000000001</c:v>
                </c:pt>
                <c:pt idx="426">
                  <c:v>5.0750000000000002</c:v>
                </c:pt>
                <c:pt idx="427">
                  <c:v>4.9550000000000001</c:v>
                </c:pt>
                <c:pt idx="428">
                  <c:v>4.9050000000000002</c:v>
                </c:pt>
                <c:pt idx="429">
                  <c:v>4.7749999999999897</c:v>
                </c:pt>
                <c:pt idx="430">
                  <c:v>4.7050000000000001</c:v>
                </c:pt>
                <c:pt idx="431">
                  <c:v>4.7949999999999999</c:v>
                </c:pt>
                <c:pt idx="432">
                  <c:v>4.72</c:v>
                </c:pt>
                <c:pt idx="433">
                  <c:v>4.7249999999999996</c:v>
                </c:pt>
                <c:pt idx="434">
                  <c:v>4.7050000000000001</c:v>
                </c:pt>
                <c:pt idx="435">
                  <c:v>4.7649999999999997</c:v>
                </c:pt>
                <c:pt idx="436">
                  <c:v>4.76</c:v>
                </c:pt>
                <c:pt idx="437">
                  <c:v>4.7450000000000001</c:v>
                </c:pt>
                <c:pt idx="438">
                  <c:v>4.835</c:v>
                </c:pt>
                <c:pt idx="439">
                  <c:v>5.2149999999999999</c:v>
                </c:pt>
                <c:pt idx="440">
                  <c:v>5.5149999999999997</c:v>
                </c:pt>
                <c:pt idx="441">
                  <c:v>5.3049999999999997</c:v>
                </c:pt>
                <c:pt idx="442">
                  <c:v>5.3449999999999998</c:v>
                </c:pt>
                <c:pt idx="443">
                  <c:v>5.2450000000000001</c:v>
                </c:pt>
                <c:pt idx="444">
                  <c:v>5.125</c:v>
                </c:pt>
                <c:pt idx="445">
                  <c:v>5.0649999999999897</c:v>
                </c:pt>
                <c:pt idx="446">
                  <c:v>5.125</c:v>
                </c:pt>
                <c:pt idx="447">
                  <c:v>5.1749999999999998</c:v>
                </c:pt>
                <c:pt idx="448">
                  <c:v>5.12</c:v>
                </c:pt>
                <c:pt idx="449">
                  <c:v>5.2149999999999999</c:v>
                </c:pt>
                <c:pt idx="450">
                  <c:v>5.0449999999999999</c:v>
                </c:pt>
                <c:pt idx="451">
                  <c:v>5.0649999999999897</c:v>
                </c:pt>
                <c:pt idx="452">
                  <c:v>5.0049999999999999</c:v>
                </c:pt>
                <c:pt idx="453">
                  <c:v>4.9950000000000001</c:v>
                </c:pt>
                <c:pt idx="454">
                  <c:v>4.9649999999999999</c:v>
                </c:pt>
                <c:pt idx="455">
                  <c:v>4.9400000000000004</c:v>
                </c:pt>
                <c:pt idx="456">
                  <c:v>4.8650000000000002</c:v>
                </c:pt>
                <c:pt idx="457">
                  <c:v>4.7949999999999999</c:v>
                </c:pt>
                <c:pt idx="458">
                  <c:v>4.8449999999999998</c:v>
                </c:pt>
                <c:pt idx="459">
                  <c:v>4.9249999999999998</c:v>
                </c:pt>
                <c:pt idx="460">
                  <c:v>4.9550000000000001</c:v>
                </c:pt>
                <c:pt idx="461">
                  <c:v>4.9050000000000002</c:v>
                </c:pt>
                <c:pt idx="462">
                  <c:v>4.835</c:v>
                </c:pt>
                <c:pt idx="463">
                  <c:v>4.7549999999999999</c:v>
                </c:pt>
                <c:pt idx="464">
                  <c:v>4.7050000000000001</c:v>
                </c:pt>
                <c:pt idx="465">
                  <c:v>4.6349999999999998</c:v>
                </c:pt>
                <c:pt idx="466">
                  <c:v>4.7349999999999897</c:v>
                </c:pt>
                <c:pt idx="467">
                  <c:v>4.8650000000000002</c:v>
                </c:pt>
                <c:pt idx="468">
                  <c:v>4.9749999999999996</c:v>
                </c:pt>
                <c:pt idx="469">
                  <c:v>5.0649999999999897</c:v>
                </c:pt>
                <c:pt idx="470">
                  <c:v>5.0149999999999997</c:v>
                </c:pt>
                <c:pt idx="471">
                  <c:v>4.9849999999999897</c:v>
                </c:pt>
                <c:pt idx="472">
                  <c:v>4.915</c:v>
                </c:pt>
                <c:pt idx="473">
                  <c:v>4.88</c:v>
                </c:pt>
                <c:pt idx="474">
                  <c:v>4.9349999999999996</c:v>
                </c:pt>
                <c:pt idx="475">
                  <c:v>4.8949999999999996</c:v>
                </c:pt>
                <c:pt idx="476">
                  <c:v>4.8549999999999898</c:v>
                </c:pt>
                <c:pt idx="477">
                  <c:v>4.9749999999999996</c:v>
                </c:pt>
                <c:pt idx="478">
                  <c:v>4.8949999999999996</c:v>
                </c:pt>
                <c:pt idx="479">
                  <c:v>4.875</c:v>
                </c:pt>
                <c:pt idx="480">
                  <c:v>4.8849999999999998</c:v>
                </c:pt>
                <c:pt idx="481">
                  <c:v>4.8899999999999997</c:v>
                </c:pt>
                <c:pt idx="482">
                  <c:v>5.0049999999999999</c:v>
                </c:pt>
                <c:pt idx="483">
                  <c:v>5.1100000000000003</c:v>
                </c:pt>
                <c:pt idx="484">
                  <c:v>4.97</c:v>
                </c:pt>
                <c:pt idx="485">
                  <c:v>4.9950000000000001</c:v>
                </c:pt>
                <c:pt idx="486">
                  <c:v>4.9849999999999897</c:v>
                </c:pt>
                <c:pt idx="487">
                  <c:v>4.9249999999999998</c:v>
                </c:pt>
                <c:pt idx="488">
                  <c:v>4.8549999999999898</c:v>
                </c:pt>
                <c:pt idx="489">
                  <c:v>4.7649999999999997</c:v>
                </c:pt>
                <c:pt idx="490">
                  <c:v>4.7050000000000001</c:v>
                </c:pt>
                <c:pt idx="491">
                  <c:v>4.74</c:v>
                </c:pt>
                <c:pt idx="492">
                  <c:v>4.6449999999999996</c:v>
                </c:pt>
                <c:pt idx="493">
                  <c:v>4.6749999999999998</c:v>
                </c:pt>
                <c:pt idx="494">
                  <c:v>4.6150000000000002</c:v>
                </c:pt>
                <c:pt idx="495">
                  <c:v>4.5049999999999999</c:v>
                </c:pt>
                <c:pt idx="496">
                  <c:v>4.4950000000000001</c:v>
                </c:pt>
                <c:pt idx="497">
                  <c:v>4.4950000000000001</c:v>
                </c:pt>
                <c:pt idx="498">
                  <c:v>4.4849999999999897</c:v>
                </c:pt>
                <c:pt idx="499">
                  <c:v>4.4649999999999999</c:v>
                </c:pt>
                <c:pt idx="500">
                  <c:v>4.415</c:v>
                </c:pt>
                <c:pt idx="501">
                  <c:v>4.3650000000000002</c:v>
                </c:pt>
                <c:pt idx="502">
                  <c:v>4.3449999999999998</c:v>
                </c:pt>
                <c:pt idx="503">
                  <c:v>4.2850000000000001</c:v>
                </c:pt>
                <c:pt idx="504">
                  <c:v>4.2450000000000001</c:v>
                </c:pt>
                <c:pt idx="505">
                  <c:v>4.2749999999999897</c:v>
                </c:pt>
                <c:pt idx="506">
                  <c:v>4.2949999999999999</c:v>
                </c:pt>
                <c:pt idx="507">
                  <c:v>4.2949999999999999</c:v>
                </c:pt>
                <c:pt idx="508">
                  <c:v>4.2699999999999996</c:v>
                </c:pt>
                <c:pt idx="509">
                  <c:v>4.22</c:v>
                </c:pt>
                <c:pt idx="510">
                  <c:v>4.1399999999999997</c:v>
                </c:pt>
                <c:pt idx="511">
                  <c:v>4.16</c:v>
                </c:pt>
                <c:pt idx="512">
                  <c:v>4.18</c:v>
                </c:pt>
                <c:pt idx="513">
                  <c:v>4.1900000000000004</c:v>
                </c:pt>
                <c:pt idx="514">
                  <c:v>4.12</c:v>
                </c:pt>
                <c:pt idx="515">
                  <c:v>4.3649999999999904</c:v>
                </c:pt>
                <c:pt idx="516">
                  <c:v>4.3499999999999996</c:v>
                </c:pt>
                <c:pt idx="517">
                  <c:v>4.41</c:v>
                </c:pt>
                <c:pt idx="518">
                  <c:v>4.5350000000000001</c:v>
                </c:pt>
                <c:pt idx="519">
                  <c:v>4.7549999999999999</c:v>
                </c:pt>
                <c:pt idx="520">
                  <c:v>4.7349999999999897</c:v>
                </c:pt>
                <c:pt idx="521">
                  <c:v>4.8099999999999996</c:v>
                </c:pt>
                <c:pt idx="522">
                  <c:v>4.72</c:v>
                </c:pt>
                <c:pt idx="523">
                  <c:v>4.66</c:v>
                </c:pt>
                <c:pt idx="524">
                  <c:v>4.6900000000000004</c:v>
                </c:pt>
                <c:pt idx="525">
                  <c:v>4.7249999999999996</c:v>
                </c:pt>
                <c:pt idx="526">
                  <c:v>4.76</c:v>
                </c:pt>
                <c:pt idx="527">
                  <c:v>4.9749999999999996</c:v>
                </c:pt>
                <c:pt idx="528">
                  <c:v>4.9249999999999998</c:v>
                </c:pt>
                <c:pt idx="529">
                  <c:v>4.8499999999999996</c:v>
                </c:pt>
                <c:pt idx="530">
                  <c:v>4.7949999999999999</c:v>
                </c:pt>
                <c:pt idx="531">
                  <c:v>4.8049999999999997</c:v>
                </c:pt>
                <c:pt idx="532">
                  <c:v>4.6849999999999996</c:v>
                </c:pt>
                <c:pt idx="533">
                  <c:v>4.7349999999999897</c:v>
                </c:pt>
                <c:pt idx="534">
                  <c:v>4.7850000000000001</c:v>
                </c:pt>
                <c:pt idx="535">
                  <c:v>4.7949999999999999</c:v>
                </c:pt>
                <c:pt idx="536">
                  <c:v>4.8099999999999996</c:v>
                </c:pt>
                <c:pt idx="537">
                  <c:v>4.7249999999999996</c:v>
                </c:pt>
                <c:pt idx="538">
                  <c:v>4.7050000000000001</c:v>
                </c:pt>
                <c:pt idx="539">
                  <c:v>4.6349999999999998</c:v>
                </c:pt>
                <c:pt idx="540">
                  <c:v>4.5549999999999997</c:v>
                </c:pt>
                <c:pt idx="541">
                  <c:v>4.5350000000000001</c:v>
                </c:pt>
                <c:pt idx="542">
                  <c:v>4.5249999999999897</c:v>
                </c:pt>
                <c:pt idx="543">
                  <c:v>4.45</c:v>
                </c:pt>
                <c:pt idx="544">
                  <c:v>4.415</c:v>
                </c:pt>
                <c:pt idx="545">
                  <c:v>4.4249999999999998</c:v>
                </c:pt>
                <c:pt idx="546">
                  <c:v>4.45</c:v>
                </c:pt>
                <c:pt idx="547">
                  <c:v>4.4349999999999996</c:v>
                </c:pt>
                <c:pt idx="548">
                  <c:v>4.5249999999999897</c:v>
                </c:pt>
                <c:pt idx="549">
                  <c:v>4.4349999999999996</c:v>
                </c:pt>
                <c:pt idx="550">
                  <c:v>4.4449999999999896</c:v>
                </c:pt>
                <c:pt idx="551">
                  <c:v>4.5</c:v>
                </c:pt>
                <c:pt idx="552">
                  <c:v>4.34</c:v>
                </c:pt>
                <c:pt idx="553">
                  <c:v>4.2450000000000001</c:v>
                </c:pt>
                <c:pt idx="554">
                  <c:v>4.0750000000000002</c:v>
                </c:pt>
                <c:pt idx="555">
                  <c:v>4.1449999999999996</c:v>
                </c:pt>
                <c:pt idx="556">
                  <c:v>4.1449999999999996</c:v>
                </c:pt>
                <c:pt idx="557">
                  <c:v>4.0449999999999999</c:v>
                </c:pt>
                <c:pt idx="558">
                  <c:v>4.0149999999999997</c:v>
                </c:pt>
                <c:pt idx="559">
                  <c:v>4.0149999999999997</c:v>
                </c:pt>
                <c:pt idx="560">
                  <c:v>3.9349999999999898</c:v>
                </c:pt>
                <c:pt idx="561">
                  <c:v>3.89</c:v>
                </c:pt>
                <c:pt idx="562">
                  <c:v>4.07</c:v>
                </c:pt>
                <c:pt idx="563">
                  <c:v>4.0599999999999996</c:v>
                </c:pt>
                <c:pt idx="564">
                  <c:v>4.05</c:v>
                </c:pt>
                <c:pt idx="565">
                  <c:v>3.9249999999999998</c:v>
                </c:pt>
                <c:pt idx="566">
                  <c:v>3.915</c:v>
                </c:pt>
                <c:pt idx="567">
                  <c:v>3.9249999999999998</c:v>
                </c:pt>
                <c:pt idx="568">
                  <c:v>3.9049999999999998</c:v>
                </c:pt>
                <c:pt idx="569">
                  <c:v>3.9249999999999998</c:v>
                </c:pt>
                <c:pt idx="570">
                  <c:v>3.915</c:v>
                </c:pt>
                <c:pt idx="571">
                  <c:v>3.89</c:v>
                </c:pt>
                <c:pt idx="572">
                  <c:v>3.835</c:v>
                </c:pt>
                <c:pt idx="573">
                  <c:v>3.875</c:v>
                </c:pt>
                <c:pt idx="574">
                  <c:v>3.86</c:v>
                </c:pt>
                <c:pt idx="575">
                  <c:v>3.8149999999999999</c:v>
                </c:pt>
                <c:pt idx="576">
                  <c:v>3.83</c:v>
                </c:pt>
                <c:pt idx="577">
                  <c:v>3.9049999999999998</c:v>
                </c:pt>
                <c:pt idx="578">
                  <c:v>3.82</c:v>
                </c:pt>
                <c:pt idx="579">
                  <c:v>3.82</c:v>
                </c:pt>
                <c:pt idx="580">
                  <c:v>3.82</c:v>
                </c:pt>
                <c:pt idx="581">
                  <c:v>3.9</c:v>
                </c:pt>
                <c:pt idx="582">
                  <c:v>3.85</c:v>
                </c:pt>
                <c:pt idx="583">
                  <c:v>3.83</c:v>
                </c:pt>
                <c:pt idx="584">
                  <c:v>3.87</c:v>
                </c:pt>
                <c:pt idx="585">
                  <c:v>4.03</c:v>
                </c:pt>
                <c:pt idx="586">
                  <c:v>3.915</c:v>
                </c:pt>
                <c:pt idx="587">
                  <c:v>3.9049999999999998</c:v>
                </c:pt>
                <c:pt idx="588">
                  <c:v>3.8049999999999899</c:v>
                </c:pt>
                <c:pt idx="589">
                  <c:v>3.85</c:v>
                </c:pt>
                <c:pt idx="590">
                  <c:v>3.8049999999999899</c:v>
                </c:pt>
                <c:pt idx="591">
                  <c:v>3.79</c:v>
                </c:pt>
                <c:pt idx="592">
                  <c:v>3.7549999999999999</c:v>
                </c:pt>
                <c:pt idx="593">
                  <c:v>3.7149999999999999</c:v>
                </c:pt>
                <c:pt idx="594">
                  <c:v>3.73</c:v>
                </c:pt>
                <c:pt idx="595">
                  <c:v>3.7</c:v>
                </c:pt>
                <c:pt idx="596">
                  <c:v>3.59499999999999</c:v>
                </c:pt>
                <c:pt idx="597">
                  <c:v>3.6349999999999998</c:v>
                </c:pt>
                <c:pt idx="598">
                  <c:v>3.585</c:v>
                </c:pt>
                <c:pt idx="599">
                  <c:v>3.585</c:v>
                </c:pt>
                <c:pt idx="600">
                  <c:v>3.57</c:v>
                </c:pt>
                <c:pt idx="601">
                  <c:v>3.4849999999999999</c:v>
                </c:pt>
                <c:pt idx="602">
                  <c:v>3.4549999999999899</c:v>
                </c:pt>
                <c:pt idx="603">
                  <c:v>3.415</c:v>
                </c:pt>
                <c:pt idx="604">
                  <c:v>3.4749999999999899</c:v>
                </c:pt>
                <c:pt idx="605">
                  <c:v>3.48999999999999</c:v>
                </c:pt>
                <c:pt idx="606">
                  <c:v>3.52</c:v>
                </c:pt>
                <c:pt idx="607">
                  <c:v>3.585</c:v>
                </c:pt>
                <c:pt idx="608">
                  <c:v>3.48999999999999</c:v>
                </c:pt>
                <c:pt idx="609">
                  <c:v>3.4749999999999899</c:v>
                </c:pt>
                <c:pt idx="610">
                  <c:v>3.44999999999999</c:v>
                </c:pt>
                <c:pt idx="611">
                  <c:v>3.39</c:v>
                </c:pt>
                <c:pt idx="612">
                  <c:v>3.3</c:v>
                </c:pt>
                <c:pt idx="613">
                  <c:v>3.26</c:v>
                </c:pt>
                <c:pt idx="614">
                  <c:v>3.3149999999999999</c:v>
                </c:pt>
                <c:pt idx="615">
                  <c:v>3.2949999999999999</c:v>
                </c:pt>
                <c:pt idx="616">
                  <c:v>3.335</c:v>
                </c:pt>
                <c:pt idx="617">
                  <c:v>3.3149999999999999</c:v>
                </c:pt>
                <c:pt idx="618">
                  <c:v>3.32499999999999</c:v>
                </c:pt>
                <c:pt idx="619">
                  <c:v>3.2649999999999899</c:v>
                </c:pt>
                <c:pt idx="620">
                  <c:v>3.2349999999999999</c:v>
                </c:pt>
                <c:pt idx="621">
                  <c:v>3.27</c:v>
                </c:pt>
                <c:pt idx="622">
                  <c:v>3.2649999999999899</c:v>
                </c:pt>
                <c:pt idx="623">
                  <c:v>3.2449999999999899</c:v>
                </c:pt>
                <c:pt idx="624">
                  <c:v>3.2949999999999999</c:v>
                </c:pt>
                <c:pt idx="625">
                  <c:v>3.2749999999999999</c:v>
                </c:pt>
                <c:pt idx="626">
                  <c:v>3.2649999999999899</c:v>
                </c:pt>
                <c:pt idx="627">
                  <c:v>3.32499999999999</c:v>
                </c:pt>
                <c:pt idx="628">
                  <c:v>3.3049999999999899</c:v>
                </c:pt>
                <c:pt idx="629">
                  <c:v>3.34499999999999</c:v>
                </c:pt>
                <c:pt idx="630">
                  <c:v>3.4549999999999899</c:v>
                </c:pt>
                <c:pt idx="631">
                  <c:v>3.48</c:v>
                </c:pt>
                <c:pt idx="632">
                  <c:v>3.48</c:v>
                </c:pt>
                <c:pt idx="633">
                  <c:v>3.51</c:v>
                </c:pt>
                <c:pt idx="634">
                  <c:v>3.46</c:v>
                </c:pt>
                <c:pt idx="635">
                  <c:v>3.4449999999999998</c:v>
                </c:pt>
                <c:pt idx="636">
                  <c:v>3.58</c:v>
                </c:pt>
                <c:pt idx="637">
                  <c:v>3.49</c:v>
                </c:pt>
                <c:pt idx="638">
                  <c:v>3.52</c:v>
                </c:pt>
                <c:pt idx="639">
                  <c:v>3.49</c:v>
                </c:pt>
                <c:pt idx="640">
                  <c:v>3.38</c:v>
                </c:pt>
                <c:pt idx="641">
                  <c:v>3.335</c:v>
                </c:pt>
                <c:pt idx="642">
                  <c:v>3.35</c:v>
                </c:pt>
                <c:pt idx="643">
                  <c:v>3.2749999999999999</c:v>
                </c:pt>
                <c:pt idx="644">
                  <c:v>3.34499999999999</c:v>
                </c:pt>
                <c:pt idx="645">
                  <c:v>3.4349999999999898</c:v>
                </c:pt>
                <c:pt idx="646">
                  <c:v>3.5149999999999899</c:v>
                </c:pt>
                <c:pt idx="647">
                  <c:v>3.76</c:v>
                </c:pt>
                <c:pt idx="648">
                  <c:v>3.835</c:v>
                </c:pt>
                <c:pt idx="649">
                  <c:v>3.9049999999999998</c:v>
                </c:pt>
                <c:pt idx="650">
                  <c:v>3.88</c:v>
                </c:pt>
                <c:pt idx="651">
                  <c:v>4.41</c:v>
                </c:pt>
                <c:pt idx="652">
                  <c:v>4.2149999999999999</c:v>
                </c:pt>
                <c:pt idx="653">
                  <c:v>4.46</c:v>
                </c:pt>
                <c:pt idx="654">
                  <c:v>4.2949999999999999</c:v>
                </c:pt>
                <c:pt idx="655">
                  <c:v>4.26</c:v>
                </c:pt>
                <c:pt idx="656">
                  <c:v>4.3149999999999897</c:v>
                </c:pt>
                <c:pt idx="657">
                  <c:v>4.3250000000000002</c:v>
                </c:pt>
                <c:pt idx="658">
                  <c:v>4.3250000000000002</c:v>
                </c:pt>
                <c:pt idx="659">
                  <c:v>4.53</c:v>
                </c:pt>
                <c:pt idx="660">
                  <c:v>4.4349999999999996</c:v>
                </c:pt>
                <c:pt idx="661">
                  <c:v>4.4950000000000001</c:v>
                </c:pt>
                <c:pt idx="662">
                  <c:v>4.5199999999999996</c:v>
                </c:pt>
                <c:pt idx="663">
                  <c:v>4.4249999999999998</c:v>
                </c:pt>
                <c:pt idx="664">
                  <c:v>4.2450000000000001</c:v>
                </c:pt>
                <c:pt idx="665">
                  <c:v>4.1449999999999996</c:v>
                </c:pt>
                <c:pt idx="666">
                  <c:v>4.1550000000000002</c:v>
                </c:pt>
                <c:pt idx="667">
                  <c:v>4.2050000000000001</c:v>
                </c:pt>
                <c:pt idx="668">
                  <c:v>4.08</c:v>
                </c:pt>
                <c:pt idx="669">
                  <c:v>4.0249999999999897</c:v>
                </c:pt>
                <c:pt idx="670">
                  <c:v>4.1100000000000003</c:v>
                </c:pt>
                <c:pt idx="671">
                  <c:v>4.2749999999999897</c:v>
                </c:pt>
                <c:pt idx="672">
                  <c:v>4.1449999999999996</c:v>
                </c:pt>
                <c:pt idx="673">
                  <c:v>4.2149999999999999</c:v>
                </c:pt>
                <c:pt idx="674">
                  <c:v>4.335</c:v>
                </c:pt>
                <c:pt idx="675">
                  <c:v>4.3449999999999998</c:v>
                </c:pt>
                <c:pt idx="676">
                  <c:v>4.3949999999999996</c:v>
                </c:pt>
                <c:pt idx="677">
                  <c:v>4.4050000000000002</c:v>
                </c:pt>
                <c:pt idx="678">
                  <c:v>4.4800000000000004</c:v>
                </c:pt>
                <c:pt idx="679">
                  <c:v>4.4349999999999996</c:v>
                </c:pt>
                <c:pt idx="680">
                  <c:v>4.335</c:v>
                </c:pt>
                <c:pt idx="681">
                  <c:v>4.3149999999999897</c:v>
                </c:pt>
                <c:pt idx="682">
                  <c:v>4.2450000000000001</c:v>
                </c:pt>
                <c:pt idx="683">
                  <c:v>4.1550000000000002</c:v>
                </c:pt>
                <c:pt idx="684">
                  <c:v>4.2050000000000001</c:v>
                </c:pt>
                <c:pt idx="685">
                  <c:v>4.2549999999999999</c:v>
                </c:pt>
                <c:pt idx="686">
                  <c:v>4.2949999999999999</c:v>
                </c:pt>
                <c:pt idx="687">
                  <c:v>4.2050000000000001</c:v>
                </c:pt>
                <c:pt idx="688">
                  <c:v>4.2699999999999996</c:v>
                </c:pt>
                <c:pt idx="689">
                  <c:v>4.22</c:v>
                </c:pt>
                <c:pt idx="690">
                  <c:v>4.3</c:v>
                </c:pt>
                <c:pt idx="691">
                  <c:v>4.335</c:v>
                </c:pt>
                <c:pt idx="692">
                  <c:v>4.2649999999999997</c:v>
                </c:pt>
                <c:pt idx="693">
                  <c:v>4.1949999999999896</c:v>
                </c:pt>
                <c:pt idx="694">
                  <c:v>4.2300000000000004</c:v>
                </c:pt>
                <c:pt idx="695">
                  <c:v>4.2149999999999999</c:v>
                </c:pt>
                <c:pt idx="696">
                  <c:v>4.1100000000000003</c:v>
                </c:pt>
                <c:pt idx="697">
                  <c:v>4.0999999999999996</c:v>
                </c:pt>
                <c:pt idx="698">
                  <c:v>4.04</c:v>
                </c:pt>
                <c:pt idx="699">
                  <c:v>4.0199999999999996</c:v>
                </c:pt>
                <c:pt idx="700">
                  <c:v>4.0149999999999997</c:v>
                </c:pt>
                <c:pt idx="701">
                  <c:v>4.0999999999999996</c:v>
                </c:pt>
                <c:pt idx="702">
                  <c:v>4.07</c:v>
                </c:pt>
                <c:pt idx="703">
                  <c:v>4.0149999999999997</c:v>
                </c:pt>
                <c:pt idx="704">
                  <c:v>3.9950000000000001</c:v>
                </c:pt>
                <c:pt idx="705">
                  <c:v>4.0750000000000002</c:v>
                </c:pt>
                <c:pt idx="706">
                  <c:v>4.03</c:v>
                </c:pt>
                <c:pt idx="707">
                  <c:v>4.03</c:v>
                </c:pt>
                <c:pt idx="708">
                  <c:v>4.0199999999999996</c:v>
                </c:pt>
                <c:pt idx="709">
                  <c:v>4.0649999999999897</c:v>
                </c:pt>
                <c:pt idx="710">
                  <c:v>4.0199999999999996</c:v>
                </c:pt>
                <c:pt idx="711">
                  <c:v>3.9749999999999899</c:v>
                </c:pt>
                <c:pt idx="712">
                  <c:v>3.9749999999999899</c:v>
                </c:pt>
                <c:pt idx="713">
                  <c:v>3.9749999999999899</c:v>
                </c:pt>
                <c:pt idx="714">
                  <c:v>3.9950000000000001</c:v>
                </c:pt>
                <c:pt idx="715">
                  <c:v>4.1050000000000004</c:v>
                </c:pt>
                <c:pt idx="716">
                  <c:v>4.0750000000000002</c:v>
                </c:pt>
                <c:pt idx="717">
                  <c:v>4.04</c:v>
                </c:pt>
                <c:pt idx="718">
                  <c:v>3.9950000000000001</c:v>
                </c:pt>
                <c:pt idx="719">
                  <c:v>3.8450000000000002</c:v>
                </c:pt>
                <c:pt idx="720">
                  <c:v>3.7949999999999999</c:v>
                </c:pt>
                <c:pt idx="721">
                  <c:v>3.855</c:v>
                </c:pt>
                <c:pt idx="722">
                  <c:v>3.8949999999999898</c:v>
                </c:pt>
                <c:pt idx="723">
                  <c:v>3.8849999999999998</c:v>
                </c:pt>
                <c:pt idx="724">
                  <c:v>3.8650000000000002</c:v>
                </c:pt>
                <c:pt idx="725">
                  <c:v>3.8450000000000002</c:v>
                </c:pt>
                <c:pt idx="726">
                  <c:v>3.7650000000000001</c:v>
                </c:pt>
                <c:pt idx="727">
                  <c:v>3.8050000000000002</c:v>
                </c:pt>
                <c:pt idx="728">
                  <c:v>3.69999999999999</c:v>
                </c:pt>
                <c:pt idx="729">
                  <c:v>3.73</c:v>
                </c:pt>
                <c:pt idx="730">
                  <c:v>3.77</c:v>
                </c:pt>
                <c:pt idx="731">
                  <c:v>3.63</c:v>
                </c:pt>
                <c:pt idx="732">
                  <c:v>3.56</c:v>
                </c:pt>
                <c:pt idx="733">
                  <c:v>3.5549999999999899</c:v>
                </c:pt>
                <c:pt idx="734">
                  <c:v>3.56</c:v>
                </c:pt>
                <c:pt idx="735">
                  <c:v>3.5149999999999899</c:v>
                </c:pt>
                <c:pt idx="736">
                  <c:v>3.59</c:v>
                </c:pt>
                <c:pt idx="737">
                  <c:v>3.6599999999999899</c:v>
                </c:pt>
                <c:pt idx="738">
                  <c:v>3.69999999999999</c:v>
                </c:pt>
                <c:pt idx="739">
                  <c:v>3.65</c:v>
                </c:pt>
                <c:pt idx="740">
                  <c:v>3.76</c:v>
                </c:pt>
                <c:pt idx="741">
                  <c:v>3.6799999999999899</c:v>
                </c:pt>
                <c:pt idx="742">
                  <c:v>3.59</c:v>
                </c:pt>
                <c:pt idx="743">
                  <c:v>3.6</c:v>
                </c:pt>
                <c:pt idx="744">
                  <c:v>3.56</c:v>
                </c:pt>
                <c:pt idx="745">
                  <c:v>3.59499999999999</c:v>
                </c:pt>
                <c:pt idx="746">
                  <c:v>3.55</c:v>
                </c:pt>
                <c:pt idx="747">
                  <c:v>3.58</c:v>
                </c:pt>
                <c:pt idx="748">
                  <c:v>3.69999999999999</c:v>
                </c:pt>
                <c:pt idx="749">
                  <c:v>3.75</c:v>
                </c:pt>
                <c:pt idx="750">
                  <c:v>3.7649999999999899</c:v>
                </c:pt>
                <c:pt idx="751">
                  <c:v>3.77</c:v>
                </c:pt>
                <c:pt idx="752">
                  <c:v>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478848"/>
        <c:axId val="304488832"/>
      </c:lineChart>
      <c:dateAx>
        <c:axId val="3044788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4488832"/>
        <c:crosses val="autoZero"/>
        <c:auto val="1"/>
        <c:lblOffset val="100"/>
        <c:baseTimeUnit val="days"/>
      </c:dateAx>
      <c:valAx>
        <c:axId val="30448883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04478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'Low Rate Result'!$F$2</c:f>
              <c:strCache>
                <c:ptCount val="1"/>
                <c:pt idx="0">
                  <c:v>Lowest Rate Weekly-cerrect</c:v>
                </c:pt>
              </c:strCache>
            </c:strRef>
          </c:tx>
          <c:spPr>
            <a:ln w="19050"/>
          </c:spPr>
          <c:invertIfNegative val="0"/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Result'!$F$3:$F$233</c:f>
              <c:numCache>
                <c:formatCode>0.00%</c:formatCode>
                <c:ptCount val="231"/>
                <c:pt idx="0">
                  <c:v>0</c:v>
                </c:pt>
                <c:pt idx="1">
                  <c:v>5.80030998251819E-5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4.9225242343752603E-4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3.6012387911354998E-4</c:v>
                </c:pt>
                <c:pt idx="16">
                  <c:v>3.6290053539469699E-4</c:v>
                </c:pt>
                <c:pt idx="17">
                  <c:v>1.82362980081562E-3</c:v>
                </c:pt>
                <c:pt idx="18">
                  <c:v>4.5959167751793003E-3</c:v>
                </c:pt>
                <c:pt idx="19">
                  <c:v>4.6431452038205798E-3</c:v>
                </c:pt>
                <c:pt idx="20">
                  <c:v>4.6547514757033599E-3</c:v>
                </c:pt>
                <c:pt idx="21">
                  <c:v>7.3340957383171597E-3</c:v>
                </c:pt>
                <c:pt idx="22">
                  <c:v>1.05889699277147E-2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6.2583851957797503E-4</c:v>
                </c:pt>
                <c:pt idx="28">
                  <c:v>0</c:v>
                </c:pt>
                <c:pt idx="29">
                  <c:v>0</c:v>
                </c:pt>
                <c:pt idx="30">
                  <c:v>1.93393301571353E-2</c:v>
                </c:pt>
                <c:pt idx="31">
                  <c:v>3.6312412114141997E-2</c:v>
                </c:pt>
                <c:pt idx="32">
                  <c:v>0.76977670194978398</c:v>
                </c:pt>
                <c:pt idx="33">
                  <c:v>0</c:v>
                </c:pt>
                <c:pt idx="34">
                  <c:v>0</c:v>
                </c:pt>
                <c:pt idx="35">
                  <c:v>0.786160649616369</c:v>
                </c:pt>
                <c:pt idx="36">
                  <c:v>0.78833832359916201</c:v>
                </c:pt>
                <c:pt idx="37">
                  <c:v>0</c:v>
                </c:pt>
                <c:pt idx="38">
                  <c:v>0.83561176946303795</c:v>
                </c:pt>
                <c:pt idx="39">
                  <c:v>0.82194247765297301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8.7950076846855297E-4</c:v>
                </c:pt>
                <c:pt idx="45">
                  <c:v>0</c:v>
                </c:pt>
                <c:pt idx="46">
                  <c:v>8.8101230968728496E-4</c:v>
                </c:pt>
                <c:pt idx="47">
                  <c:v>0</c:v>
                </c:pt>
                <c:pt idx="48">
                  <c:v>6.7786594921879302E-4</c:v>
                </c:pt>
                <c:pt idx="49">
                  <c:v>0.79669049657242397</c:v>
                </c:pt>
                <c:pt idx="50">
                  <c:v>0.82559057548597004</c:v>
                </c:pt>
                <c:pt idx="51">
                  <c:v>0</c:v>
                </c:pt>
                <c:pt idx="52">
                  <c:v>0</c:v>
                </c:pt>
                <c:pt idx="53">
                  <c:v>0.81663205917875104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7.6028475141971797E-4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0.80265108338267499</c:v>
                </c:pt>
                <c:pt idx="67">
                  <c:v>0</c:v>
                </c:pt>
                <c:pt idx="68">
                  <c:v>0.80265108338267499</c:v>
                </c:pt>
                <c:pt idx="69">
                  <c:v>0.80415566862182497</c:v>
                </c:pt>
                <c:pt idx="70">
                  <c:v>0.80754152596055995</c:v>
                </c:pt>
                <c:pt idx="71">
                  <c:v>0.831927164274886</c:v>
                </c:pt>
                <c:pt idx="72">
                  <c:v>0</c:v>
                </c:pt>
                <c:pt idx="73">
                  <c:v>0.83309495413351498</c:v>
                </c:pt>
                <c:pt idx="74">
                  <c:v>0.86123151402869003</c:v>
                </c:pt>
                <c:pt idx="75">
                  <c:v>0</c:v>
                </c:pt>
                <c:pt idx="76">
                  <c:v>0.86355719580735102</c:v>
                </c:pt>
                <c:pt idx="77">
                  <c:v>0.86355719580735102</c:v>
                </c:pt>
                <c:pt idx="78">
                  <c:v>0.85480310148891403</c:v>
                </c:pt>
                <c:pt idx="79">
                  <c:v>0.88306588959651799</c:v>
                </c:pt>
                <c:pt idx="80">
                  <c:v>0.88557582733423201</c:v>
                </c:pt>
                <c:pt idx="81">
                  <c:v>0.89854811201564799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3.4287960012666001E-3</c:v>
                </c:pt>
                <c:pt idx="89">
                  <c:v>0.87391634150534703</c:v>
                </c:pt>
                <c:pt idx="90">
                  <c:v>0.91307424668051995</c:v>
                </c:pt>
                <c:pt idx="91">
                  <c:v>0.89337068210282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3.6805392889150699E-3</c:v>
                </c:pt>
                <c:pt idx="98">
                  <c:v>0.88870182147749199</c:v>
                </c:pt>
                <c:pt idx="99">
                  <c:v>0</c:v>
                </c:pt>
                <c:pt idx="100">
                  <c:v>0</c:v>
                </c:pt>
                <c:pt idx="101">
                  <c:v>1.92397129365898E-3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5.4993651942507197E-4</c:v>
                </c:pt>
                <c:pt idx="111">
                  <c:v>0</c:v>
                </c:pt>
                <c:pt idx="112">
                  <c:v>5.5309707563809801E-4</c:v>
                </c:pt>
                <c:pt idx="113">
                  <c:v>7.62863846133132E-4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3.9681299102296798E-3</c:v>
                </c:pt>
                <c:pt idx="119">
                  <c:v>5.4959854023419203E-3</c:v>
                </c:pt>
                <c:pt idx="120">
                  <c:v>0</c:v>
                </c:pt>
                <c:pt idx="121">
                  <c:v>9.3714860500272602E-3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1.2070812662829E-4</c:v>
                </c:pt>
                <c:pt idx="142">
                  <c:v>8.9334697556313401E-4</c:v>
                </c:pt>
                <c:pt idx="143">
                  <c:v>1.7927762872913E-3</c:v>
                </c:pt>
                <c:pt idx="144">
                  <c:v>0</c:v>
                </c:pt>
                <c:pt idx="145">
                  <c:v>0</c:v>
                </c:pt>
                <c:pt idx="146">
                  <c:v>4.7022607373106203E-3</c:v>
                </c:pt>
                <c:pt idx="147">
                  <c:v>6.1587902327108696E-3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1.04165660314928E-4</c:v>
                </c:pt>
                <c:pt idx="158">
                  <c:v>4.3244857845843099E-4</c:v>
                </c:pt>
                <c:pt idx="159">
                  <c:v>4.3538471617421198E-4</c:v>
                </c:pt>
                <c:pt idx="160">
                  <c:v>9.04155248858617E-4</c:v>
                </c:pt>
                <c:pt idx="161">
                  <c:v>1.56502134325395E-3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3.2608018628066501E-4</c:v>
                </c:pt>
                <c:pt idx="171">
                  <c:v>1.3569924293908599E-3</c:v>
                </c:pt>
                <c:pt idx="172">
                  <c:v>0</c:v>
                </c:pt>
                <c:pt idx="173">
                  <c:v>0</c:v>
                </c:pt>
                <c:pt idx="174">
                  <c:v>1.33698656511534E-2</c:v>
                </c:pt>
                <c:pt idx="175">
                  <c:v>1.3390108612719401E-2</c:v>
                </c:pt>
                <c:pt idx="176">
                  <c:v>1.7600292816905099E-2</c:v>
                </c:pt>
                <c:pt idx="177">
                  <c:v>2.8641136811507002E-2</c:v>
                </c:pt>
                <c:pt idx="178">
                  <c:v>3.2896088379140397E-2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4.9242422986382497E-2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5.9130346511517896E-4</c:v>
                </c:pt>
                <c:pt idx="189">
                  <c:v>5.44200843584444E-2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1.00775509847578E-3</c:v>
                </c:pt>
                <c:pt idx="197">
                  <c:v>9.0356790924596503E-2</c:v>
                </c:pt>
                <c:pt idx="198">
                  <c:v>0.103644934949105</c:v>
                </c:pt>
                <c:pt idx="199">
                  <c:v>0</c:v>
                </c:pt>
                <c:pt idx="200">
                  <c:v>0</c:v>
                </c:pt>
                <c:pt idx="201">
                  <c:v>1.4902494177175701E-3</c:v>
                </c:pt>
                <c:pt idx="202">
                  <c:v>1.9465534524820899E-3</c:v>
                </c:pt>
                <c:pt idx="203">
                  <c:v>1.9601498700341099E-3</c:v>
                </c:pt>
                <c:pt idx="204">
                  <c:v>0.106230521131833</c:v>
                </c:pt>
                <c:pt idx="205">
                  <c:v>0</c:v>
                </c:pt>
                <c:pt idx="206">
                  <c:v>0.127103043508559</c:v>
                </c:pt>
                <c:pt idx="207">
                  <c:v>0</c:v>
                </c:pt>
                <c:pt idx="208">
                  <c:v>0</c:v>
                </c:pt>
                <c:pt idx="209">
                  <c:v>0.14268475210645201</c:v>
                </c:pt>
                <c:pt idx="210">
                  <c:v>0.177765501913389</c:v>
                </c:pt>
                <c:pt idx="211">
                  <c:v>0.17811212012226099</c:v>
                </c:pt>
                <c:pt idx="212">
                  <c:v>0</c:v>
                </c:pt>
                <c:pt idx="213">
                  <c:v>0.17933240004933601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9.60298428502188E-4</c:v>
                </c:pt>
                <c:pt idx="221">
                  <c:v>0</c:v>
                </c:pt>
                <c:pt idx="222">
                  <c:v>3.87908393633439E-3</c:v>
                </c:pt>
                <c:pt idx="223">
                  <c:v>0</c:v>
                </c:pt>
                <c:pt idx="224">
                  <c:v>3.9431628666260904E-3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4835968"/>
        <c:axId val="304837760"/>
      </c:barChart>
      <c:lineChart>
        <c:grouping val="standard"/>
        <c:varyColors val="0"/>
        <c:ser>
          <c:idx val="0"/>
          <c:order val="0"/>
          <c:tx>
            <c:strRef>
              <c:f>'Low Rate Result'!$C$2</c:f>
              <c:strCache>
                <c:ptCount val="1"/>
                <c:pt idx="0">
                  <c:v>Without Lowest Rate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Result'!$C$3:$C$233</c:f>
              <c:numCache>
                <c:formatCode>0.00%</c:formatCode>
                <c:ptCount val="231"/>
                <c:pt idx="0">
                  <c:v>0.477996028899563</c:v>
                </c:pt>
                <c:pt idx="1">
                  <c:v>0.49650185657562101</c:v>
                </c:pt>
                <c:pt idx="2">
                  <c:v>0.48029569588235599</c:v>
                </c:pt>
                <c:pt idx="3">
                  <c:v>0.47679593730615699</c:v>
                </c:pt>
                <c:pt idx="4">
                  <c:v>0.43462013043084002</c:v>
                </c:pt>
                <c:pt idx="5">
                  <c:v>0.35529176669040102</c:v>
                </c:pt>
                <c:pt idx="6">
                  <c:v>0.37678804128174298</c:v>
                </c:pt>
                <c:pt idx="7">
                  <c:v>0.41551493659156002</c:v>
                </c:pt>
                <c:pt idx="8">
                  <c:v>0.42215163100202302</c:v>
                </c:pt>
                <c:pt idx="9">
                  <c:v>0.42124985629360401</c:v>
                </c:pt>
                <c:pt idx="10">
                  <c:v>0.46784663358763601</c:v>
                </c:pt>
                <c:pt idx="11">
                  <c:v>0.450158099668103</c:v>
                </c:pt>
                <c:pt idx="12">
                  <c:v>0.42282958858632702</c:v>
                </c:pt>
                <c:pt idx="13">
                  <c:v>0.414778538159287</c:v>
                </c:pt>
                <c:pt idx="14">
                  <c:v>0.41340612440810998</c:v>
                </c:pt>
                <c:pt idx="15">
                  <c:v>0.44381782258269298</c:v>
                </c:pt>
                <c:pt idx="16">
                  <c:v>0.44565511936132601</c:v>
                </c:pt>
                <c:pt idx="17">
                  <c:v>0.45891120103405703</c:v>
                </c:pt>
                <c:pt idx="18">
                  <c:v>0.50042582297659</c:v>
                </c:pt>
                <c:pt idx="19">
                  <c:v>0.50447592982476996</c:v>
                </c:pt>
                <c:pt idx="20">
                  <c:v>0.50568534347274297</c:v>
                </c:pt>
                <c:pt idx="21">
                  <c:v>0.53450860338875705</c:v>
                </c:pt>
                <c:pt idx="22">
                  <c:v>0.55556126357331004</c:v>
                </c:pt>
                <c:pt idx="23">
                  <c:v>0.55544034698333999</c:v>
                </c:pt>
                <c:pt idx="24">
                  <c:v>0.53450860338875705</c:v>
                </c:pt>
                <c:pt idx="25">
                  <c:v>0.55445082777023702</c:v>
                </c:pt>
                <c:pt idx="26">
                  <c:v>0.49771283747510803</c:v>
                </c:pt>
                <c:pt idx="27">
                  <c:v>0.55014388201104203</c:v>
                </c:pt>
                <c:pt idx="28">
                  <c:v>0.53018048409344898</c:v>
                </c:pt>
                <c:pt idx="29">
                  <c:v>0.52333294764067595</c:v>
                </c:pt>
                <c:pt idx="30">
                  <c:v>0.59636201439054404</c:v>
                </c:pt>
                <c:pt idx="31">
                  <c:v>0.68796050816059295</c:v>
                </c:pt>
                <c:pt idx="32">
                  <c:v>0.76968967049094095</c:v>
                </c:pt>
                <c:pt idx="33">
                  <c:v>0.73013076231760698</c:v>
                </c:pt>
                <c:pt idx="34">
                  <c:v>0.72518805605942505</c:v>
                </c:pt>
                <c:pt idx="35">
                  <c:v>0.78586619764471199</c:v>
                </c:pt>
                <c:pt idx="36">
                  <c:v>0.78804143101353397</c:v>
                </c:pt>
                <c:pt idx="37">
                  <c:v>0.78804143101353397</c:v>
                </c:pt>
                <c:pt idx="38">
                  <c:v>0.83535228019697605</c:v>
                </c:pt>
                <c:pt idx="39">
                  <c:v>0.82324225699227804</c:v>
                </c:pt>
                <c:pt idx="40">
                  <c:v>0.75043074974252599</c:v>
                </c:pt>
                <c:pt idx="41">
                  <c:v>0.76889855223368597</c:v>
                </c:pt>
                <c:pt idx="42">
                  <c:v>0.77033919514702098</c:v>
                </c:pt>
                <c:pt idx="43">
                  <c:v>0.80719780316763601</c:v>
                </c:pt>
                <c:pt idx="44">
                  <c:v>0.80724570771905702</c:v>
                </c:pt>
                <c:pt idx="45">
                  <c:v>0.80719780316763601</c:v>
                </c:pt>
                <c:pt idx="46">
                  <c:v>0.80850149462655696</c:v>
                </c:pt>
                <c:pt idx="47">
                  <c:v>0.79441104681633201</c:v>
                </c:pt>
                <c:pt idx="48">
                  <c:v>0.79445840936885304</c:v>
                </c:pt>
                <c:pt idx="49">
                  <c:v>0.79646175435893696</c:v>
                </c:pt>
                <c:pt idx="50">
                  <c:v>0.82537040355923197</c:v>
                </c:pt>
                <c:pt idx="51">
                  <c:v>0.81734633197465201</c:v>
                </c:pt>
                <c:pt idx="52">
                  <c:v>0.80629912189469399</c:v>
                </c:pt>
                <c:pt idx="53">
                  <c:v>0.81626218699844599</c:v>
                </c:pt>
                <c:pt idx="54">
                  <c:v>0.81461584859780101</c:v>
                </c:pt>
                <c:pt idx="55">
                  <c:v>0.78339393568549298</c:v>
                </c:pt>
                <c:pt idx="56">
                  <c:v>0.79842547980239797</c:v>
                </c:pt>
                <c:pt idx="57">
                  <c:v>0.79842547980239797</c:v>
                </c:pt>
                <c:pt idx="58">
                  <c:v>0.79842547980239797</c:v>
                </c:pt>
                <c:pt idx="59">
                  <c:v>0.76669716579457303</c:v>
                </c:pt>
                <c:pt idx="60">
                  <c:v>0.77480777056815697</c:v>
                </c:pt>
                <c:pt idx="61">
                  <c:v>0.78283886771012201</c:v>
                </c:pt>
                <c:pt idx="62">
                  <c:v>0.77421402081353796</c:v>
                </c:pt>
                <c:pt idx="63">
                  <c:v>0.69937061468571404</c:v>
                </c:pt>
                <c:pt idx="64">
                  <c:v>0.749723434167341</c:v>
                </c:pt>
                <c:pt idx="65">
                  <c:v>0.75253147533014197</c:v>
                </c:pt>
                <c:pt idx="66">
                  <c:v>0.80193881910043296</c:v>
                </c:pt>
                <c:pt idx="67">
                  <c:v>0.77781138796328697</c:v>
                </c:pt>
                <c:pt idx="68">
                  <c:v>0.80193881910043296</c:v>
                </c:pt>
                <c:pt idx="69">
                  <c:v>0.80437080516661097</c:v>
                </c:pt>
                <c:pt idx="70">
                  <c:v>0.807152941952609</c:v>
                </c:pt>
                <c:pt idx="71">
                  <c:v>0.83152220645888697</c:v>
                </c:pt>
                <c:pt idx="72">
                  <c:v>0.82948257912141399</c:v>
                </c:pt>
                <c:pt idx="73">
                  <c:v>0.83268888035603505</c:v>
                </c:pt>
                <c:pt idx="74">
                  <c:v>0.86243439572202496</c:v>
                </c:pt>
                <c:pt idx="75">
                  <c:v>0.84549296973434196</c:v>
                </c:pt>
                <c:pt idx="76">
                  <c:v>0.86306170802286497</c:v>
                </c:pt>
                <c:pt idx="77">
                  <c:v>0.86306170802286497</c:v>
                </c:pt>
                <c:pt idx="78">
                  <c:v>0.85531584833132801</c:v>
                </c:pt>
                <c:pt idx="79">
                  <c:v>0.88265848165302496</c:v>
                </c:pt>
                <c:pt idx="80">
                  <c:v>0.88516739973977598</c:v>
                </c:pt>
                <c:pt idx="81">
                  <c:v>0.89814744996460805</c:v>
                </c:pt>
                <c:pt idx="82">
                  <c:v>0.86768818253450297</c:v>
                </c:pt>
                <c:pt idx="83">
                  <c:v>0.86745968477328095</c:v>
                </c:pt>
                <c:pt idx="84">
                  <c:v>0.85198632502448901</c:v>
                </c:pt>
                <c:pt idx="85">
                  <c:v>0.83819941388679298</c:v>
                </c:pt>
                <c:pt idx="86">
                  <c:v>0.86745968477328095</c:v>
                </c:pt>
                <c:pt idx="87">
                  <c:v>0.854493626143913</c:v>
                </c:pt>
                <c:pt idx="88">
                  <c:v>0.85731125996939705</c:v>
                </c:pt>
                <c:pt idx="89">
                  <c:v>0.87344930653794395</c:v>
                </c:pt>
                <c:pt idx="90">
                  <c:v>0.91259028169208301</c:v>
                </c:pt>
                <c:pt idx="91">
                  <c:v>0.89522709255279198</c:v>
                </c:pt>
                <c:pt idx="92">
                  <c:v>0.87811016351224602</c:v>
                </c:pt>
                <c:pt idx="93">
                  <c:v>0.89368551357821302</c:v>
                </c:pt>
                <c:pt idx="94">
                  <c:v>0.87683234085301398</c:v>
                </c:pt>
                <c:pt idx="95">
                  <c:v>0.85225052894835196</c:v>
                </c:pt>
                <c:pt idx="96">
                  <c:v>0.85194480836680198</c:v>
                </c:pt>
                <c:pt idx="97">
                  <c:v>0.86999483052125803</c:v>
                </c:pt>
                <c:pt idx="98">
                  <c:v>0.88773399472374204</c:v>
                </c:pt>
                <c:pt idx="99">
                  <c:v>0.86996445945149903</c:v>
                </c:pt>
                <c:pt idx="100">
                  <c:v>0.85662578219432695</c:v>
                </c:pt>
                <c:pt idx="101">
                  <c:v>0.87412257034895602</c:v>
                </c:pt>
                <c:pt idx="102">
                  <c:v>0.85522983991809798</c:v>
                </c:pt>
                <c:pt idx="103">
                  <c:v>0.85626060279274896</c:v>
                </c:pt>
                <c:pt idx="104">
                  <c:v>0.83696581575361895</c:v>
                </c:pt>
                <c:pt idx="105">
                  <c:v>0.81798384699460103</c:v>
                </c:pt>
                <c:pt idx="106">
                  <c:v>0.83503612629874802</c:v>
                </c:pt>
                <c:pt idx="107">
                  <c:v>0.81634992305868503</c:v>
                </c:pt>
                <c:pt idx="108">
                  <c:v>0.77322369572310801</c:v>
                </c:pt>
                <c:pt idx="109">
                  <c:v>0.75155379277106704</c:v>
                </c:pt>
                <c:pt idx="110">
                  <c:v>0.75155379277106704</c:v>
                </c:pt>
                <c:pt idx="111">
                  <c:v>0.73462902469773095</c:v>
                </c:pt>
                <c:pt idx="112">
                  <c:v>0.75332777657917305</c:v>
                </c:pt>
                <c:pt idx="113">
                  <c:v>0.731898053840778</c:v>
                </c:pt>
                <c:pt idx="114">
                  <c:v>0.69793386100167498</c:v>
                </c:pt>
                <c:pt idx="115">
                  <c:v>0.72870485724391698</c:v>
                </c:pt>
                <c:pt idx="116">
                  <c:v>0.712062870316722</c:v>
                </c:pt>
                <c:pt idx="117">
                  <c:v>0.71361316522728502</c:v>
                </c:pt>
                <c:pt idx="118">
                  <c:v>0.73719138808657003</c:v>
                </c:pt>
                <c:pt idx="119">
                  <c:v>0.76108985756873504</c:v>
                </c:pt>
                <c:pt idx="120">
                  <c:v>0.759939269856726</c:v>
                </c:pt>
                <c:pt idx="121">
                  <c:v>0.77520531199879605</c:v>
                </c:pt>
                <c:pt idx="122">
                  <c:v>0.75094523370436095</c:v>
                </c:pt>
                <c:pt idx="123">
                  <c:v>0.72159050384319001</c:v>
                </c:pt>
                <c:pt idx="124">
                  <c:v>0.68530860108825797</c:v>
                </c:pt>
                <c:pt idx="125">
                  <c:v>0.61546645850988302</c:v>
                </c:pt>
                <c:pt idx="126">
                  <c:v>0.57861777554698002</c:v>
                </c:pt>
                <c:pt idx="127">
                  <c:v>0.55842108987699401</c:v>
                </c:pt>
                <c:pt idx="128">
                  <c:v>0.55919632116239604</c:v>
                </c:pt>
                <c:pt idx="129">
                  <c:v>0.35042164075900101</c:v>
                </c:pt>
                <c:pt idx="130">
                  <c:v>0.439218479739446</c:v>
                </c:pt>
                <c:pt idx="131">
                  <c:v>0.32003461094412999</c:v>
                </c:pt>
                <c:pt idx="132">
                  <c:v>0.407195502334876</c:v>
                </c:pt>
                <c:pt idx="133">
                  <c:v>0.40895553727695599</c:v>
                </c:pt>
                <c:pt idx="134">
                  <c:v>0.36357930006355599</c:v>
                </c:pt>
                <c:pt idx="135">
                  <c:v>0.36292296585782302</c:v>
                </c:pt>
                <c:pt idx="136">
                  <c:v>0.36292296585782302</c:v>
                </c:pt>
                <c:pt idx="137">
                  <c:v>0.28848466841060699</c:v>
                </c:pt>
                <c:pt idx="138">
                  <c:v>0.32738957382411199</c:v>
                </c:pt>
                <c:pt idx="139">
                  <c:v>0.29894428975906101</c:v>
                </c:pt>
                <c:pt idx="140">
                  <c:v>0.28251411119681702</c:v>
                </c:pt>
                <c:pt idx="141">
                  <c:v>0.32091811677951898</c:v>
                </c:pt>
                <c:pt idx="142">
                  <c:v>0.41607421536967498</c:v>
                </c:pt>
                <c:pt idx="143">
                  <c:v>0.43751781158176101</c:v>
                </c:pt>
                <c:pt idx="144">
                  <c:v>0.43701315967767701</c:v>
                </c:pt>
                <c:pt idx="145">
                  <c:v>0.40902347477168999</c:v>
                </c:pt>
                <c:pt idx="146">
                  <c:v>0.45648777309490202</c:v>
                </c:pt>
                <c:pt idx="147">
                  <c:v>0.47501022290439499</c:v>
                </c:pt>
                <c:pt idx="148">
                  <c:v>0.44788779304034998</c:v>
                </c:pt>
                <c:pt idx="149">
                  <c:v>0.37120289750535601</c:v>
                </c:pt>
                <c:pt idx="150">
                  <c:v>0.42989701258795199</c:v>
                </c:pt>
                <c:pt idx="151">
                  <c:v>0.401262959025458</c:v>
                </c:pt>
                <c:pt idx="152">
                  <c:v>0.331227934580689</c:v>
                </c:pt>
                <c:pt idx="153">
                  <c:v>0.33082970500556302</c:v>
                </c:pt>
                <c:pt idx="154">
                  <c:v>0.29198850689481598</c:v>
                </c:pt>
                <c:pt idx="155">
                  <c:v>0.29162362501885603</c:v>
                </c:pt>
                <c:pt idx="156">
                  <c:v>0.265306805945277</c:v>
                </c:pt>
                <c:pt idx="157">
                  <c:v>0.29015447722721099</c:v>
                </c:pt>
                <c:pt idx="158">
                  <c:v>0.32467403778332998</c:v>
                </c:pt>
                <c:pt idx="159">
                  <c:v>0.32547727058860199</c:v>
                </c:pt>
                <c:pt idx="160">
                  <c:v>0.38449844249950499</c:v>
                </c:pt>
                <c:pt idx="161">
                  <c:v>0.407383000493176</c:v>
                </c:pt>
                <c:pt idx="162">
                  <c:v>0.380280894786581</c:v>
                </c:pt>
                <c:pt idx="163">
                  <c:v>0.35043602810261099</c:v>
                </c:pt>
                <c:pt idx="164">
                  <c:v>0.34853875137296803</c:v>
                </c:pt>
                <c:pt idx="165">
                  <c:v>0.37584545219724702</c:v>
                </c:pt>
                <c:pt idx="166">
                  <c:v>0.34537825411835699</c:v>
                </c:pt>
                <c:pt idx="167">
                  <c:v>0.37475184713589199</c:v>
                </c:pt>
                <c:pt idx="168">
                  <c:v>0.34373332978073601</c:v>
                </c:pt>
                <c:pt idx="169">
                  <c:v>0.31383635422742501</c:v>
                </c:pt>
                <c:pt idx="170">
                  <c:v>0.34451093908200903</c:v>
                </c:pt>
                <c:pt idx="171">
                  <c:v>0.37550642358643799</c:v>
                </c:pt>
                <c:pt idx="172">
                  <c:v>0.37394334466633</c:v>
                </c:pt>
                <c:pt idx="173">
                  <c:v>0.37348002875422498</c:v>
                </c:pt>
                <c:pt idx="174">
                  <c:v>0.42315654967107302</c:v>
                </c:pt>
                <c:pt idx="175">
                  <c:v>0.42349289634896597</c:v>
                </c:pt>
                <c:pt idx="176">
                  <c:v>0.44562837110466802</c:v>
                </c:pt>
                <c:pt idx="177">
                  <c:v>0.44740081291084099</c:v>
                </c:pt>
                <c:pt idx="178">
                  <c:v>0.447997908024105</c:v>
                </c:pt>
                <c:pt idx="179">
                  <c:v>0.42258598579352902</c:v>
                </c:pt>
                <c:pt idx="180">
                  <c:v>0.42434402519227898</c:v>
                </c:pt>
                <c:pt idx="181">
                  <c:v>0.447997908024105</c:v>
                </c:pt>
                <c:pt idx="182">
                  <c:v>0.47241973099249801</c:v>
                </c:pt>
                <c:pt idx="183">
                  <c:v>0.41926854513922601</c:v>
                </c:pt>
                <c:pt idx="184">
                  <c:v>0.44241787954298001</c:v>
                </c:pt>
                <c:pt idx="185">
                  <c:v>0.44241787954298001</c:v>
                </c:pt>
                <c:pt idx="186">
                  <c:v>0.44366576481104603</c:v>
                </c:pt>
                <c:pt idx="187">
                  <c:v>0.41284557270170602</c:v>
                </c:pt>
                <c:pt idx="188">
                  <c:v>0.437009219217877</c:v>
                </c:pt>
                <c:pt idx="189">
                  <c:v>0.46725416935729103</c:v>
                </c:pt>
                <c:pt idx="190">
                  <c:v>0.46725416935729103</c:v>
                </c:pt>
                <c:pt idx="191">
                  <c:v>0.46145357757128402</c:v>
                </c:pt>
                <c:pt idx="192">
                  <c:v>0.45995272695767497</c:v>
                </c:pt>
                <c:pt idx="193">
                  <c:v>0.403775681059653</c:v>
                </c:pt>
                <c:pt idx="194">
                  <c:v>0.40569534905697002</c:v>
                </c:pt>
                <c:pt idx="195">
                  <c:v>0.419925946793896</c:v>
                </c:pt>
                <c:pt idx="196">
                  <c:v>0.45168042618119703</c:v>
                </c:pt>
                <c:pt idx="197">
                  <c:v>0.51982909302980596</c:v>
                </c:pt>
                <c:pt idx="198">
                  <c:v>0.54838604953283498</c:v>
                </c:pt>
                <c:pt idx="199">
                  <c:v>0.519221652370358</c:v>
                </c:pt>
                <c:pt idx="200">
                  <c:v>0.47679161148246502</c:v>
                </c:pt>
                <c:pt idx="201">
                  <c:v>0.47696082053878203</c:v>
                </c:pt>
                <c:pt idx="202">
                  <c:v>0.51126312077979097</c:v>
                </c:pt>
                <c:pt idx="203">
                  <c:v>0.51222876537846296</c:v>
                </c:pt>
                <c:pt idx="204">
                  <c:v>0.53685925114667898</c:v>
                </c:pt>
                <c:pt idx="205">
                  <c:v>0.53353274326337596</c:v>
                </c:pt>
                <c:pt idx="206">
                  <c:v>0.57447022909045797</c:v>
                </c:pt>
                <c:pt idx="207">
                  <c:v>0.57166642614489205</c:v>
                </c:pt>
                <c:pt idx="208">
                  <c:v>0.53680415412734395</c:v>
                </c:pt>
                <c:pt idx="209">
                  <c:v>0.59931706558407905</c:v>
                </c:pt>
                <c:pt idx="210">
                  <c:v>0.65582330233583797</c:v>
                </c:pt>
                <c:pt idx="211">
                  <c:v>0.65720471867066899</c:v>
                </c:pt>
                <c:pt idx="212">
                  <c:v>0.65582330233583797</c:v>
                </c:pt>
                <c:pt idx="213">
                  <c:v>0.65455905311871299</c:v>
                </c:pt>
                <c:pt idx="214">
                  <c:v>0.62719075850631201</c:v>
                </c:pt>
                <c:pt idx="215">
                  <c:v>0.59003468905342005</c:v>
                </c:pt>
                <c:pt idx="216">
                  <c:v>0.56144623129586702</c:v>
                </c:pt>
                <c:pt idx="217">
                  <c:v>0.58384753948448997</c:v>
                </c:pt>
                <c:pt idx="218">
                  <c:v>0.51703371456013503</c:v>
                </c:pt>
                <c:pt idx="219">
                  <c:v>0.58146564562660097</c:v>
                </c:pt>
                <c:pt idx="220">
                  <c:v>0.61985540937113104</c:v>
                </c:pt>
                <c:pt idx="221">
                  <c:v>0.60618674833379105</c:v>
                </c:pt>
                <c:pt idx="222">
                  <c:v>0.63179874985391804</c:v>
                </c:pt>
                <c:pt idx="223">
                  <c:v>0.60745911385405604</c:v>
                </c:pt>
                <c:pt idx="224">
                  <c:v>0.63350921207897204</c:v>
                </c:pt>
                <c:pt idx="225">
                  <c:v>0.608876308109219</c:v>
                </c:pt>
                <c:pt idx="226">
                  <c:v>0.53238458781035902</c:v>
                </c:pt>
                <c:pt idx="227">
                  <c:v>0.52626041924754496</c:v>
                </c:pt>
                <c:pt idx="228">
                  <c:v>0.49530657385961702</c:v>
                </c:pt>
                <c:pt idx="229">
                  <c:v>0.49518214427458052</c:v>
                </c:pt>
                <c:pt idx="230">
                  <c:v>0.49151040605794738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4835968"/>
        <c:axId val="304837760"/>
      </c:lineChart>
      <c:dateAx>
        <c:axId val="304835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4837760"/>
        <c:crosses val="autoZero"/>
        <c:auto val="1"/>
        <c:lblOffset val="100"/>
        <c:baseTimeUnit val="days"/>
      </c:dateAx>
      <c:valAx>
        <c:axId val="30483776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04835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'Low Rate Result'!$F$2</c:f>
              <c:strCache>
                <c:ptCount val="1"/>
                <c:pt idx="0">
                  <c:v>Lowest Rate Weekly-cerrect</c:v>
                </c:pt>
              </c:strCache>
            </c:strRef>
          </c:tx>
          <c:spPr>
            <a:solidFill>
              <a:srgbClr val="2E8A60"/>
            </a:solidFill>
            <a:ln w="12700">
              <a:noFill/>
            </a:ln>
          </c:spPr>
          <c:invertIfNegative val="0"/>
          <c:val>
            <c:numRef>
              <c:f>'Low Rate Result'!$F$3:$F$233</c:f>
              <c:numCache>
                <c:formatCode>0.00%</c:formatCode>
                <c:ptCount val="231"/>
                <c:pt idx="0">
                  <c:v>0</c:v>
                </c:pt>
                <c:pt idx="1">
                  <c:v>5.80030998251819E-5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4.9225242343752603E-4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3.6012387911354998E-4</c:v>
                </c:pt>
                <c:pt idx="16">
                  <c:v>3.6290053539469699E-4</c:v>
                </c:pt>
                <c:pt idx="17">
                  <c:v>1.82362980081562E-3</c:v>
                </c:pt>
                <c:pt idx="18">
                  <c:v>4.5959167751793003E-3</c:v>
                </c:pt>
                <c:pt idx="19">
                  <c:v>4.6431452038205798E-3</c:v>
                </c:pt>
                <c:pt idx="20">
                  <c:v>4.6547514757033599E-3</c:v>
                </c:pt>
                <c:pt idx="21">
                  <c:v>7.3340957383171597E-3</c:v>
                </c:pt>
                <c:pt idx="22">
                  <c:v>1.05889699277147E-2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6.2583851957797503E-4</c:v>
                </c:pt>
                <c:pt idx="28">
                  <c:v>0</c:v>
                </c:pt>
                <c:pt idx="29">
                  <c:v>0</c:v>
                </c:pt>
                <c:pt idx="30">
                  <c:v>1.93393301571353E-2</c:v>
                </c:pt>
                <c:pt idx="31">
                  <c:v>3.6312412114141997E-2</c:v>
                </c:pt>
                <c:pt idx="32">
                  <c:v>0.76977670194978398</c:v>
                </c:pt>
                <c:pt idx="33">
                  <c:v>0</c:v>
                </c:pt>
                <c:pt idx="34">
                  <c:v>0</c:v>
                </c:pt>
                <c:pt idx="35">
                  <c:v>0.786160649616369</c:v>
                </c:pt>
                <c:pt idx="36">
                  <c:v>0.78833832359916201</c:v>
                </c:pt>
                <c:pt idx="37">
                  <c:v>0</c:v>
                </c:pt>
                <c:pt idx="38">
                  <c:v>0.83561176946303795</c:v>
                </c:pt>
                <c:pt idx="39">
                  <c:v>0.82194247765297301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8.7950076846855297E-4</c:v>
                </c:pt>
                <c:pt idx="45">
                  <c:v>0</c:v>
                </c:pt>
                <c:pt idx="46">
                  <c:v>8.8101230968728496E-4</c:v>
                </c:pt>
                <c:pt idx="47">
                  <c:v>0</c:v>
                </c:pt>
                <c:pt idx="48">
                  <c:v>6.7786594921879302E-4</c:v>
                </c:pt>
                <c:pt idx="49">
                  <c:v>0.79669049657242397</c:v>
                </c:pt>
                <c:pt idx="50">
                  <c:v>0.82559057548597004</c:v>
                </c:pt>
                <c:pt idx="51">
                  <c:v>0</c:v>
                </c:pt>
                <c:pt idx="52">
                  <c:v>0</c:v>
                </c:pt>
                <c:pt idx="53">
                  <c:v>0.81663205917875104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7.6028475141971797E-4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0.80265108338267499</c:v>
                </c:pt>
                <c:pt idx="67">
                  <c:v>0</c:v>
                </c:pt>
                <c:pt idx="68">
                  <c:v>0.80265108338267499</c:v>
                </c:pt>
                <c:pt idx="69">
                  <c:v>0.80415566862182497</c:v>
                </c:pt>
                <c:pt idx="70">
                  <c:v>0.80754152596055995</c:v>
                </c:pt>
                <c:pt idx="71">
                  <c:v>0.831927164274886</c:v>
                </c:pt>
                <c:pt idx="72">
                  <c:v>0</c:v>
                </c:pt>
                <c:pt idx="73">
                  <c:v>0.83309495413351498</c:v>
                </c:pt>
                <c:pt idx="74">
                  <c:v>0.86123151402869003</c:v>
                </c:pt>
                <c:pt idx="75">
                  <c:v>0</c:v>
                </c:pt>
                <c:pt idx="76">
                  <c:v>0.86355719580735102</c:v>
                </c:pt>
                <c:pt idx="77">
                  <c:v>0.86355719580735102</c:v>
                </c:pt>
                <c:pt idx="78">
                  <c:v>0.85480310148891403</c:v>
                </c:pt>
                <c:pt idx="79">
                  <c:v>0.88306588959651799</c:v>
                </c:pt>
                <c:pt idx="80">
                  <c:v>0.88557582733423201</c:v>
                </c:pt>
                <c:pt idx="81">
                  <c:v>0.89854811201564799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3.4287960012666001E-3</c:v>
                </c:pt>
                <c:pt idx="89">
                  <c:v>0.87391634150534703</c:v>
                </c:pt>
                <c:pt idx="90">
                  <c:v>0.91307424668051995</c:v>
                </c:pt>
                <c:pt idx="91">
                  <c:v>0.89337068210282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3.6805392889150699E-3</c:v>
                </c:pt>
                <c:pt idx="98">
                  <c:v>0.88870182147749199</c:v>
                </c:pt>
                <c:pt idx="99">
                  <c:v>0</c:v>
                </c:pt>
                <c:pt idx="100">
                  <c:v>0</c:v>
                </c:pt>
                <c:pt idx="101">
                  <c:v>1.92397129365898E-3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5.4993651942507197E-4</c:v>
                </c:pt>
                <c:pt idx="111">
                  <c:v>0</c:v>
                </c:pt>
                <c:pt idx="112">
                  <c:v>5.5309707563809801E-4</c:v>
                </c:pt>
                <c:pt idx="113">
                  <c:v>7.62863846133132E-4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3.9681299102296798E-3</c:v>
                </c:pt>
                <c:pt idx="119">
                  <c:v>5.4959854023419203E-3</c:v>
                </c:pt>
                <c:pt idx="120">
                  <c:v>0</c:v>
                </c:pt>
                <c:pt idx="121">
                  <c:v>9.3714860500272602E-3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1.2070812662829E-4</c:v>
                </c:pt>
                <c:pt idx="142">
                  <c:v>8.9334697556313401E-4</c:v>
                </c:pt>
                <c:pt idx="143">
                  <c:v>1.7927762872913E-3</c:v>
                </c:pt>
                <c:pt idx="144">
                  <c:v>0</c:v>
                </c:pt>
                <c:pt idx="145">
                  <c:v>0</c:v>
                </c:pt>
                <c:pt idx="146">
                  <c:v>4.7022607373106203E-3</c:v>
                </c:pt>
                <c:pt idx="147">
                  <c:v>6.1587902327108696E-3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1.04165660314928E-4</c:v>
                </c:pt>
                <c:pt idx="158">
                  <c:v>4.3244857845843099E-4</c:v>
                </c:pt>
                <c:pt idx="159">
                  <c:v>4.3538471617421198E-4</c:v>
                </c:pt>
                <c:pt idx="160">
                  <c:v>9.04155248858617E-4</c:v>
                </c:pt>
                <c:pt idx="161">
                  <c:v>1.56502134325395E-3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3.2608018628066501E-4</c:v>
                </c:pt>
                <c:pt idx="171">
                  <c:v>1.3569924293908599E-3</c:v>
                </c:pt>
                <c:pt idx="172">
                  <c:v>0</c:v>
                </c:pt>
                <c:pt idx="173">
                  <c:v>0</c:v>
                </c:pt>
                <c:pt idx="174">
                  <c:v>1.33698656511534E-2</c:v>
                </c:pt>
                <c:pt idx="175">
                  <c:v>1.3390108612719401E-2</c:v>
                </c:pt>
                <c:pt idx="176">
                  <c:v>1.7600292816905099E-2</c:v>
                </c:pt>
                <c:pt idx="177">
                  <c:v>2.8641136811507002E-2</c:v>
                </c:pt>
                <c:pt idx="178">
                  <c:v>3.2896088379140397E-2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4.9242422986382497E-2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5.9130346511517896E-4</c:v>
                </c:pt>
                <c:pt idx="189">
                  <c:v>5.44200843584444E-2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1.00775509847578E-3</c:v>
                </c:pt>
                <c:pt idx="197">
                  <c:v>9.0356790924596503E-2</c:v>
                </c:pt>
                <c:pt idx="198">
                  <c:v>0.103644934949105</c:v>
                </c:pt>
                <c:pt idx="199">
                  <c:v>0</c:v>
                </c:pt>
                <c:pt idx="200">
                  <c:v>0</c:v>
                </c:pt>
                <c:pt idx="201">
                  <c:v>1.4902494177175701E-3</c:v>
                </c:pt>
                <c:pt idx="202">
                  <c:v>1.9465534524820899E-3</c:v>
                </c:pt>
                <c:pt idx="203">
                  <c:v>1.9601498700341099E-3</c:v>
                </c:pt>
                <c:pt idx="204">
                  <c:v>0.106230521131833</c:v>
                </c:pt>
                <c:pt idx="205">
                  <c:v>0</c:v>
                </c:pt>
                <c:pt idx="206">
                  <c:v>0.127103043508559</c:v>
                </c:pt>
                <c:pt idx="207">
                  <c:v>0</c:v>
                </c:pt>
                <c:pt idx="208">
                  <c:v>0</c:v>
                </c:pt>
                <c:pt idx="209">
                  <c:v>0.14268475210645201</c:v>
                </c:pt>
                <c:pt idx="210">
                  <c:v>0.177765501913389</c:v>
                </c:pt>
                <c:pt idx="211">
                  <c:v>0.17811212012226099</c:v>
                </c:pt>
                <c:pt idx="212">
                  <c:v>0</c:v>
                </c:pt>
                <c:pt idx="213">
                  <c:v>0.17933240004933601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9.60298428502188E-4</c:v>
                </c:pt>
                <c:pt idx="221">
                  <c:v>0</c:v>
                </c:pt>
                <c:pt idx="222">
                  <c:v>3.87908393633439E-3</c:v>
                </c:pt>
                <c:pt idx="223">
                  <c:v>0</c:v>
                </c:pt>
                <c:pt idx="224">
                  <c:v>3.9431628666260904E-3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438720"/>
        <c:axId val="305440256"/>
      </c:barChart>
      <c:lineChart>
        <c:grouping val="standard"/>
        <c:varyColors val="0"/>
        <c:ser>
          <c:idx val="0"/>
          <c:order val="0"/>
          <c:tx>
            <c:strRef>
              <c:f>'Low Rate Result'!$C$2</c:f>
              <c:strCache>
                <c:ptCount val="1"/>
                <c:pt idx="0">
                  <c:v>Without Lowest Rate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Result'!$C$3:$C$233</c:f>
              <c:numCache>
                <c:formatCode>0.00%</c:formatCode>
                <c:ptCount val="231"/>
                <c:pt idx="0">
                  <c:v>0.477996028899563</c:v>
                </c:pt>
                <c:pt idx="1">
                  <c:v>0.49650185657562101</c:v>
                </c:pt>
                <c:pt idx="2">
                  <c:v>0.48029569588235599</c:v>
                </c:pt>
                <c:pt idx="3">
                  <c:v>0.47679593730615699</c:v>
                </c:pt>
                <c:pt idx="4">
                  <c:v>0.43462013043084002</c:v>
                </c:pt>
                <c:pt idx="5">
                  <c:v>0.35529176669040102</c:v>
                </c:pt>
                <c:pt idx="6">
                  <c:v>0.37678804128174298</c:v>
                </c:pt>
                <c:pt idx="7">
                  <c:v>0.41551493659156002</c:v>
                </c:pt>
                <c:pt idx="8">
                  <c:v>0.42215163100202302</c:v>
                </c:pt>
                <c:pt idx="9">
                  <c:v>0.42124985629360401</c:v>
                </c:pt>
                <c:pt idx="10">
                  <c:v>0.46784663358763601</c:v>
                </c:pt>
                <c:pt idx="11">
                  <c:v>0.450158099668103</c:v>
                </c:pt>
                <c:pt idx="12">
                  <c:v>0.42282958858632702</c:v>
                </c:pt>
                <c:pt idx="13">
                  <c:v>0.414778538159287</c:v>
                </c:pt>
                <c:pt idx="14">
                  <c:v>0.41340612440810998</c:v>
                </c:pt>
                <c:pt idx="15">
                  <c:v>0.44381782258269298</c:v>
                </c:pt>
                <c:pt idx="16">
                  <c:v>0.44565511936132601</c:v>
                </c:pt>
                <c:pt idx="17">
                  <c:v>0.45891120103405703</c:v>
                </c:pt>
                <c:pt idx="18">
                  <c:v>0.50042582297659</c:v>
                </c:pt>
                <c:pt idx="19">
                  <c:v>0.50447592982476996</c:v>
                </c:pt>
                <c:pt idx="20">
                  <c:v>0.50568534347274297</c:v>
                </c:pt>
                <c:pt idx="21">
                  <c:v>0.53450860338875705</c:v>
                </c:pt>
                <c:pt idx="22">
                  <c:v>0.55556126357331004</c:v>
                </c:pt>
                <c:pt idx="23">
                  <c:v>0.55544034698333999</c:v>
                </c:pt>
                <c:pt idx="24">
                  <c:v>0.53450860338875705</c:v>
                </c:pt>
                <c:pt idx="25">
                  <c:v>0.55445082777023702</c:v>
                </c:pt>
                <c:pt idx="26">
                  <c:v>0.49771283747510803</c:v>
                </c:pt>
                <c:pt idx="27">
                  <c:v>0.55014388201104203</c:v>
                </c:pt>
                <c:pt idx="28">
                  <c:v>0.53018048409344898</c:v>
                </c:pt>
                <c:pt idx="29">
                  <c:v>0.52333294764067595</c:v>
                </c:pt>
                <c:pt idx="30">
                  <c:v>0.59636201439054404</c:v>
                </c:pt>
                <c:pt idx="31">
                  <c:v>0.68796050816059295</c:v>
                </c:pt>
                <c:pt idx="32">
                  <c:v>0.76968967049094095</c:v>
                </c:pt>
                <c:pt idx="33">
                  <c:v>0.73013076231760698</c:v>
                </c:pt>
                <c:pt idx="34">
                  <c:v>0.72518805605942505</c:v>
                </c:pt>
                <c:pt idx="35">
                  <c:v>0.78586619764471199</c:v>
                </c:pt>
                <c:pt idx="36">
                  <c:v>0.78804143101353397</c:v>
                </c:pt>
                <c:pt idx="37">
                  <c:v>0.78804143101353397</c:v>
                </c:pt>
                <c:pt idx="38">
                  <c:v>0.83535228019697605</c:v>
                </c:pt>
                <c:pt idx="39">
                  <c:v>0.82324225699227804</c:v>
                </c:pt>
                <c:pt idx="40">
                  <c:v>0.75043074974252599</c:v>
                </c:pt>
                <c:pt idx="41">
                  <c:v>0.76889855223368597</c:v>
                </c:pt>
                <c:pt idx="42">
                  <c:v>0.77033919514702098</c:v>
                </c:pt>
                <c:pt idx="43">
                  <c:v>0.80719780316763601</c:v>
                </c:pt>
                <c:pt idx="44">
                  <c:v>0.80724570771905702</c:v>
                </c:pt>
                <c:pt idx="45">
                  <c:v>0.80719780316763601</c:v>
                </c:pt>
                <c:pt idx="46">
                  <c:v>0.80850149462655696</c:v>
                </c:pt>
                <c:pt idx="47">
                  <c:v>0.79441104681633201</c:v>
                </c:pt>
                <c:pt idx="48">
                  <c:v>0.79445840936885304</c:v>
                </c:pt>
                <c:pt idx="49">
                  <c:v>0.79646175435893696</c:v>
                </c:pt>
                <c:pt idx="50">
                  <c:v>0.82537040355923197</c:v>
                </c:pt>
                <c:pt idx="51">
                  <c:v>0.81734633197465201</c:v>
                </c:pt>
                <c:pt idx="52">
                  <c:v>0.80629912189469399</c:v>
                </c:pt>
                <c:pt idx="53">
                  <c:v>0.81626218699844599</c:v>
                </c:pt>
                <c:pt idx="54">
                  <c:v>0.81461584859780101</c:v>
                </c:pt>
                <c:pt idx="55">
                  <c:v>0.78339393568549298</c:v>
                </c:pt>
                <c:pt idx="56">
                  <c:v>0.79842547980239797</c:v>
                </c:pt>
                <c:pt idx="57">
                  <c:v>0.79842547980239797</c:v>
                </c:pt>
                <c:pt idx="58">
                  <c:v>0.79842547980239797</c:v>
                </c:pt>
                <c:pt idx="59">
                  <c:v>0.76669716579457303</c:v>
                </c:pt>
                <c:pt idx="60">
                  <c:v>0.77480777056815697</c:v>
                </c:pt>
                <c:pt idx="61">
                  <c:v>0.78283886771012201</c:v>
                </c:pt>
                <c:pt idx="62">
                  <c:v>0.77421402081353796</c:v>
                </c:pt>
                <c:pt idx="63">
                  <c:v>0.69937061468571404</c:v>
                </c:pt>
                <c:pt idx="64">
                  <c:v>0.749723434167341</c:v>
                </c:pt>
                <c:pt idx="65">
                  <c:v>0.75253147533014197</c:v>
                </c:pt>
                <c:pt idx="66">
                  <c:v>0.80193881910043296</c:v>
                </c:pt>
                <c:pt idx="67">
                  <c:v>0.77781138796328697</c:v>
                </c:pt>
                <c:pt idx="68">
                  <c:v>0.80193881910043296</c:v>
                </c:pt>
                <c:pt idx="69">
                  <c:v>0.80437080516661097</c:v>
                </c:pt>
                <c:pt idx="70">
                  <c:v>0.807152941952609</c:v>
                </c:pt>
                <c:pt idx="71">
                  <c:v>0.83152220645888697</c:v>
                </c:pt>
                <c:pt idx="72">
                  <c:v>0.82948257912141399</c:v>
                </c:pt>
                <c:pt idx="73">
                  <c:v>0.83268888035603505</c:v>
                </c:pt>
                <c:pt idx="74">
                  <c:v>0.86243439572202496</c:v>
                </c:pt>
                <c:pt idx="75">
                  <c:v>0.84549296973434196</c:v>
                </c:pt>
                <c:pt idx="76">
                  <c:v>0.86306170802286497</c:v>
                </c:pt>
                <c:pt idx="77">
                  <c:v>0.86306170802286497</c:v>
                </c:pt>
                <c:pt idx="78">
                  <c:v>0.85531584833132801</c:v>
                </c:pt>
                <c:pt idx="79">
                  <c:v>0.88265848165302496</c:v>
                </c:pt>
                <c:pt idx="80">
                  <c:v>0.88516739973977598</c:v>
                </c:pt>
                <c:pt idx="81">
                  <c:v>0.89814744996460805</c:v>
                </c:pt>
                <c:pt idx="82">
                  <c:v>0.86768818253450297</c:v>
                </c:pt>
                <c:pt idx="83">
                  <c:v>0.86745968477328095</c:v>
                </c:pt>
                <c:pt idx="84">
                  <c:v>0.85198632502448901</c:v>
                </c:pt>
                <c:pt idx="85">
                  <c:v>0.83819941388679298</c:v>
                </c:pt>
                <c:pt idx="86">
                  <c:v>0.86745968477328095</c:v>
                </c:pt>
                <c:pt idx="87">
                  <c:v>0.854493626143913</c:v>
                </c:pt>
                <c:pt idx="88">
                  <c:v>0.85731125996939705</c:v>
                </c:pt>
                <c:pt idx="89">
                  <c:v>0.87344930653794395</c:v>
                </c:pt>
                <c:pt idx="90">
                  <c:v>0.91259028169208301</c:v>
                </c:pt>
                <c:pt idx="91">
                  <c:v>0.89522709255279198</c:v>
                </c:pt>
                <c:pt idx="92">
                  <c:v>0.87811016351224602</c:v>
                </c:pt>
                <c:pt idx="93">
                  <c:v>0.89368551357821302</c:v>
                </c:pt>
                <c:pt idx="94">
                  <c:v>0.87683234085301398</c:v>
                </c:pt>
                <c:pt idx="95">
                  <c:v>0.85225052894835196</c:v>
                </c:pt>
                <c:pt idx="96">
                  <c:v>0.85194480836680198</c:v>
                </c:pt>
                <c:pt idx="97">
                  <c:v>0.86999483052125803</c:v>
                </c:pt>
                <c:pt idx="98">
                  <c:v>0.88773399472374204</c:v>
                </c:pt>
                <c:pt idx="99">
                  <c:v>0.86996445945149903</c:v>
                </c:pt>
                <c:pt idx="100">
                  <c:v>0.85662578219432695</c:v>
                </c:pt>
                <c:pt idx="101">
                  <c:v>0.87412257034895602</c:v>
                </c:pt>
                <c:pt idx="102">
                  <c:v>0.85522983991809798</c:v>
                </c:pt>
                <c:pt idx="103">
                  <c:v>0.85626060279274896</c:v>
                </c:pt>
                <c:pt idx="104">
                  <c:v>0.83696581575361895</c:v>
                </c:pt>
                <c:pt idx="105">
                  <c:v>0.81798384699460103</c:v>
                </c:pt>
                <c:pt idx="106">
                  <c:v>0.83503612629874802</c:v>
                </c:pt>
                <c:pt idx="107">
                  <c:v>0.81634992305868503</c:v>
                </c:pt>
                <c:pt idx="108">
                  <c:v>0.77322369572310801</c:v>
                </c:pt>
                <c:pt idx="109">
                  <c:v>0.75155379277106704</c:v>
                </c:pt>
                <c:pt idx="110">
                  <c:v>0.75155379277106704</c:v>
                </c:pt>
                <c:pt idx="111">
                  <c:v>0.73462902469773095</c:v>
                </c:pt>
                <c:pt idx="112">
                  <c:v>0.75332777657917305</c:v>
                </c:pt>
                <c:pt idx="113">
                  <c:v>0.731898053840778</c:v>
                </c:pt>
                <c:pt idx="114">
                  <c:v>0.69793386100167498</c:v>
                </c:pt>
                <c:pt idx="115">
                  <c:v>0.72870485724391698</c:v>
                </c:pt>
                <c:pt idx="116">
                  <c:v>0.712062870316722</c:v>
                </c:pt>
                <c:pt idx="117">
                  <c:v>0.71361316522728502</c:v>
                </c:pt>
                <c:pt idx="118">
                  <c:v>0.73719138808657003</c:v>
                </c:pt>
                <c:pt idx="119">
                  <c:v>0.76108985756873504</c:v>
                </c:pt>
                <c:pt idx="120">
                  <c:v>0.759939269856726</c:v>
                </c:pt>
                <c:pt idx="121">
                  <c:v>0.77520531199879605</c:v>
                </c:pt>
                <c:pt idx="122">
                  <c:v>0.75094523370436095</c:v>
                </c:pt>
                <c:pt idx="123">
                  <c:v>0.72159050384319001</c:v>
                </c:pt>
                <c:pt idx="124">
                  <c:v>0.68530860108825797</c:v>
                </c:pt>
                <c:pt idx="125">
                  <c:v>0.61546645850988302</c:v>
                </c:pt>
                <c:pt idx="126">
                  <c:v>0.57861777554698002</c:v>
                </c:pt>
                <c:pt idx="127">
                  <c:v>0.55842108987699401</c:v>
                </c:pt>
                <c:pt idx="128">
                  <c:v>0.55919632116239604</c:v>
                </c:pt>
                <c:pt idx="129">
                  <c:v>0.35042164075900101</c:v>
                </c:pt>
                <c:pt idx="130">
                  <c:v>0.439218479739446</c:v>
                </c:pt>
                <c:pt idx="131">
                  <c:v>0.32003461094412999</c:v>
                </c:pt>
                <c:pt idx="132">
                  <c:v>0.407195502334876</c:v>
                </c:pt>
                <c:pt idx="133">
                  <c:v>0.40895553727695599</c:v>
                </c:pt>
                <c:pt idx="134">
                  <c:v>0.36357930006355599</c:v>
                </c:pt>
                <c:pt idx="135">
                  <c:v>0.36292296585782302</c:v>
                </c:pt>
                <c:pt idx="136">
                  <c:v>0.36292296585782302</c:v>
                </c:pt>
                <c:pt idx="137">
                  <c:v>0.28848466841060699</c:v>
                </c:pt>
                <c:pt idx="138">
                  <c:v>0.32738957382411199</c:v>
                </c:pt>
                <c:pt idx="139">
                  <c:v>0.29894428975906101</c:v>
                </c:pt>
                <c:pt idx="140">
                  <c:v>0.28251411119681702</c:v>
                </c:pt>
                <c:pt idx="141">
                  <c:v>0.32091811677951898</c:v>
                </c:pt>
                <c:pt idx="142">
                  <c:v>0.41607421536967498</c:v>
                </c:pt>
                <c:pt idx="143">
                  <c:v>0.43751781158176101</c:v>
                </c:pt>
                <c:pt idx="144">
                  <c:v>0.43701315967767701</c:v>
                </c:pt>
                <c:pt idx="145">
                  <c:v>0.40902347477168999</c:v>
                </c:pt>
                <c:pt idx="146">
                  <c:v>0.45648777309490202</c:v>
                </c:pt>
                <c:pt idx="147">
                  <c:v>0.47501022290439499</c:v>
                </c:pt>
                <c:pt idx="148">
                  <c:v>0.44788779304034998</c:v>
                </c:pt>
                <c:pt idx="149">
                  <c:v>0.37120289750535601</c:v>
                </c:pt>
                <c:pt idx="150">
                  <c:v>0.42989701258795199</c:v>
                </c:pt>
                <c:pt idx="151">
                  <c:v>0.401262959025458</c:v>
                </c:pt>
                <c:pt idx="152">
                  <c:v>0.331227934580689</c:v>
                </c:pt>
                <c:pt idx="153">
                  <c:v>0.33082970500556302</c:v>
                </c:pt>
                <c:pt idx="154">
                  <c:v>0.29198850689481598</c:v>
                </c:pt>
                <c:pt idx="155">
                  <c:v>0.29162362501885603</c:v>
                </c:pt>
                <c:pt idx="156">
                  <c:v>0.265306805945277</c:v>
                </c:pt>
                <c:pt idx="157">
                  <c:v>0.29015447722721099</c:v>
                </c:pt>
                <c:pt idx="158">
                  <c:v>0.32467403778332998</c:v>
                </c:pt>
                <c:pt idx="159">
                  <c:v>0.32547727058860199</c:v>
                </c:pt>
                <c:pt idx="160">
                  <c:v>0.38449844249950499</c:v>
                </c:pt>
                <c:pt idx="161">
                  <c:v>0.407383000493176</c:v>
                </c:pt>
                <c:pt idx="162">
                  <c:v>0.380280894786581</c:v>
                </c:pt>
                <c:pt idx="163">
                  <c:v>0.35043602810261099</c:v>
                </c:pt>
                <c:pt idx="164">
                  <c:v>0.34853875137296803</c:v>
                </c:pt>
                <c:pt idx="165">
                  <c:v>0.37584545219724702</c:v>
                </c:pt>
                <c:pt idx="166">
                  <c:v>0.34537825411835699</c:v>
                </c:pt>
                <c:pt idx="167">
                  <c:v>0.37475184713589199</c:v>
                </c:pt>
                <c:pt idx="168">
                  <c:v>0.34373332978073601</c:v>
                </c:pt>
                <c:pt idx="169">
                  <c:v>0.31383635422742501</c:v>
                </c:pt>
                <c:pt idx="170">
                  <c:v>0.34451093908200903</c:v>
                </c:pt>
                <c:pt idx="171">
                  <c:v>0.37550642358643799</c:v>
                </c:pt>
                <c:pt idx="172">
                  <c:v>0.37394334466633</c:v>
                </c:pt>
                <c:pt idx="173">
                  <c:v>0.37348002875422498</c:v>
                </c:pt>
                <c:pt idx="174">
                  <c:v>0.42315654967107302</c:v>
                </c:pt>
                <c:pt idx="175">
                  <c:v>0.42349289634896597</c:v>
                </c:pt>
                <c:pt idx="176">
                  <c:v>0.44562837110466802</c:v>
                </c:pt>
                <c:pt idx="177">
                  <c:v>0.44740081291084099</c:v>
                </c:pt>
                <c:pt idx="178">
                  <c:v>0.447997908024105</c:v>
                </c:pt>
                <c:pt idx="179">
                  <c:v>0.42258598579352902</c:v>
                </c:pt>
                <c:pt idx="180">
                  <c:v>0.42434402519227898</c:v>
                </c:pt>
                <c:pt idx="181">
                  <c:v>0.447997908024105</c:v>
                </c:pt>
                <c:pt idx="182">
                  <c:v>0.47241973099249801</c:v>
                </c:pt>
                <c:pt idx="183">
                  <c:v>0.41926854513922601</c:v>
                </c:pt>
                <c:pt idx="184">
                  <c:v>0.44241787954298001</c:v>
                </c:pt>
                <c:pt idx="185">
                  <c:v>0.44241787954298001</c:v>
                </c:pt>
                <c:pt idx="186">
                  <c:v>0.44366576481104603</c:v>
                </c:pt>
                <c:pt idx="187">
                  <c:v>0.41284557270170602</c:v>
                </c:pt>
                <c:pt idx="188">
                  <c:v>0.437009219217877</c:v>
                </c:pt>
                <c:pt idx="189">
                  <c:v>0.46725416935729103</c:v>
                </c:pt>
                <c:pt idx="190">
                  <c:v>0.46725416935729103</c:v>
                </c:pt>
                <c:pt idx="191">
                  <c:v>0.46145357757128402</c:v>
                </c:pt>
                <c:pt idx="192">
                  <c:v>0.45995272695767497</c:v>
                </c:pt>
                <c:pt idx="193">
                  <c:v>0.403775681059653</c:v>
                </c:pt>
                <c:pt idx="194">
                  <c:v>0.40569534905697002</c:v>
                </c:pt>
                <c:pt idx="195">
                  <c:v>0.419925946793896</c:v>
                </c:pt>
                <c:pt idx="196">
                  <c:v>0.45168042618119703</c:v>
                </c:pt>
                <c:pt idx="197">
                  <c:v>0.51982909302980596</c:v>
                </c:pt>
                <c:pt idx="198">
                  <c:v>0.54838604953283498</c:v>
                </c:pt>
                <c:pt idx="199">
                  <c:v>0.519221652370358</c:v>
                </c:pt>
                <c:pt idx="200">
                  <c:v>0.47679161148246502</c:v>
                </c:pt>
                <c:pt idx="201">
                  <c:v>0.47696082053878203</c:v>
                </c:pt>
                <c:pt idx="202">
                  <c:v>0.51126312077979097</c:v>
                </c:pt>
                <c:pt idx="203">
                  <c:v>0.51222876537846296</c:v>
                </c:pt>
                <c:pt idx="204">
                  <c:v>0.53685925114667898</c:v>
                </c:pt>
                <c:pt idx="205">
                  <c:v>0.53353274326337596</c:v>
                </c:pt>
                <c:pt idx="206">
                  <c:v>0.57447022909045797</c:v>
                </c:pt>
                <c:pt idx="207">
                  <c:v>0.57166642614489205</c:v>
                </c:pt>
                <c:pt idx="208">
                  <c:v>0.53680415412734395</c:v>
                </c:pt>
                <c:pt idx="209">
                  <c:v>0.59931706558407905</c:v>
                </c:pt>
                <c:pt idx="210">
                  <c:v>0.65582330233583797</c:v>
                </c:pt>
                <c:pt idx="211">
                  <c:v>0.65720471867066899</c:v>
                </c:pt>
                <c:pt idx="212">
                  <c:v>0.65582330233583797</c:v>
                </c:pt>
                <c:pt idx="213">
                  <c:v>0.65455905311871299</c:v>
                </c:pt>
                <c:pt idx="214">
                  <c:v>0.62719075850631201</c:v>
                </c:pt>
                <c:pt idx="215">
                  <c:v>0.59003468905342005</c:v>
                </c:pt>
                <c:pt idx="216">
                  <c:v>0.56144623129586702</c:v>
                </c:pt>
                <c:pt idx="217">
                  <c:v>0.58384753948448997</c:v>
                </c:pt>
                <c:pt idx="218">
                  <c:v>0.51703371456013503</c:v>
                </c:pt>
                <c:pt idx="219">
                  <c:v>0.58146564562660097</c:v>
                </c:pt>
                <c:pt idx="220">
                  <c:v>0.61985540937113104</c:v>
                </c:pt>
                <c:pt idx="221">
                  <c:v>0.60618674833379105</c:v>
                </c:pt>
                <c:pt idx="222">
                  <c:v>0.63179874985391804</c:v>
                </c:pt>
                <c:pt idx="223">
                  <c:v>0.60745911385405604</c:v>
                </c:pt>
                <c:pt idx="224">
                  <c:v>0.63350921207897204</c:v>
                </c:pt>
                <c:pt idx="225">
                  <c:v>0.608876308109219</c:v>
                </c:pt>
                <c:pt idx="226">
                  <c:v>0.53238458781035902</c:v>
                </c:pt>
                <c:pt idx="227">
                  <c:v>0.52626041924754496</c:v>
                </c:pt>
                <c:pt idx="228">
                  <c:v>0.49530657385961702</c:v>
                </c:pt>
                <c:pt idx="229">
                  <c:v>0.49518214427458052</c:v>
                </c:pt>
                <c:pt idx="230">
                  <c:v>0.49151040605794738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438720"/>
        <c:axId val="305440256"/>
      </c:lineChart>
      <c:lineChart>
        <c:grouping val="standard"/>
        <c:varyColors val="0"/>
        <c:ser>
          <c:idx val="1"/>
          <c:order val="1"/>
          <c:tx>
            <c:strRef>
              <c:f>'Low Rate Result'!$G$2</c:f>
              <c:strCache>
                <c:ptCount val="1"/>
                <c:pt idx="0">
                  <c:v>Refi Index</c:v>
                </c:pt>
              </c:strCache>
            </c:strRef>
          </c:tx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Result'!$G$3:$G$233</c:f>
              <c:numCache>
                <c:formatCode>0</c:formatCode>
                <c:ptCount val="231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1723</c:v>
                </c:pt>
                <c:pt idx="225">
                  <c:v>1559.4</c:v>
                </c:pt>
                <c:pt idx="226">
                  <c:v>1477.8</c:v>
                </c:pt>
                <c:pt idx="227">
                  <c:v>1448.8</c:v>
                </c:pt>
                <c:pt idx="228">
                  <c:v>1408.1</c:v>
                </c:pt>
                <c:pt idx="229">
                  <c:v>1233.9000000000001</c:v>
                </c:pt>
                <c:pt idx="2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857280"/>
        <c:axId val="305441792"/>
      </c:lineChart>
      <c:dateAx>
        <c:axId val="305438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5440256"/>
        <c:crosses val="autoZero"/>
        <c:auto val="1"/>
        <c:lblOffset val="100"/>
        <c:baseTimeUnit val="days"/>
      </c:dateAx>
      <c:valAx>
        <c:axId val="3054402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05438720"/>
        <c:crosses val="autoZero"/>
        <c:crossBetween val="between"/>
      </c:valAx>
      <c:valAx>
        <c:axId val="305441792"/>
        <c:scaling>
          <c:orientation val="minMax"/>
          <c:max val="6000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crossAx val="305857280"/>
        <c:crosses val="max"/>
        <c:crossBetween val="between"/>
      </c:valAx>
      <c:dateAx>
        <c:axId val="3058572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05441792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'Low rate'!$P$2</c:f>
              <c:strCache>
                <c:ptCount val="1"/>
                <c:pt idx="0">
                  <c:v>minSurveyRate</c:v>
                </c:pt>
              </c:strCache>
            </c:strRef>
          </c:tx>
          <c:marker>
            <c:symbol val="none"/>
          </c:marker>
          <c:cat>
            <c:numRef>
              <c:f>'Low rate'!$N$3:$O$755</c:f>
              <c:numCache>
                <c:formatCode>m/d/yyyy</c:formatCode>
                <c:ptCount val="753"/>
                <c:pt idx="0">
                  <c:v>36896</c:v>
                </c:pt>
                <c:pt idx="1">
                  <c:v>36903</c:v>
                </c:pt>
                <c:pt idx="2">
                  <c:v>36910</c:v>
                </c:pt>
                <c:pt idx="3">
                  <c:v>36917</c:v>
                </c:pt>
                <c:pt idx="4">
                  <c:v>36924</c:v>
                </c:pt>
                <c:pt idx="5">
                  <c:v>36931</c:v>
                </c:pt>
                <c:pt idx="6">
                  <c:v>36938</c:v>
                </c:pt>
                <c:pt idx="7">
                  <c:v>36945</c:v>
                </c:pt>
                <c:pt idx="8">
                  <c:v>36952</c:v>
                </c:pt>
                <c:pt idx="9">
                  <c:v>36959</c:v>
                </c:pt>
                <c:pt idx="10">
                  <c:v>36966</c:v>
                </c:pt>
                <c:pt idx="11">
                  <c:v>36973</c:v>
                </c:pt>
                <c:pt idx="12">
                  <c:v>36980</c:v>
                </c:pt>
                <c:pt idx="13">
                  <c:v>36987</c:v>
                </c:pt>
                <c:pt idx="14">
                  <c:v>36994</c:v>
                </c:pt>
                <c:pt idx="15">
                  <c:v>37001</c:v>
                </c:pt>
                <c:pt idx="16">
                  <c:v>37008</c:v>
                </c:pt>
                <c:pt idx="17">
                  <c:v>37015</c:v>
                </c:pt>
                <c:pt idx="18">
                  <c:v>37022</c:v>
                </c:pt>
                <c:pt idx="19">
                  <c:v>37029</c:v>
                </c:pt>
                <c:pt idx="20">
                  <c:v>37036</c:v>
                </c:pt>
                <c:pt idx="21">
                  <c:v>37043</c:v>
                </c:pt>
                <c:pt idx="22">
                  <c:v>37050</c:v>
                </c:pt>
                <c:pt idx="23">
                  <c:v>37057</c:v>
                </c:pt>
                <c:pt idx="24">
                  <c:v>37064</c:v>
                </c:pt>
                <c:pt idx="25">
                  <c:v>37071</c:v>
                </c:pt>
                <c:pt idx="26">
                  <c:v>37078</c:v>
                </c:pt>
                <c:pt idx="27">
                  <c:v>37085</c:v>
                </c:pt>
                <c:pt idx="28">
                  <c:v>37092</c:v>
                </c:pt>
                <c:pt idx="29">
                  <c:v>37099</c:v>
                </c:pt>
                <c:pt idx="30">
                  <c:v>37106</c:v>
                </c:pt>
                <c:pt idx="31">
                  <c:v>37113</c:v>
                </c:pt>
                <c:pt idx="32">
                  <c:v>37120</c:v>
                </c:pt>
                <c:pt idx="33">
                  <c:v>37127</c:v>
                </c:pt>
                <c:pt idx="34">
                  <c:v>37134</c:v>
                </c:pt>
                <c:pt idx="35">
                  <c:v>37141</c:v>
                </c:pt>
                <c:pt idx="36">
                  <c:v>37148</c:v>
                </c:pt>
                <c:pt idx="37">
                  <c:v>37155</c:v>
                </c:pt>
                <c:pt idx="38">
                  <c:v>37162</c:v>
                </c:pt>
                <c:pt idx="39">
                  <c:v>37169</c:v>
                </c:pt>
                <c:pt idx="40">
                  <c:v>37176</c:v>
                </c:pt>
                <c:pt idx="41">
                  <c:v>37183</c:v>
                </c:pt>
                <c:pt idx="42">
                  <c:v>37190</c:v>
                </c:pt>
                <c:pt idx="43">
                  <c:v>37197</c:v>
                </c:pt>
                <c:pt idx="44">
                  <c:v>37204</c:v>
                </c:pt>
                <c:pt idx="45">
                  <c:v>37211</c:v>
                </c:pt>
                <c:pt idx="46">
                  <c:v>37218</c:v>
                </c:pt>
                <c:pt idx="47">
                  <c:v>37225</c:v>
                </c:pt>
                <c:pt idx="48">
                  <c:v>37232</c:v>
                </c:pt>
                <c:pt idx="49">
                  <c:v>37239</c:v>
                </c:pt>
                <c:pt idx="50">
                  <c:v>37246</c:v>
                </c:pt>
                <c:pt idx="51">
                  <c:v>37253</c:v>
                </c:pt>
                <c:pt idx="52">
                  <c:v>37260</c:v>
                </c:pt>
                <c:pt idx="53">
                  <c:v>37267</c:v>
                </c:pt>
                <c:pt idx="54">
                  <c:v>37274</c:v>
                </c:pt>
                <c:pt idx="55">
                  <c:v>37281</c:v>
                </c:pt>
                <c:pt idx="56">
                  <c:v>37288</c:v>
                </c:pt>
                <c:pt idx="57">
                  <c:v>37295</c:v>
                </c:pt>
                <c:pt idx="58">
                  <c:v>37302</c:v>
                </c:pt>
                <c:pt idx="59">
                  <c:v>37309</c:v>
                </c:pt>
                <c:pt idx="60">
                  <c:v>37316</c:v>
                </c:pt>
                <c:pt idx="61">
                  <c:v>37323</c:v>
                </c:pt>
                <c:pt idx="62">
                  <c:v>37330</c:v>
                </c:pt>
                <c:pt idx="63">
                  <c:v>37337</c:v>
                </c:pt>
                <c:pt idx="64">
                  <c:v>37344</c:v>
                </c:pt>
                <c:pt idx="65">
                  <c:v>37351</c:v>
                </c:pt>
                <c:pt idx="66">
                  <c:v>37358</c:v>
                </c:pt>
                <c:pt idx="67">
                  <c:v>37365</c:v>
                </c:pt>
                <c:pt idx="68">
                  <c:v>37372</c:v>
                </c:pt>
                <c:pt idx="69">
                  <c:v>37379</c:v>
                </c:pt>
                <c:pt idx="70">
                  <c:v>37386</c:v>
                </c:pt>
                <c:pt idx="71">
                  <c:v>37393</c:v>
                </c:pt>
                <c:pt idx="72">
                  <c:v>37400</c:v>
                </c:pt>
                <c:pt idx="73">
                  <c:v>37407</c:v>
                </c:pt>
                <c:pt idx="74">
                  <c:v>37414</c:v>
                </c:pt>
                <c:pt idx="75">
                  <c:v>37421</c:v>
                </c:pt>
                <c:pt idx="76">
                  <c:v>37428</c:v>
                </c:pt>
                <c:pt idx="77">
                  <c:v>37435</c:v>
                </c:pt>
                <c:pt idx="78">
                  <c:v>37442</c:v>
                </c:pt>
                <c:pt idx="79">
                  <c:v>37449</c:v>
                </c:pt>
                <c:pt idx="80">
                  <c:v>37456</c:v>
                </c:pt>
                <c:pt idx="81">
                  <c:v>37463</c:v>
                </c:pt>
                <c:pt idx="82">
                  <c:v>37470</c:v>
                </c:pt>
                <c:pt idx="83">
                  <c:v>37477</c:v>
                </c:pt>
                <c:pt idx="84">
                  <c:v>37484</c:v>
                </c:pt>
                <c:pt idx="85">
                  <c:v>37491</c:v>
                </c:pt>
                <c:pt idx="86">
                  <c:v>37498</c:v>
                </c:pt>
                <c:pt idx="87">
                  <c:v>37505</c:v>
                </c:pt>
                <c:pt idx="88">
                  <c:v>37512</c:v>
                </c:pt>
                <c:pt idx="89">
                  <c:v>37519</c:v>
                </c:pt>
                <c:pt idx="90">
                  <c:v>37526</c:v>
                </c:pt>
                <c:pt idx="91">
                  <c:v>37533</c:v>
                </c:pt>
                <c:pt idx="92">
                  <c:v>37540</c:v>
                </c:pt>
                <c:pt idx="93">
                  <c:v>37547</c:v>
                </c:pt>
                <c:pt idx="94">
                  <c:v>37554</c:v>
                </c:pt>
                <c:pt idx="95">
                  <c:v>37561</c:v>
                </c:pt>
                <c:pt idx="96">
                  <c:v>37568</c:v>
                </c:pt>
                <c:pt idx="97">
                  <c:v>37575</c:v>
                </c:pt>
                <c:pt idx="98">
                  <c:v>37582</c:v>
                </c:pt>
                <c:pt idx="99">
                  <c:v>37589</c:v>
                </c:pt>
                <c:pt idx="100">
                  <c:v>37596</c:v>
                </c:pt>
                <c:pt idx="101">
                  <c:v>37603</c:v>
                </c:pt>
                <c:pt idx="102">
                  <c:v>37610</c:v>
                </c:pt>
                <c:pt idx="103">
                  <c:v>37617</c:v>
                </c:pt>
                <c:pt idx="104">
                  <c:v>37624</c:v>
                </c:pt>
                <c:pt idx="105">
                  <c:v>37631</c:v>
                </c:pt>
                <c:pt idx="106">
                  <c:v>37638</c:v>
                </c:pt>
                <c:pt idx="107">
                  <c:v>37645</c:v>
                </c:pt>
                <c:pt idx="108">
                  <c:v>37652</c:v>
                </c:pt>
                <c:pt idx="109">
                  <c:v>37659</c:v>
                </c:pt>
                <c:pt idx="110">
                  <c:v>37666</c:v>
                </c:pt>
                <c:pt idx="111">
                  <c:v>37673</c:v>
                </c:pt>
                <c:pt idx="112">
                  <c:v>37680</c:v>
                </c:pt>
                <c:pt idx="113">
                  <c:v>37687</c:v>
                </c:pt>
                <c:pt idx="114">
                  <c:v>37694</c:v>
                </c:pt>
                <c:pt idx="115">
                  <c:v>37701</c:v>
                </c:pt>
                <c:pt idx="116">
                  <c:v>37708</c:v>
                </c:pt>
                <c:pt idx="117">
                  <c:v>37715</c:v>
                </c:pt>
                <c:pt idx="118">
                  <c:v>37722</c:v>
                </c:pt>
                <c:pt idx="119">
                  <c:v>37729</c:v>
                </c:pt>
                <c:pt idx="120">
                  <c:v>37736</c:v>
                </c:pt>
                <c:pt idx="121">
                  <c:v>37743</c:v>
                </c:pt>
                <c:pt idx="122">
                  <c:v>37750</c:v>
                </c:pt>
                <c:pt idx="123">
                  <c:v>37757</c:v>
                </c:pt>
                <c:pt idx="124">
                  <c:v>37764</c:v>
                </c:pt>
                <c:pt idx="125">
                  <c:v>37771</c:v>
                </c:pt>
                <c:pt idx="126">
                  <c:v>37778</c:v>
                </c:pt>
                <c:pt idx="127">
                  <c:v>37785</c:v>
                </c:pt>
                <c:pt idx="128">
                  <c:v>37792</c:v>
                </c:pt>
                <c:pt idx="129">
                  <c:v>37799</c:v>
                </c:pt>
                <c:pt idx="130">
                  <c:v>37806</c:v>
                </c:pt>
                <c:pt idx="131">
                  <c:v>37813</c:v>
                </c:pt>
                <c:pt idx="132">
                  <c:v>37820</c:v>
                </c:pt>
                <c:pt idx="133">
                  <c:v>37827</c:v>
                </c:pt>
                <c:pt idx="134">
                  <c:v>37834</c:v>
                </c:pt>
                <c:pt idx="135">
                  <c:v>37841</c:v>
                </c:pt>
                <c:pt idx="136">
                  <c:v>37848</c:v>
                </c:pt>
                <c:pt idx="137">
                  <c:v>37855</c:v>
                </c:pt>
                <c:pt idx="138">
                  <c:v>37862</c:v>
                </c:pt>
                <c:pt idx="139">
                  <c:v>37869</c:v>
                </c:pt>
                <c:pt idx="140">
                  <c:v>37876</c:v>
                </c:pt>
                <c:pt idx="141">
                  <c:v>37883</c:v>
                </c:pt>
                <c:pt idx="142">
                  <c:v>37890</c:v>
                </c:pt>
                <c:pt idx="143">
                  <c:v>37897</c:v>
                </c:pt>
                <c:pt idx="144">
                  <c:v>37904</c:v>
                </c:pt>
                <c:pt idx="145">
                  <c:v>37911</c:v>
                </c:pt>
                <c:pt idx="146">
                  <c:v>37918</c:v>
                </c:pt>
                <c:pt idx="147">
                  <c:v>37925</c:v>
                </c:pt>
                <c:pt idx="148">
                  <c:v>37932</c:v>
                </c:pt>
                <c:pt idx="149">
                  <c:v>37939</c:v>
                </c:pt>
                <c:pt idx="150">
                  <c:v>37946</c:v>
                </c:pt>
                <c:pt idx="151">
                  <c:v>37953</c:v>
                </c:pt>
                <c:pt idx="152">
                  <c:v>37960</c:v>
                </c:pt>
                <c:pt idx="153">
                  <c:v>37967</c:v>
                </c:pt>
                <c:pt idx="154">
                  <c:v>37974</c:v>
                </c:pt>
                <c:pt idx="155">
                  <c:v>37981</c:v>
                </c:pt>
                <c:pt idx="156">
                  <c:v>37986</c:v>
                </c:pt>
                <c:pt idx="157">
                  <c:v>37994</c:v>
                </c:pt>
                <c:pt idx="158">
                  <c:v>38001</c:v>
                </c:pt>
                <c:pt idx="159">
                  <c:v>38008</c:v>
                </c:pt>
                <c:pt idx="160">
                  <c:v>38015</c:v>
                </c:pt>
                <c:pt idx="161">
                  <c:v>38022</c:v>
                </c:pt>
                <c:pt idx="162">
                  <c:v>38029</c:v>
                </c:pt>
                <c:pt idx="163">
                  <c:v>38036</c:v>
                </c:pt>
                <c:pt idx="164">
                  <c:v>38043</c:v>
                </c:pt>
                <c:pt idx="165">
                  <c:v>38050</c:v>
                </c:pt>
                <c:pt idx="166">
                  <c:v>38057</c:v>
                </c:pt>
                <c:pt idx="167">
                  <c:v>38064</c:v>
                </c:pt>
                <c:pt idx="168">
                  <c:v>38071</c:v>
                </c:pt>
                <c:pt idx="169">
                  <c:v>38078</c:v>
                </c:pt>
                <c:pt idx="170">
                  <c:v>38085</c:v>
                </c:pt>
                <c:pt idx="171">
                  <c:v>38092</c:v>
                </c:pt>
                <c:pt idx="172">
                  <c:v>38099</c:v>
                </c:pt>
                <c:pt idx="173">
                  <c:v>38106</c:v>
                </c:pt>
                <c:pt idx="174">
                  <c:v>38113</c:v>
                </c:pt>
                <c:pt idx="175">
                  <c:v>38120</c:v>
                </c:pt>
                <c:pt idx="176">
                  <c:v>38127</c:v>
                </c:pt>
                <c:pt idx="177">
                  <c:v>38134</c:v>
                </c:pt>
                <c:pt idx="178">
                  <c:v>38141</c:v>
                </c:pt>
                <c:pt idx="179">
                  <c:v>38148</c:v>
                </c:pt>
                <c:pt idx="180">
                  <c:v>38155</c:v>
                </c:pt>
                <c:pt idx="181">
                  <c:v>38162</c:v>
                </c:pt>
                <c:pt idx="182">
                  <c:v>38169</c:v>
                </c:pt>
                <c:pt idx="183">
                  <c:v>38176</c:v>
                </c:pt>
                <c:pt idx="184">
                  <c:v>38183</c:v>
                </c:pt>
                <c:pt idx="185">
                  <c:v>38190</c:v>
                </c:pt>
                <c:pt idx="186">
                  <c:v>38197</c:v>
                </c:pt>
                <c:pt idx="187">
                  <c:v>38204</c:v>
                </c:pt>
                <c:pt idx="188">
                  <c:v>38211</c:v>
                </c:pt>
                <c:pt idx="189">
                  <c:v>38218</c:v>
                </c:pt>
                <c:pt idx="190">
                  <c:v>38225</c:v>
                </c:pt>
                <c:pt idx="191">
                  <c:v>38232</c:v>
                </c:pt>
                <c:pt idx="192">
                  <c:v>38239</c:v>
                </c:pt>
                <c:pt idx="193">
                  <c:v>38246</c:v>
                </c:pt>
                <c:pt idx="194">
                  <c:v>38253</c:v>
                </c:pt>
                <c:pt idx="195">
                  <c:v>38260</c:v>
                </c:pt>
                <c:pt idx="196">
                  <c:v>38267</c:v>
                </c:pt>
                <c:pt idx="197">
                  <c:v>38274</c:v>
                </c:pt>
                <c:pt idx="198">
                  <c:v>38281</c:v>
                </c:pt>
                <c:pt idx="199">
                  <c:v>38288</c:v>
                </c:pt>
                <c:pt idx="200">
                  <c:v>38295</c:v>
                </c:pt>
                <c:pt idx="201">
                  <c:v>38302</c:v>
                </c:pt>
                <c:pt idx="202">
                  <c:v>38309</c:v>
                </c:pt>
                <c:pt idx="203">
                  <c:v>38315</c:v>
                </c:pt>
                <c:pt idx="204">
                  <c:v>38323</c:v>
                </c:pt>
                <c:pt idx="205">
                  <c:v>38330</c:v>
                </c:pt>
                <c:pt idx="206">
                  <c:v>38337</c:v>
                </c:pt>
                <c:pt idx="207">
                  <c:v>38343</c:v>
                </c:pt>
                <c:pt idx="208">
                  <c:v>38350</c:v>
                </c:pt>
                <c:pt idx="209">
                  <c:v>38358</c:v>
                </c:pt>
                <c:pt idx="210">
                  <c:v>38365</c:v>
                </c:pt>
                <c:pt idx="211">
                  <c:v>38372</c:v>
                </c:pt>
                <c:pt idx="212">
                  <c:v>38379</c:v>
                </c:pt>
                <c:pt idx="213">
                  <c:v>38386</c:v>
                </c:pt>
                <c:pt idx="214">
                  <c:v>38393</c:v>
                </c:pt>
                <c:pt idx="215">
                  <c:v>38400</c:v>
                </c:pt>
                <c:pt idx="216">
                  <c:v>38407</c:v>
                </c:pt>
                <c:pt idx="217">
                  <c:v>38414</c:v>
                </c:pt>
                <c:pt idx="218">
                  <c:v>38421</c:v>
                </c:pt>
                <c:pt idx="219">
                  <c:v>38428</c:v>
                </c:pt>
                <c:pt idx="220">
                  <c:v>38435</c:v>
                </c:pt>
                <c:pt idx="221">
                  <c:v>38442</c:v>
                </c:pt>
                <c:pt idx="222">
                  <c:v>38449</c:v>
                </c:pt>
                <c:pt idx="223">
                  <c:v>38456</c:v>
                </c:pt>
                <c:pt idx="224">
                  <c:v>38463</c:v>
                </c:pt>
                <c:pt idx="225">
                  <c:v>38470</c:v>
                </c:pt>
                <c:pt idx="226">
                  <c:v>38477</c:v>
                </c:pt>
                <c:pt idx="227">
                  <c:v>38484</c:v>
                </c:pt>
                <c:pt idx="228">
                  <c:v>38491</c:v>
                </c:pt>
                <c:pt idx="229">
                  <c:v>38498</c:v>
                </c:pt>
                <c:pt idx="230">
                  <c:v>38505</c:v>
                </c:pt>
                <c:pt idx="231">
                  <c:v>38512</c:v>
                </c:pt>
                <c:pt idx="232">
                  <c:v>38519</c:v>
                </c:pt>
                <c:pt idx="233">
                  <c:v>38526</c:v>
                </c:pt>
                <c:pt idx="234">
                  <c:v>38533</c:v>
                </c:pt>
                <c:pt idx="235">
                  <c:v>38540</c:v>
                </c:pt>
                <c:pt idx="236">
                  <c:v>38547</c:v>
                </c:pt>
                <c:pt idx="237">
                  <c:v>38554</c:v>
                </c:pt>
                <c:pt idx="238">
                  <c:v>38561</c:v>
                </c:pt>
                <c:pt idx="239">
                  <c:v>38568</c:v>
                </c:pt>
                <c:pt idx="240">
                  <c:v>38575</c:v>
                </c:pt>
                <c:pt idx="241">
                  <c:v>38582</c:v>
                </c:pt>
                <c:pt idx="242">
                  <c:v>38589</c:v>
                </c:pt>
                <c:pt idx="243">
                  <c:v>38596</c:v>
                </c:pt>
                <c:pt idx="244">
                  <c:v>38603</c:v>
                </c:pt>
                <c:pt idx="245">
                  <c:v>38610</c:v>
                </c:pt>
                <c:pt idx="246">
                  <c:v>38617</c:v>
                </c:pt>
                <c:pt idx="247">
                  <c:v>38624</c:v>
                </c:pt>
                <c:pt idx="248">
                  <c:v>38631</c:v>
                </c:pt>
                <c:pt idx="249">
                  <c:v>38638</c:v>
                </c:pt>
                <c:pt idx="250">
                  <c:v>38645</c:v>
                </c:pt>
                <c:pt idx="251">
                  <c:v>38652</c:v>
                </c:pt>
                <c:pt idx="252">
                  <c:v>38659</c:v>
                </c:pt>
                <c:pt idx="253">
                  <c:v>38666</c:v>
                </c:pt>
                <c:pt idx="254">
                  <c:v>38673</c:v>
                </c:pt>
                <c:pt idx="255">
                  <c:v>38679</c:v>
                </c:pt>
                <c:pt idx="256">
                  <c:v>38687</c:v>
                </c:pt>
                <c:pt idx="257">
                  <c:v>38694</c:v>
                </c:pt>
                <c:pt idx="258">
                  <c:v>38701</c:v>
                </c:pt>
                <c:pt idx="259">
                  <c:v>38708</c:v>
                </c:pt>
                <c:pt idx="260">
                  <c:v>38715</c:v>
                </c:pt>
                <c:pt idx="261">
                  <c:v>38722</c:v>
                </c:pt>
                <c:pt idx="262">
                  <c:v>38729</c:v>
                </c:pt>
                <c:pt idx="263">
                  <c:v>38736</c:v>
                </c:pt>
                <c:pt idx="264">
                  <c:v>38743</c:v>
                </c:pt>
                <c:pt idx="265">
                  <c:v>38750</c:v>
                </c:pt>
                <c:pt idx="266">
                  <c:v>38757</c:v>
                </c:pt>
                <c:pt idx="267">
                  <c:v>38764</c:v>
                </c:pt>
                <c:pt idx="268">
                  <c:v>38771</c:v>
                </c:pt>
                <c:pt idx="269">
                  <c:v>38778</c:v>
                </c:pt>
                <c:pt idx="270">
                  <c:v>38785</c:v>
                </c:pt>
                <c:pt idx="271">
                  <c:v>38792</c:v>
                </c:pt>
                <c:pt idx="272">
                  <c:v>38799</c:v>
                </c:pt>
                <c:pt idx="273">
                  <c:v>38806</c:v>
                </c:pt>
                <c:pt idx="274">
                  <c:v>38813</c:v>
                </c:pt>
                <c:pt idx="275">
                  <c:v>38820</c:v>
                </c:pt>
                <c:pt idx="276">
                  <c:v>38827</c:v>
                </c:pt>
                <c:pt idx="277">
                  <c:v>38834</c:v>
                </c:pt>
                <c:pt idx="278">
                  <c:v>38841</c:v>
                </c:pt>
                <c:pt idx="279">
                  <c:v>38848</c:v>
                </c:pt>
                <c:pt idx="280">
                  <c:v>38855</c:v>
                </c:pt>
                <c:pt idx="281">
                  <c:v>38862</c:v>
                </c:pt>
                <c:pt idx="282">
                  <c:v>38869</c:v>
                </c:pt>
                <c:pt idx="283">
                  <c:v>38876</c:v>
                </c:pt>
                <c:pt idx="284">
                  <c:v>38883</c:v>
                </c:pt>
                <c:pt idx="285">
                  <c:v>38890</c:v>
                </c:pt>
                <c:pt idx="286">
                  <c:v>38897</c:v>
                </c:pt>
                <c:pt idx="287">
                  <c:v>38904</c:v>
                </c:pt>
                <c:pt idx="288">
                  <c:v>38911</c:v>
                </c:pt>
                <c:pt idx="289">
                  <c:v>38918</c:v>
                </c:pt>
                <c:pt idx="290">
                  <c:v>38925</c:v>
                </c:pt>
                <c:pt idx="291">
                  <c:v>38932</c:v>
                </c:pt>
                <c:pt idx="292">
                  <c:v>38939</c:v>
                </c:pt>
                <c:pt idx="293">
                  <c:v>38946</c:v>
                </c:pt>
                <c:pt idx="294">
                  <c:v>38953</c:v>
                </c:pt>
                <c:pt idx="295">
                  <c:v>38960</c:v>
                </c:pt>
                <c:pt idx="296">
                  <c:v>38967</c:v>
                </c:pt>
                <c:pt idx="297">
                  <c:v>38974</c:v>
                </c:pt>
                <c:pt idx="298">
                  <c:v>38981</c:v>
                </c:pt>
                <c:pt idx="299">
                  <c:v>38988</c:v>
                </c:pt>
                <c:pt idx="300">
                  <c:v>38995</c:v>
                </c:pt>
                <c:pt idx="301">
                  <c:v>39002</c:v>
                </c:pt>
                <c:pt idx="302">
                  <c:v>39009</c:v>
                </c:pt>
                <c:pt idx="303">
                  <c:v>39016</c:v>
                </c:pt>
                <c:pt idx="304">
                  <c:v>39023</c:v>
                </c:pt>
                <c:pt idx="305">
                  <c:v>39030</c:v>
                </c:pt>
                <c:pt idx="306">
                  <c:v>39037</c:v>
                </c:pt>
                <c:pt idx="307">
                  <c:v>39043</c:v>
                </c:pt>
                <c:pt idx="308">
                  <c:v>39051</c:v>
                </c:pt>
                <c:pt idx="309">
                  <c:v>39058</c:v>
                </c:pt>
                <c:pt idx="310">
                  <c:v>39065</c:v>
                </c:pt>
                <c:pt idx="311">
                  <c:v>39072</c:v>
                </c:pt>
                <c:pt idx="312">
                  <c:v>39079</c:v>
                </c:pt>
                <c:pt idx="313">
                  <c:v>39086</c:v>
                </c:pt>
                <c:pt idx="314">
                  <c:v>39093</c:v>
                </c:pt>
                <c:pt idx="315">
                  <c:v>39100</c:v>
                </c:pt>
                <c:pt idx="316">
                  <c:v>39107</c:v>
                </c:pt>
                <c:pt idx="317">
                  <c:v>39114</c:v>
                </c:pt>
                <c:pt idx="318">
                  <c:v>39121</c:v>
                </c:pt>
                <c:pt idx="319">
                  <c:v>39128</c:v>
                </c:pt>
                <c:pt idx="320">
                  <c:v>39135</c:v>
                </c:pt>
                <c:pt idx="321">
                  <c:v>39142</c:v>
                </c:pt>
                <c:pt idx="322">
                  <c:v>39149</c:v>
                </c:pt>
                <c:pt idx="323">
                  <c:v>39156</c:v>
                </c:pt>
                <c:pt idx="324">
                  <c:v>39163</c:v>
                </c:pt>
                <c:pt idx="325">
                  <c:v>39170</c:v>
                </c:pt>
                <c:pt idx="326">
                  <c:v>39177</c:v>
                </c:pt>
                <c:pt idx="327">
                  <c:v>39184</c:v>
                </c:pt>
                <c:pt idx="328">
                  <c:v>39191</c:v>
                </c:pt>
                <c:pt idx="329">
                  <c:v>39198</c:v>
                </c:pt>
                <c:pt idx="330">
                  <c:v>39205</c:v>
                </c:pt>
                <c:pt idx="331">
                  <c:v>39212</c:v>
                </c:pt>
                <c:pt idx="332">
                  <c:v>39219</c:v>
                </c:pt>
                <c:pt idx="333">
                  <c:v>39226</c:v>
                </c:pt>
                <c:pt idx="334">
                  <c:v>39233</c:v>
                </c:pt>
                <c:pt idx="335">
                  <c:v>39240</c:v>
                </c:pt>
                <c:pt idx="336">
                  <c:v>39247</c:v>
                </c:pt>
                <c:pt idx="337">
                  <c:v>39254</c:v>
                </c:pt>
                <c:pt idx="338">
                  <c:v>39261</c:v>
                </c:pt>
                <c:pt idx="339">
                  <c:v>39268</c:v>
                </c:pt>
                <c:pt idx="340">
                  <c:v>39275</c:v>
                </c:pt>
                <c:pt idx="341">
                  <c:v>39282</c:v>
                </c:pt>
                <c:pt idx="342">
                  <c:v>39289</c:v>
                </c:pt>
                <c:pt idx="343">
                  <c:v>39296</c:v>
                </c:pt>
                <c:pt idx="344">
                  <c:v>39303</c:v>
                </c:pt>
                <c:pt idx="345">
                  <c:v>39310</c:v>
                </c:pt>
                <c:pt idx="346">
                  <c:v>39317</c:v>
                </c:pt>
                <c:pt idx="347">
                  <c:v>39324</c:v>
                </c:pt>
                <c:pt idx="348">
                  <c:v>39331</c:v>
                </c:pt>
                <c:pt idx="349">
                  <c:v>39338</c:v>
                </c:pt>
                <c:pt idx="350">
                  <c:v>39345</c:v>
                </c:pt>
                <c:pt idx="351">
                  <c:v>39352</c:v>
                </c:pt>
                <c:pt idx="352">
                  <c:v>39359</c:v>
                </c:pt>
                <c:pt idx="353">
                  <c:v>39366</c:v>
                </c:pt>
                <c:pt idx="354">
                  <c:v>39373</c:v>
                </c:pt>
                <c:pt idx="355">
                  <c:v>39380</c:v>
                </c:pt>
                <c:pt idx="356">
                  <c:v>39387</c:v>
                </c:pt>
                <c:pt idx="357">
                  <c:v>39394</c:v>
                </c:pt>
                <c:pt idx="358">
                  <c:v>39401</c:v>
                </c:pt>
                <c:pt idx="359">
                  <c:v>39407</c:v>
                </c:pt>
                <c:pt idx="360">
                  <c:v>39415</c:v>
                </c:pt>
                <c:pt idx="361">
                  <c:v>39422</c:v>
                </c:pt>
                <c:pt idx="362">
                  <c:v>39429</c:v>
                </c:pt>
                <c:pt idx="363">
                  <c:v>39436</c:v>
                </c:pt>
                <c:pt idx="364">
                  <c:v>39443</c:v>
                </c:pt>
                <c:pt idx="365">
                  <c:v>39450</c:v>
                </c:pt>
                <c:pt idx="366">
                  <c:v>39457</c:v>
                </c:pt>
                <c:pt idx="367">
                  <c:v>39464</c:v>
                </c:pt>
                <c:pt idx="368">
                  <c:v>39471</c:v>
                </c:pt>
                <c:pt idx="369">
                  <c:v>39478</c:v>
                </c:pt>
                <c:pt idx="370">
                  <c:v>39485</c:v>
                </c:pt>
                <c:pt idx="371">
                  <c:v>39492</c:v>
                </c:pt>
                <c:pt idx="372">
                  <c:v>39499</c:v>
                </c:pt>
                <c:pt idx="373">
                  <c:v>39506</c:v>
                </c:pt>
                <c:pt idx="374">
                  <c:v>39513</c:v>
                </c:pt>
                <c:pt idx="375">
                  <c:v>39520</c:v>
                </c:pt>
                <c:pt idx="376">
                  <c:v>39527</c:v>
                </c:pt>
                <c:pt idx="377">
                  <c:v>39534</c:v>
                </c:pt>
                <c:pt idx="378">
                  <c:v>39541</c:v>
                </c:pt>
                <c:pt idx="379">
                  <c:v>39548</c:v>
                </c:pt>
                <c:pt idx="380">
                  <c:v>39555</c:v>
                </c:pt>
                <c:pt idx="381">
                  <c:v>39562</c:v>
                </c:pt>
                <c:pt idx="382">
                  <c:v>39569</c:v>
                </c:pt>
                <c:pt idx="383">
                  <c:v>39576</c:v>
                </c:pt>
                <c:pt idx="384">
                  <c:v>39583</c:v>
                </c:pt>
                <c:pt idx="385">
                  <c:v>39590</c:v>
                </c:pt>
                <c:pt idx="386">
                  <c:v>39597</c:v>
                </c:pt>
                <c:pt idx="387">
                  <c:v>39604</c:v>
                </c:pt>
                <c:pt idx="388">
                  <c:v>39611</c:v>
                </c:pt>
                <c:pt idx="389">
                  <c:v>39618</c:v>
                </c:pt>
                <c:pt idx="390">
                  <c:v>39625</c:v>
                </c:pt>
                <c:pt idx="391">
                  <c:v>39632</c:v>
                </c:pt>
                <c:pt idx="392">
                  <c:v>39639</c:v>
                </c:pt>
                <c:pt idx="393">
                  <c:v>39646</c:v>
                </c:pt>
                <c:pt idx="394">
                  <c:v>39653</c:v>
                </c:pt>
                <c:pt idx="395">
                  <c:v>39660</c:v>
                </c:pt>
                <c:pt idx="396">
                  <c:v>39667</c:v>
                </c:pt>
                <c:pt idx="397">
                  <c:v>39674</c:v>
                </c:pt>
                <c:pt idx="398">
                  <c:v>39681</c:v>
                </c:pt>
                <c:pt idx="399">
                  <c:v>39688</c:v>
                </c:pt>
                <c:pt idx="400">
                  <c:v>39695</c:v>
                </c:pt>
                <c:pt idx="401">
                  <c:v>39702</c:v>
                </c:pt>
                <c:pt idx="402">
                  <c:v>39709</c:v>
                </c:pt>
                <c:pt idx="403">
                  <c:v>39716</c:v>
                </c:pt>
                <c:pt idx="404">
                  <c:v>39723</c:v>
                </c:pt>
                <c:pt idx="405">
                  <c:v>39730</c:v>
                </c:pt>
                <c:pt idx="406">
                  <c:v>39737</c:v>
                </c:pt>
                <c:pt idx="407">
                  <c:v>39744</c:v>
                </c:pt>
                <c:pt idx="408">
                  <c:v>39751</c:v>
                </c:pt>
                <c:pt idx="409">
                  <c:v>39758</c:v>
                </c:pt>
                <c:pt idx="410">
                  <c:v>39765</c:v>
                </c:pt>
                <c:pt idx="411">
                  <c:v>39772</c:v>
                </c:pt>
                <c:pt idx="412">
                  <c:v>39778</c:v>
                </c:pt>
                <c:pt idx="413">
                  <c:v>39786</c:v>
                </c:pt>
                <c:pt idx="414">
                  <c:v>39793</c:v>
                </c:pt>
                <c:pt idx="415">
                  <c:v>39800</c:v>
                </c:pt>
                <c:pt idx="416">
                  <c:v>39806</c:v>
                </c:pt>
                <c:pt idx="417">
                  <c:v>39813</c:v>
                </c:pt>
                <c:pt idx="418">
                  <c:v>39821</c:v>
                </c:pt>
                <c:pt idx="419">
                  <c:v>39828</c:v>
                </c:pt>
                <c:pt idx="420">
                  <c:v>39835</c:v>
                </c:pt>
                <c:pt idx="421">
                  <c:v>39842</c:v>
                </c:pt>
                <c:pt idx="422">
                  <c:v>39849</c:v>
                </c:pt>
                <c:pt idx="423">
                  <c:v>39856</c:v>
                </c:pt>
                <c:pt idx="424">
                  <c:v>39863</c:v>
                </c:pt>
                <c:pt idx="425">
                  <c:v>39870</c:v>
                </c:pt>
                <c:pt idx="426">
                  <c:v>39877</c:v>
                </c:pt>
                <c:pt idx="427">
                  <c:v>39884</c:v>
                </c:pt>
                <c:pt idx="428">
                  <c:v>39891</c:v>
                </c:pt>
                <c:pt idx="429">
                  <c:v>39898</c:v>
                </c:pt>
                <c:pt idx="430">
                  <c:v>39905</c:v>
                </c:pt>
                <c:pt idx="431">
                  <c:v>39912</c:v>
                </c:pt>
                <c:pt idx="432">
                  <c:v>39919</c:v>
                </c:pt>
                <c:pt idx="433">
                  <c:v>39926</c:v>
                </c:pt>
                <c:pt idx="434">
                  <c:v>39933</c:v>
                </c:pt>
                <c:pt idx="435">
                  <c:v>39940</c:v>
                </c:pt>
                <c:pt idx="436">
                  <c:v>39947</c:v>
                </c:pt>
                <c:pt idx="437">
                  <c:v>39954</c:v>
                </c:pt>
                <c:pt idx="438">
                  <c:v>39961</c:v>
                </c:pt>
                <c:pt idx="439">
                  <c:v>39968</c:v>
                </c:pt>
                <c:pt idx="440">
                  <c:v>39975</c:v>
                </c:pt>
                <c:pt idx="441">
                  <c:v>39982</c:v>
                </c:pt>
                <c:pt idx="442">
                  <c:v>39989</c:v>
                </c:pt>
                <c:pt idx="443">
                  <c:v>39996</c:v>
                </c:pt>
                <c:pt idx="444">
                  <c:v>40003</c:v>
                </c:pt>
                <c:pt idx="445">
                  <c:v>40010</c:v>
                </c:pt>
                <c:pt idx="446">
                  <c:v>40017</c:v>
                </c:pt>
                <c:pt idx="447">
                  <c:v>40024</c:v>
                </c:pt>
                <c:pt idx="448">
                  <c:v>40031</c:v>
                </c:pt>
                <c:pt idx="449">
                  <c:v>40038</c:v>
                </c:pt>
                <c:pt idx="450">
                  <c:v>40045</c:v>
                </c:pt>
                <c:pt idx="451">
                  <c:v>40052</c:v>
                </c:pt>
                <c:pt idx="452">
                  <c:v>40059</c:v>
                </c:pt>
                <c:pt idx="453">
                  <c:v>40066</c:v>
                </c:pt>
                <c:pt idx="454">
                  <c:v>40073</c:v>
                </c:pt>
                <c:pt idx="455">
                  <c:v>40080</c:v>
                </c:pt>
                <c:pt idx="456">
                  <c:v>40087</c:v>
                </c:pt>
                <c:pt idx="457">
                  <c:v>40094</c:v>
                </c:pt>
                <c:pt idx="458">
                  <c:v>40101</c:v>
                </c:pt>
                <c:pt idx="459">
                  <c:v>40108</c:v>
                </c:pt>
                <c:pt idx="460">
                  <c:v>40115</c:v>
                </c:pt>
                <c:pt idx="461">
                  <c:v>40122</c:v>
                </c:pt>
                <c:pt idx="462">
                  <c:v>40129</c:v>
                </c:pt>
                <c:pt idx="463">
                  <c:v>40136</c:v>
                </c:pt>
                <c:pt idx="464">
                  <c:v>40142</c:v>
                </c:pt>
                <c:pt idx="465">
                  <c:v>40150</c:v>
                </c:pt>
                <c:pt idx="466">
                  <c:v>40157</c:v>
                </c:pt>
                <c:pt idx="467">
                  <c:v>40164</c:v>
                </c:pt>
                <c:pt idx="468">
                  <c:v>40171</c:v>
                </c:pt>
                <c:pt idx="469">
                  <c:v>40178</c:v>
                </c:pt>
                <c:pt idx="470">
                  <c:v>40185</c:v>
                </c:pt>
                <c:pt idx="471">
                  <c:v>40192</c:v>
                </c:pt>
                <c:pt idx="472">
                  <c:v>40199</c:v>
                </c:pt>
                <c:pt idx="473">
                  <c:v>40206</c:v>
                </c:pt>
                <c:pt idx="474">
                  <c:v>40213</c:v>
                </c:pt>
                <c:pt idx="475">
                  <c:v>40220</c:v>
                </c:pt>
                <c:pt idx="476">
                  <c:v>40227</c:v>
                </c:pt>
                <c:pt idx="477">
                  <c:v>40234</c:v>
                </c:pt>
                <c:pt idx="478">
                  <c:v>40241</c:v>
                </c:pt>
                <c:pt idx="479">
                  <c:v>40248</c:v>
                </c:pt>
                <c:pt idx="480">
                  <c:v>40255</c:v>
                </c:pt>
                <c:pt idx="481">
                  <c:v>40262</c:v>
                </c:pt>
                <c:pt idx="482">
                  <c:v>40269</c:v>
                </c:pt>
                <c:pt idx="483">
                  <c:v>40276</c:v>
                </c:pt>
                <c:pt idx="484">
                  <c:v>40283</c:v>
                </c:pt>
                <c:pt idx="485">
                  <c:v>40290</c:v>
                </c:pt>
                <c:pt idx="486">
                  <c:v>40297</c:v>
                </c:pt>
                <c:pt idx="487">
                  <c:v>40304</c:v>
                </c:pt>
                <c:pt idx="488">
                  <c:v>40311</c:v>
                </c:pt>
                <c:pt idx="489">
                  <c:v>40318</c:v>
                </c:pt>
                <c:pt idx="490">
                  <c:v>40325</c:v>
                </c:pt>
                <c:pt idx="491">
                  <c:v>40332</c:v>
                </c:pt>
                <c:pt idx="492">
                  <c:v>40339</c:v>
                </c:pt>
                <c:pt idx="493">
                  <c:v>40346</c:v>
                </c:pt>
                <c:pt idx="494">
                  <c:v>40353</c:v>
                </c:pt>
                <c:pt idx="495">
                  <c:v>40360</c:v>
                </c:pt>
                <c:pt idx="496">
                  <c:v>40367</c:v>
                </c:pt>
                <c:pt idx="497">
                  <c:v>40374</c:v>
                </c:pt>
                <c:pt idx="498">
                  <c:v>40381</c:v>
                </c:pt>
                <c:pt idx="499">
                  <c:v>40388</c:v>
                </c:pt>
                <c:pt idx="500">
                  <c:v>40395</c:v>
                </c:pt>
                <c:pt idx="501">
                  <c:v>40402</c:v>
                </c:pt>
                <c:pt idx="502">
                  <c:v>40409</c:v>
                </c:pt>
                <c:pt idx="503">
                  <c:v>40416</c:v>
                </c:pt>
                <c:pt idx="504">
                  <c:v>40423</c:v>
                </c:pt>
                <c:pt idx="505">
                  <c:v>40430</c:v>
                </c:pt>
                <c:pt idx="506">
                  <c:v>40437</c:v>
                </c:pt>
                <c:pt idx="507">
                  <c:v>40444</c:v>
                </c:pt>
                <c:pt idx="508">
                  <c:v>40451</c:v>
                </c:pt>
                <c:pt idx="509">
                  <c:v>40458</c:v>
                </c:pt>
                <c:pt idx="510">
                  <c:v>40465</c:v>
                </c:pt>
                <c:pt idx="511">
                  <c:v>40472</c:v>
                </c:pt>
                <c:pt idx="512">
                  <c:v>40479</c:v>
                </c:pt>
                <c:pt idx="513">
                  <c:v>40486</c:v>
                </c:pt>
                <c:pt idx="514">
                  <c:v>40493</c:v>
                </c:pt>
                <c:pt idx="515">
                  <c:v>40500</c:v>
                </c:pt>
                <c:pt idx="516">
                  <c:v>40506</c:v>
                </c:pt>
                <c:pt idx="517">
                  <c:v>40514</c:v>
                </c:pt>
                <c:pt idx="518">
                  <c:v>40521</c:v>
                </c:pt>
                <c:pt idx="519">
                  <c:v>40528</c:v>
                </c:pt>
                <c:pt idx="520">
                  <c:v>40535</c:v>
                </c:pt>
                <c:pt idx="521">
                  <c:v>40542</c:v>
                </c:pt>
                <c:pt idx="522">
                  <c:v>40549</c:v>
                </c:pt>
                <c:pt idx="523">
                  <c:v>40556</c:v>
                </c:pt>
                <c:pt idx="524">
                  <c:v>40563</c:v>
                </c:pt>
                <c:pt idx="525">
                  <c:v>40570</c:v>
                </c:pt>
                <c:pt idx="526">
                  <c:v>40577</c:v>
                </c:pt>
                <c:pt idx="527">
                  <c:v>40584</c:v>
                </c:pt>
                <c:pt idx="528">
                  <c:v>40591</c:v>
                </c:pt>
                <c:pt idx="529">
                  <c:v>40598</c:v>
                </c:pt>
                <c:pt idx="530">
                  <c:v>40605</c:v>
                </c:pt>
                <c:pt idx="531">
                  <c:v>40612</c:v>
                </c:pt>
                <c:pt idx="532">
                  <c:v>40619</c:v>
                </c:pt>
                <c:pt idx="533">
                  <c:v>40626</c:v>
                </c:pt>
                <c:pt idx="534">
                  <c:v>40633</c:v>
                </c:pt>
                <c:pt idx="535">
                  <c:v>40640</c:v>
                </c:pt>
                <c:pt idx="536">
                  <c:v>40647</c:v>
                </c:pt>
                <c:pt idx="537">
                  <c:v>40654</c:v>
                </c:pt>
                <c:pt idx="538">
                  <c:v>40661</c:v>
                </c:pt>
                <c:pt idx="539">
                  <c:v>40668</c:v>
                </c:pt>
                <c:pt idx="540">
                  <c:v>40675</c:v>
                </c:pt>
                <c:pt idx="541">
                  <c:v>40682</c:v>
                </c:pt>
                <c:pt idx="542">
                  <c:v>40689</c:v>
                </c:pt>
                <c:pt idx="543">
                  <c:v>40696</c:v>
                </c:pt>
                <c:pt idx="544">
                  <c:v>40703</c:v>
                </c:pt>
                <c:pt idx="545">
                  <c:v>40710</c:v>
                </c:pt>
                <c:pt idx="546">
                  <c:v>40717</c:v>
                </c:pt>
                <c:pt idx="547">
                  <c:v>40724</c:v>
                </c:pt>
                <c:pt idx="548">
                  <c:v>40731</c:v>
                </c:pt>
                <c:pt idx="549">
                  <c:v>40738</c:v>
                </c:pt>
                <c:pt idx="550">
                  <c:v>40745</c:v>
                </c:pt>
                <c:pt idx="551">
                  <c:v>40752</c:v>
                </c:pt>
                <c:pt idx="552">
                  <c:v>40759</c:v>
                </c:pt>
                <c:pt idx="553">
                  <c:v>40766</c:v>
                </c:pt>
                <c:pt idx="554">
                  <c:v>40773</c:v>
                </c:pt>
                <c:pt idx="555">
                  <c:v>40780</c:v>
                </c:pt>
                <c:pt idx="556">
                  <c:v>40787</c:v>
                </c:pt>
                <c:pt idx="557">
                  <c:v>40794</c:v>
                </c:pt>
                <c:pt idx="558">
                  <c:v>40801</c:v>
                </c:pt>
                <c:pt idx="559">
                  <c:v>40808</c:v>
                </c:pt>
                <c:pt idx="560">
                  <c:v>40815</c:v>
                </c:pt>
                <c:pt idx="561">
                  <c:v>40822</c:v>
                </c:pt>
                <c:pt idx="562">
                  <c:v>40829</c:v>
                </c:pt>
                <c:pt idx="563">
                  <c:v>40836</c:v>
                </c:pt>
                <c:pt idx="564">
                  <c:v>40843</c:v>
                </c:pt>
                <c:pt idx="565">
                  <c:v>40850</c:v>
                </c:pt>
                <c:pt idx="566">
                  <c:v>40857</c:v>
                </c:pt>
                <c:pt idx="567">
                  <c:v>40864</c:v>
                </c:pt>
                <c:pt idx="568">
                  <c:v>40870</c:v>
                </c:pt>
                <c:pt idx="569">
                  <c:v>40878</c:v>
                </c:pt>
                <c:pt idx="570">
                  <c:v>40885</c:v>
                </c:pt>
                <c:pt idx="571">
                  <c:v>40892</c:v>
                </c:pt>
                <c:pt idx="572">
                  <c:v>40899</c:v>
                </c:pt>
                <c:pt idx="573">
                  <c:v>40906</c:v>
                </c:pt>
                <c:pt idx="574">
                  <c:v>40913</c:v>
                </c:pt>
                <c:pt idx="575">
                  <c:v>40920</c:v>
                </c:pt>
                <c:pt idx="576">
                  <c:v>40927</c:v>
                </c:pt>
                <c:pt idx="577">
                  <c:v>40934</c:v>
                </c:pt>
                <c:pt idx="578">
                  <c:v>40941</c:v>
                </c:pt>
                <c:pt idx="579">
                  <c:v>40948</c:v>
                </c:pt>
                <c:pt idx="580">
                  <c:v>40955</c:v>
                </c:pt>
                <c:pt idx="581">
                  <c:v>40962</c:v>
                </c:pt>
                <c:pt idx="582">
                  <c:v>40969</c:v>
                </c:pt>
                <c:pt idx="583">
                  <c:v>40976</c:v>
                </c:pt>
                <c:pt idx="584">
                  <c:v>40983</c:v>
                </c:pt>
                <c:pt idx="585">
                  <c:v>40990</c:v>
                </c:pt>
                <c:pt idx="586">
                  <c:v>40997</c:v>
                </c:pt>
                <c:pt idx="587">
                  <c:v>41004</c:v>
                </c:pt>
                <c:pt idx="588">
                  <c:v>41011</c:v>
                </c:pt>
                <c:pt idx="589">
                  <c:v>41018</c:v>
                </c:pt>
                <c:pt idx="590">
                  <c:v>41025</c:v>
                </c:pt>
                <c:pt idx="591">
                  <c:v>41032</c:v>
                </c:pt>
                <c:pt idx="592">
                  <c:v>41039</c:v>
                </c:pt>
                <c:pt idx="593">
                  <c:v>41046</c:v>
                </c:pt>
                <c:pt idx="594">
                  <c:v>41053</c:v>
                </c:pt>
                <c:pt idx="595">
                  <c:v>41060</c:v>
                </c:pt>
                <c:pt idx="596">
                  <c:v>41067</c:v>
                </c:pt>
                <c:pt idx="597">
                  <c:v>41074</c:v>
                </c:pt>
                <c:pt idx="598">
                  <c:v>41081</c:v>
                </c:pt>
                <c:pt idx="599">
                  <c:v>41088</c:v>
                </c:pt>
                <c:pt idx="600">
                  <c:v>41095</c:v>
                </c:pt>
                <c:pt idx="601">
                  <c:v>41102</c:v>
                </c:pt>
                <c:pt idx="602">
                  <c:v>41109</c:v>
                </c:pt>
                <c:pt idx="603">
                  <c:v>41116</c:v>
                </c:pt>
                <c:pt idx="604">
                  <c:v>41123</c:v>
                </c:pt>
                <c:pt idx="605">
                  <c:v>41130</c:v>
                </c:pt>
                <c:pt idx="606">
                  <c:v>41137</c:v>
                </c:pt>
                <c:pt idx="607">
                  <c:v>41144</c:v>
                </c:pt>
                <c:pt idx="608">
                  <c:v>41151</c:v>
                </c:pt>
                <c:pt idx="609">
                  <c:v>41158</c:v>
                </c:pt>
                <c:pt idx="610">
                  <c:v>41165</c:v>
                </c:pt>
                <c:pt idx="611">
                  <c:v>41172</c:v>
                </c:pt>
                <c:pt idx="612">
                  <c:v>41179</c:v>
                </c:pt>
                <c:pt idx="613">
                  <c:v>41186</c:v>
                </c:pt>
                <c:pt idx="614">
                  <c:v>41193</c:v>
                </c:pt>
                <c:pt idx="615">
                  <c:v>41200</c:v>
                </c:pt>
                <c:pt idx="616">
                  <c:v>41207</c:v>
                </c:pt>
                <c:pt idx="617">
                  <c:v>41214</c:v>
                </c:pt>
                <c:pt idx="618">
                  <c:v>41221</c:v>
                </c:pt>
                <c:pt idx="619">
                  <c:v>41228</c:v>
                </c:pt>
                <c:pt idx="620">
                  <c:v>41234</c:v>
                </c:pt>
                <c:pt idx="621">
                  <c:v>41242</c:v>
                </c:pt>
                <c:pt idx="622">
                  <c:v>41249</c:v>
                </c:pt>
                <c:pt idx="623">
                  <c:v>41256</c:v>
                </c:pt>
                <c:pt idx="624">
                  <c:v>41263</c:v>
                </c:pt>
                <c:pt idx="625">
                  <c:v>41270</c:v>
                </c:pt>
                <c:pt idx="626">
                  <c:v>41277</c:v>
                </c:pt>
                <c:pt idx="627">
                  <c:v>41284</c:v>
                </c:pt>
                <c:pt idx="628">
                  <c:v>41291</c:v>
                </c:pt>
                <c:pt idx="629">
                  <c:v>41298</c:v>
                </c:pt>
                <c:pt idx="630">
                  <c:v>41305</c:v>
                </c:pt>
                <c:pt idx="631">
                  <c:v>41312</c:v>
                </c:pt>
                <c:pt idx="632">
                  <c:v>41319</c:v>
                </c:pt>
                <c:pt idx="633">
                  <c:v>41326</c:v>
                </c:pt>
                <c:pt idx="634">
                  <c:v>41333</c:v>
                </c:pt>
                <c:pt idx="635">
                  <c:v>41340</c:v>
                </c:pt>
                <c:pt idx="636">
                  <c:v>41347</c:v>
                </c:pt>
                <c:pt idx="637">
                  <c:v>41354</c:v>
                </c:pt>
                <c:pt idx="638">
                  <c:v>41361</c:v>
                </c:pt>
                <c:pt idx="639">
                  <c:v>41368</c:v>
                </c:pt>
                <c:pt idx="640">
                  <c:v>41375</c:v>
                </c:pt>
                <c:pt idx="641">
                  <c:v>41382</c:v>
                </c:pt>
                <c:pt idx="642">
                  <c:v>41389</c:v>
                </c:pt>
                <c:pt idx="643">
                  <c:v>41396</c:v>
                </c:pt>
                <c:pt idx="644">
                  <c:v>41403</c:v>
                </c:pt>
                <c:pt idx="645">
                  <c:v>41410</c:v>
                </c:pt>
                <c:pt idx="646">
                  <c:v>41417</c:v>
                </c:pt>
                <c:pt idx="647">
                  <c:v>41424</c:v>
                </c:pt>
                <c:pt idx="648">
                  <c:v>41431</c:v>
                </c:pt>
                <c:pt idx="649">
                  <c:v>41438</c:v>
                </c:pt>
                <c:pt idx="650">
                  <c:v>41445</c:v>
                </c:pt>
                <c:pt idx="651">
                  <c:v>41452</c:v>
                </c:pt>
                <c:pt idx="652">
                  <c:v>41458</c:v>
                </c:pt>
                <c:pt idx="653">
                  <c:v>41466</c:v>
                </c:pt>
                <c:pt idx="654">
                  <c:v>41473</c:v>
                </c:pt>
                <c:pt idx="655">
                  <c:v>41480</c:v>
                </c:pt>
                <c:pt idx="656">
                  <c:v>41487</c:v>
                </c:pt>
                <c:pt idx="657">
                  <c:v>41494</c:v>
                </c:pt>
                <c:pt idx="658">
                  <c:v>41501</c:v>
                </c:pt>
                <c:pt idx="659">
                  <c:v>41508</c:v>
                </c:pt>
                <c:pt idx="660">
                  <c:v>41515</c:v>
                </c:pt>
                <c:pt idx="661">
                  <c:v>41522</c:v>
                </c:pt>
                <c:pt idx="662">
                  <c:v>41529</c:v>
                </c:pt>
                <c:pt idx="663">
                  <c:v>41536</c:v>
                </c:pt>
                <c:pt idx="664">
                  <c:v>41543</c:v>
                </c:pt>
                <c:pt idx="665">
                  <c:v>41550</c:v>
                </c:pt>
                <c:pt idx="666">
                  <c:v>41557</c:v>
                </c:pt>
                <c:pt idx="667">
                  <c:v>41564</c:v>
                </c:pt>
                <c:pt idx="668">
                  <c:v>41571</c:v>
                </c:pt>
                <c:pt idx="669">
                  <c:v>41578</c:v>
                </c:pt>
                <c:pt idx="670">
                  <c:v>41585</c:v>
                </c:pt>
                <c:pt idx="671">
                  <c:v>41592</c:v>
                </c:pt>
                <c:pt idx="672">
                  <c:v>41599</c:v>
                </c:pt>
                <c:pt idx="673">
                  <c:v>41605</c:v>
                </c:pt>
                <c:pt idx="674">
                  <c:v>41613</c:v>
                </c:pt>
                <c:pt idx="675">
                  <c:v>41620</c:v>
                </c:pt>
                <c:pt idx="676">
                  <c:v>41627</c:v>
                </c:pt>
                <c:pt idx="677">
                  <c:v>41634</c:v>
                </c:pt>
                <c:pt idx="678">
                  <c:v>41641</c:v>
                </c:pt>
                <c:pt idx="679">
                  <c:v>41648</c:v>
                </c:pt>
                <c:pt idx="680">
                  <c:v>41655</c:v>
                </c:pt>
                <c:pt idx="681">
                  <c:v>41662</c:v>
                </c:pt>
                <c:pt idx="682">
                  <c:v>41669</c:v>
                </c:pt>
                <c:pt idx="683">
                  <c:v>41676</c:v>
                </c:pt>
                <c:pt idx="684">
                  <c:v>41683</c:v>
                </c:pt>
                <c:pt idx="685">
                  <c:v>41690</c:v>
                </c:pt>
                <c:pt idx="686">
                  <c:v>41697</c:v>
                </c:pt>
                <c:pt idx="687">
                  <c:v>41704</c:v>
                </c:pt>
                <c:pt idx="688">
                  <c:v>41711</c:v>
                </c:pt>
                <c:pt idx="689">
                  <c:v>41718</c:v>
                </c:pt>
                <c:pt idx="690">
                  <c:v>41725</c:v>
                </c:pt>
                <c:pt idx="691">
                  <c:v>41732</c:v>
                </c:pt>
                <c:pt idx="692">
                  <c:v>41739</c:v>
                </c:pt>
                <c:pt idx="693">
                  <c:v>41746</c:v>
                </c:pt>
                <c:pt idx="694">
                  <c:v>41753</c:v>
                </c:pt>
                <c:pt idx="695">
                  <c:v>41760</c:v>
                </c:pt>
                <c:pt idx="696">
                  <c:v>41767</c:v>
                </c:pt>
                <c:pt idx="697">
                  <c:v>41774</c:v>
                </c:pt>
                <c:pt idx="698">
                  <c:v>41781</c:v>
                </c:pt>
                <c:pt idx="699">
                  <c:v>41788</c:v>
                </c:pt>
                <c:pt idx="700">
                  <c:v>41795</c:v>
                </c:pt>
                <c:pt idx="701">
                  <c:v>41802</c:v>
                </c:pt>
                <c:pt idx="702">
                  <c:v>41809</c:v>
                </c:pt>
                <c:pt idx="703">
                  <c:v>41816</c:v>
                </c:pt>
                <c:pt idx="704">
                  <c:v>41823</c:v>
                </c:pt>
                <c:pt idx="705">
                  <c:v>41830</c:v>
                </c:pt>
                <c:pt idx="706">
                  <c:v>41837</c:v>
                </c:pt>
                <c:pt idx="707">
                  <c:v>41844</c:v>
                </c:pt>
                <c:pt idx="708">
                  <c:v>41851</c:v>
                </c:pt>
                <c:pt idx="709">
                  <c:v>41858</c:v>
                </c:pt>
                <c:pt idx="710">
                  <c:v>41865</c:v>
                </c:pt>
                <c:pt idx="711">
                  <c:v>41872</c:v>
                </c:pt>
                <c:pt idx="712">
                  <c:v>41879</c:v>
                </c:pt>
                <c:pt idx="713">
                  <c:v>41886</c:v>
                </c:pt>
                <c:pt idx="714">
                  <c:v>41893</c:v>
                </c:pt>
                <c:pt idx="715">
                  <c:v>41900</c:v>
                </c:pt>
                <c:pt idx="716">
                  <c:v>41907</c:v>
                </c:pt>
                <c:pt idx="717">
                  <c:v>41914</c:v>
                </c:pt>
                <c:pt idx="718">
                  <c:v>41921</c:v>
                </c:pt>
                <c:pt idx="719">
                  <c:v>41928</c:v>
                </c:pt>
                <c:pt idx="720">
                  <c:v>41935</c:v>
                </c:pt>
                <c:pt idx="721">
                  <c:v>41942</c:v>
                </c:pt>
                <c:pt idx="722">
                  <c:v>41949</c:v>
                </c:pt>
                <c:pt idx="723">
                  <c:v>41956</c:v>
                </c:pt>
                <c:pt idx="724">
                  <c:v>41963</c:v>
                </c:pt>
                <c:pt idx="725">
                  <c:v>41969</c:v>
                </c:pt>
                <c:pt idx="726">
                  <c:v>41977</c:v>
                </c:pt>
                <c:pt idx="727">
                  <c:v>41984</c:v>
                </c:pt>
                <c:pt idx="728">
                  <c:v>41991</c:v>
                </c:pt>
                <c:pt idx="729">
                  <c:v>41997</c:v>
                </c:pt>
                <c:pt idx="730">
                  <c:v>42004</c:v>
                </c:pt>
                <c:pt idx="731">
                  <c:v>42012</c:v>
                </c:pt>
                <c:pt idx="732">
                  <c:v>42019</c:v>
                </c:pt>
                <c:pt idx="733">
                  <c:v>42026</c:v>
                </c:pt>
                <c:pt idx="734">
                  <c:v>42033</c:v>
                </c:pt>
                <c:pt idx="735">
                  <c:v>42040</c:v>
                </c:pt>
                <c:pt idx="736">
                  <c:v>42047</c:v>
                </c:pt>
                <c:pt idx="737">
                  <c:v>42054</c:v>
                </c:pt>
                <c:pt idx="738">
                  <c:v>42061</c:v>
                </c:pt>
                <c:pt idx="739">
                  <c:v>42068</c:v>
                </c:pt>
                <c:pt idx="740">
                  <c:v>42075</c:v>
                </c:pt>
                <c:pt idx="741">
                  <c:v>42082</c:v>
                </c:pt>
                <c:pt idx="742">
                  <c:v>42089</c:v>
                </c:pt>
                <c:pt idx="743">
                  <c:v>42096</c:v>
                </c:pt>
                <c:pt idx="744">
                  <c:v>42103</c:v>
                </c:pt>
                <c:pt idx="745">
                  <c:v>42110</c:v>
                </c:pt>
                <c:pt idx="746">
                  <c:v>42117</c:v>
                </c:pt>
                <c:pt idx="747">
                  <c:v>42124</c:v>
                </c:pt>
                <c:pt idx="748">
                  <c:v>42131</c:v>
                </c:pt>
                <c:pt idx="749">
                  <c:v>42138</c:v>
                </c:pt>
                <c:pt idx="750">
                  <c:v>42145</c:v>
                </c:pt>
                <c:pt idx="751">
                  <c:v>42152</c:v>
                </c:pt>
                <c:pt idx="752">
                  <c:v>42159</c:v>
                </c:pt>
              </c:numCache>
            </c:numRef>
          </c:cat>
          <c:val>
            <c:numRef>
              <c:f>'Low rate'!$P$3:$P$755</c:f>
              <c:numCache>
                <c:formatCode>0.00</c:formatCode>
                <c:ptCount val="753"/>
                <c:pt idx="0">
                  <c:v>7.07</c:v>
                </c:pt>
                <c:pt idx="1">
                  <c:v>6.8649899999999997</c:v>
                </c:pt>
                <c:pt idx="2">
                  <c:v>6.8649899999999997</c:v>
                </c:pt>
                <c:pt idx="3">
                  <c:v>6.8649899999999997</c:v>
                </c:pt>
                <c:pt idx="4">
                  <c:v>6.8649899999999997</c:v>
                </c:pt>
                <c:pt idx="5">
                  <c:v>6.8649899999999997</c:v>
                </c:pt>
                <c:pt idx="6">
                  <c:v>6.8649899999999997</c:v>
                </c:pt>
                <c:pt idx="7">
                  <c:v>6.8649899999999997</c:v>
                </c:pt>
                <c:pt idx="8">
                  <c:v>6.8649899999999997</c:v>
                </c:pt>
                <c:pt idx="9">
                  <c:v>6.8649899999999997</c:v>
                </c:pt>
                <c:pt idx="10">
                  <c:v>6.8649899999999997</c:v>
                </c:pt>
                <c:pt idx="11">
                  <c:v>6.8649899999999997</c:v>
                </c:pt>
                <c:pt idx="12">
                  <c:v>6.8649899999999997</c:v>
                </c:pt>
                <c:pt idx="13">
                  <c:v>6.8649899999999997</c:v>
                </c:pt>
                <c:pt idx="14">
                  <c:v>6.8649899999999997</c:v>
                </c:pt>
                <c:pt idx="15">
                  <c:v>6.8649899999999997</c:v>
                </c:pt>
                <c:pt idx="16">
                  <c:v>6.8649899999999997</c:v>
                </c:pt>
                <c:pt idx="17">
                  <c:v>6.8649899999999997</c:v>
                </c:pt>
                <c:pt idx="18">
                  <c:v>6.8649899999999997</c:v>
                </c:pt>
                <c:pt idx="19">
                  <c:v>6.8649899999999997</c:v>
                </c:pt>
                <c:pt idx="20">
                  <c:v>6.8649899999999997</c:v>
                </c:pt>
                <c:pt idx="21">
                  <c:v>6.8649899999999997</c:v>
                </c:pt>
                <c:pt idx="22">
                  <c:v>6.8649899999999997</c:v>
                </c:pt>
                <c:pt idx="23">
                  <c:v>6.8649899999999997</c:v>
                </c:pt>
                <c:pt idx="24">
                  <c:v>6.8649899999999997</c:v>
                </c:pt>
                <c:pt idx="25">
                  <c:v>6.8649899999999997</c:v>
                </c:pt>
                <c:pt idx="26">
                  <c:v>6.8649899999999997</c:v>
                </c:pt>
                <c:pt idx="27">
                  <c:v>6.8649899999999997</c:v>
                </c:pt>
                <c:pt idx="28">
                  <c:v>6.8649899999999997</c:v>
                </c:pt>
                <c:pt idx="29">
                  <c:v>6.8649899999999997</c:v>
                </c:pt>
                <c:pt idx="30">
                  <c:v>6.8649899999999997</c:v>
                </c:pt>
                <c:pt idx="31">
                  <c:v>6.8649899999999997</c:v>
                </c:pt>
                <c:pt idx="32">
                  <c:v>6.8649899999999997</c:v>
                </c:pt>
                <c:pt idx="33">
                  <c:v>6.8649899999999997</c:v>
                </c:pt>
                <c:pt idx="34">
                  <c:v>6.8649899999999997</c:v>
                </c:pt>
                <c:pt idx="35">
                  <c:v>6.8649899999999997</c:v>
                </c:pt>
                <c:pt idx="36">
                  <c:v>6.835</c:v>
                </c:pt>
                <c:pt idx="37">
                  <c:v>6.7750000000000004</c:v>
                </c:pt>
                <c:pt idx="38">
                  <c:v>6.6949899999999998</c:v>
                </c:pt>
                <c:pt idx="39">
                  <c:v>6.59</c:v>
                </c:pt>
                <c:pt idx="40">
                  <c:v>6.5549999999999997</c:v>
                </c:pt>
                <c:pt idx="41">
                  <c:v>6.5549999999999997</c:v>
                </c:pt>
                <c:pt idx="42">
                  <c:v>6.5549999999999997</c:v>
                </c:pt>
                <c:pt idx="43">
                  <c:v>6.5349899999999996</c:v>
                </c:pt>
                <c:pt idx="44">
                  <c:v>6.4</c:v>
                </c:pt>
                <c:pt idx="45">
                  <c:v>6.4</c:v>
                </c:pt>
                <c:pt idx="46">
                  <c:v>6.4</c:v>
                </c:pt>
                <c:pt idx="47">
                  <c:v>6.4</c:v>
                </c:pt>
                <c:pt idx="48">
                  <c:v>6.4</c:v>
                </c:pt>
                <c:pt idx="49">
                  <c:v>6.4</c:v>
                </c:pt>
                <c:pt idx="50">
                  <c:v>6.4</c:v>
                </c:pt>
                <c:pt idx="51">
                  <c:v>6.4</c:v>
                </c:pt>
                <c:pt idx="52">
                  <c:v>6.4</c:v>
                </c:pt>
                <c:pt idx="53">
                  <c:v>6.4</c:v>
                </c:pt>
                <c:pt idx="54">
                  <c:v>6.4</c:v>
                </c:pt>
                <c:pt idx="55">
                  <c:v>6.4</c:v>
                </c:pt>
                <c:pt idx="56">
                  <c:v>6.4</c:v>
                </c:pt>
                <c:pt idx="57">
                  <c:v>6.4</c:v>
                </c:pt>
                <c:pt idx="58">
                  <c:v>6.4</c:v>
                </c:pt>
                <c:pt idx="59">
                  <c:v>6.4</c:v>
                </c:pt>
                <c:pt idx="60">
                  <c:v>6.4</c:v>
                </c:pt>
                <c:pt idx="61">
                  <c:v>6.4</c:v>
                </c:pt>
                <c:pt idx="62">
                  <c:v>6.4</c:v>
                </c:pt>
                <c:pt idx="63">
                  <c:v>6.4</c:v>
                </c:pt>
                <c:pt idx="64">
                  <c:v>6.4</c:v>
                </c:pt>
                <c:pt idx="65">
                  <c:v>6.4</c:v>
                </c:pt>
                <c:pt idx="66">
                  <c:v>6.4</c:v>
                </c:pt>
                <c:pt idx="67">
                  <c:v>6.4</c:v>
                </c:pt>
                <c:pt idx="68">
                  <c:v>6.4</c:v>
                </c:pt>
                <c:pt idx="69">
                  <c:v>6.4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6.4</c:v>
                </c:pt>
                <c:pt idx="75">
                  <c:v>6.4</c:v>
                </c:pt>
                <c:pt idx="76">
                  <c:v>6.4</c:v>
                </c:pt>
                <c:pt idx="77">
                  <c:v>6.4</c:v>
                </c:pt>
                <c:pt idx="78">
                  <c:v>6.4</c:v>
                </c:pt>
                <c:pt idx="79">
                  <c:v>6.4</c:v>
                </c:pt>
                <c:pt idx="80">
                  <c:v>6.39</c:v>
                </c:pt>
                <c:pt idx="81">
                  <c:v>6.24</c:v>
                </c:pt>
                <c:pt idx="82">
                  <c:v>6.24</c:v>
                </c:pt>
                <c:pt idx="83">
                  <c:v>6.21</c:v>
                </c:pt>
                <c:pt idx="84">
                  <c:v>6.12</c:v>
                </c:pt>
                <c:pt idx="85">
                  <c:v>6.12</c:v>
                </c:pt>
                <c:pt idx="86">
                  <c:v>6.12</c:v>
                </c:pt>
                <c:pt idx="87">
                  <c:v>6.05</c:v>
                </c:pt>
                <c:pt idx="88">
                  <c:v>6.05</c:v>
                </c:pt>
                <c:pt idx="89">
                  <c:v>5.9749999999999996</c:v>
                </c:pt>
                <c:pt idx="90">
                  <c:v>5.89</c:v>
                </c:pt>
                <c:pt idx="91">
                  <c:v>5.8849999999999998</c:v>
                </c:pt>
                <c:pt idx="92">
                  <c:v>5.88</c:v>
                </c:pt>
                <c:pt idx="93">
                  <c:v>5.88</c:v>
                </c:pt>
                <c:pt idx="94">
                  <c:v>5.88</c:v>
                </c:pt>
                <c:pt idx="95">
                  <c:v>5.88</c:v>
                </c:pt>
                <c:pt idx="96">
                  <c:v>5.88</c:v>
                </c:pt>
                <c:pt idx="97">
                  <c:v>5.84</c:v>
                </c:pt>
                <c:pt idx="98">
                  <c:v>5.84</c:v>
                </c:pt>
                <c:pt idx="99">
                  <c:v>5.84</c:v>
                </c:pt>
                <c:pt idx="100">
                  <c:v>5.84</c:v>
                </c:pt>
                <c:pt idx="101">
                  <c:v>5.84</c:v>
                </c:pt>
                <c:pt idx="102">
                  <c:v>5.84</c:v>
                </c:pt>
                <c:pt idx="103">
                  <c:v>5.83</c:v>
                </c:pt>
                <c:pt idx="104">
                  <c:v>5.75</c:v>
                </c:pt>
                <c:pt idx="105">
                  <c:v>5.75</c:v>
                </c:pt>
                <c:pt idx="106">
                  <c:v>5.75</c:v>
                </c:pt>
                <c:pt idx="107">
                  <c:v>5.75</c:v>
                </c:pt>
                <c:pt idx="108">
                  <c:v>5.75</c:v>
                </c:pt>
                <c:pt idx="109">
                  <c:v>5.75</c:v>
                </c:pt>
                <c:pt idx="110">
                  <c:v>5.75</c:v>
                </c:pt>
                <c:pt idx="111">
                  <c:v>5.74</c:v>
                </c:pt>
                <c:pt idx="112">
                  <c:v>5.69</c:v>
                </c:pt>
                <c:pt idx="113">
                  <c:v>5.57</c:v>
                </c:pt>
                <c:pt idx="114">
                  <c:v>5.51</c:v>
                </c:pt>
                <c:pt idx="115">
                  <c:v>5.51</c:v>
                </c:pt>
                <c:pt idx="116">
                  <c:v>5.51</c:v>
                </c:pt>
                <c:pt idx="117">
                  <c:v>5.51</c:v>
                </c:pt>
                <c:pt idx="118">
                  <c:v>5.51</c:v>
                </c:pt>
                <c:pt idx="119">
                  <c:v>5.51</c:v>
                </c:pt>
                <c:pt idx="120">
                  <c:v>5.51</c:v>
                </c:pt>
                <c:pt idx="121">
                  <c:v>5.51</c:v>
                </c:pt>
                <c:pt idx="122">
                  <c:v>5.51</c:v>
                </c:pt>
                <c:pt idx="123">
                  <c:v>5.35</c:v>
                </c:pt>
                <c:pt idx="124">
                  <c:v>5.2649999999999997</c:v>
                </c:pt>
                <c:pt idx="125">
                  <c:v>5.21</c:v>
                </c:pt>
                <c:pt idx="126">
                  <c:v>5.1349999999999998</c:v>
                </c:pt>
                <c:pt idx="127">
                  <c:v>5.085</c:v>
                </c:pt>
                <c:pt idx="128">
                  <c:v>5.085</c:v>
                </c:pt>
                <c:pt idx="129">
                  <c:v>5.085</c:v>
                </c:pt>
                <c:pt idx="130">
                  <c:v>5.085</c:v>
                </c:pt>
                <c:pt idx="131">
                  <c:v>5.085</c:v>
                </c:pt>
                <c:pt idx="132">
                  <c:v>5.085</c:v>
                </c:pt>
                <c:pt idx="133">
                  <c:v>5.085</c:v>
                </c:pt>
                <c:pt idx="134">
                  <c:v>5.085</c:v>
                </c:pt>
                <c:pt idx="135">
                  <c:v>5.085</c:v>
                </c:pt>
                <c:pt idx="136">
                  <c:v>5.085</c:v>
                </c:pt>
                <c:pt idx="137">
                  <c:v>5.085</c:v>
                </c:pt>
                <c:pt idx="138">
                  <c:v>5.085</c:v>
                </c:pt>
                <c:pt idx="139">
                  <c:v>5.085</c:v>
                </c:pt>
                <c:pt idx="140">
                  <c:v>5.085</c:v>
                </c:pt>
                <c:pt idx="141">
                  <c:v>5.085</c:v>
                </c:pt>
                <c:pt idx="142">
                  <c:v>5.085</c:v>
                </c:pt>
                <c:pt idx="143">
                  <c:v>5.085</c:v>
                </c:pt>
                <c:pt idx="144">
                  <c:v>5.085</c:v>
                </c:pt>
                <c:pt idx="145">
                  <c:v>5.085</c:v>
                </c:pt>
                <c:pt idx="146">
                  <c:v>5.085</c:v>
                </c:pt>
                <c:pt idx="147">
                  <c:v>5.085</c:v>
                </c:pt>
                <c:pt idx="148">
                  <c:v>5.085</c:v>
                </c:pt>
                <c:pt idx="149">
                  <c:v>5.085</c:v>
                </c:pt>
                <c:pt idx="150">
                  <c:v>5.085</c:v>
                </c:pt>
                <c:pt idx="151">
                  <c:v>5.085</c:v>
                </c:pt>
                <c:pt idx="152">
                  <c:v>5.085</c:v>
                </c:pt>
                <c:pt idx="153">
                  <c:v>5.085</c:v>
                </c:pt>
                <c:pt idx="154">
                  <c:v>5.085</c:v>
                </c:pt>
                <c:pt idx="155">
                  <c:v>5.085</c:v>
                </c:pt>
                <c:pt idx="156">
                  <c:v>5.085</c:v>
                </c:pt>
                <c:pt idx="157">
                  <c:v>5.085</c:v>
                </c:pt>
                <c:pt idx="158">
                  <c:v>5.085</c:v>
                </c:pt>
                <c:pt idx="159">
                  <c:v>5.085</c:v>
                </c:pt>
                <c:pt idx="160">
                  <c:v>5.085</c:v>
                </c:pt>
                <c:pt idx="161">
                  <c:v>5.085</c:v>
                </c:pt>
                <c:pt idx="162">
                  <c:v>5.085</c:v>
                </c:pt>
                <c:pt idx="163">
                  <c:v>5.085</c:v>
                </c:pt>
                <c:pt idx="164">
                  <c:v>5.085</c:v>
                </c:pt>
                <c:pt idx="165">
                  <c:v>5.085</c:v>
                </c:pt>
                <c:pt idx="166">
                  <c:v>5.085</c:v>
                </c:pt>
                <c:pt idx="167">
                  <c:v>5.085</c:v>
                </c:pt>
                <c:pt idx="168">
                  <c:v>5.085</c:v>
                </c:pt>
                <c:pt idx="169">
                  <c:v>5.085</c:v>
                </c:pt>
                <c:pt idx="170">
                  <c:v>5.085</c:v>
                </c:pt>
                <c:pt idx="171">
                  <c:v>5.085</c:v>
                </c:pt>
                <c:pt idx="172">
                  <c:v>5.085</c:v>
                </c:pt>
                <c:pt idx="173">
                  <c:v>5.085</c:v>
                </c:pt>
                <c:pt idx="174">
                  <c:v>5.085</c:v>
                </c:pt>
                <c:pt idx="175">
                  <c:v>5.085</c:v>
                </c:pt>
                <c:pt idx="176">
                  <c:v>5.085</c:v>
                </c:pt>
                <c:pt idx="177">
                  <c:v>5.085</c:v>
                </c:pt>
                <c:pt idx="178">
                  <c:v>5.085</c:v>
                </c:pt>
                <c:pt idx="179">
                  <c:v>5.085</c:v>
                </c:pt>
                <c:pt idx="180">
                  <c:v>5.085</c:v>
                </c:pt>
                <c:pt idx="181">
                  <c:v>5.085</c:v>
                </c:pt>
                <c:pt idx="182">
                  <c:v>5.085</c:v>
                </c:pt>
                <c:pt idx="183">
                  <c:v>5.085</c:v>
                </c:pt>
                <c:pt idx="184">
                  <c:v>5.085</c:v>
                </c:pt>
                <c:pt idx="185">
                  <c:v>5.085</c:v>
                </c:pt>
                <c:pt idx="186">
                  <c:v>5.085</c:v>
                </c:pt>
                <c:pt idx="187">
                  <c:v>5.085</c:v>
                </c:pt>
                <c:pt idx="188">
                  <c:v>5.085</c:v>
                </c:pt>
                <c:pt idx="189">
                  <c:v>5.085</c:v>
                </c:pt>
                <c:pt idx="190">
                  <c:v>5.085</c:v>
                </c:pt>
                <c:pt idx="191">
                  <c:v>5.085</c:v>
                </c:pt>
                <c:pt idx="192">
                  <c:v>5.085</c:v>
                </c:pt>
                <c:pt idx="193">
                  <c:v>5.085</c:v>
                </c:pt>
                <c:pt idx="194">
                  <c:v>5.085</c:v>
                </c:pt>
                <c:pt idx="195">
                  <c:v>5.085</c:v>
                </c:pt>
                <c:pt idx="196">
                  <c:v>5.085</c:v>
                </c:pt>
                <c:pt idx="197">
                  <c:v>5.085</c:v>
                </c:pt>
                <c:pt idx="198">
                  <c:v>5.085</c:v>
                </c:pt>
                <c:pt idx="199">
                  <c:v>5.085</c:v>
                </c:pt>
                <c:pt idx="200">
                  <c:v>5.085</c:v>
                </c:pt>
                <c:pt idx="201">
                  <c:v>5.085</c:v>
                </c:pt>
                <c:pt idx="202">
                  <c:v>5.085</c:v>
                </c:pt>
                <c:pt idx="203">
                  <c:v>5.085</c:v>
                </c:pt>
                <c:pt idx="204">
                  <c:v>5.085</c:v>
                </c:pt>
                <c:pt idx="205">
                  <c:v>5.085</c:v>
                </c:pt>
                <c:pt idx="206">
                  <c:v>5.085</c:v>
                </c:pt>
                <c:pt idx="207">
                  <c:v>5.085</c:v>
                </c:pt>
                <c:pt idx="208">
                  <c:v>5.085</c:v>
                </c:pt>
                <c:pt idx="209">
                  <c:v>5.085</c:v>
                </c:pt>
                <c:pt idx="210">
                  <c:v>5.085</c:v>
                </c:pt>
                <c:pt idx="211">
                  <c:v>5.085</c:v>
                </c:pt>
                <c:pt idx="212">
                  <c:v>5.085</c:v>
                </c:pt>
                <c:pt idx="213">
                  <c:v>5.085</c:v>
                </c:pt>
                <c:pt idx="214">
                  <c:v>5.085</c:v>
                </c:pt>
                <c:pt idx="215">
                  <c:v>5.085</c:v>
                </c:pt>
                <c:pt idx="216">
                  <c:v>5.085</c:v>
                </c:pt>
                <c:pt idx="217">
                  <c:v>5.085</c:v>
                </c:pt>
                <c:pt idx="218">
                  <c:v>5.085</c:v>
                </c:pt>
                <c:pt idx="219">
                  <c:v>5.085</c:v>
                </c:pt>
                <c:pt idx="220">
                  <c:v>5.085</c:v>
                </c:pt>
                <c:pt idx="221">
                  <c:v>5.085</c:v>
                </c:pt>
                <c:pt idx="222">
                  <c:v>5.085</c:v>
                </c:pt>
                <c:pt idx="223">
                  <c:v>5.085</c:v>
                </c:pt>
                <c:pt idx="224">
                  <c:v>5.085</c:v>
                </c:pt>
                <c:pt idx="225">
                  <c:v>5.085</c:v>
                </c:pt>
                <c:pt idx="226">
                  <c:v>5.085</c:v>
                </c:pt>
                <c:pt idx="227">
                  <c:v>5.085</c:v>
                </c:pt>
                <c:pt idx="228">
                  <c:v>5.085</c:v>
                </c:pt>
                <c:pt idx="229">
                  <c:v>5.085</c:v>
                </c:pt>
                <c:pt idx="230">
                  <c:v>5.085</c:v>
                </c:pt>
                <c:pt idx="231">
                  <c:v>5.085</c:v>
                </c:pt>
                <c:pt idx="232">
                  <c:v>5.085</c:v>
                </c:pt>
                <c:pt idx="233">
                  <c:v>5.085</c:v>
                </c:pt>
                <c:pt idx="234">
                  <c:v>5.085</c:v>
                </c:pt>
                <c:pt idx="235">
                  <c:v>5.085</c:v>
                </c:pt>
                <c:pt idx="236">
                  <c:v>5.085</c:v>
                </c:pt>
                <c:pt idx="237">
                  <c:v>5.085</c:v>
                </c:pt>
                <c:pt idx="238">
                  <c:v>5.085</c:v>
                </c:pt>
                <c:pt idx="239">
                  <c:v>5.085</c:v>
                </c:pt>
                <c:pt idx="240">
                  <c:v>5.085</c:v>
                </c:pt>
                <c:pt idx="241">
                  <c:v>5.085</c:v>
                </c:pt>
                <c:pt idx="242">
                  <c:v>5.085</c:v>
                </c:pt>
                <c:pt idx="243">
                  <c:v>5.085</c:v>
                </c:pt>
                <c:pt idx="244">
                  <c:v>5.085</c:v>
                </c:pt>
                <c:pt idx="245">
                  <c:v>5.085</c:v>
                </c:pt>
                <c:pt idx="246">
                  <c:v>5.085</c:v>
                </c:pt>
                <c:pt idx="247">
                  <c:v>5.085</c:v>
                </c:pt>
                <c:pt idx="248">
                  <c:v>5.085</c:v>
                </c:pt>
                <c:pt idx="249">
                  <c:v>5.085</c:v>
                </c:pt>
                <c:pt idx="250">
                  <c:v>5.085</c:v>
                </c:pt>
                <c:pt idx="251">
                  <c:v>5.085</c:v>
                </c:pt>
                <c:pt idx="252">
                  <c:v>5.085</c:v>
                </c:pt>
                <c:pt idx="253">
                  <c:v>5.085</c:v>
                </c:pt>
                <c:pt idx="254">
                  <c:v>5.085</c:v>
                </c:pt>
                <c:pt idx="255">
                  <c:v>5.085</c:v>
                </c:pt>
                <c:pt idx="256">
                  <c:v>5.085</c:v>
                </c:pt>
                <c:pt idx="257">
                  <c:v>5.085</c:v>
                </c:pt>
                <c:pt idx="258">
                  <c:v>5.085</c:v>
                </c:pt>
                <c:pt idx="259">
                  <c:v>5.085</c:v>
                </c:pt>
                <c:pt idx="260">
                  <c:v>5.085</c:v>
                </c:pt>
                <c:pt idx="261">
                  <c:v>5.085</c:v>
                </c:pt>
                <c:pt idx="262">
                  <c:v>5.085</c:v>
                </c:pt>
                <c:pt idx="263">
                  <c:v>5.085</c:v>
                </c:pt>
                <c:pt idx="264">
                  <c:v>5.085</c:v>
                </c:pt>
                <c:pt idx="265">
                  <c:v>5.085</c:v>
                </c:pt>
                <c:pt idx="266">
                  <c:v>5.085</c:v>
                </c:pt>
                <c:pt idx="267">
                  <c:v>5.085</c:v>
                </c:pt>
                <c:pt idx="268">
                  <c:v>5.085</c:v>
                </c:pt>
                <c:pt idx="269">
                  <c:v>5.085</c:v>
                </c:pt>
                <c:pt idx="270">
                  <c:v>5.085</c:v>
                </c:pt>
                <c:pt idx="271">
                  <c:v>5.085</c:v>
                </c:pt>
                <c:pt idx="272">
                  <c:v>5.085</c:v>
                </c:pt>
                <c:pt idx="273">
                  <c:v>5.085</c:v>
                </c:pt>
                <c:pt idx="274">
                  <c:v>5.085</c:v>
                </c:pt>
                <c:pt idx="275">
                  <c:v>5.085</c:v>
                </c:pt>
                <c:pt idx="276">
                  <c:v>5.085</c:v>
                </c:pt>
                <c:pt idx="277">
                  <c:v>5.085</c:v>
                </c:pt>
                <c:pt idx="278">
                  <c:v>5.085</c:v>
                </c:pt>
                <c:pt idx="279">
                  <c:v>5.085</c:v>
                </c:pt>
                <c:pt idx="280">
                  <c:v>5.085</c:v>
                </c:pt>
                <c:pt idx="281">
                  <c:v>5.085</c:v>
                </c:pt>
                <c:pt idx="282">
                  <c:v>5.085</c:v>
                </c:pt>
                <c:pt idx="283">
                  <c:v>5.085</c:v>
                </c:pt>
                <c:pt idx="284">
                  <c:v>5.085</c:v>
                </c:pt>
                <c:pt idx="285">
                  <c:v>5.085</c:v>
                </c:pt>
                <c:pt idx="286">
                  <c:v>5.085</c:v>
                </c:pt>
                <c:pt idx="287">
                  <c:v>5.085</c:v>
                </c:pt>
                <c:pt idx="288">
                  <c:v>5.085</c:v>
                </c:pt>
                <c:pt idx="289">
                  <c:v>5.085</c:v>
                </c:pt>
                <c:pt idx="290">
                  <c:v>5.085</c:v>
                </c:pt>
                <c:pt idx="291">
                  <c:v>5.085</c:v>
                </c:pt>
                <c:pt idx="292">
                  <c:v>5.085</c:v>
                </c:pt>
                <c:pt idx="293">
                  <c:v>5.085</c:v>
                </c:pt>
                <c:pt idx="294">
                  <c:v>5.085</c:v>
                </c:pt>
                <c:pt idx="295">
                  <c:v>5.085</c:v>
                </c:pt>
                <c:pt idx="296">
                  <c:v>5.085</c:v>
                </c:pt>
                <c:pt idx="297">
                  <c:v>5.085</c:v>
                </c:pt>
                <c:pt idx="298">
                  <c:v>5.085</c:v>
                </c:pt>
                <c:pt idx="299">
                  <c:v>5.085</c:v>
                </c:pt>
                <c:pt idx="300">
                  <c:v>5.085</c:v>
                </c:pt>
                <c:pt idx="301">
                  <c:v>5.085</c:v>
                </c:pt>
                <c:pt idx="302">
                  <c:v>5.085</c:v>
                </c:pt>
                <c:pt idx="303">
                  <c:v>5.085</c:v>
                </c:pt>
                <c:pt idx="304">
                  <c:v>5.085</c:v>
                </c:pt>
                <c:pt idx="305">
                  <c:v>5.085</c:v>
                </c:pt>
                <c:pt idx="306">
                  <c:v>5.085</c:v>
                </c:pt>
                <c:pt idx="307">
                  <c:v>5.085</c:v>
                </c:pt>
                <c:pt idx="308">
                  <c:v>5.085</c:v>
                </c:pt>
                <c:pt idx="309">
                  <c:v>5.085</c:v>
                </c:pt>
                <c:pt idx="310">
                  <c:v>5.085</c:v>
                </c:pt>
                <c:pt idx="311">
                  <c:v>5.085</c:v>
                </c:pt>
                <c:pt idx="312">
                  <c:v>5.085</c:v>
                </c:pt>
                <c:pt idx="313">
                  <c:v>5.085</c:v>
                </c:pt>
                <c:pt idx="314">
                  <c:v>5.085</c:v>
                </c:pt>
                <c:pt idx="315">
                  <c:v>5.085</c:v>
                </c:pt>
                <c:pt idx="316">
                  <c:v>5.085</c:v>
                </c:pt>
                <c:pt idx="317">
                  <c:v>5.085</c:v>
                </c:pt>
                <c:pt idx="318">
                  <c:v>5.085</c:v>
                </c:pt>
                <c:pt idx="319">
                  <c:v>5.085</c:v>
                </c:pt>
                <c:pt idx="320">
                  <c:v>5.085</c:v>
                </c:pt>
                <c:pt idx="321">
                  <c:v>5.085</c:v>
                </c:pt>
                <c:pt idx="322">
                  <c:v>5.085</c:v>
                </c:pt>
                <c:pt idx="323">
                  <c:v>5.085</c:v>
                </c:pt>
                <c:pt idx="324">
                  <c:v>5.085</c:v>
                </c:pt>
                <c:pt idx="325">
                  <c:v>5.085</c:v>
                </c:pt>
                <c:pt idx="326">
                  <c:v>5.085</c:v>
                </c:pt>
                <c:pt idx="327">
                  <c:v>5.085</c:v>
                </c:pt>
                <c:pt idx="328">
                  <c:v>5.085</c:v>
                </c:pt>
                <c:pt idx="329">
                  <c:v>5.085</c:v>
                </c:pt>
                <c:pt idx="330">
                  <c:v>5.085</c:v>
                </c:pt>
                <c:pt idx="331">
                  <c:v>5.085</c:v>
                </c:pt>
                <c:pt idx="332">
                  <c:v>5.085</c:v>
                </c:pt>
                <c:pt idx="333">
                  <c:v>5.085</c:v>
                </c:pt>
                <c:pt idx="334">
                  <c:v>5.085</c:v>
                </c:pt>
                <c:pt idx="335">
                  <c:v>5.085</c:v>
                </c:pt>
                <c:pt idx="336">
                  <c:v>5.085</c:v>
                </c:pt>
                <c:pt idx="337">
                  <c:v>5.085</c:v>
                </c:pt>
                <c:pt idx="338">
                  <c:v>5.085</c:v>
                </c:pt>
                <c:pt idx="339">
                  <c:v>5.085</c:v>
                </c:pt>
                <c:pt idx="340">
                  <c:v>5.085</c:v>
                </c:pt>
                <c:pt idx="341">
                  <c:v>5.085</c:v>
                </c:pt>
                <c:pt idx="342">
                  <c:v>5.085</c:v>
                </c:pt>
                <c:pt idx="343">
                  <c:v>5.085</c:v>
                </c:pt>
                <c:pt idx="344">
                  <c:v>5.085</c:v>
                </c:pt>
                <c:pt idx="345">
                  <c:v>5.085</c:v>
                </c:pt>
                <c:pt idx="346">
                  <c:v>5.085</c:v>
                </c:pt>
                <c:pt idx="347">
                  <c:v>5.085</c:v>
                </c:pt>
                <c:pt idx="348">
                  <c:v>5.085</c:v>
                </c:pt>
                <c:pt idx="349">
                  <c:v>5.085</c:v>
                </c:pt>
                <c:pt idx="350">
                  <c:v>5.085</c:v>
                </c:pt>
                <c:pt idx="351">
                  <c:v>5.085</c:v>
                </c:pt>
                <c:pt idx="352">
                  <c:v>5.085</c:v>
                </c:pt>
                <c:pt idx="353">
                  <c:v>5.085</c:v>
                </c:pt>
                <c:pt idx="354">
                  <c:v>5.085</c:v>
                </c:pt>
                <c:pt idx="355">
                  <c:v>5.085</c:v>
                </c:pt>
                <c:pt idx="356">
                  <c:v>5.085</c:v>
                </c:pt>
                <c:pt idx="357">
                  <c:v>5.085</c:v>
                </c:pt>
                <c:pt idx="358">
                  <c:v>5.085</c:v>
                </c:pt>
                <c:pt idx="359">
                  <c:v>5.085</c:v>
                </c:pt>
                <c:pt idx="360">
                  <c:v>5.085</c:v>
                </c:pt>
                <c:pt idx="361">
                  <c:v>5.085</c:v>
                </c:pt>
                <c:pt idx="362">
                  <c:v>5.085</c:v>
                </c:pt>
                <c:pt idx="363">
                  <c:v>5.085</c:v>
                </c:pt>
                <c:pt idx="364">
                  <c:v>5.085</c:v>
                </c:pt>
                <c:pt idx="365">
                  <c:v>5.085</c:v>
                </c:pt>
                <c:pt idx="366">
                  <c:v>5.085</c:v>
                </c:pt>
                <c:pt idx="367">
                  <c:v>5.085</c:v>
                </c:pt>
                <c:pt idx="368">
                  <c:v>5.085</c:v>
                </c:pt>
                <c:pt idx="369">
                  <c:v>5.085</c:v>
                </c:pt>
                <c:pt idx="370">
                  <c:v>5.085</c:v>
                </c:pt>
                <c:pt idx="371">
                  <c:v>5.085</c:v>
                </c:pt>
                <c:pt idx="372">
                  <c:v>5.085</c:v>
                </c:pt>
                <c:pt idx="373">
                  <c:v>5.085</c:v>
                </c:pt>
                <c:pt idx="374">
                  <c:v>5.085</c:v>
                </c:pt>
                <c:pt idx="375">
                  <c:v>5.085</c:v>
                </c:pt>
                <c:pt idx="376">
                  <c:v>5.085</c:v>
                </c:pt>
                <c:pt idx="377">
                  <c:v>5.085</c:v>
                </c:pt>
                <c:pt idx="378">
                  <c:v>5.085</c:v>
                </c:pt>
                <c:pt idx="379">
                  <c:v>5.085</c:v>
                </c:pt>
                <c:pt idx="380">
                  <c:v>5.085</c:v>
                </c:pt>
                <c:pt idx="381">
                  <c:v>5.085</c:v>
                </c:pt>
                <c:pt idx="382">
                  <c:v>5.085</c:v>
                </c:pt>
                <c:pt idx="383">
                  <c:v>5.085</c:v>
                </c:pt>
                <c:pt idx="384">
                  <c:v>5.085</c:v>
                </c:pt>
                <c:pt idx="385">
                  <c:v>5.085</c:v>
                </c:pt>
                <c:pt idx="386">
                  <c:v>5.085</c:v>
                </c:pt>
                <c:pt idx="387">
                  <c:v>5.085</c:v>
                </c:pt>
                <c:pt idx="388">
                  <c:v>5.085</c:v>
                </c:pt>
                <c:pt idx="389">
                  <c:v>5.085</c:v>
                </c:pt>
                <c:pt idx="390">
                  <c:v>5.085</c:v>
                </c:pt>
                <c:pt idx="391">
                  <c:v>5.085</c:v>
                </c:pt>
                <c:pt idx="392">
                  <c:v>5.085</c:v>
                </c:pt>
                <c:pt idx="393">
                  <c:v>5.085</c:v>
                </c:pt>
                <c:pt idx="394">
                  <c:v>5.085</c:v>
                </c:pt>
                <c:pt idx="395">
                  <c:v>5.085</c:v>
                </c:pt>
                <c:pt idx="396">
                  <c:v>5.085</c:v>
                </c:pt>
                <c:pt idx="397">
                  <c:v>5.085</c:v>
                </c:pt>
                <c:pt idx="398">
                  <c:v>5.085</c:v>
                </c:pt>
                <c:pt idx="399">
                  <c:v>5.085</c:v>
                </c:pt>
                <c:pt idx="400">
                  <c:v>5.085</c:v>
                </c:pt>
                <c:pt idx="401">
                  <c:v>5.085</c:v>
                </c:pt>
                <c:pt idx="402">
                  <c:v>5.085</c:v>
                </c:pt>
                <c:pt idx="403">
                  <c:v>5.085</c:v>
                </c:pt>
                <c:pt idx="404">
                  <c:v>5.085</c:v>
                </c:pt>
                <c:pt idx="405">
                  <c:v>5.085</c:v>
                </c:pt>
                <c:pt idx="406">
                  <c:v>5.085</c:v>
                </c:pt>
                <c:pt idx="407">
                  <c:v>5.085</c:v>
                </c:pt>
                <c:pt idx="408">
                  <c:v>5.085</c:v>
                </c:pt>
                <c:pt idx="409">
                  <c:v>5.085</c:v>
                </c:pt>
                <c:pt idx="410">
                  <c:v>5.085</c:v>
                </c:pt>
                <c:pt idx="411">
                  <c:v>5.085</c:v>
                </c:pt>
                <c:pt idx="412">
                  <c:v>5.085</c:v>
                </c:pt>
                <c:pt idx="413">
                  <c:v>5.085</c:v>
                </c:pt>
                <c:pt idx="414">
                  <c:v>5.085</c:v>
                </c:pt>
                <c:pt idx="415">
                  <c:v>5.085</c:v>
                </c:pt>
                <c:pt idx="416">
                  <c:v>5.085</c:v>
                </c:pt>
                <c:pt idx="417">
                  <c:v>5.0249899999999998</c:v>
                </c:pt>
                <c:pt idx="418">
                  <c:v>4.91</c:v>
                </c:pt>
                <c:pt idx="419">
                  <c:v>4.8849999999999998</c:v>
                </c:pt>
                <c:pt idx="420">
                  <c:v>4.8849999999999998</c:v>
                </c:pt>
                <c:pt idx="421">
                  <c:v>4.8849999999999998</c:v>
                </c:pt>
                <c:pt idx="422">
                  <c:v>4.8849999999999998</c:v>
                </c:pt>
                <c:pt idx="423">
                  <c:v>4.8849999999999998</c:v>
                </c:pt>
                <c:pt idx="424">
                  <c:v>4.8849999999999998</c:v>
                </c:pt>
                <c:pt idx="425">
                  <c:v>4.8849999999999998</c:v>
                </c:pt>
                <c:pt idx="426">
                  <c:v>4.8849999999999998</c:v>
                </c:pt>
                <c:pt idx="427">
                  <c:v>4.8849999999999998</c:v>
                </c:pt>
                <c:pt idx="428">
                  <c:v>4.8849999999999998</c:v>
                </c:pt>
                <c:pt idx="429">
                  <c:v>4.7749899999999998</c:v>
                </c:pt>
                <c:pt idx="430">
                  <c:v>4.7050000000000001</c:v>
                </c:pt>
                <c:pt idx="431">
                  <c:v>4.7050000000000001</c:v>
                </c:pt>
                <c:pt idx="432">
                  <c:v>4.7050000000000001</c:v>
                </c:pt>
                <c:pt idx="433">
                  <c:v>4.7050000000000001</c:v>
                </c:pt>
                <c:pt idx="434">
                  <c:v>4.7050000000000001</c:v>
                </c:pt>
                <c:pt idx="435">
                  <c:v>4.7050000000000001</c:v>
                </c:pt>
                <c:pt idx="436">
                  <c:v>4.7050000000000001</c:v>
                </c:pt>
                <c:pt idx="437">
                  <c:v>4.7050000000000001</c:v>
                </c:pt>
                <c:pt idx="438">
                  <c:v>4.7050000000000001</c:v>
                </c:pt>
                <c:pt idx="439">
                  <c:v>4.7050000000000001</c:v>
                </c:pt>
                <c:pt idx="440">
                  <c:v>4.7050000000000001</c:v>
                </c:pt>
                <c:pt idx="441">
                  <c:v>4.7050000000000001</c:v>
                </c:pt>
                <c:pt idx="442">
                  <c:v>4.7050000000000001</c:v>
                </c:pt>
                <c:pt idx="443">
                  <c:v>4.7050000000000001</c:v>
                </c:pt>
                <c:pt idx="444">
                  <c:v>4.7050000000000001</c:v>
                </c:pt>
                <c:pt idx="445">
                  <c:v>4.7050000000000001</c:v>
                </c:pt>
                <c:pt idx="446">
                  <c:v>4.7050000000000001</c:v>
                </c:pt>
                <c:pt idx="447">
                  <c:v>4.7050000000000001</c:v>
                </c:pt>
                <c:pt idx="448">
                  <c:v>4.7050000000000001</c:v>
                </c:pt>
                <c:pt idx="449">
                  <c:v>4.7050000000000001</c:v>
                </c:pt>
                <c:pt idx="450">
                  <c:v>4.7050000000000001</c:v>
                </c:pt>
                <c:pt idx="451">
                  <c:v>4.7050000000000001</c:v>
                </c:pt>
                <c:pt idx="452">
                  <c:v>4.7050000000000001</c:v>
                </c:pt>
                <c:pt idx="453">
                  <c:v>4.7050000000000001</c:v>
                </c:pt>
                <c:pt idx="454">
                  <c:v>4.7050000000000001</c:v>
                </c:pt>
                <c:pt idx="455">
                  <c:v>4.7050000000000001</c:v>
                </c:pt>
                <c:pt idx="456">
                  <c:v>4.7050000000000001</c:v>
                </c:pt>
                <c:pt idx="457">
                  <c:v>4.7050000000000001</c:v>
                </c:pt>
                <c:pt idx="458">
                  <c:v>4.7050000000000001</c:v>
                </c:pt>
                <c:pt idx="459">
                  <c:v>4.7050000000000001</c:v>
                </c:pt>
                <c:pt idx="460">
                  <c:v>4.7050000000000001</c:v>
                </c:pt>
                <c:pt idx="461">
                  <c:v>4.7050000000000001</c:v>
                </c:pt>
                <c:pt idx="462">
                  <c:v>4.7050000000000001</c:v>
                </c:pt>
                <c:pt idx="463">
                  <c:v>4.7050000000000001</c:v>
                </c:pt>
                <c:pt idx="464">
                  <c:v>4.7050000000000001</c:v>
                </c:pt>
                <c:pt idx="465">
                  <c:v>4.6349999999999998</c:v>
                </c:pt>
                <c:pt idx="466">
                  <c:v>4.6349999999999998</c:v>
                </c:pt>
                <c:pt idx="467">
                  <c:v>4.6349999999999998</c:v>
                </c:pt>
                <c:pt idx="468">
                  <c:v>4.6349999999999998</c:v>
                </c:pt>
                <c:pt idx="469">
                  <c:v>4.6349999999999998</c:v>
                </c:pt>
                <c:pt idx="470">
                  <c:v>4.6349999999999998</c:v>
                </c:pt>
                <c:pt idx="471">
                  <c:v>4.6349999999999998</c:v>
                </c:pt>
                <c:pt idx="472">
                  <c:v>4.6349999999999998</c:v>
                </c:pt>
                <c:pt idx="473">
                  <c:v>4.6349999999999998</c:v>
                </c:pt>
                <c:pt idx="474">
                  <c:v>4.6349999999999998</c:v>
                </c:pt>
                <c:pt idx="475">
                  <c:v>4.6349999999999998</c:v>
                </c:pt>
                <c:pt idx="476">
                  <c:v>4.6349999999999998</c:v>
                </c:pt>
                <c:pt idx="477">
                  <c:v>4.6349999999999998</c:v>
                </c:pt>
                <c:pt idx="478">
                  <c:v>4.6349999999999998</c:v>
                </c:pt>
                <c:pt idx="479">
                  <c:v>4.6349999999999998</c:v>
                </c:pt>
                <c:pt idx="480">
                  <c:v>4.6349999999999998</c:v>
                </c:pt>
                <c:pt idx="481">
                  <c:v>4.6349999999999998</c:v>
                </c:pt>
                <c:pt idx="482">
                  <c:v>4.6349999999999998</c:v>
                </c:pt>
                <c:pt idx="483">
                  <c:v>4.6349999999999998</c:v>
                </c:pt>
                <c:pt idx="484">
                  <c:v>4.6349999999999998</c:v>
                </c:pt>
                <c:pt idx="485">
                  <c:v>4.6349999999999998</c:v>
                </c:pt>
                <c:pt idx="486">
                  <c:v>4.6349999999999998</c:v>
                </c:pt>
                <c:pt idx="487">
                  <c:v>4.6349999999999998</c:v>
                </c:pt>
                <c:pt idx="488">
                  <c:v>4.6349999999999998</c:v>
                </c:pt>
                <c:pt idx="489">
                  <c:v>4.6349999999999998</c:v>
                </c:pt>
                <c:pt idx="490">
                  <c:v>4.6349999999999998</c:v>
                </c:pt>
                <c:pt idx="491">
                  <c:v>4.6349999999999998</c:v>
                </c:pt>
                <c:pt idx="492">
                  <c:v>4.6349999999999998</c:v>
                </c:pt>
                <c:pt idx="493">
                  <c:v>4.6349999999999998</c:v>
                </c:pt>
                <c:pt idx="494">
                  <c:v>4.6150000000000002</c:v>
                </c:pt>
                <c:pt idx="495">
                  <c:v>4.5049999999999999</c:v>
                </c:pt>
                <c:pt idx="496">
                  <c:v>4.4950000000000001</c:v>
                </c:pt>
                <c:pt idx="497">
                  <c:v>4.4950000000000001</c:v>
                </c:pt>
                <c:pt idx="498">
                  <c:v>4.4849899999999998</c:v>
                </c:pt>
                <c:pt idx="499">
                  <c:v>4.4649999999999999</c:v>
                </c:pt>
                <c:pt idx="500">
                  <c:v>4.415</c:v>
                </c:pt>
                <c:pt idx="501">
                  <c:v>4.3650000000000002</c:v>
                </c:pt>
                <c:pt idx="502">
                  <c:v>4.3449999999999998</c:v>
                </c:pt>
                <c:pt idx="503">
                  <c:v>4.2850000000000001</c:v>
                </c:pt>
                <c:pt idx="504">
                  <c:v>4.2450000000000001</c:v>
                </c:pt>
                <c:pt idx="505">
                  <c:v>4.2450000000000001</c:v>
                </c:pt>
                <c:pt idx="506">
                  <c:v>4.2450000000000001</c:v>
                </c:pt>
                <c:pt idx="507">
                  <c:v>4.2450000000000001</c:v>
                </c:pt>
                <c:pt idx="508">
                  <c:v>4.2450000000000001</c:v>
                </c:pt>
                <c:pt idx="509">
                  <c:v>4.22</c:v>
                </c:pt>
                <c:pt idx="510">
                  <c:v>4.1399999999999997</c:v>
                </c:pt>
                <c:pt idx="511">
                  <c:v>4.1399999999999997</c:v>
                </c:pt>
                <c:pt idx="512">
                  <c:v>4.1399999999999997</c:v>
                </c:pt>
                <c:pt idx="513">
                  <c:v>4.1399999999999997</c:v>
                </c:pt>
                <c:pt idx="514">
                  <c:v>4.12</c:v>
                </c:pt>
                <c:pt idx="515">
                  <c:v>4.12</c:v>
                </c:pt>
                <c:pt idx="516">
                  <c:v>4.12</c:v>
                </c:pt>
                <c:pt idx="517">
                  <c:v>4.12</c:v>
                </c:pt>
                <c:pt idx="518">
                  <c:v>4.12</c:v>
                </c:pt>
                <c:pt idx="519">
                  <c:v>4.12</c:v>
                </c:pt>
                <c:pt idx="520">
                  <c:v>4.12</c:v>
                </c:pt>
                <c:pt idx="521">
                  <c:v>4.12</c:v>
                </c:pt>
                <c:pt idx="522">
                  <c:v>4.12</c:v>
                </c:pt>
                <c:pt idx="523">
                  <c:v>4.12</c:v>
                </c:pt>
                <c:pt idx="524">
                  <c:v>4.12</c:v>
                </c:pt>
                <c:pt idx="525">
                  <c:v>4.12</c:v>
                </c:pt>
                <c:pt idx="526">
                  <c:v>4.12</c:v>
                </c:pt>
                <c:pt idx="527">
                  <c:v>4.12</c:v>
                </c:pt>
                <c:pt idx="528">
                  <c:v>4.12</c:v>
                </c:pt>
                <c:pt idx="529">
                  <c:v>4.12</c:v>
                </c:pt>
                <c:pt idx="530">
                  <c:v>4.12</c:v>
                </c:pt>
                <c:pt idx="531">
                  <c:v>4.12</c:v>
                </c:pt>
                <c:pt idx="532">
                  <c:v>4.12</c:v>
                </c:pt>
                <c:pt idx="533">
                  <c:v>4.12</c:v>
                </c:pt>
                <c:pt idx="534">
                  <c:v>4.12</c:v>
                </c:pt>
                <c:pt idx="535">
                  <c:v>4.12</c:v>
                </c:pt>
                <c:pt idx="536">
                  <c:v>4.12</c:v>
                </c:pt>
                <c:pt idx="537">
                  <c:v>4.12</c:v>
                </c:pt>
                <c:pt idx="538">
                  <c:v>4.12</c:v>
                </c:pt>
                <c:pt idx="539">
                  <c:v>4.12</c:v>
                </c:pt>
                <c:pt idx="540">
                  <c:v>4.12</c:v>
                </c:pt>
                <c:pt idx="541">
                  <c:v>4.12</c:v>
                </c:pt>
                <c:pt idx="542">
                  <c:v>4.12</c:v>
                </c:pt>
                <c:pt idx="543">
                  <c:v>4.12</c:v>
                </c:pt>
                <c:pt idx="544">
                  <c:v>4.12</c:v>
                </c:pt>
                <c:pt idx="545">
                  <c:v>4.12</c:v>
                </c:pt>
                <c:pt idx="546">
                  <c:v>4.12</c:v>
                </c:pt>
                <c:pt idx="547">
                  <c:v>4.12</c:v>
                </c:pt>
                <c:pt idx="548">
                  <c:v>4.12</c:v>
                </c:pt>
                <c:pt idx="549">
                  <c:v>4.12</c:v>
                </c:pt>
                <c:pt idx="550">
                  <c:v>4.12</c:v>
                </c:pt>
                <c:pt idx="551">
                  <c:v>4.12</c:v>
                </c:pt>
                <c:pt idx="552">
                  <c:v>4.12</c:v>
                </c:pt>
                <c:pt idx="553">
                  <c:v>4.12</c:v>
                </c:pt>
                <c:pt idx="554">
                  <c:v>4.0750000000000002</c:v>
                </c:pt>
                <c:pt idx="555">
                  <c:v>4.0750000000000002</c:v>
                </c:pt>
                <c:pt idx="556">
                  <c:v>4.0750000000000002</c:v>
                </c:pt>
                <c:pt idx="557">
                  <c:v>4.0449999999999999</c:v>
                </c:pt>
                <c:pt idx="558">
                  <c:v>4.0149900000000001</c:v>
                </c:pt>
                <c:pt idx="559">
                  <c:v>4.0149900000000001</c:v>
                </c:pt>
                <c:pt idx="560">
                  <c:v>3.93499</c:v>
                </c:pt>
                <c:pt idx="561">
                  <c:v>3.89</c:v>
                </c:pt>
                <c:pt idx="562">
                  <c:v>3.89</c:v>
                </c:pt>
                <c:pt idx="563">
                  <c:v>3.89</c:v>
                </c:pt>
                <c:pt idx="564">
                  <c:v>3.89</c:v>
                </c:pt>
                <c:pt idx="565">
                  <c:v>3.89</c:v>
                </c:pt>
                <c:pt idx="566">
                  <c:v>3.89</c:v>
                </c:pt>
                <c:pt idx="567">
                  <c:v>3.89</c:v>
                </c:pt>
                <c:pt idx="568">
                  <c:v>3.89</c:v>
                </c:pt>
                <c:pt idx="569">
                  <c:v>3.89</c:v>
                </c:pt>
                <c:pt idx="570">
                  <c:v>3.89</c:v>
                </c:pt>
                <c:pt idx="571">
                  <c:v>3.89</c:v>
                </c:pt>
                <c:pt idx="572">
                  <c:v>3.835</c:v>
                </c:pt>
                <c:pt idx="573">
                  <c:v>3.835</c:v>
                </c:pt>
                <c:pt idx="574">
                  <c:v>3.835</c:v>
                </c:pt>
                <c:pt idx="575">
                  <c:v>3.8149999999999999</c:v>
                </c:pt>
                <c:pt idx="576">
                  <c:v>3.8149999999999999</c:v>
                </c:pt>
                <c:pt idx="577">
                  <c:v>3.8149999999999999</c:v>
                </c:pt>
                <c:pt idx="578">
                  <c:v>3.8149999999999999</c:v>
                </c:pt>
                <c:pt idx="579">
                  <c:v>3.8149999999999999</c:v>
                </c:pt>
                <c:pt idx="580">
                  <c:v>3.8149999999999999</c:v>
                </c:pt>
                <c:pt idx="581">
                  <c:v>3.8149999999999999</c:v>
                </c:pt>
                <c:pt idx="582">
                  <c:v>3.8149999999999999</c:v>
                </c:pt>
                <c:pt idx="583">
                  <c:v>3.8149999999999999</c:v>
                </c:pt>
                <c:pt idx="584">
                  <c:v>3.8149999999999999</c:v>
                </c:pt>
                <c:pt idx="585">
                  <c:v>3.8149999999999999</c:v>
                </c:pt>
                <c:pt idx="586">
                  <c:v>3.8149999999999999</c:v>
                </c:pt>
                <c:pt idx="587">
                  <c:v>3.8149999999999999</c:v>
                </c:pt>
                <c:pt idx="588">
                  <c:v>3.8050000000000002</c:v>
                </c:pt>
                <c:pt idx="589">
                  <c:v>3.8050000000000002</c:v>
                </c:pt>
                <c:pt idx="590">
                  <c:v>3.8050000000000002</c:v>
                </c:pt>
                <c:pt idx="591">
                  <c:v>3.79</c:v>
                </c:pt>
                <c:pt idx="592">
                  <c:v>3.7549999999999999</c:v>
                </c:pt>
                <c:pt idx="593">
                  <c:v>3.7149999999999999</c:v>
                </c:pt>
                <c:pt idx="594">
                  <c:v>3.7149999999999999</c:v>
                </c:pt>
                <c:pt idx="595">
                  <c:v>3.7</c:v>
                </c:pt>
                <c:pt idx="596">
                  <c:v>3.5950000000000002</c:v>
                </c:pt>
                <c:pt idx="597">
                  <c:v>3.5950000000000002</c:v>
                </c:pt>
                <c:pt idx="598">
                  <c:v>3.585</c:v>
                </c:pt>
                <c:pt idx="599">
                  <c:v>3.585</c:v>
                </c:pt>
                <c:pt idx="600">
                  <c:v>3.57</c:v>
                </c:pt>
                <c:pt idx="601">
                  <c:v>3.4849999999999999</c:v>
                </c:pt>
                <c:pt idx="602">
                  <c:v>3.45499</c:v>
                </c:pt>
                <c:pt idx="603">
                  <c:v>3.415</c:v>
                </c:pt>
                <c:pt idx="604">
                  <c:v>3.415</c:v>
                </c:pt>
                <c:pt idx="605">
                  <c:v>3.415</c:v>
                </c:pt>
                <c:pt idx="606">
                  <c:v>3.415</c:v>
                </c:pt>
                <c:pt idx="607">
                  <c:v>3.415</c:v>
                </c:pt>
                <c:pt idx="608">
                  <c:v>3.415</c:v>
                </c:pt>
                <c:pt idx="609">
                  <c:v>3.415</c:v>
                </c:pt>
                <c:pt idx="610">
                  <c:v>3.415</c:v>
                </c:pt>
                <c:pt idx="611">
                  <c:v>3.39</c:v>
                </c:pt>
                <c:pt idx="612">
                  <c:v>3.3</c:v>
                </c:pt>
                <c:pt idx="613">
                  <c:v>3.26</c:v>
                </c:pt>
                <c:pt idx="614">
                  <c:v>3.26</c:v>
                </c:pt>
                <c:pt idx="615">
                  <c:v>3.26</c:v>
                </c:pt>
                <c:pt idx="616">
                  <c:v>3.26</c:v>
                </c:pt>
                <c:pt idx="617">
                  <c:v>3.26</c:v>
                </c:pt>
                <c:pt idx="618">
                  <c:v>3.26</c:v>
                </c:pt>
                <c:pt idx="619">
                  <c:v>3.26</c:v>
                </c:pt>
                <c:pt idx="620">
                  <c:v>3.2349999999999999</c:v>
                </c:pt>
                <c:pt idx="621">
                  <c:v>3.2349999999999999</c:v>
                </c:pt>
                <c:pt idx="622">
                  <c:v>3.2349999999999999</c:v>
                </c:pt>
                <c:pt idx="623">
                  <c:v>3.2349999999999999</c:v>
                </c:pt>
                <c:pt idx="624">
                  <c:v>3.2349999999999999</c:v>
                </c:pt>
                <c:pt idx="625">
                  <c:v>3.2349999999999999</c:v>
                </c:pt>
                <c:pt idx="626">
                  <c:v>3.2349999999999999</c:v>
                </c:pt>
                <c:pt idx="627">
                  <c:v>3.2349999999999999</c:v>
                </c:pt>
                <c:pt idx="628">
                  <c:v>3.2349999999999999</c:v>
                </c:pt>
                <c:pt idx="629">
                  <c:v>3.2349999999999999</c:v>
                </c:pt>
                <c:pt idx="630">
                  <c:v>3.2349999999999999</c:v>
                </c:pt>
                <c:pt idx="631">
                  <c:v>3.2349999999999999</c:v>
                </c:pt>
                <c:pt idx="632">
                  <c:v>3.2349999999999999</c:v>
                </c:pt>
                <c:pt idx="633">
                  <c:v>3.2349999999999999</c:v>
                </c:pt>
                <c:pt idx="634">
                  <c:v>3.2349999999999999</c:v>
                </c:pt>
                <c:pt idx="635">
                  <c:v>3.2349999999999999</c:v>
                </c:pt>
                <c:pt idx="636">
                  <c:v>3.2349999999999999</c:v>
                </c:pt>
                <c:pt idx="637">
                  <c:v>3.2349999999999999</c:v>
                </c:pt>
                <c:pt idx="638">
                  <c:v>3.2349999999999999</c:v>
                </c:pt>
                <c:pt idx="639">
                  <c:v>3.2349999999999999</c:v>
                </c:pt>
                <c:pt idx="640">
                  <c:v>3.2349999999999999</c:v>
                </c:pt>
                <c:pt idx="641">
                  <c:v>3.2349999999999999</c:v>
                </c:pt>
                <c:pt idx="642">
                  <c:v>3.2349999999999999</c:v>
                </c:pt>
                <c:pt idx="643">
                  <c:v>3.2349999999999999</c:v>
                </c:pt>
                <c:pt idx="644">
                  <c:v>3.2349999999999999</c:v>
                </c:pt>
                <c:pt idx="645">
                  <c:v>3.2349999999999999</c:v>
                </c:pt>
                <c:pt idx="646">
                  <c:v>3.2349999999999999</c:v>
                </c:pt>
                <c:pt idx="647">
                  <c:v>3.2349999999999999</c:v>
                </c:pt>
                <c:pt idx="648">
                  <c:v>3.2349999999999999</c:v>
                </c:pt>
                <c:pt idx="649">
                  <c:v>3.2349999999999999</c:v>
                </c:pt>
                <c:pt idx="650">
                  <c:v>3.2349999999999999</c:v>
                </c:pt>
                <c:pt idx="651">
                  <c:v>3.2349999999999999</c:v>
                </c:pt>
                <c:pt idx="652">
                  <c:v>3.2349999999999999</c:v>
                </c:pt>
                <c:pt idx="653">
                  <c:v>3.2349999999999999</c:v>
                </c:pt>
                <c:pt idx="654">
                  <c:v>3.2349999999999999</c:v>
                </c:pt>
                <c:pt idx="655">
                  <c:v>3.2349999999999999</c:v>
                </c:pt>
                <c:pt idx="656">
                  <c:v>3.2349999999999999</c:v>
                </c:pt>
                <c:pt idx="657">
                  <c:v>3.2349999999999999</c:v>
                </c:pt>
                <c:pt idx="658">
                  <c:v>3.2349999999999999</c:v>
                </c:pt>
                <c:pt idx="659">
                  <c:v>3.2349999999999999</c:v>
                </c:pt>
                <c:pt idx="660">
                  <c:v>3.2349999999999999</c:v>
                </c:pt>
                <c:pt idx="661">
                  <c:v>3.2349999999999999</c:v>
                </c:pt>
                <c:pt idx="662">
                  <c:v>3.2349999999999999</c:v>
                </c:pt>
                <c:pt idx="663">
                  <c:v>3.2349999999999999</c:v>
                </c:pt>
                <c:pt idx="664">
                  <c:v>3.2349999999999999</c:v>
                </c:pt>
                <c:pt idx="665">
                  <c:v>3.2349999999999999</c:v>
                </c:pt>
                <c:pt idx="666">
                  <c:v>3.2349999999999999</c:v>
                </c:pt>
                <c:pt idx="667">
                  <c:v>3.2349999999999999</c:v>
                </c:pt>
                <c:pt idx="668">
                  <c:v>3.2349999999999999</c:v>
                </c:pt>
                <c:pt idx="669">
                  <c:v>3.2349999999999999</c:v>
                </c:pt>
                <c:pt idx="670">
                  <c:v>3.2349999999999999</c:v>
                </c:pt>
                <c:pt idx="671">
                  <c:v>3.2349999999999999</c:v>
                </c:pt>
                <c:pt idx="672">
                  <c:v>3.2349999999999999</c:v>
                </c:pt>
                <c:pt idx="673">
                  <c:v>3.2349999999999999</c:v>
                </c:pt>
                <c:pt idx="674">
                  <c:v>3.2349999999999999</c:v>
                </c:pt>
                <c:pt idx="675">
                  <c:v>3.2349999999999999</c:v>
                </c:pt>
                <c:pt idx="676">
                  <c:v>3.2349999999999999</c:v>
                </c:pt>
                <c:pt idx="677">
                  <c:v>3.2349999999999999</c:v>
                </c:pt>
                <c:pt idx="678">
                  <c:v>3.2349999999999999</c:v>
                </c:pt>
                <c:pt idx="679">
                  <c:v>3.2349999999999999</c:v>
                </c:pt>
                <c:pt idx="680">
                  <c:v>3.2349999999999999</c:v>
                </c:pt>
                <c:pt idx="681">
                  <c:v>3.2349999999999999</c:v>
                </c:pt>
                <c:pt idx="682">
                  <c:v>3.2349999999999999</c:v>
                </c:pt>
                <c:pt idx="683">
                  <c:v>3.2349999999999999</c:v>
                </c:pt>
                <c:pt idx="684">
                  <c:v>3.2349999999999999</c:v>
                </c:pt>
                <c:pt idx="685">
                  <c:v>3.2349999999999999</c:v>
                </c:pt>
                <c:pt idx="686">
                  <c:v>3.2349999999999999</c:v>
                </c:pt>
                <c:pt idx="687">
                  <c:v>3.2349999999999999</c:v>
                </c:pt>
                <c:pt idx="688">
                  <c:v>3.2349999999999999</c:v>
                </c:pt>
                <c:pt idx="689">
                  <c:v>3.2349999999999999</c:v>
                </c:pt>
                <c:pt idx="690">
                  <c:v>3.2349999999999999</c:v>
                </c:pt>
                <c:pt idx="691">
                  <c:v>3.2349999999999999</c:v>
                </c:pt>
                <c:pt idx="692">
                  <c:v>3.2349999999999999</c:v>
                </c:pt>
                <c:pt idx="693">
                  <c:v>3.2349999999999999</c:v>
                </c:pt>
                <c:pt idx="694">
                  <c:v>3.2349999999999999</c:v>
                </c:pt>
                <c:pt idx="695">
                  <c:v>3.2349999999999999</c:v>
                </c:pt>
                <c:pt idx="696">
                  <c:v>3.2349999999999999</c:v>
                </c:pt>
                <c:pt idx="697">
                  <c:v>3.2349999999999999</c:v>
                </c:pt>
                <c:pt idx="698">
                  <c:v>3.2349999999999999</c:v>
                </c:pt>
                <c:pt idx="699">
                  <c:v>3.2349999999999999</c:v>
                </c:pt>
                <c:pt idx="700">
                  <c:v>3.2349999999999999</c:v>
                </c:pt>
                <c:pt idx="701">
                  <c:v>3.2349999999999999</c:v>
                </c:pt>
                <c:pt idx="702">
                  <c:v>3.2349999999999999</c:v>
                </c:pt>
                <c:pt idx="703">
                  <c:v>3.2349999999999999</c:v>
                </c:pt>
                <c:pt idx="704">
                  <c:v>3.2349999999999999</c:v>
                </c:pt>
                <c:pt idx="705">
                  <c:v>3.2349999999999999</c:v>
                </c:pt>
                <c:pt idx="706">
                  <c:v>3.2349999999999999</c:v>
                </c:pt>
                <c:pt idx="707">
                  <c:v>3.2349999999999999</c:v>
                </c:pt>
                <c:pt idx="708">
                  <c:v>3.2349999999999999</c:v>
                </c:pt>
                <c:pt idx="709">
                  <c:v>3.2349999999999999</c:v>
                </c:pt>
                <c:pt idx="710">
                  <c:v>3.2349999999999999</c:v>
                </c:pt>
                <c:pt idx="711">
                  <c:v>3.2349999999999999</c:v>
                </c:pt>
                <c:pt idx="712">
                  <c:v>3.2349999999999999</c:v>
                </c:pt>
                <c:pt idx="713">
                  <c:v>3.2349999999999999</c:v>
                </c:pt>
                <c:pt idx="714">
                  <c:v>3.2349999999999999</c:v>
                </c:pt>
                <c:pt idx="715">
                  <c:v>3.2349999999999999</c:v>
                </c:pt>
                <c:pt idx="716">
                  <c:v>3.2349999999999999</c:v>
                </c:pt>
                <c:pt idx="717">
                  <c:v>3.2349999999999999</c:v>
                </c:pt>
                <c:pt idx="718">
                  <c:v>3.2349999999999999</c:v>
                </c:pt>
                <c:pt idx="719">
                  <c:v>3.2349999999999999</c:v>
                </c:pt>
                <c:pt idx="720">
                  <c:v>3.2349999999999999</c:v>
                </c:pt>
                <c:pt idx="721">
                  <c:v>3.2349999999999999</c:v>
                </c:pt>
                <c:pt idx="722">
                  <c:v>3.2349999999999999</c:v>
                </c:pt>
                <c:pt idx="723">
                  <c:v>3.2349999999999999</c:v>
                </c:pt>
                <c:pt idx="724">
                  <c:v>3.2349999999999999</c:v>
                </c:pt>
                <c:pt idx="725">
                  <c:v>3.2349999999999999</c:v>
                </c:pt>
                <c:pt idx="726">
                  <c:v>3.2349999999999999</c:v>
                </c:pt>
                <c:pt idx="727">
                  <c:v>3.2349999999999999</c:v>
                </c:pt>
                <c:pt idx="728">
                  <c:v>3.2349999999999999</c:v>
                </c:pt>
                <c:pt idx="729">
                  <c:v>3.2349999999999999</c:v>
                </c:pt>
                <c:pt idx="730">
                  <c:v>3.2349999999999999</c:v>
                </c:pt>
                <c:pt idx="731">
                  <c:v>3.2349999999999999</c:v>
                </c:pt>
                <c:pt idx="732">
                  <c:v>3.2349999999999999</c:v>
                </c:pt>
                <c:pt idx="733">
                  <c:v>3.2349999999999999</c:v>
                </c:pt>
                <c:pt idx="734">
                  <c:v>3.2349999999999999</c:v>
                </c:pt>
                <c:pt idx="735">
                  <c:v>3.2349999999999999</c:v>
                </c:pt>
                <c:pt idx="736">
                  <c:v>3.2349999999999999</c:v>
                </c:pt>
                <c:pt idx="737">
                  <c:v>3.2349999999999999</c:v>
                </c:pt>
                <c:pt idx="738">
                  <c:v>3.2349999999999999</c:v>
                </c:pt>
                <c:pt idx="739">
                  <c:v>3.2349999999999999</c:v>
                </c:pt>
                <c:pt idx="740">
                  <c:v>3.2349999999999999</c:v>
                </c:pt>
                <c:pt idx="741">
                  <c:v>3.2349999999999999</c:v>
                </c:pt>
                <c:pt idx="742">
                  <c:v>3.2349999999999999</c:v>
                </c:pt>
                <c:pt idx="743">
                  <c:v>3.2349999999999999</c:v>
                </c:pt>
                <c:pt idx="744">
                  <c:v>3.2349999999999999</c:v>
                </c:pt>
                <c:pt idx="745">
                  <c:v>3.2349999999999999</c:v>
                </c:pt>
                <c:pt idx="746">
                  <c:v>3.2349999999999999</c:v>
                </c:pt>
                <c:pt idx="747">
                  <c:v>3.2349999999999999</c:v>
                </c:pt>
                <c:pt idx="748">
                  <c:v>3.2349999999999999</c:v>
                </c:pt>
                <c:pt idx="749">
                  <c:v>3.2349999999999999</c:v>
                </c:pt>
                <c:pt idx="750">
                  <c:v>3.2349999999999999</c:v>
                </c:pt>
                <c:pt idx="751">
                  <c:v>3.2349999999999999</c:v>
                </c:pt>
                <c:pt idx="752">
                  <c:v>3.2349999999999999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'Low rate'!$Q$2</c:f>
              <c:strCache>
                <c:ptCount val="1"/>
                <c:pt idx="0">
                  <c:v>PMMS</c:v>
                </c:pt>
              </c:strCache>
            </c:strRef>
          </c:tx>
          <c:marker>
            <c:symbol val="none"/>
          </c:marker>
          <c:cat>
            <c:numRef>
              <c:f>'Low rate'!$N$3:$O$755</c:f>
              <c:numCache>
                <c:formatCode>m/d/yyyy</c:formatCode>
                <c:ptCount val="753"/>
                <c:pt idx="0">
                  <c:v>36896</c:v>
                </c:pt>
                <c:pt idx="1">
                  <c:v>36903</c:v>
                </c:pt>
                <c:pt idx="2">
                  <c:v>36910</c:v>
                </c:pt>
                <c:pt idx="3">
                  <c:v>36917</c:v>
                </c:pt>
                <c:pt idx="4">
                  <c:v>36924</c:v>
                </c:pt>
                <c:pt idx="5">
                  <c:v>36931</c:v>
                </c:pt>
                <c:pt idx="6">
                  <c:v>36938</c:v>
                </c:pt>
                <c:pt idx="7">
                  <c:v>36945</c:v>
                </c:pt>
                <c:pt idx="8">
                  <c:v>36952</c:v>
                </c:pt>
                <c:pt idx="9">
                  <c:v>36959</c:v>
                </c:pt>
                <c:pt idx="10">
                  <c:v>36966</c:v>
                </c:pt>
                <c:pt idx="11">
                  <c:v>36973</c:v>
                </c:pt>
                <c:pt idx="12">
                  <c:v>36980</c:v>
                </c:pt>
                <c:pt idx="13">
                  <c:v>36987</c:v>
                </c:pt>
                <c:pt idx="14">
                  <c:v>36994</c:v>
                </c:pt>
                <c:pt idx="15">
                  <c:v>37001</c:v>
                </c:pt>
                <c:pt idx="16">
                  <c:v>37008</c:v>
                </c:pt>
                <c:pt idx="17">
                  <c:v>37015</c:v>
                </c:pt>
                <c:pt idx="18">
                  <c:v>37022</c:v>
                </c:pt>
                <c:pt idx="19">
                  <c:v>37029</c:v>
                </c:pt>
                <c:pt idx="20">
                  <c:v>37036</c:v>
                </c:pt>
                <c:pt idx="21">
                  <c:v>37043</c:v>
                </c:pt>
                <c:pt idx="22">
                  <c:v>37050</c:v>
                </c:pt>
                <c:pt idx="23">
                  <c:v>37057</c:v>
                </c:pt>
                <c:pt idx="24">
                  <c:v>37064</c:v>
                </c:pt>
                <c:pt idx="25">
                  <c:v>37071</c:v>
                </c:pt>
                <c:pt idx="26">
                  <c:v>37078</c:v>
                </c:pt>
                <c:pt idx="27">
                  <c:v>37085</c:v>
                </c:pt>
                <c:pt idx="28">
                  <c:v>37092</c:v>
                </c:pt>
                <c:pt idx="29">
                  <c:v>37099</c:v>
                </c:pt>
                <c:pt idx="30">
                  <c:v>37106</c:v>
                </c:pt>
                <c:pt idx="31">
                  <c:v>37113</c:v>
                </c:pt>
                <c:pt idx="32">
                  <c:v>37120</c:v>
                </c:pt>
                <c:pt idx="33">
                  <c:v>37127</c:v>
                </c:pt>
                <c:pt idx="34">
                  <c:v>37134</c:v>
                </c:pt>
                <c:pt idx="35">
                  <c:v>37141</c:v>
                </c:pt>
                <c:pt idx="36">
                  <c:v>37148</c:v>
                </c:pt>
                <c:pt idx="37">
                  <c:v>37155</c:v>
                </c:pt>
                <c:pt idx="38">
                  <c:v>37162</c:v>
                </c:pt>
                <c:pt idx="39">
                  <c:v>37169</c:v>
                </c:pt>
                <c:pt idx="40">
                  <c:v>37176</c:v>
                </c:pt>
                <c:pt idx="41">
                  <c:v>37183</c:v>
                </c:pt>
                <c:pt idx="42">
                  <c:v>37190</c:v>
                </c:pt>
                <c:pt idx="43">
                  <c:v>37197</c:v>
                </c:pt>
                <c:pt idx="44">
                  <c:v>37204</c:v>
                </c:pt>
                <c:pt idx="45">
                  <c:v>37211</c:v>
                </c:pt>
                <c:pt idx="46">
                  <c:v>37218</c:v>
                </c:pt>
                <c:pt idx="47">
                  <c:v>37225</c:v>
                </c:pt>
                <c:pt idx="48">
                  <c:v>37232</c:v>
                </c:pt>
                <c:pt idx="49">
                  <c:v>37239</c:v>
                </c:pt>
                <c:pt idx="50">
                  <c:v>37246</c:v>
                </c:pt>
                <c:pt idx="51">
                  <c:v>37253</c:v>
                </c:pt>
                <c:pt idx="52">
                  <c:v>37260</c:v>
                </c:pt>
                <c:pt idx="53">
                  <c:v>37267</c:v>
                </c:pt>
                <c:pt idx="54">
                  <c:v>37274</c:v>
                </c:pt>
                <c:pt idx="55">
                  <c:v>37281</c:v>
                </c:pt>
                <c:pt idx="56">
                  <c:v>37288</c:v>
                </c:pt>
                <c:pt idx="57">
                  <c:v>37295</c:v>
                </c:pt>
                <c:pt idx="58">
                  <c:v>37302</c:v>
                </c:pt>
                <c:pt idx="59">
                  <c:v>37309</c:v>
                </c:pt>
                <c:pt idx="60">
                  <c:v>37316</c:v>
                </c:pt>
                <c:pt idx="61">
                  <c:v>37323</c:v>
                </c:pt>
                <c:pt idx="62">
                  <c:v>37330</c:v>
                </c:pt>
                <c:pt idx="63">
                  <c:v>37337</c:v>
                </c:pt>
                <c:pt idx="64">
                  <c:v>37344</c:v>
                </c:pt>
                <c:pt idx="65">
                  <c:v>37351</c:v>
                </c:pt>
                <c:pt idx="66">
                  <c:v>37358</c:v>
                </c:pt>
                <c:pt idx="67">
                  <c:v>37365</c:v>
                </c:pt>
                <c:pt idx="68">
                  <c:v>37372</c:v>
                </c:pt>
                <c:pt idx="69">
                  <c:v>37379</c:v>
                </c:pt>
                <c:pt idx="70">
                  <c:v>37386</c:v>
                </c:pt>
                <c:pt idx="71">
                  <c:v>37393</c:v>
                </c:pt>
                <c:pt idx="72">
                  <c:v>37400</c:v>
                </c:pt>
                <c:pt idx="73">
                  <c:v>37407</c:v>
                </c:pt>
                <c:pt idx="74">
                  <c:v>37414</c:v>
                </c:pt>
                <c:pt idx="75">
                  <c:v>37421</c:v>
                </c:pt>
                <c:pt idx="76">
                  <c:v>37428</c:v>
                </c:pt>
                <c:pt idx="77">
                  <c:v>37435</c:v>
                </c:pt>
                <c:pt idx="78">
                  <c:v>37442</c:v>
                </c:pt>
                <c:pt idx="79">
                  <c:v>37449</c:v>
                </c:pt>
                <c:pt idx="80">
                  <c:v>37456</c:v>
                </c:pt>
                <c:pt idx="81">
                  <c:v>37463</c:v>
                </c:pt>
                <c:pt idx="82">
                  <c:v>37470</c:v>
                </c:pt>
                <c:pt idx="83">
                  <c:v>37477</c:v>
                </c:pt>
                <c:pt idx="84">
                  <c:v>37484</c:v>
                </c:pt>
                <c:pt idx="85">
                  <c:v>37491</c:v>
                </c:pt>
                <c:pt idx="86">
                  <c:v>37498</c:v>
                </c:pt>
                <c:pt idx="87">
                  <c:v>37505</c:v>
                </c:pt>
                <c:pt idx="88">
                  <c:v>37512</c:v>
                </c:pt>
                <c:pt idx="89">
                  <c:v>37519</c:v>
                </c:pt>
                <c:pt idx="90">
                  <c:v>37526</c:v>
                </c:pt>
                <c:pt idx="91">
                  <c:v>37533</c:v>
                </c:pt>
                <c:pt idx="92">
                  <c:v>37540</c:v>
                </c:pt>
                <c:pt idx="93">
                  <c:v>37547</c:v>
                </c:pt>
                <c:pt idx="94">
                  <c:v>37554</c:v>
                </c:pt>
                <c:pt idx="95">
                  <c:v>37561</c:v>
                </c:pt>
                <c:pt idx="96">
                  <c:v>37568</c:v>
                </c:pt>
                <c:pt idx="97">
                  <c:v>37575</c:v>
                </c:pt>
                <c:pt idx="98">
                  <c:v>37582</c:v>
                </c:pt>
                <c:pt idx="99">
                  <c:v>37589</c:v>
                </c:pt>
                <c:pt idx="100">
                  <c:v>37596</c:v>
                </c:pt>
                <c:pt idx="101">
                  <c:v>37603</c:v>
                </c:pt>
                <c:pt idx="102">
                  <c:v>37610</c:v>
                </c:pt>
                <c:pt idx="103">
                  <c:v>37617</c:v>
                </c:pt>
                <c:pt idx="104">
                  <c:v>37624</c:v>
                </c:pt>
                <c:pt idx="105">
                  <c:v>37631</c:v>
                </c:pt>
                <c:pt idx="106">
                  <c:v>37638</c:v>
                </c:pt>
                <c:pt idx="107">
                  <c:v>37645</c:v>
                </c:pt>
                <c:pt idx="108">
                  <c:v>37652</c:v>
                </c:pt>
                <c:pt idx="109">
                  <c:v>37659</c:v>
                </c:pt>
                <c:pt idx="110">
                  <c:v>37666</c:v>
                </c:pt>
                <c:pt idx="111">
                  <c:v>37673</c:v>
                </c:pt>
                <c:pt idx="112">
                  <c:v>37680</c:v>
                </c:pt>
                <c:pt idx="113">
                  <c:v>37687</c:v>
                </c:pt>
                <c:pt idx="114">
                  <c:v>37694</c:v>
                </c:pt>
                <c:pt idx="115">
                  <c:v>37701</c:v>
                </c:pt>
                <c:pt idx="116">
                  <c:v>37708</c:v>
                </c:pt>
                <c:pt idx="117">
                  <c:v>37715</c:v>
                </c:pt>
                <c:pt idx="118">
                  <c:v>37722</c:v>
                </c:pt>
                <c:pt idx="119">
                  <c:v>37729</c:v>
                </c:pt>
                <c:pt idx="120">
                  <c:v>37736</c:v>
                </c:pt>
                <c:pt idx="121">
                  <c:v>37743</c:v>
                </c:pt>
                <c:pt idx="122">
                  <c:v>37750</c:v>
                </c:pt>
                <c:pt idx="123">
                  <c:v>37757</c:v>
                </c:pt>
                <c:pt idx="124">
                  <c:v>37764</c:v>
                </c:pt>
                <c:pt idx="125">
                  <c:v>37771</c:v>
                </c:pt>
                <c:pt idx="126">
                  <c:v>37778</c:v>
                </c:pt>
                <c:pt idx="127">
                  <c:v>37785</c:v>
                </c:pt>
                <c:pt idx="128">
                  <c:v>37792</c:v>
                </c:pt>
                <c:pt idx="129">
                  <c:v>37799</c:v>
                </c:pt>
                <c:pt idx="130">
                  <c:v>37806</c:v>
                </c:pt>
                <c:pt idx="131">
                  <c:v>37813</c:v>
                </c:pt>
                <c:pt idx="132">
                  <c:v>37820</c:v>
                </c:pt>
                <c:pt idx="133">
                  <c:v>37827</c:v>
                </c:pt>
                <c:pt idx="134">
                  <c:v>37834</c:v>
                </c:pt>
                <c:pt idx="135">
                  <c:v>37841</c:v>
                </c:pt>
                <c:pt idx="136">
                  <c:v>37848</c:v>
                </c:pt>
                <c:pt idx="137">
                  <c:v>37855</c:v>
                </c:pt>
                <c:pt idx="138">
                  <c:v>37862</c:v>
                </c:pt>
                <c:pt idx="139">
                  <c:v>37869</c:v>
                </c:pt>
                <c:pt idx="140">
                  <c:v>37876</c:v>
                </c:pt>
                <c:pt idx="141">
                  <c:v>37883</c:v>
                </c:pt>
                <c:pt idx="142">
                  <c:v>37890</c:v>
                </c:pt>
                <c:pt idx="143">
                  <c:v>37897</c:v>
                </c:pt>
                <c:pt idx="144">
                  <c:v>37904</c:v>
                </c:pt>
                <c:pt idx="145">
                  <c:v>37911</c:v>
                </c:pt>
                <c:pt idx="146">
                  <c:v>37918</c:v>
                </c:pt>
                <c:pt idx="147">
                  <c:v>37925</c:v>
                </c:pt>
                <c:pt idx="148">
                  <c:v>37932</c:v>
                </c:pt>
                <c:pt idx="149">
                  <c:v>37939</c:v>
                </c:pt>
                <c:pt idx="150">
                  <c:v>37946</c:v>
                </c:pt>
                <c:pt idx="151">
                  <c:v>37953</c:v>
                </c:pt>
                <c:pt idx="152">
                  <c:v>37960</c:v>
                </c:pt>
                <c:pt idx="153">
                  <c:v>37967</c:v>
                </c:pt>
                <c:pt idx="154">
                  <c:v>37974</c:v>
                </c:pt>
                <c:pt idx="155">
                  <c:v>37981</c:v>
                </c:pt>
                <c:pt idx="156">
                  <c:v>37986</c:v>
                </c:pt>
                <c:pt idx="157">
                  <c:v>37994</c:v>
                </c:pt>
                <c:pt idx="158">
                  <c:v>38001</c:v>
                </c:pt>
                <c:pt idx="159">
                  <c:v>38008</c:v>
                </c:pt>
                <c:pt idx="160">
                  <c:v>38015</c:v>
                </c:pt>
                <c:pt idx="161">
                  <c:v>38022</c:v>
                </c:pt>
                <c:pt idx="162">
                  <c:v>38029</c:v>
                </c:pt>
                <c:pt idx="163">
                  <c:v>38036</c:v>
                </c:pt>
                <c:pt idx="164">
                  <c:v>38043</c:v>
                </c:pt>
                <c:pt idx="165">
                  <c:v>38050</c:v>
                </c:pt>
                <c:pt idx="166">
                  <c:v>38057</c:v>
                </c:pt>
                <c:pt idx="167">
                  <c:v>38064</c:v>
                </c:pt>
                <c:pt idx="168">
                  <c:v>38071</c:v>
                </c:pt>
                <c:pt idx="169">
                  <c:v>38078</c:v>
                </c:pt>
                <c:pt idx="170">
                  <c:v>38085</c:v>
                </c:pt>
                <c:pt idx="171">
                  <c:v>38092</c:v>
                </c:pt>
                <c:pt idx="172">
                  <c:v>38099</c:v>
                </c:pt>
                <c:pt idx="173">
                  <c:v>38106</c:v>
                </c:pt>
                <c:pt idx="174">
                  <c:v>38113</c:v>
                </c:pt>
                <c:pt idx="175">
                  <c:v>38120</c:v>
                </c:pt>
                <c:pt idx="176">
                  <c:v>38127</c:v>
                </c:pt>
                <c:pt idx="177">
                  <c:v>38134</c:v>
                </c:pt>
                <c:pt idx="178">
                  <c:v>38141</c:v>
                </c:pt>
                <c:pt idx="179">
                  <c:v>38148</c:v>
                </c:pt>
                <c:pt idx="180">
                  <c:v>38155</c:v>
                </c:pt>
                <c:pt idx="181">
                  <c:v>38162</c:v>
                </c:pt>
                <c:pt idx="182">
                  <c:v>38169</c:v>
                </c:pt>
                <c:pt idx="183">
                  <c:v>38176</c:v>
                </c:pt>
                <c:pt idx="184">
                  <c:v>38183</c:v>
                </c:pt>
                <c:pt idx="185">
                  <c:v>38190</c:v>
                </c:pt>
                <c:pt idx="186">
                  <c:v>38197</c:v>
                </c:pt>
                <c:pt idx="187">
                  <c:v>38204</c:v>
                </c:pt>
                <c:pt idx="188">
                  <c:v>38211</c:v>
                </c:pt>
                <c:pt idx="189">
                  <c:v>38218</c:v>
                </c:pt>
                <c:pt idx="190">
                  <c:v>38225</c:v>
                </c:pt>
                <c:pt idx="191">
                  <c:v>38232</c:v>
                </c:pt>
                <c:pt idx="192">
                  <c:v>38239</c:v>
                </c:pt>
                <c:pt idx="193">
                  <c:v>38246</c:v>
                </c:pt>
                <c:pt idx="194">
                  <c:v>38253</c:v>
                </c:pt>
                <c:pt idx="195">
                  <c:v>38260</c:v>
                </c:pt>
                <c:pt idx="196">
                  <c:v>38267</c:v>
                </c:pt>
                <c:pt idx="197">
                  <c:v>38274</c:v>
                </c:pt>
                <c:pt idx="198">
                  <c:v>38281</c:v>
                </c:pt>
                <c:pt idx="199">
                  <c:v>38288</c:v>
                </c:pt>
                <c:pt idx="200">
                  <c:v>38295</c:v>
                </c:pt>
                <c:pt idx="201">
                  <c:v>38302</c:v>
                </c:pt>
                <c:pt idx="202">
                  <c:v>38309</c:v>
                </c:pt>
                <c:pt idx="203">
                  <c:v>38315</c:v>
                </c:pt>
                <c:pt idx="204">
                  <c:v>38323</c:v>
                </c:pt>
                <c:pt idx="205">
                  <c:v>38330</c:v>
                </c:pt>
                <c:pt idx="206">
                  <c:v>38337</c:v>
                </c:pt>
                <c:pt idx="207">
                  <c:v>38343</c:v>
                </c:pt>
                <c:pt idx="208">
                  <c:v>38350</c:v>
                </c:pt>
                <c:pt idx="209">
                  <c:v>38358</c:v>
                </c:pt>
                <c:pt idx="210">
                  <c:v>38365</c:v>
                </c:pt>
                <c:pt idx="211">
                  <c:v>38372</c:v>
                </c:pt>
                <c:pt idx="212">
                  <c:v>38379</c:v>
                </c:pt>
                <c:pt idx="213">
                  <c:v>38386</c:v>
                </c:pt>
                <c:pt idx="214">
                  <c:v>38393</c:v>
                </c:pt>
                <c:pt idx="215">
                  <c:v>38400</c:v>
                </c:pt>
                <c:pt idx="216">
                  <c:v>38407</c:v>
                </c:pt>
                <c:pt idx="217">
                  <c:v>38414</c:v>
                </c:pt>
                <c:pt idx="218">
                  <c:v>38421</c:v>
                </c:pt>
                <c:pt idx="219">
                  <c:v>38428</c:v>
                </c:pt>
                <c:pt idx="220">
                  <c:v>38435</c:v>
                </c:pt>
                <c:pt idx="221">
                  <c:v>38442</c:v>
                </c:pt>
                <c:pt idx="222">
                  <c:v>38449</c:v>
                </c:pt>
                <c:pt idx="223">
                  <c:v>38456</c:v>
                </c:pt>
                <c:pt idx="224">
                  <c:v>38463</c:v>
                </c:pt>
                <c:pt idx="225">
                  <c:v>38470</c:v>
                </c:pt>
                <c:pt idx="226">
                  <c:v>38477</c:v>
                </c:pt>
                <c:pt idx="227">
                  <c:v>38484</c:v>
                </c:pt>
                <c:pt idx="228">
                  <c:v>38491</c:v>
                </c:pt>
                <c:pt idx="229">
                  <c:v>38498</c:v>
                </c:pt>
                <c:pt idx="230">
                  <c:v>38505</c:v>
                </c:pt>
                <c:pt idx="231">
                  <c:v>38512</c:v>
                </c:pt>
                <c:pt idx="232">
                  <c:v>38519</c:v>
                </c:pt>
                <c:pt idx="233">
                  <c:v>38526</c:v>
                </c:pt>
                <c:pt idx="234">
                  <c:v>38533</c:v>
                </c:pt>
                <c:pt idx="235">
                  <c:v>38540</c:v>
                </c:pt>
                <c:pt idx="236">
                  <c:v>38547</c:v>
                </c:pt>
                <c:pt idx="237">
                  <c:v>38554</c:v>
                </c:pt>
                <c:pt idx="238">
                  <c:v>38561</c:v>
                </c:pt>
                <c:pt idx="239">
                  <c:v>38568</c:v>
                </c:pt>
                <c:pt idx="240">
                  <c:v>38575</c:v>
                </c:pt>
                <c:pt idx="241">
                  <c:v>38582</c:v>
                </c:pt>
                <c:pt idx="242">
                  <c:v>38589</c:v>
                </c:pt>
                <c:pt idx="243">
                  <c:v>38596</c:v>
                </c:pt>
                <c:pt idx="244">
                  <c:v>38603</c:v>
                </c:pt>
                <c:pt idx="245">
                  <c:v>38610</c:v>
                </c:pt>
                <c:pt idx="246">
                  <c:v>38617</c:v>
                </c:pt>
                <c:pt idx="247">
                  <c:v>38624</c:v>
                </c:pt>
                <c:pt idx="248">
                  <c:v>38631</c:v>
                </c:pt>
                <c:pt idx="249">
                  <c:v>38638</c:v>
                </c:pt>
                <c:pt idx="250">
                  <c:v>38645</c:v>
                </c:pt>
                <c:pt idx="251">
                  <c:v>38652</c:v>
                </c:pt>
                <c:pt idx="252">
                  <c:v>38659</c:v>
                </c:pt>
                <c:pt idx="253">
                  <c:v>38666</c:v>
                </c:pt>
                <c:pt idx="254">
                  <c:v>38673</c:v>
                </c:pt>
                <c:pt idx="255">
                  <c:v>38679</c:v>
                </c:pt>
                <c:pt idx="256">
                  <c:v>38687</c:v>
                </c:pt>
                <c:pt idx="257">
                  <c:v>38694</c:v>
                </c:pt>
                <c:pt idx="258">
                  <c:v>38701</c:v>
                </c:pt>
                <c:pt idx="259">
                  <c:v>38708</c:v>
                </c:pt>
                <c:pt idx="260">
                  <c:v>38715</c:v>
                </c:pt>
                <c:pt idx="261">
                  <c:v>38722</c:v>
                </c:pt>
                <c:pt idx="262">
                  <c:v>38729</c:v>
                </c:pt>
                <c:pt idx="263">
                  <c:v>38736</c:v>
                </c:pt>
                <c:pt idx="264">
                  <c:v>38743</c:v>
                </c:pt>
                <c:pt idx="265">
                  <c:v>38750</c:v>
                </c:pt>
                <c:pt idx="266">
                  <c:v>38757</c:v>
                </c:pt>
                <c:pt idx="267">
                  <c:v>38764</c:v>
                </c:pt>
                <c:pt idx="268">
                  <c:v>38771</c:v>
                </c:pt>
                <c:pt idx="269">
                  <c:v>38778</c:v>
                </c:pt>
                <c:pt idx="270">
                  <c:v>38785</c:v>
                </c:pt>
                <c:pt idx="271">
                  <c:v>38792</c:v>
                </c:pt>
                <c:pt idx="272">
                  <c:v>38799</c:v>
                </c:pt>
                <c:pt idx="273">
                  <c:v>38806</c:v>
                </c:pt>
                <c:pt idx="274">
                  <c:v>38813</c:v>
                </c:pt>
                <c:pt idx="275">
                  <c:v>38820</c:v>
                </c:pt>
                <c:pt idx="276">
                  <c:v>38827</c:v>
                </c:pt>
                <c:pt idx="277">
                  <c:v>38834</c:v>
                </c:pt>
                <c:pt idx="278">
                  <c:v>38841</c:v>
                </c:pt>
                <c:pt idx="279">
                  <c:v>38848</c:v>
                </c:pt>
                <c:pt idx="280">
                  <c:v>38855</c:v>
                </c:pt>
                <c:pt idx="281">
                  <c:v>38862</c:v>
                </c:pt>
                <c:pt idx="282">
                  <c:v>38869</c:v>
                </c:pt>
                <c:pt idx="283">
                  <c:v>38876</c:v>
                </c:pt>
                <c:pt idx="284">
                  <c:v>38883</c:v>
                </c:pt>
                <c:pt idx="285">
                  <c:v>38890</c:v>
                </c:pt>
                <c:pt idx="286">
                  <c:v>38897</c:v>
                </c:pt>
                <c:pt idx="287">
                  <c:v>38904</c:v>
                </c:pt>
                <c:pt idx="288">
                  <c:v>38911</c:v>
                </c:pt>
                <c:pt idx="289">
                  <c:v>38918</c:v>
                </c:pt>
                <c:pt idx="290">
                  <c:v>38925</c:v>
                </c:pt>
                <c:pt idx="291">
                  <c:v>38932</c:v>
                </c:pt>
                <c:pt idx="292">
                  <c:v>38939</c:v>
                </c:pt>
                <c:pt idx="293">
                  <c:v>38946</c:v>
                </c:pt>
                <c:pt idx="294">
                  <c:v>38953</c:v>
                </c:pt>
                <c:pt idx="295">
                  <c:v>38960</c:v>
                </c:pt>
                <c:pt idx="296">
                  <c:v>38967</c:v>
                </c:pt>
                <c:pt idx="297">
                  <c:v>38974</c:v>
                </c:pt>
                <c:pt idx="298">
                  <c:v>38981</c:v>
                </c:pt>
                <c:pt idx="299">
                  <c:v>38988</c:v>
                </c:pt>
                <c:pt idx="300">
                  <c:v>38995</c:v>
                </c:pt>
                <c:pt idx="301">
                  <c:v>39002</c:v>
                </c:pt>
                <c:pt idx="302">
                  <c:v>39009</c:v>
                </c:pt>
                <c:pt idx="303">
                  <c:v>39016</c:v>
                </c:pt>
                <c:pt idx="304">
                  <c:v>39023</c:v>
                </c:pt>
                <c:pt idx="305">
                  <c:v>39030</c:v>
                </c:pt>
                <c:pt idx="306">
                  <c:v>39037</c:v>
                </c:pt>
                <c:pt idx="307">
                  <c:v>39043</c:v>
                </c:pt>
                <c:pt idx="308">
                  <c:v>39051</c:v>
                </c:pt>
                <c:pt idx="309">
                  <c:v>39058</c:v>
                </c:pt>
                <c:pt idx="310">
                  <c:v>39065</c:v>
                </c:pt>
                <c:pt idx="311">
                  <c:v>39072</c:v>
                </c:pt>
                <c:pt idx="312">
                  <c:v>39079</c:v>
                </c:pt>
                <c:pt idx="313">
                  <c:v>39086</c:v>
                </c:pt>
                <c:pt idx="314">
                  <c:v>39093</c:v>
                </c:pt>
                <c:pt idx="315">
                  <c:v>39100</c:v>
                </c:pt>
                <c:pt idx="316">
                  <c:v>39107</c:v>
                </c:pt>
                <c:pt idx="317">
                  <c:v>39114</c:v>
                </c:pt>
                <c:pt idx="318">
                  <c:v>39121</c:v>
                </c:pt>
                <c:pt idx="319">
                  <c:v>39128</c:v>
                </c:pt>
                <c:pt idx="320">
                  <c:v>39135</c:v>
                </c:pt>
                <c:pt idx="321">
                  <c:v>39142</c:v>
                </c:pt>
                <c:pt idx="322">
                  <c:v>39149</c:v>
                </c:pt>
                <c:pt idx="323">
                  <c:v>39156</c:v>
                </c:pt>
                <c:pt idx="324">
                  <c:v>39163</c:v>
                </c:pt>
                <c:pt idx="325">
                  <c:v>39170</c:v>
                </c:pt>
                <c:pt idx="326">
                  <c:v>39177</c:v>
                </c:pt>
                <c:pt idx="327">
                  <c:v>39184</c:v>
                </c:pt>
                <c:pt idx="328">
                  <c:v>39191</c:v>
                </c:pt>
                <c:pt idx="329">
                  <c:v>39198</c:v>
                </c:pt>
                <c:pt idx="330">
                  <c:v>39205</c:v>
                </c:pt>
                <c:pt idx="331">
                  <c:v>39212</c:v>
                </c:pt>
                <c:pt idx="332">
                  <c:v>39219</c:v>
                </c:pt>
                <c:pt idx="333">
                  <c:v>39226</c:v>
                </c:pt>
                <c:pt idx="334">
                  <c:v>39233</c:v>
                </c:pt>
                <c:pt idx="335">
                  <c:v>39240</c:v>
                </c:pt>
                <c:pt idx="336">
                  <c:v>39247</c:v>
                </c:pt>
                <c:pt idx="337">
                  <c:v>39254</c:v>
                </c:pt>
                <c:pt idx="338">
                  <c:v>39261</c:v>
                </c:pt>
                <c:pt idx="339">
                  <c:v>39268</c:v>
                </c:pt>
                <c:pt idx="340">
                  <c:v>39275</c:v>
                </c:pt>
                <c:pt idx="341">
                  <c:v>39282</c:v>
                </c:pt>
                <c:pt idx="342">
                  <c:v>39289</c:v>
                </c:pt>
                <c:pt idx="343">
                  <c:v>39296</c:v>
                </c:pt>
                <c:pt idx="344">
                  <c:v>39303</c:v>
                </c:pt>
                <c:pt idx="345">
                  <c:v>39310</c:v>
                </c:pt>
                <c:pt idx="346">
                  <c:v>39317</c:v>
                </c:pt>
                <c:pt idx="347">
                  <c:v>39324</c:v>
                </c:pt>
                <c:pt idx="348">
                  <c:v>39331</c:v>
                </c:pt>
                <c:pt idx="349">
                  <c:v>39338</c:v>
                </c:pt>
                <c:pt idx="350">
                  <c:v>39345</c:v>
                </c:pt>
                <c:pt idx="351">
                  <c:v>39352</c:v>
                </c:pt>
                <c:pt idx="352">
                  <c:v>39359</c:v>
                </c:pt>
                <c:pt idx="353">
                  <c:v>39366</c:v>
                </c:pt>
                <c:pt idx="354">
                  <c:v>39373</c:v>
                </c:pt>
                <c:pt idx="355">
                  <c:v>39380</c:v>
                </c:pt>
                <c:pt idx="356">
                  <c:v>39387</c:v>
                </c:pt>
                <c:pt idx="357">
                  <c:v>39394</c:v>
                </c:pt>
                <c:pt idx="358">
                  <c:v>39401</c:v>
                </c:pt>
                <c:pt idx="359">
                  <c:v>39407</c:v>
                </c:pt>
                <c:pt idx="360">
                  <c:v>39415</c:v>
                </c:pt>
                <c:pt idx="361">
                  <c:v>39422</c:v>
                </c:pt>
                <c:pt idx="362">
                  <c:v>39429</c:v>
                </c:pt>
                <c:pt idx="363">
                  <c:v>39436</c:v>
                </c:pt>
                <c:pt idx="364">
                  <c:v>39443</c:v>
                </c:pt>
                <c:pt idx="365">
                  <c:v>39450</c:v>
                </c:pt>
                <c:pt idx="366">
                  <c:v>39457</c:v>
                </c:pt>
                <c:pt idx="367">
                  <c:v>39464</c:v>
                </c:pt>
                <c:pt idx="368">
                  <c:v>39471</c:v>
                </c:pt>
                <c:pt idx="369">
                  <c:v>39478</c:v>
                </c:pt>
                <c:pt idx="370">
                  <c:v>39485</c:v>
                </c:pt>
                <c:pt idx="371">
                  <c:v>39492</c:v>
                </c:pt>
                <c:pt idx="372">
                  <c:v>39499</c:v>
                </c:pt>
                <c:pt idx="373">
                  <c:v>39506</c:v>
                </c:pt>
                <c:pt idx="374">
                  <c:v>39513</c:v>
                </c:pt>
                <c:pt idx="375">
                  <c:v>39520</c:v>
                </c:pt>
                <c:pt idx="376">
                  <c:v>39527</c:v>
                </c:pt>
                <c:pt idx="377">
                  <c:v>39534</c:v>
                </c:pt>
                <c:pt idx="378">
                  <c:v>39541</c:v>
                </c:pt>
                <c:pt idx="379">
                  <c:v>39548</c:v>
                </c:pt>
                <c:pt idx="380">
                  <c:v>39555</c:v>
                </c:pt>
                <c:pt idx="381">
                  <c:v>39562</c:v>
                </c:pt>
                <c:pt idx="382">
                  <c:v>39569</c:v>
                </c:pt>
                <c:pt idx="383">
                  <c:v>39576</c:v>
                </c:pt>
                <c:pt idx="384">
                  <c:v>39583</c:v>
                </c:pt>
                <c:pt idx="385">
                  <c:v>39590</c:v>
                </c:pt>
                <c:pt idx="386">
                  <c:v>39597</c:v>
                </c:pt>
                <c:pt idx="387">
                  <c:v>39604</c:v>
                </c:pt>
                <c:pt idx="388">
                  <c:v>39611</c:v>
                </c:pt>
                <c:pt idx="389">
                  <c:v>39618</c:v>
                </c:pt>
                <c:pt idx="390">
                  <c:v>39625</c:v>
                </c:pt>
                <c:pt idx="391">
                  <c:v>39632</c:v>
                </c:pt>
                <c:pt idx="392">
                  <c:v>39639</c:v>
                </c:pt>
                <c:pt idx="393">
                  <c:v>39646</c:v>
                </c:pt>
                <c:pt idx="394">
                  <c:v>39653</c:v>
                </c:pt>
                <c:pt idx="395">
                  <c:v>39660</c:v>
                </c:pt>
                <c:pt idx="396">
                  <c:v>39667</c:v>
                </c:pt>
                <c:pt idx="397">
                  <c:v>39674</c:v>
                </c:pt>
                <c:pt idx="398">
                  <c:v>39681</c:v>
                </c:pt>
                <c:pt idx="399">
                  <c:v>39688</c:v>
                </c:pt>
                <c:pt idx="400">
                  <c:v>39695</c:v>
                </c:pt>
                <c:pt idx="401">
                  <c:v>39702</c:v>
                </c:pt>
                <c:pt idx="402">
                  <c:v>39709</c:v>
                </c:pt>
                <c:pt idx="403">
                  <c:v>39716</c:v>
                </c:pt>
                <c:pt idx="404">
                  <c:v>39723</c:v>
                </c:pt>
                <c:pt idx="405">
                  <c:v>39730</c:v>
                </c:pt>
                <c:pt idx="406">
                  <c:v>39737</c:v>
                </c:pt>
                <c:pt idx="407">
                  <c:v>39744</c:v>
                </c:pt>
                <c:pt idx="408">
                  <c:v>39751</c:v>
                </c:pt>
                <c:pt idx="409">
                  <c:v>39758</c:v>
                </c:pt>
                <c:pt idx="410">
                  <c:v>39765</c:v>
                </c:pt>
                <c:pt idx="411">
                  <c:v>39772</c:v>
                </c:pt>
                <c:pt idx="412">
                  <c:v>39778</c:v>
                </c:pt>
                <c:pt idx="413">
                  <c:v>39786</c:v>
                </c:pt>
                <c:pt idx="414">
                  <c:v>39793</c:v>
                </c:pt>
                <c:pt idx="415">
                  <c:v>39800</c:v>
                </c:pt>
                <c:pt idx="416">
                  <c:v>39806</c:v>
                </c:pt>
                <c:pt idx="417">
                  <c:v>39813</c:v>
                </c:pt>
                <c:pt idx="418">
                  <c:v>39821</c:v>
                </c:pt>
                <c:pt idx="419">
                  <c:v>39828</c:v>
                </c:pt>
                <c:pt idx="420">
                  <c:v>39835</c:v>
                </c:pt>
                <c:pt idx="421">
                  <c:v>39842</c:v>
                </c:pt>
                <c:pt idx="422">
                  <c:v>39849</c:v>
                </c:pt>
                <c:pt idx="423">
                  <c:v>39856</c:v>
                </c:pt>
                <c:pt idx="424">
                  <c:v>39863</c:v>
                </c:pt>
                <c:pt idx="425">
                  <c:v>39870</c:v>
                </c:pt>
                <c:pt idx="426">
                  <c:v>39877</c:v>
                </c:pt>
                <c:pt idx="427">
                  <c:v>39884</c:v>
                </c:pt>
                <c:pt idx="428">
                  <c:v>39891</c:v>
                </c:pt>
                <c:pt idx="429">
                  <c:v>39898</c:v>
                </c:pt>
                <c:pt idx="430">
                  <c:v>39905</c:v>
                </c:pt>
                <c:pt idx="431">
                  <c:v>39912</c:v>
                </c:pt>
                <c:pt idx="432">
                  <c:v>39919</c:v>
                </c:pt>
                <c:pt idx="433">
                  <c:v>39926</c:v>
                </c:pt>
                <c:pt idx="434">
                  <c:v>39933</c:v>
                </c:pt>
                <c:pt idx="435">
                  <c:v>39940</c:v>
                </c:pt>
                <c:pt idx="436">
                  <c:v>39947</c:v>
                </c:pt>
                <c:pt idx="437">
                  <c:v>39954</c:v>
                </c:pt>
                <c:pt idx="438">
                  <c:v>39961</c:v>
                </c:pt>
                <c:pt idx="439">
                  <c:v>39968</c:v>
                </c:pt>
                <c:pt idx="440">
                  <c:v>39975</c:v>
                </c:pt>
                <c:pt idx="441">
                  <c:v>39982</c:v>
                </c:pt>
                <c:pt idx="442">
                  <c:v>39989</c:v>
                </c:pt>
                <c:pt idx="443">
                  <c:v>39996</c:v>
                </c:pt>
                <c:pt idx="444">
                  <c:v>40003</c:v>
                </c:pt>
                <c:pt idx="445">
                  <c:v>40010</c:v>
                </c:pt>
                <c:pt idx="446">
                  <c:v>40017</c:v>
                </c:pt>
                <c:pt idx="447">
                  <c:v>40024</c:v>
                </c:pt>
                <c:pt idx="448">
                  <c:v>40031</c:v>
                </c:pt>
                <c:pt idx="449">
                  <c:v>40038</c:v>
                </c:pt>
                <c:pt idx="450">
                  <c:v>40045</c:v>
                </c:pt>
                <c:pt idx="451">
                  <c:v>40052</c:v>
                </c:pt>
                <c:pt idx="452">
                  <c:v>40059</c:v>
                </c:pt>
                <c:pt idx="453">
                  <c:v>40066</c:v>
                </c:pt>
                <c:pt idx="454">
                  <c:v>40073</c:v>
                </c:pt>
                <c:pt idx="455">
                  <c:v>40080</c:v>
                </c:pt>
                <c:pt idx="456">
                  <c:v>40087</c:v>
                </c:pt>
                <c:pt idx="457">
                  <c:v>40094</c:v>
                </c:pt>
                <c:pt idx="458">
                  <c:v>40101</c:v>
                </c:pt>
                <c:pt idx="459">
                  <c:v>40108</c:v>
                </c:pt>
                <c:pt idx="460">
                  <c:v>40115</c:v>
                </c:pt>
                <c:pt idx="461">
                  <c:v>40122</c:v>
                </c:pt>
                <c:pt idx="462">
                  <c:v>40129</c:v>
                </c:pt>
                <c:pt idx="463">
                  <c:v>40136</c:v>
                </c:pt>
                <c:pt idx="464">
                  <c:v>40142</c:v>
                </c:pt>
                <c:pt idx="465">
                  <c:v>40150</c:v>
                </c:pt>
                <c:pt idx="466">
                  <c:v>40157</c:v>
                </c:pt>
                <c:pt idx="467">
                  <c:v>40164</c:v>
                </c:pt>
                <c:pt idx="468">
                  <c:v>40171</c:v>
                </c:pt>
                <c:pt idx="469">
                  <c:v>40178</c:v>
                </c:pt>
                <c:pt idx="470">
                  <c:v>40185</c:v>
                </c:pt>
                <c:pt idx="471">
                  <c:v>40192</c:v>
                </c:pt>
                <c:pt idx="472">
                  <c:v>40199</c:v>
                </c:pt>
                <c:pt idx="473">
                  <c:v>40206</c:v>
                </c:pt>
                <c:pt idx="474">
                  <c:v>40213</c:v>
                </c:pt>
                <c:pt idx="475">
                  <c:v>40220</c:v>
                </c:pt>
                <c:pt idx="476">
                  <c:v>40227</c:v>
                </c:pt>
                <c:pt idx="477">
                  <c:v>40234</c:v>
                </c:pt>
                <c:pt idx="478">
                  <c:v>40241</c:v>
                </c:pt>
                <c:pt idx="479">
                  <c:v>40248</c:v>
                </c:pt>
                <c:pt idx="480">
                  <c:v>40255</c:v>
                </c:pt>
                <c:pt idx="481">
                  <c:v>40262</c:v>
                </c:pt>
                <c:pt idx="482">
                  <c:v>40269</c:v>
                </c:pt>
                <c:pt idx="483">
                  <c:v>40276</c:v>
                </c:pt>
                <c:pt idx="484">
                  <c:v>40283</c:v>
                </c:pt>
                <c:pt idx="485">
                  <c:v>40290</c:v>
                </c:pt>
                <c:pt idx="486">
                  <c:v>40297</c:v>
                </c:pt>
                <c:pt idx="487">
                  <c:v>40304</c:v>
                </c:pt>
                <c:pt idx="488">
                  <c:v>40311</c:v>
                </c:pt>
                <c:pt idx="489">
                  <c:v>40318</c:v>
                </c:pt>
                <c:pt idx="490">
                  <c:v>40325</c:v>
                </c:pt>
                <c:pt idx="491">
                  <c:v>40332</c:v>
                </c:pt>
                <c:pt idx="492">
                  <c:v>40339</c:v>
                </c:pt>
                <c:pt idx="493">
                  <c:v>40346</c:v>
                </c:pt>
                <c:pt idx="494">
                  <c:v>40353</c:v>
                </c:pt>
                <c:pt idx="495">
                  <c:v>40360</c:v>
                </c:pt>
                <c:pt idx="496">
                  <c:v>40367</c:v>
                </c:pt>
                <c:pt idx="497">
                  <c:v>40374</c:v>
                </c:pt>
                <c:pt idx="498">
                  <c:v>40381</c:v>
                </c:pt>
                <c:pt idx="499">
                  <c:v>40388</c:v>
                </c:pt>
                <c:pt idx="500">
                  <c:v>40395</c:v>
                </c:pt>
                <c:pt idx="501">
                  <c:v>40402</c:v>
                </c:pt>
                <c:pt idx="502">
                  <c:v>40409</c:v>
                </c:pt>
                <c:pt idx="503">
                  <c:v>40416</c:v>
                </c:pt>
                <c:pt idx="504">
                  <c:v>40423</c:v>
                </c:pt>
                <c:pt idx="505">
                  <c:v>40430</c:v>
                </c:pt>
                <c:pt idx="506">
                  <c:v>40437</c:v>
                </c:pt>
                <c:pt idx="507">
                  <c:v>40444</c:v>
                </c:pt>
                <c:pt idx="508">
                  <c:v>40451</c:v>
                </c:pt>
                <c:pt idx="509">
                  <c:v>40458</c:v>
                </c:pt>
                <c:pt idx="510">
                  <c:v>40465</c:v>
                </c:pt>
                <c:pt idx="511">
                  <c:v>40472</c:v>
                </c:pt>
                <c:pt idx="512">
                  <c:v>40479</c:v>
                </c:pt>
                <c:pt idx="513">
                  <c:v>40486</c:v>
                </c:pt>
                <c:pt idx="514">
                  <c:v>40493</c:v>
                </c:pt>
                <c:pt idx="515">
                  <c:v>40500</c:v>
                </c:pt>
                <c:pt idx="516">
                  <c:v>40506</c:v>
                </c:pt>
                <c:pt idx="517">
                  <c:v>40514</c:v>
                </c:pt>
                <c:pt idx="518">
                  <c:v>40521</c:v>
                </c:pt>
                <c:pt idx="519">
                  <c:v>40528</c:v>
                </c:pt>
                <c:pt idx="520">
                  <c:v>40535</c:v>
                </c:pt>
                <c:pt idx="521">
                  <c:v>40542</c:v>
                </c:pt>
                <c:pt idx="522">
                  <c:v>40549</c:v>
                </c:pt>
                <c:pt idx="523">
                  <c:v>40556</c:v>
                </c:pt>
                <c:pt idx="524">
                  <c:v>40563</c:v>
                </c:pt>
                <c:pt idx="525">
                  <c:v>40570</c:v>
                </c:pt>
                <c:pt idx="526">
                  <c:v>40577</c:v>
                </c:pt>
                <c:pt idx="527">
                  <c:v>40584</c:v>
                </c:pt>
                <c:pt idx="528">
                  <c:v>40591</c:v>
                </c:pt>
                <c:pt idx="529">
                  <c:v>40598</c:v>
                </c:pt>
                <c:pt idx="530">
                  <c:v>40605</c:v>
                </c:pt>
                <c:pt idx="531">
                  <c:v>40612</c:v>
                </c:pt>
                <c:pt idx="532">
                  <c:v>40619</c:v>
                </c:pt>
                <c:pt idx="533">
                  <c:v>40626</c:v>
                </c:pt>
                <c:pt idx="534">
                  <c:v>40633</c:v>
                </c:pt>
                <c:pt idx="535">
                  <c:v>40640</c:v>
                </c:pt>
                <c:pt idx="536">
                  <c:v>40647</c:v>
                </c:pt>
                <c:pt idx="537">
                  <c:v>40654</c:v>
                </c:pt>
                <c:pt idx="538">
                  <c:v>40661</c:v>
                </c:pt>
                <c:pt idx="539">
                  <c:v>40668</c:v>
                </c:pt>
                <c:pt idx="540">
                  <c:v>40675</c:v>
                </c:pt>
                <c:pt idx="541">
                  <c:v>40682</c:v>
                </c:pt>
                <c:pt idx="542">
                  <c:v>40689</c:v>
                </c:pt>
                <c:pt idx="543">
                  <c:v>40696</c:v>
                </c:pt>
                <c:pt idx="544">
                  <c:v>40703</c:v>
                </c:pt>
                <c:pt idx="545">
                  <c:v>40710</c:v>
                </c:pt>
                <c:pt idx="546">
                  <c:v>40717</c:v>
                </c:pt>
                <c:pt idx="547">
                  <c:v>40724</c:v>
                </c:pt>
                <c:pt idx="548">
                  <c:v>40731</c:v>
                </c:pt>
                <c:pt idx="549">
                  <c:v>40738</c:v>
                </c:pt>
                <c:pt idx="550">
                  <c:v>40745</c:v>
                </c:pt>
                <c:pt idx="551">
                  <c:v>40752</c:v>
                </c:pt>
                <c:pt idx="552">
                  <c:v>40759</c:v>
                </c:pt>
                <c:pt idx="553">
                  <c:v>40766</c:v>
                </c:pt>
                <c:pt idx="554">
                  <c:v>40773</c:v>
                </c:pt>
                <c:pt idx="555">
                  <c:v>40780</c:v>
                </c:pt>
                <c:pt idx="556">
                  <c:v>40787</c:v>
                </c:pt>
                <c:pt idx="557">
                  <c:v>40794</c:v>
                </c:pt>
                <c:pt idx="558">
                  <c:v>40801</c:v>
                </c:pt>
                <c:pt idx="559">
                  <c:v>40808</c:v>
                </c:pt>
                <c:pt idx="560">
                  <c:v>40815</c:v>
                </c:pt>
                <c:pt idx="561">
                  <c:v>40822</c:v>
                </c:pt>
                <c:pt idx="562">
                  <c:v>40829</c:v>
                </c:pt>
                <c:pt idx="563">
                  <c:v>40836</c:v>
                </c:pt>
                <c:pt idx="564">
                  <c:v>40843</c:v>
                </c:pt>
                <c:pt idx="565">
                  <c:v>40850</c:v>
                </c:pt>
                <c:pt idx="566">
                  <c:v>40857</c:v>
                </c:pt>
                <c:pt idx="567">
                  <c:v>40864</c:v>
                </c:pt>
                <c:pt idx="568">
                  <c:v>40870</c:v>
                </c:pt>
                <c:pt idx="569">
                  <c:v>40878</c:v>
                </c:pt>
                <c:pt idx="570">
                  <c:v>40885</c:v>
                </c:pt>
                <c:pt idx="571">
                  <c:v>40892</c:v>
                </c:pt>
                <c:pt idx="572">
                  <c:v>40899</c:v>
                </c:pt>
                <c:pt idx="573">
                  <c:v>40906</c:v>
                </c:pt>
                <c:pt idx="574">
                  <c:v>40913</c:v>
                </c:pt>
                <c:pt idx="575">
                  <c:v>40920</c:v>
                </c:pt>
                <c:pt idx="576">
                  <c:v>40927</c:v>
                </c:pt>
                <c:pt idx="577">
                  <c:v>40934</c:v>
                </c:pt>
                <c:pt idx="578">
                  <c:v>40941</c:v>
                </c:pt>
                <c:pt idx="579">
                  <c:v>40948</c:v>
                </c:pt>
                <c:pt idx="580">
                  <c:v>40955</c:v>
                </c:pt>
                <c:pt idx="581">
                  <c:v>40962</c:v>
                </c:pt>
                <c:pt idx="582">
                  <c:v>40969</c:v>
                </c:pt>
                <c:pt idx="583">
                  <c:v>40976</c:v>
                </c:pt>
                <c:pt idx="584">
                  <c:v>40983</c:v>
                </c:pt>
                <c:pt idx="585">
                  <c:v>40990</c:v>
                </c:pt>
                <c:pt idx="586">
                  <c:v>40997</c:v>
                </c:pt>
                <c:pt idx="587">
                  <c:v>41004</c:v>
                </c:pt>
                <c:pt idx="588">
                  <c:v>41011</c:v>
                </c:pt>
                <c:pt idx="589">
                  <c:v>41018</c:v>
                </c:pt>
                <c:pt idx="590">
                  <c:v>41025</c:v>
                </c:pt>
                <c:pt idx="591">
                  <c:v>41032</c:v>
                </c:pt>
                <c:pt idx="592">
                  <c:v>41039</c:v>
                </c:pt>
                <c:pt idx="593">
                  <c:v>41046</c:v>
                </c:pt>
                <c:pt idx="594">
                  <c:v>41053</c:v>
                </c:pt>
                <c:pt idx="595">
                  <c:v>41060</c:v>
                </c:pt>
                <c:pt idx="596">
                  <c:v>41067</c:v>
                </c:pt>
                <c:pt idx="597">
                  <c:v>41074</c:v>
                </c:pt>
                <c:pt idx="598">
                  <c:v>41081</c:v>
                </c:pt>
                <c:pt idx="599">
                  <c:v>41088</c:v>
                </c:pt>
                <c:pt idx="600">
                  <c:v>41095</c:v>
                </c:pt>
                <c:pt idx="601">
                  <c:v>41102</c:v>
                </c:pt>
                <c:pt idx="602">
                  <c:v>41109</c:v>
                </c:pt>
                <c:pt idx="603">
                  <c:v>41116</c:v>
                </c:pt>
                <c:pt idx="604">
                  <c:v>41123</c:v>
                </c:pt>
                <c:pt idx="605">
                  <c:v>41130</c:v>
                </c:pt>
                <c:pt idx="606">
                  <c:v>41137</c:v>
                </c:pt>
                <c:pt idx="607">
                  <c:v>41144</c:v>
                </c:pt>
                <c:pt idx="608">
                  <c:v>41151</c:v>
                </c:pt>
                <c:pt idx="609">
                  <c:v>41158</c:v>
                </c:pt>
                <c:pt idx="610">
                  <c:v>41165</c:v>
                </c:pt>
                <c:pt idx="611">
                  <c:v>41172</c:v>
                </c:pt>
                <c:pt idx="612">
                  <c:v>41179</c:v>
                </c:pt>
                <c:pt idx="613">
                  <c:v>41186</c:v>
                </c:pt>
                <c:pt idx="614">
                  <c:v>41193</c:v>
                </c:pt>
                <c:pt idx="615">
                  <c:v>41200</c:v>
                </c:pt>
                <c:pt idx="616">
                  <c:v>41207</c:v>
                </c:pt>
                <c:pt idx="617">
                  <c:v>41214</c:v>
                </c:pt>
                <c:pt idx="618">
                  <c:v>41221</c:v>
                </c:pt>
                <c:pt idx="619">
                  <c:v>41228</c:v>
                </c:pt>
                <c:pt idx="620">
                  <c:v>41234</c:v>
                </c:pt>
                <c:pt idx="621">
                  <c:v>41242</c:v>
                </c:pt>
                <c:pt idx="622">
                  <c:v>41249</c:v>
                </c:pt>
                <c:pt idx="623">
                  <c:v>41256</c:v>
                </c:pt>
                <c:pt idx="624">
                  <c:v>41263</c:v>
                </c:pt>
                <c:pt idx="625">
                  <c:v>41270</c:v>
                </c:pt>
                <c:pt idx="626">
                  <c:v>41277</c:v>
                </c:pt>
                <c:pt idx="627">
                  <c:v>41284</c:v>
                </c:pt>
                <c:pt idx="628">
                  <c:v>41291</c:v>
                </c:pt>
                <c:pt idx="629">
                  <c:v>41298</c:v>
                </c:pt>
                <c:pt idx="630">
                  <c:v>41305</c:v>
                </c:pt>
                <c:pt idx="631">
                  <c:v>41312</c:v>
                </c:pt>
                <c:pt idx="632">
                  <c:v>41319</c:v>
                </c:pt>
                <c:pt idx="633">
                  <c:v>41326</c:v>
                </c:pt>
                <c:pt idx="634">
                  <c:v>41333</c:v>
                </c:pt>
                <c:pt idx="635">
                  <c:v>41340</c:v>
                </c:pt>
                <c:pt idx="636">
                  <c:v>41347</c:v>
                </c:pt>
                <c:pt idx="637">
                  <c:v>41354</c:v>
                </c:pt>
                <c:pt idx="638">
                  <c:v>41361</c:v>
                </c:pt>
                <c:pt idx="639">
                  <c:v>41368</c:v>
                </c:pt>
                <c:pt idx="640">
                  <c:v>41375</c:v>
                </c:pt>
                <c:pt idx="641">
                  <c:v>41382</c:v>
                </c:pt>
                <c:pt idx="642">
                  <c:v>41389</c:v>
                </c:pt>
                <c:pt idx="643">
                  <c:v>41396</c:v>
                </c:pt>
                <c:pt idx="644">
                  <c:v>41403</c:v>
                </c:pt>
                <c:pt idx="645">
                  <c:v>41410</c:v>
                </c:pt>
                <c:pt idx="646">
                  <c:v>41417</c:v>
                </c:pt>
                <c:pt idx="647">
                  <c:v>41424</c:v>
                </c:pt>
                <c:pt idx="648">
                  <c:v>41431</c:v>
                </c:pt>
                <c:pt idx="649">
                  <c:v>41438</c:v>
                </c:pt>
                <c:pt idx="650">
                  <c:v>41445</c:v>
                </c:pt>
                <c:pt idx="651">
                  <c:v>41452</c:v>
                </c:pt>
                <c:pt idx="652">
                  <c:v>41458</c:v>
                </c:pt>
                <c:pt idx="653">
                  <c:v>41466</c:v>
                </c:pt>
                <c:pt idx="654">
                  <c:v>41473</c:v>
                </c:pt>
                <c:pt idx="655">
                  <c:v>41480</c:v>
                </c:pt>
                <c:pt idx="656">
                  <c:v>41487</c:v>
                </c:pt>
                <c:pt idx="657">
                  <c:v>41494</c:v>
                </c:pt>
                <c:pt idx="658">
                  <c:v>41501</c:v>
                </c:pt>
                <c:pt idx="659">
                  <c:v>41508</c:v>
                </c:pt>
                <c:pt idx="660">
                  <c:v>41515</c:v>
                </c:pt>
                <c:pt idx="661">
                  <c:v>41522</c:v>
                </c:pt>
                <c:pt idx="662">
                  <c:v>41529</c:v>
                </c:pt>
                <c:pt idx="663">
                  <c:v>41536</c:v>
                </c:pt>
                <c:pt idx="664">
                  <c:v>41543</c:v>
                </c:pt>
                <c:pt idx="665">
                  <c:v>41550</c:v>
                </c:pt>
                <c:pt idx="666">
                  <c:v>41557</c:v>
                </c:pt>
                <c:pt idx="667">
                  <c:v>41564</c:v>
                </c:pt>
                <c:pt idx="668">
                  <c:v>41571</c:v>
                </c:pt>
                <c:pt idx="669">
                  <c:v>41578</c:v>
                </c:pt>
                <c:pt idx="670">
                  <c:v>41585</c:v>
                </c:pt>
                <c:pt idx="671">
                  <c:v>41592</c:v>
                </c:pt>
                <c:pt idx="672">
                  <c:v>41599</c:v>
                </c:pt>
                <c:pt idx="673">
                  <c:v>41605</c:v>
                </c:pt>
                <c:pt idx="674">
                  <c:v>41613</c:v>
                </c:pt>
                <c:pt idx="675">
                  <c:v>41620</c:v>
                </c:pt>
                <c:pt idx="676">
                  <c:v>41627</c:v>
                </c:pt>
                <c:pt idx="677">
                  <c:v>41634</c:v>
                </c:pt>
                <c:pt idx="678">
                  <c:v>41641</c:v>
                </c:pt>
                <c:pt idx="679">
                  <c:v>41648</c:v>
                </c:pt>
                <c:pt idx="680">
                  <c:v>41655</c:v>
                </c:pt>
                <c:pt idx="681">
                  <c:v>41662</c:v>
                </c:pt>
                <c:pt idx="682">
                  <c:v>41669</c:v>
                </c:pt>
                <c:pt idx="683">
                  <c:v>41676</c:v>
                </c:pt>
                <c:pt idx="684">
                  <c:v>41683</c:v>
                </c:pt>
                <c:pt idx="685">
                  <c:v>41690</c:v>
                </c:pt>
                <c:pt idx="686">
                  <c:v>41697</c:v>
                </c:pt>
                <c:pt idx="687">
                  <c:v>41704</c:v>
                </c:pt>
                <c:pt idx="688">
                  <c:v>41711</c:v>
                </c:pt>
                <c:pt idx="689">
                  <c:v>41718</c:v>
                </c:pt>
                <c:pt idx="690">
                  <c:v>41725</c:v>
                </c:pt>
                <c:pt idx="691">
                  <c:v>41732</c:v>
                </c:pt>
                <c:pt idx="692">
                  <c:v>41739</c:v>
                </c:pt>
                <c:pt idx="693">
                  <c:v>41746</c:v>
                </c:pt>
                <c:pt idx="694">
                  <c:v>41753</c:v>
                </c:pt>
                <c:pt idx="695">
                  <c:v>41760</c:v>
                </c:pt>
                <c:pt idx="696">
                  <c:v>41767</c:v>
                </c:pt>
                <c:pt idx="697">
                  <c:v>41774</c:v>
                </c:pt>
                <c:pt idx="698">
                  <c:v>41781</c:v>
                </c:pt>
                <c:pt idx="699">
                  <c:v>41788</c:v>
                </c:pt>
                <c:pt idx="700">
                  <c:v>41795</c:v>
                </c:pt>
                <c:pt idx="701">
                  <c:v>41802</c:v>
                </c:pt>
                <c:pt idx="702">
                  <c:v>41809</c:v>
                </c:pt>
                <c:pt idx="703">
                  <c:v>41816</c:v>
                </c:pt>
                <c:pt idx="704">
                  <c:v>41823</c:v>
                </c:pt>
                <c:pt idx="705">
                  <c:v>41830</c:v>
                </c:pt>
                <c:pt idx="706">
                  <c:v>41837</c:v>
                </c:pt>
                <c:pt idx="707">
                  <c:v>41844</c:v>
                </c:pt>
                <c:pt idx="708">
                  <c:v>41851</c:v>
                </c:pt>
                <c:pt idx="709">
                  <c:v>41858</c:v>
                </c:pt>
                <c:pt idx="710">
                  <c:v>41865</c:v>
                </c:pt>
                <c:pt idx="711">
                  <c:v>41872</c:v>
                </c:pt>
                <c:pt idx="712">
                  <c:v>41879</c:v>
                </c:pt>
                <c:pt idx="713">
                  <c:v>41886</c:v>
                </c:pt>
                <c:pt idx="714">
                  <c:v>41893</c:v>
                </c:pt>
                <c:pt idx="715">
                  <c:v>41900</c:v>
                </c:pt>
                <c:pt idx="716">
                  <c:v>41907</c:v>
                </c:pt>
                <c:pt idx="717">
                  <c:v>41914</c:v>
                </c:pt>
                <c:pt idx="718">
                  <c:v>41921</c:v>
                </c:pt>
                <c:pt idx="719">
                  <c:v>41928</c:v>
                </c:pt>
                <c:pt idx="720">
                  <c:v>41935</c:v>
                </c:pt>
                <c:pt idx="721">
                  <c:v>41942</c:v>
                </c:pt>
                <c:pt idx="722">
                  <c:v>41949</c:v>
                </c:pt>
                <c:pt idx="723">
                  <c:v>41956</c:v>
                </c:pt>
                <c:pt idx="724">
                  <c:v>41963</c:v>
                </c:pt>
                <c:pt idx="725">
                  <c:v>41969</c:v>
                </c:pt>
                <c:pt idx="726">
                  <c:v>41977</c:v>
                </c:pt>
                <c:pt idx="727">
                  <c:v>41984</c:v>
                </c:pt>
                <c:pt idx="728">
                  <c:v>41991</c:v>
                </c:pt>
                <c:pt idx="729">
                  <c:v>41997</c:v>
                </c:pt>
                <c:pt idx="730">
                  <c:v>42004</c:v>
                </c:pt>
                <c:pt idx="731">
                  <c:v>42012</c:v>
                </c:pt>
                <c:pt idx="732">
                  <c:v>42019</c:v>
                </c:pt>
                <c:pt idx="733">
                  <c:v>42026</c:v>
                </c:pt>
                <c:pt idx="734">
                  <c:v>42033</c:v>
                </c:pt>
                <c:pt idx="735">
                  <c:v>42040</c:v>
                </c:pt>
                <c:pt idx="736">
                  <c:v>42047</c:v>
                </c:pt>
                <c:pt idx="737">
                  <c:v>42054</c:v>
                </c:pt>
                <c:pt idx="738">
                  <c:v>42061</c:v>
                </c:pt>
                <c:pt idx="739">
                  <c:v>42068</c:v>
                </c:pt>
                <c:pt idx="740">
                  <c:v>42075</c:v>
                </c:pt>
                <c:pt idx="741">
                  <c:v>42082</c:v>
                </c:pt>
                <c:pt idx="742">
                  <c:v>42089</c:v>
                </c:pt>
                <c:pt idx="743">
                  <c:v>42096</c:v>
                </c:pt>
                <c:pt idx="744">
                  <c:v>42103</c:v>
                </c:pt>
                <c:pt idx="745">
                  <c:v>42110</c:v>
                </c:pt>
                <c:pt idx="746">
                  <c:v>42117</c:v>
                </c:pt>
                <c:pt idx="747">
                  <c:v>42124</c:v>
                </c:pt>
                <c:pt idx="748">
                  <c:v>42131</c:v>
                </c:pt>
                <c:pt idx="749">
                  <c:v>42138</c:v>
                </c:pt>
                <c:pt idx="750">
                  <c:v>42145</c:v>
                </c:pt>
                <c:pt idx="751">
                  <c:v>42152</c:v>
                </c:pt>
                <c:pt idx="752">
                  <c:v>42159</c:v>
                </c:pt>
              </c:numCache>
            </c:numRef>
          </c:cat>
          <c:val>
            <c:numRef>
              <c:f>'Low rate'!$Q$3:$Q$755</c:f>
              <c:numCache>
                <c:formatCode>0.00</c:formatCode>
                <c:ptCount val="753"/>
                <c:pt idx="0">
                  <c:v>7.07</c:v>
                </c:pt>
                <c:pt idx="1">
                  <c:v>6.8649999999999904</c:v>
                </c:pt>
                <c:pt idx="2">
                  <c:v>6.9949999999999903</c:v>
                </c:pt>
                <c:pt idx="3">
                  <c:v>7.1</c:v>
                </c:pt>
                <c:pt idx="4">
                  <c:v>7.09</c:v>
                </c:pt>
                <c:pt idx="5">
                  <c:v>6.98</c:v>
                </c:pt>
                <c:pt idx="6">
                  <c:v>6.9849999999999897</c:v>
                </c:pt>
                <c:pt idx="7">
                  <c:v>7.0949999999999998</c:v>
                </c:pt>
                <c:pt idx="8">
                  <c:v>7.0049999999999999</c:v>
                </c:pt>
                <c:pt idx="9">
                  <c:v>6.9449999999999896</c:v>
                </c:pt>
                <c:pt idx="10">
                  <c:v>6.9349999999999996</c:v>
                </c:pt>
                <c:pt idx="11">
                  <c:v>6.89</c:v>
                </c:pt>
                <c:pt idx="12">
                  <c:v>6.8849999999999998</c:v>
                </c:pt>
                <c:pt idx="13">
                  <c:v>6.9849999999999897</c:v>
                </c:pt>
                <c:pt idx="14">
                  <c:v>6.99</c:v>
                </c:pt>
                <c:pt idx="15">
                  <c:v>7.1149999999999904</c:v>
                </c:pt>
                <c:pt idx="16">
                  <c:v>7.12</c:v>
                </c:pt>
                <c:pt idx="17">
                  <c:v>7.1149999999999904</c:v>
                </c:pt>
                <c:pt idx="18">
                  <c:v>7.0749999999999904</c:v>
                </c:pt>
                <c:pt idx="19">
                  <c:v>7.14</c:v>
                </c:pt>
                <c:pt idx="20">
                  <c:v>7.2</c:v>
                </c:pt>
                <c:pt idx="21">
                  <c:v>7.2149999999999999</c:v>
                </c:pt>
                <c:pt idx="22">
                  <c:v>7.2</c:v>
                </c:pt>
                <c:pt idx="23">
                  <c:v>7.1149999999999904</c:v>
                </c:pt>
                <c:pt idx="24">
                  <c:v>7.11</c:v>
                </c:pt>
                <c:pt idx="25">
                  <c:v>7.11</c:v>
                </c:pt>
                <c:pt idx="26">
                  <c:v>7.165</c:v>
                </c:pt>
                <c:pt idx="27">
                  <c:v>7.1849999999999996</c:v>
                </c:pt>
                <c:pt idx="28">
                  <c:v>7.0549999999999997</c:v>
                </c:pt>
                <c:pt idx="29">
                  <c:v>7.0049999999999999</c:v>
                </c:pt>
                <c:pt idx="30">
                  <c:v>6.9749999999999996</c:v>
                </c:pt>
                <c:pt idx="31">
                  <c:v>6.9749999999999996</c:v>
                </c:pt>
                <c:pt idx="32">
                  <c:v>6.8949999999999996</c:v>
                </c:pt>
                <c:pt idx="33">
                  <c:v>6.8849999999999998</c:v>
                </c:pt>
                <c:pt idx="34">
                  <c:v>6.8949999999999996</c:v>
                </c:pt>
                <c:pt idx="35">
                  <c:v>6.8649999999999904</c:v>
                </c:pt>
                <c:pt idx="36">
                  <c:v>6.835</c:v>
                </c:pt>
                <c:pt idx="37">
                  <c:v>6.7749999999999897</c:v>
                </c:pt>
                <c:pt idx="38">
                  <c:v>6.6949999999999896</c:v>
                </c:pt>
                <c:pt idx="39">
                  <c:v>6.59</c:v>
                </c:pt>
                <c:pt idx="40">
                  <c:v>6.5549999999999997</c:v>
                </c:pt>
                <c:pt idx="41">
                  <c:v>6.585</c:v>
                </c:pt>
                <c:pt idx="42">
                  <c:v>6.59</c:v>
                </c:pt>
                <c:pt idx="43">
                  <c:v>6.5349999999999904</c:v>
                </c:pt>
                <c:pt idx="44">
                  <c:v>6.4</c:v>
                </c:pt>
                <c:pt idx="45">
                  <c:v>6.46</c:v>
                </c:pt>
                <c:pt idx="46">
                  <c:v>6.7</c:v>
                </c:pt>
                <c:pt idx="47">
                  <c:v>6.9449999999999896</c:v>
                </c:pt>
                <c:pt idx="48">
                  <c:v>6.7649999999999997</c:v>
                </c:pt>
                <c:pt idx="49">
                  <c:v>7.04</c:v>
                </c:pt>
                <c:pt idx="50">
                  <c:v>7.0949999999999998</c:v>
                </c:pt>
                <c:pt idx="51">
                  <c:v>7.11</c:v>
                </c:pt>
                <c:pt idx="52">
                  <c:v>7.09</c:v>
                </c:pt>
                <c:pt idx="53">
                  <c:v>7.01</c:v>
                </c:pt>
                <c:pt idx="54">
                  <c:v>6.7549999999999999</c:v>
                </c:pt>
                <c:pt idx="55">
                  <c:v>6.8849999999999998</c:v>
                </c:pt>
                <c:pt idx="56">
                  <c:v>6.9449999999999896</c:v>
                </c:pt>
                <c:pt idx="57">
                  <c:v>6.8049999999999997</c:v>
                </c:pt>
                <c:pt idx="58">
                  <c:v>6.7850000000000001</c:v>
                </c:pt>
                <c:pt idx="59">
                  <c:v>6.7349999999999897</c:v>
                </c:pt>
                <c:pt idx="60">
                  <c:v>6.7249999999999996</c:v>
                </c:pt>
                <c:pt idx="61">
                  <c:v>6.7949999999999999</c:v>
                </c:pt>
                <c:pt idx="62">
                  <c:v>7.0049999999999999</c:v>
                </c:pt>
                <c:pt idx="63">
                  <c:v>7.0649999999999897</c:v>
                </c:pt>
                <c:pt idx="64">
                  <c:v>7.1049999999999898</c:v>
                </c:pt>
                <c:pt idx="65">
                  <c:v>7.0549999999999997</c:v>
                </c:pt>
                <c:pt idx="66">
                  <c:v>6.94</c:v>
                </c:pt>
                <c:pt idx="67">
                  <c:v>6.8650000000000002</c:v>
                </c:pt>
                <c:pt idx="68">
                  <c:v>6.8049999999999997</c:v>
                </c:pt>
                <c:pt idx="69">
                  <c:v>6.7050000000000001</c:v>
                </c:pt>
                <c:pt idx="70">
                  <c:v>6.7149999999999999</c:v>
                </c:pt>
                <c:pt idx="71">
                  <c:v>6.8149999999999897</c:v>
                </c:pt>
                <c:pt idx="72">
                  <c:v>6.7349999999999897</c:v>
                </c:pt>
                <c:pt idx="73">
                  <c:v>6.71</c:v>
                </c:pt>
                <c:pt idx="74">
                  <c:v>6.6349999999999998</c:v>
                </c:pt>
                <c:pt idx="75">
                  <c:v>6.6349999999999998</c:v>
                </c:pt>
                <c:pt idx="76">
                  <c:v>6.5049999999999999</c:v>
                </c:pt>
                <c:pt idx="77">
                  <c:v>6.4249999999999998</c:v>
                </c:pt>
                <c:pt idx="78">
                  <c:v>6.4450000000000003</c:v>
                </c:pt>
                <c:pt idx="79">
                  <c:v>6.415</c:v>
                </c:pt>
                <c:pt idx="80">
                  <c:v>6.39</c:v>
                </c:pt>
                <c:pt idx="81">
                  <c:v>6.24</c:v>
                </c:pt>
                <c:pt idx="82">
                  <c:v>6.33</c:v>
                </c:pt>
                <c:pt idx="83">
                  <c:v>6.21</c:v>
                </c:pt>
                <c:pt idx="84">
                  <c:v>6.12</c:v>
                </c:pt>
                <c:pt idx="85">
                  <c:v>6.1949999999999896</c:v>
                </c:pt>
                <c:pt idx="86">
                  <c:v>6.1449999999999996</c:v>
                </c:pt>
                <c:pt idx="87">
                  <c:v>6.05</c:v>
                </c:pt>
                <c:pt idx="88">
                  <c:v>6.08</c:v>
                </c:pt>
                <c:pt idx="89">
                  <c:v>5.9749999999999996</c:v>
                </c:pt>
                <c:pt idx="90">
                  <c:v>5.89</c:v>
                </c:pt>
                <c:pt idx="91">
                  <c:v>5.8849999999999998</c:v>
                </c:pt>
                <c:pt idx="92">
                  <c:v>5.88</c:v>
                </c:pt>
                <c:pt idx="93">
                  <c:v>6.0250000000000004</c:v>
                </c:pt>
                <c:pt idx="94">
                  <c:v>6.21</c:v>
                </c:pt>
                <c:pt idx="95">
                  <c:v>6.03</c:v>
                </c:pt>
                <c:pt idx="96">
                  <c:v>6.01</c:v>
                </c:pt>
                <c:pt idx="97">
                  <c:v>5.84</c:v>
                </c:pt>
                <c:pt idx="98">
                  <c:v>5.93</c:v>
                </c:pt>
                <c:pt idx="99">
                  <c:v>6.03</c:v>
                </c:pt>
                <c:pt idx="100">
                  <c:v>6.0650000000000004</c:v>
                </c:pt>
                <c:pt idx="101">
                  <c:v>5.915</c:v>
                </c:pt>
                <c:pt idx="102">
                  <c:v>5.93</c:v>
                </c:pt>
                <c:pt idx="103">
                  <c:v>5.83</c:v>
                </c:pt>
                <c:pt idx="104">
                  <c:v>5.75</c:v>
                </c:pt>
                <c:pt idx="105">
                  <c:v>5.8250000000000002</c:v>
                </c:pt>
                <c:pt idx="106">
                  <c:v>5.87</c:v>
                </c:pt>
                <c:pt idx="107">
                  <c:v>5.81</c:v>
                </c:pt>
                <c:pt idx="108">
                  <c:v>5.8</c:v>
                </c:pt>
                <c:pt idx="109">
                  <c:v>5.8049999999999997</c:v>
                </c:pt>
                <c:pt idx="110">
                  <c:v>5.76</c:v>
                </c:pt>
                <c:pt idx="111">
                  <c:v>5.74</c:v>
                </c:pt>
                <c:pt idx="112">
                  <c:v>5.69</c:v>
                </c:pt>
                <c:pt idx="113">
                  <c:v>5.57</c:v>
                </c:pt>
                <c:pt idx="114">
                  <c:v>5.51</c:v>
                </c:pt>
                <c:pt idx="115">
                  <c:v>5.69</c:v>
                </c:pt>
                <c:pt idx="116">
                  <c:v>5.81</c:v>
                </c:pt>
                <c:pt idx="117">
                  <c:v>5.69</c:v>
                </c:pt>
                <c:pt idx="118">
                  <c:v>5.75</c:v>
                </c:pt>
                <c:pt idx="119">
                  <c:v>5.72</c:v>
                </c:pt>
                <c:pt idx="120">
                  <c:v>5.69</c:v>
                </c:pt>
                <c:pt idx="121">
                  <c:v>5.6</c:v>
                </c:pt>
                <c:pt idx="122">
                  <c:v>5.5449999999999999</c:v>
                </c:pt>
                <c:pt idx="123">
                  <c:v>5.35</c:v>
                </c:pt>
                <c:pt idx="124">
                  <c:v>5.2649999999999997</c:v>
                </c:pt>
                <c:pt idx="125">
                  <c:v>5.21</c:v>
                </c:pt>
                <c:pt idx="126">
                  <c:v>5.1349999999999998</c:v>
                </c:pt>
                <c:pt idx="127">
                  <c:v>5.085</c:v>
                </c:pt>
                <c:pt idx="128">
                  <c:v>5.1100000000000003</c:v>
                </c:pt>
                <c:pt idx="129">
                  <c:v>5.14</c:v>
                </c:pt>
                <c:pt idx="130">
                  <c:v>5.2750000000000004</c:v>
                </c:pt>
                <c:pt idx="131">
                  <c:v>5.42</c:v>
                </c:pt>
                <c:pt idx="132">
                  <c:v>5.5449999999999999</c:v>
                </c:pt>
                <c:pt idx="133">
                  <c:v>5.79</c:v>
                </c:pt>
                <c:pt idx="134">
                  <c:v>6.0149999999999997</c:v>
                </c:pt>
                <c:pt idx="135">
                  <c:v>6.2649999999999997</c:v>
                </c:pt>
                <c:pt idx="136">
                  <c:v>6.165</c:v>
                </c:pt>
                <c:pt idx="137">
                  <c:v>6.23</c:v>
                </c:pt>
                <c:pt idx="138">
                  <c:v>6.2450000000000001</c:v>
                </c:pt>
                <c:pt idx="139">
                  <c:v>6.34</c:v>
                </c:pt>
                <c:pt idx="140">
                  <c:v>6.06</c:v>
                </c:pt>
                <c:pt idx="141">
                  <c:v>5.8849999999999998</c:v>
                </c:pt>
                <c:pt idx="142">
                  <c:v>5.88</c:v>
                </c:pt>
                <c:pt idx="143">
                  <c:v>5.67</c:v>
                </c:pt>
                <c:pt idx="144">
                  <c:v>5.85</c:v>
                </c:pt>
                <c:pt idx="145">
                  <c:v>5.9249999999999998</c:v>
                </c:pt>
                <c:pt idx="146">
                  <c:v>5.9749999999999996</c:v>
                </c:pt>
                <c:pt idx="147">
                  <c:v>5.84</c:v>
                </c:pt>
                <c:pt idx="148">
                  <c:v>5.9050000000000002</c:v>
                </c:pt>
                <c:pt idx="149">
                  <c:v>5.93</c:v>
                </c:pt>
                <c:pt idx="150">
                  <c:v>5.73</c:v>
                </c:pt>
                <c:pt idx="151">
                  <c:v>5.79</c:v>
                </c:pt>
                <c:pt idx="152">
                  <c:v>5.92</c:v>
                </c:pt>
                <c:pt idx="153">
                  <c:v>5.8049999999999997</c:v>
                </c:pt>
                <c:pt idx="154">
                  <c:v>5.7450000000000001</c:v>
                </c:pt>
                <c:pt idx="155">
                  <c:v>5.7349999999999897</c:v>
                </c:pt>
                <c:pt idx="156">
                  <c:v>5.7749999999999897</c:v>
                </c:pt>
                <c:pt idx="157">
                  <c:v>5.7949999999999999</c:v>
                </c:pt>
                <c:pt idx="158">
                  <c:v>5.56</c:v>
                </c:pt>
                <c:pt idx="159">
                  <c:v>5.54</c:v>
                </c:pt>
                <c:pt idx="160">
                  <c:v>5.6049999999999898</c:v>
                </c:pt>
                <c:pt idx="161">
                  <c:v>5.62</c:v>
                </c:pt>
                <c:pt idx="162">
                  <c:v>5.585</c:v>
                </c:pt>
                <c:pt idx="163">
                  <c:v>5.48</c:v>
                </c:pt>
                <c:pt idx="164">
                  <c:v>5.5049999999999999</c:v>
                </c:pt>
                <c:pt idx="165">
                  <c:v>5.5149999999999997</c:v>
                </c:pt>
                <c:pt idx="166">
                  <c:v>5.31</c:v>
                </c:pt>
                <c:pt idx="167">
                  <c:v>5.3049999999999997</c:v>
                </c:pt>
                <c:pt idx="168">
                  <c:v>5.3250000000000002</c:v>
                </c:pt>
                <c:pt idx="169">
                  <c:v>5.42</c:v>
                </c:pt>
                <c:pt idx="170">
                  <c:v>5.7149999999999999</c:v>
                </c:pt>
                <c:pt idx="171">
                  <c:v>5.79</c:v>
                </c:pt>
                <c:pt idx="172">
                  <c:v>5.8650000000000002</c:v>
                </c:pt>
                <c:pt idx="173">
                  <c:v>5.9349999999999996</c:v>
                </c:pt>
                <c:pt idx="174">
                  <c:v>6.0449999999999999</c:v>
                </c:pt>
                <c:pt idx="175">
                  <c:v>6.2649999999999997</c:v>
                </c:pt>
                <c:pt idx="176">
                  <c:v>6.2249999999999996</c:v>
                </c:pt>
                <c:pt idx="177">
                  <c:v>6.22</c:v>
                </c:pt>
                <c:pt idx="178">
                  <c:v>6.2050000000000001</c:v>
                </c:pt>
                <c:pt idx="179">
                  <c:v>6.2249999999999996</c:v>
                </c:pt>
                <c:pt idx="180">
                  <c:v>6.1950000000000003</c:v>
                </c:pt>
                <c:pt idx="181">
                  <c:v>6.15</c:v>
                </c:pt>
                <c:pt idx="182">
                  <c:v>6.11</c:v>
                </c:pt>
                <c:pt idx="183">
                  <c:v>5.91</c:v>
                </c:pt>
                <c:pt idx="184">
                  <c:v>5.9</c:v>
                </c:pt>
                <c:pt idx="185">
                  <c:v>5.88</c:v>
                </c:pt>
                <c:pt idx="186">
                  <c:v>5.98</c:v>
                </c:pt>
                <c:pt idx="187">
                  <c:v>5.915</c:v>
                </c:pt>
                <c:pt idx="188">
                  <c:v>5.75</c:v>
                </c:pt>
                <c:pt idx="189">
                  <c:v>5.7349999999999897</c:v>
                </c:pt>
                <c:pt idx="190">
                  <c:v>5.7450000000000001</c:v>
                </c:pt>
                <c:pt idx="191">
                  <c:v>5.72</c:v>
                </c:pt>
                <c:pt idx="192">
                  <c:v>5.78</c:v>
                </c:pt>
                <c:pt idx="193">
                  <c:v>5.7</c:v>
                </c:pt>
                <c:pt idx="194">
                  <c:v>5.625</c:v>
                </c:pt>
                <c:pt idx="195">
                  <c:v>5.62</c:v>
                </c:pt>
                <c:pt idx="196">
                  <c:v>5.72</c:v>
                </c:pt>
                <c:pt idx="197">
                  <c:v>5.64</c:v>
                </c:pt>
                <c:pt idx="198">
                  <c:v>5.6150000000000002</c:v>
                </c:pt>
                <c:pt idx="199">
                  <c:v>5.5649999999999897</c:v>
                </c:pt>
                <c:pt idx="200">
                  <c:v>5.6</c:v>
                </c:pt>
                <c:pt idx="201">
                  <c:v>5.6849999999999996</c:v>
                </c:pt>
                <c:pt idx="202">
                  <c:v>5.64</c:v>
                </c:pt>
                <c:pt idx="203">
                  <c:v>5.62</c:v>
                </c:pt>
                <c:pt idx="204">
                  <c:v>5.71</c:v>
                </c:pt>
                <c:pt idx="205">
                  <c:v>5.6349999999999998</c:v>
                </c:pt>
                <c:pt idx="206">
                  <c:v>5.58</c:v>
                </c:pt>
                <c:pt idx="207">
                  <c:v>5.65</c:v>
                </c:pt>
                <c:pt idx="208">
                  <c:v>5.71</c:v>
                </c:pt>
                <c:pt idx="209">
                  <c:v>5.6949999999999896</c:v>
                </c:pt>
                <c:pt idx="210">
                  <c:v>5.64</c:v>
                </c:pt>
                <c:pt idx="211">
                  <c:v>5.5949999999999998</c:v>
                </c:pt>
                <c:pt idx="212">
                  <c:v>5.56</c:v>
                </c:pt>
                <c:pt idx="213">
                  <c:v>5.5549999999999997</c:v>
                </c:pt>
                <c:pt idx="214">
                  <c:v>5.52</c:v>
                </c:pt>
                <c:pt idx="215">
                  <c:v>5.5449999999999999</c:v>
                </c:pt>
                <c:pt idx="216">
                  <c:v>5.6150000000000002</c:v>
                </c:pt>
                <c:pt idx="217">
                  <c:v>5.7149999999999999</c:v>
                </c:pt>
                <c:pt idx="218">
                  <c:v>5.75</c:v>
                </c:pt>
                <c:pt idx="219">
                  <c:v>5.875</c:v>
                </c:pt>
                <c:pt idx="220">
                  <c:v>5.9349999999999996</c:v>
                </c:pt>
                <c:pt idx="221">
                  <c:v>5.9649999999999999</c:v>
                </c:pt>
                <c:pt idx="222">
                  <c:v>5.8549999999999898</c:v>
                </c:pt>
                <c:pt idx="223">
                  <c:v>5.835</c:v>
                </c:pt>
                <c:pt idx="224">
                  <c:v>5.6749999999999998</c:v>
                </c:pt>
                <c:pt idx="225">
                  <c:v>5.68</c:v>
                </c:pt>
                <c:pt idx="226">
                  <c:v>5.65</c:v>
                </c:pt>
                <c:pt idx="227">
                  <c:v>5.6449999999999996</c:v>
                </c:pt>
                <c:pt idx="228">
                  <c:v>5.6349999999999998</c:v>
                </c:pt>
                <c:pt idx="229">
                  <c:v>5.55</c:v>
                </c:pt>
                <c:pt idx="230">
                  <c:v>5.52</c:v>
                </c:pt>
                <c:pt idx="231">
                  <c:v>5.46</c:v>
                </c:pt>
                <c:pt idx="232">
                  <c:v>5.5049999999999999</c:v>
                </c:pt>
                <c:pt idx="233">
                  <c:v>5.47</c:v>
                </c:pt>
                <c:pt idx="234">
                  <c:v>5.43</c:v>
                </c:pt>
                <c:pt idx="235">
                  <c:v>5.52</c:v>
                </c:pt>
                <c:pt idx="236">
                  <c:v>5.56</c:v>
                </c:pt>
                <c:pt idx="237">
                  <c:v>5.58</c:v>
                </c:pt>
                <c:pt idx="238">
                  <c:v>5.6449999999999996</c:v>
                </c:pt>
                <c:pt idx="239">
                  <c:v>5.72</c:v>
                </c:pt>
                <c:pt idx="240">
                  <c:v>5.7649999999999997</c:v>
                </c:pt>
                <c:pt idx="241">
                  <c:v>5.6749999999999998</c:v>
                </c:pt>
                <c:pt idx="242">
                  <c:v>5.6449999999999996</c:v>
                </c:pt>
                <c:pt idx="243">
                  <c:v>5.61</c:v>
                </c:pt>
                <c:pt idx="244">
                  <c:v>5.61</c:v>
                </c:pt>
                <c:pt idx="245">
                  <c:v>5.64</c:v>
                </c:pt>
                <c:pt idx="246">
                  <c:v>5.7</c:v>
                </c:pt>
                <c:pt idx="247">
                  <c:v>5.7850000000000001</c:v>
                </c:pt>
                <c:pt idx="248">
                  <c:v>5.8550000000000004</c:v>
                </c:pt>
                <c:pt idx="249">
                  <c:v>5.93</c:v>
                </c:pt>
                <c:pt idx="250">
                  <c:v>5.9749999999999996</c:v>
                </c:pt>
                <c:pt idx="251">
                  <c:v>6.0250000000000004</c:v>
                </c:pt>
                <c:pt idx="252">
                  <c:v>6.1849999999999996</c:v>
                </c:pt>
                <c:pt idx="253">
                  <c:v>6.2350000000000003</c:v>
                </c:pt>
                <c:pt idx="254">
                  <c:v>6.27</c:v>
                </c:pt>
                <c:pt idx="255">
                  <c:v>6.18</c:v>
                </c:pt>
                <c:pt idx="256">
                  <c:v>6.1349999999999998</c:v>
                </c:pt>
                <c:pt idx="257">
                  <c:v>6.22</c:v>
                </c:pt>
                <c:pt idx="258">
                  <c:v>6.1749999999999998</c:v>
                </c:pt>
                <c:pt idx="259">
                  <c:v>6.16</c:v>
                </c:pt>
                <c:pt idx="260">
                  <c:v>6.0949999999999998</c:v>
                </c:pt>
                <c:pt idx="261">
                  <c:v>6.085</c:v>
                </c:pt>
                <c:pt idx="262">
                  <c:v>6.05</c:v>
                </c:pt>
                <c:pt idx="263">
                  <c:v>5.9749999999999996</c:v>
                </c:pt>
                <c:pt idx="264">
                  <c:v>5.9950000000000001</c:v>
                </c:pt>
                <c:pt idx="265">
                  <c:v>6.1050000000000004</c:v>
                </c:pt>
                <c:pt idx="266">
                  <c:v>6.14</c:v>
                </c:pt>
                <c:pt idx="267">
                  <c:v>6.1550000000000002</c:v>
                </c:pt>
                <c:pt idx="268">
                  <c:v>6.16</c:v>
                </c:pt>
                <c:pt idx="269">
                  <c:v>6.14</c:v>
                </c:pt>
                <c:pt idx="270">
                  <c:v>6.27</c:v>
                </c:pt>
                <c:pt idx="271">
                  <c:v>6.2649999999999997</c:v>
                </c:pt>
                <c:pt idx="272">
                  <c:v>6.22</c:v>
                </c:pt>
                <c:pt idx="273">
                  <c:v>6.2249999999999996</c:v>
                </c:pt>
                <c:pt idx="274">
                  <c:v>6.33</c:v>
                </c:pt>
                <c:pt idx="275">
                  <c:v>6.39</c:v>
                </c:pt>
                <c:pt idx="276">
                  <c:v>6.43</c:v>
                </c:pt>
                <c:pt idx="277">
                  <c:v>6.4550000000000001</c:v>
                </c:pt>
                <c:pt idx="278">
                  <c:v>6.49</c:v>
                </c:pt>
                <c:pt idx="279">
                  <c:v>6.4550000000000001</c:v>
                </c:pt>
                <c:pt idx="280">
                  <c:v>6.4749999999999996</c:v>
                </c:pt>
                <c:pt idx="281">
                  <c:v>6.47</c:v>
                </c:pt>
                <c:pt idx="282">
                  <c:v>6.52</c:v>
                </c:pt>
                <c:pt idx="283">
                  <c:v>6.4950000000000001</c:v>
                </c:pt>
                <c:pt idx="284">
                  <c:v>6.5049999999999999</c:v>
                </c:pt>
                <c:pt idx="285">
                  <c:v>6.585</c:v>
                </c:pt>
                <c:pt idx="286">
                  <c:v>6.6550000000000002</c:v>
                </c:pt>
                <c:pt idx="287">
                  <c:v>6.665</c:v>
                </c:pt>
                <c:pt idx="288">
                  <c:v>6.64</c:v>
                </c:pt>
                <c:pt idx="289">
                  <c:v>6.6749999999999998</c:v>
                </c:pt>
                <c:pt idx="290">
                  <c:v>6.5449999999999999</c:v>
                </c:pt>
                <c:pt idx="291">
                  <c:v>6.4550000000000001</c:v>
                </c:pt>
                <c:pt idx="292">
                  <c:v>6.3999999999999897</c:v>
                </c:pt>
                <c:pt idx="293">
                  <c:v>6.3449999999999998</c:v>
                </c:pt>
                <c:pt idx="294">
                  <c:v>6.33</c:v>
                </c:pt>
                <c:pt idx="295">
                  <c:v>6.29</c:v>
                </c:pt>
                <c:pt idx="296">
                  <c:v>6.3199999999999896</c:v>
                </c:pt>
                <c:pt idx="297">
                  <c:v>6.3049999999999997</c:v>
                </c:pt>
                <c:pt idx="298">
                  <c:v>6.2750000000000004</c:v>
                </c:pt>
                <c:pt idx="299">
                  <c:v>6.1599999999999904</c:v>
                </c:pt>
                <c:pt idx="300">
                  <c:v>6.125</c:v>
                </c:pt>
                <c:pt idx="301">
                  <c:v>6.2450000000000001</c:v>
                </c:pt>
                <c:pt idx="302">
                  <c:v>6.2350000000000003</c:v>
                </c:pt>
                <c:pt idx="303">
                  <c:v>6.25</c:v>
                </c:pt>
                <c:pt idx="304">
                  <c:v>6.1599999999999904</c:v>
                </c:pt>
                <c:pt idx="305">
                  <c:v>6.23</c:v>
                </c:pt>
                <c:pt idx="306">
                  <c:v>6.1150000000000002</c:v>
                </c:pt>
                <c:pt idx="307">
                  <c:v>6.0549999999999997</c:v>
                </c:pt>
                <c:pt idx="308">
                  <c:v>5.9899999999999904</c:v>
                </c:pt>
                <c:pt idx="309">
                  <c:v>5.9850000000000003</c:v>
                </c:pt>
                <c:pt idx="310">
                  <c:v>5.97</c:v>
                </c:pt>
                <c:pt idx="311">
                  <c:v>5.9799999999999898</c:v>
                </c:pt>
                <c:pt idx="312">
                  <c:v>6.0299999999999896</c:v>
                </c:pt>
                <c:pt idx="313">
                  <c:v>6.0299999999999896</c:v>
                </c:pt>
                <c:pt idx="314">
                  <c:v>6.06</c:v>
                </c:pt>
                <c:pt idx="315">
                  <c:v>6.08</c:v>
                </c:pt>
                <c:pt idx="316">
                  <c:v>6.1</c:v>
                </c:pt>
                <c:pt idx="317">
                  <c:v>6.1899999999999897</c:v>
                </c:pt>
                <c:pt idx="318">
                  <c:v>6.1050000000000004</c:v>
                </c:pt>
                <c:pt idx="319">
                  <c:v>6.1499999999999897</c:v>
                </c:pt>
                <c:pt idx="320">
                  <c:v>6.0949999999999998</c:v>
                </c:pt>
                <c:pt idx="321">
                  <c:v>6.0299999999999896</c:v>
                </c:pt>
                <c:pt idx="322">
                  <c:v>6.0149999999999997</c:v>
                </c:pt>
                <c:pt idx="323">
                  <c:v>5.9899999999999904</c:v>
                </c:pt>
                <c:pt idx="324">
                  <c:v>6.01</c:v>
                </c:pt>
                <c:pt idx="325">
                  <c:v>6.01</c:v>
                </c:pt>
                <c:pt idx="326">
                  <c:v>6.02</c:v>
                </c:pt>
                <c:pt idx="327">
                  <c:v>6.0699999999999896</c:v>
                </c:pt>
                <c:pt idx="328">
                  <c:v>6.0449999999999999</c:v>
                </c:pt>
                <c:pt idx="329">
                  <c:v>6.0350000000000001</c:v>
                </c:pt>
                <c:pt idx="330">
                  <c:v>6.0350000000000001</c:v>
                </c:pt>
                <c:pt idx="331">
                  <c:v>6.0250000000000004</c:v>
                </c:pt>
                <c:pt idx="332">
                  <c:v>6.06</c:v>
                </c:pt>
                <c:pt idx="333">
                  <c:v>6.22</c:v>
                </c:pt>
                <c:pt idx="334">
                  <c:v>6.27</c:v>
                </c:pt>
                <c:pt idx="335">
                  <c:v>6.38</c:v>
                </c:pt>
                <c:pt idx="336">
                  <c:v>6.59</c:v>
                </c:pt>
                <c:pt idx="337">
                  <c:v>6.5650000000000004</c:v>
                </c:pt>
                <c:pt idx="338">
                  <c:v>6.52</c:v>
                </c:pt>
                <c:pt idx="339">
                  <c:v>6.4799999999999898</c:v>
                </c:pt>
                <c:pt idx="340">
                  <c:v>6.58</c:v>
                </c:pt>
                <c:pt idx="341">
                  <c:v>6.58</c:v>
                </c:pt>
                <c:pt idx="342">
                  <c:v>6.54</c:v>
                </c:pt>
                <c:pt idx="343">
                  <c:v>6.5049999999999999</c:v>
                </c:pt>
                <c:pt idx="344">
                  <c:v>6.4399999999999897</c:v>
                </c:pt>
                <c:pt idx="345">
                  <c:v>6.47</c:v>
                </c:pt>
                <c:pt idx="346">
                  <c:v>6.3699999999999903</c:v>
                </c:pt>
                <c:pt idx="347">
                  <c:v>6.3250000000000002</c:v>
                </c:pt>
                <c:pt idx="348">
                  <c:v>6.335</c:v>
                </c:pt>
                <c:pt idx="349">
                  <c:v>6.1849999999999996</c:v>
                </c:pt>
                <c:pt idx="350">
                  <c:v>6.2149999999999999</c:v>
                </c:pt>
                <c:pt idx="351">
                  <c:v>6.2949999999999999</c:v>
                </c:pt>
                <c:pt idx="352">
                  <c:v>6.2450000000000001</c:v>
                </c:pt>
                <c:pt idx="353">
                  <c:v>6.25</c:v>
                </c:pt>
                <c:pt idx="354">
                  <c:v>6.2750000000000004</c:v>
                </c:pt>
                <c:pt idx="355">
                  <c:v>6.2050000000000001</c:v>
                </c:pt>
                <c:pt idx="356">
                  <c:v>6.1099999999999897</c:v>
                </c:pt>
                <c:pt idx="357">
                  <c:v>6.09</c:v>
                </c:pt>
                <c:pt idx="358">
                  <c:v>6.09</c:v>
                </c:pt>
                <c:pt idx="359">
                  <c:v>6.0750000000000002</c:v>
                </c:pt>
                <c:pt idx="360">
                  <c:v>5.9749999999999996</c:v>
                </c:pt>
                <c:pt idx="361">
                  <c:v>5.81</c:v>
                </c:pt>
                <c:pt idx="362">
                  <c:v>5.9850000000000003</c:v>
                </c:pt>
                <c:pt idx="363">
                  <c:v>5.9899999999999904</c:v>
                </c:pt>
                <c:pt idx="364">
                  <c:v>6.0449999999999999</c:v>
                </c:pt>
                <c:pt idx="365">
                  <c:v>5.9450000000000003</c:v>
                </c:pt>
                <c:pt idx="366">
                  <c:v>5.72</c:v>
                </c:pt>
                <c:pt idx="367">
                  <c:v>5.5650000000000004</c:v>
                </c:pt>
                <c:pt idx="368">
                  <c:v>5.33</c:v>
                </c:pt>
                <c:pt idx="369">
                  <c:v>5.5299999999999896</c:v>
                </c:pt>
                <c:pt idx="370">
                  <c:v>5.52</c:v>
                </c:pt>
                <c:pt idx="371">
                  <c:v>5.5699999999999896</c:v>
                </c:pt>
                <c:pt idx="372">
                  <c:v>5.94</c:v>
                </c:pt>
                <c:pt idx="373">
                  <c:v>6.1150000000000002</c:v>
                </c:pt>
                <c:pt idx="374">
                  <c:v>5.9050000000000002</c:v>
                </c:pt>
                <c:pt idx="375">
                  <c:v>6.0049999999999999</c:v>
                </c:pt>
                <c:pt idx="376">
                  <c:v>5.7450000000000001</c:v>
                </c:pt>
                <c:pt idx="377">
                  <c:v>5.6999999999999904</c:v>
                </c:pt>
                <c:pt idx="378">
                  <c:v>5.7549999999999999</c:v>
                </c:pt>
                <c:pt idx="379">
                  <c:v>5.7299999999999898</c:v>
                </c:pt>
                <c:pt idx="380">
                  <c:v>5.7299999999999898</c:v>
                </c:pt>
                <c:pt idx="381">
                  <c:v>5.8550000000000004</c:v>
                </c:pt>
                <c:pt idx="382">
                  <c:v>5.9349999999999996</c:v>
                </c:pt>
                <c:pt idx="383">
                  <c:v>5.875</c:v>
                </c:pt>
                <c:pt idx="384">
                  <c:v>5.91</c:v>
                </c:pt>
                <c:pt idx="385">
                  <c:v>5.8550000000000004</c:v>
                </c:pt>
                <c:pt idx="386">
                  <c:v>5.98</c:v>
                </c:pt>
                <c:pt idx="387">
                  <c:v>5.99</c:v>
                </c:pt>
                <c:pt idx="388">
                  <c:v>6.2450000000000001</c:v>
                </c:pt>
                <c:pt idx="389">
                  <c:v>6.3449999999999998</c:v>
                </c:pt>
                <c:pt idx="390">
                  <c:v>6.35</c:v>
                </c:pt>
                <c:pt idx="391">
                  <c:v>6.25</c:v>
                </c:pt>
                <c:pt idx="392">
                  <c:v>6.27</c:v>
                </c:pt>
                <c:pt idx="393">
                  <c:v>6.16</c:v>
                </c:pt>
                <c:pt idx="394">
                  <c:v>6.53</c:v>
                </c:pt>
                <c:pt idx="395">
                  <c:v>6.4449999999999896</c:v>
                </c:pt>
                <c:pt idx="396">
                  <c:v>6.4449999999999896</c:v>
                </c:pt>
                <c:pt idx="397">
                  <c:v>6.4449999999999896</c:v>
                </c:pt>
                <c:pt idx="398">
                  <c:v>6.3949999999999996</c:v>
                </c:pt>
                <c:pt idx="399">
                  <c:v>6.3</c:v>
                </c:pt>
                <c:pt idx="400">
                  <c:v>6.2749999999999897</c:v>
                </c:pt>
                <c:pt idx="401">
                  <c:v>5.8549999999999898</c:v>
                </c:pt>
                <c:pt idx="402">
                  <c:v>5.68</c:v>
                </c:pt>
                <c:pt idx="403">
                  <c:v>6.0149999999999997</c:v>
                </c:pt>
                <c:pt idx="404">
                  <c:v>6</c:v>
                </c:pt>
                <c:pt idx="405">
                  <c:v>5.84</c:v>
                </c:pt>
                <c:pt idx="406">
                  <c:v>6.36</c:v>
                </c:pt>
                <c:pt idx="407">
                  <c:v>5.94</c:v>
                </c:pt>
                <c:pt idx="408">
                  <c:v>6.3849999999999998</c:v>
                </c:pt>
                <c:pt idx="409">
                  <c:v>6.125</c:v>
                </c:pt>
                <c:pt idx="410">
                  <c:v>6.0649999999999897</c:v>
                </c:pt>
                <c:pt idx="411">
                  <c:v>5.9649999999999999</c:v>
                </c:pt>
                <c:pt idx="412">
                  <c:v>5.8949999999999996</c:v>
                </c:pt>
                <c:pt idx="413">
                  <c:v>5.4550000000000001</c:v>
                </c:pt>
                <c:pt idx="414">
                  <c:v>5.3949999999999996</c:v>
                </c:pt>
                <c:pt idx="415">
                  <c:v>5.1150000000000002</c:v>
                </c:pt>
                <c:pt idx="416">
                  <c:v>5.09</c:v>
                </c:pt>
                <c:pt idx="417">
                  <c:v>5.0249999999999897</c:v>
                </c:pt>
                <c:pt idx="418">
                  <c:v>4.91</c:v>
                </c:pt>
                <c:pt idx="419">
                  <c:v>4.8849999999999998</c:v>
                </c:pt>
                <c:pt idx="420">
                  <c:v>5.0449999999999999</c:v>
                </c:pt>
                <c:pt idx="421">
                  <c:v>5.0249999999999897</c:v>
                </c:pt>
                <c:pt idx="422">
                  <c:v>5.2</c:v>
                </c:pt>
                <c:pt idx="423">
                  <c:v>5.085</c:v>
                </c:pt>
                <c:pt idx="424">
                  <c:v>4.9649999999999999</c:v>
                </c:pt>
                <c:pt idx="425">
                  <c:v>4.9950000000000001</c:v>
                </c:pt>
                <c:pt idx="426">
                  <c:v>5.0750000000000002</c:v>
                </c:pt>
                <c:pt idx="427">
                  <c:v>4.9550000000000001</c:v>
                </c:pt>
                <c:pt idx="428">
                  <c:v>4.9050000000000002</c:v>
                </c:pt>
                <c:pt idx="429">
                  <c:v>4.7749999999999897</c:v>
                </c:pt>
                <c:pt idx="430">
                  <c:v>4.7050000000000001</c:v>
                </c:pt>
                <c:pt idx="431">
                  <c:v>4.7949999999999999</c:v>
                </c:pt>
                <c:pt idx="432">
                  <c:v>4.72</c:v>
                </c:pt>
                <c:pt idx="433">
                  <c:v>4.7249999999999996</c:v>
                </c:pt>
                <c:pt idx="434">
                  <c:v>4.7050000000000001</c:v>
                </c:pt>
                <c:pt idx="435">
                  <c:v>4.7649999999999997</c:v>
                </c:pt>
                <c:pt idx="436">
                  <c:v>4.76</c:v>
                </c:pt>
                <c:pt idx="437">
                  <c:v>4.7450000000000001</c:v>
                </c:pt>
                <c:pt idx="438">
                  <c:v>4.835</c:v>
                </c:pt>
                <c:pt idx="439">
                  <c:v>5.2149999999999999</c:v>
                </c:pt>
                <c:pt idx="440">
                  <c:v>5.5149999999999997</c:v>
                </c:pt>
                <c:pt idx="441">
                  <c:v>5.3049999999999997</c:v>
                </c:pt>
                <c:pt idx="442">
                  <c:v>5.3449999999999998</c:v>
                </c:pt>
                <c:pt idx="443">
                  <c:v>5.2450000000000001</c:v>
                </c:pt>
                <c:pt idx="444">
                  <c:v>5.125</c:v>
                </c:pt>
                <c:pt idx="445">
                  <c:v>5.0649999999999897</c:v>
                </c:pt>
                <c:pt idx="446">
                  <c:v>5.125</c:v>
                </c:pt>
                <c:pt idx="447">
                  <c:v>5.1749999999999998</c:v>
                </c:pt>
                <c:pt idx="448">
                  <c:v>5.12</c:v>
                </c:pt>
                <c:pt idx="449">
                  <c:v>5.2149999999999999</c:v>
                </c:pt>
                <c:pt idx="450">
                  <c:v>5.0449999999999999</c:v>
                </c:pt>
                <c:pt idx="451">
                  <c:v>5.0649999999999897</c:v>
                </c:pt>
                <c:pt idx="452">
                  <c:v>5.0049999999999999</c:v>
                </c:pt>
                <c:pt idx="453">
                  <c:v>4.9950000000000001</c:v>
                </c:pt>
                <c:pt idx="454">
                  <c:v>4.9649999999999999</c:v>
                </c:pt>
                <c:pt idx="455">
                  <c:v>4.9400000000000004</c:v>
                </c:pt>
                <c:pt idx="456">
                  <c:v>4.8650000000000002</c:v>
                </c:pt>
                <c:pt idx="457">
                  <c:v>4.7949999999999999</c:v>
                </c:pt>
                <c:pt idx="458">
                  <c:v>4.8449999999999998</c:v>
                </c:pt>
                <c:pt idx="459">
                  <c:v>4.9249999999999998</c:v>
                </c:pt>
                <c:pt idx="460">
                  <c:v>4.9550000000000001</c:v>
                </c:pt>
                <c:pt idx="461">
                  <c:v>4.9050000000000002</c:v>
                </c:pt>
                <c:pt idx="462">
                  <c:v>4.835</c:v>
                </c:pt>
                <c:pt idx="463">
                  <c:v>4.7549999999999999</c:v>
                </c:pt>
                <c:pt idx="464">
                  <c:v>4.7050000000000001</c:v>
                </c:pt>
                <c:pt idx="465">
                  <c:v>4.6349999999999998</c:v>
                </c:pt>
                <c:pt idx="466">
                  <c:v>4.7349999999999897</c:v>
                </c:pt>
                <c:pt idx="467">
                  <c:v>4.8650000000000002</c:v>
                </c:pt>
                <c:pt idx="468">
                  <c:v>4.9749999999999996</c:v>
                </c:pt>
                <c:pt idx="469">
                  <c:v>5.0649999999999897</c:v>
                </c:pt>
                <c:pt idx="470">
                  <c:v>5.0149999999999997</c:v>
                </c:pt>
                <c:pt idx="471">
                  <c:v>4.9849999999999897</c:v>
                </c:pt>
                <c:pt idx="472">
                  <c:v>4.915</c:v>
                </c:pt>
                <c:pt idx="473">
                  <c:v>4.88</c:v>
                </c:pt>
                <c:pt idx="474">
                  <c:v>4.9349999999999996</c:v>
                </c:pt>
                <c:pt idx="475">
                  <c:v>4.8949999999999996</c:v>
                </c:pt>
                <c:pt idx="476">
                  <c:v>4.8549999999999898</c:v>
                </c:pt>
                <c:pt idx="477">
                  <c:v>4.9749999999999996</c:v>
                </c:pt>
                <c:pt idx="478">
                  <c:v>4.8949999999999996</c:v>
                </c:pt>
                <c:pt idx="479">
                  <c:v>4.875</c:v>
                </c:pt>
                <c:pt idx="480">
                  <c:v>4.8849999999999998</c:v>
                </c:pt>
                <c:pt idx="481">
                  <c:v>4.8899999999999997</c:v>
                </c:pt>
                <c:pt idx="482">
                  <c:v>5.0049999999999999</c:v>
                </c:pt>
                <c:pt idx="483">
                  <c:v>5.1100000000000003</c:v>
                </c:pt>
                <c:pt idx="484">
                  <c:v>4.97</c:v>
                </c:pt>
                <c:pt idx="485">
                  <c:v>4.9950000000000001</c:v>
                </c:pt>
                <c:pt idx="486">
                  <c:v>4.9849999999999897</c:v>
                </c:pt>
                <c:pt idx="487">
                  <c:v>4.9249999999999998</c:v>
                </c:pt>
                <c:pt idx="488">
                  <c:v>4.8549999999999898</c:v>
                </c:pt>
                <c:pt idx="489">
                  <c:v>4.7649999999999997</c:v>
                </c:pt>
                <c:pt idx="490">
                  <c:v>4.7050000000000001</c:v>
                </c:pt>
                <c:pt idx="491">
                  <c:v>4.74</c:v>
                </c:pt>
                <c:pt idx="492">
                  <c:v>4.6449999999999996</c:v>
                </c:pt>
                <c:pt idx="493">
                  <c:v>4.6749999999999998</c:v>
                </c:pt>
                <c:pt idx="494">
                  <c:v>4.6150000000000002</c:v>
                </c:pt>
                <c:pt idx="495">
                  <c:v>4.5049999999999999</c:v>
                </c:pt>
                <c:pt idx="496">
                  <c:v>4.4950000000000001</c:v>
                </c:pt>
                <c:pt idx="497">
                  <c:v>4.4950000000000001</c:v>
                </c:pt>
                <c:pt idx="498">
                  <c:v>4.4849999999999897</c:v>
                </c:pt>
                <c:pt idx="499">
                  <c:v>4.4649999999999999</c:v>
                </c:pt>
                <c:pt idx="500">
                  <c:v>4.415</c:v>
                </c:pt>
                <c:pt idx="501">
                  <c:v>4.3650000000000002</c:v>
                </c:pt>
                <c:pt idx="502">
                  <c:v>4.3449999999999998</c:v>
                </c:pt>
                <c:pt idx="503">
                  <c:v>4.2850000000000001</c:v>
                </c:pt>
                <c:pt idx="504">
                  <c:v>4.2450000000000001</c:v>
                </c:pt>
                <c:pt idx="505">
                  <c:v>4.2749999999999897</c:v>
                </c:pt>
                <c:pt idx="506">
                  <c:v>4.2949999999999999</c:v>
                </c:pt>
                <c:pt idx="507">
                  <c:v>4.2949999999999999</c:v>
                </c:pt>
                <c:pt idx="508">
                  <c:v>4.2699999999999996</c:v>
                </c:pt>
                <c:pt idx="509">
                  <c:v>4.22</c:v>
                </c:pt>
                <c:pt idx="510">
                  <c:v>4.1399999999999997</c:v>
                </c:pt>
                <c:pt idx="511">
                  <c:v>4.16</c:v>
                </c:pt>
                <c:pt idx="512">
                  <c:v>4.18</c:v>
                </c:pt>
                <c:pt idx="513">
                  <c:v>4.1900000000000004</c:v>
                </c:pt>
                <c:pt idx="514">
                  <c:v>4.12</c:v>
                </c:pt>
                <c:pt idx="515">
                  <c:v>4.3649999999999904</c:v>
                </c:pt>
                <c:pt idx="516">
                  <c:v>4.3499999999999996</c:v>
                </c:pt>
                <c:pt idx="517">
                  <c:v>4.41</c:v>
                </c:pt>
                <c:pt idx="518">
                  <c:v>4.5350000000000001</c:v>
                </c:pt>
                <c:pt idx="519">
                  <c:v>4.7549999999999999</c:v>
                </c:pt>
                <c:pt idx="520">
                  <c:v>4.7349999999999897</c:v>
                </c:pt>
                <c:pt idx="521">
                  <c:v>4.8099999999999996</c:v>
                </c:pt>
                <c:pt idx="522">
                  <c:v>4.72</c:v>
                </c:pt>
                <c:pt idx="523">
                  <c:v>4.66</c:v>
                </c:pt>
                <c:pt idx="524">
                  <c:v>4.6900000000000004</c:v>
                </c:pt>
                <c:pt idx="525">
                  <c:v>4.7249999999999996</c:v>
                </c:pt>
                <c:pt idx="526">
                  <c:v>4.76</c:v>
                </c:pt>
                <c:pt idx="527">
                  <c:v>4.9749999999999996</c:v>
                </c:pt>
                <c:pt idx="528">
                  <c:v>4.9249999999999998</c:v>
                </c:pt>
                <c:pt idx="529">
                  <c:v>4.8499999999999996</c:v>
                </c:pt>
                <c:pt idx="530">
                  <c:v>4.7949999999999999</c:v>
                </c:pt>
                <c:pt idx="531">
                  <c:v>4.8049999999999997</c:v>
                </c:pt>
                <c:pt idx="532">
                  <c:v>4.6849999999999996</c:v>
                </c:pt>
                <c:pt idx="533">
                  <c:v>4.7349999999999897</c:v>
                </c:pt>
                <c:pt idx="534">
                  <c:v>4.7850000000000001</c:v>
                </c:pt>
                <c:pt idx="535">
                  <c:v>4.7949999999999999</c:v>
                </c:pt>
                <c:pt idx="536">
                  <c:v>4.8099999999999996</c:v>
                </c:pt>
                <c:pt idx="537">
                  <c:v>4.7249999999999996</c:v>
                </c:pt>
                <c:pt idx="538">
                  <c:v>4.7050000000000001</c:v>
                </c:pt>
                <c:pt idx="539">
                  <c:v>4.6349999999999998</c:v>
                </c:pt>
                <c:pt idx="540">
                  <c:v>4.5549999999999997</c:v>
                </c:pt>
                <c:pt idx="541">
                  <c:v>4.5350000000000001</c:v>
                </c:pt>
                <c:pt idx="542">
                  <c:v>4.5249999999999897</c:v>
                </c:pt>
                <c:pt idx="543">
                  <c:v>4.45</c:v>
                </c:pt>
                <c:pt idx="544">
                  <c:v>4.415</c:v>
                </c:pt>
                <c:pt idx="545">
                  <c:v>4.4249999999999998</c:v>
                </c:pt>
                <c:pt idx="546">
                  <c:v>4.45</c:v>
                </c:pt>
                <c:pt idx="547">
                  <c:v>4.4349999999999996</c:v>
                </c:pt>
                <c:pt idx="548">
                  <c:v>4.5249999999999897</c:v>
                </c:pt>
                <c:pt idx="549">
                  <c:v>4.4349999999999996</c:v>
                </c:pt>
                <c:pt idx="550">
                  <c:v>4.4449999999999896</c:v>
                </c:pt>
                <c:pt idx="551">
                  <c:v>4.5</c:v>
                </c:pt>
                <c:pt idx="552">
                  <c:v>4.34</c:v>
                </c:pt>
                <c:pt idx="553">
                  <c:v>4.2450000000000001</c:v>
                </c:pt>
                <c:pt idx="554">
                  <c:v>4.0750000000000002</c:v>
                </c:pt>
                <c:pt idx="555">
                  <c:v>4.1449999999999996</c:v>
                </c:pt>
                <c:pt idx="556">
                  <c:v>4.1449999999999996</c:v>
                </c:pt>
                <c:pt idx="557">
                  <c:v>4.0449999999999999</c:v>
                </c:pt>
                <c:pt idx="558">
                  <c:v>4.0149999999999997</c:v>
                </c:pt>
                <c:pt idx="559">
                  <c:v>4.0149999999999997</c:v>
                </c:pt>
                <c:pt idx="560">
                  <c:v>3.9349999999999898</c:v>
                </c:pt>
                <c:pt idx="561">
                  <c:v>3.89</c:v>
                </c:pt>
                <c:pt idx="562">
                  <c:v>4.07</c:v>
                </c:pt>
                <c:pt idx="563">
                  <c:v>4.0599999999999996</c:v>
                </c:pt>
                <c:pt idx="564">
                  <c:v>4.05</c:v>
                </c:pt>
                <c:pt idx="565">
                  <c:v>3.9249999999999998</c:v>
                </c:pt>
                <c:pt idx="566">
                  <c:v>3.915</c:v>
                </c:pt>
                <c:pt idx="567">
                  <c:v>3.9249999999999998</c:v>
                </c:pt>
                <c:pt idx="568">
                  <c:v>3.9049999999999998</c:v>
                </c:pt>
                <c:pt idx="569">
                  <c:v>3.9249999999999998</c:v>
                </c:pt>
                <c:pt idx="570">
                  <c:v>3.915</c:v>
                </c:pt>
                <c:pt idx="571">
                  <c:v>3.89</c:v>
                </c:pt>
                <c:pt idx="572">
                  <c:v>3.835</c:v>
                </c:pt>
                <c:pt idx="573">
                  <c:v>3.875</c:v>
                </c:pt>
                <c:pt idx="574">
                  <c:v>3.86</c:v>
                </c:pt>
                <c:pt idx="575">
                  <c:v>3.8149999999999999</c:v>
                </c:pt>
                <c:pt idx="576">
                  <c:v>3.83</c:v>
                </c:pt>
                <c:pt idx="577">
                  <c:v>3.9049999999999998</c:v>
                </c:pt>
                <c:pt idx="578">
                  <c:v>3.82</c:v>
                </c:pt>
                <c:pt idx="579">
                  <c:v>3.82</c:v>
                </c:pt>
                <c:pt idx="580">
                  <c:v>3.82</c:v>
                </c:pt>
                <c:pt idx="581">
                  <c:v>3.9</c:v>
                </c:pt>
                <c:pt idx="582">
                  <c:v>3.85</c:v>
                </c:pt>
                <c:pt idx="583">
                  <c:v>3.83</c:v>
                </c:pt>
                <c:pt idx="584">
                  <c:v>3.87</c:v>
                </c:pt>
                <c:pt idx="585">
                  <c:v>4.03</c:v>
                </c:pt>
                <c:pt idx="586">
                  <c:v>3.915</c:v>
                </c:pt>
                <c:pt idx="587">
                  <c:v>3.9049999999999998</c:v>
                </c:pt>
                <c:pt idx="588">
                  <c:v>3.8049999999999899</c:v>
                </c:pt>
                <c:pt idx="589">
                  <c:v>3.85</c:v>
                </c:pt>
                <c:pt idx="590">
                  <c:v>3.8049999999999899</c:v>
                </c:pt>
                <c:pt idx="591">
                  <c:v>3.79</c:v>
                </c:pt>
                <c:pt idx="592">
                  <c:v>3.7549999999999999</c:v>
                </c:pt>
                <c:pt idx="593">
                  <c:v>3.7149999999999999</c:v>
                </c:pt>
                <c:pt idx="594">
                  <c:v>3.73</c:v>
                </c:pt>
                <c:pt idx="595">
                  <c:v>3.7</c:v>
                </c:pt>
                <c:pt idx="596">
                  <c:v>3.59499999999999</c:v>
                </c:pt>
                <c:pt idx="597">
                  <c:v>3.6349999999999998</c:v>
                </c:pt>
                <c:pt idx="598">
                  <c:v>3.585</c:v>
                </c:pt>
                <c:pt idx="599">
                  <c:v>3.585</c:v>
                </c:pt>
                <c:pt idx="600">
                  <c:v>3.57</c:v>
                </c:pt>
                <c:pt idx="601">
                  <c:v>3.4849999999999999</c:v>
                </c:pt>
                <c:pt idx="602">
                  <c:v>3.4549999999999899</c:v>
                </c:pt>
                <c:pt idx="603">
                  <c:v>3.415</c:v>
                </c:pt>
                <c:pt idx="604">
                  <c:v>3.4749999999999899</c:v>
                </c:pt>
                <c:pt idx="605">
                  <c:v>3.48999999999999</c:v>
                </c:pt>
                <c:pt idx="606">
                  <c:v>3.52</c:v>
                </c:pt>
                <c:pt idx="607">
                  <c:v>3.585</c:v>
                </c:pt>
                <c:pt idx="608">
                  <c:v>3.48999999999999</c:v>
                </c:pt>
                <c:pt idx="609">
                  <c:v>3.4749999999999899</c:v>
                </c:pt>
                <c:pt idx="610">
                  <c:v>3.44999999999999</c:v>
                </c:pt>
                <c:pt idx="611">
                  <c:v>3.39</c:v>
                </c:pt>
                <c:pt idx="612">
                  <c:v>3.3</c:v>
                </c:pt>
                <c:pt idx="613">
                  <c:v>3.26</c:v>
                </c:pt>
                <c:pt idx="614">
                  <c:v>3.3149999999999999</c:v>
                </c:pt>
                <c:pt idx="615">
                  <c:v>3.2949999999999999</c:v>
                </c:pt>
                <c:pt idx="616">
                  <c:v>3.335</c:v>
                </c:pt>
                <c:pt idx="617">
                  <c:v>3.3149999999999999</c:v>
                </c:pt>
                <c:pt idx="618">
                  <c:v>3.32499999999999</c:v>
                </c:pt>
                <c:pt idx="619">
                  <c:v>3.2649999999999899</c:v>
                </c:pt>
                <c:pt idx="620">
                  <c:v>3.2349999999999999</c:v>
                </c:pt>
                <c:pt idx="621">
                  <c:v>3.27</c:v>
                </c:pt>
                <c:pt idx="622">
                  <c:v>3.2649999999999899</c:v>
                </c:pt>
                <c:pt idx="623">
                  <c:v>3.2449999999999899</c:v>
                </c:pt>
                <c:pt idx="624">
                  <c:v>3.2949999999999999</c:v>
                </c:pt>
                <c:pt idx="625">
                  <c:v>3.2749999999999999</c:v>
                </c:pt>
                <c:pt idx="626">
                  <c:v>3.2649999999999899</c:v>
                </c:pt>
                <c:pt idx="627">
                  <c:v>3.32499999999999</c:v>
                </c:pt>
                <c:pt idx="628">
                  <c:v>3.3049999999999899</c:v>
                </c:pt>
                <c:pt idx="629">
                  <c:v>3.34499999999999</c:v>
                </c:pt>
                <c:pt idx="630">
                  <c:v>3.4549999999999899</c:v>
                </c:pt>
                <c:pt idx="631">
                  <c:v>3.48</c:v>
                </c:pt>
                <c:pt idx="632">
                  <c:v>3.48</c:v>
                </c:pt>
                <c:pt idx="633">
                  <c:v>3.51</c:v>
                </c:pt>
                <c:pt idx="634">
                  <c:v>3.46</c:v>
                </c:pt>
                <c:pt idx="635">
                  <c:v>3.4449999999999998</c:v>
                </c:pt>
                <c:pt idx="636">
                  <c:v>3.58</c:v>
                </c:pt>
                <c:pt idx="637">
                  <c:v>3.49</c:v>
                </c:pt>
                <c:pt idx="638">
                  <c:v>3.52</c:v>
                </c:pt>
                <c:pt idx="639">
                  <c:v>3.49</c:v>
                </c:pt>
                <c:pt idx="640">
                  <c:v>3.38</c:v>
                </c:pt>
                <c:pt idx="641">
                  <c:v>3.335</c:v>
                </c:pt>
                <c:pt idx="642">
                  <c:v>3.35</c:v>
                </c:pt>
                <c:pt idx="643">
                  <c:v>3.2749999999999999</c:v>
                </c:pt>
                <c:pt idx="644">
                  <c:v>3.34499999999999</c:v>
                </c:pt>
                <c:pt idx="645">
                  <c:v>3.4349999999999898</c:v>
                </c:pt>
                <c:pt idx="646">
                  <c:v>3.5149999999999899</c:v>
                </c:pt>
                <c:pt idx="647">
                  <c:v>3.76</c:v>
                </c:pt>
                <c:pt idx="648">
                  <c:v>3.835</c:v>
                </c:pt>
                <c:pt idx="649">
                  <c:v>3.9049999999999998</c:v>
                </c:pt>
                <c:pt idx="650">
                  <c:v>3.88</c:v>
                </c:pt>
                <c:pt idx="651">
                  <c:v>4.41</c:v>
                </c:pt>
                <c:pt idx="652">
                  <c:v>4.2149999999999999</c:v>
                </c:pt>
                <c:pt idx="653">
                  <c:v>4.46</c:v>
                </c:pt>
                <c:pt idx="654">
                  <c:v>4.2949999999999999</c:v>
                </c:pt>
                <c:pt idx="655">
                  <c:v>4.26</c:v>
                </c:pt>
                <c:pt idx="656">
                  <c:v>4.3149999999999897</c:v>
                </c:pt>
                <c:pt idx="657">
                  <c:v>4.3250000000000002</c:v>
                </c:pt>
                <c:pt idx="658">
                  <c:v>4.3250000000000002</c:v>
                </c:pt>
                <c:pt idx="659">
                  <c:v>4.53</c:v>
                </c:pt>
                <c:pt idx="660">
                  <c:v>4.4349999999999996</c:v>
                </c:pt>
                <c:pt idx="661">
                  <c:v>4.4950000000000001</c:v>
                </c:pt>
                <c:pt idx="662">
                  <c:v>4.5199999999999996</c:v>
                </c:pt>
                <c:pt idx="663">
                  <c:v>4.4249999999999998</c:v>
                </c:pt>
                <c:pt idx="664">
                  <c:v>4.2450000000000001</c:v>
                </c:pt>
                <c:pt idx="665">
                  <c:v>4.1449999999999996</c:v>
                </c:pt>
                <c:pt idx="666">
                  <c:v>4.1550000000000002</c:v>
                </c:pt>
                <c:pt idx="667">
                  <c:v>4.2050000000000001</c:v>
                </c:pt>
                <c:pt idx="668">
                  <c:v>4.08</c:v>
                </c:pt>
                <c:pt idx="669">
                  <c:v>4.0249999999999897</c:v>
                </c:pt>
                <c:pt idx="670">
                  <c:v>4.1100000000000003</c:v>
                </c:pt>
                <c:pt idx="671">
                  <c:v>4.2749999999999897</c:v>
                </c:pt>
                <c:pt idx="672">
                  <c:v>4.1449999999999996</c:v>
                </c:pt>
                <c:pt idx="673">
                  <c:v>4.2149999999999999</c:v>
                </c:pt>
                <c:pt idx="674">
                  <c:v>4.335</c:v>
                </c:pt>
                <c:pt idx="675">
                  <c:v>4.3449999999999998</c:v>
                </c:pt>
                <c:pt idx="676">
                  <c:v>4.3949999999999996</c:v>
                </c:pt>
                <c:pt idx="677">
                  <c:v>4.4050000000000002</c:v>
                </c:pt>
                <c:pt idx="678">
                  <c:v>4.4800000000000004</c:v>
                </c:pt>
                <c:pt idx="679">
                  <c:v>4.4349999999999996</c:v>
                </c:pt>
                <c:pt idx="680">
                  <c:v>4.335</c:v>
                </c:pt>
                <c:pt idx="681">
                  <c:v>4.3149999999999897</c:v>
                </c:pt>
                <c:pt idx="682">
                  <c:v>4.2450000000000001</c:v>
                </c:pt>
                <c:pt idx="683">
                  <c:v>4.1550000000000002</c:v>
                </c:pt>
                <c:pt idx="684">
                  <c:v>4.2050000000000001</c:v>
                </c:pt>
                <c:pt idx="685">
                  <c:v>4.2549999999999999</c:v>
                </c:pt>
                <c:pt idx="686">
                  <c:v>4.2949999999999999</c:v>
                </c:pt>
                <c:pt idx="687">
                  <c:v>4.2050000000000001</c:v>
                </c:pt>
                <c:pt idx="688">
                  <c:v>4.2699999999999996</c:v>
                </c:pt>
                <c:pt idx="689">
                  <c:v>4.22</c:v>
                </c:pt>
                <c:pt idx="690">
                  <c:v>4.3</c:v>
                </c:pt>
                <c:pt idx="691">
                  <c:v>4.335</c:v>
                </c:pt>
                <c:pt idx="692">
                  <c:v>4.2649999999999997</c:v>
                </c:pt>
                <c:pt idx="693">
                  <c:v>4.1949999999999896</c:v>
                </c:pt>
                <c:pt idx="694">
                  <c:v>4.2300000000000004</c:v>
                </c:pt>
                <c:pt idx="695">
                  <c:v>4.2149999999999999</c:v>
                </c:pt>
                <c:pt idx="696">
                  <c:v>4.1100000000000003</c:v>
                </c:pt>
                <c:pt idx="697">
                  <c:v>4.0999999999999996</c:v>
                </c:pt>
                <c:pt idx="698">
                  <c:v>4.04</c:v>
                </c:pt>
                <c:pt idx="699">
                  <c:v>4.0199999999999996</c:v>
                </c:pt>
                <c:pt idx="700">
                  <c:v>4.0149999999999997</c:v>
                </c:pt>
                <c:pt idx="701">
                  <c:v>4.0999999999999996</c:v>
                </c:pt>
                <c:pt idx="702">
                  <c:v>4.07</c:v>
                </c:pt>
                <c:pt idx="703">
                  <c:v>4.0149999999999997</c:v>
                </c:pt>
                <c:pt idx="704">
                  <c:v>3.9950000000000001</c:v>
                </c:pt>
                <c:pt idx="705">
                  <c:v>4.0750000000000002</c:v>
                </c:pt>
                <c:pt idx="706">
                  <c:v>4.03</c:v>
                </c:pt>
                <c:pt idx="707">
                  <c:v>4.03</c:v>
                </c:pt>
                <c:pt idx="708">
                  <c:v>4.0199999999999996</c:v>
                </c:pt>
                <c:pt idx="709">
                  <c:v>4.0649999999999897</c:v>
                </c:pt>
                <c:pt idx="710">
                  <c:v>4.0199999999999996</c:v>
                </c:pt>
                <c:pt idx="711">
                  <c:v>3.9749999999999899</c:v>
                </c:pt>
                <c:pt idx="712">
                  <c:v>3.9749999999999899</c:v>
                </c:pt>
                <c:pt idx="713">
                  <c:v>3.9749999999999899</c:v>
                </c:pt>
                <c:pt idx="714">
                  <c:v>3.9950000000000001</c:v>
                </c:pt>
                <c:pt idx="715">
                  <c:v>4.1050000000000004</c:v>
                </c:pt>
                <c:pt idx="716">
                  <c:v>4.0750000000000002</c:v>
                </c:pt>
                <c:pt idx="717">
                  <c:v>4.04</c:v>
                </c:pt>
                <c:pt idx="718">
                  <c:v>3.9950000000000001</c:v>
                </c:pt>
                <c:pt idx="719">
                  <c:v>3.8450000000000002</c:v>
                </c:pt>
                <c:pt idx="720">
                  <c:v>3.7949999999999999</c:v>
                </c:pt>
                <c:pt idx="721">
                  <c:v>3.855</c:v>
                </c:pt>
                <c:pt idx="722">
                  <c:v>3.8949999999999898</c:v>
                </c:pt>
                <c:pt idx="723">
                  <c:v>3.8849999999999998</c:v>
                </c:pt>
                <c:pt idx="724">
                  <c:v>3.8650000000000002</c:v>
                </c:pt>
                <c:pt idx="725">
                  <c:v>3.8450000000000002</c:v>
                </c:pt>
                <c:pt idx="726">
                  <c:v>3.7650000000000001</c:v>
                </c:pt>
                <c:pt idx="727">
                  <c:v>3.8050000000000002</c:v>
                </c:pt>
                <c:pt idx="728">
                  <c:v>3.69999999999999</c:v>
                </c:pt>
                <c:pt idx="729">
                  <c:v>3.73</c:v>
                </c:pt>
                <c:pt idx="730">
                  <c:v>3.77</c:v>
                </c:pt>
                <c:pt idx="731">
                  <c:v>3.63</c:v>
                </c:pt>
                <c:pt idx="732">
                  <c:v>3.56</c:v>
                </c:pt>
                <c:pt idx="733">
                  <c:v>3.5549999999999899</c:v>
                </c:pt>
                <c:pt idx="734">
                  <c:v>3.56</c:v>
                </c:pt>
                <c:pt idx="735">
                  <c:v>3.5149999999999899</c:v>
                </c:pt>
                <c:pt idx="736">
                  <c:v>3.59</c:v>
                </c:pt>
                <c:pt idx="737">
                  <c:v>3.6599999999999899</c:v>
                </c:pt>
                <c:pt idx="738">
                  <c:v>3.69999999999999</c:v>
                </c:pt>
                <c:pt idx="739">
                  <c:v>3.65</c:v>
                </c:pt>
                <c:pt idx="740">
                  <c:v>3.76</c:v>
                </c:pt>
                <c:pt idx="741">
                  <c:v>3.6799999999999899</c:v>
                </c:pt>
                <c:pt idx="742">
                  <c:v>3.59</c:v>
                </c:pt>
                <c:pt idx="743">
                  <c:v>3.6</c:v>
                </c:pt>
                <c:pt idx="744">
                  <c:v>3.56</c:v>
                </c:pt>
                <c:pt idx="745">
                  <c:v>3.59499999999999</c:v>
                </c:pt>
                <c:pt idx="746">
                  <c:v>3.55</c:v>
                </c:pt>
                <c:pt idx="747">
                  <c:v>3.58</c:v>
                </c:pt>
                <c:pt idx="748">
                  <c:v>3.69999999999999</c:v>
                </c:pt>
                <c:pt idx="749">
                  <c:v>3.75</c:v>
                </c:pt>
                <c:pt idx="750">
                  <c:v>3.7649999999999899</c:v>
                </c:pt>
                <c:pt idx="751">
                  <c:v>3.77</c:v>
                </c:pt>
                <c:pt idx="752">
                  <c:v>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296320"/>
        <c:axId val="306297856"/>
      </c:lineChart>
      <c:dateAx>
        <c:axId val="3062963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6297856"/>
        <c:crosses val="autoZero"/>
        <c:auto val="1"/>
        <c:lblOffset val="100"/>
        <c:baseTimeUnit val="days"/>
      </c:dateAx>
      <c:valAx>
        <c:axId val="3062978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3062963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3"/>
          <c:order val="2"/>
          <c:tx>
            <c:strRef>
              <c:f>'Low Rate Result'!$F$2</c:f>
              <c:strCache>
                <c:ptCount val="1"/>
                <c:pt idx="0">
                  <c:v>Lowest Rate Weekly-cerrect</c:v>
                </c:pt>
              </c:strCache>
            </c:strRef>
          </c:tx>
          <c:spPr>
            <a:solidFill>
              <a:srgbClr val="2E8A60"/>
            </a:solidFill>
            <a:ln w="12700">
              <a:noFill/>
            </a:ln>
          </c:spPr>
          <c:invertIfNegative val="0"/>
          <c:val>
            <c:numRef>
              <c:f>'Low Rate Result'!$F$3:$F$233</c:f>
              <c:numCache>
                <c:formatCode>0.00%</c:formatCode>
                <c:ptCount val="231"/>
                <c:pt idx="0">
                  <c:v>0</c:v>
                </c:pt>
                <c:pt idx="1">
                  <c:v>5.80030998251819E-5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4.9225242343752603E-4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3.6012387911354998E-4</c:v>
                </c:pt>
                <c:pt idx="16">
                  <c:v>3.6290053539469699E-4</c:v>
                </c:pt>
                <c:pt idx="17">
                  <c:v>1.82362980081562E-3</c:v>
                </c:pt>
                <c:pt idx="18">
                  <c:v>4.5959167751793003E-3</c:v>
                </c:pt>
                <c:pt idx="19">
                  <c:v>4.6431452038205798E-3</c:v>
                </c:pt>
                <c:pt idx="20">
                  <c:v>4.6547514757033599E-3</c:v>
                </c:pt>
                <c:pt idx="21">
                  <c:v>7.3340957383171597E-3</c:v>
                </c:pt>
                <c:pt idx="22">
                  <c:v>1.05889699277147E-2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6.2583851957797503E-4</c:v>
                </c:pt>
                <c:pt idx="28">
                  <c:v>0</c:v>
                </c:pt>
                <c:pt idx="29">
                  <c:v>0</c:v>
                </c:pt>
                <c:pt idx="30">
                  <c:v>1.93393301571353E-2</c:v>
                </c:pt>
                <c:pt idx="31">
                  <c:v>3.6312412114141997E-2</c:v>
                </c:pt>
                <c:pt idx="32">
                  <c:v>0.76977670194978398</c:v>
                </c:pt>
                <c:pt idx="33">
                  <c:v>0</c:v>
                </c:pt>
                <c:pt idx="34">
                  <c:v>0</c:v>
                </c:pt>
                <c:pt idx="35">
                  <c:v>0.786160649616369</c:v>
                </c:pt>
                <c:pt idx="36">
                  <c:v>0.78833832359916201</c:v>
                </c:pt>
                <c:pt idx="37">
                  <c:v>0</c:v>
                </c:pt>
                <c:pt idx="38">
                  <c:v>0.83561176946303795</c:v>
                </c:pt>
                <c:pt idx="39">
                  <c:v>0.82194247765297301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8.7950076846855297E-4</c:v>
                </c:pt>
                <c:pt idx="45">
                  <c:v>0</c:v>
                </c:pt>
                <c:pt idx="46">
                  <c:v>8.8101230968728496E-4</c:v>
                </c:pt>
                <c:pt idx="47">
                  <c:v>0</c:v>
                </c:pt>
                <c:pt idx="48">
                  <c:v>6.7786594921879302E-4</c:v>
                </c:pt>
                <c:pt idx="49">
                  <c:v>0.79669049657242397</c:v>
                </c:pt>
                <c:pt idx="50">
                  <c:v>0.82559057548597004</c:v>
                </c:pt>
                <c:pt idx="51">
                  <c:v>0</c:v>
                </c:pt>
                <c:pt idx="52">
                  <c:v>0</c:v>
                </c:pt>
                <c:pt idx="53">
                  <c:v>0.81663205917875104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7.6028475141971797E-4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0.80265108338267499</c:v>
                </c:pt>
                <c:pt idx="67">
                  <c:v>0</c:v>
                </c:pt>
                <c:pt idx="68">
                  <c:v>0.80265108338267499</c:v>
                </c:pt>
                <c:pt idx="69">
                  <c:v>0.80415566862182497</c:v>
                </c:pt>
                <c:pt idx="70">
                  <c:v>0.80754152596055995</c:v>
                </c:pt>
                <c:pt idx="71">
                  <c:v>0.831927164274886</c:v>
                </c:pt>
                <c:pt idx="72">
                  <c:v>0</c:v>
                </c:pt>
                <c:pt idx="73">
                  <c:v>0.83309495413351498</c:v>
                </c:pt>
                <c:pt idx="74">
                  <c:v>0.86123151402869003</c:v>
                </c:pt>
                <c:pt idx="75">
                  <c:v>0</c:v>
                </c:pt>
                <c:pt idx="76">
                  <c:v>0.86355719580735102</c:v>
                </c:pt>
                <c:pt idx="77">
                  <c:v>0.86355719580735102</c:v>
                </c:pt>
                <c:pt idx="78">
                  <c:v>0.85480310148891403</c:v>
                </c:pt>
                <c:pt idx="79">
                  <c:v>0.88306588959651799</c:v>
                </c:pt>
                <c:pt idx="80">
                  <c:v>0.88557582733423201</c:v>
                </c:pt>
                <c:pt idx="81">
                  <c:v>0.89854811201564799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3.4287960012666001E-3</c:v>
                </c:pt>
                <c:pt idx="89">
                  <c:v>0.87391634150534703</c:v>
                </c:pt>
                <c:pt idx="90">
                  <c:v>0.91307424668051995</c:v>
                </c:pt>
                <c:pt idx="91">
                  <c:v>0.89337068210282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3.6805392889150699E-3</c:v>
                </c:pt>
                <c:pt idx="98">
                  <c:v>0.88870182147749199</c:v>
                </c:pt>
                <c:pt idx="99">
                  <c:v>0</c:v>
                </c:pt>
                <c:pt idx="100">
                  <c:v>0</c:v>
                </c:pt>
                <c:pt idx="101">
                  <c:v>1.92397129365898E-3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5.4993651942507197E-4</c:v>
                </c:pt>
                <c:pt idx="111">
                  <c:v>0</c:v>
                </c:pt>
                <c:pt idx="112">
                  <c:v>5.5309707563809801E-4</c:v>
                </c:pt>
                <c:pt idx="113">
                  <c:v>7.62863846133132E-4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3.9681299102296798E-3</c:v>
                </c:pt>
                <c:pt idx="119">
                  <c:v>5.4959854023419203E-3</c:v>
                </c:pt>
                <c:pt idx="120">
                  <c:v>0</c:v>
                </c:pt>
                <c:pt idx="121">
                  <c:v>9.3714860500272602E-3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1.2070812662829E-4</c:v>
                </c:pt>
                <c:pt idx="142">
                  <c:v>8.9334697556313401E-4</c:v>
                </c:pt>
                <c:pt idx="143">
                  <c:v>1.7927762872913E-3</c:v>
                </c:pt>
                <c:pt idx="144">
                  <c:v>0</c:v>
                </c:pt>
                <c:pt idx="145">
                  <c:v>0</c:v>
                </c:pt>
                <c:pt idx="146">
                  <c:v>4.7022607373106203E-3</c:v>
                </c:pt>
                <c:pt idx="147">
                  <c:v>6.1587902327108696E-3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1.04165660314928E-4</c:v>
                </c:pt>
                <c:pt idx="158">
                  <c:v>4.3244857845843099E-4</c:v>
                </c:pt>
                <c:pt idx="159">
                  <c:v>4.3538471617421198E-4</c:v>
                </c:pt>
                <c:pt idx="160">
                  <c:v>9.04155248858617E-4</c:v>
                </c:pt>
                <c:pt idx="161">
                  <c:v>1.56502134325395E-3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3.2608018628066501E-4</c:v>
                </c:pt>
                <c:pt idx="171">
                  <c:v>1.3569924293908599E-3</c:v>
                </c:pt>
                <c:pt idx="172">
                  <c:v>0</c:v>
                </c:pt>
                <c:pt idx="173">
                  <c:v>0</c:v>
                </c:pt>
                <c:pt idx="174">
                  <c:v>1.33698656511534E-2</c:v>
                </c:pt>
                <c:pt idx="175">
                  <c:v>1.3390108612719401E-2</c:v>
                </c:pt>
                <c:pt idx="176">
                  <c:v>1.7600292816905099E-2</c:v>
                </c:pt>
                <c:pt idx="177">
                  <c:v>2.8641136811507002E-2</c:v>
                </c:pt>
                <c:pt idx="178">
                  <c:v>3.2896088379140397E-2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4.9242422986382497E-2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5.9130346511517896E-4</c:v>
                </c:pt>
                <c:pt idx="189">
                  <c:v>5.44200843584444E-2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1.00775509847578E-3</c:v>
                </c:pt>
                <c:pt idx="197">
                  <c:v>9.0356790924596503E-2</c:v>
                </c:pt>
                <c:pt idx="198">
                  <c:v>0.103644934949105</c:v>
                </c:pt>
                <c:pt idx="199">
                  <c:v>0</c:v>
                </c:pt>
                <c:pt idx="200">
                  <c:v>0</c:v>
                </c:pt>
                <c:pt idx="201">
                  <c:v>1.4902494177175701E-3</c:v>
                </c:pt>
                <c:pt idx="202">
                  <c:v>1.9465534524820899E-3</c:v>
                </c:pt>
                <c:pt idx="203">
                  <c:v>1.9601498700341099E-3</c:v>
                </c:pt>
                <c:pt idx="204">
                  <c:v>0.106230521131833</c:v>
                </c:pt>
                <c:pt idx="205">
                  <c:v>0</c:v>
                </c:pt>
                <c:pt idx="206">
                  <c:v>0.127103043508559</c:v>
                </c:pt>
                <c:pt idx="207">
                  <c:v>0</c:v>
                </c:pt>
                <c:pt idx="208">
                  <c:v>0</c:v>
                </c:pt>
                <c:pt idx="209">
                  <c:v>0.14268475210645201</c:v>
                </c:pt>
                <c:pt idx="210">
                  <c:v>0.177765501913389</c:v>
                </c:pt>
                <c:pt idx="211">
                  <c:v>0.17811212012226099</c:v>
                </c:pt>
                <c:pt idx="212">
                  <c:v>0</c:v>
                </c:pt>
                <c:pt idx="213">
                  <c:v>0.17933240004933601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9.60298428502188E-4</c:v>
                </c:pt>
                <c:pt idx="221">
                  <c:v>0</c:v>
                </c:pt>
                <c:pt idx="222">
                  <c:v>3.87908393633439E-3</c:v>
                </c:pt>
                <c:pt idx="223">
                  <c:v>0</c:v>
                </c:pt>
                <c:pt idx="224">
                  <c:v>3.9431628666260904E-3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6419584"/>
        <c:axId val="306421120"/>
      </c:barChart>
      <c:lineChart>
        <c:grouping val="standard"/>
        <c:varyColors val="0"/>
        <c:ser>
          <c:idx val="0"/>
          <c:order val="0"/>
          <c:tx>
            <c:strRef>
              <c:f>'Low Rate Result'!$C$2</c:f>
              <c:strCache>
                <c:ptCount val="1"/>
                <c:pt idx="0">
                  <c:v>Without Lowest Rate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Result'!$C$3:$C$233</c:f>
              <c:numCache>
                <c:formatCode>0.00%</c:formatCode>
                <c:ptCount val="231"/>
                <c:pt idx="0">
                  <c:v>0.477996028899563</c:v>
                </c:pt>
                <c:pt idx="1">
                  <c:v>0.49650185657562101</c:v>
                </c:pt>
                <c:pt idx="2">
                  <c:v>0.48029569588235599</c:v>
                </c:pt>
                <c:pt idx="3">
                  <c:v>0.47679593730615699</c:v>
                </c:pt>
                <c:pt idx="4">
                  <c:v>0.43462013043084002</c:v>
                </c:pt>
                <c:pt idx="5">
                  <c:v>0.35529176669040102</c:v>
                </c:pt>
                <c:pt idx="6">
                  <c:v>0.37678804128174298</c:v>
                </c:pt>
                <c:pt idx="7">
                  <c:v>0.41551493659156002</c:v>
                </c:pt>
                <c:pt idx="8">
                  <c:v>0.42215163100202302</c:v>
                </c:pt>
                <c:pt idx="9">
                  <c:v>0.42124985629360401</c:v>
                </c:pt>
                <c:pt idx="10">
                  <c:v>0.46784663358763601</c:v>
                </c:pt>
                <c:pt idx="11">
                  <c:v>0.450158099668103</c:v>
                </c:pt>
                <c:pt idx="12">
                  <c:v>0.42282958858632702</c:v>
                </c:pt>
                <c:pt idx="13">
                  <c:v>0.414778538159287</c:v>
                </c:pt>
                <c:pt idx="14">
                  <c:v>0.41340612440810998</c:v>
                </c:pt>
                <c:pt idx="15">
                  <c:v>0.44381782258269298</c:v>
                </c:pt>
                <c:pt idx="16">
                  <c:v>0.44565511936132601</c:v>
                </c:pt>
                <c:pt idx="17">
                  <c:v>0.45891120103405703</c:v>
                </c:pt>
                <c:pt idx="18">
                  <c:v>0.50042582297659</c:v>
                </c:pt>
                <c:pt idx="19">
                  <c:v>0.50447592982476996</c:v>
                </c:pt>
                <c:pt idx="20">
                  <c:v>0.50568534347274297</c:v>
                </c:pt>
                <c:pt idx="21">
                  <c:v>0.53450860338875705</c:v>
                </c:pt>
                <c:pt idx="22">
                  <c:v>0.55556126357331004</c:v>
                </c:pt>
                <c:pt idx="23">
                  <c:v>0.55544034698333999</c:v>
                </c:pt>
                <c:pt idx="24">
                  <c:v>0.53450860338875705</c:v>
                </c:pt>
                <c:pt idx="25">
                  <c:v>0.55445082777023702</c:v>
                </c:pt>
                <c:pt idx="26">
                  <c:v>0.49771283747510803</c:v>
                </c:pt>
                <c:pt idx="27">
                  <c:v>0.55014388201104203</c:v>
                </c:pt>
                <c:pt idx="28">
                  <c:v>0.53018048409344898</c:v>
                </c:pt>
                <c:pt idx="29">
                  <c:v>0.52333294764067595</c:v>
                </c:pt>
                <c:pt idx="30">
                  <c:v>0.59636201439054404</c:v>
                </c:pt>
                <c:pt idx="31">
                  <c:v>0.68796050816059295</c:v>
                </c:pt>
                <c:pt idx="32">
                  <c:v>0.76968967049094095</c:v>
                </c:pt>
                <c:pt idx="33">
                  <c:v>0.73013076231760698</c:v>
                </c:pt>
                <c:pt idx="34">
                  <c:v>0.72518805605942505</c:v>
                </c:pt>
                <c:pt idx="35">
                  <c:v>0.78586619764471199</c:v>
                </c:pt>
                <c:pt idx="36">
                  <c:v>0.78804143101353397</c:v>
                </c:pt>
                <c:pt idx="37">
                  <c:v>0.78804143101353397</c:v>
                </c:pt>
                <c:pt idx="38">
                  <c:v>0.83535228019697605</c:v>
                </c:pt>
                <c:pt idx="39">
                  <c:v>0.82324225699227804</c:v>
                </c:pt>
                <c:pt idx="40">
                  <c:v>0.75043074974252599</c:v>
                </c:pt>
                <c:pt idx="41">
                  <c:v>0.76889855223368597</c:v>
                </c:pt>
                <c:pt idx="42">
                  <c:v>0.77033919514702098</c:v>
                </c:pt>
                <c:pt idx="43">
                  <c:v>0.80719780316763601</c:v>
                </c:pt>
                <c:pt idx="44">
                  <c:v>0.80724570771905702</c:v>
                </c:pt>
                <c:pt idx="45">
                  <c:v>0.80719780316763601</c:v>
                </c:pt>
                <c:pt idx="46">
                  <c:v>0.80850149462655696</c:v>
                </c:pt>
                <c:pt idx="47">
                  <c:v>0.79441104681633201</c:v>
                </c:pt>
                <c:pt idx="48">
                  <c:v>0.79445840936885304</c:v>
                </c:pt>
                <c:pt idx="49">
                  <c:v>0.79646175435893696</c:v>
                </c:pt>
                <c:pt idx="50">
                  <c:v>0.82537040355923197</c:v>
                </c:pt>
                <c:pt idx="51">
                  <c:v>0.81734633197465201</c:v>
                </c:pt>
                <c:pt idx="52">
                  <c:v>0.80629912189469399</c:v>
                </c:pt>
                <c:pt idx="53">
                  <c:v>0.81626218699844599</c:v>
                </c:pt>
                <c:pt idx="54">
                  <c:v>0.81461584859780101</c:v>
                </c:pt>
                <c:pt idx="55">
                  <c:v>0.78339393568549298</c:v>
                </c:pt>
                <c:pt idx="56">
                  <c:v>0.79842547980239797</c:v>
                </c:pt>
                <c:pt idx="57">
                  <c:v>0.79842547980239797</c:v>
                </c:pt>
                <c:pt idx="58">
                  <c:v>0.79842547980239797</c:v>
                </c:pt>
                <c:pt idx="59">
                  <c:v>0.76669716579457303</c:v>
                </c:pt>
                <c:pt idx="60">
                  <c:v>0.77480777056815697</c:v>
                </c:pt>
                <c:pt idx="61">
                  <c:v>0.78283886771012201</c:v>
                </c:pt>
                <c:pt idx="62">
                  <c:v>0.77421402081353796</c:v>
                </c:pt>
                <c:pt idx="63">
                  <c:v>0.69937061468571404</c:v>
                </c:pt>
                <c:pt idx="64">
                  <c:v>0.749723434167341</c:v>
                </c:pt>
                <c:pt idx="65">
                  <c:v>0.75253147533014197</c:v>
                </c:pt>
                <c:pt idx="66">
                  <c:v>0.80193881910043296</c:v>
                </c:pt>
                <c:pt idx="67">
                  <c:v>0.77781138796328697</c:v>
                </c:pt>
                <c:pt idx="68">
                  <c:v>0.80193881910043296</c:v>
                </c:pt>
                <c:pt idx="69">
                  <c:v>0.80437080516661097</c:v>
                </c:pt>
                <c:pt idx="70">
                  <c:v>0.807152941952609</c:v>
                </c:pt>
                <c:pt idx="71">
                  <c:v>0.83152220645888697</c:v>
                </c:pt>
                <c:pt idx="72">
                  <c:v>0.82948257912141399</c:v>
                </c:pt>
                <c:pt idx="73">
                  <c:v>0.83268888035603505</c:v>
                </c:pt>
                <c:pt idx="74">
                  <c:v>0.86243439572202496</c:v>
                </c:pt>
                <c:pt idx="75">
                  <c:v>0.84549296973434196</c:v>
                </c:pt>
                <c:pt idx="76">
                  <c:v>0.86306170802286497</c:v>
                </c:pt>
                <c:pt idx="77">
                  <c:v>0.86306170802286497</c:v>
                </c:pt>
                <c:pt idx="78">
                  <c:v>0.85531584833132801</c:v>
                </c:pt>
                <c:pt idx="79">
                  <c:v>0.88265848165302496</c:v>
                </c:pt>
                <c:pt idx="80">
                  <c:v>0.88516739973977598</c:v>
                </c:pt>
                <c:pt idx="81">
                  <c:v>0.89814744996460805</c:v>
                </c:pt>
                <c:pt idx="82">
                  <c:v>0.86768818253450297</c:v>
                </c:pt>
                <c:pt idx="83">
                  <c:v>0.86745968477328095</c:v>
                </c:pt>
                <c:pt idx="84">
                  <c:v>0.85198632502448901</c:v>
                </c:pt>
                <c:pt idx="85">
                  <c:v>0.83819941388679298</c:v>
                </c:pt>
                <c:pt idx="86">
                  <c:v>0.86745968477328095</c:v>
                </c:pt>
                <c:pt idx="87">
                  <c:v>0.854493626143913</c:v>
                </c:pt>
                <c:pt idx="88">
                  <c:v>0.85731125996939705</c:v>
                </c:pt>
                <c:pt idx="89">
                  <c:v>0.87344930653794395</c:v>
                </c:pt>
                <c:pt idx="90">
                  <c:v>0.91259028169208301</c:v>
                </c:pt>
                <c:pt idx="91">
                  <c:v>0.89522709255279198</c:v>
                </c:pt>
                <c:pt idx="92">
                  <c:v>0.87811016351224602</c:v>
                </c:pt>
                <c:pt idx="93">
                  <c:v>0.89368551357821302</c:v>
                </c:pt>
                <c:pt idx="94">
                  <c:v>0.87683234085301398</c:v>
                </c:pt>
                <c:pt idx="95">
                  <c:v>0.85225052894835196</c:v>
                </c:pt>
                <c:pt idx="96">
                  <c:v>0.85194480836680198</c:v>
                </c:pt>
                <c:pt idx="97">
                  <c:v>0.86999483052125803</c:v>
                </c:pt>
                <c:pt idx="98">
                  <c:v>0.88773399472374204</c:v>
                </c:pt>
                <c:pt idx="99">
                  <c:v>0.86996445945149903</c:v>
                </c:pt>
                <c:pt idx="100">
                  <c:v>0.85662578219432695</c:v>
                </c:pt>
                <c:pt idx="101">
                  <c:v>0.87412257034895602</c:v>
                </c:pt>
                <c:pt idx="102">
                  <c:v>0.85522983991809798</c:v>
                </c:pt>
                <c:pt idx="103">
                  <c:v>0.85626060279274896</c:v>
                </c:pt>
                <c:pt idx="104">
                  <c:v>0.83696581575361895</c:v>
                </c:pt>
                <c:pt idx="105">
                  <c:v>0.81798384699460103</c:v>
                </c:pt>
                <c:pt idx="106">
                  <c:v>0.83503612629874802</c:v>
                </c:pt>
                <c:pt idx="107">
                  <c:v>0.81634992305868503</c:v>
                </c:pt>
                <c:pt idx="108">
                  <c:v>0.77322369572310801</c:v>
                </c:pt>
                <c:pt idx="109">
                  <c:v>0.75155379277106704</c:v>
                </c:pt>
                <c:pt idx="110">
                  <c:v>0.75155379277106704</c:v>
                </c:pt>
                <c:pt idx="111">
                  <c:v>0.73462902469773095</c:v>
                </c:pt>
                <c:pt idx="112">
                  <c:v>0.75332777657917305</c:v>
                </c:pt>
                <c:pt idx="113">
                  <c:v>0.731898053840778</c:v>
                </c:pt>
                <c:pt idx="114">
                  <c:v>0.69793386100167498</c:v>
                </c:pt>
                <c:pt idx="115">
                  <c:v>0.72870485724391698</c:v>
                </c:pt>
                <c:pt idx="116">
                  <c:v>0.712062870316722</c:v>
                </c:pt>
                <c:pt idx="117">
                  <c:v>0.71361316522728502</c:v>
                </c:pt>
                <c:pt idx="118">
                  <c:v>0.73719138808657003</c:v>
                </c:pt>
                <c:pt idx="119">
                  <c:v>0.76108985756873504</c:v>
                </c:pt>
                <c:pt idx="120">
                  <c:v>0.759939269856726</c:v>
                </c:pt>
                <c:pt idx="121">
                  <c:v>0.77520531199879605</c:v>
                </c:pt>
                <c:pt idx="122">
                  <c:v>0.75094523370436095</c:v>
                </c:pt>
                <c:pt idx="123">
                  <c:v>0.72159050384319001</c:v>
                </c:pt>
                <c:pt idx="124">
                  <c:v>0.68530860108825797</c:v>
                </c:pt>
                <c:pt idx="125">
                  <c:v>0.61546645850988302</c:v>
                </c:pt>
                <c:pt idx="126">
                  <c:v>0.57861777554698002</c:v>
                </c:pt>
                <c:pt idx="127">
                  <c:v>0.55842108987699401</c:v>
                </c:pt>
                <c:pt idx="128">
                  <c:v>0.55919632116239604</c:v>
                </c:pt>
                <c:pt idx="129">
                  <c:v>0.35042164075900101</c:v>
                </c:pt>
                <c:pt idx="130">
                  <c:v>0.439218479739446</c:v>
                </c:pt>
                <c:pt idx="131">
                  <c:v>0.32003461094412999</c:v>
                </c:pt>
                <c:pt idx="132">
                  <c:v>0.407195502334876</c:v>
                </c:pt>
                <c:pt idx="133">
                  <c:v>0.40895553727695599</c:v>
                </c:pt>
                <c:pt idx="134">
                  <c:v>0.36357930006355599</c:v>
                </c:pt>
                <c:pt idx="135">
                  <c:v>0.36292296585782302</c:v>
                </c:pt>
                <c:pt idx="136">
                  <c:v>0.36292296585782302</c:v>
                </c:pt>
                <c:pt idx="137">
                  <c:v>0.28848466841060699</c:v>
                </c:pt>
                <c:pt idx="138">
                  <c:v>0.32738957382411199</c:v>
                </c:pt>
                <c:pt idx="139">
                  <c:v>0.29894428975906101</c:v>
                </c:pt>
                <c:pt idx="140">
                  <c:v>0.28251411119681702</c:v>
                </c:pt>
                <c:pt idx="141">
                  <c:v>0.32091811677951898</c:v>
                </c:pt>
                <c:pt idx="142">
                  <c:v>0.41607421536967498</c:v>
                </c:pt>
                <c:pt idx="143">
                  <c:v>0.43751781158176101</c:v>
                </c:pt>
                <c:pt idx="144">
                  <c:v>0.43701315967767701</c:v>
                </c:pt>
                <c:pt idx="145">
                  <c:v>0.40902347477168999</c:v>
                </c:pt>
                <c:pt idx="146">
                  <c:v>0.45648777309490202</c:v>
                </c:pt>
                <c:pt idx="147">
                  <c:v>0.47501022290439499</c:v>
                </c:pt>
                <c:pt idx="148">
                  <c:v>0.44788779304034998</c:v>
                </c:pt>
                <c:pt idx="149">
                  <c:v>0.37120289750535601</c:v>
                </c:pt>
                <c:pt idx="150">
                  <c:v>0.42989701258795199</c:v>
                </c:pt>
                <c:pt idx="151">
                  <c:v>0.401262959025458</c:v>
                </c:pt>
                <c:pt idx="152">
                  <c:v>0.331227934580689</c:v>
                </c:pt>
                <c:pt idx="153">
                  <c:v>0.33082970500556302</c:v>
                </c:pt>
                <c:pt idx="154">
                  <c:v>0.29198850689481598</c:v>
                </c:pt>
                <c:pt idx="155">
                  <c:v>0.29162362501885603</c:v>
                </c:pt>
                <c:pt idx="156">
                  <c:v>0.265306805945277</c:v>
                </c:pt>
                <c:pt idx="157">
                  <c:v>0.29015447722721099</c:v>
                </c:pt>
                <c:pt idx="158">
                  <c:v>0.32467403778332998</c:v>
                </c:pt>
                <c:pt idx="159">
                  <c:v>0.32547727058860199</c:v>
                </c:pt>
                <c:pt idx="160">
                  <c:v>0.38449844249950499</c:v>
                </c:pt>
                <c:pt idx="161">
                  <c:v>0.407383000493176</c:v>
                </c:pt>
                <c:pt idx="162">
                  <c:v>0.380280894786581</c:v>
                </c:pt>
                <c:pt idx="163">
                  <c:v>0.35043602810261099</c:v>
                </c:pt>
                <c:pt idx="164">
                  <c:v>0.34853875137296803</c:v>
                </c:pt>
                <c:pt idx="165">
                  <c:v>0.37584545219724702</c:v>
                </c:pt>
                <c:pt idx="166">
                  <c:v>0.34537825411835699</c:v>
                </c:pt>
                <c:pt idx="167">
                  <c:v>0.37475184713589199</c:v>
                </c:pt>
                <c:pt idx="168">
                  <c:v>0.34373332978073601</c:v>
                </c:pt>
                <c:pt idx="169">
                  <c:v>0.31383635422742501</c:v>
                </c:pt>
                <c:pt idx="170">
                  <c:v>0.34451093908200903</c:v>
                </c:pt>
                <c:pt idx="171">
                  <c:v>0.37550642358643799</c:v>
                </c:pt>
                <c:pt idx="172">
                  <c:v>0.37394334466633</c:v>
                </c:pt>
                <c:pt idx="173">
                  <c:v>0.37348002875422498</c:v>
                </c:pt>
                <c:pt idx="174">
                  <c:v>0.42315654967107302</c:v>
                </c:pt>
                <c:pt idx="175">
                  <c:v>0.42349289634896597</c:v>
                </c:pt>
                <c:pt idx="176">
                  <c:v>0.44562837110466802</c:v>
                </c:pt>
                <c:pt idx="177">
                  <c:v>0.44740081291084099</c:v>
                </c:pt>
                <c:pt idx="178">
                  <c:v>0.447997908024105</c:v>
                </c:pt>
                <c:pt idx="179">
                  <c:v>0.42258598579352902</c:v>
                </c:pt>
                <c:pt idx="180">
                  <c:v>0.42434402519227898</c:v>
                </c:pt>
                <c:pt idx="181">
                  <c:v>0.447997908024105</c:v>
                </c:pt>
                <c:pt idx="182">
                  <c:v>0.47241973099249801</c:v>
                </c:pt>
                <c:pt idx="183">
                  <c:v>0.41926854513922601</c:v>
                </c:pt>
                <c:pt idx="184">
                  <c:v>0.44241787954298001</c:v>
                </c:pt>
                <c:pt idx="185">
                  <c:v>0.44241787954298001</c:v>
                </c:pt>
                <c:pt idx="186">
                  <c:v>0.44366576481104603</c:v>
                </c:pt>
                <c:pt idx="187">
                  <c:v>0.41284557270170602</c:v>
                </c:pt>
                <c:pt idx="188">
                  <c:v>0.437009219217877</c:v>
                </c:pt>
                <c:pt idx="189">
                  <c:v>0.46725416935729103</c:v>
                </c:pt>
                <c:pt idx="190">
                  <c:v>0.46725416935729103</c:v>
                </c:pt>
                <c:pt idx="191">
                  <c:v>0.46145357757128402</c:v>
                </c:pt>
                <c:pt idx="192">
                  <c:v>0.45995272695767497</c:v>
                </c:pt>
                <c:pt idx="193">
                  <c:v>0.403775681059653</c:v>
                </c:pt>
                <c:pt idx="194">
                  <c:v>0.40569534905697002</c:v>
                </c:pt>
                <c:pt idx="195">
                  <c:v>0.419925946793896</c:v>
                </c:pt>
                <c:pt idx="196">
                  <c:v>0.45168042618119703</c:v>
                </c:pt>
                <c:pt idx="197">
                  <c:v>0.51982909302980596</c:v>
                </c:pt>
                <c:pt idx="198">
                  <c:v>0.54838604953283498</c:v>
                </c:pt>
                <c:pt idx="199">
                  <c:v>0.519221652370358</c:v>
                </c:pt>
                <c:pt idx="200">
                  <c:v>0.47679161148246502</c:v>
                </c:pt>
                <c:pt idx="201">
                  <c:v>0.47696082053878203</c:v>
                </c:pt>
                <c:pt idx="202">
                  <c:v>0.51126312077979097</c:v>
                </c:pt>
                <c:pt idx="203">
                  <c:v>0.51222876537846296</c:v>
                </c:pt>
                <c:pt idx="204">
                  <c:v>0.53685925114667898</c:v>
                </c:pt>
                <c:pt idx="205">
                  <c:v>0.53353274326337596</c:v>
                </c:pt>
                <c:pt idx="206">
                  <c:v>0.57447022909045797</c:v>
                </c:pt>
                <c:pt idx="207">
                  <c:v>0.57166642614489205</c:v>
                </c:pt>
                <c:pt idx="208">
                  <c:v>0.53680415412734395</c:v>
                </c:pt>
                <c:pt idx="209">
                  <c:v>0.59931706558407905</c:v>
                </c:pt>
                <c:pt idx="210">
                  <c:v>0.65582330233583797</c:v>
                </c:pt>
                <c:pt idx="211">
                  <c:v>0.65720471867066899</c:v>
                </c:pt>
                <c:pt idx="212">
                  <c:v>0.65582330233583797</c:v>
                </c:pt>
                <c:pt idx="213">
                  <c:v>0.65455905311871299</c:v>
                </c:pt>
                <c:pt idx="214">
                  <c:v>0.62719075850631201</c:v>
                </c:pt>
                <c:pt idx="215">
                  <c:v>0.59003468905342005</c:v>
                </c:pt>
                <c:pt idx="216">
                  <c:v>0.56144623129586702</c:v>
                </c:pt>
                <c:pt idx="217">
                  <c:v>0.58384753948448997</c:v>
                </c:pt>
                <c:pt idx="218">
                  <c:v>0.51703371456013503</c:v>
                </c:pt>
                <c:pt idx="219">
                  <c:v>0.58146564562660097</c:v>
                </c:pt>
                <c:pt idx="220">
                  <c:v>0.61985540937113104</c:v>
                </c:pt>
                <c:pt idx="221">
                  <c:v>0.60618674833379105</c:v>
                </c:pt>
                <c:pt idx="222">
                  <c:v>0.63179874985391804</c:v>
                </c:pt>
                <c:pt idx="223">
                  <c:v>0.60745911385405604</c:v>
                </c:pt>
                <c:pt idx="224">
                  <c:v>0.63350921207897204</c:v>
                </c:pt>
                <c:pt idx="225">
                  <c:v>0.608876308109219</c:v>
                </c:pt>
                <c:pt idx="226">
                  <c:v>0.53238458781035902</c:v>
                </c:pt>
                <c:pt idx="227">
                  <c:v>0.52626041924754496</c:v>
                </c:pt>
                <c:pt idx="228">
                  <c:v>0.49530657385961702</c:v>
                </c:pt>
                <c:pt idx="229">
                  <c:v>0.49518214427458052</c:v>
                </c:pt>
                <c:pt idx="230">
                  <c:v>0.49151040605794738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19584"/>
        <c:axId val="306421120"/>
      </c:lineChart>
      <c:lineChart>
        <c:grouping val="standard"/>
        <c:varyColors val="0"/>
        <c:ser>
          <c:idx val="1"/>
          <c:order val="1"/>
          <c:tx>
            <c:strRef>
              <c:f>'Low Rate Result'!$G$2</c:f>
              <c:strCache>
                <c:ptCount val="1"/>
                <c:pt idx="0">
                  <c:v>Refi Index</c:v>
                </c:pt>
              </c:strCache>
            </c:strRef>
          </c:tx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Result'!$G$3:$G$233</c:f>
              <c:numCache>
                <c:formatCode>0</c:formatCode>
                <c:ptCount val="231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1723</c:v>
                </c:pt>
                <c:pt idx="225">
                  <c:v>1559.4</c:v>
                </c:pt>
                <c:pt idx="226">
                  <c:v>1477.8</c:v>
                </c:pt>
                <c:pt idx="227">
                  <c:v>1448.8</c:v>
                </c:pt>
                <c:pt idx="228">
                  <c:v>1408.1</c:v>
                </c:pt>
                <c:pt idx="229">
                  <c:v>1233.9000000000001</c:v>
                </c:pt>
                <c:pt idx="2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6432640"/>
        <c:axId val="306431104"/>
      </c:lineChart>
      <c:dateAx>
        <c:axId val="3064195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06421120"/>
        <c:crosses val="autoZero"/>
        <c:auto val="1"/>
        <c:lblOffset val="100"/>
        <c:baseTimeUnit val="days"/>
      </c:dateAx>
      <c:valAx>
        <c:axId val="30642112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06419584"/>
        <c:crosses val="autoZero"/>
        <c:crossBetween val="between"/>
      </c:valAx>
      <c:valAx>
        <c:axId val="306431104"/>
        <c:scaling>
          <c:orientation val="minMax"/>
          <c:max val="6000"/>
          <c:min val="0"/>
        </c:scaling>
        <c:delete val="0"/>
        <c:axPos val="r"/>
        <c:numFmt formatCode="0" sourceLinked="1"/>
        <c:majorTickMark val="out"/>
        <c:minorTickMark val="none"/>
        <c:tickLblPos val="nextTo"/>
        <c:crossAx val="306432640"/>
        <c:crosses val="max"/>
        <c:crossBetween val="between"/>
      </c:valAx>
      <c:dateAx>
        <c:axId val="30643264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06431104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'Media Effect'!$D$3</c:f>
              <c:strCache>
                <c:ptCount val="1"/>
                <c:pt idx="0">
                  <c:v>NumberOfWeeks</c:v>
                </c:pt>
              </c:strCache>
            </c:strRef>
          </c:tx>
          <c:invertIfNegative val="0"/>
          <c:cat>
            <c:numRef>
              <c:f>'Media Effect'!$B$4:$B$66</c:f>
              <c:numCache>
                <c:formatCode>m/d/yyyy</c:formatCode>
                <c:ptCount val="63"/>
                <c:pt idx="0">
                  <c:v>41732</c:v>
                </c:pt>
                <c:pt idx="1">
                  <c:v>41739</c:v>
                </c:pt>
                <c:pt idx="2">
                  <c:v>41746</c:v>
                </c:pt>
                <c:pt idx="3">
                  <c:v>41753</c:v>
                </c:pt>
                <c:pt idx="4">
                  <c:v>41760</c:v>
                </c:pt>
                <c:pt idx="5">
                  <c:v>41767</c:v>
                </c:pt>
                <c:pt idx="6">
                  <c:v>41774</c:v>
                </c:pt>
                <c:pt idx="7">
                  <c:v>41781</c:v>
                </c:pt>
                <c:pt idx="8">
                  <c:v>41788</c:v>
                </c:pt>
                <c:pt idx="9">
                  <c:v>41795</c:v>
                </c:pt>
                <c:pt idx="10">
                  <c:v>41802</c:v>
                </c:pt>
                <c:pt idx="11">
                  <c:v>41809</c:v>
                </c:pt>
                <c:pt idx="12">
                  <c:v>41816</c:v>
                </c:pt>
                <c:pt idx="13">
                  <c:v>41823</c:v>
                </c:pt>
                <c:pt idx="14">
                  <c:v>41830</c:v>
                </c:pt>
                <c:pt idx="15">
                  <c:v>41837</c:v>
                </c:pt>
                <c:pt idx="16">
                  <c:v>41844</c:v>
                </c:pt>
                <c:pt idx="17">
                  <c:v>41851</c:v>
                </c:pt>
                <c:pt idx="18">
                  <c:v>41858</c:v>
                </c:pt>
                <c:pt idx="19">
                  <c:v>41865</c:v>
                </c:pt>
                <c:pt idx="20">
                  <c:v>41872</c:v>
                </c:pt>
                <c:pt idx="21">
                  <c:v>41879</c:v>
                </c:pt>
                <c:pt idx="22">
                  <c:v>41886</c:v>
                </c:pt>
                <c:pt idx="23">
                  <c:v>41893</c:v>
                </c:pt>
                <c:pt idx="24">
                  <c:v>41900</c:v>
                </c:pt>
                <c:pt idx="25">
                  <c:v>41907</c:v>
                </c:pt>
                <c:pt idx="26">
                  <c:v>41914</c:v>
                </c:pt>
                <c:pt idx="27">
                  <c:v>41921</c:v>
                </c:pt>
                <c:pt idx="28">
                  <c:v>41928</c:v>
                </c:pt>
                <c:pt idx="29">
                  <c:v>41935</c:v>
                </c:pt>
                <c:pt idx="30">
                  <c:v>41942</c:v>
                </c:pt>
                <c:pt idx="31">
                  <c:v>41949</c:v>
                </c:pt>
                <c:pt idx="32">
                  <c:v>41956</c:v>
                </c:pt>
                <c:pt idx="33">
                  <c:v>41963</c:v>
                </c:pt>
                <c:pt idx="34">
                  <c:v>41969</c:v>
                </c:pt>
                <c:pt idx="35">
                  <c:v>41977</c:v>
                </c:pt>
                <c:pt idx="36">
                  <c:v>41984</c:v>
                </c:pt>
                <c:pt idx="37">
                  <c:v>41991</c:v>
                </c:pt>
                <c:pt idx="38">
                  <c:v>41997</c:v>
                </c:pt>
                <c:pt idx="39">
                  <c:v>42004</c:v>
                </c:pt>
                <c:pt idx="40">
                  <c:v>42012</c:v>
                </c:pt>
                <c:pt idx="41">
                  <c:v>42019</c:v>
                </c:pt>
                <c:pt idx="42">
                  <c:v>42026</c:v>
                </c:pt>
                <c:pt idx="43">
                  <c:v>42033</c:v>
                </c:pt>
                <c:pt idx="44">
                  <c:v>42040</c:v>
                </c:pt>
                <c:pt idx="45">
                  <c:v>42047</c:v>
                </c:pt>
                <c:pt idx="46">
                  <c:v>42054</c:v>
                </c:pt>
                <c:pt idx="47">
                  <c:v>42061</c:v>
                </c:pt>
                <c:pt idx="48">
                  <c:v>42068</c:v>
                </c:pt>
                <c:pt idx="49">
                  <c:v>42075</c:v>
                </c:pt>
                <c:pt idx="50">
                  <c:v>42082</c:v>
                </c:pt>
                <c:pt idx="51">
                  <c:v>42089</c:v>
                </c:pt>
                <c:pt idx="52">
                  <c:v>42096</c:v>
                </c:pt>
                <c:pt idx="53">
                  <c:v>42103</c:v>
                </c:pt>
                <c:pt idx="54">
                  <c:v>42110</c:v>
                </c:pt>
                <c:pt idx="55">
                  <c:v>42117</c:v>
                </c:pt>
                <c:pt idx="56">
                  <c:v>42124</c:v>
                </c:pt>
                <c:pt idx="57">
                  <c:v>42131</c:v>
                </c:pt>
                <c:pt idx="58">
                  <c:v>42138</c:v>
                </c:pt>
                <c:pt idx="59">
                  <c:v>42145</c:v>
                </c:pt>
                <c:pt idx="60">
                  <c:v>42152</c:v>
                </c:pt>
                <c:pt idx="61">
                  <c:v>42159</c:v>
                </c:pt>
                <c:pt idx="62">
                  <c:v>42166</c:v>
                </c:pt>
              </c:numCache>
            </c:numRef>
          </c:cat>
          <c:val>
            <c:numRef>
              <c:f>'Media Effect'!$D$4:$D$66</c:f>
              <c:numCache>
                <c:formatCode>General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6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8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4</c:v>
                </c:pt>
                <c:pt idx="24">
                  <c:v>18</c:v>
                </c:pt>
                <c:pt idx="25">
                  <c:v>16</c:v>
                </c:pt>
                <c:pt idx="26">
                  <c:v>13</c:v>
                </c:pt>
                <c:pt idx="27">
                  <c:v>5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1</c:v>
                </c:pt>
                <c:pt idx="39">
                  <c:v>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4</c:v>
                </c:pt>
                <c:pt idx="46">
                  <c:v>6</c:v>
                </c:pt>
                <c:pt idx="47">
                  <c:v>8</c:v>
                </c:pt>
                <c:pt idx="48">
                  <c:v>6</c:v>
                </c:pt>
                <c:pt idx="49">
                  <c:v>11</c:v>
                </c:pt>
                <c:pt idx="50">
                  <c:v>8</c:v>
                </c:pt>
                <c:pt idx="51">
                  <c:v>5</c:v>
                </c:pt>
                <c:pt idx="52">
                  <c:v>6</c:v>
                </c:pt>
                <c:pt idx="53">
                  <c:v>4</c:v>
                </c:pt>
                <c:pt idx="54">
                  <c:v>7</c:v>
                </c:pt>
                <c:pt idx="55">
                  <c:v>1</c:v>
                </c:pt>
                <c:pt idx="56">
                  <c:v>6</c:v>
                </c:pt>
                <c:pt idx="57">
                  <c:v>17</c:v>
                </c:pt>
                <c:pt idx="58">
                  <c:v>19</c:v>
                </c:pt>
                <c:pt idx="59">
                  <c:v>21</c:v>
                </c:pt>
                <c:pt idx="60">
                  <c:v>24</c:v>
                </c:pt>
                <c:pt idx="61">
                  <c:v>25</c:v>
                </c:pt>
                <c:pt idx="62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90112"/>
        <c:axId val="400194944"/>
      </c:barChart>
      <c:lineChart>
        <c:grouping val="standard"/>
        <c:varyColors val="0"/>
        <c:ser>
          <c:idx val="0"/>
          <c:order val="0"/>
          <c:tx>
            <c:strRef>
              <c:f>'Media Effect'!$C$3</c:f>
              <c:strCache>
                <c:ptCount val="1"/>
                <c:pt idx="0">
                  <c:v>SeriesNumValue</c:v>
                </c:pt>
              </c:strCache>
            </c:strRef>
          </c:tx>
          <c:marker>
            <c:symbol val="none"/>
          </c:marker>
          <c:cat>
            <c:numRef>
              <c:f>'Media Effect'!$B$4:$B$66</c:f>
              <c:numCache>
                <c:formatCode>m/d/yyyy</c:formatCode>
                <c:ptCount val="63"/>
                <c:pt idx="0">
                  <c:v>41732</c:v>
                </c:pt>
                <c:pt idx="1">
                  <c:v>41739</c:v>
                </c:pt>
                <c:pt idx="2">
                  <c:v>41746</c:v>
                </c:pt>
                <c:pt idx="3">
                  <c:v>41753</c:v>
                </c:pt>
                <c:pt idx="4">
                  <c:v>41760</c:v>
                </c:pt>
                <c:pt idx="5">
                  <c:v>41767</c:v>
                </c:pt>
                <c:pt idx="6">
                  <c:v>41774</c:v>
                </c:pt>
                <c:pt idx="7">
                  <c:v>41781</c:v>
                </c:pt>
                <c:pt idx="8">
                  <c:v>41788</c:v>
                </c:pt>
                <c:pt idx="9">
                  <c:v>41795</c:v>
                </c:pt>
                <c:pt idx="10">
                  <c:v>41802</c:v>
                </c:pt>
                <c:pt idx="11">
                  <c:v>41809</c:v>
                </c:pt>
                <c:pt idx="12">
                  <c:v>41816</c:v>
                </c:pt>
                <c:pt idx="13">
                  <c:v>41823</c:v>
                </c:pt>
                <c:pt idx="14">
                  <c:v>41830</c:v>
                </c:pt>
                <c:pt idx="15">
                  <c:v>41837</c:v>
                </c:pt>
                <c:pt idx="16">
                  <c:v>41844</c:v>
                </c:pt>
                <c:pt idx="17">
                  <c:v>41851</c:v>
                </c:pt>
                <c:pt idx="18">
                  <c:v>41858</c:v>
                </c:pt>
                <c:pt idx="19">
                  <c:v>41865</c:v>
                </c:pt>
                <c:pt idx="20">
                  <c:v>41872</c:v>
                </c:pt>
                <c:pt idx="21">
                  <c:v>41879</c:v>
                </c:pt>
                <c:pt idx="22">
                  <c:v>41886</c:v>
                </c:pt>
                <c:pt idx="23">
                  <c:v>41893</c:v>
                </c:pt>
                <c:pt idx="24">
                  <c:v>41900</c:v>
                </c:pt>
                <c:pt idx="25">
                  <c:v>41907</c:v>
                </c:pt>
                <c:pt idx="26">
                  <c:v>41914</c:v>
                </c:pt>
                <c:pt idx="27">
                  <c:v>41921</c:v>
                </c:pt>
                <c:pt idx="28">
                  <c:v>41928</c:v>
                </c:pt>
                <c:pt idx="29">
                  <c:v>41935</c:v>
                </c:pt>
                <c:pt idx="30">
                  <c:v>41942</c:v>
                </c:pt>
                <c:pt idx="31">
                  <c:v>41949</c:v>
                </c:pt>
                <c:pt idx="32">
                  <c:v>41956</c:v>
                </c:pt>
                <c:pt idx="33">
                  <c:v>41963</c:v>
                </c:pt>
                <c:pt idx="34">
                  <c:v>41969</c:v>
                </c:pt>
                <c:pt idx="35">
                  <c:v>41977</c:v>
                </c:pt>
                <c:pt idx="36">
                  <c:v>41984</c:v>
                </c:pt>
                <c:pt idx="37">
                  <c:v>41991</c:v>
                </c:pt>
                <c:pt idx="38">
                  <c:v>41997</c:v>
                </c:pt>
                <c:pt idx="39">
                  <c:v>42004</c:v>
                </c:pt>
                <c:pt idx="40">
                  <c:v>42012</c:v>
                </c:pt>
                <c:pt idx="41">
                  <c:v>42019</c:v>
                </c:pt>
                <c:pt idx="42">
                  <c:v>42026</c:v>
                </c:pt>
                <c:pt idx="43">
                  <c:v>42033</c:v>
                </c:pt>
                <c:pt idx="44">
                  <c:v>42040</c:v>
                </c:pt>
                <c:pt idx="45">
                  <c:v>42047</c:v>
                </c:pt>
                <c:pt idx="46">
                  <c:v>42054</c:v>
                </c:pt>
                <c:pt idx="47">
                  <c:v>42061</c:v>
                </c:pt>
                <c:pt idx="48">
                  <c:v>42068</c:v>
                </c:pt>
                <c:pt idx="49">
                  <c:v>42075</c:v>
                </c:pt>
                <c:pt idx="50">
                  <c:v>42082</c:v>
                </c:pt>
                <c:pt idx="51">
                  <c:v>42089</c:v>
                </c:pt>
                <c:pt idx="52">
                  <c:v>42096</c:v>
                </c:pt>
                <c:pt idx="53">
                  <c:v>42103</c:v>
                </c:pt>
                <c:pt idx="54">
                  <c:v>42110</c:v>
                </c:pt>
                <c:pt idx="55">
                  <c:v>42117</c:v>
                </c:pt>
                <c:pt idx="56">
                  <c:v>42124</c:v>
                </c:pt>
                <c:pt idx="57">
                  <c:v>42131</c:v>
                </c:pt>
                <c:pt idx="58">
                  <c:v>42138</c:v>
                </c:pt>
                <c:pt idx="59">
                  <c:v>42145</c:v>
                </c:pt>
                <c:pt idx="60">
                  <c:v>42152</c:v>
                </c:pt>
                <c:pt idx="61">
                  <c:v>42159</c:v>
                </c:pt>
                <c:pt idx="62">
                  <c:v>42166</c:v>
                </c:pt>
              </c:numCache>
            </c:numRef>
          </c:cat>
          <c:val>
            <c:numRef>
              <c:f>'Media Effect'!$C$4:$C$66</c:f>
              <c:numCache>
                <c:formatCode>General</c:formatCode>
                <c:ptCount val="63"/>
                <c:pt idx="0">
                  <c:v>4.335</c:v>
                </c:pt>
                <c:pt idx="1">
                  <c:v>4.2649999999999997</c:v>
                </c:pt>
                <c:pt idx="2">
                  <c:v>4.1949999999999896</c:v>
                </c:pt>
                <c:pt idx="3">
                  <c:v>4.2300000000000004</c:v>
                </c:pt>
                <c:pt idx="4">
                  <c:v>4.2149999999999999</c:v>
                </c:pt>
                <c:pt idx="5">
                  <c:v>4.1100000000000003</c:v>
                </c:pt>
                <c:pt idx="6">
                  <c:v>4.0999999999999996</c:v>
                </c:pt>
                <c:pt idx="7">
                  <c:v>4.04</c:v>
                </c:pt>
                <c:pt idx="8">
                  <c:v>4.0199999999999996</c:v>
                </c:pt>
                <c:pt idx="9">
                  <c:v>4.0149999999999997</c:v>
                </c:pt>
                <c:pt idx="10">
                  <c:v>4.0999999999999996</c:v>
                </c:pt>
                <c:pt idx="11">
                  <c:v>4.07</c:v>
                </c:pt>
                <c:pt idx="12">
                  <c:v>4.0149999999999997</c:v>
                </c:pt>
                <c:pt idx="13">
                  <c:v>3.9950000000000001</c:v>
                </c:pt>
                <c:pt idx="14">
                  <c:v>4.0750000000000002</c:v>
                </c:pt>
                <c:pt idx="15">
                  <c:v>4.03</c:v>
                </c:pt>
                <c:pt idx="16">
                  <c:v>4.03</c:v>
                </c:pt>
                <c:pt idx="17">
                  <c:v>4.0199999999999996</c:v>
                </c:pt>
                <c:pt idx="18">
                  <c:v>4.0649999999999897</c:v>
                </c:pt>
                <c:pt idx="19">
                  <c:v>4.0199999999999996</c:v>
                </c:pt>
                <c:pt idx="20">
                  <c:v>3.9749999999999899</c:v>
                </c:pt>
                <c:pt idx="21">
                  <c:v>3.9749999999999899</c:v>
                </c:pt>
                <c:pt idx="22">
                  <c:v>3.9749999999999899</c:v>
                </c:pt>
                <c:pt idx="23">
                  <c:v>3.9950000000000001</c:v>
                </c:pt>
                <c:pt idx="24">
                  <c:v>4.1050000000000004</c:v>
                </c:pt>
                <c:pt idx="25">
                  <c:v>4.0750000000000002</c:v>
                </c:pt>
                <c:pt idx="26">
                  <c:v>4.04</c:v>
                </c:pt>
                <c:pt idx="27">
                  <c:v>3.9950000000000001</c:v>
                </c:pt>
                <c:pt idx="28">
                  <c:v>3.8450000000000002</c:v>
                </c:pt>
                <c:pt idx="29">
                  <c:v>3.7949999999999999</c:v>
                </c:pt>
                <c:pt idx="30">
                  <c:v>3.855</c:v>
                </c:pt>
                <c:pt idx="31">
                  <c:v>3.8949999999999898</c:v>
                </c:pt>
                <c:pt idx="32">
                  <c:v>3.8849999999999998</c:v>
                </c:pt>
                <c:pt idx="33">
                  <c:v>3.8650000000000002</c:v>
                </c:pt>
                <c:pt idx="34">
                  <c:v>3.8450000000000002</c:v>
                </c:pt>
                <c:pt idx="35">
                  <c:v>3.7650000000000001</c:v>
                </c:pt>
                <c:pt idx="36">
                  <c:v>3.8050000000000002</c:v>
                </c:pt>
                <c:pt idx="37">
                  <c:v>3.69999999999999</c:v>
                </c:pt>
                <c:pt idx="38">
                  <c:v>3.73</c:v>
                </c:pt>
                <c:pt idx="39">
                  <c:v>3.77</c:v>
                </c:pt>
                <c:pt idx="40">
                  <c:v>3.63</c:v>
                </c:pt>
                <c:pt idx="41">
                  <c:v>3.56</c:v>
                </c:pt>
                <c:pt idx="42">
                  <c:v>3.5549999999999899</c:v>
                </c:pt>
                <c:pt idx="43">
                  <c:v>3.56</c:v>
                </c:pt>
                <c:pt idx="44">
                  <c:v>3.5149999999999899</c:v>
                </c:pt>
                <c:pt idx="45">
                  <c:v>3.59</c:v>
                </c:pt>
                <c:pt idx="46">
                  <c:v>3.6599999999999899</c:v>
                </c:pt>
                <c:pt idx="47">
                  <c:v>3.69999999999999</c:v>
                </c:pt>
                <c:pt idx="48">
                  <c:v>3.65</c:v>
                </c:pt>
                <c:pt idx="49">
                  <c:v>3.76</c:v>
                </c:pt>
                <c:pt idx="50">
                  <c:v>3.6799999999999899</c:v>
                </c:pt>
                <c:pt idx="51">
                  <c:v>3.59</c:v>
                </c:pt>
                <c:pt idx="52">
                  <c:v>3.6</c:v>
                </c:pt>
                <c:pt idx="53">
                  <c:v>3.56</c:v>
                </c:pt>
                <c:pt idx="54">
                  <c:v>3.59499999999999</c:v>
                </c:pt>
                <c:pt idx="55">
                  <c:v>3.55</c:v>
                </c:pt>
                <c:pt idx="56">
                  <c:v>3.58</c:v>
                </c:pt>
                <c:pt idx="57">
                  <c:v>3.69999999999999</c:v>
                </c:pt>
                <c:pt idx="58">
                  <c:v>3.75</c:v>
                </c:pt>
                <c:pt idx="59">
                  <c:v>3.7649999999999899</c:v>
                </c:pt>
                <c:pt idx="60">
                  <c:v>3.77</c:v>
                </c:pt>
                <c:pt idx="61">
                  <c:v>3.77</c:v>
                </c:pt>
                <c:pt idx="62">
                  <c:v>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667968"/>
        <c:axId val="399669504"/>
      </c:lineChart>
      <c:dateAx>
        <c:axId val="3996679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9669504"/>
        <c:crosses val="autoZero"/>
        <c:auto val="1"/>
        <c:lblOffset val="100"/>
        <c:baseTimeUnit val="days"/>
      </c:dateAx>
      <c:valAx>
        <c:axId val="399669504"/>
        <c:scaling>
          <c:orientation val="minMax"/>
          <c:min val="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Survey Rate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99667968"/>
        <c:crosses val="autoZero"/>
        <c:crossBetween val="between"/>
      </c:valAx>
      <c:valAx>
        <c:axId val="40019494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Weeks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40490112"/>
        <c:crosses val="max"/>
        <c:crossBetween val="between"/>
      </c:valAx>
      <c:dateAx>
        <c:axId val="3404901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00194944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5"/>
          <c:order val="4"/>
          <c:tx>
            <c:strRef>
              <c:f>'Low Rate Result'!$H$2</c:f>
              <c:strCache>
                <c:ptCount val="1"/>
                <c:pt idx="0">
                  <c:v>Media Effect</c:v>
                </c:pt>
              </c:strCache>
            </c:strRef>
          </c:tx>
          <c:spPr>
            <a:solidFill>
              <a:srgbClr val="2E8A60"/>
            </a:solidFill>
            <a:ln w="19050">
              <a:noFill/>
            </a:ln>
          </c:spPr>
          <c:invertIfNegative val="0"/>
          <c:dPt>
            <c:idx val="75"/>
            <c:invertIfNegative val="0"/>
            <c:bubble3D val="0"/>
            <c:spPr>
              <a:solidFill>
                <a:srgbClr val="2E8A60"/>
              </a:solidFill>
              <a:ln w="19050">
                <a:noFill/>
              </a:ln>
            </c:spPr>
          </c:dPt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Result'!$H$3:$H$233</c:f>
              <c:numCache>
                <c:formatCode>0.00%</c:formatCode>
                <c:ptCount val="231"/>
                <c:pt idx="0">
                  <c:v>3.7596565105309601E-4</c:v>
                </c:pt>
                <c:pt idx="1">
                  <c:v>5.3255518166106497E-4</c:v>
                </c:pt>
                <c:pt idx="2">
                  <c:v>4.2360297628175301E-4</c:v>
                </c:pt>
                <c:pt idx="3">
                  <c:v>2.71872925347238E-4</c:v>
                </c:pt>
                <c:pt idx="4">
                  <c:v>2.0178573468983399E-4</c:v>
                </c:pt>
                <c:pt idx="5">
                  <c:v>5.20153194974807E-5</c:v>
                </c:pt>
                <c:pt idx="6">
                  <c:v>6.2663406645224498E-5</c:v>
                </c:pt>
                <c:pt idx="7">
                  <c:v>1.35954340606731E-4</c:v>
                </c:pt>
                <c:pt idx="8">
                  <c:v>1.96229527460014E-4</c:v>
                </c:pt>
                <c:pt idx="9">
                  <c:v>2.4946862835881098E-4</c:v>
                </c:pt>
                <c:pt idx="10">
                  <c:v>1.0337095119414301E-3</c:v>
                </c:pt>
                <c:pt idx="11">
                  <c:v>6.0502769456042399E-4</c:v>
                </c:pt>
                <c:pt idx="12">
                  <c:v>2.5023950479765699E-4</c:v>
                </c:pt>
                <c:pt idx="13">
                  <c:v>2.4181129106516801E-4</c:v>
                </c:pt>
                <c:pt idx="14">
                  <c:v>3.9614697005304603E-4</c:v>
                </c:pt>
                <c:pt idx="15">
                  <c:v>1.12729989415065E-3</c:v>
                </c:pt>
                <c:pt idx="16">
                  <c:v>1.13472894544288E-3</c:v>
                </c:pt>
                <c:pt idx="17">
                  <c:v>2.29777756393631E-3</c:v>
                </c:pt>
                <c:pt idx="18">
                  <c:v>5.44390325332186E-3</c:v>
                </c:pt>
                <c:pt idx="19">
                  <c:v>5.4986490601633296E-3</c:v>
                </c:pt>
                <c:pt idx="20">
                  <c:v>5.5127032061132201E-3</c:v>
                </c:pt>
                <c:pt idx="21">
                  <c:v>8.68657357338724E-3</c:v>
                </c:pt>
                <c:pt idx="22">
                  <c:v>1.23067584719575E-2</c:v>
                </c:pt>
                <c:pt idx="23">
                  <c:v>1.23002415872017E-2</c:v>
                </c:pt>
                <c:pt idx="24">
                  <c:v>1.00606573736092E-2</c:v>
                </c:pt>
                <c:pt idx="25">
                  <c:v>1.2160270900161399E-2</c:v>
                </c:pt>
                <c:pt idx="26">
                  <c:v>7.4617374953439E-3</c:v>
                </c:pt>
                <c:pt idx="27">
                  <c:v>1.3388573483630799E-2</c:v>
                </c:pt>
                <c:pt idx="28">
                  <c:v>1.04315971858071E-2</c:v>
                </c:pt>
                <c:pt idx="29">
                  <c:v>9.9907247032366194E-3</c:v>
                </c:pt>
                <c:pt idx="30">
                  <c:v>0.59586208852897005</c:v>
                </c:pt>
                <c:pt idx="31">
                  <c:v>0.68802315917174295</c:v>
                </c:pt>
                <c:pt idx="32">
                  <c:v>0.76977670194978398</c:v>
                </c:pt>
                <c:pt idx="33">
                  <c:v>0.73020380506198002</c:v>
                </c:pt>
                <c:pt idx="34">
                  <c:v>0.72380364081501802</c:v>
                </c:pt>
                <c:pt idx="35">
                  <c:v>0.786160649616369</c:v>
                </c:pt>
                <c:pt idx="36">
                  <c:v>0.78833832359916201</c:v>
                </c:pt>
                <c:pt idx="37">
                  <c:v>0.78833832359916201</c:v>
                </c:pt>
                <c:pt idx="38">
                  <c:v>0.83561176946303795</c:v>
                </c:pt>
                <c:pt idx="39">
                  <c:v>0.82194247765297301</c:v>
                </c:pt>
                <c:pt idx="40">
                  <c:v>0.75098159830325395</c:v>
                </c:pt>
                <c:pt idx="41">
                  <c:v>0.76945479185077703</c:v>
                </c:pt>
                <c:pt idx="42">
                  <c:v>0.77089716807818798</c:v>
                </c:pt>
                <c:pt idx="43">
                  <c:v>0.80648126550350197</c:v>
                </c:pt>
                <c:pt idx="44">
                  <c:v>0.80740872054840995</c:v>
                </c:pt>
                <c:pt idx="45">
                  <c:v>0.807360764605215</c:v>
                </c:pt>
                <c:pt idx="46">
                  <c:v>0.80866545886582697</c:v>
                </c:pt>
                <c:pt idx="47">
                  <c:v>0.79395979394243599</c:v>
                </c:pt>
                <c:pt idx="48">
                  <c:v>0.79468507896195895</c:v>
                </c:pt>
                <c:pt idx="49">
                  <c:v>0.79669049657242397</c:v>
                </c:pt>
                <c:pt idx="50">
                  <c:v>0.82559057548597004</c:v>
                </c:pt>
                <c:pt idx="51">
                  <c:v>0.817559292303353</c:v>
                </c:pt>
                <c:pt idx="52">
                  <c:v>0.80565650657334698</c:v>
                </c:pt>
                <c:pt idx="53">
                  <c:v>0.81663205917875104</c:v>
                </c:pt>
                <c:pt idx="54">
                  <c:v>0.81498439857814597</c:v>
                </c:pt>
                <c:pt idx="55">
                  <c:v>0.78374402567192103</c:v>
                </c:pt>
                <c:pt idx="56">
                  <c:v>0.79845513778799804</c:v>
                </c:pt>
                <c:pt idx="57">
                  <c:v>0.79921379703908202</c:v>
                </c:pt>
                <c:pt idx="58">
                  <c:v>0.79921379703908202</c:v>
                </c:pt>
                <c:pt idx="59">
                  <c:v>0.76744855177879401</c:v>
                </c:pt>
                <c:pt idx="60">
                  <c:v>0.775278844773303</c:v>
                </c:pt>
                <c:pt idx="61">
                  <c:v>0.78407944596061996</c:v>
                </c:pt>
                <c:pt idx="62">
                  <c:v>0.77543640291465299</c:v>
                </c:pt>
                <c:pt idx="63">
                  <c:v>1.02306018328437E-3</c:v>
                </c:pt>
                <c:pt idx="64">
                  <c:v>2.0359348143069401E-3</c:v>
                </c:pt>
                <c:pt idx="65">
                  <c:v>2.3931530313827699E-3</c:v>
                </c:pt>
                <c:pt idx="66">
                  <c:v>0.80265108338267499</c:v>
                </c:pt>
                <c:pt idx="67">
                  <c:v>0.77849897612614904</c:v>
                </c:pt>
                <c:pt idx="68">
                  <c:v>0.80265108338267499</c:v>
                </c:pt>
                <c:pt idx="69">
                  <c:v>0.80415566862182497</c:v>
                </c:pt>
                <c:pt idx="70">
                  <c:v>0.80754152596055995</c:v>
                </c:pt>
                <c:pt idx="71">
                  <c:v>0.831927164274886</c:v>
                </c:pt>
                <c:pt idx="72">
                  <c:v>0.82988569781951205</c:v>
                </c:pt>
                <c:pt idx="73">
                  <c:v>0.83309495413351498</c:v>
                </c:pt>
                <c:pt idx="74">
                  <c:v>0.86123151402869003</c:v>
                </c:pt>
                <c:pt idx="75">
                  <c:v>0.84598502966079503</c:v>
                </c:pt>
                <c:pt idx="76">
                  <c:v>0.86355719580735102</c:v>
                </c:pt>
                <c:pt idx="77">
                  <c:v>0.86355719580735102</c:v>
                </c:pt>
                <c:pt idx="78">
                  <c:v>0.85480310148891403</c:v>
                </c:pt>
                <c:pt idx="79">
                  <c:v>0.88306588959651799</c:v>
                </c:pt>
                <c:pt idx="80">
                  <c:v>0.88557582733423201</c:v>
                </c:pt>
                <c:pt idx="81">
                  <c:v>0.89854811201564799</c:v>
                </c:pt>
                <c:pt idx="82">
                  <c:v>0.86721057119503697</c:v>
                </c:pt>
                <c:pt idx="83">
                  <c:v>0.86873710574149099</c:v>
                </c:pt>
                <c:pt idx="84">
                  <c:v>0.85326106113769395</c:v>
                </c:pt>
                <c:pt idx="85">
                  <c:v>0.83946291551948105</c:v>
                </c:pt>
                <c:pt idx="86">
                  <c:v>0.86873710574149099</c:v>
                </c:pt>
                <c:pt idx="87">
                  <c:v>0.85389897885032495</c:v>
                </c:pt>
                <c:pt idx="88">
                  <c:v>0.85777100850024601</c:v>
                </c:pt>
                <c:pt idx="89">
                  <c:v>0.87391634150534703</c:v>
                </c:pt>
                <c:pt idx="90">
                  <c:v>0.91307424668051995</c:v>
                </c:pt>
                <c:pt idx="91">
                  <c:v>0.89337068210282</c:v>
                </c:pt>
                <c:pt idx="92">
                  <c:v>0.87893796322118301</c:v>
                </c:pt>
                <c:pt idx="93">
                  <c:v>0.89451035602650197</c:v>
                </c:pt>
                <c:pt idx="94">
                  <c:v>0.87765828155593195</c:v>
                </c:pt>
                <c:pt idx="95">
                  <c:v>0.85025958001434099</c:v>
                </c:pt>
                <c:pt idx="96">
                  <c:v>0.85294848165289106</c:v>
                </c:pt>
                <c:pt idx="97">
                  <c:v>0.87099758649899595</c:v>
                </c:pt>
                <c:pt idx="98">
                  <c:v>0.88870182147749199</c:v>
                </c:pt>
                <c:pt idx="99">
                  <c:v>0.87096715032167604</c:v>
                </c:pt>
                <c:pt idx="100">
                  <c:v>0.85552701758194905</c:v>
                </c:pt>
                <c:pt idx="101">
                  <c:v>0.87441718771065802</c:v>
                </c:pt>
                <c:pt idx="102">
                  <c:v>0.85553537746283803</c:v>
                </c:pt>
                <c:pt idx="103">
                  <c:v>0.85656729506407103</c:v>
                </c:pt>
                <c:pt idx="104">
                  <c:v>0.836402700195363</c:v>
                </c:pt>
                <c:pt idx="105">
                  <c:v>6.3649104803575E-3</c:v>
                </c:pt>
                <c:pt idx="106">
                  <c:v>0.83579303387112303</c:v>
                </c:pt>
                <c:pt idx="107">
                  <c:v>6.31365338468388E-3</c:v>
                </c:pt>
                <c:pt idx="108">
                  <c:v>1.5724025040129101E-3</c:v>
                </c:pt>
                <c:pt idx="109">
                  <c:v>1.8805301659143899E-3</c:v>
                </c:pt>
                <c:pt idx="110">
                  <c:v>2.4304666853394601E-3</c:v>
                </c:pt>
                <c:pt idx="111">
                  <c:v>1.6769000092261E-3</c:v>
                </c:pt>
                <c:pt idx="112">
                  <c:v>2.4413028764475298E-3</c:v>
                </c:pt>
                <c:pt idx="113">
                  <c:v>2.7765010532729102E-3</c:v>
                </c:pt>
                <c:pt idx="114">
                  <c:v>1.16383571386427E-3</c:v>
                </c:pt>
                <c:pt idx="115">
                  <c:v>2.2270412887641501E-3</c:v>
                </c:pt>
                <c:pt idx="116">
                  <c:v>1.5814373541439301E-3</c:v>
                </c:pt>
                <c:pt idx="117">
                  <c:v>2.9231505873714399E-3</c:v>
                </c:pt>
                <c:pt idx="118">
                  <c:v>6.9694981086310098E-3</c:v>
                </c:pt>
                <c:pt idx="119">
                  <c:v>1.3563295142313201E-2</c:v>
                </c:pt>
                <c:pt idx="120">
                  <c:v>9.5307583692172005E-3</c:v>
                </c:pt>
                <c:pt idx="121">
                  <c:v>0.77278468829226099</c:v>
                </c:pt>
                <c:pt idx="122">
                  <c:v>1.43811701784358E-2</c:v>
                </c:pt>
                <c:pt idx="123">
                  <c:v>8.3805961025081796E-3</c:v>
                </c:pt>
                <c:pt idx="124">
                  <c:v>3.24861882666854E-3</c:v>
                </c:pt>
                <c:pt idx="125">
                  <c:v>7.23006593961598E-4</c:v>
                </c:pt>
                <c:pt idx="126">
                  <c:v>5.1111206075067303E-4</c:v>
                </c:pt>
                <c:pt idx="127">
                  <c:v>4.4853144090145001E-4</c:v>
                </c:pt>
                <c:pt idx="128">
                  <c:v>4.5721700980804099E-4</c:v>
                </c:pt>
                <c:pt idx="129">
                  <c:v>1.18085120456235E-4</c:v>
                </c:pt>
                <c:pt idx="130">
                  <c:v>2.0890509018574801E-4</c:v>
                </c:pt>
                <c:pt idx="131">
                  <c:v>6.2349917608853304E-5</c:v>
                </c:pt>
                <c:pt idx="132">
                  <c:v>7.7260015377096707E-5</c:v>
                </c:pt>
                <c:pt idx="133">
                  <c:v>7.7705125163761099E-5</c:v>
                </c:pt>
                <c:pt idx="134">
                  <c:v>1.2656752123026201E-4</c:v>
                </c:pt>
                <c:pt idx="135">
                  <c:v>1.8981164598661E-4</c:v>
                </c:pt>
                <c:pt idx="136">
                  <c:v>1.09727944241163E-4</c:v>
                </c:pt>
                <c:pt idx="137">
                  <c:v>5.14127448459894E-5</c:v>
                </c:pt>
                <c:pt idx="138">
                  <c:v>7.0808320685095995E-5</c:v>
                </c:pt>
                <c:pt idx="139">
                  <c:v>1.38137801233605E-4</c:v>
                </c:pt>
                <c:pt idx="140">
                  <c:v>1.28166724373324E-4</c:v>
                </c:pt>
                <c:pt idx="141">
                  <c:v>2.8613116476948101E-4</c:v>
                </c:pt>
                <c:pt idx="142">
                  <c:v>1.1254799612103201E-3</c:v>
                </c:pt>
                <c:pt idx="143">
                  <c:v>2.1705397754131698E-3</c:v>
                </c:pt>
                <c:pt idx="144">
                  <c:v>2.9998090771003101E-3</c:v>
                </c:pt>
                <c:pt idx="145">
                  <c:v>2.1912087808184902E-3</c:v>
                </c:pt>
                <c:pt idx="146">
                  <c:v>5.1244395463538699E-3</c:v>
                </c:pt>
                <c:pt idx="147">
                  <c:v>6.6622111195612701E-3</c:v>
                </c:pt>
                <c:pt idx="148">
                  <c:v>5.9142756056665803E-3</c:v>
                </c:pt>
                <c:pt idx="149">
                  <c:v>2.3059610467440102E-3</c:v>
                </c:pt>
                <c:pt idx="150">
                  <c:v>5.1057108713702896E-3</c:v>
                </c:pt>
                <c:pt idx="151">
                  <c:v>3.7093838786239901E-3</c:v>
                </c:pt>
                <c:pt idx="152">
                  <c:v>1.5682869089664699E-3</c:v>
                </c:pt>
                <c:pt idx="153">
                  <c:v>1.7289463930776701E-3</c:v>
                </c:pt>
                <c:pt idx="154">
                  <c:v>9.4800641267841503E-4</c:v>
                </c:pt>
                <c:pt idx="155">
                  <c:v>7.6921873800145097E-4</c:v>
                </c:pt>
                <c:pt idx="156">
                  <c:v>3.6503917074256998E-4</c:v>
                </c:pt>
                <c:pt idx="157">
                  <c:v>7.2807678642524602E-4</c:v>
                </c:pt>
                <c:pt idx="158">
                  <c:v>2.0703667546944798E-3</c:v>
                </c:pt>
                <c:pt idx="159">
                  <c:v>2.2673030698720899E-3</c:v>
                </c:pt>
                <c:pt idx="160">
                  <c:v>4.8506682686177702E-3</c:v>
                </c:pt>
                <c:pt idx="161">
                  <c:v>7.21546546831584E-3</c:v>
                </c:pt>
                <c:pt idx="162">
                  <c:v>5.9474577791092101E-3</c:v>
                </c:pt>
                <c:pt idx="163">
                  <c:v>3.7079476145124701E-3</c:v>
                </c:pt>
                <c:pt idx="164">
                  <c:v>2.0311520591881401E-3</c:v>
                </c:pt>
                <c:pt idx="165">
                  <c:v>6.3681225023528298E-3</c:v>
                </c:pt>
                <c:pt idx="166">
                  <c:v>2.5606168679182602E-3</c:v>
                </c:pt>
                <c:pt idx="167">
                  <c:v>6.7470837053240302E-3</c:v>
                </c:pt>
                <c:pt idx="168">
                  <c:v>2.5391137542070102E-3</c:v>
                </c:pt>
                <c:pt idx="169">
                  <c:v>1.48737291930596E-3</c:v>
                </c:pt>
                <c:pt idx="170">
                  <c:v>3.4890800072405899E-3</c:v>
                </c:pt>
                <c:pt idx="171">
                  <c:v>9.0367181357990708E-3</c:v>
                </c:pt>
                <c:pt idx="172">
                  <c:v>5.3403429564292202E-3</c:v>
                </c:pt>
                <c:pt idx="173">
                  <c:v>9.8642663465764498E-3</c:v>
                </c:pt>
                <c:pt idx="174">
                  <c:v>2.2073656709097101E-2</c:v>
                </c:pt>
                <c:pt idx="175">
                  <c:v>2.2126974140678001E-2</c:v>
                </c:pt>
                <c:pt idx="176">
                  <c:v>2.8653101671392602E-2</c:v>
                </c:pt>
                <c:pt idx="177">
                  <c:v>2.9521653233466699E-2</c:v>
                </c:pt>
                <c:pt idx="178">
                  <c:v>3.39392972413807E-2</c:v>
                </c:pt>
                <c:pt idx="179">
                  <c:v>2.57985966584953E-2</c:v>
                </c:pt>
                <c:pt idx="180">
                  <c:v>2.6288769130428501E-2</c:v>
                </c:pt>
                <c:pt idx="181">
                  <c:v>3.4895003086718203E-2</c:v>
                </c:pt>
                <c:pt idx="182">
                  <c:v>5.0464297832893801E-2</c:v>
                </c:pt>
                <c:pt idx="183">
                  <c:v>2.8091291880043799E-2</c:v>
                </c:pt>
                <c:pt idx="184">
                  <c:v>3.6985472623473202E-2</c:v>
                </c:pt>
                <c:pt idx="185">
                  <c:v>3.6985472623473202E-2</c:v>
                </c:pt>
                <c:pt idx="186">
                  <c:v>3.8081960412189197E-2</c:v>
                </c:pt>
                <c:pt idx="187">
                  <c:v>2.98931442613069E-2</c:v>
                </c:pt>
                <c:pt idx="188">
                  <c:v>4.0576469480246402E-2</c:v>
                </c:pt>
                <c:pt idx="189">
                  <c:v>5.5733257120455203E-2</c:v>
                </c:pt>
                <c:pt idx="190">
                  <c:v>5.5210302843546E-2</c:v>
                </c:pt>
                <c:pt idx="191">
                  <c:v>5.6843667888921999E-2</c:v>
                </c:pt>
                <c:pt idx="192">
                  <c:v>5.6963722019140399E-2</c:v>
                </c:pt>
                <c:pt idx="193">
                  <c:v>2.1801779477546102E-3</c:v>
                </c:pt>
                <c:pt idx="194">
                  <c:v>2.1899499180467298E-3</c:v>
                </c:pt>
                <c:pt idx="195">
                  <c:v>5.78845043705907E-3</c:v>
                </c:pt>
                <c:pt idx="196">
                  <c:v>5.7460081272162802E-2</c:v>
                </c:pt>
                <c:pt idx="197">
                  <c:v>9.2515921347387203E-2</c:v>
                </c:pt>
                <c:pt idx="198">
                  <c:v>0.105678643107878</c:v>
                </c:pt>
                <c:pt idx="199">
                  <c:v>9.2355670832085193E-2</c:v>
                </c:pt>
                <c:pt idx="200">
                  <c:v>7.3307962083476605E-2</c:v>
                </c:pt>
                <c:pt idx="201">
                  <c:v>7.4888854290669493E-2</c:v>
                </c:pt>
                <c:pt idx="202">
                  <c:v>9.2759285706895706E-2</c:v>
                </c:pt>
                <c:pt idx="203">
                  <c:v>9.3998413556807103E-2</c:v>
                </c:pt>
                <c:pt idx="204">
                  <c:v>0.10843983316764801</c:v>
                </c:pt>
                <c:pt idx="205">
                  <c:v>0.108243403634791</c:v>
                </c:pt>
                <c:pt idx="206">
                  <c:v>0.13100701570916601</c:v>
                </c:pt>
                <c:pt idx="207">
                  <c:v>0.128936720795501</c:v>
                </c:pt>
                <c:pt idx="208">
                  <c:v>0.11008343849461499</c:v>
                </c:pt>
                <c:pt idx="209">
                  <c:v>0.14791956318824301</c:v>
                </c:pt>
                <c:pt idx="210">
                  <c:v>0.18556389775981899</c:v>
                </c:pt>
                <c:pt idx="211">
                  <c:v>0.18606636138555099</c:v>
                </c:pt>
                <c:pt idx="212">
                  <c:v>0.183514418950807</c:v>
                </c:pt>
                <c:pt idx="213">
                  <c:v>0.18771115723731899</c:v>
                </c:pt>
                <c:pt idx="214">
                  <c:v>0.17272998234149201</c:v>
                </c:pt>
                <c:pt idx="215">
                  <c:v>0.146759122816186</c:v>
                </c:pt>
                <c:pt idx="216">
                  <c:v>0.13140881606048399</c:v>
                </c:pt>
                <c:pt idx="217">
                  <c:v>0.14554399189627501</c:v>
                </c:pt>
                <c:pt idx="218">
                  <c:v>0.109721001806031</c:v>
                </c:pt>
                <c:pt idx="219">
                  <c:v>0.145251647985956</c:v>
                </c:pt>
                <c:pt idx="220">
                  <c:v>0.16936375390644101</c:v>
                </c:pt>
                <c:pt idx="221">
                  <c:v>0.16611661450599</c:v>
                </c:pt>
                <c:pt idx="222">
                  <c:v>0.18505564947661601</c:v>
                </c:pt>
                <c:pt idx="223">
                  <c:v>0.16810406485709101</c:v>
                </c:pt>
                <c:pt idx="224">
                  <c:v>0.187930762639857</c:v>
                </c:pt>
                <c:pt idx="225">
                  <c:v>0.168531927128662</c:v>
                </c:pt>
                <c:pt idx="226">
                  <c:v>3.4714448657501701E-3</c:v>
                </c:pt>
                <c:pt idx="227">
                  <c:v>2.3331317991025198E-3</c:v>
                </c:pt>
                <c:pt idx="228">
                  <c:v>1.67442383088528E-3</c:v>
                </c:pt>
                <c:pt idx="229">
                  <c:v>1.6736251546201301E-3</c:v>
                </c:pt>
                <c:pt idx="230">
                  <c:v>1.4226748396708299E-3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12864"/>
        <c:axId val="341014400"/>
      </c:barChart>
      <c:lineChart>
        <c:grouping val="standard"/>
        <c:varyColors val="0"/>
        <c:ser>
          <c:idx val="0"/>
          <c:order val="0"/>
          <c:tx>
            <c:strRef>
              <c:f>'Low Rate Result'!$C$2</c:f>
              <c:strCache>
                <c:ptCount val="1"/>
                <c:pt idx="0">
                  <c:v>Without Lowest Rate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Result'!$C$3:$C$233</c:f>
              <c:numCache>
                <c:formatCode>0.00%</c:formatCode>
                <c:ptCount val="231"/>
                <c:pt idx="0">
                  <c:v>0.477996028899563</c:v>
                </c:pt>
                <c:pt idx="1">
                  <c:v>0.49650185657562101</c:v>
                </c:pt>
                <c:pt idx="2">
                  <c:v>0.48029569588235599</c:v>
                </c:pt>
                <c:pt idx="3">
                  <c:v>0.47679593730615699</c:v>
                </c:pt>
                <c:pt idx="4">
                  <c:v>0.43462013043084002</c:v>
                </c:pt>
                <c:pt idx="5">
                  <c:v>0.35529176669040102</c:v>
                </c:pt>
                <c:pt idx="6">
                  <c:v>0.37678804128174298</c:v>
                </c:pt>
                <c:pt idx="7">
                  <c:v>0.41551493659156002</c:v>
                </c:pt>
                <c:pt idx="8">
                  <c:v>0.42215163100202302</c:v>
                </c:pt>
                <c:pt idx="9">
                  <c:v>0.42124985629360401</c:v>
                </c:pt>
                <c:pt idx="10">
                  <c:v>0.46784663358763601</c:v>
                </c:pt>
                <c:pt idx="11">
                  <c:v>0.450158099668103</c:v>
                </c:pt>
                <c:pt idx="12">
                  <c:v>0.42282958858632702</c:v>
                </c:pt>
                <c:pt idx="13">
                  <c:v>0.414778538159287</c:v>
                </c:pt>
                <c:pt idx="14">
                  <c:v>0.41340612440810998</c:v>
                </c:pt>
                <c:pt idx="15">
                  <c:v>0.44381782258269298</c:v>
                </c:pt>
                <c:pt idx="16">
                  <c:v>0.44565511936132601</c:v>
                </c:pt>
                <c:pt idx="17">
                  <c:v>0.45891120103405703</c:v>
                </c:pt>
                <c:pt idx="18">
                  <c:v>0.50042582297659</c:v>
                </c:pt>
                <c:pt idx="19">
                  <c:v>0.50447592982476996</c:v>
                </c:pt>
                <c:pt idx="20">
                  <c:v>0.50568534347274297</c:v>
                </c:pt>
                <c:pt idx="21">
                  <c:v>0.53450860338875705</c:v>
                </c:pt>
                <c:pt idx="22">
                  <c:v>0.55556126357331004</c:v>
                </c:pt>
                <c:pt idx="23">
                  <c:v>0.55544034698333999</c:v>
                </c:pt>
                <c:pt idx="24">
                  <c:v>0.53450860338875705</c:v>
                </c:pt>
                <c:pt idx="25">
                  <c:v>0.55445082777023702</c:v>
                </c:pt>
                <c:pt idx="26">
                  <c:v>0.49771283747510803</c:v>
                </c:pt>
                <c:pt idx="27">
                  <c:v>0.55014388201104203</c:v>
                </c:pt>
                <c:pt idx="28">
                  <c:v>0.53018048409344898</c:v>
                </c:pt>
                <c:pt idx="29">
                  <c:v>0.52333294764067595</c:v>
                </c:pt>
                <c:pt idx="30">
                  <c:v>0.59636201439054404</c:v>
                </c:pt>
                <c:pt idx="31">
                  <c:v>0.68796050816059295</c:v>
                </c:pt>
                <c:pt idx="32">
                  <c:v>0.76968967049094095</c:v>
                </c:pt>
                <c:pt idx="33">
                  <c:v>0.73013076231760698</c:v>
                </c:pt>
                <c:pt idx="34">
                  <c:v>0.72518805605942505</c:v>
                </c:pt>
                <c:pt idx="35">
                  <c:v>0.78586619764471199</c:v>
                </c:pt>
                <c:pt idx="36">
                  <c:v>0.78804143101353397</c:v>
                </c:pt>
                <c:pt idx="37">
                  <c:v>0.78804143101353397</c:v>
                </c:pt>
                <c:pt idx="38">
                  <c:v>0.83535228019697605</c:v>
                </c:pt>
                <c:pt idx="39">
                  <c:v>0.82324225699227804</c:v>
                </c:pt>
                <c:pt idx="40">
                  <c:v>0.75043074974252599</c:v>
                </c:pt>
                <c:pt idx="41">
                  <c:v>0.76889855223368597</c:v>
                </c:pt>
                <c:pt idx="42">
                  <c:v>0.77033919514702098</c:v>
                </c:pt>
                <c:pt idx="43">
                  <c:v>0.80719780316763601</c:v>
                </c:pt>
                <c:pt idx="44">
                  <c:v>0.80724570771905702</c:v>
                </c:pt>
                <c:pt idx="45">
                  <c:v>0.80719780316763601</c:v>
                </c:pt>
                <c:pt idx="46">
                  <c:v>0.80850149462655696</c:v>
                </c:pt>
                <c:pt idx="47">
                  <c:v>0.79441104681633201</c:v>
                </c:pt>
                <c:pt idx="48">
                  <c:v>0.79445840936885304</c:v>
                </c:pt>
                <c:pt idx="49">
                  <c:v>0.79646175435893696</c:v>
                </c:pt>
                <c:pt idx="50">
                  <c:v>0.82537040355923197</c:v>
                </c:pt>
                <c:pt idx="51">
                  <c:v>0.81734633197465201</c:v>
                </c:pt>
                <c:pt idx="52">
                  <c:v>0.80629912189469399</c:v>
                </c:pt>
                <c:pt idx="53">
                  <c:v>0.81626218699844599</c:v>
                </c:pt>
                <c:pt idx="54">
                  <c:v>0.81461584859780101</c:v>
                </c:pt>
                <c:pt idx="55">
                  <c:v>0.78339393568549298</c:v>
                </c:pt>
                <c:pt idx="56">
                  <c:v>0.79842547980239797</c:v>
                </c:pt>
                <c:pt idx="57">
                  <c:v>0.79842547980239797</c:v>
                </c:pt>
                <c:pt idx="58">
                  <c:v>0.79842547980239797</c:v>
                </c:pt>
                <c:pt idx="59">
                  <c:v>0.76669716579457303</c:v>
                </c:pt>
                <c:pt idx="60">
                  <c:v>0.77480777056815697</c:v>
                </c:pt>
                <c:pt idx="61">
                  <c:v>0.78283886771012201</c:v>
                </c:pt>
                <c:pt idx="62">
                  <c:v>0.77421402081353796</c:v>
                </c:pt>
                <c:pt idx="63">
                  <c:v>0.69937061468571404</c:v>
                </c:pt>
                <c:pt idx="64">
                  <c:v>0.749723434167341</c:v>
                </c:pt>
                <c:pt idx="65">
                  <c:v>0.75253147533014197</c:v>
                </c:pt>
                <c:pt idx="66">
                  <c:v>0.80193881910043296</c:v>
                </c:pt>
                <c:pt idx="67">
                  <c:v>0.77781138796328697</c:v>
                </c:pt>
                <c:pt idx="68">
                  <c:v>0.80193881910043296</c:v>
                </c:pt>
                <c:pt idx="69">
                  <c:v>0.80437080516661097</c:v>
                </c:pt>
                <c:pt idx="70">
                  <c:v>0.807152941952609</c:v>
                </c:pt>
                <c:pt idx="71">
                  <c:v>0.83152220645888697</c:v>
                </c:pt>
                <c:pt idx="72">
                  <c:v>0.82948257912141399</c:v>
                </c:pt>
                <c:pt idx="73">
                  <c:v>0.83268888035603505</c:v>
                </c:pt>
                <c:pt idx="74">
                  <c:v>0.86243439572202496</c:v>
                </c:pt>
                <c:pt idx="75">
                  <c:v>0.84549296973434196</c:v>
                </c:pt>
                <c:pt idx="76">
                  <c:v>0.86306170802286497</c:v>
                </c:pt>
                <c:pt idx="77">
                  <c:v>0.86306170802286497</c:v>
                </c:pt>
                <c:pt idx="78">
                  <c:v>0.85531584833132801</c:v>
                </c:pt>
                <c:pt idx="79">
                  <c:v>0.88265848165302496</c:v>
                </c:pt>
                <c:pt idx="80">
                  <c:v>0.88516739973977598</c:v>
                </c:pt>
                <c:pt idx="81">
                  <c:v>0.89814744996460805</c:v>
                </c:pt>
                <c:pt idx="82">
                  <c:v>0.86768818253450297</c:v>
                </c:pt>
                <c:pt idx="83">
                  <c:v>0.86745968477328095</c:v>
                </c:pt>
                <c:pt idx="84">
                  <c:v>0.85198632502448901</c:v>
                </c:pt>
                <c:pt idx="85">
                  <c:v>0.83819941388679298</c:v>
                </c:pt>
                <c:pt idx="86">
                  <c:v>0.86745968477328095</c:v>
                </c:pt>
                <c:pt idx="87">
                  <c:v>0.854493626143913</c:v>
                </c:pt>
                <c:pt idx="88">
                  <c:v>0.85731125996939705</c:v>
                </c:pt>
                <c:pt idx="89">
                  <c:v>0.87344930653794395</c:v>
                </c:pt>
                <c:pt idx="90">
                  <c:v>0.91259028169208301</c:v>
                </c:pt>
                <c:pt idx="91">
                  <c:v>0.89522709255279198</c:v>
                </c:pt>
                <c:pt idx="92">
                  <c:v>0.87811016351224602</c:v>
                </c:pt>
                <c:pt idx="93">
                  <c:v>0.89368551357821302</c:v>
                </c:pt>
                <c:pt idx="94">
                  <c:v>0.87683234085301398</c:v>
                </c:pt>
                <c:pt idx="95">
                  <c:v>0.85225052894835196</c:v>
                </c:pt>
                <c:pt idx="96">
                  <c:v>0.85194480836680198</c:v>
                </c:pt>
                <c:pt idx="97">
                  <c:v>0.86999483052125803</c:v>
                </c:pt>
                <c:pt idx="98">
                  <c:v>0.88773399472374204</c:v>
                </c:pt>
                <c:pt idx="99">
                  <c:v>0.86996445945149903</c:v>
                </c:pt>
                <c:pt idx="100">
                  <c:v>0.85662578219432695</c:v>
                </c:pt>
                <c:pt idx="101">
                  <c:v>0.87412257034895602</c:v>
                </c:pt>
                <c:pt idx="102">
                  <c:v>0.85522983991809798</c:v>
                </c:pt>
                <c:pt idx="103">
                  <c:v>0.85626060279274896</c:v>
                </c:pt>
                <c:pt idx="104">
                  <c:v>0.83696581575361895</c:v>
                </c:pt>
                <c:pt idx="105">
                  <c:v>0.81798384699460103</c:v>
                </c:pt>
                <c:pt idx="106">
                  <c:v>0.83503612629874802</c:v>
                </c:pt>
                <c:pt idx="107">
                  <c:v>0.81634992305868503</c:v>
                </c:pt>
                <c:pt idx="108">
                  <c:v>0.77322369572310801</c:v>
                </c:pt>
                <c:pt idx="109">
                  <c:v>0.75155379277106704</c:v>
                </c:pt>
                <c:pt idx="110">
                  <c:v>0.75155379277106704</c:v>
                </c:pt>
                <c:pt idx="111">
                  <c:v>0.73462902469773095</c:v>
                </c:pt>
                <c:pt idx="112">
                  <c:v>0.75332777657917305</c:v>
                </c:pt>
                <c:pt idx="113">
                  <c:v>0.731898053840778</c:v>
                </c:pt>
                <c:pt idx="114">
                  <c:v>0.69793386100167498</c:v>
                </c:pt>
                <c:pt idx="115">
                  <c:v>0.72870485724391698</c:v>
                </c:pt>
                <c:pt idx="116">
                  <c:v>0.712062870316722</c:v>
                </c:pt>
                <c:pt idx="117">
                  <c:v>0.71361316522728502</c:v>
                </c:pt>
                <c:pt idx="118">
                  <c:v>0.73719138808657003</c:v>
                </c:pt>
                <c:pt idx="119">
                  <c:v>0.76108985756873504</c:v>
                </c:pt>
                <c:pt idx="120">
                  <c:v>0.759939269856726</c:v>
                </c:pt>
                <c:pt idx="121">
                  <c:v>0.77520531199879605</c:v>
                </c:pt>
                <c:pt idx="122">
                  <c:v>0.75094523370436095</c:v>
                </c:pt>
                <c:pt idx="123">
                  <c:v>0.72159050384319001</c:v>
                </c:pt>
                <c:pt idx="124">
                  <c:v>0.68530860108825797</c:v>
                </c:pt>
                <c:pt idx="125">
                  <c:v>0.61546645850988302</c:v>
                </c:pt>
                <c:pt idx="126">
                  <c:v>0.57861777554698002</c:v>
                </c:pt>
                <c:pt idx="127">
                  <c:v>0.55842108987699401</c:v>
                </c:pt>
                <c:pt idx="128">
                  <c:v>0.55919632116239604</c:v>
                </c:pt>
                <c:pt idx="129">
                  <c:v>0.35042164075900101</c:v>
                </c:pt>
                <c:pt idx="130">
                  <c:v>0.439218479739446</c:v>
                </c:pt>
                <c:pt idx="131">
                  <c:v>0.32003461094412999</c:v>
                </c:pt>
                <c:pt idx="132">
                  <c:v>0.407195502334876</c:v>
                </c:pt>
                <c:pt idx="133">
                  <c:v>0.40895553727695599</c:v>
                </c:pt>
                <c:pt idx="134">
                  <c:v>0.36357930006355599</c:v>
                </c:pt>
                <c:pt idx="135">
                  <c:v>0.36292296585782302</c:v>
                </c:pt>
                <c:pt idx="136">
                  <c:v>0.36292296585782302</c:v>
                </c:pt>
                <c:pt idx="137">
                  <c:v>0.28848466841060699</c:v>
                </c:pt>
                <c:pt idx="138">
                  <c:v>0.32738957382411199</c:v>
                </c:pt>
                <c:pt idx="139">
                  <c:v>0.29894428975906101</c:v>
                </c:pt>
                <c:pt idx="140">
                  <c:v>0.28251411119681702</c:v>
                </c:pt>
                <c:pt idx="141">
                  <c:v>0.32091811677951898</c:v>
                </c:pt>
                <c:pt idx="142">
                  <c:v>0.41607421536967498</c:v>
                </c:pt>
                <c:pt idx="143">
                  <c:v>0.43751781158176101</c:v>
                </c:pt>
                <c:pt idx="144">
                  <c:v>0.43701315967767701</c:v>
                </c:pt>
                <c:pt idx="145">
                  <c:v>0.40902347477168999</c:v>
                </c:pt>
                <c:pt idx="146">
                  <c:v>0.45648777309490202</c:v>
                </c:pt>
                <c:pt idx="147">
                  <c:v>0.47501022290439499</c:v>
                </c:pt>
                <c:pt idx="148">
                  <c:v>0.44788779304034998</c:v>
                </c:pt>
                <c:pt idx="149">
                  <c:v>0.37120289750535601</c:v>
                </c:pt>
                <c:pt idx="150">
                  <c:v>0.42989701258795199</c:v>
                </c:pt>
                <c:pt idx="151">
                  <c:v>0.401262959025458</c:v>
                </c:pt>
                <c:pt idx="152">
                  <c:v>0.331227934580689</c:v>
                </c:pt>
                <c:pt idx="153">
                  <c:v>0.33082970500556302</c:v>
                </c:pt>
                <c:pt idx="154">
                  <c:v>0.29198850689481598</c:v>
                </c:pt>
                <c:pt idx="155">
                  <c:v>0.29162362501885603</c:v>
                </c:pt>
                <c:pt idx="156">
                  <c:v>0.265306805945277</c:v>
                </c:pt>
                <c:pt idx="157">
                  <c:v>0.29015447722721099</c:v>
                </c:pt>
                <c:pt idx="158">
                  <c:v>0.32467403778332998</c:v>
                </c:pt>
                <c:pt idx="159">
                  <c:v>0.32547727058860199</c:v>
                </c:pt>
                <c:pt idx="160">
                  <c:v>0.38449844249950499</c:v>
                </c:pt>
                <c:pt idx="161">
                  <c:v>0.407383000493176</c:v>
                </c:pt>
                <c:pt idx="162">
                  <c:v>0.380280894786581</c:v>
                </c:pt>
                <c:pt idx="163">
                  <c:v>0.35043602810261099</c:v>
                </c:pt>
                <c:pt idx="164">
                  <c:v>0.34853875137296803</c:v>
                </c:pt>
                <c:pt idx="165">
                  <c:v>0.37584545219724702</c:v>
                </c:pt>
                <c:pt idx="166">
                  <c:v>0.34537825411835699</c:v>
                </c:pt>
                <c:pt idx="167">
                  <c:v>0.37475184713589199</c:v>
                </c:pt>
                <c:pt idx="168">
                  <c:v>0.34373332978073601</c:v>
                </c:pt>
                <c:pt idx="169">
                  <c:v>0.31383635422742501</c:v>
                </c:pt>
                <c:pt idx="170">
                  <c:v>0.34451093908200903</c:v>
                </c:pt>
                <c:pt idx="171">
                  <c:v>0.37550642358643799</c:v>
                </c:pt>
                <c:pt idx="172">
                  <c:v>0.37394334466633</c:v>
                </c:pt>
                <c:pt idx="173">
                  <c:v>0.37348002875422498</c:v>
                </c:pt>
                <c:pt idx="174">
                  <c:v>0.42315654967107302</c:v>
                </c:pt>
                <c:pt idx="175">
                  <c:v>0.42349289634896597</c:v>
                </c:pt>
                <c:pt idx="176">
                  <c:v>0.44562837110466802</c:v>
                </c:pt>
                <c:pt idx="177">
                  <c:v>0.44740081291084099</c:v>
                </c:pt>
                <c:pt idx="178">
                  <c:v>0.447997908024105</c:v>
                </c:pt>
                <c:pt idx="179">
                  <c:v>0.42258598579352902</c:v>
                </c:pt>
                <c:pt idx="180">
                  <c:v>0.42434402519227898</c:v>
                </c:pt>
                <c:pt idx="181">
                  <c:v>0.447997908024105</c:v>
                </c:pt>
                <c:pt idx="182">
                  <c:v>0.47241973099249801</c:v>
                </c:pt>
                <c:pt idx="183">
                  <c:v>0.41926854513922601</c:v>
                </c:pt>
                <c:pt idx="184">
                  <c:v>0.44241787954298001</c:v>
                </c:pt>
                <c:pt idx="185">
                  <c:v>0.44241787954298001</c:v>
                </c:pt>
                <c:pt idx="186">
                  <c:v>0.44366576481104603</c:v>
                </c:pt>
                <c:pt idx="187">
                  <c:v>0.41284557270170602</c:v>
                </c:pt>
                <c:pt idx="188">
                  <c:v>0.437009219217877</c:v>
                </c:pt>
                <c:pt idx="189">
                  <c:v>0.46725416935729103</c:v>
                </c:pt>
                <c:pt idx="190">
                  <c:v>0.46725416935729103</c:v>
                </c:pt>
                <c:pt idx="191">
                  <c:v>0.46145357757128402</c:v>
                </c:pt>
                <c:pt idx="192">
                  <c:v>0.45995272695767497</c:v>
                </c:pt>
                <c:pt idx="193">
                  <c:v>0.403775681059653</c:v>
                </c:pt>
                <c:pt idx="194">
                  <c:v>0.40569534905697002</c:v>
                </c:pt>
                <c:pt idx="195">
                  <c:v>0.419925946793896</c:v>
                </c:pt>
                <c:pt idx="196">
                  <c:v>0.45168042618119703</c:v>
                </c:pt>
                <c:pt idx="197">
                  <c:v>0.51982909302980596</c:v>
                </c:pt>
                <c:pt idx="198">
                  <c:v>0.54838604953283498</c:v>
                </c:pt>
                <c:pt idx="199">
                  <c:v>0.519221652370358</c:v>
                </c:pt>
                <c:pt idx="200">
                  <c:v>0.47679161148246502</c:v>
                </c:pt>
                <c:pt idx="201">
                  <c:v>0.47696082053878203</c:v>
                </c:pt>
                <c:pt idx="202">
                  <c:v>0.51126312077979097</c:v>
                </c:pt>
                <c:pt idx="203">
                  <c:v>0.51222876537846296</c:v>
                </c:pt>
                <c:pt idx="204">
                  <c:v>0.53685925114667898</c:v>
                </c:pt>
                <c:pt idx="205">
                  <c:v>0.53353274326337596</c:v>
                </c:pt>
                <c:pt idx="206">
                  <c:v>0.57447022909045797</c:v>
                </c:pt>
                <c:pt idx="207">
                  <c:v>0.57166642614489205</c:v>
                </c:pt>
                <c:pt idx="208">
                  <c:v>0.53680415412734395</c:v>
                </c:pt>
                <c:pt idx="209">
                  <c:v>0.59931706558407905</c:v>
                </c:pt>
                <c:pt idx="210">
                  <c:v>0.65582330233583797</c:v>
                </c:pt>
                <c:pt idx="211">
                  <c:v>0.65720471867066899</c:v>
                </c:pt>
                <c:pt idx="212">
                  <c:v>0.65582330233583797</c:v>
                </c:pt>
                <c:pt idx="213">
                  <c:v>0.65455905311871299</c:v>
                </c:pt>
                <c:pt idx="214">
                  <c:v>0.62719075850631201</c:v>
                </c:pt>
                <c:pt idx="215">
                  <c:v>0.59003468905342005</c:v>
                </c:pt>
                <c:pt idx="216">
                  <c:v>0.56144623129586702</c:v>
                </c:pt>
                <c:pt idx="217">
                  <c:v>0.58384753948448997</c:v>
                </c:pt>
                <c:pt idx="218">
                  <c:v>0.51703371456013503</c:v>
                </c:pt>
                <c:pt idx="219">
                  <c:v>0.58146564562660097</c:v>
                </c:pt>
                <c:pt idx="220">
                  <c:v>0.61985540937113104</c:v>
                </c:pt>
                <c:pt idx="221">
                  <c:v>0.60618674833379105</c:v>
                </c:pt>
                <c:pt idx="222">
                  <c:v>0.63179874985391804</c:v>
                </c:pt>
                <c:pt idx="223">
                  <c:v>0.60745911385405604</c:v>
                </c:pt>
                <c:pt idx="224">
                  <c:v>0.63350921207897204</c:v>
                </c:pt>
                <c:pt idx="225">
                  <c:v>0.608876308109219</c:v>
                </c:pt>
                <c:pt idx="226">
                  <c:v>0.53238458781035902</c:v>
                </c:pt>
                <c:pt idx="227">
                  <c:v>0.52626041924754496</c:v>
                </c:pt>
                <c:pt idx="228">
                  <c:v>0.49530657385961702</c:v>
                </c:pt>
                <c:pt idx="229">
                  <c:v>0.49518214427458052</c:v>
                </c:pt>
                <c:pt idx="230">
                  <c:v>0.49151040605794738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'Low Rate Result'!$D$2</c:f>
              <c:strCache>
                <c:ptCount val="1"/>
                <c:pt idx="0">
                  <c:v>Lowest Rate Monthly</c:v>
                </c:pt>
              </c:strCache>
            </c:strRef>
          </c:tx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Result'!$D$3:$D$233</c:f>
            </c:numRef>
          </c:val>
          <c:smooth val="0"/>
        </c:ser>
        <c:ser>
          <c:idx val="2"/>
          <c:order val="2"/>
          <c:tx>
            <c:strRef>
              <c:f>'Low Rate Result'!$E$2</c:f>
              <c:strCache>
                <c:ptCount val="1"/>
                <c:pt idx="0">
                  <c:v>Lowest Rate Weekly</c:v>
                </c:pt>
              </c:strCache>
            </c:strRef>
          </c:tx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Result'!$E$3:$E$233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12864"/>
        <c:axId val="341014400"/>
      </c:lineChart>
      <c:lineChart>
        <c:grouping val="standard"/>
        <c:varyColors val="0"/>
        <c:ser>
          <c:idx val="4"/>
          <c:order val="3"/>
          <c:tx>
            <c:strRef>
              <c:f>'Low Rate Result'!$G$2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Result'!$G$3:$G$233</c:f>
              <c:numCache>
                <c:formatCode>0</c:formatCode>
                <c:ptCount val="231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1723</c:v>
                </c:pt>
                <c:pt idx="225">
                  <c:v>1559.4</c:v>
                </c:pt>
                <c:pt idx="226">
                  <c:v>1477.8</c:v>
                </c:pt>
                <c:pt idx="227">
                  <c:v>1448.8</c:v>
                </c:pt>
                <c:pt idx="228">
                  <c:v>1408.1</c:v>
                </c:pt>
                <c:pt idx="229">
                  <c:v>1233.9000000000001</c:v>
                </c:pt>
                <c:pt idx="2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46400"/>
        <c:axId val="341015936"/>
      </c:lineChart>
      <c:dateAx>
        <c:axId val="3410128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1014400"/>
        <c:crosses val="autoZero"/>
        <c:auto val="1"/>
        <c:lblOffset val="100"/>
        <c:baseTimeUnit val="days"/>
      </c:dateAx>
      <c:valAx>
        <c:axId val="341014400"/>
        <c:scaling>
          <c:orientation val="minMax"/>
          <c:max val="1.2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41012864"/>
        <c:crosses val="autoZero"/>
        <c:crossBetween val="between"/>
      </c:valAx>
      <c:valAx>
        <c:axId val="341015936"/>
        <c:scaling>
          <c:orientation val="minMax"/>
          <c:max val="6000"/>
          <c:min val="1000"/>
        </c:scaling>
        <c:delete val="0"/>
        <c:axPos val="r"/>
        <c:numFmt formatCode="0" sourceLinked="1"/>
        <c:majorTickMark val="out"/>
        <c:minorTickMark val="none"/>
        <c:tickLblPos val="nextTo"/>
        <c:crossAx val="341046400"/>
        <c:crosses val="max"/>
        <c:crossBetween val="between"/>
      </c:valAx>
      <c:dateAx>
        <c:axId val="34104640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1015936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Survey Rate</c:v>
          </c:tx>
          <c:marker>
            <c:symbol val="none"/>
          </c:marker>
          <c:cat>
            <c:numRef>
              <c:f>'Low rate'!$B$525:$B$755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rate'!$C$525:$C$755</c:f>
              <c:numCache>
                <c:formatCode>General</c:formatCode>
                <c:ptCount val="231"/>
                <c:pt idx="0">
                  <c:v>4.72</c:v>
                </c:pt>
                <c:pt idx="1">
                  <c:v>4.66</c:v>
                </c:pt>
                <c:pt idx="2">
                  <c:v>4.6900000000000004</c:v>
                </c:pt>
                <c:pt idx="3">
                  <c:v>4.7249999999999996</c:v>
                </c:pt>
                <c:pt idx="4">
                  <c:v>4.76</c:v>
                </c:pt>
                <c:pt idx="5">
                  <c:v>4.9749999999999996</c:v>
                </c:pt>
                <c:pt idx="6">
                  <c:v>4.9249999999999998</c:v>
                </c:pt>
                <c:pt idx="7">
                  <c:v>4.8499999999999996</c:v>
                </c:pt>
                <c:pt idx="8">
                  <c:v>4.7949999999999999</c:v>
                </c:pt>
                <c:pt idx="9">
                  <c:v>4.8049999999999997</c:v>
                </c:pt>
                <c:pt idx="10">
                  <c:v>4.6849999999999996</c:v>
                </c:pt>
                <c:pt idx="11">
                  <c:v>4.7349999999999897</c:v>
                </c:pt>
                <c:pt idx="12">
                  <c:v>4.7850000000000001</c:v>
                </c:pt>
                <c:pt idx="13">
                  <c:v>4.7949999999999999</c:v>
                </c:pt>
                <c:pt idx="14">
                  <c:v>4.8099999999999996</c:v>
                </c:pt>
                <c:pt idx="15">
                  <c:v>4.7249999999999996</c:v>
                </c:pt>
                <c:pt idx="16">
                  <c:v>4.7050000000000001</c:v>
                </c:pt>
                <c:pt idx="17">
                  <c:v>4.6349999999999998</c:v>
                </c:pt>
                <c:pt idx="18">
                  <c:v>4.5549999999999997</c:v>
                </c:pt>
                <c:pt idx="19">
                  <c:v>4.5350000000000001</c:v>
                </c:pt>
                <c:pt idx="20">
                  <c:v>4.5249999999999897</c:v>
                </c:pt>
                <c:pt idx="21">
                  <c:v>4.45</c:v>
                </c:pt>
                <c:pt idx="22">
                  <c:v>4.415</c:v>
                </c:pt>
                <c:pt idx="23">
                  <c:v>4.4249999999999998</c:v>
                </c:pt>
                <c:pt idx="24">
                  <c:v>4.45</c:v>
                </c:pt>
                <c:pt idx="25">
                  <c:v>4.4349999999999996</c:v>
                </c:pt>
                <c:pt idx="26">
                  <c:v>4.5249999999999897</c:v>
                </c:pt>
                <c:pt idx="27">
                  <c:v>4.4349999999999996</c:v>
                </c:pt>
                <c:pt idx="28">
                  <c:v>4.4449999999999896</c:v>
                </c:pt>
                <c:pt idx="29">
                  <c:v>4.5</c:v>
                </c:pt>
                <c:pt idx="30">
                  <c:v>4.34</c:v>
                </c:pt>
                <c:pt idx="31">
                  <c:v>4.2450000000000001</c:v>
                </c:pt>
                <c:pt idx="32">
                  <c:v>4.0750000000000002</c:v>
                </c:pt>
                <c:pt idx="33">
                  <c:v>4.1449999999999996</c:v>
                </c:pt>
                <c:pt idx="34">
                  <c:v>4.1449999999999996</c:v>
                </c:pt>
                <c:pt idx="35">
                  <c:v>4.0449999999999999</c:v>
                </c:pt>
                <c:pt idx="36">
                  <c:v>4.0149999999999997</c:v>
                </c:pt>
                <c:pt idx="37">
                  <c:v>4.0149999999999997</c:v>
                </c:pt>
                <c:pt idx="38">
                  <c:v>3.9349999999999898</c:v>
                </c:pt>
                <c:pt idx="39">
                  <c:v>3.89</c:v>
                </c:pt>
                <c:pt idx="40">
                  <c:v>4.07</c:v>
                </c:pt>
                <c:pt idx="41">
                  <c:v>4.0599999999999996</c:v>
                </c:pt>
                <c:pt idx="42">
                  <c:v>4.05</c:v>
                </c:pt>
                <c:pt idx="43">
                  <c:v>3.9249999999999998</c:v>
                </c:pt>
                <c:pt idx="44">
                  <c:v>3.915</c:v>
                </c:pt>
                <c:pt idx="45">
                  <c:v>3.9249999999999998</c:v>
                </c:pt>
                <c:pt idx="46">
                  <c:v>3.9049999999999998</c:v>
                </c:pt>
                <c:pt idx="47">
                  <c:v>3.9249999999999998</c:v>
                </c:pt>
                <c:pt idx="48">
                  <c:v>3.915</c:v>
                </c:pt>
                <c:pt idx="49">
                  <c:v>3.89</c:v>
                </c:pt>
                <c:pt idx="50">
                  <c:v>3.835</c:v>
                </c:pt>
                <c:pt idx="51">
                  <c:v>3.875</c:v>
                </c:pt>
                <c:pt idx="52">
                  <c:v>3.86</c:v>
                </c:pt>
                <c:pt idx="53">
                  <c:v>3.8149999999999999</c:v>
                </c:pt>
                <c:pt idx="54">
                  <c:v>3.83</c:v>
                </c:pt>
                <c:pt idx="55">
                  <c:v>3.9049999999999998</c:v>
                </c:pt>
                <c:pt idx="56">
                  <c:v>3.82</c:v>
                </c:pt>
                <c:pt idx="57">
                  <c:v>3.82</c:v>
                </c:pt>
                <c:pt idx="58">
                  <c:v>3.82</c:v>
                </c:pt>
                <c:pt idx="59">
                  <c:v>3.9</c:v>
                </c:pt>
                <c:pt idx="60">
                  <c:v>3.85</c:v>
                </c:pt>
                <c:pt idx="61">
                  <c:v>3.83</c:v>
                </c:pt>
                <c:pt idx="62">
                  <c:v>3.87</c:v>
                </c:pt>
                <c:pt idx="63">
                  <c:v>4.03</c:v>
                </c:pt>
                <c:pt idx="64">
                  <c:v>3.915</c:v>
                </c:pt>
                <c:pt idx="65">
                  <c:v>3.9049999999999998</c:v>
                </c:pt>
                <c:pt idx="66">
                  <c:v>3.8049999999999899</c:v>
                </c:pt>
                <c:pt idx="67">
                  <c:v>3.85</c:v>
                </c:pt>
                <c:pt idx="68">
                  <c:v>3.8049999999999899</c:v>
                </c:pt>
                <c:pt idx="69">
                  <c:v>3.79</c:v>
                </c:pt>
                <c:pt idx="70">
                  <c:v>3.7549999999999999</c:v>
                </c:pt>
                <c:pt idx="71">
                  <c:v>3.7149999999999999</c:v>
                </c:pt>
                <c:pt idx="72">
                  <c:v>3.73</c:v>
                </c:pt>
                <c:pt idx="73">
                  <c:v>3.7</c:v>
                </c:pt>
                <c:pt idx="74">
                  <c:v>3.59499999999999</c:v>
                </c:pt>
                <c:pt idx="75">
                  <c:v>3.6349999999999998</c:v>
                </c:pt>
                <c:pt idx="76">
                  <c:v>3.585</c:v>
                </c:pt>
                <c:pt idx="77">
                  <c:v>3.585</c:v>
                </c:pt>
                <c:pt idx="78">
                  <c:v>3.57</c:v>
                </c:pt>
                <c:pt idx="79">
                  <c:v>3.4849999999999999</c:v>
                </c:pt>
                <c:pt idx="80">
                  <c:v>3.4549999999999899</c:v>
                </c:pt>
                <c:pt idx="81">
                  <c:v>3.415</c:v>
                </c:pt>
                <c:pt idx="82">
                  <c:v>3.4749999999999899</c:v>
                </c:pt>
                <c:pt idx="83">
                  <c:v>3.48999999999999</c:v>
                </c:pt>
                <c:pt idx="84">
                  <c:v>3.52</c:v>
                </c:pt>
                <c:pt idx="85">
                  <c:v>3.585</c:v>
                </c:pt>
                <c:pt idx="86">
                  <c:v>3.48999999999999</c:v>
                </c:pt>
                <c:pt idx="87">
                  <c:v>3.4749999999999899</c:v>
                </c:pt>
                <c:pt idx="88">
                  <c:v>3.44999999999999</c:v>
                </c:pt>
                <c:pt idx="89">
                  <c:v>3.39</c:v>
                </c:pt>
                <c:pt idx="90">
                  <c:v>3.3</c:v>
                </c:pt>
                <c:pt idx="91">
                  <c:v>3.26</c:v>
                </c:pt>
                <c:pt idx="92">
                  <c:v>3.3149999999999999</c:v>
                </c:pt>
                <c:pt idx="93">
                  <c:v>3.2949999999999999</c:v>
                </c:pt>
                <c:pt idx="94">
                  <c:v>3.335</c:v>
                </c:pt>
                <c:pt idx="95">
                  <c:v>3.3149999999999999</c:v>
                </c:pt>
                <c:pt idx="96">
                  <c:v>3.32499999999999</c:v>
                </c:pt>
                <c:pt idx="97">
                  <c:v>3.2649999999999899</c:v>
                </c:pt>
                <c:pt idx="98">
                  <c:v>3.2349999999999999</c:v>
                </c:pt>
                <c:pt idx="99">
                  <c:v>3.27</c:v>
                </c:pt>
                <c:pt idx="100">
                  <c:v>3.2649999999999899</c:v>
                </c:pt>
                <c:pt idx="101">
                  <c:v>3.2449999999999899</c:v>
                </c:pt>
                <c:pt idx="102">
                  <c:v>3.2949999999999999</c:v>
                </c:pt>
                <c:pt idx="103">
                  <c:v>3.2749999999999999</c:v>
                </c:pt>
                <c:pt idx="104">
                  <c:v>3.2649999999999899</c:v>
                </c:pt>
                <c:pt idx="105">
                  <c:v>3.32499999999999</c:v>
                </c:pt>
                <c:pt idx="106">
                  <c:v>3.3049999999999899</c:v>
                </c:pt>
                <c:pt idx="107">
                  <c:v>3.34499999999999</c:v>
                </c:pt>
                <c:pt idx="108">
                  <c:v>3.4549999999999899</c:v>
                </c:pt>
                <c:pt idx="109">
                  <c:v>3.48</c:v>
                </c:pt>
                <c:pt idx="110">
                  <c:v>3.48</c:v>
                </c:pt>
                <c:pt idx="111">
                  <c:v>3.51</c:v>
                </c:pt>
                <c:pt idx="112">
                  <c:v>3.46</c:v>
                </c:pt>
                <c:pt idx="113">
                  <c:v>3.4449999999999998</c:v>
                </c:pt>
                <c:pt idx="114">
                  <c:v>3.58</c:v>
                </c:pt>
                <c:pt idx="115">
                  <c:v>3.49</c:v>
                </c:pt>
                <c:pt idx="116">
                  <c:v>3.52</c:v>
                </c:pt>
                <c:pt idx="117">
                  <c:v>3.49</c:v>
                </c:pt>
                <c:pt idx="118">
                  <c:v>3.38</c:v>
                </c:pt>
                <c:pt idx="119">
                  <c:v>3.335</c:v>
                </c:pt>
                <c:pt idx="120">
                  <c:v>3.35</c:v>
                </c:pt>
                <c:pt idx="121">
                  <c:v>3.2749999999999999</c:v>
                </c:pt>
                <c:pt idx="122">
                  <c:v>3.34499999999999</c:v>
                </c:pt>
                <c:pt idx="123">
                  <c:v>3.4349999999999898</c:v>
                </c:pt>
                <c:pt idx="124">
                  <c:v>3.5149999999999899</c:v>
                </c:pt>
                <c:pt idx="125">
                  <c:v>3.76</c:v>
                </c:pt>
                <c:pt idx="126">
                  <c:v>3.835</c:v>
                </c:pt>
                <c:pt idx="127">
                  <c:v>3.9049999999999998</c:v>
                </c:pt>
                <c:pt idx="128">
                  <c:v>3.88</c:v>
                </c:pt>
                <c:pt idx="129">
                  <c:v>4.41</c:v>
                </c:pt>
                <c:pt idx="130">
                  <c:v>4.2149999999999999</c:v>
                </c:pt>
                <c:pt idx="131">
                  <c:v>4.46</c:v>
                </c:pt>
                <c:pt idx="132">
                  <c:v>4.2949999999999999</c:v>
                </c:pt>
                <c:pt idx="133">
                  <c:v>4.26</c:v>
                </c:pt>
                <c:pt idx="134">
                  <c:v>4.3149999999999897</c:v>
                </c:pt>
                <c:pt idx="135">
                  <c:v>4.3250000000000002</c:v>
                </c:pt>
                <c:pt idx="136">
                  <c:v>4.3250000000000002</c:v>
                </c:pt>
                <c:pt idx="137">
                  <c:v>4.53</c:v>
                </c:pt>
                <c:pt idx="138">
                  <c:v>4.4349999999999996</c:v>
                </c:pt>
                <c:pt idx="139">
                  <c:v>4.4950000000000001</c:v>
                </c:pt>
                <c:pt idx="140">
                  <c:v>4.5199999999999996</c:v>
                </c:pt>
                <c:pt idx="141">
                  <c:v>4.4249999999999998</c:v>
                </c:pt>
                <c:pt idx="142">
                  <c:v>4.2450000000000001</c:v>
                </c:pt>
                <c:pt idx="143">
                  <c:v>4.1449999999999996</c:v>
                </c:pt>
                <c:pt idx="144">
                  <c:v>4.1550000000000002</c:v>
                </c:pt>
                <c:pt idx="145">
                  <c:v>4.2050000000000001</c:v>
                </c:pt>
                <c:pt idx="146">
                  <c:v>4.08</c:v>
                </c:pt>
                <c:pt idx="147">
                  <c:v>4.0249999999999897</c:v>
                </c:pt>
                <c:pt idx="148">
                  <c:v>4.1100000000000003</c:v>
                </c:pt>
                <c:pt idx="149">
                  <c:v>4.2749999999999897</c:v>
                </c:pt>
                <c:pt idx="150">
                  <c:v>4.1449999999999996</c:v>
                </c:pt>
                <c:pt idx="151">
                  <c:v>4.2149999999999999</c:v>
                </c:pt>
                <c:pt idx="152">
                  <c:v>4.335</c:v>
                </c:pt>
                <c:pt idx="153">
                  <c:v>4.3449999999999998</c:v>
                </c:pt>
                <c:pt idx="154">
                  <c:v>4.3949999999999996</c:v>
                </c:pt>
                <c:pt idx="155">
                  <c:v>4.4050000000000002</c:v>
                </c:pt>
                <c:pt idx="156">
                  <c:v>4.4800000000000004</c:v>
                </c:pt>
                <c:pt idx="157">
                  <c:v>4.4349999999999996</c:v>
                </c:pt>
                <c:pt idx="158">
                  <c:v>4.335</c:v>
                </c:pt>
                <c:pt idx="159">
                  <c:v>4.3149999999999897</c:v>
                </c:pt>
                <c:pt idx="160">
                  <c:v>4.2450000000000001</c:v>
                </c:pt>
                <c:pt idx="161">
                  <c:v>4.1550000000000002</c:v>
                </c:pt>
                <c:pt idx="162">
                  <c:v>4.2050000000000001</c:v>
                </c:pt>
                <c:pt idx="163">
                  <c:v>4.2549999999999999</c:v>
                </c:pt>
                <c:pt idx="164">
                  <c:v>4.2949999999999999</c:v>
                </c:pt>
                <c:pt idx="165">
                  <c:v>4.2050000000000001</c:v>
                </c:pt>
                <c:pt idx="166">
                  <c:v>4.2699999999999996</c:v>
                </c:pt>
                <c:pt idx="167">
                  <c:v>4.22</c:v>
                </c:pt>
                <c:pt idx="168">
                  <c:v>4.3</c:v>
                </c:pt>
                <c:pt idx="169">
                  <c:v>4.335</c:v>
                </c:pt>
                <c:pt idx="170">
                  <c:v>4.2649999999999997</c:v>
                </c:pt>
                <c:pt idx="171">
                  <c:v>4.1949999999999896</c:v>
                </c:pt>
                <c:pt idx="172">
                  <c:v>4.2300000000000004</c:v>
                </c:pt>
                <c:pt idx="173">
                  <c:v>4.2149999999999999</c:v>
                </c:pt>
                <c:pt idx="174">
                  <c:v>4.1100000000000003</c:v>
                </c:pt>
                <c:pt idx="175">
                  <c:v>4.0999999999999996</c:v>
                </c:pt>
                <c:pt idx="176">
                  <c:v>4.04</c:v>
                </c:pt>
                <c:pt idx="177">
                  <c:v>4.0199999999999996</c:v>
                </c:pt>
                <c:pt idx="178">
                  <c:v>4.0149999999999997</c:v>
                </c:pt>
                <c:pt idx="179">
                  <c:v>4.0999999999999996</c:v>
                </c:pt>
                <c:pt idx="180">
                  <c:v>4.07</c:v>
                </c:pt>
                <c:pt idx="181">
                  <c:v>4.0149999999999997</c:v>
                </c:pt>
                <c:pt idx="182">
                  <c:v>3.9950000000000001</c:v>
                </c:pt>
                <c:pt idx="183">
                  <c:v>4.0750000000000002</c:v>
                </c:pt>
                <c:pt idx="184">
                  <c:v>4.03</c:v>
                </c:pt>
                <c:pt idx="185">
                  <c:v>4.03</c:v>
                </c:pt>
                <c:pt idx="186">
                  <c:v>4.0199999999999996</c:v>
                </c:pt>
                <c:pt idx="187">
                  <c:v>4.0649999999999897</c:v>
                </c:pt>
                <c:pt idx="188">
                  <c:v>4.0199999999999996</c:v>
                </c:pt>
                <c:pt idx="189">
                  <c:v>3.9749999999999899</c:v>
                </c:pt>
                <c:pt idx="190">
                  <c:v>3.9749999999999899</c:v>
                </c:pt>
                <c:pt idx="191">
                  <c:v>3.9749999999999899</c:v>
                </c:pt>
                <c:pt idx="192">
                  <c:v>3.9950000000000001</c:v>
                </c:pt>
                <c:pt idx="193">
                  <c:v>4.1050000000000004</c:v>
                </c:pt>
                <c:pt idx="194">
                  <c:v>4.0750000000000002</c:v>
                </c:pt>
                <c:pt idx="195">
                  <c:v>4.04</c:v>
                </c:pt>
                <c:pt idx="196">
                  <c:v>3.9950000000000001</c:v>
                </c:pt>
                <c:pt idx="197">
                  <c:v>3.8450000000000002</c:v>
                </c:pt>
                <c:pt idx="198">
                  <c:v>3.7949999999999999</c:v>
                </c:pt>
                <c:pt idx="199">
                  <c:v>3.855</c:v>
                </c:pt>
                <c:pt idx="200">
                  <c:v>3.8949999999999898</c:v>
                </c:pt>
                <c:pt idx="201">
                  <c:v>3.8849999999999998</c:v>
                </c:pt>
                <c:pt idx="202">
                  <c:v>3.8650000000000002</c:v>
                </c:pt>
                <c:pt idx="203">
                  <c:v>3.8450000000000002</c:v>
                </c:pt>
                <c:pt idx="204">
                  <c:v>3.7650000000000001</c:v>
                </c:pt>
                <c:pt idx="205">
                  <c:v>3.8050000000000002</c:v>
                </c:pt>
                <c:pt idx="206">
                  <c:v>3.69999999999999</c:v>
                </c:pt>
                <c:pt idx="207">
                  <c:v>3.73</c:v>
                </c:pt>
                <c:pt idx="208">
                  <c:v>3.77</c:v>
                </c:pt>
                <c:pt idx="209">
                  <c:v>3.63</c:v>
                </c:pt>
                <c:pt idx="210">
                  <c:v>3.56</c:v>
                </c:pt>
                <c:pt idx="211">
                  <c:v>3.5549999999999899</c:v>
                </c:pt>
                <c:pt idx="212">
                  <c:v>3.56</c:v>
                </c:pt>
                <c:pt idx="213">
                  <c:v>3.5149999999999899</c:v>
                </c:pt>
                <c:pt idx="214">
                  <c:v>3.59</c:v>
                </c:pt>
                <c:pt idx="215">
                  <c:v>3.6599999999999899</c:v>
                </c:pt>
                <c:pt idx="216">
                  <c:v>3.69999999999999</c:v>
                </c:pt>
                <c:pt idx="217">
                  <c:v>3.65</c:v>
                </c:pt>
                <c:pt idx="218">
                  <c:v>3.76</c:v>
                </c:pt>
                <c:pt idx="219">
                  <c:v>3.6799999999999899</c:v>
                </c:pt>
                <c:pt idx="220">
                  <c:v>3.59</c:v>
                </c:pt>
                <c:pt idx="221">
                  <c:v>3.6</c:v>
                </c:pt>
                <c:pt idx="222">
                  <c:v>3.56</c:v>
                </c:pt>
                <c:pt idx="223">
                  <c:v>3.59499999999999</c:v>
                </c:pt>
                <c:pt idx="224">
                  <c:v>3.55</c:v>
                </c:pt>
                <c:pt idx="225">
                  <c:v>3.58</c:v>
                </c:pt>
                <c:pt idx="226">
                  <c:v>3.69999999999999</c:v>
                </c:pt>
                <c:pt idx="227">
                  <c:v>3.75</c:v>
                </c:pt>
                <c:pt idx="228">
                  <c:v>3.7649999999999899</c:v>
                </c:pt>
                <c:pt idx="229">
                  <c:v>3.77</c:v>
                </c:pt>
                <c:pt idx="230">
                  <c:v>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61472"/>
        <c:axId val="363163008"/>
      </c:lineChart>
      <c:dateAx>
        <c:axId val="3631614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63163008"/>
        <c:crosses val="autoZero"/>
        <c:auto val="1"/>
        <c:lblOffset val="100"/>
        <c:baseTimeUnit val="days"/>
      </c:dateAx>
      <c:valAx>
        <c:axId val="363163008"/>
        <c:scaling>
          <c:orientation val="minMax"/>
          <c:min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3161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5"/>
          <c:order val="4"/>
          <c:tx>
            <c:strRef>
              <c:f>'Low Rate Result'!$H$2</c:f>
              <c:strCache>
                <c:ptCount val="1"/>
                <c:pt idx="0">
                  <c:v>Media Effect</c:v>
                </c:pt>
              </c:strCache>
            </c:strRef>
          </c:tx>
          <c:spPr>
            <a:solidFill>
              <a:srgbClr val="2E8A60"/>
            </a:solidFill>
            <a:ln w="19050">
              <a:noFill/>
            </a:ln>
          </c:spPr>
          <c:invertIfNegative val="0"/>
          <c:dPt>
            <c:idx val="75"/>
            <c:invertIfNegative val="0"/>
            <c:bubble3D val="0"/>
          </c:dPt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Result'!$H$3:$H$233</c:f>
              <c:numCache>
                <c:formatCode>0.00%</c:formatCode>
                <c:ptCount val="231"/>
                <c:pt idx="0">
                  <c:v>3.7596565105309601E-4</c:v>
                </c:pt>
                <c:pt idx="1">
                  <c:v>5.3255518166106497E-4</c:v>
                </c:pt>
                <c:pt idx="2">
                  <c:v>4.2360297628175301E-4</c:v>
                </c:pt>
                <c:pt idx="3">
                  <c:v>2.71872925347238E-4</c:v>
                </c:pt>
                <c:pt idx="4">
                  <c:v>2.0178573468983399E-4</c:v>
                </c:pt>
                <c:pt idx="5">
                  <c:v>5.20153194974807E-5</c:v>
                </c:pt>
                <c:pt idx="6">
                  <c:v>6.2663406645224498E-5</c:v>
                </c:pt>
                <c:pt idx="7">
                  <c:v>1.35954340606731E-4</c:v>
                </c:pt>
                <c:pt idx="8">
                  <c:v>1.96229527460014E-4</c:v>
                </c:pt>
                <c:pt idx="9">
                  <c:v>2.4946862835881098E-4</c:v>
                </c:pt>
                <c:pt idx="10">
                  <c:v>1.0337095119414301E-3</c:v>
                </c:pt>
                <c:pt idx="11">
                  <c:v>6.0502769456042399E-4</c:v>
                </c:pt>
                <c:pt idx="12">
                  <c:v>2.5023950479765699E-4</c:v>
                </c:pt>
                <c:pt idx="13">
                  <c:v>2.4181129106516801E-4</c:v>
                </c:pt>
                <c:pt idx="14">
                  <c:v>3.9614697005304603E-4</c:v>
                </c:pt>
                <c:pt idx="15">
                  <c:v>1.12729989415065E-3</c:v>
                </c:pt>
                <c:pt idx="16">
                  <c:v>1.13472894544288E-3</c:v>
                </c:pt>
                <c:pt idx="17">
                  <c:v>2.29777756393631E-3</c:v>
                </c:pt>
                <c:pt idx="18">
                  <c:v>5.44390325332186E-3</c:v>
                </c:pt>
                <c:pt idx="19">
                  <c:v>5.4986490601633296E-3</c:v>
                </c:pt>
                <c:pt idx="20">
                  <c:v>5.5127032061132201E-3</c:v>
                </c:pt>
                <c:pt idx="21">
                  <c:v>8.68657357338724E-3</c:v>
                </c:pt>
                <c:pt idx="22">
                  <c:v>1.23067584719575E-2</c:v>
                </c:pt>
                <c:pt idx="23">
                  <c:v>1.23002415872017E-2</c:v>
                </c:pt>
                <c:pt idx="24">
                  <c:v>1.00606573736092E-2</c:v>
                </c:pt>
                <c:pt idx="25">
                  <c:v>1.2160270900161399E-2</c:v>
                </c:pt>
                <c:pt idx="26">
                  <c:v>7.4617374953439E-3</c:v>
                </c:pt>
                <c:pt idx="27">
                  <c:v>1.3388573483630799E-2</c:v>
                </c:pt>
                <c:pt idx="28">
                  <c:v>1.04315971858071E-2</c:v>
                </c:pt>
                <c:pt idx="29">
                  <c:v>9.9907247032366194E-3</c:v>
                </c:pt>
                <c:pt idx="30">
                  <c:v>0.59586208852897005</c:v>
                </c:pt>
                <c:pt idx="31">
                  <c:v>0.68802315917174295</c:v>
                </c:pt>
                <c:pt idx="32">
                  <c:v>0.76977670194978398</c:v>
                </c:pt>
                <c:pt idx="33">
                  <c:v>0.73020380506198002</c:v>
                </c:pt>
                <c:pt idx="34">
                  <c:v>0.72380364081501802</c:v>
                </c:pt>
                <c:pt idx="35">
                  <c:v>0.786160649616369</c:v>
                </c:pt>
                <c:pt idx="36">
                  <c:v>0.78833832359916201</c:v>
                </c:pt>
                <c:pt idx="37">
                  <c:v>0.78833832359916201</c:v>
                </c:pt>
                <c:pt idx="38">
                  <c:v>0.83561176946303795</c:v>
                </c:pt>
                <c:pt idx="39">
                  <c:v>0.82194247765297301</c:v>
                </c:pt>
                <c:pt idx="40">
                  <c:v>0.75098159830325395</c:v>
                </c:pt>
                <c:pt idx="41">
                  <c:v>0.76945479185077703</c:v>
                </c:pt>
                <c:pt idx="42">
                  <c:v>0.77089716807818798</c:v>
                </c:pt>
                <c:pt idx="43">
                  <c:v>0.80648126550350197</c:v>
                </c:pt>
                <c:pt idx="44">
                  <c:v>0.80740872054840995</c:v>
                </c:pt>
                <c:pt idx="45">
                  <c:v>0.807360764605215</c:v>
                </c:pt>
                <c:pt idx="46">
                  <c:v>0.80866545886582697</c:v>
                </c:pt>
                <c:pt idx="47">
                  <c:v>0.79395979394243599</c:v>
                </c:pt>
                <c:pt idx="48">
                  <c:v>0.79468507896195895</c:v>
                </c:pt>
                <c:pt idx="49">
                  <c:v>0.79669049657242397</c:v>
                </c:pt>
                <c:pt idx="50">
                  <c:v>0.82559057548597004</c:v>
                </c:pt>
                <c:pt idx="51">
                  <c:v>0.817559292303353</c:v>
                </c:pt>
                <c:pt idx="52">
                  <c:v>0.80565650657334698</c:v>
                </c:pt>
                <c:pt idx="53">
                  <c:v>0.81663205917875104</c:v>
                </c:pt>
                <c:pt idx="54">
                  <c:v>0.81498439857814597</c:v>
                </c:pt>
                <c:pt idx="55">
                  <c:v>0.78374402567192103</c:v>
                </c:pt>
                <c:pt idx="56">
                  <c:v>0.79845513778799804</c:v>
                </c:pt>
                <c:pt idx="57">
                  <c:v>0.79921379703908202</c:v>
                </c:pt>
                <c:pt idx="58">
                  <c:v>0.79921379703908202</c:v>
                </c:pt>
                <c:pt idx="59">
                  <c:v>0.76744855177879401</c:v>
                </c:pt>
                <c:pt idx="60">
                  <c:v>0.775278844773303</c:v>
                </c:pt>
                <c:pt idx="61">
                  <c:v>0.78407944596061996</c:v>
                </c:pt>
                <c:pt idx="62">
                  <c:v>0.77543640291465299</c:v>
                </c:pt>
                <c:pt idx="63">
                  <c:v>1.02306018328437E-3</c:v>
                </c:pt>
                <c:pt idx="64">
                  <c:v>2.0359348143069401E-3</c:v>
                </c:pt>
                <c:pt idx="65">
                  <c:v>2.3931530313827699E-3</c:v>
                </c:pt>
                <c:pt idx="66">
                  <c:v>0.80265108338267499</c:v>
                </c:pt>
                <c:pt idx="67">
                  <c:v>0.77849897612614904</c:v>
                </c:pt>
                <c:pt idx="68">
                  <c:v>0.80265108338267499</c:v>
                </c:pt>
                <c:pt idx="69">
                  <c:v>0.80415566862182497</c:v>
                </c:pt>
                <c:pt idx="70">
                  <c:v>0.80754152596055995</c:v>
                </c:pt>
                <c:pt idx="71">
                  <c:v>0.831927164274886</c:v>
                </c:pt>
                <c:pt idx="72">
                  <c:v>0.82988569781951205</c:v>
                </c:pt>
                <c:pt idx="73">
                  <c:v>0.83309495413351498</c:v>
                </c:pt>
                <c:pt idx="74">
                  <c:v>0.86123151402869003</c:v>
                </c:pt>
                <c:pt idx="75">
                  <c:v>0.84598502966079503</c:v>
                </c:pt>
                <c:pt idx="76">
                  <c:v>0.86355719580735102</c:v>
                </c:pt>
                <c:pt idx="77">
                  <c:v>0.86355719580735102</c:v>
                </c:pt>
                <c:pt idx="78">
                  <c:v>0.85480310148891403</c:v>
                </c:pt>
                <c:pt idx="79">
                  <c:v>0.88306588959651799</c:v>
                </c:pt>
                <c:pt idx="80">
                  <c:v>0.88557582733423201</c:v>
                </c:pt>
                <c:pt idx="81">
                  <c:v>0.89854811201564799</c:v>
                </c:pt>
                <c:pt idx="82">
                  <c:v>0.86721057119503697</c:v>
                </c:pt>
                <c:pt idx="83">
                  <c:v>0.86873710574149099</c:v>
                </c:pt>
                <c:pt idx="84">
                  <c:v>0.85326106113769395</c:v>
                </c:pt>
                <c:pt idx="85">
                  <c:v>0.83946291551948105</c:v>
                </c:pt>
                <c:pt idx="86">
                  <c:v>0.86873710574149099</c:v>
                </c:pt>
                <c:pt idx="87">
                  <c:v>0.85389897885032495</c:v>
                </c:pt>
                <c:pt idx="88">
                  <c:v>0.85777100850024601</c:v>
                </c:pt>
                <c:pt idx="89">
                  <c:v>0.87391634150534703</c:v>
                </c:pt>
                <c:pt idx="90">
                  <c:v>0.91307424668051995</c:v>
                </c:pt>
                <c:pt idx="91">
                  <c:v>0.89337068210282</c:v>
                </c:pt>
                <c:pt idx="92">
                  <c:v>0.87893796322118301</c:v>
                </c:pt>
                <c:pt idx="93">
                  <c:v>0.89451035602650197</c:v>
                </c:pt>
                <c:pt idx="94">
                  <c:v>0.87765828155593195</c:v>
                </c:pt>
                <c:pt idx="95">
                  <c:v>0.85025958001434099</c:v>
                </c:pt>
                <c:pt idx="96">
                  <c:v>0.85294848165289106</c:v>
                </c:pt>
                <c:pt idx="97">
                  <c:v>0.87099758649899595</c:v>
                </c:pt>
                <c:pt idx="98">
                  <c:v>0.88870182147749199</c:v>
                </c:pt>
                <c:pt idx="99">
                  <c:v>0.87096715032167604</c:v>
                </c:pt>
                <c:pt idx="100">
                  <c:v>0.85552701758194905</c:v>
                </c:pt>
                <c:pt idx="101">
                  <c:v>0.87441718771065802</c:v>
                </c:pt>
                <c:pt idx="102">
                  <c:v>0.85553537746283803</c:v>
                </c:pt>
                <c:pt idx="103">
                  <c:v>0.85656729506407103</c:v>
                </c:pt>
                <c:pt idx="104">
                  <c:v>0.836402700195363</c:v>
                </c:pt>
                <c:pt idx="105">
                  <c:v>6.3649104803575E-3</c:v>
                </c:pt>
                <c:pt idx="106">
                  <c:v>0.83579303387112303</c:v>
                </c:pt>
                <c:pt idx="107">
                  <c:v>6.31365338468388E-3</c:v>
                </c:pt>
                <c:pt idx="108">
                  <c:v>1.5724025040129101E-3</c:v>
                </c:pt>
                <c:pt idx="109">
                  <c:v>1.8805301659143899E-3</c:v>
                </c:pt>
                <c:pt idx="110">
                  <c:v>2.4304666853394601E-3</c:v>
                </c:pt>
                <c:pt idx="111">
                  <c:v>1.6769000092261E-3</c:v>
                </c:pt>
                <c:pt idx="112">
                  <c:v>2.4413028764475298E-3</c:v>
                </c:pt>
                <c:pt idx="113">
                  <c:v>2.7765010532729102E-3</c:v>
                </c:pt>
                <c:pt idx="114">
                  <c:v>1.16383571386427E-3</c:v>
                </c:pt>
                <c:pt idx="115">
                  <c:v>2.2270412887641501E-3</c:v>
                </c:pt>
                <c:pt idx="116">
                  <c:v>1.5814373541439301E-3</c:v>
                </c:pt>
                <c:pt idx="117">
                  <c:v>2.9231505873714399E-3</c:v>
                </c:pt>
                <c:pt idx="118">
                  <c:v>6.9694981086310098E-3</c:v>
                </c:pt>
                <c:pt idx="119">
                  <c:v>1.3563295142313201E-2</c:v>
                </c:pt>
                <c:pt idx="120">
                  <c:v>9.5307583692172005E-3</c:v>
                </c:pt>
                <c:pt idx="121">
                  <c:v>0.77278468829226099</c:v>
                </c:pt>
                <c:pt idx="122">
                  <c:v>1.43811701784358E-2</c:v>
                </c:pt>
                <c:pt idx="123">
                  <c:v>8.3805961025081796E-3</c:v>
                </c:pt>
                <c:pt idx="124">
                  <c:v>3.24861882666854E-3</c:v>
                </c:pt>
                <c:pt idx="125">
                  <c:v>7.23006593961598E-4</c:v>
                </c:pt>
                <c:pt idx="126">
                  <c:v>5.1111206075067303E-4</c:v>
                </c:pt>
                <c:pt idx="127">
                  <c:v>4.4853144090145001E-4</c:v>
                </c:pt>
                <c:pt idx="128">
                  <c:v>4.5721700980804099E-4</c:v>
                </c:pt>
                <c:pt idx="129">
                  <c:v>1.18085120456235E-4</c:v>
                </c:pt>
                <c:pt idx="130">
                  <c:v>2.0890509018574801E-4</c:v>
                </c:pt>
                <c:pt idx="131">
                  <c:v>6.2349917608853304E-5</c:v>
                </c:pt>
                <c:pt idx="132">
                  <c:v>7.7260015377096707E-5</c:v>
                </c:pt>
                <c:pt idx="133">
                  <c:v>7.7705125163761099E-5</c:v>
                </c:pt>
                <c:pt idx="134">
                  <c:v>1.2656752123026201E-4</c:v>
                </c:pt>
                <c:pt idx="135">
                  <c:v>1.8981164598661E-4</c:v>
                </c:pt>
                <c:pt idx="136">
                  <c:v>1.09727944241163E-4</c:v>
                </c:pt>
                <c:pt idx="137">
                  <c:v>5.14127448459894E-5</c:v>
                </c:pt>
                <c:pt idx="138">
                  <c:v>7.0808320685095995E-5</c:v>
                </c:pt>
                <c:pt idx="139">
                  <c:v>1.38137801233605E-4</c:v>
                </c:pt>
                <c:pt idx="140">
                  <c:v>1.28166724373324E-4</c:v>
                </c:pt>
                <c:pt idx="141">
                  <c:v>2.8613116476948101E-4</c:v>
                </c:pt>
                <c:pt idx="142">
                  <c:v>1.1254799612103201E-3</c:v>
                </c:pt>
                <c:pt idx="143">
                  <c:v>2.1705397754131698E-3</c:v>
                </c:pt>
                <c:pt idx="144">
                  <c:v>2.9998090771003101E-3</c:v>
                </c:pt>
                <c:pt idx="145">
                  <c:v>2.1912087808184902E-3</c:v>
                </c:pt>
                <c:pt idx="146">
                  <c:v>5.1244395463538699E-3</c:v>
                </c:pt>
                <c:pt idx="147">
                  <c:v>6.6622111195612701E-3</c:v>
                </c:pt>
                <c:pt idx="148">
                  <c:v>5.9142756056665803E-3</c:v>
                </c:pt>
                <c:pt idx="149">
                  <c:v>2.3059610467440102E-3</c:v>
                </c:pt>
                <c:pt idx="150">
                  <c:v>5.1057108713702896E-3</c:v>
                </c:pt>
                <c:pt idx="151">
                  <c:v>3.7093838786239901E-3</c:v>
                </c:pt>
                <c:pt idx="152">
                  <c:v>1.5682869089664699E-3</c:v>
                </c:pt>
                <c:pt idx="153">
                  <c:v>1.7289463930776701E-3</c:v>
                </c:pt>
                <c:pt idx="154">
                  <c:v>9.4800641267841503E-4</c:v>
                </c:pt>
                <c:pt idx="155">
                  <c:v>7.6921873800145097E-4</c:v>
                </c:pt>
                <c:pt idx="156">
                  <c:v>3.6503917074256998E-4</c:v>
                </c:pt>
                <c:pt idx="157">
                  <c:v>7.2807678642524602E-4</c:v>
                </c:pt>
                <c:pt idx="158">
                  <c:v>2.0703667546944798E-3</c:v>
                </c:pt>
                <c:pt idx="159">
                  <c:v>2.2673030698720899E-3</c:v>
                </c:pt>
                <c:pt idx="160">
                  <c:v>4.8506682686177702E-3</c:v>
                </c:pt>
                <c:pt idx="161">
                  <c:v>7.21546546831584E-3</c:v>
                </c:pt>
                <c:pt idx="162">
                  <c:v>5.9474577791092101E-3</c:v>
                </c:pt>
                <c:pt idx="163">
                  <c:v>3.7079476145124701E-3</c:v>
                </c:pt>
                <c:pt idx="164">
                  <c:v>2.0311520591881401E-3</c:v>
                </c:pt>
                <c:pt idx="165">
                  <c:v>6.3681225023528298E-3</c:v>
                </c:pt>
                <c:pt idx="166">
                  <c:v>2.5606168679182602E-3</c:v>
                </c:pt>
                <c:pt idx="167">
                  <c:v>6.7470837053240302E-3</c:v>
                </c:pt>
                <c:pt idx="168">
                  <c:v>2.5391137542070102E-3</c:v>
                </c:pt>
                <c:pt idx="169">
                  <c:v>1.48737291930596E-3</c:v>
                </c:pt>
                <c:pt idx="170">
                  <c:v>3.4890800072405899E-3</c:v>
                </c:pt>
                <c:pt idx="171">
                  <c:v>9.0367181357990708E-3</c:v>
                </c:pt>
                <c:pt idx="172">
                  <c:v>5.3403429564292202E-3</c:v>
                </c:pt>
                <c:pt idx="173">
                  <c:v>9.8642663465764498E-3</c:v>
                </c:pt>
                <c:pt idx="174">
                  <c:v>2.2073656709097101E-2</c:v>
                </c:pt>
                <c:pt idx="175">
                  <c:v>2.2126974140678001E-2</c:v>
                </c:pt>
                <c:pt idx="176">
                  <c:v>2.8653101671392602E-2</c:v>
                </c:pt>
                <c:pt idx="177">
                  <c:v>2.9521653233466699E-2</c:v>
                </c:pt>
                <c:pt idx="178">
                  <c:v>3.39392972413807E-2</c:v>
                </c:pt>
                <c:pt idx="179">
                  <c:v>2.57985966584953E-2</c:v>
                </c:pt>
                <c:pt idx="180">
                  <c:v>2.6288769130428501E-2</c:v>
                </c:pt>
                <c:pt idx="181">
                  <c:v>3.4895003086718203E-2</c:v>
                </c:pt>
                <c:pt idx="182">
                  <c:v>5.0464297832893801E-2</c:v>
                </c:pt>
                <c:pt idx="183">
                  <c:v>2.8091291880043799E-2</c:v>
                </c:pt>
                <c:pt idx="184">
                  <c:v>3.6985472623473202E-2</c:v>
                </c:pt>
                <c:pt idx="185">
                  <c:v>3.6985472623473202E-2</c:v>
                </c:pt>
                <c:pt idx="186">
                  <c:v>3.8081960412189197E-2</c:v>
                </c:pt>
                <c:pt idx="187">
                  <c:v>2.98931442613069E-2</c:v>
                </c:pt>
                <c:pt idx="188">
                  <c:v>4.0576469480246402E-2</c:v>
                </c:pt>
                <c:pt idx="189">
                  <c:v>5.5733257120455203E-2</c:v>
                </c:pt>
                <c:pt idx="190">
                  <c:v>5.5210302843546E-2</c:v>
                </c:pt>
                <c:pt idx="191">
                  <c:v>5.6843667888921999E-2</c:v>
                </c:pt>
                <c:pt idx="192">
                  <c:v>5.6963722019140399E-2</c:v>
                </c:pt>
                <c:pt idx="193">
                  <c:v>2.1801779477546102E-3</c:v>
                </c:pt>
                <c:pt idx="194">
                  <c:v>2.1899499180467298E-3</c:v>
                </c:pt>
                <c:pt idx="195">
                  <c:v>5.78845043705907E-3</c:v>
                </c:pt>
                <c:pt idx="196">
                  <c:v>5.7460081272162802E-2</c:v>
                </c:pt>
                <c:pt idx="197">
                  <c:v>9.2515921347387203E-2</c:v>
                </c:pt>
                <c:pt idx="198">
                  <c:v>0.105678643107878</c:v>
                </c:pt>
                <c:pt idx="199">
                  <c:v>9.2355670832085193E-2</c:v>
                </c:pt>
                <c:pt idx="200">
                  <c:v>7.3307962083476605E-2</c:v>
                </c:pt>
                <c:pt idx="201">
                  <c:v>7.4888854290669493E-2</c:v>
                </c:pt>
                <c:pt idx="202">
                  <c:v>9.2759285706895706E-2</c:v>
                </c:pt>
                <c:pt idx="203">
                  <c:v>9.3998413556807103E-2</c:v>
                </c:pt>
                <c:pt idx="204">
                  <c:v>0.10843983316764801</c:v>
                </c:pt>
                <c:pt idx="205">
                  <c:v>0.108243403634791</c:v>
                </c:pt>
                <c:pt idx="206">
                  <c:v>0.13100701570916601</c:v>
                </c:pt>
                <c:pt idx="207">
                  <c:v>0.128936720795501</c:v>
                </c:pt>
                <c:pt idx="208">
                  <c:v>0.11008343849461499</c:v>
                </c:pt>
                <c:pt idx="209">
                  <c:v>0.14791956318824301</c:v>
                </c:pt>
                <c:pt idx="210">
                  <c:v>0.18556389775981899</c:v>
                </c:pt>
                <c:pt idx="211">
                  <c:v>0.18606636138555099</c:v>
                </c:pt>
                <c:pt idx="212">
                  <c:v>0.183514418950807</c:v>
                </c:pt>
                <c:pt idx="213">
                  <c:v>0.18771115723731899</c:v>
                </c:pt>
                <c:pt idx="214">
                  <c:v>0.17272998234149201</c:v>
                </c:pt>
                <c:pt idx="215">
                  <c:v>0.146759122816186</c:v>
                </c:pt>
                <c:pt idx="216">
                  <c:v>0.13140881606048399</c:v>
                </c:pt>
                <c:pt idx="217">
                  <c:v>0.14554399189627501</c:v>
                </c:pt>
                <c:pt idx="218">
                  <c:v>0.109721001806031</c:v>
                </c:pt>
                <c:pt idx="219">
                  <c:v>0.145251647985956</c:v>
                </c:pt>
                <c:pt idx="220">
                  <c:v>0.16936375390644101</c:v>
                </c:pt>
                <c:pt idx="221">
                  <c:v>0.16611661450599</c:v>
                </c:pt>
                <c:pt idx="222">
                  <c:v>0.18505564947661601</c:v>
                </c:pt>
                <c:pt idx="223">
                  <c:v>0.16810406485709101</c:v>
                </c:pt>
                <c:pt idx="224">
                  <c:v>0.187930762639857</c:v>
                </c:pt>
                <c:pt idx="225">
                  <c:v>0.168531927128662</c:v>
                </c:pt>
                <c:pt idx="226">
                  <c:v>3.4714448657501701E-3</c:v>
                </c:pt>
                <c:pt idx="227">
                  <c:v>2.3331317991025198E-3</c:v>
                </c:pt>
                <c:pt idx="228">
                  <c:v>1.67442383088528E-3</c:v>
                </c:pt>
                <c:pt idx="229">
                  <c:v>1.6736251546201301E-3</c:v>
                </c:pt>
                <c:pt idx="230">
                  <c:v>1.4226748396708299E-3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773248"/>
        <c:axId val="396774784"/>
      </c:barChart>
      <c:lineChart>
        <c:grouping val="standard"/>
        <c:varyColors val="0"/>
        <c:ser>
          <c:idx val="0"/>
          <c:order val="0"/>
          <c:tx>
            <c:strRef>
              <c:f>'Low Rate Result'!$C$2</c:f>
              <c:strCache>
                <c:ptCount val="1"/>
                <c:pt idx="0">
                  <c:v>Without Lowest Rate</c:v>
                </c:pt>
              </c:strCache>
            </c:strRef>
          </c:tx>
          <c:spPr>
            <a:ln w="19050">
              <a:solidFill>
                <a:schemeClr val="accent1">
                  <a:shade val="76000"/>
                  <a:shade val="95000"/>
                  <a:satMod val="105000"/>
                </a:schemeClr>
              </a:solidFill>
            </a:ln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Result'!$C$3:$C$233</c:f>
              <c:numCache>
                <c:formatCode>0.00%</c:formatCode>
                <c:ptCount val="231"/>
                <c:pt idx="0">
                  <c:v>0.477996028899563</c:v>
                </c:pt>
                <c:pt idx="1">
                  <c:v>0.49650185657562101</c:v>
                </c:pt>
                <c:pt idx="2">
                  <c:v>0.48029569588235599</c:v>
                </c:pt>
                <c:pt idx="3">
                  <c:v>0.47679593730615699</c:v>
                </c:pt>
                <c:pt idx="4">
                  <c:v>0.43462013043084002</c:v>
                </c:pt>
                <c:pt idx="5">
                  <c:v>0.35529176669040102</c:v>
                </c:pt>
                <c:pt idx="6">
                  <c:v>0.37678804128174298</c:v>
                </c:pt>
                <c:pt idx="7">
                  <c:v>0.41551493659156002</c:v>
                </c:pt>
                <c:pt idx="8">
                  <c:v>0.42215163100202302</c:v>
                </c:pt>
                <c:pt idx="9">
                  <c:v>0.42124985629360401</c:v>
                </c:pt>
                <c:pt idx="10">
                  <c:v>0.46784663358763601</c:v>
                </c:pt>
                <c:pt idx="11">
                  <c:v>0.450158099668103</c:v>
                </c:pt>
                <c:pt idx="12">
                  <c:v>0.42282958858632702</c:v>
                </c:pt>
                <c:pt idx="13">
                  <c:v>0.414778538159287</c:v>
                </c:pt>
                <c:pt idx="14">
                  <c:v>0.41340612440810998</c:v>
                </c:pt>
                <c:pt idx="15">
                  <c:v>0.44381782258269298</c:v>
                </c:pt>
                <c:pt idx="16">
                  <c:v>0.44565511936132601</c:v>
                </c:pt>
                <c:pt idx="17">
                  <c:v>0.45891120103405703</c:v>
                </c:pt>
                <c:pt idx="18">
                  <c:v>0.50042582297659</c:v>
                </c:pt>
                <c:pt idx="19">
                  <c:v>0.50447592982476996</c:v>
                </c:pt>
                <c:pt idx="20">
                  <c:v>0.50568534347274297</c:v>
                </c:pt>
                <c:pt idx="21">
                  <c:v>0.53450860338875705</c:v>
                </c:pt>
                <c:pt idx="22">
                  <c:v>0.55556126357331004</c:v>
                </c:pt>
                <c:pt idx="23">
                  <c:v>0.55544034698333999</c:v>
                </c:pt>
                <c:pt idx="24">
                  <c:v>0.53450860338875705</c:v>
                </c:pt>
                <c:pt idx="25">
                  <c:v>0.55445082777023702</c:v>
                </c:pt>
                <c:pt idx="26">
                  <c:v>0.49771283747510803</c:v>
                </c:pt>
                <c:pt idx="27">
                  <c:v>0.55014388201104203</c:v>
                </c:pt>
                <c:pt idx="28">
                  <c:v>0.53018048409344898</c:v>
                </c:pt>
                <c:pt idx="29">
                  <c:v>0.52333294764067595</c:v>
                </c:pt>
                <c:pt idx="30">
                  <c:v>0.59636201439054404</c:v>
                </c:pt>
                <c:pt idx="31">
                  <c:v>0.68796050816059295</c:v>
                </c:pt>
                <c:pt idx="32">
                  <c:v>0.76968967049094095</c:v>
                </c:pt>
                <c:pt idx="33">
                  <c:v>0.73013076231760698</c:v>
                </c:pt>
                <c:pt idx="34">
                  <c:v>0.72518805605942505</c:v>
                </c:pt>
                <c:pt idx="35">
                  <c:v>0.78586619764471199</c:v>
                </c:pt>
                <c:pt idx="36">
                  <c:v>0.78804143101353397</c:v>
                </c:pt>
                <c:pt idx="37">
                  <c:v>0.78804143101353397</c:v>
                </c:pt>
                <c:pt idx="38">
                  <c:v>0.83535228019697605</c:v>
                </c:pt>
                <c:pt idx="39">
                  <c:v>0.82324225699227804</c:v>
                </c:pt>
                <c:pt idx="40">
                  <c:v>0.75043074974252599</c:v>
                </c:pt>
                <c:pt idx="41">
                  <c:v>0.76889855223368597</c:v>
                </c:pt>
                <c:pt idx="42">
                  <c:v>0.77033919514702098</c:v>
                </c:pt>
                <c:pt idx="43">
                  <c:v>0.80719780316763601</c:v>
                </c:pt>
                <c:pt idx="44">
                  <c:v>0.80724570771905702</c:v>
                </c:pt>
                <c:pt idx="45">
                  <c:v>0.80719780316763601</c:v>
                </c:pt>
                <c:pt idx="46">
                  <c:v>0.80850149462655696</c:v>
                </c:pt>
                <c:pt idx="47">
                  <c:v>0.79441104681633201</c:v>
                </c:pt>
                <c:pt idx="48">
                  <c:v>0.79445840936885304</c:v>
                </c:pt>
                <c:pt idx="49">
                  <c:v>0.79646175435893696</c:v>
                </c:pt>
                <c:pt idx="50">
                  <c:v>0.82537040355923197</c:v>
                </c:pt>
                <c:pt idx="51">
                  <c:v>0.81734633197465201</c:v>
                </c:pt>
                <c:pt idx="52">
                  <c:v>0.80629912189469399</c:v>
                </c:pt>
                <c:pt idx="53">
                  <c:v>0.81626218699844599</c:v>
                </c:pt>
                <c:pt idx="54">
                  <c:v>0.81461584859780101</c:v>
                </c:pt>
                <c:pt idx="55">
                  <c:v>0.78339393568549298</c:v>
                </c:pt>
                <c:pt idx="56">
                  <c:v>0.79842547980239797</c:v>
                </c:pt>
                <c:pt idx="57">
                  <c:v>0.79842547980239797</c:v>
                </c:pt>
                <c:pt idx="58">
                  <c:v>0.79842547980239797</c:v>
                </c:pt>
                <c:pt idx="59">
                  <c:v>0.76669716579457303</c:v>
                </c:pt>
                <c:pt idx="60">
                  <c:v>0.77480777056815697</c:v>
                </c:pt>
                <c:pt idx="61">
                  <c:v>0.78283886771012201</c:v>
                </c:pt>
                <c:pt idx="62">
                  <c:v>0.77421402081353796</c:v>
                </c:pt>
                <c:pt idx="63">
                  <c:v>0.69937061468571404</c:v>
                </c:pt>
                <c:pt idx="64">
                  <c:v>0.749723434167341</c:v>
                </c:pt>
                <c:pt idx="65">
                  <c:v>0.75253147533014197</c:v>
                </c:pt>
                <c:pt idx="66">
                  <c:v>0.80193881910043296</c:v>
                </c:pt>
                <c:pt idx="67">
                  <c:v>0.77781138796328697</c:v>
                </c:pt>
                <c:pt idx="68">
                  <c:v>0.80193881910043296</c:v>
                </c:pt>
                <c:pt idx="69">
                  <c:v>0.80437080516661097</c:v>
                </c:pt>
                <c:pt idx="70">
                  <c:v>0.807152941952609</c:v>
                </c:pt>
                <c:pt idx="71">
                  <c:v>0.83152220645888697</c:v>
                </c:pt>
                <c:pt idx="72">
                  <c:v>0.82948257912141399</c:v>
                </c:pt>
                <c:pt idx="73">
                  <c:v>0.83268888035603505</c:v>
                </c:pt>
                <c:pt idx="74">
                  <c:v>0.86243439572202496</c:v>
                </c:pt>
                <c:pt idx="75">
                  <c:v>0.84549296973434196</c:v>
                </c:pt>
                <c:pt idx="76">
                  <c:v>0.86306170802286497</c:v>
                </c:pt>
                <c:pt idx="77">
                  <c:v>0.86306170802286497</c:v>
                </c:pt>
                <c:pt idx="78">
                  <c:v>0.85531584833132801</c:v>
                </c:pt>
                <c:pt idx="79">
                  <c:v>0.88265848165302496</c:v>
                </c:pt>
                <c:pt idx="80">
                  <c:v>0.88516739973977598</c:v>
                </c:pt>
                <c:pt idx="81">
                  <c:v>0.89814744996460805</c:v>
                </c:pt>
                <c:pt idx="82">
                  <c:v>0.86768818253450297</c:v>
                </c:pt>
                <c:pt idx="83">
                  <c:v>0.86745968477328095</c:v>
                </c:pt>
                <c:pt idx="84">
                  <c:v>0.85198632502448901</c:v>
                </c:pt>
                <c:pt idx="85">
                  <c:v>0.83819941388679298</c:v>
                </c:pt>
                <c:pt idx="86">
                  <c:v>0.86745968477328095</c:v>
                </c:pt>
                <c:pt idx="87">
                  <c:v>0.854493626143913</c:v>
                </c:pt>
                <c:pt idx="88">
                  <c:v>0.85731125996939705</c:v>
                </c:pt>
                <c:pt idx="89">
                  <c:v>0.87344930653794395</c:v>
                </c:pt>
                <c:pt idx="90">
                  <c:v>0.91259028169208301</c:v>
                </c:pt>
                <c:pt idx="91">
                  <c:v>0.89522709255279198</c:v>
                </c:pt>
                <c:pt idx="92">
                  <c:v>0.87811016351224602</c:v>
                </c:pt>
                <c:pt idx="93">
                  <c:v>0.89368551357821302</c:v>
                </c:pt>
                <c:pt idx="94">
                  <c:v>0.87683234085301398</c:v>
                </c:pt>
                <c:pt idx="95">
                  <c:v>0.85225052894835196</c:v>
                </c:pt>
                <c:pt idx="96">
                  <c:v>0.85194480836680198</c:v>
                </c:pt>
                <c:pt idx="97">
                  <c:v>0.86999483052125803</c:v>
                </c:pt>
                <c:pt idx="98">
                  <c:v>0.88773399472374204</c:v>
                </c:pt>
                <c:pt idx="99">
                  <c:v>0.86996445945149903</c:v>
                </c:pt>
                <c:pt idx="100">
                  <c:v>0.85662578219432695</c:v>
                </c:pt>
                <c:pt idx="101">
                  <c:v>0.87412257034895602</c:v>
                </c:pt>
                <c:pt idx="102">
                  <c:v>0.85522983991809798</c:v>
                </c:pt>
                <c:pt idx="103">
                  <c:v>0.85626060279274896</c:v>
                </c:pt>
                <c:pt idx="104">
                  <c:v>0.83696581575361895</c:v>
                </c:pt>
                <c:pt idx="105">
                  <c:v>0.81798384699460103</c:v>
                </c:pt>
                <c:pt idx="106">
                  <c:v>0.83503612629874802</c:v>
                </c:pt>
                <c:pt idx="107">
                  <c:v>0.81634992305868503</c:v>
                </c:pt>
                <c:pt idx="108">
                  <c:v>0.77322369572310801</c:v>
                </c:pt>
                <c:pt idx="109">
                  <c:v>0.75155379277106704</c:v>
                </c:pt>
                <c:pt idx="110">
                  <c:v>0.75155379277106704</c:v>
                </c:pt>
                <c:pt idx="111">
                  <c:v>0.73462902469773095</c:v>
                </c:pt>
                <c:pt idx="112">
                  <c:v>0.75332777657917305</c:v>
                </c:pt>
                <c:pt idx="113">
                  <c:v>0.731898053840778</c:v>
                </c:pt>
                <c:pt idx="114">
                  <c:v>0.69793386100167498</c:v>
                </c:pt>
                <c:pt idx="115">
                  <c:v>0.72870485724391698</c:v>
                </c:pt>
                <c:pt idx="116">
                  <c:v>0.712062870316722</c:v>
                </c:pt>
                <c:pt idx="117">
                  <c:v>0.71361316522728502</c:v>
                </c:pt>
                <c:pt idx="118">
                  <c:v>0.73719138808657003</c:v>
                </c:pt>
                <c:pt idx="119">
                  <c:v>0.76108985756873504</c:v>
                </c:pt>
                <c:pt idx="120">
                  <c:v>0.759939269856726</c:v>
                </c:pt>
                <c:pt idx="121">
                  <c:v>0.77520531199879605</c:v>
                </c:pt>
                <c:pt idx="122">
                  <c:v>0.75094523370436095</c:v>
                </c:pt>
                <c:pt idx="123">
                  <c:v>0.72159050384319001</c:v>
                </c:pt>
                <c:pt idx="124">
                  <c:v>0.68530860108825797</c:v>
                </c:pt>
                <c:pt idx="125">
                  <c:v>0.61546645850988302</c:v>
                </c:pt>
                <c:pt idx="126">
                  <c:v>0.57861777554698002</c:v>
                </c:pt>
                <c:pt idx="127">
                  <c:v>0.55842108987699401</c:v>
                </c:pt>
                <c:pt idx="128">
                  <c:v>0.55919632116239604</c:v>
                </c:pt>
                <c:pt idx="129">
                  <c:v>0.35042164075900101</c:v>
                </c:pt>
                <c:pt idx="130">
                  <c:v>0.439218479739446</c:v>
                </c:pt>
                <c:pt idx="131">
                  <c:v>0.32003461094412999</c:v>
                </c:pt>
                <c:pt idx="132">
                  <c:v>0.407195502334876</c:v>
                </c:pt>
                <c:pt idx="133">
                  <c:v>0.40895553727695599</c:v>
                </c:pt>
                <c:pt idx="134">
                  <c:v>0.36357930006355599</c:v>
                </c:pt>
                <c:pt idx="135">
                  <c:v>0.36292296585782302</c:v>
                </c:pt>
                <c:pt idx="136">
                  <c:v>0.36292296585782302</c:v>
                </c:pt>
                <c:pt idx="137">
                  <c:v>0.28848466841060699</c:v>
                </c:pt>
                <c:pt idx="138">
                  <c:v>0.32738957382411199</c:v>
                </c:pt>
                <c:pt idx="139">
                  <c:v>0.29894428975906101</c:v>
                </c:pt>
                <c:pt idx="140">
                  <c:v>0.28251411119681702</c:v>
                </c:pt>
                <c:pt idx="141">
                  <c:v>0.32091811677951898</c:v>
                </c:pt>
                <c:pt idx="142">
                  <c:v>0.41607421536967498</c:v>
                </c:pt>
                <c:pt idx="143">
                  <c:v>0.43751781158176101</c:v>
                </c:pt>
                <c:pt idx="144">
                  <c:v>0.43701315967767701</c:v>
                </c:pt>
                <c:pt idx="145">
                  <c:v>0.40902347477168999</c:v>
                </c:pt>
                <c:pt idx="146">
                  <c:v>0.45648777309490202</c:v>
                </c:pt>
                <c:pt idx="147">
                  <c:v>0.47501022290439499</c:v>
                </c:pt>
                <c:pt idx="148">
                  <c:v>0.44788779304034998</c:v>
                </c:pt>
                <c:pt idx="149">
                  <c:v>0.37120289750535601</c:v>
                </c:pt>
                <c:pt idx="150">
                  <c:v>0.42989701258795199</c:v>
                </c:pt>
                <c:pt idx="151">
                  <c:v>0.401262959025458</c:v>
                </c:pt>
                <c:pt idx="152">
                  <c:v>0.331227934580689</c:v>
                </c:pt>
                <c:pt idx="153">
                  <c:v>0.33082970500556302</c:v>
                </c:pt>
                <c:pt idx="154">
                  <c:v>0.29198850689481598</c:v>
                </c:pt>
                <c:pt idx="155">
                  <c:v>0.29162362501885603</c:v>
                </c:pt>
                <c:pt idx="156">
                  <c:v>0.265306805945277</c:v>
                </c:pt>
                <c:pt idx="157">
                  <c:v>0.29015447722721099</c:v>
                </c:pt>
                <c:pt idx="158">
                  <c:v>0.32467403778332998</c:v>
                </c:pt>
                <c:pt idx="159">
                  <c:v>0.32547727058860199</c:v>
                </c:pt>
                <c:pt idx="160">
                  <c:v>0.38449844249950499</c:v>
                </c:pt>
                <c:pt idx="161">
                  <c:v>0.407383000493176</c:v>
                </c:pt>
                <c:pt idx="162">
                  <c:v>0.380280894786581</c:v>
                </c:pt>
                <c:pt idx="163">
                  <c:v>0.35043602810261099</c:v>
                </c:pt>
                <c:pt idx="164">
                  <c:v>0.34853875137296803</c:v>
                </c:pt>
                <c:pt idx="165">
                  <c:v>0.37584545219724702</c:v>
                </c:pt>
                <c:pt idx="166">
                  <c:v>0.34537825411835699</c:v>
                </c:pt>
                <c:pt idx="167">
                  <c:v>0.37475184713589199</c:v>
                </c:pt>
                <c:pt idx="168">
                  <c:v>0.34373332978073601</c:v>
                </c:pt>
                <c:pt idx="169">
                  <c:v>0.31383635422742501</c:v>
                </c:pt>
                <c:pt idx="170">
                  <c:v>0.34451093908200903</c:v>
                </c:pt>
                <c:pt idx="171">
                  <c:v>0.37550642358643799</c:v>
                </c:pt>
                <c:pt idx="172">
                  <c:v>0.37394334466633</c:v>
                </c:pt>
                <c:pt idx="173">
                  <c:v>0.37348002875422498</c:v>
                </c:pt>
                <c:pt idx="174">
                  <c:v>0.42315654967107302</c:v>
                </c:pt>
                <c:pt idx="175">
                  <c:v>0.42349289634896597</c:v>
                </c:pt>
                <c:pt idx="176">
                  <c:v>0.44562837110466802</c:v>
                </c:pt>
                <c:pt idx="177">
                  <c:v>0.44740081291084099</c:v>
                </c:pt>
                <c:pt idx="178">
                  <c:v>0.447997908024105</c:v>
                </c:pt>
                <c:pt idx="179">
                  <c:v>0.42258598579352902</c:v>
                </c:pt>
                <c:pt idx="180">
                  <c:v>0.42434402519227898</c:v>
                </c:pt>
                <c:pt idx="181">
                  <c:v>0.447997908024105</c:v>
                </c:pt>
                <c:pt idx="182">
                  <c:v>0.47241973099249801</c:v>
                </c:pt>
                <c:pt idx="183">
                  <c:v>0.41926854513922601</c:v>
                </c:pt>
                <c:pt idx="184">
                  <c:v>0.44241787954298001</c:v>
                </c:pt>
                <c:pt idx="185">
                  <c:v>0.44241787954298001</c:v>
                </c:pt>
                <c:pt idx="186">
                  <c:v>0.44366576481104603</c:v>
                </c:pt>
                <c:pt idx="187">
                  <c:v>0.41284557270170602</c:v>
                </c:pt>
                <c:pt idx="188">
                  <c:v>0.437009219217877</c:v>
                </c:pt>
                <c:pt idx="189">
                  <c:v>0.46725416935729103</c:v>
                </c:pt>
                <c:pt idx="190">
                  <c:v>0.46725416935729103</c:v>
                </c:pt>
                <c:pt idx="191">
                  <c:v>0.46145357757128402</c:v>
                </c:pt>
                <c:pt idx="192">
                  <c:v>0.45995272695767497</c:v>
                </c:pt>
                <c:pt idx="193">
                  <c:v>0.403775681059653</c:v>
                </c:pt>
                <c:pt idx="194">
                  <c:v>0.40569534905697002</c:v>
                </c:pt>
                <c:pt idx="195">
                  <c:v>0.419925946793896</c:v>
                </c:pt>
                <c:pt idx="196">
                  <c:v>0.45168042618119703</c:v>
                </c:pt>
                <c:pt idx="197">
                  <c:v>0.51982909302980596</c:v>
                </c:pt>
                <c:pt idx="198">
                  <c:v>0.54838604953283498</c:v>
                </c:pt>
                <c:pt idx="199">
                  <c:v>0.519221652370358</c:v>
                </c:pt>
                <c:pt idx="200">
                  <c:v>0.47679161148246502</c:v>
                </c:pt>
                <c:pt idx="201">
                  <c:v>0.47696082053878203</c:v>
                </c:pt>
                <c:pt idx="202">
                  <c:v>0.51126312077979097</c:v>
                </c:pt>
                <c:pt idx="203">
                  <c:v>0.51222876537846296</c:v>
                </c:pt>
                <c:pt idx="204">
                  <c:v>0.53685925114667898</c:v>
                </c:pt>
                <c:pt idx="205">
                  <c:v>0.53353274326337596</c:v>
                </c:pt>
                <c:pt idx="206">
                  <c:v>0.57447022909045797</c:v>
                </c:pt>
                <c:pt idx="207">
                  <c:v>0.57166642614489205</c:v>
                </c:pt>
                <c:pt idx="208">
                  <c:v>0.53680415412734395</c:v>
                </c:pt>
                <c:pt idx="209">
                  <c:v>0.59931706558407905</c:v>
                </c:pt>
                <c:pt idx="210">
                  <c:v>0.65582330233583797</c:v>
                </c:pt>
                <c:pt idx="211">
                  <c:v>0.65720471867066899</c:v>
                </c:pt>
                <c:pt idx="212">
                  <c:v>0.65582330233583797</c:v>
                </c:pt>
                <c:pt idx="213">
                  <c:v>0.65455905311871299</c:v>
                </c:pt>
                <c:pt idx="214">
                  <c:v>0.62719075850631201</c:v>
                </c:pt>
                <c:pt idx="215">
                  <c:v>0.59003468905342005</c:v>
                </c:pt>
                <c:pt idx="216">
                  <c:v>0.56144623129586702</c:v>
                </c:pt>
                <c:pt idx="217">
                  <c:v>0.58384753948448997</c:v>
                </c:pt>
                <c:pt idx="218">
                  <c:v>0.51703371456013503</c:v>
                </c:pt>
                <c:pt idx="219">
                  <c:v>0.58146564562660097</c:v>
                </c:pt>
                <c:pt idx="220">
                  <c:v>0.61985540937113104</c:v>
                </c:pt>
                <c:pt idx="221">
                  <c:v>0.60618674833379105</c:v>
                </c:pt>
                <c:pt idx="222">
                  <c:v>0.63179874985391804</c:v>
                </c:pt>
                <c:pt idx="223">
                  <c:v>0.60745911385405604</c:v>
                </c:pt>
                <c:pt idx="224">
                  <c:v>0.63350921207897204</c:v>
                </c:pt>
                <c:pt idx="225">
                  <c:v>0.608876308109219</c:v>
                </c:pt>
                <c:pt idx="226">
                  <c:v>0.53238458781035902</c:v>
                </c:pt>
                <c:pt idx="227">
                  <c:v>0.52626041924754496</c:v>
                </c:pt>
                <c:pt idx="228">
                  <c:v>0.49530657385961702</c:v>
                </c:pt>
                <c:pt idx="229">
                  <c:v>0.49518214427458052</c:v>
                </c:pt>
                <c:pt idx="230">
                  <c:v>0.49151040605794738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'Low Rate Result'!$D$2</c:f>
              <c:strCache>
                <c:ptCount val="1"/>
                <c:pt idx="0">
                  <c:v>Lowest Rate Monthly</c:v>
                </c:pt>
              </c:strCache>
            </c:strRef>
          </c:tx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Result'!$D$3:$D$233</c:f>
            </c:numRef>
          </c:val>
          <c:smooth val="0"/>
        </c:ser>
        <c:ser>
          <c:idx val="2"/>
          <c:order val="2"/>
          <c:tx>
            <c:strRef>
              <c:f>'Low Rate Result'!$E$2</c:f>
              <c:strCache>
                <c:ptCount val="1"/>
                <c:pt idx="0">
                  <c:v>Lowest Rate Weekly</c:v>
                </c:pt>
              </c:strCache>
            </c:strRef>
          </c:tx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Result'!$E$3:$E$233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73248"/>
        <c:axId val="396774784"/>
      </c:lineChart>
      <c:lineChart>
        <c:grouping val="standard"/>
        <c:varyColors val="0"/>
        <c:ser>
          <c:idx val="4"/>
          <c:order val="3"/>
          <c:tx>
            <c:strRef>
              <c:f>'Low Rate Result'!$G$2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Result'!$G$3:$G$233</c:f>
              <c:numCache>
                <c:formatCode>0</c:formatCode>
                <c:ptCount val="231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1723</c:v>
                </c:pt>
                <c:pt idx="225">
                  <c:v>1559.4</c:v>
                </c:pt>
                <c:pt idx="226">
                  <c:v>1477.8</c:v>
                </c:pt>
                <c:pt idx="227">
                  <c:v>1448.8</c:v>
                </c:pt>
                <c:pt idx="228">
                  <c:v>1408.1</c:v>
                </c:pt>
                <c:pt idx="229">
                  <c:v>1233.9000000000001</c:v>
                </c:pt>
                <c:pt idx="2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798592"/>
        <c:axId val="396797056"/>
      </c:lineChart>
      <c:dateAx>
        <c:axId val="3967732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6774784"/>
        <c:crosses val="autoZero"/>
        <c:auto val="1"/>
        <c:lblOffset val="100"/>
        <c:baseTimeUnit val="days"/>
      </c:dateAx>
      <c:valAx>
        <c:axId val="396774784"/>
        <c:scaling>
          <c:orientation val="minMax"/>
          <c:max val="1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96773248"/>
        <c:crosses val="autoZero"/>
        <c:crossBetween val="between"/>
      </c:valAx>
      <c:valAx>
        <c:axId val="396797056"/>
        <c:scaling>
          <c:orientation val="minMax"/>
          <c:max val="6000"/>
        </c:scaling>
        <c:delete val="0"/>
        <c:axPos val="r"/>
        <c:numFmt formatCode="0" sourceLinked="1"/>
        <c:majorTickMark val="out"/>
        <c:minorTickMark val="none"/>
        <c:tickLblPos val="nextTo"/>
        <c:crossAx val="396798592"/>
        <c:crosses val="max"/>
        <c:crossBetween val="between"/>
      </c:valAx>
      <c:dateAx>
        <c:axId val="39679859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96797056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5"/>
          <c:order val="4"/>
          <c:tx>
            <c:strRef>
              <c:f>'Low Rate Result'!$H$2</c:f>
              <c:strCache>
                <c:ptCount val="1"/>
                <c:pt idx="0">
                  <c:v>Media Effect</c:v>
                </c:pt>
              </c:strCache>
            </c:strRef>
          </c:tx>
          <c:spPr>
            <a:solidFill>
              <a:srgbClr val="2E8A60"/>
            </a:solidFill>
            <a:ln w="19050">
              <a:noFill/>
            </a:ln>
          </c:spPr>
          <c:invertIfNegative val="0"/>
          <c:dPt>
            <c:idx val="75"/>
            <c:invertIfNegative val="0"/>
            <c:bubble3D val="0"/>
          </c:dPt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Result'!$H$3:$H$233</c:f>
              <c:numCache>
                <c:formatCode>0.00%</c:formatCode>
                <c:ptCount val="231"/>
                <c:pt idx="0">
                  <c:v>3.7596565105309601E-4</c:v>
                </c:pt>
                <c:pt idx="1">
                  <c:v>5.3255518166106497E-4</c:v>
                </c:pt>
                <c:pt idx="2">
                  <c:v>4.2360297628175301E-4</c:v>
                </c:pt>
                <c:pt idx="3">
                  <c:v>2.71872925347238E-4</c:v>
                </c:pt>
                <c:pt idx="4">
                  <c:v>2.0178573468983399E-4</c:v>
                </c:pt>
                <c:pt idx="5">
                  <c:v>5.20153194974807E-5</c:v>
                </c:pt>
                <c:pt idx="6">
                  <c:v>6.2663406645224498E-5</c:v>
                </c:pt>
                <c:pt idx="7">
                  <c:v>1.35954340606731E-4</c:v>
                </c:pt>
                <c:pt idx="8">
                  <c:v>1.96229527460014E-4</c:v>
                </c:pt>
                <c:pt idx="9">
                  <c:v>2.4946862835881098E-4</c:v>
                </c:pt>
                <c:pt idx="10">
                  <c:v>1.0337095119414301E-3</c:v>
                </c:pt>
                <c:pt idx="11">
                  <c:v>6.0502769456042399E-4</c:v>
                </c:pt>
                <c:pt idx="12">
                  <c:v>2.5023950479765699E-4</c:v>
                </c:pt>
                <c:pt idx="13">
                  <c:v>2.4181129106516801E-4</c:v>
                </c:pt>
                <c:pt idx="14">
                  <c:v>3.9614697005304603E-4</c:v>
                </c:pt>
                <c:pt idx="15">
                  <c:v>1.12729989415065E-3</c:v>
                </c:pt>
                <c:pt idx="16">
                  <c:v>1.13472894544288E-3</c:v>
                </c:pt>
                <c:pt idx="17">
                  <c:v>2.29777756393631E-3</c:v>
                </c:pt>
                <c:pt idx="18">
                  <c:v>5.44390325332186E-3</c:v>
                </c:pt>
                <c:pt idx="19">
                  <c:v>5.4986490601633296E-3</c:v>
                </c:pt>
                <c:pt idx="20">
                  <c:v>5.5127032061132201E-3</c:v>
                </c:pt>
                <c:pt idx="21">
                  <c:v>8.68657357338724E-3</c:v>
                </c:pt>
                <c:pt idx="22">
                  <c:v>1.23067584719575E-2</c:v>
                </c:pt>
                <c:pt idx="23">
                  <c:v>1.23002415872017E-2</c:v>
                </c:pt>
                <c:pt idx="24">
                  <c:v>1.00606573736092E-2</c:v>
                </c:pt>
                <c:pt idx="25">
                  <c:v>1.2160270900161399E-2</c:v>
                </c:pt>
                <c:pt idx="26">
                  <c:v>7.4617374953439E-3</c:v>
                </c:pt>
                <c:pt idx="27">
                  <c:v>1.3388573483630799E-2</c:v>
                </c:pt>
                <c:pt idx="28">
                  <c:v>1.04315971858071E-2</c:v>
                </c:pt>
                <c:pt idx="29">
                  <c:v>9.9907247032366194E-3</c:v>
                </c:pt>
                <c:pt idx="30">
                  <c:v>0.59586208852897005</c:v>
                </c:pt>
                <c:pt idx="31">
                  <c:v>0.68802315917174295</c:v>
                </c:pt>
                <c:pt idx="32">
                  <c:v>0.76977670194978398</c:v>
                </c:pt>
                <c:pt idx="33">
                  <c:v>0.73020380506198002</c:v>
                </c:pt>
                <c:pt idx="34">
                  <c:v>0.72380364081501802</c:v>
                </c:pt>
                <c:pt idx="35">
                  <c:v>0.786160649616369</c:v>
                </c:pt>
                <c:pt idx="36">
                  <c:v>0.78833832359916201</c:v>
                </c:pt>
                <c:pt idx="37">
                  <c:v>0.78833832359916201</c:v>
                </c:pt>
                <c:pt idx="38">
                  <c:v>0.83561176946303795</c:v>
                </c:pt>
                <c:pt idx="39">
                  <c:v>0.82194247765297301</c:v>
                </c:pt>
                <c:pt idx="40">
                  <c:v>0.75098159830325395</c:v>
                </c:pt>
                <c:pt idx="41">
                  <c:v>0.76945479185077703</c:v>
                </c:pt>
                <c:pt idx="42">
                  <c:v>0.77089716807818798</c:v>
                </c:pt>
                <c:pt idx="43">
                  <c:v>0.80648126550350197</c:v>
                </c:pt>
                <c:pt idx="44">
                  <c:v>0.80740872054840995</c:v>
                </c:pt>
                <c:pt idx="45">
                  <c:v>0.807360764605215</c:v>
                </c:pt>
                <c:pt idx="46">
                  <c:v>0.80866545886582697</c:v>
                </c:pt>
                <c:pt idx="47">
                  <c:v>0.79395979394243599</c:v>
                </c:pt>
                <c:pt idx="48">
                  <c:v>0.79468507896195895</c:v>
                </c:pt>
                <c:pt idx="49">
                  <c:v>0.79669049657242397</c:v>
                </c:pt>
                <c:pt idx="50">
                  <c:v>0.82559057548597004</c:v>
                </c:pt>
                <c:pt idx="51">
                  <c:v>0.817559292303353</c:v>
                </c:pt>
                <c:pt idx="52">
                  <c:v>0.80565650657334698</c:v>
                </c:pt>
                <c:pt idx="53">
                  <c:v>0.81663205917875104</c:v>
                </c:pt>
                <c:pt idx="54">
                  <c:v>0.81498439857814597</c:v>
                </c:pt>
                <c:pt idx="55">
                  <c:v>0.78374402567192103</c:v>
                </c:pt>
                <c:pt idx="56">
                  <c:v>0.79845513778799804</c:v>
                </c:pt>
                <c:pt idx="57">
                  <c:v>0.79921379703908202</c:v>
                </c:pt>
                <c:pt idx="58">
                  <c:v>0.79921379703908202</c:v>
                </c:pt>
                <c:pt idx="59">
                  <c:v>0.76744855177879401</c:v>
                </c:pt>
                <c:pt idx="60">
                  <c:v>0.775278844773303</c:v>
                </c:pt>
                <c:pt idx="61">
                  <c:v>0.78407944596061996</c:v>
                </c:pt>
                <c:pt idx="62">
                  <c:v>0.77543640291465299</c:v>
                </c:pt>
                <c:pt idx="63">
                  <c:v>1.02306018328437E-3</c:v>
                </c:pt>
                <c:pt idx="64">
                  <c:v>2.0359348143069401E-3</c:v>
                </c:pt>
                <c:pt idx="65">
                  <c:v>2.3931530313827699E-3</c:v>
                </c:pt>
                <c:pt idx="66">
                  <c:v>0.80265108338267499</c:v>
                </c:pt>
                <c:pt idx="67">
                  <c:v>0.77849897612614904</c:v>
                </c:pt>
                <c:pt idx="68">
                  <c:v>0.80265108338267499</c:v>
                </c:pt>
                <c:pt idx="69">
                  <c:v>0.80415566862182497</c:v>
                </c:pt>
                <c:pt idx="70">
                  <c:v>0.80754152596055995</c:v>
                </c:pt>
                <c:pt idx="71">
                  <c:v>0.831927164274886</c:v>
                </c:pt>
                <c:pt idx="72">
                  <c:v>0.82988569781951205</c:v>
                </c:pt>
                <c:pt idx="73">
                  <c:v>0.83309495413351498</c:v>
                </c:pt>
                <c:pt idx="74">
                  <c:v>0.86123151402869003</c:v>
                </c:pt>
                <c:pt idx="75">
                  <c:v>0.84598502966079503</c:v>
                </c:pt>
                <c:pt idx="76">
                  <c:v>0.86355719580735102</c:v>
                </c:pt>
                <c:pt idx="77">
                  <c:v>0.86355719580735102</c:v>
                </c:pt>
                <c:pt idx="78">
                  <c:v>0.85480310148891403</c:v>
                </c:pt>
                <c:pt idx="79">
                  <c:v>0.88306588959651799</c:v>
                </c:pt>
                <c:pt idx="80">
                  <c:v>0.88557582733423201</c:v>
                </c:pt>
                <c:pt idx="81">
                  <c:v>0.89854811201564799</c:v>
                </c:pt>
                <c:pt idx="82">
                  <c:v>0.86721057119503697</c:v>
                </c:pt>
                <c:pt idx="83">
                  <c:v>0.86873710574149099</c:v>
                </c:pt>
                <c:pt idx="84">
                  <c:v>0.85326106113769395</c:v>
                </c:pt>
                <c:pt idx="85">
                  <c:v>0.83946291551948105</c:v>
                </c:pt>
                <c:pt idx="86">
                  <c:v>0.86873710574149099</c:v>
                </c:pt>
                <c:pt idx="87">
                  <c:v>0.85389897885032495</c:v>
                </c:pt>
                <c:pt idx="88">
                  <c:v>0.85777100850024601</c:v>
                </c:pt>
                <c:pt idx="89">
                  <c:v>0.87391634150534703</c:v>
                </c:pt>
                <c:pt idx="90">
                  <c:v>0.91307424668051995</c:v>
                </c:pt>
                <c:pt idx="91">
                  <c:v>0.89337068210282</c:v>
                </c:pt>
                <c:pt idx="92">
                  <c:v>0.87893796322118301</c:v>
                </c:pt>
                <c:pt idx="93">
                  <c:v>0.89451035602650197</c:v>
                </c:pt>
                <c:pt idx="94">
                  <c:v>0.87765828155593195</c:v>
                </c:pt>
                <c:pt idx="95">
                  <c:v>0.85025958001434099</c:v>
                </c:pt>
                <c:pt idx="96">
                  <c:v>0.85294848165289106</c:v>
                </c:pt>
                <c:pt idx="97">
                  <c:v>0.87099758649899595</c:v>
                </c:pt>
                <c:pt idx="98">
                  <c:v>0.88870182147749199</c:v>
                </c:pt>
                <c:pt idx="99">
                  <c:v>0.87096715032167604</c:v>
                </c:pt>
                <c:pt idx="100">
                  <c:v>0.85552701758194905</c:v>
                </c:pt>
                <c:pt idx="101">
                  <c:v>0.87441718771065802</c:v>
                </c:pt>
                <c:pt idx="102">
                  <c:v>0.85553537746283803</c:v>
                </c:pt>
                <c:pt idx="103">
                  <c:v>0.85656729506407103</c:v>
                </c:pt>
                <c:pt idx="104">
                  <c:v>0.836402700195363</c:v>
                </c:pt>
                <c:pt idx="105">
                  <c:v>6.3649104803575E-3</c:v>
                </c:pt>
                <c:pt idx="106">
                  <c:v>0.83579303387112303</c:v>
                </c:pt>
                <c:pt idx="107">
                  <c:v>6.31365338468388E-3</c:v>
                </c:pt>
                <c:pt idx="108">
                  <c:v>1.5724025040129101E-3</c:v>
                </c:pt>
                <c:pt idx="109">
                  <c:v>1.8805301659143899E-3</c:v>
                </c:pt>
                <c:pt idx="110">
                  <c:v>2.4304666853394601E-3</c:v>
                </c:pt>
                <c:pt idx="111">
                  <c:v>1.6769000092261E-3</c:v>
                </c:pt>
                <c:pt idx="112">
                  <c:v>2.4413028764475298E-3</c:v>
                </c:pt>
                <c:pt idx="113">
                  <c:v>2.7765010532729102E-3</c:v>
                </c:pt>
                <c:pt idx="114">
                  <c:v>1.16383571386427E-3</c:v>
                </c:pt>
                <c:pt idx="115">
                  <c:v>2.2270412887641501E-3</c:v>
                </c:pt>
                <c:pt idx="116">
                  <c:v>1.5814373541439301E-3</c:v>
                </c:pt>
                <c:pt idx="117">
                  <c:v>2.9231505873714399E-3</c:v>
                </c:pt>
                <c:pt idx="118">
                  <c:v>6.9694981086310098E-3</c:v>
                </c:pt>
                <c:pt idx="119">
                  <c:v>1.3563295142313201E-2</c:v>
                </c:pt>
                <c:pt idx="120">
                  <c:v>9.5307583692172005E-3</c:v>
                </c:pt>
                <c:pt idx="121">
                  <c:v>0.77278468829226099</c:v>
                </c:pt>
                <c:pt idx="122">
                  <c:v>1.43811701784358E-2</c:v>
                </c:pt>
                <c:pt idx="123">
                  <c:v>8.3805961025081796E-3</c:v>
                </c:pt>
                <c:pt idx="124">
                  <c:v>3.24861882666854E-3</c:v>
                </c:pt>
                <c:pt idx="125">
                  <c:v>7.23006593961598E-4</c:v>
                </c:pt>
                <c:pt idx="126">
                  <c:v>5.1111206075067303E-4</c:v>
                </c:pt>
                <c:pt idx="127">
                  <c:v>4.4853144090145001E-4</c:v>
                </c:pt>
                <c:pt idx="128">
                  <c:v>4.5721700980804099E-4</c:v>
                </c:pt>
                <c:pt idx="129">
                  <c:v>1.18085120456235E-4</c:v>
                </c:pt>
                <c:pt idx="130">
                  <c:v>2.0890509018574801E-4</c:v>
                </c:pt>
                <c:pt idx="131">
                  <c:v>6.2349917608853304E-5</c:v>
                </c:pt>
                <c:pt idx="132">
                  <c:v>7.7260015377096707E-5</c:v>
                </c:pt>
                <c:pt idx="133">
                  <c:v>7.7705125163761099E-5</c:v>
                </c:pt>
                <c:pt idx="134">
                  <c:v>1.2656752123026201E-4</c:v>
                </c:pt>
                <c:pt idx="135">
                  <c:v>1.8981164598661E-4</c:v>
                </c:pt>
                <c:pt idx="136">
                  <c:v>1.09727944241163E-4</c:v>
                </c:pt>
                <c:pt idx="137">
                  <c:v>5.14127448459894E-5</c:v>
                </c:pt>
                <c:pt idx="138">
                  <c:v>7.0808320685095995E-5</c:v>
                </c:pt>
                <c:pt idx="139">
                  <c:v>1.38137801233605E-4</c:v>
                </c:pt>
                <c:pt idx="140">
                  <c:v>1.28166724373324E-4</c:v>
                </c:pt>
                <c:pt idx="141">
                  <c:v>2.8613116476948101E-4</c:v>
                </c:pt>
                <c:pt idx="142">
                  <c:v>1.1254799612103201E-3</c:v>
                </c:pt>
                <c:pt idx="143">
                  <c:v>2.1705397754131698E-3</c:v>
                </c:pt>
                <c:pt idx="144">
                  <c:v>2.9998090771003101E-3</c:v>
                </c:pt>
                <c:pt idx="145">
                  <c:v>2.1912087808184902E-3</c:v>
                </c:pt>
                <c:pt idx="146">
                  <c:v>5.1244395463538699E-3</c:v>
                </c:pt>
                <c:pt idx="147">
                  <c:v>6.6622111195612701E-3</c:v>
                </c:pt>
                <c:pt idx="148">
                  <c:v>5.9142756056665803E-3</c:v>
                </c:pt>
                <c:pt idx="149">
                  <c:v>2.3059610467440102E-3</c:v>
                </c:pt>
                <c:pt idx="150">
                  <c:v>5.1057108713702896E-3</c:v>
                </c:pt>
                <c:pt idx="151">
                  <c:v>3.7093838786239901E-3</c:v>
                </c:pt>
                <c:pt idx="152">
                  <c:v>1.5682869089664699E-3</c:v>
                </c:pt>
                <c:pt idx="153">
                  <c:v>1.7289463930776701E-3</c:v>
                </c:pt>
                <c:pt idx="154">
                  <c:v>9.4800641267841503E-4</c:v>
                </c:pt>
                <c:pt idx="155">
                  <c:v>7.6921873800145097E-4</c:v>
                </c:pt>
                <c:pt idx="156">
                  <c:v>3.6503917074256998E-4</c:v>
                </c:pt>
                <c:pt idx="157">
                  <c:v>7.2807678642524602E-4</c:v>
                </c:pt>
                <c:pt idx="158">
                  <c:v>2.0703667546944798E-3</c:v>
                </c:pt>
                <c:pt idx="159">
                  <c:v>2.2673030698720899E-3</c:v>
                </c:pt>
                <c:pt idx="160">
                  <c:v>4.8506682686177702E-3</c:v>
                </c:pt>
                <c:pt idx="161">
                  <c:v>7.21546546831584E-3</c:v>
                </c:pt>
                <c:pt idx="162">
                  <c:v>5.9474577791092101E-3</c:v>
                </c:pt>
                <c:pt idx="163">
                  <c:v>3.7079476145124701E-3</c:v>
                </c:pt>
                <c:pt idx="164">
                  <c:v>2.0311520591881401E-3</c:v>
                </c:pt>
                <c:pt idx="165">
                  <c:v>6.3681225023528298E-3</c:v>
                </c:pt>
                <c:pt idx="166">
                  <c:v>2.5606168679182602E-3</c:v>
                </c:pt>
                <c:pt idx="167">
                  <c:v>6.7470837053240302E-3</c:v>
                </c:pt>
                <c:pt idx="168">
                  <c:v>2.5391137542070102E-3</c:v>
                </c:pt>
                <c:pt idx="169">
                  <c:v>1.48737291930596E-3</c:v>
                </c:pt>
                <c:pt idx="170">
                  <c:v>3.4890800072405899E-3</c:v>
                </c:pt>
                <c:pt idx="171">
                  <c:v>9.0367181357990708E-3</c:v>
                </c:pt>
                <c:pt idx="172">
                  <c:v>5.3403429564292202E-3</c:v>
                </c:pt>
                <c:pt idx="173">
                  <c:v>9.8642663465764498E-3</c:v>
                </c:pt>
                <c:pt idx="174">
                  <c:v>2.2073656709097101E-2</c:v>
                </c:pt>
                <c:pt idx="175">
                  <c:v>2.2126974140678001E-2</c:v>
                </c:pt>
                <c:pt idx="176">
                  <c:v>2.8653101671392602E-2</c:v>
                </c:pt>
                <c:pt idx="177">
                  <c:v>2.9521653233466699E-2</c:v>
                </c:pt>
                <c:pt idx="178">
                  <c:v>3.39392972413807E-2</c:v>
                </c:pt>
                <c:pt idx="179">
                  <c:v>2.57985966584953E-2</c:v>
                </c:pt>
                <c:pt idx="180">
                  <c:v>2.6288769130428501E-2</c:v>
                </c:pt>
                <c:pt idx="181">
                  <c:v>3.4895003086718203E-2</c:v>
                </c:pt>
                <c:pt idx="182">
                  <c:v>5.0464297832893801E-2</c:v>
                </c:pt>
                <c:pt idx="183">
                  <c:v>2.8091291880043799E-2</c:v>
                </c:pt>
                <c:pt idx="184">
                  <c:v>3.6985472623473202E-2</c:v>
                </c:pt>
                <c:pt idx="185">
                  <c:v>3.6985472623473202E-2</c:v>
                </c:pt>
                <c:pt idx="186">
                  <c:v>3.8081960412189197E-2</c:v>
                </c:pt>
                <c:pt idx="187">
                  <c:v>2.98931442613069E-2</c:v>
                </c:pt>
                <c:pt idx="188">
                  <c:v>4.0576469480246402E-2</c:v>
                </c:pt>
                <c:pt idx="189">
                  <c:v>5.5733257120455203E-2</c:v>
                </c:pt>
                <c:pt idx="190">
                  <c:v>5.5210302843546E-2</c:v>
                </c:pt>
                <c:pt idx="191">
                  <c:v>5.6843667888921999E-2</c:v>
                </c:pt>
                <c:pt idx="192">
                  <c:v>5.6963722019140399E-2</c:v>
                </c:pt>
                <c:pt idx="193">
                  <c:v>2.1801779477546102E-3</c:v>
                </c:pt>
                <c:pt idx="194">
                  <c:v>2.1899499180467298E-3</c:v>
                </c:pt>
                <c:pt idx="195">
                  <c:v>5.78845043705907E-3</c:v>
                </c:pt>
                <c:pt idx="196">
                  <c:v>5.7460081272162802E-2</c:v>
                </c:pt>
                <c:pt idx="197">
                  <c:v>9.2515921347387203E-2</c:v>
                </c:pt>
                <c:pt idx="198">
                  <c:v>0.105678643107878</c:v>
                </c:pt>
                <c:pt idx="199">
                  <c:v>9.2355670832085193E-2</c:v>
                </c:pt>
                <c:pt idx="200">
                  <c:v>7.3307962083476605E-2</c:v>
                </c:pt>
                <c:pt idx="201">
                  <c:v>7.4888854290669493E-2</c:v>
                </c:pt>
                <c:pt idx="202">
                  <c:v>9.2759285706895706E-2</c:v>
                </c:pt>
                <c:pt idx="203">
                  <c:v>9.3998413556807103E-2</c:v>
                </c:pt>
                <c:pt idx="204">
                  <c:v>0.10843983316764801</c:v>
                </c:pt>
                <c:pt idx="205">
                  <c:v>0.108243403634791</c:v>
                </c:pt>
                <c:pt idx="206">
                  <c:v>0.13100701570916601</c:v>
                </c:pt>
                <c:pt idx="207">
                  <c:v>0.128936720795501</c:v>
                </c:pt>
                <c:pt idx="208">
                  <c:v>0.11008343849461499</c:v>
                </c:pt>
                <c:pt idx="209">
                  <c:v>0.14791956318824301</c:v>
                </c:pt>
                <c:pt idx="210">
                  <c:v>0.18556389775981899</c:v>
                </c:pt>
                <c:pt idx="211">
                  <c:v>0.18606636138555099</c:v>
                </c:pt>
                <c:pt idx="212">
                  <c:v>0.183514418950807</c:v>
                </c:pt>
                <c:pt idx="213">
                  <c:v>0.18771115723731899</c:v>
                </c:pt>
                <c:pt idx="214">
                  <c:v>0.17272998234149201</c:v>
                </c:pt>
                <c:pt idx="215">
                  <c:v>0.146759122816186</c:v>
                </c:pt>
                <c:pt idx="216">
                  <c:v>0.13140881606048399</c:v>
                </c:pt>
                <c:pt idx="217">
                  <c:v>0.14554399189627501</c:v>
                </c:pt>
                <c:pt idx="218">
                  <c:v>0.109721001806031</c:v>
                </c:pt>
                <c:pt idx="219">
                  <c:v>0.145251647985956</c:v>
                </c:pt>
                <c:pt idx="220">
                  <c:v>0.16936375390644101</c:v>
                </c:pt>
                <c:pt idx="221">
                  <c:v>0.16611661450599</c:v>
                </c:pt>
                <c:pt idx="222">
                  <c:v>0.18505564947661601</c:v>
                </c:pt>
                <c:pt idx="223">
                  <c:v>0.16810406485709101</c:v>
                </c:pt>
                <c:pt idx="224">
                  <c:v>0.187930762639857</c:v>
                </c:pt>
                <c:pt idx="225">
                  <c:v>0.168531927128662</c:v>
                </c:pt>
                <c:pt idx="226">
                  <c:v>3.4714448657501701E-3</c:v>
                </c:pt>
                <c:pt idx="227">
                  <c:v>2.3331317991025198E-3</c:v>
                </c:pt>
                <c:pt idx="228">
                  <c:v>1.67442383088528E-3</c:v>
                </c:pt>
                <c:pt idx="229">
                  <c:v>1.6736251546201301E-3</c:v>
                </c:pt>
                <c:pt idx="230">
                  <c:v>1.4226748396708299E-3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89728"/>
        <c:axId val="340505344"/>
      </c:barChart>
      <c:lineChart>
        <c:grouping val="standard"/>
        <c:varyColors val="0"/>
        <c:ser>
          <c:idx val="0"/>
          <c:order val="0"/>
          <c:tx>
            <c:strRef>
              <c:f>'Low Rate Result'!$C$2</c:f>
              <c:strCache>
                <c:ptCount val="1"/>
                <c:pt idx="0">
                  <c:v>Without Lowest Rate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Result'!$C$3:$C$233</c:f>
              <c:numCache>
                <c:formatCode>0.00%</c:formatCode>
                <c:ptCount val="231"/>
                <c:pt idx="0">
                  <c:v>0.477996028899563</c:v>
                </c:pt>
                <c:pt idx="1">
                  <c:v>0.49650185657562101</c:v>
                </c:pt>
                <c:pt idx="2">
                  <c:v>0.48029569588235599</c:v>
                </c:pt>
                <c:pt idx="3">
                  <c:v>0.47679593730615699</c:v>
                </c:pt>
                <c:pt idx="4">
                  <c:v>0.43462013043084002</c:v>
                </c:pt>
                <c:pt idx="5">
                  <c:v>0.35529176669040102</c:v>
                </c:pt>
                <c:pt idx="6">
                  <c:v>0.37678804128174298</c:v>
                </c:pt>
                <c:pt idx="7">
                  <c:v>0.41551493659156002</c:v>
                </c:pt>
                <c:pt idx="8">
                  <c:v>0.42215163100202302</c:v>
                </c:pt>
                <c:pt idx="9">
                  <c:v>0.42124985629360401</c:v>
                </c:pt>
                <c:pt idx="10">
                  <c:v>0.46784663358763601</c:v>
                </c:pt>
                <c:pt idx="11">
                  <c:v>0.450158099668103</c:v>
                </c:pt>
                <c:pt idx="12">
                  <c:v>0.42282958858632702</c:v>
                </c:pt>
                <c:pt idx="13">
                  <c:v>0.414778538159287</c:v>
                </c:pt>
                <c:pt idx="14">
                  <c:v>0.41340612440810998</c:v>
                </c:pt>
                <c:pt idx="15">
                  <c:v>0.44381782258269298</c:v>
                </c:pt>
                <c:pt idx="16">
                  <c:v>0.44565511936132601</c:v>
                </c:pt>
                <c:pt idx="17">
                  <c:v>0.45891120103405703</c:v>
                </c:pt>
                <c:pt idx="18">
                  <c:v>0.50042582297659</c:v>
                </c:pt>
                <c:pt idx="19">
                  <c:v>0.50447592982476996</c:v>
                </c:pt>
                <c:pt idx="20">
                  <c:v>0.50568534347274297</c:v>
                </c:pt>
                <c:pt idx="21">
                  <c:v>0.53450860338875705</c:v>
                </c:pt>
                <c:pt idx="22">
                  <c:v>0.55556126357331004</c:v>
                </c:pt>
                <c:pt idx="23">
                  <c:v>0.55544034698333999</c:v>
                </c:pt>
                <c:pt idx="24">
                  <c:v>0.53450860338875705</c:v>
                </c:pt>
                <c:pt idx="25">
                  <c:v>0.55445082777023702</c:v>
                </c:pt>
                <c:pt idx="26">
                  <c:v>0.49771283747510803</c:v>
                </c:pt>
                <c:pt idx="27">
                  <c:v>0.55014388201104203</c:v>
                </c:pt>
                <c:pt idx="28">
                  <c:v>0.53018048409344898</c:v>
                </c:pt>
                <c:pt idx="29">
                  <c:v>0.52333294764067595</c:v>
                </c:pt>
                <c:pt idx="30">
                  <c:v>0.59636201439054404</c:v>
                </c:pt>
                <c:pt idx="31">
                  <c:v>0.68796050816059295</c:v>
                </c:pt>
                <c:pt idx="32">
                  <c:v>0.76968967049094095</c:v>
                </c:pt>
                <c:pt idx="33">
                  <c:v>0.73013076231760698</c:v>
                </c:pt>
                <c:pt idx="34">
                  <c:v>0.72518805605942505</c:v>
                </c:pt>
                <c:pt idx="35">
                  <c:v>0.78586619764471199</c:v>
                </c:pt>
                <c:pt idx="36">
                  <c:v>0.78804143101353397</c:v>
                </c:pt>
                <c:pt idx="37">
                  <c:v>0.78804143101353397</c:v>
                </c:pt>
                <c:pt idx="38">
                  <c:v>0.83535228019697605</c:v>
                </c:pt>
                <c:pt idx="39">
                  <c:v>0.82324225699227804</c:v>
                </c:pt>
                <c:pt idx="40">
                  <c:v>0.75043074974252599</c:v>
                </c:pt>
                <c:pt idx="41">
                  <c:v>0.76889855223368597</c:v>
                </c:pt>
                <c:pt idx="42">
                  <c:v>0.77033919514702098</c:v>
                </c:pt>
                <c:pt idx="43">
                  <c:v>0.80719780316763601</c:v>
                </c:pt>
                <c:pt idx="44">
                  <c:v>0.80724570771905702</c:v>
                </c:pt>
                <c:pt idx="45">
                  <c:v>0.80719780316763601</c:v>
                </c:pt>
                <c:pt idx="46">
                  <c:v>0.80850149462655696</c:v>
                </c:pt>
                <c:pt idx="47">
                  <c:v>0.79441104681633201</c:v>
                </c:pt>
                <c:pt idx="48">
                  <c:v>0.79445840936885304</c:v>
                </c:pt>
                <c:pt idx="49">
                  <c:v>0.79646175435893696</c:v>
                </c:pt>
                <c:pt idx="50">
                  <c:v>0.82537040355923197</c:v>
                </c:pt>
                <c:pt idx="51">
                  <c:v>0.81734633197465201</c:v>
                </c:pt>
                <c:pt idx="52">
                  <c:v>0.80629912189469399</c:v>
                </c:pt>
                <c:pt idx="53">
                  <c:v>0.81626218699844599</c:v>
                </c:pt>
                <c:pt idx="54">
                  <c:v>0.81461584859780101</c:v>
                </c:pt>
                <c:pt idx="55">
                  <c:v>0.78339393568549298</c:v>
                </c:pt>
                <c:pt idx="56">
                  <c:v>0.79842547980239797</c:v>
                </c:pt>
                <c:pt idx="57">
                  <c:v>0.79842547980239797</c:v>
                </c:pt>
                <c:pt idx="58">
                  <c:v>0.79842547980239797</c:v>
                </c:pt>
                <c:pt idx="59">
                  <c:v>0.76669716579457303</c:v>
                </c:pt>
                <c:pt idx="60">
                  <c:v>0.77480777056815697</c:v>
                </c:pt>
                <c:pt idx="61">
                  <c:v>0.78283886771012201</c:v>
                </c:pt>
                <c:pt idx="62">
                  <c:v>0.77421402081353796</c:v>
                </c:pt>
                <c:pt idx="63">
                  <c:v>0.69937061468571404</c:v>
                </c:pt>
                <c:pt idx="64">
                  <c:v>0.749723434167341</c:v>
                </c:pt>
                <c:pt idx="65">
                  <c:v>0.75253147533014197</c:v>
                </c:pt>
                <c:pt idx="66">
                  <c:v>0.80193881910043296</c:v>
                </c:pt>
                <c:pt idx="67">
                  <c:v>0.77781138796328697</c:v>
                </c:pt>
                <c:pt idx="68">
                  <c:v>0.80193881910043296</c:v>
                </c:pt>
                <c:pt idx="69">
                  <c:v>0.80437080516661097</c:v>
                </c:pt>
                <c:pt idx="70">
                  <c:v>0.807152941952609</c:v>
                </c:pt>
                <c:pt idx="71">
                  <c:v>0.83152220645888697</c:v>
                </c:pt>
                <c:pt idx="72">
                  <c:v>0.82948257912141399</c:v>
                </c:pt>
                <c:pt idx="73">
                  <c:v>0.83268888035603505</c:v>
                </c:pt>
                <c:pt idx="74">
                  <c:v>0.86243439572202496</c:v>
                </c:pt>
                <c:pt idx="75">
                  <c:v>0.84549296973434196</c:v>
                </c:pt>
                <c:pt idx="76">
                  <c:v>0.86306170802286497</c:v>
                </c:pt>
                <c:pt idx="77">
                  <c:v>0.86306170802286497</c:v>
                </c:pt>
                <c:pt idx="78">
                  <c:v>0.85531584833132801</c:v>
                </c:pt>
                <c:pt idx="79">
                  <c:v>0.88265848165302496</c:v>
                </c:pt>
                <c:pt idx="80">
                  <c:v>0.88516739973977598</c:v>
                </c:pt>
                <c:pt idx="81">
                  <c:v>0.89814744996460805</c:v>
                </c:pt>
                <c:pt idx="82">
                  <c:v>0.86768818253450297</c:v>
                </c:pt>
                <c:pt idx="83">
                  <c:v>0.86745968477328095</c:v>
                </c:pt>
                <c:pt idx="84">
                  <c:v>0.85198632502448901</c:v>
                </c:pt>
                <c:pt idx="85">
                  <c:v>0.83819941388679298</c:v>
                </c:pt>
                <c:pt idx="86">
                  <c:v>0.86745968477328095</c:v>
                </c:pt>
                <c:pt idx="87">
                  <c:v>0.854493626143913</c:v>
                </c:pt>
                <c:pt idx="88">
                  <c:v>0.85731125996939705</c:v>
                </c:pt>
                <c:pt idx="89">
                  <c:v>0.87344930653794395</c:v>
                </c:pt>
                <c:pt idx="90">
                  <c:v>0.91259028169208301</c:v>
                </c:pt>
                <c:pt idx="91">
                  <c:v>0.89522709255279198</c:v>
                </c:pt>
                <c:pt idx="92">
                  <c:v>0.87811016351224602</c:v>
                </c:pt>
                <c:pt idx="93">
                  <c:v>0.89368551357821302</c:v>
                </c:pt>
                <c:pt idx="94">
                  <c:v>0.87683234085301398</c:v>
                </c:pt>
                <c:pt idx="95">
                  <c:v>0.85225052894835196</c:v>
                </c:pt>
                <c:pt idx="96">
                  <c:v>0.85194480836680198</c:v>
                </c:pt>
                <c:pt idx="97">
                  <c:v>0.86999483052125803</c:v>
                </c:pt>
                <c:pt idx="98">
                  <c:v>0.88773399472374204</c:v>
                </c:pt>
                <c:pt idx="99">
                  <c:v>0.86996445945149903</c:v>
                </c:pt>
                <c:pt idx="100">
                  <c:v>0.85662578219432695</c:v>
                </c:pt>
                <c:pt idx="101">
                  <c:v>0.87412257034895602</c:v>
                </c:pt>
                <c:pt idx="102">
                  <c:v>0.85522983991809798</c:v>
                </c:pt>
                <c:pt idx="103">
                  <c:v>0.85626060279274896</c:v>
                </c:pt>
                <c:pt idx="104">
                  <c:v>0.83696581575361895</c:v>
                </c:pt>
                <c:pt idx="105">
                  <c:v>0.81798384699460103</c:v>
                </c:pt>
                <c:pt idx="106">
                  <c:v>0.83503612629874802</c:v>
                </c:pt>
                <c:pt idx="107">
                  <c:v>0.81634992305868503</c:v>
                </c:pt>
                <c:pt idx="108">
                  <c:v>0.77322369572310801</c:v>
                </c:pt>
                <c:pt idx="109">
                  <c:v>0.75155379277106704</c:v>
                </c:pt>
                <c:pt idx="110">
                  <c:v>0.75155379277106704</c:v>
                </c:pt>
                <c:pt idx="111">
                  <c:v>0.73462902469773095</c:v>
                </c:pt>
                <c:pt idx="112">
                  <c:v>0.75332777657917305</c:v>
                </c:pt>
                <c:pt idx="113">
                  <c:v>0.731898053840778</c:v>
                </c:pt>
                <c:pt idx="114">
                  <c:v>0.69793386100167498</c:v>
                </c:pt>
                <c:pt idx="115">
                  <c:v>0.72870485724391698</c:v>
                </c:pt>
                <c:pt idx="116">
                  <c:v>0.712062870316722</c:v>
                </c:pt>
                <c:pt idx="117">
                  <c:v>0.71361316522728502</c:v>
                </c:pt>
                <c:pt idx="118">
                  <c:v>0.73719138808657003</c:v>
                </c:pt>
                <c:pt idx="119">
                  <c:v>0.76108985756873504</c:v>
                </c:pt>
                <c:pt idx="120">
                  <c:v>0.759939269856726</c:v>
                </c:pt>
                <c:pt idx="121">
                  <c:v>0.77520531199879605</c:v>
                </c:pt>
                <c:pt idx="122">
                  <c:v>0.75094523370436095</c:v>
                </c:pt>
                <c:pt idx="123">
                  <c:v>0.72159050384319001</c:v>
                </c:pt>
                <c:pt idx="124">
                  <c:v>0.68530860108825797</c:v>
                </c:pt>
                <c:pt idx="125">
                  <c:v>0.61546645850988302</c:v>
                </c:pt>
                <c:pt idx="126">
                  <c:v>0.57861777554698002</c:v>
                </c:pt>
                <c:pt idx="127">
                  <c:v>0.55842108987699401</c:v>
                </c:pt>
                <c:pt idx="128">
                  <c:v>0.55919632116239604</c:v>
                </c:pt>
                <c:pt idx="129">
                  <c:v>0.35042164075900101</c:v>
                </c:pt>
                <c:pt idx="130">
                  <c:v>0.439218479739446</c:v>
                </c:pt>
                <c:pt idx="131">
                  <c:v>0.32003461094412999</c:v>
                </c:pt>
                <c:pt idx="132">
                  <c:v>0.407195502334876</c:v>
                </c:pt>
                <c:pt idx="133">
                  <c:v>0.40895553727695599</c:v>
                </c:pt>
                <c:pt idx="134">
                  <c:v>0.36357930006355599</c:v>
                </c:pt>
                <c:pt idx="135">
                  <c:v>0.36292296585782302</c:v>
                </c:pt>
                <c:pt idx="136">
                  <c:v>0.36292296585782302</c:v>
                </c:pt>
                <c:pt idx="137">
                  <c:v>0.28848466841060699</c:v>
                </c:pt>
                <c:pt idx="138">
                  <c:v>0.32738957382411199</c:v>
                </c:pt>
                <c:pt idx="139">
                  <c:v>0.29894428975906101</c:v>
                </c:pt>
                <c:pt idx="140">
                  <c:v>0.28251411119681702</c:v>
                </c:pt>
                <c:pt idx="141">
                  <c:v>0.32091811677951898</c:v>
                </c:pt>
                <c:pt idx="142">
                  <c:v>0.41607421536967498</c:v>
                </c:pt>
                <c:pt idx="143">
                  <c:v>0.43751781158176101</c:v>
                </c:pt>
                <c:pt idx="144">
                  <c:v>0.43701315967767701</c:v>
                </c:pt>
                <c:pt idx="145">
                  <c:v>0.40902347477168999</c:v>
                </c:pt>
                <c:pt idx="146">
                  <c:v>0.45648777309490202</c:v>
                </c:pt>
                <c:pt idx="147">
                  <c:v>0.47501022290439499</c:v>
                </c:pt>
                <c:pt idx="148">
                  <c:v>0.44788779304034998</c:v>
                </c:pt>
                <c:pt idx="149">
                  <c:v>0.37120289750535601</c:v>
                </c:pt>
                <c:pt idx="150">
                  <c:v>0.42989701258795199</c:v>
                </c:pt>
                <c:pt idx="151">
                  <c:v>0.401262959025458</c:v>
                </c:pt>
                <c:pt idx="152">
                  <c:v>0.331227934580689</c:v>
                </c:pt>
                <c:pt idx="153">
                  <c:v>0.33082970500556302</c:v>
                </c:pt>
                <c:pt idx="154">
                  <c:v>0.29198850689481598</c:v>
                </c:pt>
                <c:pt idx="155">
                  <c:v>0.29162362501885603</c:v>
                </c:pt>
                <c:pt idx="156">
                  <c:v>0.265306805945277</c:v>
                </c:pt>
                <c:pt idx="157">
                  <c:v>0.29015447722721099</c:v>
                </c:pt>
                <c:pt idx="158">
                  <c:v>0.32467403778332998</c:v>
                </c:pt>
                <c:pt idx="159">
                  <c:v>0.32547727058860199</c:v>
                </c:pt>
                <c:pt idx="160">
                  <c:v>0.38449844249950499</c:v>
                </c:pt>
                <c:pt idx="161">
                  <c:v>0.407383000493176</c:v>
                </c:pt>
                <c:pt idx="162">
                  <c:v>0.380280894786581</c:v>
                </c:pt>
                <c:pt idx="163">
                  <c:v>0.35043602810261099</c:v>
                </c:pt>
                <c:pt idx="164">
                  <c:v>0.34853875137296803</c:v>
                </c:pt>
                <c:pt idx="165">
                  <c:v>0.37584545219724702</c:v>
                </c:pt>
                <c:pt idx="166">
                  <c:v>0.34537825411835699</c:v>
                </c:pt>
                <c:pt idx="167">
                  <c:v>0.37475184713589199</c:v>
                </c:pt>
                <c:pt idx="168">
                  <c:v>0.34373332978073601</c:v>
                </c:pt>
                <c:pt idx="169">
                  <c:v>0.31383635422742501</c:v>
                </c:pt>
                <c:pt idx="170">
                  <c:v>0.34451093908200903</c:v>
                </c:pt>
                <c:pt idx="171">
                  <c:v>0.37550642358643799</c:v>
                </c:pt>
                <c:pt idx="172">
                  <c:v>0.37394334466633</c:v>
                </c:pt>
                <c:pt idx="173">
                  <c:v>0.37348002875422498</c:v>
                </c:pt>
                <c:pt idx="174">
                  <c:v>0.42315654967107302</c:v>
                </c:pt>
                <c:pt idx="175">
                  <c:v>0.42349289634896597</c:v>
                </c:pt>
                <c:pt idx="176">
                  <c:v>0.44562837110466802</c:v>
                </c:pt>
                <c:pt idx="177">
                  <c:v>0.44740081291084099</c:v>
                </c:pt>
                <c:pt idx="178">
                  <c:v>0.447997908024105</c:v>
                </c:pt>
                <c:pt idx="179">
                  <c:v>0.42258598579352902</c:v>
                </c:pt>
                <c:pt idx="180">
                  <c:v>0.42434402519227898</c:v>
                </c:pt>
                <c:pt idx="181">
                  <c:v>0.447997908024105</c:v>
                </c:pt>
                <c:pt idx="182">
                  <c:v>0.47241973099249801</c:v>
                </c:pt>
                <c:pt idx="183">
                  <c:v>0.41926854513922601</c:v>
                </c:pt>
                <c:pt idx="184">
                  <c:v>0.44241787954298001</c:v>
                </c:pt>
                <c:pt idx="185">
                  <c:v>0.44241787954298001</c:v>
                </c:pt>
                <c:pt idx="186">
                  <c:v>0.44366576481104603</c:v>
                </c:pt>
                <c:pt idx="187">
                  <c:v>0.41284557270170602</c:v>
                </c:pt>
                <c:pt idx="188">
                  <c:v>0.437009219217877</c:v>
                </c:pt>
                <c:pt idx="189">
                  <c:v>0.46725416935729103</c:v>
                </c:pt>
                <c:pt idx="190">
                  <c:v>0.46725416935729103</c:v>
                </c:pt>
                <c:pt idx="191">
                  <c:v>0.46145357757128402</c:v>
                </c:pt>
                <c:pt idx="192">
                  <c:v>0.45995272695767497</c:v>
                </c:pt>
                <c:pt idx="193">
                  <c:v>0.403775681059653</c:v>
                </c:pt>
                <c:pt idx="194">
                  <c:v>0.40569534905697002</c:v>
                </c:pt>
                <c:pt idx="195">
                  <c:v>0.419925946793896</c:v>
                </c:pt>
                <c:pt idx="196">
                  <c:v>0.45168042618119703</c:v>
                </c:pt>
                <c:pt idx="197">
                  <c:v>0.51982909302980596</c:v>
                </c:pt>
                <c:pt idx="198">
                  <c:v>0.54838604953283498</c:v>
                </c:pt>
                <c:pt idx="199">
                  <c:v>0.519221652370358</c:v>
                </c:pt>
                <c:pt idx="200">
                  <c:v>0.47679161148246502</c:v>
                </c:pt>
                <c:pt idx="201">
                  <c:v>0.47696082053878203</c:v>
                </c:pt>
                <c:pt idx="202">
                  <c:v>0.51126312077979097</c:v>
                </c:pt>
                <c:pt idx="203">
                  <c:v>0.51222876537846296</c:v>
                </c:pt>
                <c:pt idx="204">
                  <c:v>0.53685925114667898</c:v>
                </c:pt>
                <c:pt idx="205">
                  <c:v>0.53353274326337596</c:v>
                </c:pt>
                <c:pt idx="206">
                  <c:v>0.57447022909045797</c:v>
                </c:pt>
                <c:pt idx="207">
                  <c:v>0.57166642614489205</c:v>
                </c:pt>
                <c:pt idx="208">
                  <c:v>0.53680415412734395</c:v>
                </c:pt>
                <c:pt idx="209">
                  <c:v>0.59931706558407905</c:v>
                </c:pt>
                <c:pt idx="210">
                  <c:v>0.65582330233583797</c:v>
                </c:pt>
                <c:pt idx="211">
                  <c:v>0.65720471867066899</c:v>
                </c:pt>
                <c:pt idx="212">
                  <c:v>0.65582330233583797</c:v>
                </c:pt>
                <c:pt idx="213">
                  <c:v>0.65455905311871299</c:v>
                </c:pt>
                <c:pt idx="214">
                  <c:v>0.62719075850631201</c:v>
                </c:pt>
                <c:pt idx="215">
                  <c:v>0.59003468905342005</c:v>
                </c:pt>
                <c:pt idx="216">
                  <c:v>0.56144623129586702</c:v>
                </c:pt>
                <c:pt idx="217">
                  <c:v>0.58384753948448997</c:v>
                </c:pt>
                <c:pt idx="218">
                  <c:v>0.51703371456013503</c:v>
                </c:pt>
                <c:pt idx="219">
                  <c:v>0.58146564562660097</c:v>
                </c:pt>
                <c:pt idx="220">
                  <c:v>0.61985540937113104</c:v>
                </c:pt>
                <c:pt idx="221">
                  <c:v>0.60618674833379105</c:v>
                </c:pt>
                <c:pt idx="222">
                  <c:v>0.63179874985391804</c:v>
                </c:pt>
                <c:pt idx="223">
                  <c:v>0.60745911385405604</c:v>
                </c:pt>
                <c:pt idx="224">
                  <c:v>0.63350921207897204</c:v>
                </c:pt>
                <c:pt idx="225">
                  <c:v>0.608876308109219</c:v>
                </c:pt>
                <c:pt idx="226">
                  <c:v>0.53238458781035902</c:v>
                </c:pt>
                <c:pt idx="227">
                  <c:v>0.52626041924754496</c:v>
                </c:pt>
                <c:pt idx="228">
                  <c:v>0.49530657385961702</c:v>
                </c:pt>
                <c:pt idx="229">
                  <c:v>0.49518214427458052</c:v>
                </c:pt>
                <c:pt idx="230">
                  <c:v>0.49151040605794738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'Low Rate Result'!$D$2</c:f>
              <c:strCache>
                <c:ptCount val="1"/>
                <c:pt idx="0">
                  <c:v>Lowest Rate Monthly</c:v>
                </c:pt>
              </c:strCache>
            </c:strRef>
          </c:tx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Result'!$D$3:$D$233</c:f>
            </c:numRef>
          </c:val>
          <c:smooth val="0"/>
        </c:ser>
        <c:ser>
          <c:idx val="2"/>
          <c:order val="2"/>
          <c:tx>
            <c:strRef>
              <c:f>'Low Rate Result'!$E$2</c:f>
              <c:strCache>
                <c:ptCount val="1"/>
                <c:pt idx="0">
                  <c:v>Lowest Rate Weekly</c:v>
                </c:pt>
              </c:strCache>
            </c:strRef>
          </c:tx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Result'!$E$3:$E$233</c:f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489728"/>
        <c:axId val="340505344"/>
      </c:lineChart>
      <c:lineChart>
        <c:grouping val="standard"/>
        <c:varyColors val="0"/>
        <c:ser>
          <c:idx val="4"/>
          <c:order val="3"/>
          <c:tx>
            <c:strRef>
              <c:f>'Low Rate Result'!$G$2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none"/>
          </c:marker>
          <c:cat>
            <c:numRef>
              <c:f>'Low Rate Result'!$B$3:$B$233</c:f>
              <c:numCache>
                <c:formatCode>m/d/yyyy</c:formatCode>
                <c:ptCount val="231"/>
                <c:pt idx="0">
                  <c:v>40549</c:v>
                </c:pt>
                <c:pt idx="1">
                  <c:v>40556</c:v>
                </c:pt>
                <c:pt idx="2">
                  <c:v>40563</c:v>
                </c:pt>
                <c:pt idx="3">
                  <c:v>40570</c:v>
                </c:pt>
                <c:pt idx="4">
                  <c:v>40577</c:v>
                </c:pt>
                <c:pt idx="5">
                  <c:v>40584</c:v>
                </c:pt>
                <c:pt idx="6">
                  <c:v>40591</c:v>
                </c:pt>
                <c:pt idx="7">
                  <c:v>40598</c:v>
                </c:pt>
                <c:pt idx="8">
                  <c:v>40605</c:v>
                </c:pt>
                <c:pt idx="9">
                  <c:v>40612</c:v>
                </c:pt>
                <c:pt idx="10">
                  <c:v>40619</c:v>
                </c:pt>
                <c:pt idx="11">
                  <c:v>40626</c:v>
                </c:pt>
                <c:pt idx="12">
                  <c:v>40633</c:v>
                </c:pt>
                <c:pt idx="13">
                  <c:v>40640</c:v>
                </c:pt>
                <c:pt idx="14">
                  <c:v>40647</c:v>
                </c:pt>
                <c:pt idx="15">
                  <c:v>40654</c:v>
                </c:pt>
                <c:pt idx="16">
                  <c:v>40661</c:v>
                </c:pt>
                <c:pt idx="17">
                  <c:v>40668</c:v>
                </c:pt>
                <c:pt idx="18">
                  <c:v>40675</c:v>
                </c:pt>
                <c:pt idx="19">
                  <c:v>40682</c:v>
                </c:pt>
                <c:pt idx="20">
                  <c:v>40689</c:v>
                </c:pt>
                <c:pt idx="21">
                  <c:v>40696</c:v>
                </c:pt>
                <c:pt idx="22">
                  <c:v>40703</c:v>
                </c:pt>
                <c:pt idx="23">
                  <c:v>40710</c:v>
                </c:pt>
                <c:pt idx="24">
                  <c:v>40717</c:v>
                </c:pt>
                <c:pt idx="25">
                  <c:v>40724</c:v>
                </c:pt>
                <c:pt idx="26">
                  <c:v>40731</c:v>
                </c:pt>
                <c:pt idx="27">
                  <c:v>40738</c:v>
                </c:pt>
                <c:pt idx="28">
                  <c:v>40745</c:v>
                </c:pt>
                <c:pt idx="29">
                  <c:v>40752</c:v>
                </c:pt>
                <c:pt idx="30">
                  <c:v>40759</c:v>
                </c:pt>
                <c:pt idx="31">
                  <c:v>40766</c:v>
                </c:pt>
                <c:pt idx="32">
                  <c:v>40773</c:v>
                </c:pt>
                <c:pt idx="33">
                  <c:v>40780</c:v>
                </c:pt>
                <c:pt idx="34">
                  <c:v>40787</c:v>
                </c:pt>
                <c:pt idx="35">
                  <c:v>40794</c:v>
                </c:pt>
                <c:pt idx="36">
                  <c:v>40801</c:v>
                </c:pt>
                <c:pt idx="37">
                  <c:v>40808</c:v>
                </c:pt>
                <c:pt idx="38">
                  <c:v>40815</c:v>
                </c:pt>
                <c:pt idx="39">
                  <c:v>40822</c:v>
                </c:pt>
                <c:pt idx="40">
                  <c:v>40829</c:v>
                </c:pt>
                <c:pt idx="41">
                  <c:v>40836</c:v>
                </c:pt>
                <c:pt idx="42">
                  <c:v>40843</c:v>
                </c:pt>
                <c:pt idx="43">
                  <c:v>40850</c:v>
                </c:pt>
                <c:pt idx="44">
                  <c:v>40857</c:v>
                </c:pt>
                <c:pt idx="45">
                  <c:v>40864</c:v>
                </c:pt>
                <c:pt idx="46">
                  <c:v>40870</c:v>
                </c:pt>
                <c:pt idx="47">
                  <c:v>40878</c:v>
                </c:pt>
                <c:pt idx="48">
                  <c:v>40885</c:v>
                </c:pt>
                <c:pt idx="49">
                  <c:v>40892</c:v>
                </c:pt>
                <c:pt idx="50">
                  <c:v>40899</c:v>
                </c:pt>
                <c:pt idx="51">
                  <c:v>40906</c:v>
                </c:pt>
                <c:pt idx="52">
                  <c:v>40913</c:v>
                </c:pt>
                <c:pt idx="53">
                  <c:v>40920</c:v>
                </c:pt>
                <c:pt idx="54">
                  <c:v>40927</c:v>
                </c:pt>
                <c:pt idx="55">
                  <c:v>40934</c:v>
                </c:pt>
                <c:pt idx="56">
                  <c:v>40941</c:v>
                </c:pt>
                <c:pt idx="57">
                  <c:v>40948</c:v>
                </c:pt>
                <c:pt idx="58">
                  <c:v>40955</c:v>
                </c:pt>
                <c:pt idx="59">
                  <c:v>40962</c:v>
                </c:pt>
                <c:pt idx="60">
                  <c:v>40969</c:v>
                </c:pt>
                <c:pt idx="61">
                  <c:v>40976</c:v>
                </c:pt>
                <c:pt idx="62">
                  <c:v>40983</c:v>
                </c:pt>
                <c:pt idx="63">
                  <c:v>40990</c:v>
                </c:pt>
                <c:pt idx="64">
                  <c:v>40997</c:v>
                </c:pt>
                <c:pt idx="65">
                  <c:v>41004</c:v>
                </c:pt>
                <c:pt idx="66">
                  <c:v>41011</c:v>
                </c:pt>
                <c:pt idx="67">
                  <c:v>41018</c:v>
                </c:pt>
                <c:pt idx="68">
                  <c:v>41025</c:v>
                </c:pt>
                <c:pt idx="69">
                  <c:v>41032</c:v>
                </c:pt>
                <c:pt idx="70">
                  <c:v>41039</c:v>
                </c:pt>
                <c:pt idx="71">
                  <c:v>41046</c:v>
                </c:pt>
                <c:pt idx="72">
                  <c:v>41053</c:v>
                </c:pt>
                <c:pt idx="73">
                  <c:v>41060</c:v>
                </c:pt>
                <c:pt idx="74">
                  <c:v>41067</c:v>
                </c:pt>
                <c:pt idx="75">
                  <c:v>41074</c:v>
                </c:pt>
                <c:pt idx="76">
                  <c:v>41081</c:v>
                </c:pt>
                <c:pt idx="77">
                  <c:v>41088</c:v>
                </c:pt>
                <c:pt idx="78">
                  <c:v>41095</c:v>
                </c:pt>
                <c:pt idx="79">
                  <c:v>41102</c:v>
                </c:pt>
                <c:pt idx="80">
                  <c:v>41109</c:v>
                </c:pt>
                <c:pt idx="81">
                  <c:v>41116</c:v>
                </c:pt>
                <c:pt idx="82">
                  <c:v>41123</c:v>
                </c:pt>
                <c:pt idx="83">
                  <c:v>41130</c:v>
                </c:pt>
                <c:pt idx="84">
                  <c:v>41137</c:v>
                </c:pt>
                <c:pt idx="85">
                  <c:v>41144</c:v>
                </c:pt>
                <c:pt idx="86">
                  <c:v>41151</c:v>
                </c:pt>
                <c:pt idx="87">
                  <c:v>41158</c:v>
                </c:pt>
                <c:pt idx="88">
                  <c:v>41165</c:v>
                </c:pt>
                <c:pt idx="89">
                  <c:v>41172</c:v>
                </c:pt>
                <c:pt idx="90">
                  <c:v>41179</c:v>
                </c:pt>
                <c:pt idx="91">
                  <c:v>41186</c:v>
                </c:pt>
                <c:pt idx="92">
                  <c:v>41193</c:v>
                </c:pt>
                <c:pt idx="93">
                  <c:v>41200</c:v>
                </c:pt>
                <c:pt idx="94">
                  <c:v>41207</c:v>
                </c:pt>
                <c:pt idx="95">
                  <c:v>41214</c:v>
                </c:pt>
                <c:pt idx="96">
                  <c:v>41221</c:v>
                </c:pt>
                <c:pt idx="97">
                  <c:v>41228</c:v>
                </c:pt>
                <c:pt idx="98">
                  <c:v>41234</c:v>
                </c:pt>
                <c:pt idx="99">
                  <c:v>41242</c:v>
                </c:pt>
                <c:pt idx="100">
                  <c:v>41249</c:v>
                </c:pt>
                <c:pt idx="101">
                  <c:v>41256</c:v>
                </c:pt>
                <c:pt idx="102">
                  <c:v>41263</c:v>
                </c:pt>
                <c:pt idx="103">
                  <c:v>41270</c:v>
                </c:pt>
                <c:pt idx="104">
                  <c:v>41277</c:v>
                </c:pt>
                <c:pt idx="105">
                  <c:v>41284</c:v>
                </c:pt>
                <c:pt idx="106">
                  <c:v>41291</c:v>
                </c:pt>
                <c:pt idx="107">
                  <c:v>41298</c:v>
                </c:pt>
                <c:pt idx="108">
                  <c:v>41305</c:v>
                </c:pt>
                <c:pt idx="109">
                  <c:v>41312</c:v>
                </c:pt>
                <c:pt idx="110">
                  <c:v>41319</c:v>
                </c:pt>
                <c:pt idx="111">
                  <c:v>41326</c:v>
                </c:pt>
                <c:pt idx="112">
                  <c:v>41333</c:v>
                </c:pt>
                <c:pt idx="113">
                  <c:v>41340</c:v>
                </c:pt>
                <c:pt idx="114">
                  <c:v>41347</c:v>
                </c:pt>
                <c:pt idx="115">
                  <c:v>41354</c:v>
                </c:pt>
                <c:pt idx="116">
                  <c:v>41361</c:v>
                </c:pt>
                <c:pt idx="117">
                  <c:v>41368</c:v>
                </c:pt>
                <c:pt idx="118">
                  <c:v>41375</c:v>
                </c:pt>
                <c:pt idx="119">
                  <c:v>41382</c:v>
                </c:pt>
                <c:pt idx="120">
                  <c:v>41389</c:v>
                </c:pt>
                <c:pt idx="121">
                  <c:v>41396</c:v>
                </c:pt>
                <c:pt idx="122">
                  <c:v>41403</c:v>
                </c:pt>
                <c:pt idx="123">
                  <c:v>41410</c:v>
                </c:pt>
                <c:pt idx="124">
                  <c:v>41417</c:v>
                </c:pt>
                <c:pt idx="125">
                  <c:v>41424</c:v>
                </c:pt>
                <c:pt idx="126">
                  <c:v>41431</c:v>
                </c:pt>
                <c:pt idx="127">
                  <c:v>41438</c:v>
                </c:pt>
                <c:pt idx="128">
                  <c:v>41445</c:v>
                </c:pt>
                <c:pt idx="129">
                  <c:v>41452</c:v>
                </c:pt>
                <c:pt idx="130">
                  <c:v>41458</c:v>
                </c:pt>
                <c:pt idx="131">
                  <c:v>41466</c:v>
                </c:pt>
                <c:pt idx="132">
                  <c:v>41473</c:v>
                </c:pt>
                <c:pt idx="133">
                  <c:v>41480</c:v>
                </c:pt>
                <c:pt idx="134">
                  <c:v>41487</c:v>
                </c:pt>
                <c:pt idx="135">
                  <c:v>41494</c:v>
                </c:pt>
                <c:pt idx="136">
                  <c:v>41501</c:v>
                </c:pt>
                <c:pt idx="137">
                  <c:v>41508</c:v>
                </c:pt>
                <c:pt idx="138">
                  <c:v>41515</c:v>
                </c:pt>
                <c:pt idx="139">
                  <c:v>41522</c:v>
                </c:pt>
                <c:pt idx="140">
                  <c:v>41529</c:v>
                </c:pt>
                <c:pt idx="141">
                  <c:v>41536</c:v>
                </c:pt>
                <c:pt idx="142">
                  <c:v>41543</c:v>
                </c:pt>
                <c:pt idx="143">
                  <c:v>41550</c:v>
                </c:pt>
                <c:pt idx="144">
                  <c:v>41557</c:v>
                </c:pt>
                <c:pt idx="145">
                  <c:v>41564</c:v>
                </c:pt>
                <c:pt idx="146">
                  <c:v>41571</c:v>
                </c:pt>
                <c:pt idx="147">
                  <c:v>41578</c:v>
                </c:pt>
                <c:pt idx="148">
                  <c:v>41585</c:v>
                </c:pt>
                <c:pt idx="149">
                  <c:v>41592</c:v>
                </c:pt>
                <c:pt idx="150">
                  <c:v>41599</c:v>
                </c:pt>
                <c:pt idx="151">
                  <c:v>41605</c:v>
                </c:pt>
                <c:pt idx="152">
                  <c:v>41613</c:v>
                </c:pt>
                <c:pt idx="153">
                  <c:v>41620</c:v>
                </c:pt>
                <c:pt idx="154">
                  <c:v>41627</c:v>
                </c:pt>
                <c:pt idx="155">
                  <c:v>41634</c:v>
                </c:pt>
                <c:pt idx="156">
                  <c:v>41641</c:v>
                </c:pt>
                <c:pt idx="157">
                  <c:v>41648</c:v>
                </c:pt>
                <c:pt idx="158">
                  <c:v>41655</c:v>
                </c:pt>
                <c:pt idx="159">
                  <c:v>41662</c:v>
                </c:pt>
                <c:pt idx="160">
                  <c:v>41669</c:v>
                </c:pt>
                <c:pt idx="161">
                  <c:v>41676</c:v>
                </c:pt>
                <c:pt idx="162">
                  <c:v>41683</c:v>
                </c:pt>
                <c:pt idx="163">
                  <c:v>41690</c:v>
                </c:pt>
                <c:pt idx="164">
                  <c:v>41697</c:v>
                </c:pt>
                <c:pt idx="165">
                  <c:v>41704</c:v>
                </c:pt>
                <c:pt idx="166">
                  <c:v>41711</c:v>
                </c:pt>
                <c:pt idx="167">
                  <c:v>41718</c:v>
                </c:pt>
                <c:pt idx="168">
                  <c:v>41725</c:v>
                </c:pt>
                <c:pt idx="169">
                  <c:v>41732</c:v>
                </c:pt>
                <c:pt idx="170">
                  <c:v>41739</c:v>
                </c:pt>
                <c:pt idx="171">
                  <c:v>41746</c:v>
                </c:pt>
                <c:pt idx="172">
                  <c:v>41753</c:v>
                </c:pt>
                <c:pt idx="173">
                  <c:v>41760</c:v>
                </c:pt>
                <c:pt idx="174">
                  <c:v>41767</c:v>
                </c:pt>
                <c:pt idx="175">
                  <c:v>41774</c:v>
                </c:pt>
                <c:pt idx="176">
                  <c:v>41781</c:v>
                </c:pt>
                <c:pt idx="177">
                  <c:v>41788</c:v>
                </c:pt>
                <c:pt idx="178">
                  <c:v>41795</c:v>
                </c:pt>
                <c:pt idx="179">
                  <c:v>41802</c:v>
                </c:pt>
                <c:pt idx="180">
                  <c:v>41809</c:v>
                </c:pt>
                <c:pt idx="181">
                  <c:v>41816</c:v>
                </c:pt>
                <c:pt idx="182">
                  <c:v>41823</c:v>
                </c:pt>
                <c:pt idx="183">
                  <c:v>41830</c:v>
                </c:pt>
                <c:pt idx="184">
                  <c:v>41837</c:v>
                </c:pt>
                <c:pt idx="185">
                  <c:v>41844</c:v>
                </c:pt>
                <c:pt idx="186">
                  <c:v>41851</c:v>
                </c:pt>
                <c:pt idx="187">
                  <c:v>41858</c:v>
                </c:pt>
                <c:pt idx="188">
                  <c:v>41865</c:v>
                </c:pt>
                <c:pt idx="189">
                  <c:v>41872</c:v>
                </c:pt>
                <c:pt idx="190">
                  <c:v>41879</c:v>
                </c:pt>
                <c:pt idx="191">
                  <c:v>41886</c:v>
                </c:pt>
                <c:pt idx="192">
                  <c:v>41893</c:v>
                </c:pt>
                <c:pt idx="193">
                  <c:v>41900</c:v>
                </c:pt>
                <c:pt idx="194">
                  <c:v>41907</c:v>
                </c:pt>
                <c:pt idx="195">
                  <c:v>41914</c:v>
                </c:pt>
                <c:pt idx="196">
                  <c:v>41921</c:v>
                </c:pt>
                <c:pt idx="197">
                  <c:v>41928</c:v>
                </c:pt>
                <c:pt idx="198">
                  <c:v>41935</c:v>
                </c:pt>
                <c:pt idx="199">
                  <c:v>41942</c:v>
                </c:pt>
                <c:pt idx="200">
                  <c:v>41949</c:v>
                </c:pt>
                <c:pt idx="201">
                  <c:v>41956</c:v>
                </c:pt>
                <c:pt idx="202">
                  <c:v>41963</c:v>
                </c:pt>
                <c:pt idx="203">
                  <c:v>41969</c:v>
                </c:pt>
                <c:pt idx="204">
                  <c:v>41977</c:v>
                </c:pt>
                <c:pt idx="205">
                  <c:v>41984</c:v>
                </c:pt>
                <c:pt idx="206">
                  <c:v>41991</c:v>
                </c:pt>
                <c:pt idx="207">
                  <c:v>41997</c:v>
                </c:pt>
                <c:pt idx="208">
                  <c:v>42004</c:v>
                </c:pt>
                <c:pt idx="209">
                  <c:v>42012</c:v>
                </c:pt>
                <c:pt idx="210">
                  <c:v>42019</c:v>
                </c:pt>
                <c:pt idx="211">
                  <c:v>42026</c:v>
                </c:pt>
                <c:pt idx="212">
                  <c:v>42033</c:v>
                </c:pt>
                <c:pt idx="213">
                  <c:v>42040</c:v>
                </c:pt>
                <c:pt idx="214">
                  <c:v>42047</c:v>
                </c:pt>
                <c:pt idx="215">
                  <c:v>42054</c:v>
                </c:pt>
                <c:pt idx="216">
                  <c:v>42061</c:v>
                </c:pt>
                <c:pt idx="217">
                  <c:v>42068</c:v>
                </c:pt>
                <c:pt idx="218">
                  <c:v>42075</c:v>
                </c:pt>
                <c:pt idx="219">
                  <c:v>42082</c:v>
                </c:pt>
                <c:pt idx="220">
                  <c:v>42089</c:v>
                </c:pt>
                <c:pt idx="221">
                  <c:v>42096</c:v>
                </c:pt>
                <c:pt idx="222">
                  <c:v>42103</c:v>
                </c:pt>
                <c:pt idx="223">
                  <c:v>42110</c:v>
                </c:pt>
                <c:pt idx="224">
                  <c:v>42117</c:v>
                </c:pt>
                <c:pt idx="225">
                  <c:v>42124</c:v>
                </c:pt>
                <c:pt idx="226">
                  <c:v>42131</c:v>
                </c:pt>
                <c:pt idx="227">
                  <c:v>42138</c:v>
                </c:pt>
                <c:pt idx="228">
                  <c:v>42145</c:v>
                </c:pt>
                <c:pt idx="229">
                  <c:v>42152</c:v>
                </c:pt>
                <c:pt idx="230">
                  <c:v>42159</c:v>
                </c:pt>
              </c:numCache>
            </c:numRef>
          </c:cat>
          <c:val>
            <c:numRef>
              <c:f>'Low Rate Result'!$G$3:$G$233</c:f>
              <c:numCache>
                <c:formatCode>0</c:formatCode>
                <c:ptCount val="231"/>
                <c:pt idx="0">
                  <c:v>2344.3000000000002</c:v>
                </c:pt>
                <c:pt idx="1">
                  <c:v>2528.6999999999998</c:v>
                </c:pt>
                <c:pt idx="2">
                  <c:v>2129.6999999999998</c:v>
                </c:pt>
                <c:pt idx="3">
                  <c:v>2371.1</c:v>
                </c:pt>
                <c:pt idx="4">
                  <c:v>2190.4</c:v>
                </c:pt>
                <c:pt idx="5">
                  <c:v>1953.2</c:v>
                </c:pt>
                <c:pt idx="6">
                  <c:v>2325.3000000000002</c:v>
                </c:pt>
                <c:pt idx="7">
                  <c:v>2155.5</c:v>
                </c:pt>
                <c:pt idx="8">
                  <c:v>2539.4</c:v>
                </c:pt>
                <c:pt idx="9">
                  <c:v>2563.6</c:v>
                </c:pt>
                <c:pt idx="10">
                  <c:v>2620.8000000000002</c:v>
                </c:pt>
                <c:pt idx="11">
                  <c:v>2350.6999999999998</c:v>
                </c:pt>
                <c:pt idx="12">
                  <c:v>2194.4</c:v>
                </c:pt>
                <c:pt idx="13">
                  <c:v>2010.6</c:v>
                </c:pt>
                <c:pt idx="14">
                  <c:v>2065.3000000000002</c:v>
                </c:pt>
                <c:pt idx="15">
                  <c:v>2091.4</c:v>
                </c:pt>
                <c:pt idx="16">
                  <c:v>2220.1</c:v>
                </c:pt>
                <c:pt idx="17">
                  <c:v>2414.9</c:v>
                </c:pt>
                <c:pt idx="18">
                  <c:v>2742.2</c:v>
                </c:pt>
                <c:pt idx="19">
                  <c:v>2764.6</c:v>
                </c:pt>
                <c:pt idx="20">
                  <c:v>2619.6999999999998</c:v>
                </c:pt>
                <c:pt idx="21">
                  <c:v>2648</c:v>
                </c:pt>
                <c:pt idx="22">
                  <c:v>3101.7</c:v>
                </c:pt>
                <c:pt idx="23">
                  <c:v>2857.9</c:v>
                </c:pt>
                <c:pt idx="24">
                  <c:v>2809.5</c:v>
                </c:pt>
                <c:pt idx="25">
                  <c:v>2527.5</c:v>
                </c:pt>
                <c:pt idx="26">
                  <c:v>2362.6999999999998</c:v>
                </c:pt>
                <c:pt idx="27">
                  <c:v>2923.8</c:v>
                </c:pt>
                <c:pt idx="28">
                  <c:v>2769.6</c:v>
                </c:pt>
                <c:pt idx="29">
                  <c:v>2974.1</c:v>
                </c:pt>
                <c:pt idx="30">
                  <c:v>3880.9</c:v>
                </c:pt>
                <c:pt idx="31">
                  <c:v>4184.3999999999996</c:v>
                </c:pt>
                <c:pt idx="32">
                  <c:v>4110.8</c:v>
                </c:pt>
                <c:pt idx="33">
                  <c:v>3601.3</c:v>
                </c:pt>
                <c:pt idx="34">
                  <c:v>3372</c:v>
                </c:pt>
                <c:pt idx="35">
                  <c:v>3571.7</c:v>
                </c:pt>
                <c:pt idx="36">
                  <c:v>4033.8</c:v>
                </c:pt>
                <c:pt idx="37">
                  <c:v>4512.1000000000004</c:v>
                </c:pt>
                <c:pt idx="38">
                  <c:v>4241.8</c:v>
                </c:pt>
                <c:pt idx="39">
                  <c:v>4251.1000000000004</c:v>
                </c:pt>
                <c:pt idx="40">
                  <c:v>3553.2</c:v>
                </c:pt>
                <c:pt idx="41">
                  <c:v>3719.3</c:v>
                </c:pt>
                <c:pt idx="42">
                  <c:v>3695</c:v>
                </c:pt>
                <c:pt idx="43">
                  <c:v>4137.6000000000004</c:v>
                </c:pt>
                <c:pt idx="44">
                  <c:v>3664.5</c:v>
                </c:pt>
                <c:pt idx="45">
                  <c:v>3466.8</c:v>
                </c:pt>
                <c:pt idx="46">
                  <c:v>#N/A</c:v>
                </c:pt>
                <c:pt idx="47">
                  <c:v>3394.7</c:v>
                </c:pt>
                <c:pt idx="48">
                  <c:v>3708.6</c:v>
                </c:pt>
                <c:pt idx="49">
                  <c:v>3676.1</c:v>
                </c:pt>
                <c:pt idx="50">
                  <c:v>3684.5</c:v>
                </c:pt>
                <c:pt idx="51">
                  <c:v>3608.1</c:v>
                </c:pt>
                <c:pt idx="52">
                  <c:v>3668.3</c:v>
                </c:pt>
                <c:pt idx="53">
                  <c:v>4626.5</c:v>
                </c:pt>
                <c:pt idx="54">
                  <c:v>4326.3999999999996</c:v>
                </c:pt>
                <c:pt idx="55">
                  <c:v>4184.3</c:v>
                </c:pt>
                <c:pt idx="56">
                  <c:v>4617.1000000000004</c:v>
                </c:pt>
                <c:pt idx="57">
                  <c:v>4716.1000000000004</c:v>
                </c:pt>
                <c:pt idx="58">
                  <c:v>4466.8999999999996</c:v>
                </c:pt>
                <c:pt idx="59">
                  <c:v>4379.1000000000004</c:v>
                </c:pt>
                <c:pt idx="60">
                  <c:v>4277.6000000000004</c:v>
                </c:pt>
                <c:pt idx="61">
                  <c:v>4063.4</c:v>
                </c:pt>
                <c:pt idx="62">
                  <c:v>3715.2</c:v>
                </c:pt>
                <c:pt idx="63">
                  <c:v>3588.4</c:v>
                </c:pt>
                <c:pt idx="64">
                  <c:v>3699.5</c:v>
                </c:pt>
                <c:pt idx="65">
                  <c:v>3549.3</c:v>
                </c:pt>
                <c:pt idx="66">
                  <c:v>4144.3</c:v>
                </c:pt>
                <c:pt idx="67">
                  <c:v>3892.2</c:v>
                </c:pt>
                <c:pt idx="68">
                  <c:v>3856</c:v>
                </c:pt>
                <c:pt idx="69">
                  <c:v>3924.4</c:v>
                </c:pt>
                <c:pt idx="70">
                  <c:v>4482</c:v>
                </c:pt>
                <c:pt idx="71">
                  <c:v>4732</c:v>
                </c:pt>
                <c:pt idx="72">
                  <c:v>4675.8999999999996</c:v>
                </c:pt>
                <c:pt idx="73">
                  <c:v>4736</c:v>
                </c:pt>
                <c:pt idx="74">
                  <c:v>5590</c:v>
                </c:pt>
                <c:pt idx="75">
                  <c:v>4719.6000000000004</c:v>
                </c:pt>
                <c:pt idx="76">
                  <c:v>4585.8</c:v>
                </c:pt>
                <c:pt idx="77">
                  <c:v>4372.2</c:v>
                </c:pt>
                <c:pt idx="78">
                  <c:v>4267.8999999999996</c:v>
                </c:pt>
                <c:pt idx="79">
                  <c:v>5246.8</c:v>
                </c:pt>
                <c:pt idx="80">
                  <c:v>5383.1</c:v>
                </c:pt>
                <c:pt idx="81">
                  <c:v>5492.1</c:v>
                </c:pt>
                <c:pt idx="82">
                  <c:v>5444.3</c:v>
                </c:pt>
                <c:pt idx="83">
                  <c:v>5172.2</c:v>
                </c:pt>
                <c:pt idx="84">
                  <c:v>4671.1000000000004</c:v>
                </c:pt>
                <c:pt idx="85">
                  <c:v>4414.6000000000004</c:v>
                </c:pt>
                <c:pt idx="86">
                  <c:v>4274.8</c:v>
                </c:pt>
                <c:pt idx="87">
                  <c:v>4779.1000000000004</c:v>
                </c:pt>
                <c:pt idx="88">
                  <c:v>4823.3</c:v>
                </c:pt>
                <c:pt idx="89">
                  <c:v>4979</c:v>
                </c:pt>
                <c:pt idx="90">
                  <c:v>5965.5</c:v>
                </c:pt>
                <c:pt idx="91">
                  <c:v>5892.5</c:v>
                </c:pt>
                <c:pt idx="92">
                  <c:v>5572.2</c:v>
                </c:pt>
                <c:pt idx="93">
                  <c:v>4847.2</c:v>
                </c:pt>
                <c:pt idx="94">
                  <c:v>4550.7</c:v>
                </c:pt>
                <c:pt idx="95">
                  <c:v>4297.7</c:v>
                </c:pt>
                <c:pt idx="96">
                  <c:v>4856.1000000000004</c:v>
                </c:pt>
                <c:pt idx="97">
                  <c:v>4702.3999999999996</c:v>
                </c:pt>
                <c:pt idx="98">
                  <c:v>#N/A</c:v>
                </c:pt>
                <c:pt idx="99">
                  <c:v>4943</c:v>
                </c:pt>
                <c:pt idx="100">
                  <c:v>5368.1</c:v>
                </c:pt>
                <c:pt idx="101">
                  <c:v>4564.3999999999996</c:v>
                </c:pt>
                <c:pt idx="102">
                  <c:v>3983.2</c:v>
                </c:pt>
                <c:pt idx="103">
                  <c:v>3488.9</c:v>
                </c:pt>
                <c:pt idx="104">
                  <c:v>3896.4</c:v>
                </c:pt>
                <c:pt idx="105">
                  <c:v>4554.3999999999996</c:v>
                </c:pt>
                <c:pt idx="106">
                  <c:v>4937.3999999999996</c:v>
                </c:pt>
                <c:pt idx="107">
                  <c:v>4433.6000000000004</c:v>
                </c:pt>
                <c:pt idx="108">
                  <c:v>4579</c:v>
                </c:pt>
                <c:pt idx="109">
                  <c:v>4284.3</c:v>
                </c:pt>
                <c:pt idx="110">
                  <c:v>4261.8</c:v>
                </c:pt>
                <c:pt idx="111">
                  <c:v>4136.3</c:v>
                </c:pt>
                <c:pt idx="112">
                  <c:v>4724.8999999999996</c:v>
                </c:pt>
                <c:pt idx="113">
                  <c:v>4485.2</c:v>
                </c:pt>
                <c:pt idx="114">
                  <c:v>4111.3</c:v>
                </c:pt>
                <c:pt idx="115">
                  <c:v>4412.8999999999996</c:v>
                </c:pt>
                <c:pt idx="116">
                  <c:v>4119.2</c:v>
                </c:pt>
                <c:pt idx="117">
                  <c:v>4528.8999999999996</c:v>
                </c:pt>
                <c:pt idx="118">
                  <c:v>4726.8999999999996</c:v>
                </c:pt>
                <c:pt idx="119">
                  <c:v>4672.1000000000004</c:v>
                </c:pt>
                <c:pt idx="120">
                  <c:v>4854.1000000000004</c:v>
                </c:pt>
                <c:pt idx="121">
                  <c:v>5279.9</c:v>
                </c:pt>
                <c:pt idx="122">
                  <c:v>4797.2</c:v>
                </c:pt>
                <c:pt idx="123">
                  <c:v>4241.5</c:v>
                </c:pt>
                <c:pt idx="124">
                  <c:v>3709.4</c:v>
                </c:pt>
                <c:pt idx="125">
                  <c:v>3163.6</c:v>
                </c:pt>
                <c:pt idx="126">
                  <c:v>3339.8</c:v>
                </c:pt>
                <c:pt idx="127">
                  <c:v>3214.4</c:v>
                </c:pt>
                <c:pt idx="128">
                  <c:v>3040.1</c:v>
                </c:pt>
                <c:pt idx="129">
                  <c:v>2573.4</c:v>
                </c:pt>
                <c:pt idx="130">
                  <c:v>#N/A</c:v>
                </c:pt>
                <c:pt idx="131">
                  <c:v>2242.1999999999998</c:v>
                </c:pt>
                <c:pt idx="132">
                  <c:v>2288</c:v>
                </c:pt>
                <c:pt idx="133">
                  <c:v>2218.3000000000002</c:v>
                </c:pt>
                <c:pt idx="134">
                  <c:v>2228.9</c:v>
                </c:pt>
                <c:pt idx="135">
                  <c:v>2110.6</c:v>
                </c:pt>
                <c:pt idx="136">
                  <c:v>1935.1</c:v>
                </c:pt>
                <c:pt idx="137">
                  <c:v>1842.6</c:v>
                </c:pt>
                <c:pt idx="138">
                  <c:v>1909</c:v>
                </c:pt>
                <c:pt idx="139">
                  <c:v>1512.9</c:v>
                </c:pt>
                <c:pt idx="140">
                  <c:v>1814</c:v>
                </c:pt>
                <c:pt idx="141">
                  <c:v>1922.9</c:v>
                </c:pt>
                <c:pt idx="142">
                  <c:v>1956.6</c:v>
                </c:pt>
                <c:pt idx="143">
                  <c:v>2025.3</c:v>
                </c:pt>
                <c:pt idx="144">
                  <c:v>2102.6999999999998</c:v>
                </c:pt>
                <c:pt idx="145">
                  <c:v>2033.7</c:v>
                </c:pt>
                <c:pt idx="146">
                  <c:v>2211.8000000000002</c:v>
                </c:pt>
                <c:pt idx="147">
                  <c:v>2105.6</c:v>
                </c:pt>
                <c:pt idx="148">
                  <c:v>2056.9</c:v>
                </c:pt>
                <c:pt idx="149">
                  <c:v>1903.5</c:v>
                </c:pt>
                <c:pt idx="150">
                  <c:v>1917.2</c:v>
                </c:pt>
                <c:pt idx="151">
                  <c:v>#N/A</c:v>
                </c:pt>
                <c:pt idx="152">
                  <c:v>1599.4</c:v>
                </c:pt>
                <c:pt idx="153">
                  <c:v>1529.8</c:v>
                </c:pt>
                <c:pt idx="154">
                  <c:v>1426.7</c:v>
                </c:pt>
                <c:pt idx="155">
                  <c:v>1277.8</c:v>
                </c:pt>
                <c:pt idx="156">
                  <c:v>1352.7</c:v>
                </c:pt>
                <c:pt idx="157">
                  <c:v>1507</c:v>
                </c:pt>
                <c:pt idx="158">
                  <c:v>1675.8</c:v>
                </c:pt>
                <c:pt idx="159">
                  <c:v>1601.2</c:v>
                </c:pt>
                <c:pt idx="160">
                  <c:v>1667.5</c:v>
                </c:pt>
                <c:pt idx="161">
                  <c:v>1674.2</c:v>
                </c:pt>
                <c:pt idx="162">
                  <c:v>1650.6</c:v>
                </c:pt>
                <c:pt idx="163">
                  <c:v>1442.3</c:v>
                </c:pt>
                <c:pt idx="164">
                  <c:v>1600.6</c:v>
                </c:pt>
                <c:pt idx="165">
                  <c:v>1528</c:v>
                </c:pt>
                <c:pt idx="166">
                  <c:v>1552.1</c:v>
                </c:pt>
                <c:pt idx="167">
                  <c:v>1426.3</c:v>
                </c:pt>
                <c:pt idx="168">
                  <c:v>1383.5</c:v>
                </c:pt>
                <c:pt idx="169">
                  <c:v>1324.7</c:v>
                </c:pt>
                <c:pt idx="170">
                  <c:v>1429.9</c:v>
                </c:pt>
                <c:pt idx="171">
                  <c:v>1370.9</c:v>
                </c:pt>
                <c:pt idx="172">
                  <c:v>1298.0999999999999</c:v>
                </c:pt>
                <c:pt idx="173">
                  <c:v>1323.9</c:v>
                </c:pt>
                <c:pt idx="174">
                  <c:v>1400.9</c:v>
                </c:pt>
                <c:pt idx="175">
                  <c:v>1460.6</c:v>
                </c:pt>
                <c:pt idx="176">
                  <c:v>1453.4</c:v>
                </c:pt>
                <c:pt idx="177">
                  <c:v>1382.6</c:v>
                </c:pt>
                <c:pt idx="178">
                  <c:v>1516.9</c:v>
                </c:pt>
                <c:pt idx="179">
                  <c:v>1321.3</c:v>
                </c:pt>
                <c:pt idx="180">
                  <c:v>1333.5</c:v>
                </c:pt>
                <c:pt idx="181">
                  <c:v>1341.8</c:v>
                </c:pt>
                <c:pt idx="182">
                  <c:v>1346.8</c:v>
                </c:pt>
                <c:pt idx="183">
                  <c:v>1329.7</c:v>
                </c:pt>
                <c:pt idx="184">
                  <c:v>1400.7</c:v>
                </c:pt>
                <c:pt idx="185">
                  <c:v>1327.5</c:v>
                </c:pt>
                <c:pt idx="186">
                  <c:v>1373.9</c:v>
                </c:pt>
                <c:pt idx="187">
                  <c:v>1342.6</c:v>
                </c:pt>
                <c:pt idx="188">
                  <c:v>1404.9</c:v>
                </c:pt>
                <c:pt idx="189">
                  <c:v>1439.4</c:v>
                </c:pt>
                <c:pt idx="190">
                  <c:v>1436</c:v>
                </c:pt>
                <c:pt idx="191">
                  <c:v>1275.8</c:v>
                </c:pt>
                <c:pt idx="192">
                  <c:v>1398.4</c:v>
                </c:pt>
                <c:pt idx="193">
                  <c:v>1335.1</c:v>
                </c:pt>
                <c:pt idx="194">
                  <c:v>1326.2</c:v>
                </c:pt>
                <c:pt idx="195">
                  <c:v>1387.1</c:v>
                </c:pt>
                <c:pt idx="196">
                  <c:v>1560.6</c:v>
                </c:pt>
                <c:pt idx="197">
                  <c:v>1898.2</c:v>
                </c:pt>
                <c:pt idx="198">
                  <c:v>1713.6</c:v>
                </c:pt>
                <c:pt idx="199">
                  <c:v>1604.8</c:v>
                </c:pt>
                <c:pt idx="200">
                  <c:v>1565.3</c:v>
                </c:pt>
                <c:pt idx="201">
                  <c:v>1563.2</c:v>
                </c:pt>
                <c:pt idx="202">
                  <c:v>1547.9</c:v>
                </c:pt>
                <c:pt idx="203">
                  <c:v>#N/A</c:v>
                </c:pt>
                <c:pt idx="204">
                  <c:v>1548.6</c:v>
                </c:pt>
                <c:pt idx="205">
                  <c:v>1518.8</c:v>
                </c:pt>
                <c:pt idx="206">
                  <c:v>1538.7</c:v>
                </c:pt>
                <c:pt idx="207">
                  <c:v>1164.2</c:v>
                </c:pt>
                <c:pt idx="208">
                  <c:v>1347.6</c:v>
                </c:pt>
                <c:pt idx="209">
                  <c:v>2271.5</c:v>
                </c:pt>
                <c:pt idx="210">
                  <c:v>2799.3</c:v>
                </c:pt>
                <c:pt idx="211">
                  <c:v>2572.3000000000002</c:v>
                </c:pt>
                <c:pt idx="212">
                  <c:v>2584.8000000000002</c:v>
                </c:pt>
                <c:pt idx="213">
                  <c:v>2291.3000000000002</c:v>
                </c:pt>
                <c:pt idx="214">
                  <c:v>1904.2</c:v>
                </c:pt>
                <c:pt idx="215">
                  <c:v>1703.1</c:v>
                </c:pt>
                <c:pt idx="216">
                  <c:v>1740.3</c:v>
                </c:pt>
                <c:pt idx="217">
                  <c:v>1685.7</c:v>
                </c:pt>
                <c:pt idx="218">
                  <c:v>1623.6</c:v>
                </c:pt>
                <c:pt idx="219">
                  <c:v>1860.8</c:v>
                </c:pt>
                <c:pt idx="220">
                  <c:v>1941.6</c:v>
                </c:pt>
                <c:pt idx="221">
                  <c:v>1854.7</c:v>
                </c:pt>
                <c:pt idx="222">
                  <c:v>1804.6</c:v>
                </c:pt>
                <c:pt idx="223">
                  <c:v>1817</c:v>
                </c:pt>
                <c:pt idx="224">
                  <c:v>1723</c:v>
                </c:pt>
                <c:pt idx="225">
                  <c:v>1559.4</c:v>
                </c:pt>
                <c:pt idx="226">
                  <c:v>1477.8</c:v>
                </c:pt>
                <c:pt idx="227">
                  <c:v>1448.8</c:v>
                </c:pt>
                <c:pt idx="228">
                  <c:v>1408.1</c:v>
                </c:pt>
                <c:pt idx="229">
                  <c:v>1233.9000000000001</c:v>
                </c:pt>
                <c:pt idx="2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37984"/>
        <c:axId val="340506880"/>
      </c:lineChart>
      <c:dateAx>
        <c:axId val="340489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40505344"/>
        <c:crosses val="autoZero"/>
        <c:auto val="1"/>
        <c:lblOffset val="100"/>
        <c:baseTimeUnit val="days"/>
      </c:dateAx>
      <c:valAx>
        <c:axId val="340505344"/>
        <c:scaling>
          <c:orientation val="minMax"/>
          <c:max val="1.2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40489728"/>
        <c:crosses val="autoZero"/>
        <c:crossBetween val="between"/>
      </c:valAx>
      <c:valAx>
        <c:axId val="340506880"/>
        <c:scaling>
          <c:orientation val="minMax"/>
          <c:max val="6000"/>
          <c:min val="1000"/>
        </c:scaling>
        <c:delete val="0"/>
        <c:axPos val="r"/>
        <c:numFmt formatCode="0" sourceLinked="1"/>
        <c:majorTickMark val="out"/>
        <c:minorTickMark val="none"/>
        <c:tickLblPos val="nextTo"/>
        <c:crossAx val="359337984"/>
        <c:crosses val="max"/>
        <c:crossBetween val="between"/>
      </c:valAx>
      <c:dateAx>
        <c:axId val="3593379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40506880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'[3]Function Of Rate'!$E$16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'[3]Function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'[3]Function Of Rate'!$F$16:$P$16</c:f>
              <c:numCache>
                <c:formatCode>General</c:formatCode>
                <c:ptCount val="11"/>
                <c:pt idx="0">
                  <c:v>0.74492476719510592</c:v>
                </c:pt>
                <c:pt idx="1">
                  <c:v>0.64601740039207833</c:v>
                </c:pt>
                <c:pt idx="2">
                  <c:v>0.59771025792025401</c:v>
                </c:pt>
                <c:pt idx="3">
                  <c:v>0.55998614996335327</c:v>
                </c:pt>
                <c:pt idx="4">
                  <c:v>0.51911820532540343</c:v>
                </c:pt>
                <c:pt idx="5">
                  <c:v>0.45632581310344905</c:v>
                </c:pt>
                <c:pt idx="6">
                  <c:v>0.38235255501284277</c:v>
                </c:pt>
                <c:pt idx="7">
                  <c:v>0.33088245815712847</c:v>
                </c:pt>
                <c:pt idx="8">
                  <c:v>0.29096915042973487</c:v>
                </c:pt>
                <c:pt idx="9">
                  <c:v>0.27207120643295979</c:v>
                </c:pt>
                <c:pt idx="10">
                  <c:v>0.20483896904857218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'[3]Function Of Rate'!$E$17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'[3]Function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'[3]Function Of Rate'!$F$17:$P$17</c:f>
              <c:numCache>
                <c:formatCode>General</c:formatCode>
                <c:ptCount val="11"/>
                <c:pt idx="0">
                  <c:v>0.66132281927372705</c:v>
                </c:pt>
                <c:pt idx="1">
                  <c:v>0.61742443167358063</c:v>
                </c:pt>
                <c:pt idx="2">
                  <c:v>0.55482890552564113</c:v>
                </c:pt>
                <c:pt idx="3">
                  <c:v>0.52193552323103543</c:v>
                </c:pt>
                <c:pt idx="4">
                  <c:v>0.45915371064370136</c:v>
                </c:pt>
                <c:pt idx="5">
                  <c:v>0.39779633268543002</c:v>
                </c:pt>
                <c:pt idx="6">
                  <c:v>0.36431880223413576</c:v>
                </c:pt>
                <c:pt idx="7">
                  <c:v>0.32134943910537084</c:v>
                </c:pt>
                <c:pt idx="8">
                  <c:v>0.29464449046498603</c:v>
                </c:pt>
                <c:pt idx="9">
                  <c:v>0.24410272227756832</c:v>
                </c:pt>
                <c:pt idx="10">
                  <c:v>0.20106252470542499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'[3]Function Of Rate'!$E$18</c:f>
              <c:strCache>
                <c:ptCount val="1"/>
                <c:pt idx="0">
                  <c:v>With Lowest Rate</c:v>
                </c:pt>
              </c:strCache>
            </c:strRef>
          </c:tx>
          <c:cat>
            <c:strRef>
              <c:f>'[3]Function Of Rate'!$F$15:$P$15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'[3]Function Of Rate'!$F$18:$P$18</c:f>
              <c:numCache>
                <c:formatCode>General</c:formatCode>
                <c:ptCount val="11"/>
                <c:pt idx="0">
                  <c:v>0.20405539978490747</c:v>
                </c:pt>
                <c:pt idx="1">
                  <c:v>8.8363009906858286E-3</c:v>
                </c:pt>
                <c:pt idx="2">
                  <c:v>1.7846726369342121E-3</c:v>
                </c:pt>
                <c:pt idx="3">
                  <c:v>2.8983733075451279E-4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'Function Of Rate'!$E$22</c:f>
              <c:strCache>
                <c:ptCount val="1"/>
                <c:pt idx="0">
                  <c:v>Media Effect</c:v>
                </c:pt>
              </c:strCache>
            </c:strRef>
          </c:tx>
          <c:marker>
            <c:symbol val="circle"/>
            <c:size val="5"/>
            <c:spPr>
              <a:solidFill>
                <a:srgbClr val="7030A0"/>
              </a:solidFill>
              <a:ln>
                <a:solidFill>
                  <a:srgbClr val="2E8A60"/>
                </a:solidFill>
              </a:ln>
            </c:spPr>
          </c:marker>
          <c:val>
            <c:numRef>
              <c:f>'Function Of Rate'!$F$22:$P$22</c:f>
              <c:numCache>
                <c:formatCode>0.00%</c:formatCode>
                <c:ptCount val="11"/>
                <c:pt idx="0">
                  <c:v>0.21907818282542799</c:v>
                </c:pt>
                <c:pt idx="1">
                  <c:v>0.190108436739896</c:v>
                </c:pt>
                <c:pt idx="2">
                  <c:v>0.14316673607349001</c:v>
                </c:pt>
                <c:pt idx="3">
                  <c:v>3.2242913939845102E-3</c:v>
                </c:pt>
                <c:pt idx="4">
                  <c:v>1.24187519436403E-3</c:v>
                </c:pt>
                <c:pt idx="5">
                  <c:v>6.0159410239188805E-4</c:v>
                </c:pt>
                <c:pt idx="6">
                  <c:v>4.06477365970085E-4</c:v>
                </c:pt>
                <c:pt idx="7">
                  <c:v>1.6491162527492001E-4</c:v>
                </c:pt>
                <c:pt idx="8">
                  <c:v>1.11925657248564E-4</c:v>
                </c:pt>
                <c:pt idx="9">
                  <c:v>4.0945274596614099E-5</c:v>
                </c:pt>
                <c:pt idx="10">
                  <c:v>4.0945274596614099E-5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073280"/>
        <c:axId val="403108992"/>
      </c:lineChart>
      <c:catAx>
        <c:axId val="40307328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03108992"/>
        <c:crosses val="autoZero"/>
        <c:auto val="1"/>
        <c:lblAlgn val="ctr"/>
        <c:lblOffset val="100"/>
        <c:noMultiLvlLbl val="0"/>
      </c:catAx>
      <c:valAx>
        <c:axId val="40310899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403073280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'Media Effect'!$D$3</c:f>
              <c:strCache>
                <c:ptCount val="1"/>
                <c:pt idx="0">
                  <c:v>NumberOfWeeks</c:v>
                </c:pt>
              </c:strCache>
            </c:strRef>
          </c:tx>
          <c:invertIfNegative val="0"/>
          <c:cat>
            <c:numRef>
              <c:f>'Media Effect'!$B$4:$B$66</c:f>
              <c:numCache>
                <c:formatCode>m/d/yyyy</c:formatCode>
                <c:ptCount val="63"/>
                <c:pt idx="0">
                  <c:v>41732</c:v>
                </c:pt>
                <c:pt idx="1">
                  <c:v>41739</c:v>
                </c:pt>
                <c:pt idx="2">
                  <c:v>41746</c:v>
                </c:pt>
                <c:pt idx="3">
                  <c:v>41753</c:v>
                </c:pt>
                <c:pt idx="4">
                  <c:v>41760</c:v>
                </c:pt>
                <c:pt idx="5">
                  <c:v>41767</c:v>
                </c:pt>
                <c:pt idx="6">
                  <c:v>41774</c:v>
                </c:pt>
                <c:pt idx="7">
                  <c:v>41781</c:v>
                </c:pt>
                <c:pt idx="8">
                  <c:v>41788</c:v>
                </c:pt>
                <c:pt idx="9">
                  <c:v>41795</c:v>
                </c:pt>
                <c:pt idx="10">
                  <c:v>41802</c:v>
                </c:pt>
                <c:pt idx="11">
                  <c:v>41809</c:v>
                </c:pt>
                <c:pt idx="12">
                  <c:v>41816</c:v>
                </c:pt>
                <c:pt idx="13">
                  <c:v>41823</c:v>
                </c:pt>
                <c:pt idx="14">
                  <c:v>41830</c:v>
                </c:pt>
                <c:pt idx="15">
                  <c:v>41837</c:v>
                </c:pt>
                <c:pt idx="16">
                  <c:v>41844</c:v>
                </c:pt>
                <c:pt idx="17">
                  <c:v>41851</c:v>
                </c:pt>
                <c:pt idx="18">
                  <c:v>41858</c:v>
                </c:pt>
                <c:pt idx="19">
                  <c:v>41865</c:v>
                </c:pt>
                <c:pt idx="20">
                  <c:v>41872</c:v>
                </c:pt>
                <c:pt idx="21">
                  <c:v>41879</c:v>
                </c:pt>
                <c:pt idx="22">
                  <c:v>41886</c:v>
                </c:pt>
                <c:pt idx="23">
                  <c:v>41893</c:v>
                </c:pt>
                <c:pt idx="24">
                  <c:v>41900</c:v>
                </c:pt>
                <c:pt idx="25">
                  <c:v>41907</c:v>
                </c:pt>
                <c:pt idx="26">
                  <c:v>41914</c:v>
                </c:pt>
                <c:pt idx="27">
                  <c:v>41921</c:v>
                </c:pt>
                <c:pt idx="28">
                  <c:v>41928</c:v>
                </c:pt>
                <c:pt idx="29">
                  <c:v>41935</c:v>
                </c:pt>
                <c:pt idx="30">
                  <c:v>41942</c:v>
                </c:pt>
                <c:pt idx="31">
                  <c:v>41949</c:v>
                </c:pt>
                <c:pt idx="32">
                  <c:v>41956</c:v>
                </c:pt>
                <c:pt idx="33">
                  <c:v>41963</c:v>
                </c:pt>
                <c:pt idx="34">
                  <c:v>41969</c:v>
                </c:pt>
                <c:pt idx="35">
                  <c:v>41977</c:v>
                </c:pt>
                <c:pt idx="36">
                  <c:v>41984</c:v>
                </c:pt>
                <c:pt idx="37">
                  <c:v>41991</c:v>
                </c:pt>
                <c:pt idx="38">
                  <c:v>41997</c:v>
                </c:pt>
                <c:pt idx="39">
                  <c:v>42004</c:v>
                </c:pt>
                <c:pt idx="40">
                  <c:v>42012</c:v>
                </c:pt>
                <c:pt idx="41">
                  <c:v>42019</c:v>
                </c:pt>
                <c:pt idx="42">
                  <c:v>42026</c:v>
                </c:pt>
                <c:pt idx="43">
                  <c:v>42033</c:v>
                </c:pt>
                <c:pt idx="44">
                  <c:v>42040</c:v>
                </c:pt>
                <c:pt idx="45">
                  <c:v>42047</c:v>
                </c:pt>
                <c:pt idx="46">
                  <c:v>42054</c:v>
                </c:pt>
                <c:pt idx="47">
                  <c:v>42061</c:v>
                </c:pt>
                <c:pt idx="48">
                  <c:v>42068</c:v>
                </c:pt>
                <c:pt idx="49">
                  <c:v>42075</c:v>
                </c:pt>
                <c:pt idx="50">
                  <c:v>42082</c:v>
                </c:pt>
                <c:pt idx="51">
                  <c:v>42089</c:v>
                </c:pt>
                <c:pt idx="52">
                  <c:v>42096</c:v>
                </c:pt>
                <c:pt idx="53">
                  <c:v>42103</c:v>
                </c:pt>
                <c:pt idx="54">
                  <c:v>42110</c:v>
                </c:pt>
                <c:pt idx="55">
                  <c:v>42117</c:v>
                </c:pt>
                <c:pt idx="56">
                  <c:v>42124</c:v>
                </c:pt>
                <c:pt idx="57">
                  <c:v>42131</c:v>
                </c:pt>
                <c:pt idx="58">
                  <c:v>42138</c:v>
                </c:pt>
                <c:pt idx="59">
                  <c:v>42145</c:v>
                </c:pt>
                <c:pt idx="60">
                  <c:v>42152</c:v>
                </c:pt>
                <c:pt idx="61">
                  <c:v>42159</c:v>
                </c:pt>
                <c:pt idx="62">
                  <c:v>42166</c:v>
                </c:pt>
              </c:numCache>
            </c:numRef>
          </c:cat>
          <c:val>
            <c:numRef>
              <c:f>'Media Effect'!$D$4:$D$66</c:f>
              <c:numCache>
                <c:formatCode>General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6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8</c:v>
                </c:pt>
                <c:pt idx="19">
                  <c:v>5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4</c:v>
                </c:pt>
                <c:pt idx="24">
                  <c:v>18</c:v>
                </c:pt>
                <c:pt idx="25">
                  <c:v>16</c:v>
                </c:pt>
                <c:pt idx="26">
                  <c:v>13</c:v>
                </c:pt>
                <c:pt idx="27">
                  <c:v>5</c:v>
                </c:pt>
                <c:pt idx="28">
                  <c:v>0</c:v>
                </c:pt>
                <c:pt idx="29">
                  <c:v>0</c:v>
                </c:pt>
                <c:pt idx="30">
                  <c:v>2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0</c:v>
                </c:pt>
                <c:pt idx="36">
                  <c:v>2</c:v>
                </c:pt>
                <c:pt idx="37">
                  <c:v>0</c:v>
                </c:pt>
                <c:pt idx="38">
                  <c:v>1</c:v>
                </c:pt>
                <c:pt idx="39">
                  <c:v>3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</c:v>
                </c:pt>
                <c:pt idx="44">
                  <c:v>0</c:v>
                </c:pt>
                <c:pt idx="45">
                  <c:v>4</c:v>
                </c:pt>
                <c:pt idx="46">
                  <c:v>6</c:v>
                </c:pt>
                <c:pt idx="47">
                  <c:v>8</c:v>
                </c:pt>
                <c:pt idx="48">
                  <c:v>6</c:v>
                </c:pt>
                <c:pt idx="49">
                  <c:v>11</c:v>
                </c:pt>
                <c:pt idx="50">
                  <c:v>8</c:v>
                </c:pt>
                <c:pt idx="51">
                  <c:v>5</c:v>
                </c:pt>
                <c:pt idx="52">
                  <c:v>6</c:v>
                </c:pt>
                <c:pt idx="53">
                  <c:v>4</c:v>
                </c:pt>
                <c:pt idx="54">
                  <c:v>7</c:v>
                </c:pt>
                <c:pt idx="55">
                  <c:v>1</c:v>
                </c:pt>
                <c:pt idx="56">
                  <c:v>6</c:v>
                </c:pt>
                <c:pt idx="57">
                  <c:v>17</c:v>
                </c:pt>
                <c:pt idx="58">
                  <c:v>19</c:v>
                </c:pt>
                <c:pt idx="59">
                  <c:v>21</c:v>
                </c:pt>
                <c:pt idx="60">
                  <c:v>24</c:v>
                </c:pt>
                <c:pt idx="61">
                  <c:v>25</c:v>
                </c:pt>
                <c:pt idx="62">
                  <c:v>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2250752"/>
        <c:axId val="402248832"/>
      </c:barChart>
      <c:lineChart>
        <c:grouping val="standard"/>
        <c:varyColors val="0"/>
        <c:ser>
          <c:idx val="0"/>
          <c:order val="0"/>
          <c:tx>
            <c:strRef>
              <c:f>'Media Effect'!$C$3</c:f>
              <c:strCache>
                <c:ptCount val="1"/>
                <c:pt idx="0">
                  <c:v>SeriesNumValue</c:v>
                </c:pt>
              </c:strCache>
            </c:strRef>
          </c:tx>
          <c:marker>
            <c:symbol val="none"/>
          </c:marker>
          <c:cat>
            <c:numRef>
              <c:f>'Media Effect'!$B$4:$B$66</c:f>
              <c:numCache>
                <c:formatCode>m/d/yyyy</c:formatCode>
                <c:ptCount val="63"/>
                <c:pt idx="0">
                  <c:v>41732</c:v>
                </c:pt>
                <c:pt idx="1">
                  <c:v>41739</c:v>
                </c:pt>
                <c:pt idx="2">
                  <c:v>41746</c:v>
                </c:pt>
                <c:pt idx="3">
                  <c:v>41753</c:v>
                </c:pt>
                <c:pt idx="4">
                  <c:v>41760</c:v>
                </c:pt>
                <c:pt idx="5">
                  <c:v>41767</c:v>
                </c:pt>
                <c:pt idx="6">
                  <c:v>41774</c:v>
                </c:pt>
                <c:pt idx="7">
                  <c:v>41781</c:v>
                </c:pt>
                <c:pt idx="8">
                  <c:v>41788</c:v>
                </c:pt>
                <c:pt idx="9">
                  <c:v>41795</c:v>
                </c:pt>
                <c:pt idx="10">
                  <c:v>41802</c:v>
                </c:pt>
                <c:pt idx="11">
                  <c:v>41809</c:v>
                </c:pt>
                <c:pt idx="12">
                  <c:v>41816</c:v>
                </c:pt>
                <c:pt idx="13">
                  <c:v>41823</c:v>
                </c:pt>
                <c:pt idx="14">
                  <c:v>41830</c:v>
                </c:pt>
                <c:pt idx="15">
                  <c:v>41837</c:v>
                </c:pt>
                <c:pt idx="16">
                  <c:v>41844</c:v>
                </c:pt>
                <c:pt idx="17">
                  <c:v>41851</c:v>
                </c:pt>
                <c:pt idx="18">
                  <c:v>41858</c:v>
                </c:pt>
                <c:pt idx="19">
                  <c:v>41865</c:v>
                </c:pt>
                <c:pt idx="20">
                  <c:v>41872</c:v>
                </c:pt>
                <c:pt idx="21">
                  <c:v>41879</c:v>
                </c:pt>
                <c:pt idx="22">
                  <c:v>41886</c:v>
                </c:pt>
                <c:pt idx="23">
                  <c:v>41893</c:v>
                </c:pt>
                <c:pt idx="24">
                  <c:v>41900</c:v>
                </c:pt>
                <c:pt idx="25">
                  <c:v>41907</c:v>
                </c:pt>
                <c:pt idx="26">
                  <c:v>41914</c:v>
                </c:pt>
                <c:pt idx="27">
                  <c:v>41921</c:v>
                </c:pt>
                <c:pt idx="28">
                  <c:v>41928</c:v>
                </c:pt>
                <c:pt idx="29">
                  <c:v>41935</c:v>
                </c:pt>
                <c:pt idx="30">
                  <c:v>41942</c:v>
                </c:pt>
                <c:pt idx="31">
                  <c:v>41949</c:v>
                </c:pt>
                <c:pt idx="32">
                  <c:v>41956</c:v>
                </c:pt>
                <c:pt idx="33">
                  <c:v>41963</c:v>
                </c:pt>
                <c:pt idx="34">
                  <c:v>41969</c:v>
                </c:pt>
                <c:pt idx="35">
                  <c:v>41977</c:v>
                </c:pt>
                <c:pt idx="36">
                  <c:v>41984</c:v>
                </c:pt>
                <c:pt idx="37">
                  <c:v>41991</c:v>
                </c:pt>
                <c:pt idx="38">
                  <c:v>41997</c:v>
                </c:pt>
                <c:pt idx="39">
                  <c:v>42004</c:v>
                </c:pt>
                <c:pt idx="40">
                  <c:v>42012</c:v>
                </c:pt>
                <c:pt idx="41">
                  <c:v>42019</c:v>
                </c:pt>
                <c:pt idx="42">
                  <c:v>42026</c:v>
                </c:pt>
                <c:pt idx="43">
                  <c:v>42033</c:v>
                </c:pt>
                <c:pt idx="44">
                  <c:v>42040</c:v>
                </c:pt>
                <c:pt idx="45">
                  <c:v>42047</c:v>
                </c:pt>
                <c:pt idx="46">
                  <c:v>42054</c:v>
                </c:pt>
                <c:pt idx="47">
                  <c:v>42061</c:v>
                </c:pt>
                <c:pt idx="48">
                  <c:v>42068</c:v>
                </c:pt>
                <c:pt idx="49">
                  <c:v>42075</c:v>
                </c:pt>
                <c:pt idx="50">
                  <c:v>42082</c:v>
                </c:pt>
                <c:pt idx="51">
                  <c:v>42089</c:v>
                </c:pt>
                <c:pt idx="52">
                  <c:v>42096</c:v>
                </c:pt>
                <c:pt idx="53">
                  <c:v>42103</c:v>
                </c:pt>
                <c:pt idx="54">
                  <c:v>42110</c:v>
                </c:pt>
                <c:pt idx="55">
                  <c:v>42117</c:v>
                </c:pt>
                <c:pt idx="56">
                  <c:v>42124</c:v>
                </c:pt>
                <c:pt idx="57">
                  <c:v>42131</c:v>
                </c:pt>
                <c:pt idx="58">
                  <c:v>42138</c:v>
                </c:pt>
                <c:pt idx="59">
                  <c:v>42145</c:v>
                </c:pt>
                <c:pt idx="60">
                  <c:v>42152</c:v>
                </c:pt>
                <c:pt idx="61">
                  <c:v>42159</c:v>
                </c:pt>
                <c:pt idx="62">
                  <c:v>42166</c:v>
                </c:pt>
              </c:numCache>
            </c:numRef>
          </c:cat>
          <c:val>
            <c:numRef>
              <c:f>'Media Effect'!$C$4:$C$66</c:f>
              <c:numCache>
                <c:formatCode>General</c:formatCode>
                <c:ptCount val="63"/>
                <c:pt idx="0">
                  <c:v>4.335</c:v>
                </c:pt>
                <c:pt idx="1">
                  <c:v>4.2649999999999997</c:v>
                </c:pt>
                <c:pt idx="2">
                  <c:v>4.1949999999999896</c:v>
                </c:pt>
                <c:pt idx="3">
                  <c:v>4.2300000000000004</c:v>
                </c:pt>
                <c:pt idx="4">
                  <c:v>4.2149999999999999</c:v>
                </c:pt>
                <c:pt idx="5">
                  <c:v>4.1100000000000003</c:v>
                </c:pt>
                <c:pt idx="6">
                  <c:v>4.0999999999999996</c:v>
                </c:pt>
                <c:pt idx="7">
                  <c:v>4.04</c:v>
                </c:pt>
                <c:pt idx="8">
                  <c:v>4.0199999999999996</c:v>
                </c:pt>
                <c:pt idx="9">
                  <c:v>4.0149999999999997</c:v>
                </c:pt>
                <c:pt idx="10">
                  <c:v>4.0999999999999996</c:v>
                </c:pt>
                <c:pt idx="11">
                  <c:v>4.07</c:v>
                </c:pt>
                <c:pt idx="12">
                  <c:v>4.0149999999999997</c:v>
                </c:pt>
                <c:pt idx="13">
                  <c:v>3.9950000000000001</c:v>
                </c:pt>
                <c:pt idx="14">
                  <c:v>4.0750000000000002</c:v>
                </c:pt>
                <c:pt idx="15">
                  <c:v>4.03</c:v>
                </c:pt>
                <c:pt idx="16">
                  <c:v>4.03</c:v>
                </c:pt>
                <c:pt idx="17">
                  <c:v>4.0199999999999996</c:v>
                </c:pt>
                <c:pt idx="18">
                  <c:v>4.0649999999999897</c:v>
                </c:pt>
                <c:pt idx="19">
                  <c:v>4.0199999999999996</c:v>
                </c:pt>
                <c:pt idx="20">
                  <c:v>3.9749999999999899</c:v>
                </c:pt>
                <c:pt idx="21">
                  <c:v>3.9749999999999899</c:v>
                </c:pt>
                <c:pt idx="22">
                  <c:v>3.9749999999999899</c:v>
                </c:pt>
                <c:pt idx="23">
                  <c:v>3.9950000000000001</c:v>
                </c:pt>
                <c:pt idx="24">
                  <c:v>4.1050000000000004</c:v>
                </c:pt>
                <c:pt idx="25">
                  <c:v>4.0750000000000002</c:v>
                </c:pt>
                <c:pt idx="26">
                  <c:v>4.04</c:v>
                </c:pt>
                <c:pt idx="27">
                  <c:v>3.9950000000000001</c:v>
                </c:pt>
                <c:pt idx="28">
                  <c:v>3.8450000000000002</c:v>
                </c:pt>
                <c:pt idx="29">
                  <c:v>3.7949999999999999</c:v>
                </c:pt>
                <c:pt idx="30">
                  <c:v>3.855</c:v>
                </c:pt>
                <c:pt idx="31">
                  <c:v>3.8949999999999898</c:v>
                </c:pt>
                <c:pt idx="32">
                  <c:v>3.8849999999999998</c:v>
                </c:pt>
                <c:pt idx="33">
                  <c:v>3.8650000000000002</c:v>
                </c:pt>
                <c:pt idx="34">
                  <c:v>3.8450000000000002</c:v>
                </c:pt>
                <c:pt idx="35">
                  <c:v>3.7650000000000001</c:v>
                </c:pt>
                <c:pt idx="36">
                  <c:v>3.8050000000000002</c:v>
                </c:pt>
                <c:pt idx="37">
                  <c:v>3.69999999999999</c:v>
                </c:pt>
                <c:pt idx="38">
                  <c:v>3.73</c:v>
                </c:pt>
                <c:pt idx="39">
                  <c:v>3.77</c:v>
                </c:pt>
                <c:pt idx="40">
                  <c:v>3.63</c:v>
                </c:pt>
                <c:pt idx="41">
                  <c:v>3.56</c:v>
                </c:pt>
                <c:pt idx="42">
                  <c:v>3.5549999999999899</c:v>
                </c:pt>
                <c:pt idx="43">
                  <c:v>3.56</c:v>
                </c:pt>
                <c:pt idx="44">
                  <c:v>3.5149999999999899</c:v>
                </c:pt>
                <c:pt idx="45">
                  <c:v>3.59</c:v>
                </c:pt>
                <c:pt idx="46">
                  <c:v>3.6599999999999899</c:v>
                </c:pt>
                <c:pt idx="47">
                  <c:v>3.69999999999999</c:v>
                </c:pt>
                <c:pt idx="48">
                  <c:v>3.65</c:v>
                </c:pt>
                <c:pt idx="49">
                  <c:v>3.76</c:v>
                </c:pt>
                <c:pt idx="50">
                  <c:v>3.6799999999999899</c:v>
                </c:pt>
                <c:pt idx="51">
                  <c:v>3.59</c:v>
                </c:pt>
                <c:pt idx="52">
                  <c:v>3.6</c:v>
                </c:pt>
                <c:pt idx="53">
                  <c:v>3.56</c:v>
                </c:pt>
                <c:pt idx="54">
                  <c:v>3.59499999999999</c:v>
                </c:pt>
                <c:pt idx="55">
                  <c:v>3.55</c:v>
                </c:pt>
                <c:pt idx="56">
                  <c:v>3.58</c:v>
                </c:pt>
                <c:pt idx="57">
                  <c:v>3.69999999999999</c:v>
                </c:pt>
                <c:pt idx="58">
                  <c:v>3.75</c:v>
                </c:pt>
                <c:pt idx="59">
                  <c:v>3.7649999999999899</c:v>
                </c:pt>
                <c:pt idx="60">
                  <c:v>3.77</c:v>
                </c:pt>
                <c:pt idx="61">
                  <c:v>3.77</c:v>
                </c:pt>
                <c:pt idx="62">
                  <c:v>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2245120"/>
        <c:axId val="402246656"/>
      </c:lineChart>
      <c:dateAx>
        <c:axId val="4022451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02246656"/>
        <c:crosses val="autoZero"/>
        <c:auto val="1"/>
        <c:lblOffset val="100"/>
        <c:baseTimeUnit val="days"/>
      </c:dateAx>
      <c:valAx>
        <c:axId val="402246656"/>
        <c:scaling>
          <c:orientation val="minMax"/>
          <c:min val="3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Survey Rate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245120"/>
        <c:crosses val="autoZero"/>
        <c:crossBetween val="between"/>
      </c:valAx>
      <c:valAx>
        <c:axId val="402248832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Number of Weeks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02250752"/>
        <c:crosses val="max"/>
        <c:crossBetween val="between"/>
      </c:valAx>
      <c:dateAx>
        <c:axId val="402250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02248832"/>
        <c:crosses val="autoZero"/>
        <c:auto val="1"/>
        <c:lblOffset val="100"/>
        <c:baseTimeUnit val="days"/>
      </c:date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57150</xdr:colOff>
      <xdr:row>5</xdr:row>
      <xdr:rowOff>76201</xdr:rowOff>
    </xdr:from>
    <xdr:to>
      <xdr:col>25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26</xdr:col>
      <xdr:colOff>295276</xdr:colOff>
      <xdr:row>5</xdr:row>
      <xdr:rowOff>85726</xdr:rowOff>
    </xdr:from>
    <xdr:to>
      <xdr:col>28</xdr:col>
      <xdr:colOff>66676</xdr:colOff>
      <xdr:row>7</xdr:row>
      <xdr:rowOff>89536</xdr:rowOff>
    </xdr:to>
    <xdr:sp macro="[1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23</xdr:col>
      <xdr:colOff>514350</xdr:colOff>
      <xdr:row>17</xdr:row>
      <xdr:rowOff>104775</xdr:rowOff>
    </xdr:from>
    <xdr:to>
      <xdr:col>25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</xdr:col>
      <xdr:colOff>9524</xdr:colOff>
      <xdr:row>11</xdr:row>
      <xdr:rowOff>9524</xdr:rowOff>
    </xdr:from>
    <xdr:to>
      <xdr:col>12</xdr:col>
      <xdr:colOff>304800</xdr:colOff>
      <xdr:row>35</xdr:row>
      <xdr:rowOff>142875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685800</xdr:colOff>
      <xdr:row>34</xdr:row>
      <xdr:rowOff>19049</xdr:rowOff>
    </xdr:from>
    <xdr:to>
      <xdr:col>12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  <xdr:twoCellAnchor>
    <xdr:from>
      <xdr:col>12</xdr:col>
      <xdr:colOff>485776</xdr:colOff>
      <xdr:row>10</xdr:row>
      <xdr:rowOff>146049</xdr:rowOff>
    </xdr:from>
    <xdr:to>
      <xdr:col>18</xdr:col>
      <xdr:colOff>422275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17</xdr:row>
      <xdr:rowOff>14287</xdr:rowOff>
    </xdr:from>
    <xdr:to>
      <xdr:col>27</xdr:col>
      <xdr:colOff>266699</xdr:colOff>
      <xdr:row>33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2</xdr:row>
      <xdr:rowOff>161924</xdr:rowOff>
    </xdr:from>
    <xdr:to>
      <xdr:col>30</xdr:col>
      <xdr:colOff>466725</xdr:colOff>
      <xdr:row>21</xdr:row>
      <xdr:rowOff>190499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400049</xdr:colOff>
      <xdr:row>26</xdr:row>
      <xdr:rowOff>90487</xdr:rowOff>
    </xdr:from>
    <xdr:to>
      <xdr:col>31</xdr:col>
      <xdr:colOff>161925</xdr:colOff>
      <xdr:row>40</xdr:row>
      <xdr:rowOff>166687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381000</xdr:colOff>
      <xdr:row>43</xdr:row>
      <xdr:rowOff>28575</xdr:rowOff>
    </xdr:from>
    <xdr:to>
      <xdr:col>30</xdr:col>
      <xdr:colOff>447674</xdr:colOff>
      <xdr:row>57</xdr:row>
      <xdr:rowOff>104775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361949</xdr:colOff>
      <xdr:row>59</xdr:row>
      <xdr:rowOff>123825</xdr:rowOff>
    </xdr:from>
    <xdr:to>
      <xdr:col>30</xdr:col>
      <xdr:colOff>561974</xdr:colOff>
      <xdr:row>74</xdr:row>
      <xdr:rowOff>9525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11</xdr:row>
      <xdr:rowOff>123825</xdr:rowOff>
    </xdr:from>
    <xdr:to>
      <xdr:col>35</xdr:col>
      <xdr:colOff>609599</xdr:colOff>
      <xdr:row>26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66675</xdr:colOff>
      <xdr:row>27</xdr:row>
      <xdr:rowOff>161925</xdr:rowOff>
    </xdr:from>
    <xdr:to>
      <xdr:col>35</xdr:col>
      <xdr:colOff>238125</xdr:colOff>
      <xdr:row>42</xdr:row>
      <xdr:rowOff>47625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9</xdr:row>
      <xdr:rowOff>0</xdr:rowOff>
    </xdr:from>
    <xdr:to>
      <xdr:col>20</xdr:col>
      <xdr:colOff>180975</xdr:colOff>
      <xdr:row>23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600075</xdr:colOff>
      <xdr:row>27</xdr:row>
      <xdr:rowOff>47625</xdr:rowOff>
    </xdr:from>
    <xdr:to>
      <xdr:col>20</xdr:col>
      <xdr:colOff>200025</xdr:colOff>
      <xdr:row>41</xdr:row>
      <xdr:rowOff>123825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342898</xdr:colOff>
      <xdr:row>10</xdr:row>
      <xdr:rowOff>52387</xdr:rowOff>
    </xdr:from>
    <xdr:to>
      <xdr:col>32</xdr:col>
      <xdr:colOff>95249</xdr:colOff>
      <xdr:row>24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323850</xdr:colOff>
      <xdr:row>27</xdr:row>
      <xdr:rowOff>180975</xdr:rowOff>
    </xdr:from>
    <xdr:to>
      <xdr:col>32</xdr:col>
      <xdr:colOff>85725</xdr:colOff>
      <xdr:row>42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361949</xdr:colOff>
      <xdr:row>44</xdr:row>
      <xdr:rowOff>142875</xdr:rowOff>
    </xdr:from>
    <xdr:to>
      <xdr:col>31</xdr:col>
      <xdr:colOff>152401</xdr:colOff>
      <xdr:row>59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390525</xdr:colOff>
      <xdr:row>62</xdr:row>
      <xdr:rowOff>28575</xdr:rowOff>
    </xdr:from>
    <xdr:to>
      <xdr:col>32</xdr:col>
      <xdr:colOff>152400</xdr:colOff>
      <xdr:row>76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215900</xdr:colOff>
      <xdr:row>21</xdr:row>
      <xdr:rowOff>177800</xdr:rowOff>
    </xdr:from>
    <xdr:to>
      <xdr:col>19</xdr:col>
      <xdr:colOff>593725</xdr:colOff>
      <xdr:row>36</xdr:row>
      <xdr:rowOff>63500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222250</xdr:colOff>
      <xdr:row>38</xdr:row>
      <xdr:rowOff>9525</xdr:rowOff>
    </xdr:from>
    <xdr:to>
      <xdr:col>11</xdr:col>
      <xdr:colOff>441325</xdr:colOff>
      <xdr:row>54</xdr:row>
      <xdr:rowOff>61913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200025</xdr:colOff>
      <xdr:row>5</xdr:row>
      <xdr:rowOff>47625</xdr:rowOff>
    </xdr:from>
    <xdr:to>
      <xdr:col>19</xdr:col>
      <xdr:colOff>561976</xdr:colOff>
      <xdr:row>19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IT\Production\Daily%20Reports\Primary%20Market\11.Refinanceable%20Percentage%20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definedNames>
      <definedName name="CreatePDFRepor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Query"/>
      <sheetName val="Bloomberg"/>
      <sheetName val="Function Of Rate"/>
    </sheetNames>
    <sheetDataSet>
      <sheetData sheetId="0" refreshError="1"/>
      <sheetData sheetId="1" refreshError="1"/>
      <sheetData sheetId="2" refreshError="1"/>
      <sheetData sheetId="3">
        <row r="15">
          <cell r="F15" t="str">
            <v>-50 bps</v>
          </cell>
          <cell r="G15" t="str">
            <v>-40 bps</v>
          </cell>
          <cell r="H15" t="str">
            <v>-30 bps</v>
          </cell>
          <cell r="I15" t="str">
            <v>-20 bps</v>
          </cell>
          <cell r="J15" t="str">
            <v>-10 bps</v>
          </cell>
          <cell r="K15">
            <v>3.94</v>
          </cell>
          <cell r="L15" t="str">
            <v>+10 bps</v>
          </cell>
          <cell r="M15" t="str">
            <v>+20 bps</v>
          </cell>
          <cell r="N15" t="str">
            <v>+30 bps</v>
          </cell>
          <cell r="O15" t="str">
            <v>+40 bps</v>
          </cell>
          <cell r="P15" t="str">
            <v>+50 bps</v>
          </cell>
        </row>
        <row r="16">
          <cell r="E16" t="str">
            <v>Pool Level</v>
          </cell>
          <cell r="F16">
            <v>0.74492476719510592</v>
          </cell>
          <cell r="G16">
            <v>0.64601740039207833</v>
          </cell>
          <cell r="H16">
            <v>0.59771025792025401</v>
          </cell>
          <cell r="I16">
            <v>0.55998614996335327</v>
          </cell>
          <cell r="J16">
            <v>0.51911820532540343</v>
          </cell>
          <cell r="K16">
            <v>0.45632581310344905</v>
          </cell>
          <cell r="L16">
            <v>0.38235255501284277</v>
          </cell>
          <cell r="M16">
            <v>0.33088245815712847</v>
          </cell>
          <cell r="N16">
            <v>0.29096915042973487</v>
          </cell>
          <cell r="O16">
            <v>0.27207120643295979</v>
          </cell>
          <cell r="P16">
            <v>0.20483896904857218</v>
          </cell>
        </row>
        <row r="17">
          <cell r="E17" t="str">
            <v>Loan Level</v>
          </cell>
          <cell r="F17">
            <v>0.66132281927372705</v>
          </cell>
          <cell r="G17">
            <v>0.61742443167358063</v>
          </cell>
          <cell r="H17">
            <v>0.55482890552564113</v>
          </cell>
          <cell r="I17">
            <v>0.52193552323103543</v>
          </cell>
          <cell r="J17">
            <v>0.45915371064370136</v>
          </cell>
          <cell r="K17">
            <v>0.39779633268543002</v>
          </cell>
          <cell r="L17">
            <v>0.36431880223413576</v>
          </cell>
          <cell r="M17">
            <v>0.32134943910537084</v>
          </cell>
          <cell r="N17">
            <v>0.29464449046498603</v>
          </cell>
          <cell r="O17">
            <v>0.24410272227756832</v>
          </cell>
          <cell r="P17">
            <v>0.20106252470542499</v>
          </cell>
        </row>
        <row r="18">
          <cell r="E18" t="str">
            <v>With Lowest Rate</v>
          </cell>
          <cell r="F18">
            <v>0.20405539978490747</v>
          </cell>
          <cell r="G18">
            <v>8.8363009906858286E-3</v>
          </cell>
          <cell r="H18">
            <v>1.7846726369342121E-3</v>
          </cell>
          <cell r="I18">
            <v>2.8983733075451279E-4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2" autoFormatId="16" applyNumberFormats="0" applyBorderFormats="0" applyFontFormats="0" applyPatternFormats="0" applyAlignmentFormats="0" applyWidthHeightFormats="0">
  <queryTableRefresh nextId="78" unboundColumnsRight="2">
    <queryTableFields count="4">
      <queryTableField id="62" name="AsOfDate" tableColumnId="1"/>
      <queryTableField id="64" name="refinancible" tableColumnId="3"/>
      <queryTableField id="76" dataBound="0" tableColumnId="5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4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uery from Agency_17" backgroundRefresh="0" adjustColumnWidth="0" connectionId="11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6" backgroundRefresh="0" adjustColumnWidth="0" connectionId="3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5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4" backgroundRefresh="0" adjustColumnWidth="0" connectionId="2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temp_2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emp_1" connectionId="2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emp_1" connectionId="2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emp" connectionId="2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emp_2" connectionId="3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emp_1" connectionId="3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emp" connectionId="2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emp_3" connectionId="3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emp_2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emp_2" connectionId="2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emp_1" connectionId="2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emp" connectionId="15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id="4" name="CurrentMtgRatesDataTable825" displayName="CurrentMtgRatesDataTable825" ref="B2:E233" tableType="queryTable" totalsRowShown="0" headerRowDxfId="64" dataDxfId="63">
  <tableColumns count="4">
    <tableColumn id="1" uniqueName="1" name="asOfDate" queryTableFieldId="62" dataDxfId="62"/>
    <tableColumn id="3" uniqueName="3" name="refinancible" queryTableFieldId="64" dataDxfId="61"/>
    <tableColumn id="5" uniqueName="5" name="Loan Level" queryTableFieldId="76" dataDxfId="60">
      <calculatedColumnFormula>VLOOKUP(CurrentMtgRatesDataTable825[[#This Row],[asOfDate]],G:H,2,0)</calculatedColumnFormula>
    </tableColumn>
    <tableColumn id="6" uniqueName="6" name="Bloomberg Index" queryTableFieldId="77" dataDxfId="59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insertRow="1" totalsRowShown="0" headerRowDxfId="58" dataDxfId="57">
  <tableColumns count="2">
    <tableColumn id="1" uniqueName="1" name="asOfDate" queryTableFieldId="62" dataDxfId="56"/>
    <tableColumn id="5" uniqueName="5" name="refinanceible" queryTableFieldId="76" dataDxfId="5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7" name="CurrentMtgRatesDataTable825238" displayName="CurrentMtgRatesDataTable825238" ref="B2:C3" tableType="queryTable" totalsRowShown="0" headerRowDxfId="54" dataDxfId="53">
  <tableColumns count="2">
    <tableColumn id="1" uniqueName="1" name="AsOfDate" queryTableFieldId="62" dataDxfId="52"/>
    <tableColumn id="6" uniqueName="6" name="SeriesNumValue" queryTableFieldId="77" dataDxfId="51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8" name="CurrentMtgRatesDataTable8252349" displayName="CurrentMtgRatesDataTable8252349" ref="F2:P3" tableType="queryTable" totalsRowShown="0" headerRowDxfId="50" dataDxfId="49">
  <tableColumns count="11">
    <tableColumn id="7" uniqueName="7" name="refinancible1" queryTableFieldId="78" dataDxfId="48"/>
    <tableColumn id="8" uniqueName="8" name="refinancible2" queryTableFieldId="79" dataDxfId="47"/>
    <tableColumn id="9" uniqueName="9" name="refinancible3" queryTableFieldId="80" dataDxfId="46"/>
    <tableColumn id="10" uniqueName="10" name="refinancible4" queryTableFieldId="81" dataDxfId="45"/>
    <tableColumn id="11" uniqueName="11" name="refinancible5" queryTableFieldId="82" dataDxfId="44"/>
    <tableColumn id="12" uniqueName="12" name="refinancible6" queryTableFieldId="83" dataDxfId="43"/>
    <tableColumn id="13" uniqueName="13" name="refinancible7" queryTableFieldId="84" dataDxfId="42"/>
    <tableColumn id="14" uniqueName="14" name="refinancible8" queryTableFieldId="85" dataDxfId="41"/>
    <tableColumn id="15" uniqueName="15" name="refinancible9" queryTableFieldId="86" dataDxfId="40"/>
    <tableColumn id="16" uniqueName="16" name="refinancible10" queryTableFieldId="87" dataDxfId="39"/>
    <tableColumn id="17" uniqueName="17" name="refinancible11" queryTableFieldId="88" dataDxfId="38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9" name="CurrentMtgRatesDataTable825234610" displayName="CurrentMtgRatesDataTable825234610" ref="F7:P8" tableType="queryTable" totalsRowShown="0" headerRowDxfId="37">
  <tableColumns count="11">
    <tableColumn id="19" uniqueName="19" name="refinanceible1" queryTableFieldId="90" dataDxfId="36"/>
    <tableColumn id="20" uniqueName="20" name="refinanceible2" queryTableFieldId="91" dataDxfId="35"/>
    <tableColumn id="21" uniqueName="21" name="refinanceible3" queryTableFieldId="92" dataDxfId="34"/>
    <tableColumn id="22" uniqueName="22" name="refinanceible4" queryTableFieldId="93" dataDxfId="33"/>
    <tableColumn id="23" uniqueName="23" name="refinanceible5" queryTableFieldId="94" dataDxfId="32"/>
    <tableColumn id="24" uniqueName="24" name="refinanceible6" queryTableFieldId="95" dataDxfId="31"/>
    <tableColumn id="25" uniqueName="25" name="refinanceible7" queryTableFieldId="96" dataDxfId="30"/>
    <tableColumn id="26" uniqueName="26" name="refinanceible8" queryTableFieldId="97" dataDxfId="29"/>
    <tableColumn id="27" uniqueName="27" name="refinanceible9" queryTableFieldId="98" dataDxfId="28"/>
    <tableColumn id="28" uniqueName="28" name="refinanceible10" queryTableFieldId="99" dataDxfId="27"/>
    <tableColumn id="29" uniqueName="29" name="refinanceible11" queryTableFieldId="100" dataDxfId="26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10" name="CurrentMtgRatesDataTable82523468" displayName="CurrentMtgRatesDataTable82523468" ref="F11:P12" tableType="queryTable" totalsRowShown="0" headerRowDxfId="25">
  <tableColumns count="11">
    <tableColumn id="19" uniqueName="19" name="refinanceible1" queryTableFieldId="90" dataDxfId="24"/>
    <tableColumn id="20" uniqueName="20" name="refinanceible2" queryTableFieldId="91" dataDxfId="23"/>
    <tableColumn id="21" uniqueName="21" name="refinanceible3" queryTableFieldId="92" dataDxfId="22"/>
    <tableColumn id="22" uniqueName="22" name="refinanceible4" queryTableFieldId="93" dataDxfId="21"/>
    <tableColumn id="23" uniqueName="23" name="refinanceible5" queryTableFieldId="94" dataDxfId="20"/>
    <tableColumn id="24" uniqueName="24" name="refinanceible6" queryTableFieldId="95" dataDxfId="19"/>
    <tableColumn id="25" uniqueName="25" name="refinanceible7" queryTableFieldId="96" dataDxfId="18"/>
    <tableColumn id="26" uniqueName="26" name="refinanceible8" queryTableFieldId="97" dataDxfId="17"/>
    <tableColumn id="27" uniqueName="27" name="refinanceible9" queryTableFieldId="98" dataDxfId="16"/>
    <tableColumn id="28" uniqueName="28" name="refinanceible10" queryTableFieldId="99" dataDxfId="15"/>
    <tableColumn id="29" uniqueName="29" name="refinanceible11" queryTableFieldId="100" dataDxfId="1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7" Type="http://schemas.openxmlformats.org/officeDocument/2006/relationships/queryTable" Target="../queryTables/queryTable9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8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drawing" Target="../drawings/drawing3.xml"/><Relationship Id="rId4" Type="http://schemas.openxmlformats.org/officeDocument/2006/relationships/queryTable" Target="../queryTables/queryTable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queryTable" Target="../queryTables/queryTable13.xml"/><Relationship Id="rId1" Type="http://schemas.openxmlformats.org/officeDocument/2006/relationships/drawing" Target="../drawings/drawing4.xm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6.xml"/><Relationship Id="rId4" Type="http://schemas.openxmlformats.org/officeDocument/2006/relationships/queryTable" Target="../queryTables/queryTable1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B92"/>
  <sheetViews>
    <sheetView showGridLines="0" topLeftCell="D1" zoomScaleNormal="100" workbookViewId="0">
      <selection activeCell="AA17" sqref="AA17"/>
    </sheetView>
  </sheetViews>
  <sheetFormatPr defaultRowHeight="12.75"/>
  <cols>
    <col min="1" max="1" width="9.140625" style="6" customWidth="1"/>
    <col min="2" max="2" width="9.140625" style="6"/>
    <col min="3" max="3" width="15.7109375" style="6" customWidth="1"/>
    <col min="4" max="12" width="11.85546875" style="6" customWidth="1"/>
    <col min="13" max="13" width="10.28515625" style="6" customWidth="1"/>
    <col min="14" max="18" width="7.85546875" style="6" customWidth="1"/>
    <col min="19" max="19" width="7.5703125" style="6" customWidth="1"/>
    <col min="20" max="20" width="5.140625" style="6" customWidth="1"/>
    <col min="21" max="22" width="7.5703125" style="6" customWidth="1"/>
    <col min="23" max="23" width="10.28515625" style="6" customWidth="1"/>
    <col min="24" max="24" width="9.140625" style="6"/>
    <col min="25" max="25" width="14.140625" style="6" customWidth="1"/>
    <col min="26" max="26" width="40.85546875" style="6" bestFit="1" customWidth="1"/>
    <col min="27" max="27" width="14.85546875" style="6" bestFit="1" customWidth="1"/>
    <col min="28" max="16384" width="9.140625" style="6"/>
  </cols>
  <sheetData>
    <row r="1" spans="3:28">
      <c r="Y1" s="2" t="s">
        <v>1</v>
      </c>
      <c r="Z1" s="3" t="s">
        <v>2</v>
      </c>
      <c r="AA1" s="6" t="s">
        <v>3</v>
      </c>
      <c r="AB1" s="3" t="s">
        <v>4</v>
      </c>
    </row>
    <row r="2" spans="3:28">
      <c r="Y2" s="2" t="s">
        <v>5</v>
      </c>
      <c r="Z2" s="4">
        <v>42162</v>
      </c>
    </row>
    <row r="3" spans="3:28">
      <c r="Y3" s="2" t="s">
        <v>19</v>
      </c>
      <c r="Z3" s="19" t="s">
        <v>21</v>
      </c>
    </row>
    <row r="4" spans="3:28">
      <c r="Y4" s="2" t="s">
        <v>6</v>
      </c>
      <c r="Z4" s="3" t="str">
        <f>PDFReportDir&amp;"Market Concentration " &amp; TEXT(CurrentCloseDate, "yyyy-mm-dd") &amp; ".pdf"</f>
        <v>S:\IT\Production\Daily Reports\Primary Market\tmp\Market Concentration 2015-06-07.pdf</v>
      </c>
    </row>
    <row r="5" spans="3:28">
      <c r="Y5" s="7"/>
    </row>
    <row r="6" spans="3:28">
      <c r="Y6" s="7"/>
    </row>
    <row r="9" spans="3:28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Q9" s="6"/>
      <c r="R9" s="6"/>
      <c r="S9" s="6"/>
      <c r="T9" s="6"/>
      <c r="U9" s="6"/>
      <c r="V9" s="6"/>
      <c r="W9" s="6"/>
      <c r="Y9" s="8" t="s">
        <v>15</v>
      </c>
      <c r="Z9" s="13">
        <f>IF(DAY(CurrentCloseDate)&lt;5,(CurrentCloseDate-DAY(CurrentCloseDate))-DAY((CurrentCloseDate-DAY(CurrentCloseDate)))+1,CurrentCloseDate-DAY(CurrentCloseDate)+1)</f>
        <v>42156</v>
      </c>
    </row>
    <row r="10" spans="3:28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Q10" s="6"/>
      <c r="R10" s="6"/>
      <c r="S10" s="6"/>
      <c r="T10" s="6"/>
      <c r="U10" s="6"/>
      <c r="V10" s="6"/>
      <c r="W10" s="6"/>
      <c r="Y10" s="9" t="s">
        <v>16</v>
      </c>
      <c r="Z10" s="14">
        <f>(Z9-1)-DAY((Z9-1))+1</f>
        <v>42125</v>
      </c>
    </row>
    <row r="11" spans="3:28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Q11" s="6"/>
      <c r="R11" s="6"/>
      <c r="S11" s="6"/>
      <c r="T11" s="6"/>
      <c r="U11" s="6"/>
      <c r="V11" s="6"/>
      <c r="W11" s="6"/>
    </row>
    <row r="12" spans="3:28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Q12" s="6"/>
      <c r="R12" s="6"/>
      <c r="S12" s="6"/>
      <c r="T12" s="6"/>
      <c r="U12" s="6"/>
      <c r="V12" s="6"/>
      <c r="W12" s="6"/>
      <c r="Z12" s="14"/>
    </row>
    <row r="13" spans="3:28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Q13" s="6"/>
      <c r="R13" s="6"/>
      <c r="S13" s="6"/>
      <c r="T13" s="6"/>
      <c r="U13" s="6"/>
      <c r="V13" s="6"/>
      <c r="W13" s="6"/>
      <c r="Y13" s="9" t="s">
        <v>36</v>
      </c>
      <c r="Z13" s="14">
        <f>CurrentCloseDate-WEEKDAY(CurrentCloseDate)-2</f>
        <v>42159</v>
      </c>
    </row>
    <row r="14" spans="3:28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Q14" s="6"/>
      <c r="R14" s="6"/>
      <c r="S14" s="6"/>
      <c r="T14" s="6"/>
      <c r="U14" s="6"/>
      <c r="V14" s="6"/>
      <c r="W14" s="6"/>
    </row>
    <row r="15" spans="3:28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Q15" s="6"/>
      <c r="R15" s="6"/>
      <c r="S15" s="6"/>
      <c r="T15" s="6"/>
      <c r="U15" s="6"/>
      <c r="V15" s="6"/>
      <c r="W15" s="6"/>
    </row>
    <row r="16" spans="3:28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Q16" s="6"/>
      <c r="R16" s="6"/>
      <c r="S16" s="6"/>
      <c r="T16" s="6"/>
      <c r="U16" s="6"/>
      <c r="V16" s="6"/>
      <c r="W16" s="6"/>
    </row>
    <row r="17" spans="3:23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  <c r="S17" s="6"/>
      <c r="T17" s="6"/>
      <c r="U17" s="6"/>
      <c r="V17" s="6"/>
      <c r="W17" s="6"/>
    </row>
    <row r="18" spans="3:23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Q18" s="6"/>
      <c r="R18" s="6"/>
      <c r="S18" s="6"/>
      <c r="T18" s="6"/>
      <c r="U18" s="6"/>
      <c r="V18" s="6"/>
      <c r="W18" s="6"/>
    </row>
    <row r="19" spans="3:23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Q19" s="6"/>
      <c r="R19" s="6"/>
      <c r="S19" s="6"/>
      <c r="T19" s="6"/>
      <c r="U19" s="6"/>
      <c r="V19" s="6"/>
      <c r="W19" s="6"/>
    </row>
    <row r="20" spans="3:23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Q20" s="6"/>
      <c r="R20" s="6"/>
      <c r="S20" s="6"/>
      <c r="T20" s="6"/>
      <c r="U20" s="6"/>
      <c r="V20" s="6"/>
      <c r="W20" s="6"/>
    </row>
    <row r="21" spans="3:23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Q21" s="6"/>
      <c r="R21" s="6"/>
      <c r="S21" s="6"/>
      <c r="T21" s="6"/>
      <c r="U21" s="6"/>
      <c r="V21" s="6"/>
      <c r="W21" s="6"/>
    </row>
    <row r="39" spans="3:18" ht="15.75" thickBot="1">
      <c r="C39" s="5" t="s">
        <v>35</v>
      </c>
      <c r="E39" s="26"/>
      <c r="F39" s="27"/>
      <c r="H39"/>
      <c r="I39"/>
      <c r="J39"/>
      <c r="K39"/>
      <c r="N39" s="43" t="s">
        <v>76</v>
      </c>
      <c r="O39" s="43"/>
      <c r="P39" s="45" t="e">
        <f>#REF!</f>
        <v>#REF!</v>
      </c>
      <c r="Q39" s="46" t="s">
        <v>77</v>
      </c>
      <c r="R39" s="44" t="e">
        <f>#REF!</f>
        <v>#REF!</v>
      </c>
    </row>
    <row r="40" spans="3:18" s="36" customFormat="1" ht="13.5" customHeight="1">
      <c r="C40" s="55"/>
      <c r="D40" s="78" t="s">
        <v>29</v>
      </c>
      <c r="E40" s="79"/>
      <c r="F40" s="80"/>
      <c r="G40" s="78" t="s">
        <v>26</v>
      </c>
      <c r="H40" s="79"/>
      <c r="I40" s="80"/>
      <c r="J40" s="78" t="s">
        <v>33</v>
      </c>
      <c r="K40" s="79"/>
      <c r="L40" s="80"/>
      <c r="N40" s="66"/>
      <c r="O40" s="79" t="s">
        <v>29</v>
      </c>
      <c r="P40" s="80"/>
      <c r="Q40" s="78" t="s">
        <v>26</v>
      </c>
      <c r="R40" s="80"/>
    </row>
    <row r="41" spans="3:18" s="36" customFormat="1" ht="13.5" customHeight="1">
      <c r="C41" s="56" t="s">
        <v>34</v>
      </c>
      <c r="D41" s="47" t="s">
        <v>32</v>
      </c>
      <c r="E41" s="29" t="s">
        <v>12</v>
      </c>
      <c r="F41" s="48" t="s">
        <v>13</v>
      </c>
      <c r="G41" s="47" t="s">
        <v>32</v>
      </c>
      <c r="H41" s="29" t="s">
        <v>12</v>
      </c>
      <c r="I41" s="48" t="s">
        <v>13</v>
      </c>
      <c r="J41" s="47" t="s">
        <v>32</v>
      </c>
      <c r="K41" s="29" t="s">
        <v>12</v>
      </c>
      <c r="L41" s="48" t="s">
        <v>13</v>
      </c>
      <c r="N41" s="47" t="s">
        <v>72</v>
      </c>
      <c r="O41" s="29" t="s">
        <v>73</v>
      </c>
      <c r="P41" s="48" t="s">
        <v>74</v>
      </c>
      <c r="Q41" s="47" t="s">
        <v>73</v>
      </c>
      <c r="R41" s="48" t="s">
        <v>74</v>
      </c>
    </row>
    <row r="42" spans="3:18" s="36" customFormat="1" ht="13.5" customHeight="1">
      <c r="C42" s="57">
        <f>Query!B3</f>
        <v>42159</v>
      </c>
      <c r="D42" s="59">
        <f>Query!C3</f>
        <v>0.54411437418255881</v>
      </c>
      <c r="E42" s="37">
        <f>Query!C3-Query!C7</f>
        <v>-3.6864768325618025E-2</v>
      </c>
      <c r="F42" s="60">
        <f>Query!C3-Query!C16</f>
        <v>-7.5554891979307648E-2</v>
      </c>
      <c r="G42" s="59">
        <f>Query!D3</f>
        <v>0.49151040605794738</v>
      </c>
      <c r="H42" s="37">
        <f>Query!D3-Query!D7</f>
        <v>-4.0874181752411642E-2</v>
      </c>
      <c r="I42" s="60">
        <f>Query!D3-Query!D16</f>
        <v>-9.2337133426542595E-2</v>
      </c>
      <c r="J42" s="63" t="e">
        <f ca="1">Query!E3</f>
        <v>#N/A</v>
      </c>
      <c r="K42" s="38" t="e">
        <f ca="1">Query!E3-Query!E4</f>
        <v>#N/A</v>
      </c>
      <c r="L42" s="50" t="e">
        <f ca="1">Query!E3-Query!E16</f>
        <v>#N/A</v>
      </c>
      <c r="N42" s="49" t="s">
        <v>55</v>
      </c>
      <c r="O42" s="37">
        <f>'Function Of Rate'!F$17</f>
        <v>0</v>
      </c>
      <c r="P42" s="60">
        <f t="shared" ref="P42:P45" si="0">O42-$O$47</f>
        <v>0</v>
      </c>
      <c r="Q42" s="69" t="str">
        <f>'Function Of Rate'!F$18</f>
        <v>-50 bps</v>
      </c>
      <c r="R42" s="60" t="e">
        <f t="shared" ref="R42:R45" si="1">Q42-$Q$47</f>
        <v>#VALUE!</v>
      </c>
    </row>
    <row r="43" spans="3:18" s="36" customFormat="1" ht="13.5" customHeight="1">
      <c r="C43" s="57">
        <f>Query!B4</f>
        <v>42152</v>
      </c>
      <c r="D43" s="59">
        <f>Query!C4</f>
        <v>0.54951676769042945</v>
      </c>
      <c r="E43" s="37">
        <f>Query!C4-Query!C8</f>
        <v>-8.6877259028806608E-2</v>
      </c>
      <c r="F43" s="60">
        <f>Query!C4-Query!C17</f>
        <v>-6.1468983433647928E-2</v>
      </c>
      <c r="G43" s="59">
        <f>Query!D4</f>
        <v>0.49518214427458052</v>
      </c>
      <c r="H43" s="37">
        <f>Query!D4-Query!D8</f>
        <v>-0.11369416383463848</v>
      </c>
      <c r="I43" s="60">
        <f>Query!D4-Query!D17</f>
        <v>-6.62640870212865E-2</v>
      </c>
      <c r="J43" s="63">
        <f ca="1">Query!E4</f>
        <v>1233.9000000000001</v>
      </c>
      <c r="K43" s="38">
        <f ca="1">Query!E4-Query!E5</f>
        <v>-174.19999999999982</v>
      </c>
      <c r="L43" s="50">
        <f ca="1">Query!E4-Query!E17</f>
        <v>-506.39999999999986</v>
      </c>
      <c r="N43" s="49" t="s">
        <v>54</v>
      </c>
      <c r="O43" s="37">
        <f>'Function Of Rate'!G$17</f>
        <v>0</v>
      </c>
      <c r="P43" s="60">
        <f t="shared" si="0"/>
        <v>0</v>
      </c>
      <c r="Q43" s="69" t="str">
        <f>'Function Of Rate'!G$18</f>
        <v>-40 bps</v>
      </c>
      <c r="R43" s="60" t="e">
        <f t="shared" si="1"/>
        <v>#VALUE!</v>
      </c>
    </row>
    <row r="44" spans="3:18" s="36" customFormat="1" ht="13.5" customHeight="1">
      <c r="C44" s="57">
        <f>Query!B5</f>
        <v>42145</v>
      </c>
      <c r="D44" s="59">
        <f>Query!C5</f>
        <v>0.55264936292906153</v>
      </c>
      <c r="E44" s="37">
        <f>Query!C5-Query!C9</f>
        <v>-9.686434229599139E-2</v>
      </c>
      <c r="F44" s="60">
        <f>Query!C5-Query!C18</f>
        <v>-7.3866918267672999E-2</v>
      </c>
      <c r="G44" s="59">
        <f>Query!D5</f>
        <v>0.49530657385961702</v>
      </c>
      <c r="H44" s="37">
        <f>Query!D5-Query!D9</f>
        <v>-0.13820263821935502</v>
      </c>
      <c r="I44" s="60">
        <f>Query!D5-Query!D18</f>
        <v>-9.4728115193803031E-2</v>
      </c>
      <c r="J44" s="63">
        <f ca="1">Query!E5</f>
        <v>1408.1</v>
      </c>
      <c r="K44" s="38">
        <f ca="1">Query!E5-Query!E6</f>
        <v>-40.700000000000045</v>
      </c>
      <c r="L44" s="50">
        <f ca="1">Query!E5-Query!E18</f>
        <v>-295</v>
      </c>
      <c r="N44" s="49" t="s">
        <v>53</v>
      </c>
      <c r="O44" s="37">
        <f>'Function Of Rate'!H$17</f>
        <v>0</v>
      </c>
      <c r="P44" s="60">
        <f t="shared" si="0"/>
        <v>0</v>
      </c>
      <c r="Q44" s="69" t="str">
        <f>'Function Of Rate'!H$18</f>
        <v>-30 bps</v>
      </c>
      <c r="R44" s="60" t="e">
        <f t="shared" si="1"/>
        <v>#VALUE!</v>
      </c>
    </row>
    <row r="45" spans="3:18" s="36" customFormat="1" ht="13.5" customHeight="1">
      <c r="C45" s="57">
        <f>Query!B6</f>
        <v>42138</v>
      </c>
      <c r="D45" s="59">
        <f>Query!C6</f>
        <v>0.56120232410101856</v>
      </c>
      <c r="E45" s="37">
        <f>Query!C6-Query!C10</f>
        <v>-6.9352714940806526E-2</v>
      </c>
      <c r="F45" s="60">
        <f>Query!C6-Query!C19</f>
        <v>-8.7706088553189399E-2</v>
      </c>
      <c r="G45" s="59">
        <f>Query!D6</f>
        <v>0.52626041924754496</v>
      </c>
      <c r="H45" s="37">
        <f>Query!D6-Query!D10</f>
        <v>-8.1198694606511079E-2</v>
      </c>
      <c r="I45" s="60">
        <f>Query!D6-Query!D19</f>
        <v>-0.10093033925876704</v>
      </c>
      <c r="J45" s="63">
        <f ca="1">Query!E6</f>
        <v>1448.8</v>
      </c>
      <c r="K45" s="38">
        <f ca="1">Query!E6-Query!E7</f>
        <v>-29</v>
      </c>
      <c r="L45" s="50">
        <f ca="1">Query!E6-Query!E19</f>
        <v>-455.40000000000009</v>
      </c>
      <c r="N45" s="49" t="s">
        <v>52</v>
      </c>
      <c r="O45" s="37">
        <f>'Function Of Rate'!I$17</f>
        <v>0</v>
      </c>
      <c r="P45" s="60">
        <f t="shared" si="0"/>
        <v>0</v>
      </c>
      <c r="Q45" s="69" t="str">
        <f>'Function Of Rate'!I$18</f>
        <v>-20 bps</v>
      </c>
      <c r="R45" s="60" t="e">
        <f t="shared" si="1"/>
        <v>#VALUE!</v>
      </c>
    </row>
    <row r="46" spans="3:18" s="36" customFormat="1" ht="13.5" customHeight="1">
      <c r="C46" s="57">
        <f>Query!B7</f>
        <v>42131</v>
      </c>
      <c r="D46" s="59">
        <f>Query!C7</f>
        <v>0.58097914250817684</v>
      </c>
      <c r="E46" s="37">
        <f>Query!C7-Query!C11</f>
        <v>-6.3613783913475608E-2</v>
      </c>
      <c r="F46" s="60">
        <f>Query!C7-Query!C20</f>
        <v>-0.10340253343898498</v>
      </c>
      <c r="G46" s="59">
        <f>Query!D7</f>
        <v>0.53238458781035902</v>
      </c>
      <c r="H46" s="37">
        <f>Query!D7-Query!D11</f>
        <v>-9.9414162043559018E-2</v>
      </c>
      <c r="I46" s="60">
        <f>Query!D7-Query!D20</f>
        <v>-0.12217446530835396</v>
      </c>
      <c r="J46" s="63">
        <f ca="1">Query!E7</f>
        <v>1477.8</v>
      </c>
      <c r="K46" s="38">
        <f ca="1">Query!E7-Query!E8</f>
        <v>-81.600000000000136</v>
      </c>
      <c r="L46" s="50">
        <f ca="1">Query!E7-Query!E20</f>
        <v>-813.50000000000023</v>
      </c>
      <c r="N46" s="49" t="s">
        <v>51</v>
      </c>
      <c r="O46" s="37">
        <f>'Function Of Rate'!J$17</f>
        <v>0</v>
      </c>
      <c r="P46" s="60">
        <f>O46-$O$47</f>
        <v>0</v>
      </c>
      <c r="Q46" s="69" t="str">
        <f>'Function Of Rate'!J$18</f>
        <v>-10 bps</v>
      </c>
      <c r="R46" s="60" t="e">
        <f>Q46-$Q$47</f>
        <v>#VALUE!</v>
      </c>
    </row>
    <row r="47" spans="3:18" s="36" customFormat="1" ht="13.5" customHeight="1">
      <c r="C47" s="57">
        <f>Query!B8</f>
        <v>42124</v>
      </c>
      <c r="D47" s="59">
        <f>Query!C8</f>
        <v>0.63639402671923606</v>
      </c>
      <c r="E47" s="37">
        <f>Query!C8-Query!C12</f>
        <v>8.6096301192285507E-3</v>
      </c>
      <c r="F47" s="60">
        <f>Query!C8-Query!C21</f>
        <v>-2.6254830083254022E-2</v>
      </c>
      <c r="G47" s="59">
        <f>Query!D8</f>
        <v>0.608876308109219</v>
      </c>
      <c r="H47" s="37">
        <f>Query!D8-Query!D12</f>
        <v>2.6895597754279521E-3</v>
      </c>
      <c r="I47" s="60">
        <f>Query!D8-Query!D21</f>
        <v>-4.6946994226618965E-2</v>
      </c>
      <c r="J47" s="63">
        <f ca="1">Query!E8</f>
        <v>1559.4</v>
      </c>
      <c r="K47" s="38">
        <f ca="1">Query!E8-Query!E9</f>
        <v>-163.59999999999991</v>
      </c>
      <c r="L47" s="50">
        <f ca="1">Query!E8-Query!E21</f>
        <v>-1025.4000000000001</v>
      </c>
      <c r="N47" s="67">
        <f>'Function Of Rate'!$K$16</f>
        <v>0</v>
      </c>
      <c r="O47" s="65">
        <f>'Function Of Rate'!K$17</f>
        <v>0</v>
      </c>
      <c r="P47" s="68" t="s">
        <v>75</v>
      </c>
      <c r="Q47" s="70">
        <f>'Function Of Rate'!K$18</f>
        <v>3.94</v>
      </c>
      <c r="R47" s="68" t="s">
        <v>75</v>
      </c>
    </row>
    <row r="48" spans="3:18" s="36" customFormat="1" ht="13.5" customHeight="1">
      <c r="C48" s="57">
        <f>Query!B9</f>
        <v>42117</v>
      </c>
      <c r="D48" s="59">
        <f>Query!C9</f>
        <v>0.64951370522505292</v>
      </c>
      <c r="E48" s="37">
        <f>Query!C9-Query!C13</f>
        <v>7.5605419671138652E-3</v>
      </c>
      <c r="F48" s="60">
        <f>Query!C9-Query!C22</f>
        <v>-1.5227562261968308E-2</v>
      </c>
      <c r="G48" s="59">
        <f>Query!D9</f>
        <v>0.63350921207897204</v>
      </c>
      <c r="H48" s="37">
        <f>Query!D9-Query!D13</f>
        <v>1.3653802707841001E-2</v>
      </c>
      <c r="I48" s="60">
        <f>Query!D9-Query!D22</f>
        <v>-2.3695506591696947E-2</v>
      </c>
      <c r="J48" s="63">
        <f ca="1">Query!E9</f>
        <v>1723</v>
      </c>
      <c r="K48" s="38">
        <f ca="1">Query!E9-Query!E10</f>
        <v>-94</v>
      </c>
      <c r="L48" s="50">
        <f ca="1">Query!E9-Query!E22</f>
        <v>-849.30000000000018</v>
      </c>
      <c r="N48" s="49" t="s">
        <v>56</v>
      </c>
      <c r="O48" s="37">
        <f>'Function Of Rate'!L$17</f>
        <v>0</v>
      </c>
      <c r="P48" s="60">
        <f t="shared" ref="P48:P52" si="2">O48-$O$47</f>
        <v>0</v>
      </c>
      <c r="Q48" s="69" t="str">
        <f>'Function Of Rate'!L$18</f>
        <v>+10 bps</v>
      </c>
      <c r="R48" s="60" t="e">
        <f>Q48-$Q$47</f>
        <v>#VALUE!</v>
      </c>
    </row>
    <row r="49" spans="3:18" s="36" customFormat="1" ht="13.5" customHeight="1">
      <c r="C49" s="57">
        <f>Query!B10</f>
        <v>42110</v>
      </c>
      <c r="D49" s="59">
        <f>Query!C10</f>
        <v>0.63055503904182508</v>
      </c>
      <c r="E49" s="37">
        <f>Query!C10-Query!C14</f>
        <v>2.1183076755418195E-2</v>
      </c>
      <c r="F49" s="60">
        <f>Query!C10-Query!C23</f>
        <v>-3.2093817760665E-2</v>
      </c>
      <c r="G49" s="59">
        <f>Query!D10</f>
        <v>0.60745911385405604</v>
      </c>
      <c r="H49" s="37">
        <f>Query!D10-Query!D14</f>
        <v>2.5993468227455074E-2</v>
      </c>
      <c r="I49" s="60">
        <f>Query!D10-Query!D23</f>
        <v>-4.8364188481781922E-2</v>
      </c>
      <c r="J49" s="63">
        <f ca="1">Query!E10</f>
        <v>1817</v>
      </c>
      <c r="K49" s="38">
        <f ca="1">Query!E10-Query!E11</f>
        <v>12.400000000000091</v>
      </c>
      <c r="L49" s="50">
        <f ca="1">Query!E10-Query!E23</f>
        <v>-982.30000000000018</v>
      </c>
      <c r="N49" s="49" t="s">
        <v>57</v>
      </c>
      <c r="O49" s="37">
        <f>'Function Of Rate'!M$17</f>
        <v>0</v>
      </c>
      <c r="P49" s="60">
        <f t="shared" si="2"/>
        <v>0</v>
      </c>
      <c r="Q49" s="69" t="str">
        <f>'Function Of Rate'!M$18</f>
        <v>+20 bps</v>
      </c>
      <c r="R49" s="60" t="e">
        <f t="shared" ref="R49:R52" si="3">Q49-$Q$47</f>
        <v>#VALUE!</v>
      </c>
    </row>
    <row r="50" spans="3:18" s="36" customFormat="1" ht="13.5" customHeight="1">
      <c r="C50" s="57">
        <f>Query!B11</f>
        <v>42103</v>
      </c>
      <c r="D50" s="59">
        <f>Query!C11</f>
        <v>0.64459292642165245</v>
      </c>
      <c r="E50" s="37">
        <f>Query!C11-Query!C15</f>
        <v>6.8998472036508773E-2</v>
      </c>
      <c r="F50" s="60">
        <f>Query!C11-Query!C24</f>
        <v>8.7915113602688999E-3</v>
      </c>
      <c r="G50" s="59">
        <f>Query!D11</f>
        <v>0.63179874985391804</v>
      </c>
      <c r="H50" s="37">
        <f>Query!D11-Query!D15</f>
        <v>0.11476503529378301</v>
      </c>
      <c r="I50" s="60">
        <f>Query!D11-Query!D24</f>
        <v>3.2481684269838995E-2</v>
      </c>
      <c r="J50" s="63">
        <f ca="1">Query!E11</f>
        <v>1804.6</v>
      </c>
      <c r="K50" s="38">
        <f ca="1">Query!E11-Query!E12</f>
        <v>-50.100000000000136</v>
      </c>
      <c r="L50" s="50">
        <f ca="1">Query!E11-Query!E24</f>
        <v>-466.90000000000009</v>
      </c>
      <c r="N50" s="49" t="s">
        <v>58</v>
      </c>
      <c r="O50" s="37">
        <f>'Function Of Rate'!N$17</f>
        <v>0</v>
      </c>
      <c r="P50" s="60">
        <f t="shared" si="2"/>
        <v>0</v>
      </c>
      <c r="Q50" s="69" t="str">
        <f>'Function Of Rate'!N$18</f>
        <v>+30 bps</v>
      </c>
      <c r="R50" s="60" t="e">
        <f t="shared" si="3"/>
        <v>#VALUE!</v>
      </c>
    </row>
    <row r="51" spans="3:18" s="36" customFormat="1" ht="13.5" customHeight="1" thickBot="1">
      <c r="C51" s="58">
        <f>Query!B12</f>
        <v>42096</v>
      </c>
      <c r="D51" s="61">
        <f>Query!C12</f>
        <v>0.62778439660000751</v>
      </c>
      <c r="E51" s="52">
        <f>Query!C12-Query!C16</f>
        <v>8.1151304381410494E-3</v>
      </c>
      <c r="F51" s="62">
        <f>Query!C12-Query!C25</f>
        <v>3.7056437298418454E-2</v>
      </c>
      <c r="G51" s="61">
        <f>Query!D12</f>
        <v>0.60618674833379105</v>
      </c>
      <c r="H51" s="52">
        <f>Query!D12-Query!D16</f>
        <v>2.2339208849301073E-2</v>
      </c>
      <c r="I51" s="62">
        <f>Query!D12-Query!D25</f>
        <v>6.9382594206447101E-2</v>
      </c>
      <c r="J51" s="64">
        <f ca="1">Query!E12</f>
        <v>1854.7</v>
      </c>
      <c r="K51" s="53">
        <f ca="1">Query!E12-Query!E13</f>
        <v>-86.899999999999864</v>
      </c>
      <c r="L51" s="54">
        <f ca="1">Query!E12-Query!E25</f>
        <v>507.10000000000014</v>
      </c>
      <c r="N51" s="49" t="s">
        <v>59</v>
      </c>
      <c r="O51" s="37">
        <f>'Function Of Rate'!O$17</f>
        <v>0</v>
      </c>
      <c r="P51" s="60">
        <f t="shared" si="2"/>
        <v>0</v>
      </c>
      <c r="Q51" s="69" t="str">
        <f>'Function Of Rate'!O$18</f>
        <v>+40 bps</v>
      </c>
      <c r="R51" s="60" t="e">
        <f t="shared" si="3"/>
        <v>#VALUE!</v>
      </c>
    </row>
    <row r="52" spans="3:18" ht="13.5" customHeight="1" thickBot="1">
      <c r="C52" s="42" t="s">
        <v>79</v>
      </c>
      <c r="H52"/>
      <c r="I52"/>
      <c r="J52"/>
      <c r="K52"/>
      <c r="N52" s="51" t="s">
        <v>60</v>
      </c>
      <c r="O52" s="52">
        <f>'Function Of Rate'!P$17</f>
        <v>0</v>
      </c>
      <c r="P52" s="62">
        <f t="shared" si="2"/>
        <v>0</v>
      </c>
      <c r="Q52" s="71" t="str">
        <f>'Function Of Rate'!P$18</f>
        <v>+50 bps</v>
      </c>
      <c r="R52" s="62" t="e">
        <f t="shared" si="3"/>
        <v>#VALUE!</v>
      </c>
    </row>
    <row r="53" spans="3:18" ht="12" customHeight="1">
      <c r="C53" s="42" t="s">
        <v>78</v>
      </c>
    </row>
    <row r="55" spans="3:18" ht="15">
      <c r="D55"/>
      <c r="E55"/>
      <c r="F55"/>
      <c r="G55"/>
      <c r="H55"/>
      <c r="I55"/>
    </row>
    <row r="56" spans="3:18" ht="15">
      <c r="D56"/>
      <c r="E56"/>
      <c r="F56"/>
      <c r="G56"/>
      <c r="H56"/>
      <c r="I56"/>
    </row>
    <row r="57" spans="3:18" ht="15">
      <c r="D57"/>
      <c r="E57"/>
      <c r="F57"/>
      <c r="G57"/>
      <c r="H57"/>
      <c r="I57"/>
    </row>
    <row r="58" spans="3:18" ht="15">
      <c r="D58"/>
      <c r="E58"/>
      <c r="F58"/>
      <c r="G58"/>
      <c r="H58"/>
      <c r="I58"/>
      <c r="J58" s="17"/>
    </row>
    <row r="59" spans="3:18" ht="15">
      <c r="D59"/>
      <c r="E59"/>
      <c r="F59"/>
      <c r="G59"/>
      <c r="H59"/>
      <c r="I59"/>
    </row>
    <row r="61" spans="3:18">
      <c r="D61" s="15"/>
      <c r="E61" s="16"/>
      <c r="F61" s="16"/>
      <c r="G61" s="17"/>
      <c r="H61" s="17"/>
      <c r="I61" s="17"/>
      <c r="J61" s="17"/>
    </row>
    <row r="81" spans="3:22" ht="15">
      <c r="C81" s="5" t="s">
        <v>18</v>
      </c>
      <c r="E81" s="26" t="s">
        <v>22</v>
      </c>
      <c r="F81" s="27">
        <f>Z56</f>
        <v>0</v>
      </c>
    </row>
    <row r="82" spans="3:22">
      <c r="C82" s="20" t="s">
        <v>0</v>
      </c>
      <c r="D82" s="21" t="s">
        <v>17</v>
      </c>
      <c r="E82" s="21" t="s">
        <v>14</v>
      </c>
      <c r="F82" s="22" t="s">
        <v>20</v>
      </c>
    </row>
    <row r="83" spans="3:22">
      <c r="C83" s="20">
        <v>1</v>
      </c>
      <c r="D83" s="23" t="e">
        <f t="array" ref="D83">VLOOKUP(C83&amp;$Z$9,IF({1,0},#REF!&amp;#REF!,#REF!),2,0)</f>
        <v>#N/A</v>
      </c>
      <c r="E83" s="24" t="e">
        <f t="array" ref="E83">VLOOKUP(C83&amp;$Z$9,IF({1,0},#REF!&amp;#REF!,#REF!),2,0)/VLOOKUP($Z$9,#REF!,2,0)</f>
        <v>#N/A</v>
      </c>
      <c r="F83" s="25" t="e">
        <f t="array" ref="F83">VLOOKUP(C83&amp;$Z$9,IF({1,0},#REF!&amp;#REF!,#REF!),2,0)/1000000</f>
        <v>#N/A</v>
      </c>
    </row>
    <row r="84" spans="3:22">
      <c r="C84" s="20">
        <v>2</v>
      </c>
      <c r="D84" s="23" t="e">
        <f t="array" ref="D84">VLOOKUP(C84&amp;$Z$9,IF({1,0},#REF!&amp;#REF!,#REF!),2,0)</f>
        <v>#N/A</v>
      </c>
      <c r="E84" s="24" t="e">
        <f t="array" ref="E84">VLOOKUP(C84&amp;$Z$9,IF({1,0},#REF!&amp;#REF!,#REF!),2,0)/VLOOKUP($Z$9,#REF!,2,0)</f>
        <v>#N/A</v>
      </c>
      <c r="F84" s="25" t="e">
        <f t="array" ref="F84">VLOOKUP(C84&amp;$Z$9,IF({1,0},#REF!&amp;#REF!,#REF!),2,0)/1000000</f>
        <v>#N/A</v>
      </c>
    </row>
    <row r="85" spans="3:22">
      <c r="C85" s="20">
        <v>3</v>
      </c>
      <c r="D85" s="23" t="e">
        <f t="array" ref="D85">VLOOKUP(C85&amp;$Z$9,IF({1,0},#REF!&amp;#REF!,#REF!),2,0)</f>
        <v>#N/A</v>
      </c>
      <c r="E85" s="24" t="e">
        <f t="array" ref="E85">VLOOKUP(C85&amp;$Z$9,IF({1,0},#REF!&amp;#REF!,#REF!),2,0)/VLOOKUP($Z$9,#REF!,2,0)</f>
        <v>#N/A</v>
      </c>
      <c r="F85" s="25" t="e">
        <f t="array" ref="F85">VLOOKUP(C85&amp;$Z$9,IF({1,0},#REF!&amp;#REF!,#REF!),2,0)/1000000</f>
        <v>#N/A</v>
      </c>
    </row>
    <row r="86" spans="3:22">
      <c r="C86" s="20">
        <v>4</v>
      </c>
      <c r="D86" s="23" t="e">
        <f t="array" ref="D86">VLOOKUP(C86&amp;$Z$9,IF({1,0},#REF!&amp;#REF!,#REF!),2,0)</f>
        <v>#N/A</v>
      </c>
      <c r="E86" s="24" t="e">
        <f t="array" ref="E86">VLOOKUP(C86&amp;$Z$9,IF({1,0},#REF!&amp;#REF!,#REF!),2,0)/VLOOKUP($Z$9,#REF!,2,0)</f>
        <v>#N/A</v>
      </c>
      <c r="F86" s="25" t="e">
        <f t="array" ref="F86">VLOOKUP(C86&amp;$Z$9,IF({1,0},#REF!&amp;#REF!,#REF!),2,0)/1000000</f>
        <v>#N/A</v>
      </c>
      <c r="P86" s="10" t="s">
        <v>11</v>
      </c>
      <c r="Q86" s="11" t="s">
        <v>7</v>
      </c>
      <c r="R86" s="11"/>
      <c r="S86" s="11"/>
      <c r="U86" s="11"/>
      <c r="V86" s="11"/>
    </row>
    <row r="87" spans="3:22">
      <c r="C87" s="20">
        <v>5</v>
      </c>
      <c r="D87" s="23" t="e">
        <f t="array" ref="D87">VLOOKUP(C87&amp;$Z$9,IF({1,0},#REF!&amp;#REF!,#REF!),2,0)</f>
        <v>#N/A</v>
      </c>
      <c r="E87" s="24" t="e">
        <f t="array" ref="E87">VLOOKUP(C87&amp;$Z$9,IF({1,0},#REF!&amp;#REF!,#REF!),2,0)/VLOOKUP($Z$9,#REF!,2,0)</f>
        <v>#N/A</v>
      </c>
      <c r="F87" s="25" t="e">
        <f t="array" ref="F87">VLOOKUP(C87&amp;$Z$9,IF({1,0},#REF!&amp;#REF!,#REF!),2,0)/1000000</f>
        <v>#N/A</v>
      </c>
      <c r="Q87" s="11" t="s">
        <v>8</v>
      </c>
      <c r="R87" s="11"/>
      <c r="S87" s="11"/>
      <c r="U87" s="11"/>
      <c r="V87" s="11"/>
    </row>
    <row r="88" spans="3:22">
      <c r="C88" s="20">
        <v>6</v>
      </c>
      <c r="D88" s="23" t="e">
        <f t="array" ref="D88">VLOOKUP(C88&amp;$Z$9,IF({1,0},#REF!&amp;#REF!,#REF!),2,0)</f>
        <v>#N/A</v>
      </c>
      <c r="E88" s="24" t="e">
        <f t="array" ref="E88">VLOOKUP(C88&amp;$Z$9,IF({1,0},#REF!&amp;#REF!,#REF!),2,0)/VLOOKUP($Z$9,#REF!,2,0)</f>
        <v>#N/A</v>
      </c>
      <c r="F88" s="25" t="e">
        <f t="array" ref="F88">VLOOKUP(C88&amp;$Z$9,IF({1,0},#REF!&amp;#REF!,#REF!),2,0)/1000000</f>
        <v>#N/A</v>
      </c>
      <c r="Q88" s="11" t="s">
        <v>9</v>
      </c>
      <c r="R88" s="11"/>
      <c r="S88" s="11"/>
      <c r="U88" s="11"/>
      <c r="V88" s="11"/>
    </row>
    <row r="89" spans="3:22">
      <c r="C89" s="20">
        <v>7</v>
      </c>
      <c r="D89" s="23" t="e">
        <f t="array" ref="D89">VLOOKUP(C89&amp;$Z$9,IF({1,0},#REF!&amp;#REF!,#REF!),2,0)</f>
        <v>#N/A</v>
      </c>
      <c r="E89" s="24" t="e">
        <f t="array" ref="E89">VLOOKUP(C89&amp;$Z$9,IF({1,0},#REF!&amp;#REF!,#REF!),2,0)/VLOOKUP($Z$9,#REF!,2,0)</f>
        <v>#N/A</v>
      </c>
      <c r="F89" s="25" t="e">
        <f t="array" ref="F89">VLOOKUP(C89&amp;$Z$9,IF({1,0},#REF!&amp;#REF!,#REF!),2,0)/1000000</f>
        <v>#N/A</v>
      </c>
      <c r="Q89" s="12" t="s">
        <v>10</v>
      </c>
      <c r="R89" s="12"/>
      <c r="S89" s="12"/>
      <c r="U89" s="12"/>
      <c r="V89" s="12"/>
    </row>
    <row r="90" spans="3:22">
      <c r="C90" s="20">
        <v>8</v>
      </c>
      <c r="D90" s="23" t="e">
        <f t="array" ref="D90">VLOOKUP(C90&amp;$Z$9,IF({1,0},#REF!&amp;#REF!,#REF!),2,0)</f>
        <v>#N/A</v>
      </c>
      <c r="E90" s="24" t="e">
        <f t="array" ref="E90">VLOOKUP(C90&amp;$Z$9,IF({1,0},#REF!&amp;#REF!,#REF!),2,0)/VLOOKUP($Z$9,#REF!,2,0)</f>
        <v>#N/A</v>
      </c>
      <c r="F90" s="25" t="e">
        <f t="array" ref="F90">VLOOKUP(C90&amp;$Z$9,IF({1,0},#REF!&amp;#REF!,#REF!),2,0)/1000000</f>
        <v>#N/A</v>
      </c>
    </row>
    <row r="91" spans="3:22">
      <c r="C91" s="20">
        <v>9</v>
      </c>
      <c r="D91" s="23" t="e">
        <f t="array" ref="D91">VLOOKUP(C91&amp;$Z$9,IF({1,0},#REF!&amp;#REF!,#REF!),2,0)</f>
        <v>#N/A</v>
      </c>
      <c r="E91" s="24" t="e">
        <f t="array" ref="E91">VLOOKUP(C91&amp;$Z$9,IF({1,0},#REF!&amp;#REF!,#REF!),2,0)/VLOOKUP($Z$9,#REF!,2,0)</f>
        <v>#N/A</v>
      </c>
      <c r="F91" s="25" t="e">
        <f t="array" ref="F91">VLOOKUP(C91&amp;$Z$9,IF({1,0},#REF!&amp;#REF!,#REF!),2,0)/1000000</f>
        <v>#N/A</v>
      </c>
    </row>
    <row r="92" spans="3:22">
      <c r="C92" s="20">
        <v>10</v>
      </c>
      <c r="D92" s="23" t="e">
        <f t="array" ref="D92">VLOOKUP(C92&amp;$Z$9,IF({1,0},#REF!&amp;#REF!,#REF!),2,0)</f>
        <v>#N/A</v>
      </c>
      <c r="E92" s="24" t="e">
        <f t="array" ref="E92">VLOOKUP(C92&amp;$Z$9,IF({1,0},#REF!&amp;#REF!,#REF!),2,0)/VLOOKUP($Z$9,#REF!,2,0)</f>
        <v>#N/A</v>
      </c>
      <c r="F92" s="25" t="e">
        <f t="array" ref="F92">VLOOKUP(C92&amp;$Z$9,IF({1,0},#REF!&amp;#REF!,#REF!),2,0)/1000000</f>
        <v>#N/A</v>
      </c>
    </row>
  </sheetData>
  <mergeCells count="5">
    <mergeCell ref="D40:F40"/>
    <mergeCell ref="G40:I40"/>
    <mergeCell ref="J40:L40"/>
    <mergeCell ref="O40:P40"/>
    <mergeCell ref="Q40:R40"/>
  </mergeCells>
  <conditionalFormatting sqref="E42:F51">
    <cfRule type="cellIs" dxfId="13" priority="19" operator="lessThan">
      <formula>0</formula>
    </cfRule>
  </conditionalFormatting>
  <conditionalFormatting sqref="H42:H51">
    <cfRule type="cellIs" dxfId="12" priority="18" operator="lessThan">
      <formula>0</formula>
    </cfRule>
  </conditionalFormatting>
  <conditionalFormatting sqref="K42:K51">
    <cfRule type="cellIs" dxfId="11" priority="17" operator="lessThan">
      <formula>0</formula>
    </cfRule>
  </conditionalFormatting>
  <conditionalFormatting sqref="I42:I51">
    <cfRule type="cellIs" dxfId="10" priority="16" operator="lessThan">
      <formula>0</formula>
    </cfRule>
  </conditionalFormatting>
  <conditionalFormatting sqref="L42:L51">
    <cfRule type="cellIs" dxfId="9" priority="15" operator="lessThan">
      <formula>0</formula>
    </cfRule>
  </conditionalFormatting>
  <conditionalFormatting sqref="D42:L51">
    <cfRule type="containsErrors" dxfId="8" priority="13">
      <formula>ISERROR(D42)</formula>
    </cfRule>
    <cfRule type="containsErrors" priority="14">
      <formula>ISERROR(D42)</formula>
    </cfRule>
  </conditionalFormatting>
  <conditionalFormatting sqref="P42:P52">
    <cfRule type="cellIs" dxfId="7" priority="12" operator="lessThan">
      <formula>0</formula>
    </cfRule>
  </conditionalFormatting>
  <conditionalFormatting sqref="P42:P52">
    <cfRule type="containsErrors" dxfId="6" priority="10">
      <formula>ISERROR(P42)</formula>
    </cfRule>
    <cfRule type="containsErrors" priority="11">
      <formula>ISERROR(P42)</formula>
    </cfRule>
  </conditionalFormatting>
  <conditionalFormatting sqref="O42:P42 O42:O52">
    <cfRule type="cellIs" dxfId="5" priority="9" operator="lessThan">
      <formula>0</formula>
    </cfRule>
  </conditionalFormatting>
  <conditionalFormatting sqref="O42:P42 O42:O52">
    <cfRule type="containsErrors" dxfId="4" priority="7">
      <formula>ISERROR(O42)</formula>
    </cfRule>
    <cfRule type="containsErrors" priority="8">
      <formula>ISERROR(O42)</formula>
    </cfRule>
  </conditionalFormatting>
  <conditionalFormatting sqref="Q42:R42 Q43:Q52">
    <cfRule type="containsErrors" dxfId="3" priority="1">
      <formula>ISERROR(Q42)</formula>
    </cfRule>
    <cfRule type="containsErrors" priority="2">
      <formula>ISERROR(Q42)</formula>
    </cfRule>
  </conditionalFormatting>
  <conditionalFormatting sqref="R42:R52">
    <cfRule type="cellIs" dxfId="2" priority="6" operator="lessThan">
      <formula>0</formula>
    </cfRule>
  </conditionalFormatting>
  <conditionalFormatting sqref="R42:R52">
    <cfRule type="containsErrors" dxfId="1" priority="4">
      <formula>ISERROR(R42)</formula>
    </cfRule>
    <cfRule type="containsErrors" priority="5">
      <formula>ISERROR(R42)</formula>
    </cfRule>
  </conditionalFormatting>
  <conditionalFormatting sqref="Q42:R42 Q43:Q52">
    <cfRule type="cellIs" dxfId="0" priority="3" operator="lessThan">
      <formula>0</formula>
    </cfRule>
  </conditionalFormatting>
  <dataValidations disablePrompts="1"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Q86" r:id="rId1" location="closeModal"/>
    <hyperlink ref="Q87" r:id="rId2"/>
    <hyperlink ref="Q89" r:id="rId3"/>
    <hyperlink ref="Q88" r:id="rId4" location="key-benefits"/>
  </hyperlinks>
  <pageMargins left="0.25" right="0.25" top="0.255" bottom="0.25" header="0.1" footer="0.1"/>
  <pageSetup scale="71" orientation="landscape" horizontalDpi="1200" verticalDpi="1200" r:id="rId5"/>
  <headerFooter scaleWithDoc="0">
    <oddHeader>&amp;L&amp;G&amp;C&amp;"-,Bold"&amp;10&amp;K2E398A
&amp;15Refinancible Universe&amp;R&amp;"-,Bold"&amp;10&amp;K2E398A
As of 06/07/2015</oddHeader>
    <oddFooter>&amp;L&amp;10&amp;K2E398AReport created on &amp;D &amp;T&amp;C&amp;G
&amp;8&amp;K2E398APage &amp;P of &amp;N</oddFooter>
  </headerFooter>
  <colBreaks count="1" manualBreakCount="1">
    <brk id="23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234"/>
  <sheetViews>
    <sheetView topLeftCell="A177" zoomScaleNormal="100" workbookViewId="0">
      <selection activeCell="AA17" sqref="AA17"/>
    </sheetView>
  </sheetViews>
  <sheetFormatPr defaultRowHeight="15"/>
  <cols>
    <col min="2" max="2" width="10.42578125" bestFit="1" customWidth="1"/>
    <col min="5" max="5" width="10.7109375" bestFit="1" customWidth="1"/>
    <col min="6" max="6" width="17.5703125" bestFit="1" customWidth="1"/>
    <col min="7" max="7" width="10.7109375" bestFit="1" customWidth="1"/>
    <col min="8" max="8" width="12.85546875" bestFit="1" customWidth="1"/>
    <col min="9" max="9" width="11.7109375" bestFit="1" customWidth="1"/>
  </cols>
  <sheetData>
    <row r="1" spans="2:12">
      <c r="B1" t="s">
        <v>29</v>
      </c>
      <c r="G1" t="s">
        <v>26</v>
      </c>
      <c r="K1" t="s">
        <v>37</v>
      </c>
    </row>
    <row r="2" spans="2:12">
      <c r="B2" s="6" t="s">
        <v>23</v>
      </c>
      <c r="C2" s="6" t="s">
        <v>24</v>
      </c>
      <c r="D2" s="6" t="s">
        <v>26</v>
      </c>
      <c r="E2" s="6" t="s">
        <v>31</v>
      </c>
      <c r="G2" t="s">
        <v>23</v>
      </c>
      <c r="H2" t="s">
        <v>25</v>
      </c>
      <c r="K2" s="6" t="s">
        <v>23</v>
      </c>
      <c r="L2" s="6" t="s">
        <v>25</v>
      </c>
    </row>
    <row r="3" spans="2:12">
      <c r="B3" s="18">
        <v>42159</v>
      </c>
      <c r="C3" s="30">
        <v>0.54411437418255881</v>
      </c>
      <c r="D3" s="30">
        <f>VLOOKUP(CurrentMtgRatesDataTable825[[#This Row],[asOfDate]],G:H,2,0)</f>
        <v>0.49151040605794738</v>
      </c>
      <c r="E3" s="34" t="e">
        <f ca="1">VLOOKUP(CurrentMtgRatesDataTable825[[#This Row],[asOfDate]]+1,Bloomberg!B:C,2,0)</f>
        <v>#N/A</v>
      </c>
      <c r="G3" s="1">
        <v>40549</v>
      </c>
      <c r="H3" s="33">
        <v>0.477996028899563</v>
      </c>
      <c r="K3" s="18"/>
      <c r="L3" s="31"/>
    </row>
    <row r="4" spans="2:12">
      <c r="B4" s="18">
        <v>42152</v>
      </c>
      <c r="C4" s="30">
        <v>0.54951676769042945</v>
      </c>
      <c r="D4" s="30">
        <f>VLOOKUP(CurrentMtgRatesDataTable825[[#This Row],[asOfDate]],G:H,2,0)</f>
        <v>0.49518214427458052</v>
      </c>
      <c r="E4" s="34">
        <f ca="1">VLOOKUP(CurrentMtgRatesDataTable825[[#This Row],[asOfDate]]+1,Bloomberg!B:C,2,0)</f>
        <v>1233.9000000000001</v>
      </c>
      <c r="G4" s="1">
        <v>40556</v>
      </c>
      <c r="H4" s="33">
        <v>0.49650185657562101</v>
      </c>
    </row>
    <row r="5" spans="2:12">
      <c r="B5" s="18">
        <v>42145</v>
      </c>
      <c r="C5" s="30">
        <v>0.55264936292906153</v>
      </c>
      <c r="D5" s="30">
        <f>VLOOKUP(CurrentMtgRatesDataTable825[[#This Row],[asOfDate]],G:H,2,0)</f>
        <v>0.49530657385961702</v>
      </c>
      <c r="E5" s="34">
        <f ca="1">VLOOKUP(CurrentMtgRatesDataTable825[[#This Row],[asOfDate]]+1,Bloomberg!B:C,2,0)</f>
        <v>1408.1</v>
      </c>
      <c r="G5" s="1">
        <v>40563</v>
      </c>
      <c r="H5" s="33">
        <v>0.48029569588235599</v>
      </c>
    </row>
    <row r="6" spans="2:12">
      <c r="B6" s="18">
        <v>42138</v>
      </c>
      <c r="C6" s="30">
        <v>0.56120232410101856</v>
      </c>
      <c r="D6" s="30">
        <f>VLOOKUP(CurrentMtgRatesDataTable825[[#This Row],[asOfDate]],G:H,2,0)</f>
        <v>0.52626041924754496</v>
      </c>
      <c r="E6" s="34">
        <f ca="1">VLOOKUP(CurrentMtgRatesDataTable825[[#This Row],[asOfDate]]+1,Bloomberg!B:C,2,0)</f>
        <v>1448.8</v>
      </c>
      <c r="G6" s="1">
        <v>40570</v>
      </c>
      <c r="H6" s="33">
        <v>0.47679593730615699</v>
      </c>
    </row>
    <row r="7" spans="2:12">
      <c r="B7" s="18">
        <v>42131</v>
      </c>
      <c r="C7" s="30">
        <v>0.58097914250817684</v>
      </c>
      <c r="D7" s="30">
        <f>VLOOKUP(CurrentMtgRatesDataTable825[[#This Row],[asOfDate]],G:H,2,0)</f>
        <v>0.53238458781035902</v>
      </c>
      <c r="E7" s="34">
        <f ca="1">VLOOKUP(CurrentMtgRatesDataTable825[[#This Row],[asOfDate]]+1,Bloomberg!B:C,2,0)</f>
        <v>1477.8</v>
      </c>
      <c r="G7" s="1">
        <v>40577</v>
      </c>
      <c r="H7" s="33">
        <v>0.43462013043084002</v>
      </c>
    </row>
    <row r="8" spans="2:12">
      <c r="B8" s="18">
        <v>42124</v>
      </c>
      <c r="C8" s="30">
        <v>0.63639402671923606</v>
      </c>
      <c r="D8" s="30">
        <f>VLOOKUP(CurrentMtgRatesDataTable825[[#This Row],[asOfDate]],G:H,2,0)</f>
        <v>0.608876308109219</v>
      </c>
      <c r="E8" s="34">
        <f ca="1">VLOOKUP(CurrentMtgRatesDataTable825[[#This Row],[asOfDate]]+1,Bloomberg!B:C,2,0)</f>
        <v>1559.4</v>
      </c>
      <c r="G8" s="1">
        <v>40584</v>
      </c>
      <c r="H8" s="33">
        <v>0.35529176669040102</v>
      </c>
    </row>
    <row r="9" spans="2:12">
      <c r="B9" s="18">
        <v>42117</v>
      </c>
      <c r="C9" s="30">
        <v>0.64951370522505292</v>
      </c>
      <c r="D9" s="30">
        <f>VLOOKUP(CurrentMtgRatesDataTable825[[#This Row],[asOfDate]],G:H,2,0)</f>
        <v>0.63350921207897204</v>
      </c>
      <c r="E9" s="34">
        <f ca="1">VLOOKUP(CurrentMtgRatesDataTable825[[#This Row],[asOfDate]]+1,Bloomberg!B:C,2,0)</f>
        <v>1723</v>
      </c>
      <c r="G9" s="1">
        <v>40591</v>
      </c>
      <c r="H9" s="33">
        <v>0.37678804128174298</v>
      </c>
    </row>
    <row r="10" spans="2:12">
      <c r="B10" s="18">
        <v>42110</v>
      </c>
      <c r="C10" s="30">
        <v>0.63055503904182508</v>
      </c>
      <c r="D10" s="30">
        <f>VLOOKUP(CurrentMtgRatesDataTable825[[#This Row],[asOfDate]],G:H,2,0)</f>
        <v>0.60745911385405604</v>
      </c>
      <c r="E10" s="34">
        <f ca="1">VLOOKUP(CurrentMtgRatesDataTable825[[#This Row],[asOfDate]]+1,Bloomberg!B:C,2,0)</f>
        <v>1817</v>
      </c>
      <c r="G10" s="1">
        <v>40598</v>
      </c>
      <c r="H10" s="33">
        <v>0.41551493659156002</v>
      </c>
    </row>
    <row r="11" spans="2:12">
      <c r="B11" s="18">
        <v>42103</v>
      </c>
      <c r="C11" s="30">
        <v>0.64459292642165245</v>
      </c>
      <c r="D11" s="30">
        <f>VLOOKUP(CurrentMtgRatesDataTable825[[#This Row],[asOfDate]],G:H,2,0)</f>
        <v>0.63179874985391804</v>
      </c>
      <c r="E11" s="34">
        <f ca="1">VLOOKUP(CurrentMtgRatesDataTable825[[#This Row],[asOfDate]]+1,Bloomberg!B:C,2,0)</f>
        <v>1804.6</v>
      </c>
      <c r="G11" s="1">
        <v>40605</v>
      </c>
      <c r="H11" s="33">
        <v>0.42215163100202302</v>
      </c>
    </row>
    <row r="12" spans="2:12">
      <c r="B12" s="18">
        <v>42096</v>
      </c>
      <c r="C12" s="30">
        <v>0.62778439660000751</v>
      </c>
      <c r="D12" s="30">
        <f>VLOOKUP(CurrentMtgRatesDataTable825[[#This Row],[asOfDate]],G:H,2,0)</f>
        <v>0.60618674833379105</v>
      </c>
      <c r="E12" s="34">
        <f ca="1">VLOOKUP(CurrentMtgRatesDataTable825[[#This Row],[asOfDate]]+1,Bloomberg!B:C,2,0)</f>
        <v>1854.7</v>
      </c>
      <c r="G12" s="1">
        <v>40612</v>
      </c>
      <c r="H12" s="33">
        <v>0.42124985629360401</v>
      </c>
    </row>
    <row r="13" spans="2:12">
      <c r="B13" s="18">
        <v>42089</v>
      </c>
      <c r="C13" s="30">
        <v>0.64195316325793905</v>
      </c>
      <c r="D13" s="30">
        <f>VLOOKUP(CurrentMtgRatesDataTable825[[#This Row],[asOfDate]],G:H,2,0)</f>
        <v>0.61985540937113104</v>
      </c>
      <c r="E13" s="34">
        <f ca="1">VLOOKUP(CurrentMtgRatesDataTable825[[#This Row],[asOfDate]]+1,Bloomberg!B:C,2,0)</f>
        <v>1941.6</v>
      </c>
      <c r="G13" s="1">
        <v>40619</v>
      </c>
      <c r="H13" s="33">
        <v>0.46784663358763601</v>
      </c>
    </row>
    <row r="14" spans="2:12">
      <c r="B14" s="18">
        <v>42082</v>
      </c>
      <c r="C14" s="30">
        <v>0.60937196228640689</v>
      </c>
      <c r="D14" s="30">
        <f>VLOOKUP(CurrentMtgRatesDataTable825[[#This Row],[asOfDate]],G:H,2,0)</f>
        <v>0.58146564562660097</v>
      </c>
      <c r="E14" s="34">
        <f ca="1">VLOOKUP(CurrentMtgRatesDataTable825[[#This Row],[asOfDate]]+1,Bloomberg!B:C,2,0)</f>
        <v>1860.8</v>
      </c>
      <c r="G14" s="1">
        <v>40626</v>
      </c>
      <c r="H14" s="33">
        <v>0.450158099668103</v>
      </c>
    </row>
    <row r="15" spans="2:12">
      <c r="B15" s="18">
        <v>42075</v>
      </c>
      <c r="C15" s="30">
        <v>0.57559445438514367</v>
      </c>
      <c r="D15" s="30">
        <f>VLOOKUP(CurrentMtgRatesDataTable825[[#This Row],[asOfDate]],G:H,2,0)</f>
        <v>0.51703371456013503</v>
      </c>
      <c r="E15" s="34">
        <f ca="1">VLOOKUP(CurrentMtgRatesDataTable825[[#This Row],[asOfDate]]+1,Bloomberg!B:C,2,0)</f>
        <v>1623.6</v>
      </c>
      <c r="G15" s="1">
        <v>40633</v>
      </c>
      <c r="H15" s="33">
        <v>0.42282958858632702</v>
      </c>
    </row>
    <row r="16" spans="2:12">
      <c r="B16" s="18">
        <v>42068</v>
      </c>
      <c r="C16" s="30">
        <v>0.61966926616186646</v>
      </c>
      <c r="D16" s="30">
        <f>VLOOKUP(CurrentMtgRatesDataTable825[[#This Row],[asOfDate]],G:H,2,0)</f>
        <v>0.58384753948448997</v>
      </c>
      <c r="E16" s="34">
        <f ca="1">VLOOKUP(CurrentMtgRatesDataTable825[[#This Row],[asOfDate]]+1,Bloomberg!B:C,2,0)</f>
        <v>1685.7</v>
      </c>
      <c r="G16" s="1">
        <v>40640</v>
      </c>
      <c r="H16" s="33">
        <v>0.414778538159287</v>
      </c>
    </row>
    <row r="17" spans="2:8">
      <c r="B17" s="18">
        <v>42061</v>
      </c>
      <c r="C17" s="30">
        <v>0.61098575112407738</v>
      </c>
      <c r="D17" s="30">
        <f>VLOOKUP(CurrentMtgRatesDataTable825[[#This Row],[asOfDate]],G:H,2,0)</f>
        <v>0.56144623129586702</v>
      </c>
      <c r="E17" s="34">
        <f ca="1">VLOOKUP(CurrentMtgRatesDataTable825[[#This Row],[asOfDate]]+1,Bloomberg!B:C,2,0)</f>
        <v>1740.3</v>
      </c>
      <c r="G17" s="1">
        <v>40647</v>
      </c>
      <c r="H17" s="33">
        <v>0.41340612440810998</v>
      </c>
    </row>
    <row r="18" spans="2:8">
      <c r="B18" s="18">
        <v>42054</v>
      </c>
      <c r="C18" s="30">
        <v>0.62651628119673453</v>
      </c>
      <c r="D18" s="30">
        <f>VLOOKUP(CurrentMtgRatesDataTable825[[#This Row],[asOfDate]],G:H,2,0)</f>
        <v>0.59003468905342005</v>
      </c>
      <c r="E18" s="34">
        <f ca="1">VLOOKUP(CurrentMtgRatesDataTable825[[#This Row],[asOfDate]]+1,Bloomberg!B:C,2,0)</f>
        <v>1703.1</v>
      </c>
      <c r="G18" s="1">
        <v>40654</v>
      </c>
      <c r="H18" s="33">
        <v>0.44381782258269298</v>
      </c>
    </row>
    <row r="19" spans="2:8">
      <c r="B19" s="18">
        <v>42047</v>
      </c>
      <c r="C19" s="30">
        <v>0.64890841265420796</v>
      </c>
      <c r="D19" s="30">
        <f>VLOOKUP(CurrentMtgRatesDataTable825[[#This Row],[asOfDate]],G:H,2,0)</f>
        <v>0.62719075850631201</v>
      </c>
      <c r="E19" s="34">
        <f ca="1">VLOOKUP(CurrentMtgRatesDataTable825[[#This Row],[asOfDate]]+1,Bloomberg!B:C,2,0)</f>
        <v>1904.2</v>
      </c>
      <c r="G19" s="1">
        <v>40661</v>
      </c>
      <c r="H19" s="33">
        <v>0.44565511936132601</v>
      </c>
    </row>
    <row r="20" spans="2:8">
      <c r="B20" s="18">
        <v>42040</v>
      </c>
      <c r="C20" s="30">
        <v>0.68438167594716182</v>
      </c>
      <c r="D20" s="30">
        <f>VLOOKUP(CurrentMtgRatesDataTable825[[#This Row],[asOfDate]],G:H,2,0)</f>
        <v>0.65455905311871299</v>
      </c>
      <c r="E20" s="34">
        <f ca="1">VLOOKUP(CurrentMtgRatesDataTable825[[#This Row],[asOfDate]]+1,Bloomberg!B:C,2,0)</f>
        <v>2291.3000000000002</v>
      </c>
      <c r="G20" s="1">
        <v>40668</v>
      </c>
      <c r="H20" s="33">
        <v>0.45891120103405703</v>
      </c>
    </row>
    <row r="21" spans="2:8">
      <c r="B21" s="18">
        <v>42033</v>
      </c>
      <c r="C21" s="30">
        <v>0.66264885680249008</v>
      </c>
      <c r="D21" s="30">
        <f>VLOOKUP(CurrentMtgRatesDataTable825[[#This Row],[asOfDate]],G:H,2,0)</f>
        <v>0.65582330233583797</v>
      </c>
      <c r="E21" s="34">
        <f ca="1">VLOOKUP(CurrentMtgRatesDataTable825[[#This Row],[asOfDate]]+1,Bloomberg!B:C,2,0)</f>
        <v>2584.8000000000002</v>
      </c>
      <c r="G21" s="1">
        <v>40675</v>
      </c>
      <c r="H21" s="33">
        <v>0.50042582297659</v>
      </c>
    </row>
    <row r="22" spans="2:8">
      <c r="B22" s="18">
        <v>42026</v>
      </c>
      <c r="C22" s="30">
        <v>0.66474126748702123</v>
      </c>
      <c r="D22" s="30">
        <f>VLOOKUP(CurrentMtgRatesDataTable825[[#This Row],[asOfDate]],G:H,2,0)</f>
        <v>0.65720471867066899</v>
      </c>
      <c r="E22" s="34">
        <f ca="1">VLOOKUP(CurrentMtgRatesDataTable825[[#This Row],[asOfDate]]+1,Bloomberg!B:C,2,0)</f>
        <v>2572.3000000000002</v>
      </c>
      <c r="G22" s="1">
        <v>40682</v>
      </c>
      <c r="H22" s="33">
        <v>0.50447592982476996</v>
      </c>
    </row>
    <row r="23" spans="2:8">
      <c r="B23" s="18">
        <v>42019</v>
      </c>
      <c r="C23" s="30">
        <v>0.66264885680249008</v>
      </c>
      <c r="D23" s="30">
        <f>VLOOKUP(CurrentMtgRatesDataTable825[[#This Row],[asOfDate]],G:H,2,0)</f>
        <v>0.65582330233583797</v>
      </c>
      <c r="E23" s="34">
        <f ca="1">VLOOKUP(CurrentMtgRatesDataTable825[[#This Row],[asOfDate]]+1,Bloomberg!B:C,2,0)</f>
        <v>2799.3</v>
      </c>
      <c r="G23" s="1">
        <v>40689</v>
      </c>
      <c r="H23" s="33">
        <v>0.50568534347274297</v>
      </c>
    </row>
    <row r="24" spans="2:8">
      <c r="B24" s="18">
        <v>42012</v>
      </c>
      <c r="C24" s="30">
        <v>0.63580141506138355</v>
      </c>
      <c r="D24" s="30">
        <f>VLOOKUP(CurrentMtgRatesDataTable825[[#This Row],[asOfDate]],G:H,2,0)</f>
        <v>0.59931706558407905</v>
      </c>
      <c r="E24" s="34">
        <f ca="1">VLOOKUP(CurrentMtgRatesDataTable825[[#This Row],[asOfDate]]+1,Bloomberg!B:C,2,0)</f>
        <v>2271.5</v>
      </c>
      <c r="G24" s="1">
        <v>40696</v>
      </c>
      <c r="H24" s="33">
        <v>0.53450860338875705</v>
      </c>
    </row>
    <row r="25" spans="2:8">
      <c r="B25" s="18">
        <v>42004</v>
      </c>
      <c r="C25" s="30">
        <v>0.59072795930158906</v>
      </c>
      <c r="D25" s="30">
        <f>VLOOKUP(CurrentMtgRatesDataTable825[[#This Row],[asOfDate]],G:H,2,0)</f>
        <v>0.53680415412734395</v>
      </c>
      <c r="E25" s="34">
        <f ca="1">VLOOKUP(CurrentMtgRatesDataTable825[[#This Row],[asOfDate]]+1,Bloomberg!B:C,2,0)</f>
        <v>1347.6</v>
      </c>
      <c r="G25" s="1">
        <v>40703</v>
      </c>
      <c r="H25" s="33">
        <v>0.55556126357331004</v>
      </c>
    </row>
    <row r="26" spans="2:8">
      <c r="B26" s="18">
        <v>41997</v>
      </c>
      <c r="C26" s="30">
        <v>0.60574636223541978</v>
      </c>
      <c r="D26" s="30">
        <f>VLOOKUP(CurrentMtgRatesDataTable825[[#This Row],[asOfDate]],G:H,2,0)</f>
        <v>0.57166642614489205</v>
      </c>
      <c r="E26" s="34">
        <f ca="1">VLOOKUP(CurrentMtgRatesDataTable825[[#This Row],[asOfDate]]+1,Bloomberg!B:C,2,0)</f>
        <v>1164.2</v>
      </c>
      <c r="G26" s="1">
        <v>40710</v>
      </c>
      <c r="H26" s="33">
        <v>0.55544034698333999</v>
      </c>
    </row>
    <row r="27" spans="2:8">
      <c r="B27" s="18">
        <v>41991</v>
      </c>
      <c r="C27" s="30">
        <v>0.6155496963810797</v>
      </c>
      <c r="D27" s="30">
        <f>VLOOKUP(CurrentMtgRatesDataTable825[[#This Row],[asOfDate]],G:H,2,0)</f>
        <v>0.57447022909045797</v>
      </c>
      <c r="E27" s="34">
        <f ca="1">VLOOKUP(CurrentMtgRatesDataTable825[[#This Row],[asOfDate]]+1,Bloomberg!B:C,2,0)</f>
        <v>1538.7</v>
      </c>
      <c r="G27" s="1">
        <v>40717</v>
      </c>
      <c r="H27" s="33">
        <v>0.53450860338875705</v>
      </c>
    </row>
    <row r="28" spans="2:8">
      <c r="B28" s="18">
        <v>41984</v>
      </c>
      <c r="C28" s="30">
        <v>0.5786710507683992</v>
      </c>
      <c r="D28" s="30">
        <f>VLOOKUP(CurrentMtgRatesDataTable825[[#This Row],[asOfDate]],G:H,2,0)</f>
        <v>0.53353274326337596</v>
      </c>
      <c r="E28" s="34">
        <f ca="1">VLOOKUP(CurrentMtgRatesDataTable825[[#This Row],[asOfDate]]+1,Bloomberg!B:C,2,0)</f>
        <v>1518.8</v>
      </c>
      <c r="G28" s="1">
        <v>40724</v>
      </c>
      <c r="H28" s="33">
        <v>0.55445082777023702</v>
      </c>
    </row>
    <row r="29" spans="2:8">
      <c r="B29" s="18">
        <v>41977</v>
      </c>
      <c r="C29" s="30">
        <v>0.59279776197128353</v>
      </c>
      <c r="D29" s="30">
        <f>VLOOKUP(CurrentMtgRatesDataTable825[[#This Row],[asOfDate]],G:H,2,0)</f>
        <v>0.53685925114667898</v>
      </c>
      <c r="E29" s="34">
        <f ca="1">VLOOKUP(CurrentMtgRatesDataTable825[[#This Row],[asOfDate]]+1,Bloomberg!B:C,2,0)</f>
        <v>1548.6</v>
      </c>
      <c r="G29" s="1">
        <v>40731</v>
      </c>
      <c r="H29" s="33">
        <v>0.49771283747510803</v>
      </c>
    </row>
    <row r="30" spans="2:8">
      <c r="B30" s="18">
        <v>41969</v>
      </c>
      <c r="C30" s="30">
        <v>0.57290983086857539</v>
      </c>
      <c r="D30" s="30">
        <f>VLOOKUP(CurrentMtgRatesDataTable825[[#This Row],[asOfDate]],G:H,2,0)</f>
        <v>0.51222876537846296</v>
      </c>
      <c r="E30" s="34" t="e">
        <f ca="1">VLOOKUP(CurrentMtgRatesDataTable825[[#This Row],[asOfDate]]+1,Bloomberg!B:C,2,0)</f>
        <v>#N/A</v>
      </c>
      <c r="G30" s="1">
        <v>40738</v>
      </c>
      <c r="H30" s="33">
        <v>0.55014388201104203</v>
      </c>
    </row>
    <row r="31" spans="2:8">
      <c r="B31" s="18">
        <v>41963</v>
      </c>
      <c r="C31" s="30">
        <v>0.56606721089043732</v>
      </c>
      <c r="D31" s="30">
        <f>VLOOKUP(CurrentMtgRatesDataTable825[[#This Row],[asOfDate]],G:H,2,0)</f>
        <v>0.51126312077979097</v>
      </c>
      <c r="E31" s="34">
        <f ca="1">VLOOKUP(CurrentMtgRatesDataTable825[[#This Row],[asOfDate]]+1,Bloomberg!B:C,2,0)</f>
        <v>1547.9</v>
      </c>
      <c r="G31" s="1">
        <v>40745</v>
      </c>
      <c r="H31" s="33">
        <v>0.53018048409344898</v>
      </c>
    </row>
    <row r="32" spans="2:8">
      <c r="B32" s="18">
        <v>41956</v>
      </c>
      <c r="C32" s="30">
        <v>0.55497671209744126</v>
      </c>
      <c r="D32" s="30">
        <f>VLOOKUP(CurrentMtgRatesDataTable825[[#This Row],[asOfDate]],G:H,2,0)</f>
        <v>0.47696082053878203</v>
      </c>
      <c r="E32" s="34">
        <f ca="1">VLOOKUP(CurrentMtgRatesDataTable825[[#This Row],[asOfDate]]+1,Bloomberg!B:C,2,0)</f>
        <v>1563.2</v>
      </c>
      <c r="G32" s="1">
        <v>40752</v>
      </c>
      <c r="H32" s="33">
        <v>0.52333294764067595</v>
      </c>
    </row>
    <row r="33" spans="2:8">
      <c r="B33" s="18">
        <v>41949</v>
      </c>
      <c r="C33" s="30">
        <v>0.54857982917990311</v>
      </c>
      <c r="D33" s="30">
        <f>VLOOKUP(CurrentMtgRatesDataTable825[[#This Row],[asOfDate]],G:H,2,0)</f>
        <v>0.47679161148246502</v>
      </c>
      <c r="E33" s="34">
        <f ca="1">VLOOKUP(CurrentMtgRatesDataTable825[[#This Row],[asOfDate]]+1,Bloomberg!B:C,2,0)</f>
        <v>1565.3</v>
      </c>
      <c r="G33" s="1">
        <v>40759</v>
      </c>
      <c r="H33" s="33">
        <v>0.59636201439054404</v>
      </c>
    </row>
    <row r="34" spans="2:8">
      <c r="B34" s="18">
        <v>41942</v>
      </c>
      <c r="C34" s="30">
        <v>0.57181297396619646</v>
      </c>
      <c r="D34" s="30">
        <f>VLOOKUP(CurrentMtgRatesDataTable825[[#This Row],[asOfDate]],G:H,2,0)</f>
        <v>0.519221652370358</v>
      </c>
      <c r="E34" s="34">
        <f ca="1">VLOOKUP(CurrentMtgRatesDataTable825[[#This Row],[asOfDate]]+1,Bloomberg!B:C,2,0)</f>
        <v>1604.8</v>
      </c>
      <c r="G34" s="1">
        <v>40766</v>
      </c>
      <c r="H34" s="33">
        <v>0.68796050816059295</v>
      </c>
    </row>
    <row r="35" spans="2:8">
      <c r="B35" s="18">
        <v>41935</v>
      </c>
      <c r="C35" s="30">
        <v>0.58745733896979668</v>
      </c>
      <c r="D35" s="30">
        <f>VLOOKUP(CurrentMtgRatesDataTable825[[#This Row],[asOfDate]],G:H,2,0)</f>
        <v>0.54838604953283498</v>
      </c>
      <c r="E35" s="34">
        <f ca="1">VLOOKUP(CurrentMtgRatesDataTable825[[#This Row],[asOfDate]]+1,Bloomberg!B:C,2,0)</f>
        <v>1713.6</v>
      </c>
      <c r="G35" s="1">
        <v>40773</v>
      </c>
      <c r="H35" s="33">
        <v>0.76968967049094095</v>
      </c>
    </row>
    <row r="36" spans="2:8">
      <c r="B36" s="18">
        <v>41928</v>
      </c>
      <c r="C36" s="30">
        <v>0.57517284737260799</v>
      </c>
      <c r="D36" s="30">
        <f>VLOOKUP(CurrentMtgRatesDataTable825[[#This Row],[asOfDate]],G:H,2,0)</f>
        <v>0.51982909302980596</v>
      </c>
      <c r="E36" s="34">
        <f ca="1">VLOOKUP(CurrentMtgRatesDataTable825[[#This Row],[asOfDate]]+1,Bloomberg!B:C,2,0)</f>
        <v>1898.2</v>
      </c>
      <c r="G36" s="1">
        <v>40780</v>
      </c>
      <c r="H36" s="33">
        <v>0.73013076231760698</v>
      </c>
    </row>
    <row r="37" spans="2:8">
      <c r="B37" s="18">
        <v>41921</v>
      </c>
      <c r="C37" s="30">
        <v>0.47165449273347226</v>
      </c>
      <c r="D37" s="30">
        <f>VLOOKUP(CurrentMtgRatesDataTable825[[#This Row],[asOfDate]],G:H,2,0)</f>
        <v>0.45168042618119703</v>
      </c>
      <c r="E37" s="34">
        <f ca="1">VLOOKUP(CurrentMtgRatesDataTable825[[#This Row],[asOfDate]]+1,Bloomberg!B:C,2,0)</f>
        <v>1560.6</v>
      </c>
      <c r="G37" s="1">
        <v>40787</v>
      </c>
      <c r="H37" s="33">
        <v>0.72518805605942505</v>
      </c>
    </row>
    <row r="38" spans="2:8">
      <c r="B38" s="18">
        <v>41914</v>
      </c>
      <c r="C38" s="30">
        <v>0.43232059685066798</v>
      </c>
      <c r="D38" s="30">
        <f>VLOOKUP(CurrentMtgRatesDataTable825[[#This Row],[asOfDate]],G:H,2,0)</f>
        <v>0.419925946793896</v>
      </c>
      <c r="E38" s="34">
        <f ca="1">VLOOKUP(CurrentMtgRatesDataTable825[[#This Row],[asOfDate]]+1,Bloomberg!B:C,2,0)</f>
        <v>1387.1</v>
      </c>
      <c r="G38" s="1">
        <v>40794</v>
      </c>
      <c r="H38" s="33">
        <v>0.78586619764471199</v>
      </c>
    </row>
    <row r="39" spans="2:8">
      <c r="B39" s="18">
        <v>41907</v>
      </c>
      <c r="C39" s="30">
        <v>0.41373230170663788</v>
      </c>
      <c r="D39" s="30">
        <f>VLOOKUP(CurrentMtgRatesDataTable825[[#This Row],[asOfDate]],G:H,2,0)</f>
        <v>0.40569534905697002</v>
      </c>
      <c r="E39" s="34">
        <f ca="1">VLOOKUP(CurrentMtgRatesDataTable825[[#This Row],[asOfDate]]+1,Bloomberg!B:C,2,0)</f>
        <v>1326.2</v>
      </c>
      <c r="G39" s="1">
        <v>40801</v>
      </c>
      <c r="H39" s="33">
        <v>0.78804143101353397</v>
      </c>
    </row>
    <row r="40" spans="2:8">
      <c r="B40" s="18">
        <v>41900</v>
      </c>
      <c r="C40" s="30">
        <v>0.3981672862675662</v>
      </c>
      <c r="D40" s="30">
        <f>VLOOKUP(CurrentMtgRatesDataTable825[[#This Row],[asOfDate]],G:H,2,0)</f>
        <v>0.403775681059653</v>
      </c>
      <c r="E40" s="34">
        <f ca="1">VLOOKUP(CurrentMtgRatesDataTable825[[#This Row],[asOfDate]]+1,Bloomberg!B:C,2,0)</f>
        <v>1335.1</v>
      </c>
      <c r="G40" s="1">
        <v>40808</v>
      </c>
      <c r="H40" s="33">
        <v>0.78804143101353397</v>
      </c>
    </row>
    <row r="41" spans="2:8">
      <c r="B41" s="18">
        <v>41893</v>
      </c>
      <c r="C41" s="30">
        <v>0.4741591952243816</v>
      </c>
      <c r="D41" s="30">
        <f>VLOOKUP(CurrentMtgRatesDataTable825[[#This Row],[asOfDate]],G:H,2,0)</f>
        <v>0.45995272695767497</v>
      </c>
      <c r="E41" s="34">
        <f ca="1">VLOOKUP(CurrentMtgRatesDataTable825[[#This Row],[asOfDate]]+1,Bloomberg!B:C,2,0)</f>
        <v>1398.4</v>
      </c>
      <c r="G41" s="1">
        <v>40815</v>
      </c>
      <c r="H41" s="33">
        <v>0.83535228019697605</v>
      </c>
    </row>
    <row r="42" spans="2:8">
      <c r="B42" s="18">
        <v>41886</v>
      </c>
      <c r="C42" s="30">
        <v>0.4873264191007175</v>
      </c>
      <c r="D42" s="30">
        <f>VLOOKUP(CurrentMtgRatesDataTable825[[#This Row],[asOfDate]],G:H,2,0)</f>
        <v>0.46145357757128402</v>
      </c>
      <c r="E42" s="34">
        <f ca="1">VLOOKUP(CurrentMtgRatesDataTable825[[#This Row],[asOfDate]]+1,Bloomberg!B:C,2,0)</f>
        <v>1275.8</v>
      </c>
      <c r="G42" s="1">
        <v>40822</v>
      </c>
      <c r="H42" s="33">
        <v>0.82324225699227804</v>
      </c>
    </row>
    <row r="43" spans="2:8">
      <c r="B43" s="18">
        <v>41879</v>
      </c>
      <c r="C43" s="30">
        <v>0.49084413664233395</v>
      </c>
      <c r="D43" s="30">
        <f>VLOOKUP(CurrentMtgRatesDataTable825[[#This Row],[asOfDate]],G:H,2,0)</f>
        <v>0.46725416935729103</v>
      </c>
      <c r="E43" s="34">
        <f ca="1">VLOOKUP(CurrentMtgRatesDataTable825[[#This Row],[asOfDate]]+1,Bloomberg!B:C,2,0)</f>
        <v>1436</v>
      </c>
      <c r="G43" s="1">
        <v>40829</v>
      </c>
      <c r="H43" s="33">
        <v>0.75043074974252599</v>
      </c>
    </row>
    <row r="44" spans="2:8">
      <c r="B44" s="18">
        <v>41872</v>
      </c>
      <c r="C44" s="30">
        <v>0.49084413664233395</v>
      </c>
      <c r="D44" s="30">
        <f>VLOOKUP(CurrentMtgRatesDataTable825[[#This Row],[asOfDate]],G:H,2,0)</f>
        <v>0.46725416935729103</v>
      </c>
      <c r="E44" s="34">
        <f ca="1">VLOOKUP(CurrentMtgRatesDataTable825[[#This Row],[asOfDate]]+1,Bloomberg!B:C,2,0)</f>
        <v>1439.4</v>
      </c>
      <c r="G44" s="1">
        <v>40836</v>
      </c>
      <c r="H44" s="33">
        <v>0.76889855223368597</v>
      </c>
    </row>
    <row r="45" spans="2:8">
      <c r="B45" s="18">
        <v>41865</v>
      </c>
      <c r="C45" s="30">
        <v>0.45575254137027688</v>
      </c>
      <c r="D45" s="30">
        <f>VLOOKUP(CurrentMtgRatesDataTable825[[#This Row],[asOfDate]],G:H,2,0)</f>
        <v>0.437009219217877</v>
      </c>
      <c r="E45" s="34">
        <f ca="1">VLOOKUP(CurrentMtgRatesDataTable825[[#This Row],[asOfDate]]+1,Bloomberg!B:C,2,0)</f>
        <v>1404.9</v>
      </c>
      <c r="G45" s="1">
        <v>40843</v>
      </c>
      <c r="H45" s="33">
        <v>0.77033919514702098</v>
      </c>
    </row>
    <row r="46" spans="2:8">
      <c r="B46" s="18">
        <v>41858</v>
      </c>
      <c r="C46" s="30">
        <v>0.42413376349642812</v>
      </c>
      <c r="D46" s="30">
        <f>VLOOKUP(CurrentMtgRatesDataTable825[[#This Row],[asOfDate]],G:H,2,0)</f>
        <v>0.41284557270170602</v>
      </c>
      <c r="E46" s="34">
        <f ca="1">VLOOKUP(CurrentMtgRatesDataTable825[[#This Row],[asOfDate]]+1,Bloomberg!B:C,2,0)</f>
        <v>1342.6</v>
      </c>
      <c r="G46" s="1">
        <v>40850</v>
      </c>
      <c r="H46" s="33">
        <v>0.80719780316763601</v>
      </c>
    </row>
    <row r="47" spans="2:8">
      <c r="B47" s="18">
        <v>41851</v>
      </c>
      <c r="C47" s="30">
        <v>0.45923072088835232</v>
      </c>
      <c r="D47" s="30">
        <f>VLOOKUP(CurrentMtgRatesDataTable825[[#This Row],[asOfDate]],G:H,2,0)</f>
        <v>0.44366576481104603</v>
      </c>
      <c r="E47" s="34">
        <f ca="1">VLOOKUP(CurrentMtgRatesDataTable825[[#This Row],[asOfDate]]+1,Bloomberg!B:C,2,0)</f>
        <v>1373.9</v>
      </c>
      <c r="G47" s="1">
        <v>40857</v>
      </c>
      <c r="H47" s="33">
        <v>0.80724570771905702</v>
      </c>
    </row>
    <row r="48" spans="2:8">
      <c r="B48" s="18">
        <v>41844</v>
      </c>
      <c r="C48" s="30">
        <v>0.45155296827836544</v>
      </c>
      <c r="D48" s="30">
        <f>VLOOKUP(CurrentMtgRatesDataTable825[[#This Row],[asOfDate]],G:H,2,0)</f>
        <v>0.44241787954298001</v>
      </c>
      <c r="E48" s="34">
        <f ca="1">VLOOKUP(CurrentMtgRatesDataTable825[[#This Row],[asOfDate]]+1,Bloomberg!B:C,2,0)</f>
        <v>1327.5</v>
      </c>
      <c r="G48" s="1">
        <v>40864</v>
      </c>
      <c r="H48" s="33">
        <v>0.80719780316763601</v>
      </c>
    </row>
    <row r="49" spans="2:8">
      <c r="B49" s="18">
        <v>41837</v>
      </c>
      <c r="C49" s="30">
        <v>0.45155296827836544</v>
      </c>
      <c r="D49" s="30">
        <f>VLOOKUP(CurrentMtgRatesDataTable825[[#This Row],[asOfDate]],G:H,2,0)</f>
        <v>0.44241787954298001</v>
      </c>
      <c r="E49" s="34">
        <f ca="1">VLOOKUP(CurrentMtgRatesDataTable825[[#This Row],[asOfDate]]+1,Bloomberg!B:C,2,0)</f>
        <v>1400.7</v>
      </c>
      <c r="G49" s="1">
        <v>40870</v>
      </c>
      <c r="H49" s="33">
        <v>0.80850149462655696</v>
      </c>
    </row>
    <row r="50" spans="2:8">
      <c r="B50" s="18">
        <v>41830</v>
      </c>
      <c r="C50" s="30">
        <v>0.42147742037560049</v>
      </c>
      <c r="D50" s="30">
        <f>VLOOKUP(CurrentMtgRatesDataTable825[[#This Row],[asOfDate]],G:H,2,0)</f>
        <v>0.41926854513922601</v>
      </c>
      <c r="E50" s="34">
        <f ca="1">VLOOKUP(CurrentMtgRatesDataTable825[[#This Row],[asOfDate]]+1,Bloomberg!B:C,2,0)</f>
        <v>1329.7</v>
      </c>
      <c r="G50" s="1">
        <v>40878</v>
      </c>
      <c r="H50" s="33">
        <v>0.79441104681633201</v>
      </c>
    </row>
    <row r="51" spans="2:8">
      <c r="B51" s="18">
        <v>41823</v>
      </c>
      <c r="C51" s="30">
        <v>0.48178321750260522</v>
      </c>
      <c r="D51" s="30">
        <f>VLOOKUP(CurrentMtgRatesDataTable825[[#This Row],[asOfDate]],G:H,2,0)</f>
        <v>0.47241973099249801</v>
      </c>
      <c r="E51" s="34">
        <f ca="1">VLOOKUP(CurrentMtgRatesDataTable825[[#This Row],[asOfDate]]+1,Bloomberg!B:C,2,0)</f>
        <v>1346.8</v>
      </c>
      <c r="G51" s="1">
        <v>40885</v>
      </c>
      <c r="H51" s="33">
        <v>0.79445840936885304</v>
      </c>
    </row>
    <row r="52" spans="2:8">
      <c r="B52" s="18">
        <v>41816</v>
      </c>
      <c r="C52" s="30">
        <v>0.46847875373528863</v>
      </c>
      <c r="D52" s="30">
        <f>VLOOKUP(CurrentMtgRatesDataTable825[[#This Row],[asOfDate]],G:H,2,0)</f>
        <v>0.447997908024105</v>
      </c>
      <c r="E52" s="34">
        <f ca="1">VLOOKUP(CurrentMtgRatesDataTable825[[#This Row],[asOfDate]]+1,Bloomberg!B:C,2,0)</f>
        <v>1341.8</v>
      </c>
      <c r="G52" s="1">
        <v>40892</v>
      </c>
      <c r="H52" s="33">
        <v>0.79646175435893696</v>
      </c>
    </row>
    <row r="53" spans="2:8">
      <c r="B53" s="18">
        <v>41809</v>
      </c>
      <c r="C53" s="30">
        <v>0.42635938692148717</v>
      </c>
      <c r="D53" s="30">
        <f>VLOOKUP(CurrentMtgRatesDataTable825[[#This Row],[asOfDate]],G:H,2,0)</f>
        <v>0.42434402519227898</v>
      </c>
      <c r="E53" s="34">
        <f ca="1">VLOOKUP(CurrentMtgRatesDataTable825[[#This Row],[asOfDate]]+1,Bloomberg!B:C,2,0)</f>
        <v>1333.5</v>
      </c>
      <c r="G53" s="1">
        <v>40899</v>
      </c>
      <c r="H53" s="33">
        <v>0.82537040355923197</v>
      </c>
    </row>
    <row r="54" spans="2:8">
      <c r="B54" s="18">
        <v>41802</v>
      </c>
      <c r="C54" s="30">
        <v>0.41096738430920449</v>
      </c>
      <c r="D54" s="30">
        <f>VLOOKUP(CurrentMtgRatesDataTable825[[#This Row],[asOfDate]],G:H,2,0)</f>
        <v>0.42258598579352902</v>
      </c>
      <c r="E54" s="34">
        <f ca="1">VLOOKUP(CurrentMtgRatesDataTable825[[#This Row],[asOfDate]]+1,Bloomberg!B:C,2,0)</f>
        <v>1321.3</v>
      </c>
      <c r="G54" s="1">
        <v>40906</v>
      </c>
      <c r="H54" s="33">
        <v>0.81734633197465201</v>
      </c>
    </row>
    <row r="55" spans="2:8">
      <c r="B55" s="18">
        <v>41795</v>
      </c>
      <c r="C55" s="30">
        <v>0.46847875373528863</v>
      </c>
      <c r="D55" s="30">
        <f>VLOOKUP(CurrentMtgRatesDataTable825[[#This Row],[asOfDate]],G:H,2,0)</f>
        <v>0.447997908024105</v>
      </c>
      <c r="E55" s="34">
        <f ca="1">VLOOKUP(CurrentMtgRatesDataTable825[[#This Row],[asOfDate]]+1,Bloomberg!B:C,2,0)</f>
        <v>1516.9</v>
      </c>
      <c r="G55" s="1">
        <v>40913</v>
      </c>
      <c r="H55" s="33">
        <v>0.80629912189469399</v>
      </c>
    </row>
    <row r="56" spans="2:8">
      <c r="B56" s="18">
        <v>41788</v>
      </c>
      <c r="C56" s="30">
        <v>0.46362020494951672</v>
      </c>
      <c r="D56" s="30">
        <f>VLOOKUP(CurrentMtgRatesDataTable825[[#This Row],[asOfDate]],G:H,2,0)</f>
        <v>0.44740081291084099</v>
      </c>
      <c r="E56" s="34">
        <f ca="1">VLOOKUP(CurrentMtgRatesDataTable825[[#This Row],[asOfDate]]+1,Bloomberg!B:C,2,0)</f>
        <v>1382.6</v>
      </c>
      <c r="G56" s="1">
        <v>40920</v>
      </c>
      <c r="H56" s="33">
        <v>0.81626218699844599</v>
      </c>
    </row>
    <row r="57" spans="2:8">
      <c r="B57" s="18">
        <v>41781</v>
      </c>
      <c r="C57" s="30">
        <v>0.44799454346559853</v>
      </c>
      <c r="D57" s="30">
        <f>VLOOKUP(CurrentMtgRatesDataTable825[[#This Row],[asOfDate]],G:H,2,0)</f>
        <v>0.44562837110466802</v>
      </c>
      <c r="E57" s="34">
        <f ca="1">VLOOKUP(CurrentMtgRatesDataTable825[[#This Row],[asOfDate]]+1,Bloomberg!B:C,2,0)</f>
        <v>1453.4</v>
      </c>
      <c r="G57" s="1">
        <v>40927</v>
      </c>
      <c r="H57" s="33">
        <v>0.81461584859780101</v>
      </c>
    </row>
    <row r="58" spans="2:8">
      <c r="B58" s="18">
        <v>41774</v>
      </c>
      <c r="C58" s="30">
        <v>0.4132153406951769</v>
      </c>
      <c r="D58" s="30">
        <f>VLOOKUP(CurrentMtgRatesDataTable825[[#This Row],[asOfDate]],G:H,2,0)</f>
        <v>0.42349289634896597</v>
      </c>
      <c r="E58" s="34">
        <f ca="1">VLOOKUP(CurrentMtgRatesDataTable825[[#This Row],[asOfDate]]+1,Bloomberg!B:C,2,0)</f>
        <v>1460.6</v>
      </c>
      <c r="G58" s="1">
        <v>40934</v>
      </c>
      <c r="H58" s="33">
        <v>0.78339393568549298</v>
      </c>
    </row>
    <row r="59" spans="2:8">
      <c r="B59" s="18">
        <v>41767</v>
      </c>
      <c r="C59" s="30">
        <v>0.40975674753773905</v>
      </c>
      <c r="D59" s="30">
        <f>VLOOKUP(CurrentMtgRatesDataTable825[[#This Row],[asOfDate]],G:H,2,0)</f>
        <v>0.42315654967107302</v>
      </c>
      <c r="E59" s="34">
        <f ca="1">VLOOKUP(CurrentMtgRatesDataTable825[[#This Row],[asOfDate]]+1,Bloomberg!B:C,2,0)</f>
        <v>1400.9</v>
      </c>
      <c r="G59" s="1">
        <v>40941</v>
      </c>
      <c r="H59" s="33">
        <v>0.79842547980239797</v>
      </c>
    </row>
    <row r="60" spans="2:8">
      <c r="B60" s="18">
        <v>41760</v>
      </c>
      <c r="C60" s="30">
        <v>0.37360583835556432</v>
      </c>
      <c r="D60" s="30">
        <f>VLOOKUP(CurrentMtgRatesDataTable825[[#This Row],[asOfDate]],G:H,2,0)</f>
        <v>0.37348002875422498</v>
      </c>
      <c r="E60" s="34">
        <f ca="1">VLOOKUP(CurrentMtgRatesDataTable825[[#This Row],[asOfDate]]+1,Bloomberg!B:C,2,0)</f>
        <v>1323.9</v>
      </c>
      <c r="G60" s="1">
        <v>40948</v>
      </c>
      <c r="H60" s="33">
        <v>0.79842547980239797</v>
      </c>
    </row>
    <row r="61" spans="2:8">
      <c r="B61" s="18">
        <v>41753</v>
      </c>
      <c r="C61" s="30">
        <v>0.37393962817107157</v>
      </c>
      <c r="D61" s="30">
        <f>VLOOKUP(CurrentMtgRatesDataTable825[[#This Row],[asOfDate]],G:H,2,0)</f>
        <v>0.37394334466633</v>
      </c>
      <c r="E61" s="34">
        <f ca="1">VLOOKUP(CurrentMtgRatesDataTable825[[#This Row],[asOfDate]]+1,Bloomberg!B:C,2,0)</f>
        <v>1298.0999999999999</v>
      </c>
      <c r="G61" s="1">
        <v>40955</v>
      </c>
      <c r="H61" s="33">
        <v>0.79842547980239797</v>
      </c>
    </row>
    <row r="62" spans="2:8">
      <c r="B62" s="18">
        <v>41746</v>
      </c>
      <c r="C62" s="30">
        <v>0.38166972699665563</v>
      </c>
      <c r="D62" s="30">
        <f>VLOOKUP(CurrentMtgRatesDataTable825[[#This Row],[asOfDate]],G:H,2,0)</f>
        <v>0.37550642358643799</v>
      </c>
      <c r="E62" s="34">
        <f ca="1">VLOOKUP(CurrentMtgRatesDataTable825[[#This Row],[asOfDate]]+1,Bloomberg!B:C,2,0)</f>
        <v>1370.9</v>
      </c>
      <c r="G62" s="1">
        <v>40962</v>
      </c>
      <c r="H62" s="33">
        <v>0.76669716579457303</v>
      </c>
    </row>
    <row r="63" spans="2:8">
      <c r="B63" s="18">
        <v>41739</v>
      </c>
      <c r="C63" s="30">
        <v>0.36683376695248865</v>
      </c>
      <c r="D63" s="30">
        <f>VLOOKUP(CurrentMtgRatesDataTable825[[#This Row],[asOfDate]],G:H,2,0)</f>
        <v>0.34451093908200903</v>
      </c>
      <c r="E63" s="34">
        <f ca="1">VLOOKUP(CurrentMtgRatesDataTable825[[#This Row],[asOfDate]]+1,Bloomberg!B:C,2,0)</f>
        <v>1429.9</v>
      </c>
      <c r="G63" s="1">
        <v>40969</v>
      </c>
      <c r="H63" s="33">
        <v>0.77480777056815697</v>
      </c>
    </row>
    <row r="64" spans="2:8">
      <c r="B64" s="18">
        <v>41732</v>
      </c>
      <c r="C64" s="30">
        <v>0.35521926568999218</v>
      </c>
      <c r="D64" s="30">
        <f>VLOOKUP(CurrentMtgRatesDataTable825[[#This Row],[asOfDate]],G:H,2,0)</f>
        <v>0.31383635422742501</v>
      </c>
      <c r="E64" s="34">
        <f ca="1">VLOOKUP(CurrentMtgRatesDataTable825[[#This Row],[asOfDate]]+1,Bloomberg!B:C,2,0)</f>
        <v>1324.7</v>
      </c>
      <c r="G64" s="1">
        <v>40976</v>
      </c>
      <c r="H64" s="33">
        <v>0.78283886771012201</v>
      </c>
    </row>
    <row r="65" spans="2:8">
      <c r="B65" s="18">
        <v>41725</v>
      </c>
      <c r="C65" s="30">
        <v>0.36565400061256043</v>
      </c>
      <c r="D65" s="30">
        <f>VLOOKUP(CurrentMtgRatesDataTable825[[#This Row],[asOfDate]],G:H,2,0)</f>
        <v>0.34373332978073601</v>
      </c>
      <c r="E65" s="34">
        <f ca="1">VLOOKUP(CurrentMtgRatesDataTable825[[#This Row],[asOfDate]]+1,Bloomberg!B:C,2,0)</f>
        <v>1383.5</v>
      </c>
      <c r="G65" s="1">
        <v>40983</v>
      </c>
      <c r="H65" s="33">
        <v>0.77421402081353796</v>
      </c>
    </row>
    <row r="66" spans="2:8">
      <c r="B66" s="18">
        <v>41718</v>
      </c>
      <c r="C66" s="30">
        <v>0.38030249532079374</v>
      </c>
      <c r="D66" s="30">
        <f>VLOOKUP(CurrentMtgRatesDataTable825[[#This Row],[asOfDate]],G:H,2,0)</f>
        <v>0.37475184713589199</v>
      </c>
      <c r="E66" s="34">
        <f ca="1">VLOOKUP(CurrentMtgRatesDataTable825[[#This Row],[asOfDate]]+1,Bloomberg!B:C,2,0)</f>
        <v>1426.3</v>
      </c>
      <c r="G66" s="1">
        <v>40990</v>
      </c>
      <c r="H66" s="33">
        <v>0.69937061468571404</v>
      </c>
    </row>
    <row r="67" spans="2:8">
      <c r="B67" s="18">
        <v>41711</v>
      </c>
      <c r="C67" s="30">
        <v>0.36933430427665681</v>
      </c>
      <c r="D67" s="30">
        <f>VLOOKUP(CurrentMtgRatesDataTable825[[#This Row],[asOfDate]],G:H,2,0)</f>
        <v>0.34537825411835699</v>
      </c>
      <c r="E67" s="34">
        <f ca="1">VLOOKUP(CurrentMtgRatesDataTable825[[#This Row],[asOfDate]]+1,Bloomberg!B:C,2,0)</f>
        <v>1552.1</v>
      </c>
      <c r="G67" s="1">
        <v>40997</v>
      </c>
      <c r="H67" s="33">
        <v>0.749723434167341</v>
      </c>
    </row>
    <row r="68" spans="2:8">
      <c r="B68" s="18">
        <v>41704</v>
      </c>
      <c r="C68" s="30">
        <v>0.38316963725836589</v>
      </c>
      <c r="D68" s="30">
        <f>VLOOKUP(CurrentMtgRatesDataTable825[[#This Row],[asOfDate]],G:H,2,0)</f>
        <v>0.37584545219724702</v>
      </c>
      <c r="E68" s="34">
        <f ca="1">VLOOKUP(CurrentMtgRatesDataTable825[[#This Row],[asOfDate]]+1,Bloomberg!B:C,2,0)</f>
        <v>1528</v>
      </c>
      <c r="G68" s="1">
        <v>41004</v>
      </c>
      <c r="H68" s="33">
        <v>0.75253147533014197</v>
      </c>
    </row>
    <row r="69" spans="2:8">
      <c r="B69" s="18">
        <v>41697</v>
      </c>
      <c r="C69" s="30">
        <v>0.36967404481869215</v>
      </c>
      <c r="D69" s="30">
        <f>VLOOKUP(CurrentMtgRatesDataTable825[[#This Row],[asOfDate]],G:H,2,0)</f>
        <v>0.34853875137296803</v>
      </c>
      <c r="E69" s="34">
        <f ca="1">VLOOKUP(CurrentMtgRatesDataTable825[[#This Row],[asOfDate]]+1,Bloomberg!B:C,2,0)</f>
        <v>1600.6</v>
      </c>
      <c r="G69" s="1">
        <v>41011</v>
      </c>
      <c r="H69" s="33">
        <v>0.80193881910043296</v>
      </c>
    </row>
    <row r="70" spans="2:8">
      <c r="B70" s="18">
        <v>41690</v>
      </c>
      <c r="C70" s="30">
        <v>0.3755719775185945</v>
      </c>
      <c r="D70" s="30">
        <f>VLOOKUP(CurrentMtgRatesDataTable825[[#This Row],[asOfDate]],G:H,2,0)</f>
        <v>0.35043602810261099</v>
      </c>
      <c r="E70" s="34">
        <f ca="1">VLOOKUP(CurrentMtgRatesDataTable825[[#This Row],[asOfDate]]+1,Bloomberg!B:C,2,0)</f>
        <v>1442.3</v>
      </c>
      <c r="G70" s="1">
        <v>41018</v>
      </c>
      <c r="H70" s="33">
        <v>0.77781138796328697</v>
      </c>
    </row>
    <row r="71" spans="2:8">
      <c r="B71" s="18">
        <v>41683</v>
      </c>
      <c r="C71" s="30">
        <v>0.38532630107916044</v>
      </c>
      <c r="D71" s="30">
        <f>VLOOKUP(CurrentMtgRatesDataTable825[[#This Row],[asOfDate]],G:H,2,0)</f>
        <v>0.380280894786581</v>
      </c>
      <c r="E71" s="34">
        <f ca="1">VLOOKUP(CurrentMtgRatesDataTable825[[#This Row],[asOfDate]]+1,Bloomberg!B:C,2,0)</f>
        <v>1650.6</v>
      </c>
      <c r="G71" s="1">
        <v>41025</v>
      </c>
      <c r="H71" s="33">
        <v>0.80193881910043296</v>
      </c>
    </row>
    <row r="72" spans="2:8">
      <c r="B72" s="18">
        <v>41676</v>
      </c>
      <c r="C72" s="30">
        <v>0.40068103493110224</v>
      </c>
      <c r="D72" s="30">
        <f>VLOOKUP(CurrentMtgRatesDataTable825[[#This Row],[asOfDate]],G:H,2,0)</f>
        <v>0.407383000493176</v>
      </c>
      <c r="E72" s="34">
        <f ca="1">VLOOKUP(CurrentMtgRatesDataTable825[[#This Row],[asOfDate]]+1,Bloomberg!B:C,2,0)</f>
        <v>1674.2</v>
      </c>
      <c r="G72" s="1">
        <v>41032</v>
      </c>
      <c r="H72" s="33">
        <v>0.80437080516661097</v>
      </c>
    </row>
    <row r="73" spans="2:8">
      <c r="B73" s="18">
        <v>41669</v>
      </c>
      <c r="C73" s="30">
        <v>0.38160196936392621</v>
      </c>
      <c r="D73" s="30">
        <f>VLOOKUP(CurrentMtgRatesDataTable825[[#This Row],[asOfDate]],G:H,2,0)</f>
        <v>0.38449844249950499</v>
      </c>
      <c r="E73" s="34">
        <f ca="1">VLOOKUP(CurrentMtgRatesDataTable825[[#This Row],[asOfDate]]+1,Bloomberg!B:C,2,0)</f>
        <v>1667.5</v>
      </c>
      <c r="G73" s="1">
        <v>41039</v>
      </c>
      <c r="H73" s="33">
        <v>0.807152941952609</v>
      </c>
    </row>
    <row r="74" spans="2:8">
      <c r="B74" s="18">
        <v>41662</v>
      </c>
      <c r="C74" s="30">
        <v>0.37084428304329614</v>
      </c>
      <c r="D74" s="30">
        <f>VLOOKUP(CurrentMtgRatesDataTable825[[#This Row],[asOfDate]],G:H,2,0)</f>
        <v>0.32547727058860199</v>
      </c>
      <c r="E74" s="34">
        <f ca="1">VLOOKUP(CurrentMtgRatesDataTable825[[#This Row],[asOfDate]]+1,Bloomberg!B:C,2,0)</f>
        <v>1601.2</v>
      </c>
      <c r="G74" s="1">
        <v>41046</v>
      </c>
      <c r="H74" s="33">
        <v>0.83152220645888697</v>
      </c>
    </row>
    <row r="75" spans="2:8">
      <c r="B75" s="18">
        <v>41655</v>
      </c>
      <c r="C75" s="30">
        <v>0.36774882579493112</v>
      </c>
      <c r="D75" s="30">
        <f>VLOOKUP(CurrentMtgRatesDataTable825[[#This Row],[asOfDate]],G:H,2,0)</f>
        <v>0.32467403778332998</v>
      </c>
      <c r="E75" s="34">
        <f ca="1">VLOOKUP(CurrentMtgRatesDataTable825[[#This Row],[asOfDate]]+1,Bloomberg!B:C,2,0)</f>
        <v>1675.8</v>
      </c>
      <c r="G75" s="1">
        <v>41053</v>
      </c>
      <c r="H75" s="33">
        <v>0.82948257912141399</v>
      </c>
    </row>
    <row r="76" spans="2:8">
      <c r="B76" s="18">
        <v>41648</v>
      </c>
      <c r="C76" s="30">
        <v>0.2902260049252946</v>
      </c>
      <c r="D76" s="30">
        <f>VLOOKUP(CurrentMtgRatesDataTable825[[#This Row],[asOfDate]],G:H,2,0)</f>
        <v>0.29015447722721099</v>
      </c>
      <c r="E76" s="34">
        <f ca="1">VLOOKUP(CurrentMtgRatesDataTable825[[#This Row],[asOfDate]]+1,Bloomberg!B:C,2,0)</f>
        <v>1507</v>
      </c>
      <c r="G76" s="1">
        <v>41060</v>
      </c>
      <c r="H76" s="33">
        <v>0.83268888035603505</v>
      </c>
    </row>
    <row r="77" spans="2:8">
      <c r="B77" s="18">
        <v>41641</v>
      </c>
      <c r="C77" s="30">
        <v>0.26212623729092371</v>
      </c>
      <c r="D77" s="30">
        <f>VLOOKUP(CurrentMtgRatesDataTable825[[#This Row],[asOfDate]],G:H,2,0)</f>
        <v>0.265306805945277</v>
      </c>
      <c r="E77" s="34">
        <f ca="1">VLOOKUP(CurrentMtgRatesDataTable825[[#This Row],[asOfDate]]+1,Bloomberg!B:C,2,0)</f>
        <v>1352.7</v>
      </c>
      <c r="G77" s="1">
        <v>41067</v>
      </c>
      <c r="H77" s="33">
        <v>0.86243439572202496</v>
      </c>
    </row>
    <row r="78" spans="2:8">
      <c r="B78" s="18">
        <v>41634</v>
      </c>
      <c r="C78" s="30">
        <v>0.33029809597210952</v>
      </c>
      <c r="D78" s="30">
        <f>VLOOKUP(CurrentMtgRatesDataTable825[[#This Row],[asOfDate]],G:H,2,0)</f>
        <v>0.29162362501885603</v>
      </c>
      <c r="E78" s="34">
        <f ca="1">VLOOKUP(CurrentMtgRatesDataTable825[[#This Row],[asOfDate]]+1,Bloomberg!B:C,2,0)</f>
        <v>1277.8</v>
      </c>
      <c r="G78" s="1">
        <v>41074</v>
      </c>
      <c r="H78" s="33">
        <v>0.84549296973434196</v>
      </c>
    </row>
    <row r="79" spans="2:8">
      <c r="B79" s="18">
        <v>41627</v>
      </c>
      <c r="C79" s="30">
        <v>0.33974567777608206</v>
      </c>
      <c r="D79" s="30">
        <f>VLOOKUP(CurrentMtgRatesDataTable825[[#This Row],[asOfDate]],G:H,2,0)</f>
        <v>0.29198850689481598</v>
      </c>
      <c r="E79" s="34">
        <f ca="1">VLOOKUP(CurrentMtgRatesDataTable825[[#This Row],[asOfDate]]+1,Bloomberg!B:C,2,0)</f>
        <v>1426.7</v>
      </c>
      <c r="G79" s="1">
        <v>41081</v>
      </c>
      <c r="H79" s="33">
        <v>0.86306170802286497</v>
      </c>
    </row>
    <row r="80" spans="2:8">
      <c r="B80" s="18">
        <v>41620</v>
      </c>
      <c r="C80" s="30">
        <v>0.3707206267478419</v>
      </c>
      <c r="D80" s="30">
        <f>VLOOKUP(CurrentMtgRatesDataTable825[[#This Row],[asOfDate]],G:H,2,0)</f>
        <v>0.33082970500556302</v>
      </c>
      <c r="E80" s="34">
        <f ca="1">VLOOKUP(CurrentMtgRatesDataTable825[[#This Row],[asOfDate]]+1,Bloomberg!B:C,2,0)</f>
        <v>1529.8</v>
      </c>
      <c r="G80" s="1">
        <v>41088</v>
      </c>
      <c r="H80" s="33">
        <v>0.86306170802286497</v>
      </c>
    </row>
    <row r="81" spans="2:8">
      <c r="B81" s="18">
        <v>41613</v>
      </c>
      <c r="C81" s="30">
        <v>0.37338021104571051</v>
      </c>
      <c r="D81" s="30">
        <f>VLOOKUP(CurrentMtgRatesDataTable825[[#This Row],[asOfDate]],G:H,2,0)</f>
        <v>0.331227934580689</v>
      </c>
      <c r="E81" s="34">
        <f ca="1">VLOOKUP(CurrentMtgRatesDataTable825[[#This Row],[asOfDate]]+1,Bloomberg!B:C,2,0)</f>
        <v>1599.4</v>
      </c>
      <c r="G81" s="1">
        <v>41095</v>
      </c>
      <c r="H81" s="33">
        <v>0.85531584833132801</v>
      </c>
    </row>
    <row r="82" spans="2:8">
      <c r="B82" s="18">
        <v>41605</v>
      </c>
      <c r="C82" s="30">
        <v>0.3969981593322805</v>
      </c>
      <c r="D82" s="30">
        <f>VLOOKUP(CurrentMtgRatesDataTable825[[#This Row],[asOfDate]],G:H,2,0)</f>
        <v>0.401262959025458</v>
      </c>
      <c r="E82" s="34" t="e">
        <f ca="1">VLOOKUP(CurrentMtgRatesDataTable825[[#This Row],[asOfDate]]+1,Bloomberg!B:C,2,0)</f>
        <v>#N/A</v>
      </c>
      <c r="G82" s="1">
        <v>41102</v>
      </c>
      <c r="H82" s="33">
        <v>0.88265848165302496</v>
      </c>
    </row>
    <row r="83" spans="2:8">
      <c r="B83" s="18">
        <v>41599</v>
      </c>
      <c r="C83" s="30">
        <v>0.41410653536495057</v>
      </c>
      <c r="D83" s="30">
        <f>VLOOKUP(CurrentMtgRatesDataTable825[[#This Row],[asOfDate]],G:H,2,0)</f>
        <v>0.42989701258795199</v>
      </c>
      <c r="E83" s="34">
        <f ca="1">VLOOKUP(CurrentMtgRatesDataTable825[[#This Row],[asOfDate]]+1,Bloomberg!B:C,2,0)</f>
        <v>1917.2</v>
      </c>
      <c r="G83" s="1">
        <v>41109</v>
      </c>
      <c r="H83" s="33">
        <v>0.88516739973977598</v>
      </c>
    </row>
    <row r="84" spans="2:8">
      <c r="B84" s="18">
        <v>41592</v>
      </c>
      <c r="C84" s="30">
        <v>0.38756459325455095</v>
      </c>
      <c r="D84" s="30">
        <f>VLOOKUP(CurrentMtgRatesDataTable825[[#This Row],[asOfDate]],G:H,2,0)</f>
        <v>0.37120289750535601</v>
      </c>
      <c r="E84" s="34">
        <f ca="1">VLOOKUP(CurrentMtgRatesDataTable825[[#This Row],[asOfDate]]+1,Bloomberg!B:C,2,0)</f>
        <v>1903.5</v>
      </c>
      <c r="G84" s="1">
        <v>41116</v>
      </c>
      <c r="H84" s="33">
        <v>0.89814744996460805</v>
      </c>
    </row>
    <row r="85" spans="2:8">
      <c r="B85" s="18">
        <v>41585</v>
      </c>
      <c r="C85" s="30">
        <v>0.42159370418067171</v>
      </c>
      <c r="D85" s="30">
        <f>VLOOKUP(CurrentMtgRatesDataTable825[[#This Row],[asOfDate]],G:H,2,0)</f>
        <v>0.44788779304034998</v>
      </c>
      <c r="E85" s="34">
        <f ca="1">VLOOKUP(CurrentMtgRatesDataTable825[[#This Row],[asOfDate]]+1,Bloomberg!B:C,2,0)</f>
        <v>2056.9</v>
      </c>
      <c r="G85" s="1">
        <v>41123</v>
      </c>
      <c r="H85" s="33">
        <v>0.86768818253450297</v>
      </c>
    </row>
    <row r="86" spans="2:8">
      <c r="B86" s="18">
        <v>41578</v>
      </c>
      <c r="C86" s="30">
        <v>0.4605405147219428</v>
      </c>
      <c r="D86" s="30">
        <f>VLOOKUP(CurrentMtgRatesDataTable825[[#This Row],[asOfDate]],G:H,2,0)</f>
        <v>0.47501022290439499</v>
      </c>
      <c r="E86" s="34">
        <f ca="1">VLOOKUP(CurrentMtgRatesDataTable825[[#This Row],[asOfDate]]+1,Bloomberg!B:C,2,0)</f>
        <v>2105.6</v>
      </c>
      <c r="G86" s="1">
        <v>41130</v>
      </c>
      <c r="H86" s="33">
        <v>0.86745968477328095</v>
      </c>
    </row>
    <row r="87" spans="2:8">
      <c r="B87" s="18">
        <v>41571</v>
      </c>
      <c r="C87" s="30">
        <v>0.43156912924668556</v>
      </c>
      <c r="D87" s="30">
        <f>VLOOKUP(CurrentMtgRatesDataTable825[[#This Row],[asOfDate]],G:H,2,0)</f>
        <v>0.45648777309490202</v>
      </c>
      <c r="E87" s="34">
        <f ca="1">VLOOKUP(CurrentMtgRatesDataTable825[[#This Row],[asOfDate]]+1,Bloomberg!B:C,2,0)</f>
        <v>2211.8000000000002</v>
      </c>
      <c r="G87" s="1">
        <v>41137</v>
      </c>
      <c r="H87" s="33">
        <v>0.85198632502448901</v>
      </c>
    </row>
    <row r="88" spans="2:8">
      <c r="B88" s="18">
        <v>41564</v>
      </c>
      <c r="C88" s="30">
        <v>0.40232481590336117</v>
      </c>
      <c r="D88" s="30">
        <f>VLOOKUP(CurrentMtgRatesDataTable825[[#This Row],[asOfDate]],G:H,2,0)</f>
        <v>0.40902347477168999</v>
      </c>
      <c r="E88" s="34">
        <f ca="1">VLOOKUP(CurrentMtgRatesDataTable825[[#This Row],[asOfDate]]+1,Bloomberg!B:C,2,0)</f>
        <v>2033.7</v>
      </c>
      <c r="G88" s="1">
        <v>41144</v>
      </c>
      <c r="H88" s="33">
        <v>0.83819941388679298</v>
      </c>
    </row>
    <row r="89" spans="2:8">
      <c r="B89" s="18">
        <v>41557</v>
      </c>
      <c r="C89" s="30">
        <v>0.41314719259777027</v>
      </c>
      <c r="D89" s="30">
        <f>VLOOKUP(CurrentMtgRatesDataTable825[[#This Row],[asOfDate]],G:H,2,0)</f>
        <v>0.43701315967767701</v>
      </c>
      <c r="E89" s="34">
        <f ca="1">VLOOKUP(CurrentMtgRatesDataTable825[[#This Row],[asOfDate]]+1,Bloomberg!B:C,2,0)</f>
        <v>2102.6999999999998</v>
      </c>
      <c r="G89" s="1">
        <v>41151</v>
      </c>
      <c r="H89" s="33">
        <v>0.86745968477328095</v>
      </c>
    </row>
    <row r="90" spans="2:8">
      <c r="B90" s="18">
        <v>41550</v>
      </c>
      <c r="C90" s="30">
        <v>0.41528178559290679</v>
      </c>
      <c r="D90" s="30">
        <f>VLOOKUP(CurrentMtgRatesDataTable825[[#This Row],[asOfDate]],G:H,2,0)</f>
        <v>0.43751781158176101</v>
      </c>
      <c r="E90" s="34">
        <f ca="1">VLOOKUP(CurrentMtgRatesDataTable825[[#This Row],[asOfDate]]+1,Bloomberg!B:C,2,0)</f>
        <v>2025.3</v>
      </c>
      <c r="G90" s="1">
        <v>41158</v>
      </c>
      <c r="H90" s="33">
        <v>0.854493626143913</v>
      </c>
    </row>
    <row r="91" spans="2:8">
      <c r="B91" s="18">
        <v>41543</v>
      </c>
      <c r="C91" s="30">
        <v>0.40445747526612724</v>
      </c>
      <c r="D91" s="30">
        <f>VLOOKUP(CurrentMtgRatesDataTable825[[#This Row],[asOfDate]],G:H,2,0)</f>
        <v>0.41607421536967498</v>
      </c>
      <c r="E91" s="34">
        <f ca="1">VLOOKUP(CurrentMtgRatesDataTable825[[#This Row],[asOfDate]]+1,Bloomberg!B:C,2,0)</f>
        <v>1956.6</v>
      </c>
      <c r="G91" s="1">
        <v>41165</v>
      </c>
      <c r="H91" s="33">
        <v>0.85731125996939705</v>
      </c>
    </row>
    <row r="92" spans="2:8">
      <c r="B92" s="18">
        <v>41536</v>
      </c>
      <c r="C92" s="30">
        <v>0.33277831045649614</v>
      </c>
      <c r="D92" s="30">
        <f>VLOOKUP(CurrentMtgRatesDataTable825[[#This Row],[asOfDate]],G:H,2,0)</f>
        <v>0.32091811677951898</v>
      </c>
      <c r="E92" s="34">
        <f ca="1">VLOOKUP(CurrentMtgRatesDataTable825[[#This Row],[asOfDate]]+1,Bloomberg!B:C,2,0)</f>
        <v>1922.9</v>
      </c>
      <c r="G92" s="1">
        <v>41172</v>
      </c>
      <c r="H92" s="33">
        <v>0.87344930653794395</v>
      </c>
    </row>
    <row r="93" spans="2:8">
      <c r="B93" s="18">
        <v>41529</v>
      </c>
      <c r="C93" s="30">
        <v>0.27463010199382165</v>
      </c>
      <c r="D93" s="30">
        <f>VLOOKUP(CurrentMtgRatesDataTable825[[#This Row],[asOfDate]],G:H,2,0)</f>
        <v>0.28251411119681702</v>
      </c>
      <c r="E93" s="34">
        <f ca="1">VLOOKUP(CurrentMtgRatesDataTable825[[#This Row],[asOfDate]]+1,Bloomberg!B:C,2,0)</f>
        <v>1814</v>
      </c>
      <c r="G93" s="1">
        <v>41179</v>
      </c>
      <c r="H93" s="33">
        <v>0.91259028169208301</v>
      </c>
    </row>
    <row r="94" spans="2:8">
      <c r="B94" s="18">
        <v>41522</v>
      </c>
      <c r="C94" s="30">
        <v>0.2818649256036454</v>
      </c>
      <c r="D94" s="30">
        <f>VLOOKUP(CurrentMtgRatesDataTable825[[#This Row],[asOfDate]],G:H,2,0)</f>
        <v>0.29894428975906101</v>
      </c>
      <c r="E94" s="34">
        <f ca="1">VLOOKUP(CurrentMtgRatesDataTable825[[#This Row],[asOfDate]]+1,Bloomberg!B:C,2,0)</f>
        <v>1512.9</v>
      </c>
      <c r="G94" s="1">
        <v>41186</v>
      </c>
      <c r="H94" s="33">
        <v>0.89522709255279198</v>
      </c>
    </row>
    <row r="95" spans="2:8">
      <c r="B95" s="18">
        <v>41515</v>
      </c>
      <c r="C95" s="30">
        <v>0.32707732602530493</v>
      </c>
      <c r="D95" s="30">
        <f>VLOOKUP(CurrentMtgRatesDataTable825[[#This Row],[asOfDate]],G:H,2,0)</f>
        <v>0.32738957382411199</v>
      </c>
      <c r="E95" s="34">
        <f ca="1">VLOOKUP(CurrentMtgRatesDataTable825[[#This Row],[asOfDate]]+1,Bloomberg!B:C,2,0)</f>
        <v>1909</v>
      </c>
      <c r="G95" s="1">
        <v>41193</v>
      </c>
      <c r="H95" s="33">
        <v>0.87811016351224602</v>
      </c>
    </row>
    <row r="96" spans="2:8">
      <c r="B96" s="18">
        <v>41508</v>
      </c>
      <c r="C96" s="30">
        <v>0.28211495793674252</v>
      </c>
      <c r="D96" s="30">
        <f>VLOOKUP(CurrentMtgRatesDataTable825[[#This Row],[asOfDate]],G:H,2,0)</f>
        <v>0.28848466841060699</v>
      </c>
      <c r="E96" s="34">
        <f ca="1">VLOOKUP(CurrentMtgRatesDataTable825[[#This Row],[asOfDate]]+1,Bloomberg!B:C,2,0)</f>
        <v>1842.6</v>
      </c>
      <c r="G96" s="1">
        <v>41200</v>
      </c>
      <c r="H96" s="33">
        <v>0.89368551357821302</v>
      </c>
    </row>
    <row r="97" spans="2:8">
      <c r="B97" s="18">
        <v>41501</v>
      </c>
      <c r="C97" s="30">
        <v>0.40797811985401045</v>
      </c>
      <c r="D97" s="30">
        <f>VLOOKUP(CurrentMtgRatesDataTable825[[#This Row],[asOfDate]],G:H,2,0)</f>
        <v>0.36292296585782302</v>
      </c>
      <c r="E97" s="34">
        <f ca="1">VLOOKUP(CurrentMtgRatesDataTable825[[#This Row],[asOfDate]]+1,Bloomberg!B:C,2,0)</f>
        <v>1935.1</v>
      </c>
      <c r="G97" s="1">
        <v>41207</v>
      </c>
      <c r="H97" s="33">
        <v>0.87683234085301398</v>
      </c>
    </row>
    <row r="98" spans="2:8">
      <c r="B98" s="18">
        <v>41494</v>
      </c>
      <c r="C98" s="30">
        <v>0.40797811985401045</v>
      </c>
      <c r="D98" s="30">
        <f>VLOOKUP(CurrentMtgRatesDataTable825[[#This Row],[asOfDate]],G:H,2,0)</f>
        <v>0.36292296585782302</v>
      </c>
      <c r="E98" s="34">
        <f ca="1">VLOOKUP(CurrentMtgRatesDataTable825[[#This Row],[asOfDate]]+1,Bloomberg!B:C,2,0)</f>
        <v>2110.6</v>
      </c>
      <c r="G98" s="1">
        <v>41214</v>
      </c>
      <c r="H98" s="33">
        <v>0.85225052894835196</v>
      </c>
    </row>
    <row r="99" spans="2:8">
      <c r="B99" s="18">
        <v>41487</v>
      </c>
      <c r="C99" s="30">
        <v>0.40917398895537016</v>
      </c>
      <c r="D99" s="30">
        <f>VLOOKUP(CurrentMtgRatesDataTable825[[#This Row],[asOfDate]],G:H,2,0)</f>
        <v>0.36357930006355599</v>
      </c>
      <c r="E99" s="34">
        <f ca="1">VLOOKUP(CurrentMtgRatesDataTable825[[#This Row],[asOfDate]]+1,Bloomberg!B:C,2,0)</f>
        <v>2228.9</v>
      </c>
      <c r="G99" s="1">
        <v>41221</v>
      </c>
      <c r="H99" s="33">
        <v>0.85194480836680198</v>
      </c>
    </row>
    <row r="100" spans="2:8">
      <c r="B100" s="18">
        <v>41480</v>
      </c>
      <c r="C100" s="30">
        <v>0.42922629610906576</v>
      </c>
      <c r="D100" s="30">
        <f>VLOOKUP(CurrentMtgRatesDataTable825[[#This Row],[asOfDate]],G:H,2,0)</f>
        <v>0.40895553727695599</v>
      </c>
      <c r="E100" s="34">
        <f ca="1">VLOOKUP(CurrentMtgRatesDataTable825[[#This Row],[asOfDate]]+1,Bloomberg!B:C,2,0)</f>
        <v>2218.3000000000002</v>
      </c>
      <c r="G100" s="1">
        <v>41228</v>
      </c>
      <c r="H100" s="33">
        <v>0.86999483052125803</v>
      </c>
    </row>
    <row r="101" spans="2:8">
      <c r="B101" s="18">
        <v>41473</v>
      </c>
      <c r="C101" s="30">
        <v>0.42624975952077765</v>
      </c>
      <c r="D101" s="30">
        <f>VLOOKUP(CurrentMtgRatesDataTable825[[#This Row],[asOfDate]],G:H,2,0)</f>
        <v>0.407195502334876</v>
      </c>
      <c r="E101" s="34">
        <f ca="1">VLOOKUP(CurrentMtgRatesDataTable825[[#This Row],[asOfDate]]+1,Bloomberg!B:C,2,0)</f>
        <v>2288</v>
      </c>
      <c r="G101" s="1">
        <v>41234</v>
      </c>
      <c r="H101" s="33">
        <v>0.88773399472374204</v>
      </c>
    </row>
    <row r="102" spans="2:8">
      <c r="B102" s="18">
        <v>41466</v>
      </c>
      <c r="C102" s="30">
        <v>0.31856955774356621</v>
      </c>
      <c r="D102" s="30">
        <f>VLOOKUP(CurrentMtgRatesDataTable825[[#This Row],[asOfDate]],G:H,2,0)</f>
        <v>0.32003461094412999</v>
      </c>
      <c r="E102" s="34">
        <f ca="1">VLOOKUP(CurrentMtgRatesDataTable825[[#This Row],[asOfDate]]+1,Bloomberg!B:C,2,0)</f>
        <v>2242.1999999999998</v>
      </c>
      <c r="G102" s="1">
        <v>41242</v>
      </c>
      <c r="H102" s="33">
        <v>0.86996445945149903</v>
      </c>
    </row>
    <row r="103" spans="2:8">
      <c r="B103" s="18">
        <v>41458</v>
      </c>
      <c r="C103" s="30">
        <v>0.4330864642120939</v>
      </c>
      <c r="D103" s="30">
        <f>VLOOKUP(CurrentMtgRatesDataTable825[[#This Row],[asOfDate]],G:H,2,0)</f>
        <v>0.439218479739446</v>
      </c>
      <c r="E103" s="34" t="e">
        <f ca="1">VLOOKUP(CurrentMtgRatesDataTable825[[#This Row],[asOfDate]]+1,Bloomberg!B:C,2,0)</f>
        <v>#N/A</v>
      </c>
      <c r="G103" s="1">
        <v>41249</v>
      </c>
      <c r="H103" s="33">
        <v>0.85662578219432695</v>
      </c>
    </row>
    <row r="104" spans="2:8">
      <c r="B104" s="18">
        <v>41452</v>
      </c>
      <c r="C104" s="30">
        <v>0.39082116641682313</v>
      </c>
      <c r="D104" s="30">
        <f>VLOOKUP(CurrentMtgRatesDataTable825[[#This Row],[asOfDate]],G:H,2,0)</f>
        <v>0.35042164075900101</v>
      </c>
      <c r="E104" s="34">
        <f ca="1">VLOOKUP(CurrentMtgRatesDataTable825[[#This Row],[asOfDate]]+1,Bloomberg!B:C,2,0)</f>
        <v>2573.4</v>
      </c>
      <c r="G104" s="1">
        <v>41256</v>
      </c>
      <c r="H104" s="33">
        <v>0.87412257034895602</v>
      </c>
    </row>
    <row r="105" spans="2:8">
      <c r="B105" s="18">
        <v>41445</v>
      </c>
      <c r="C105" s="30">
        <v>0.58795254732817659</v>
      </c>
      <c r="D105" s="30">
        <f>VLOOKUP(CurrentMtgRatesDataTable825[[#This Row],[asOfDate]],G:H,2,0)</f>
        <v>0.55919632116239604</v>
      </c>
      <c r="E105" s="34">
        <f ca="1">VLOOKUP(CurrentMtgRatesDataTable825[[#This Row],[asOfDate]]+1,Bloomberg!B:C,2,0)</f>
        <v>3040.1</v>
      </c>
      <c r="G105" s="1">
        <v>41263</v>
      </c>
      <c r="H105" s="33">
        <v>0.85522983991809798</v>
      </c>
    </row>
    <row r="106" spans="2:8">
      <c r="B106" s="18">
        <v>41438</v>
      </c>
      <c r="C106" s="30">
        <v>0.57343184072471942</v>
      </c>
      <c r="D106" s="30">
        <f>VLOOKUP(CurrentMtgRatesDataTable825[[#This Row],[asOfDate]],G:H,2,0)</f>
        <v>0.55842108987699401</v>
      </c>
      <c r="E106" s="34">
        <f ca="1">VLOOKUP(CurrentMtgRatesDataTable825[[#This Row],[asOfDate]]+1,Bloomberg!B:C,2,0)</f>
        <v>3214.4</v>
      </c>
      <c r="G106" s="1">
        <v>41270</v>
      </c>
      <c r="H106" s="33">
        <v>0.85626060279274896</v>
      </c>
    </row>
    <row r="107" spans="2:8">
      <c r="B107" s="18">
        <v>41431</v>
      </c>
      <c r="C107" s="30">
        <v>0.60569175356282723</v>
      </c>
      <c r="D107" s="30">
        <f>VLOOKUP(CurrentMtgRatesDataTable825[[#This Row],[asOfDate]],G:H,2,0)</f>
        <v>0.57861777554698002</v>
      </c>
      <c r="E107" s="34">
        <f ca="1">VLOOKUP(CurrentMtgRatesDataTable825[[#This Row],[asOfDate]]+1,Bloomberg!B:C,2,0)</f>
        <v>3339.8</v>
      </c>
      <c r="G107" s="1">
        <v>41277</v>
      </c>
      <c r="H107" s="33">
        <v>0.83696581575361895</v>
      </c>
    </row>
    <row r="108" spans="2:8">
      <c r="B108" s="18">
        <v>41424</v>
      </c>
      <c r="C108" s="30">
        <v>0.63267241864898449</v>
      </c>
      <c r="D108" s="30">
        <f>VLOOKUP(CurrentMtgRatesDataTable825[[#This Row],[asOfDate]],G:H,2,0)</f>
        <v>0.61546645850988302</v>
      </c>
      <c r="E108" s="34">
        <f ca="1">VLOOKUP(CurrentMtgRatesDataTable825[[#This Row],[asOfDate]]+1,Bloomberg!B:C,2,0)</f>
        <v>3163.6</v>
      </c>
      <c r="G108" s="1">
        <v>41284</v>
      </c>
      <c r="H108" s="33">
        <v>0.81798384699460103</v>
      </c>
    </row>
    <row r="109" spans="2:8">
      <c r="B109" s="18">
        <v>41417</v>
      </c>
      <c r="C109" s="30">
        <v>0.69528028144531095</v>
      </c>
      <c r="D109" s="30">
        <f>VLOOKUP(CurrentMtgRatesDataTable825[[#This Row],[asOfDate]],G:H,2,0)</f>
        <v>0.68530860108825797</v>
      </c>
      <c r="E109" s="34">
        <f ca="1">VLOOKUP(CurrentMtgRatesDataTable825[[#This Row],[asOfDate]]+1,Bloomberg!B:C,2,0)</f>
        <v>3709.4</v>
      </c>
      <c r="G109" s="1">
        <v>41291</v>
      </c>
      <c r="H109" s="33">
        <v>0.83503612629874802</v>
      </c>
    </row>
    <row r="110" spans="2:8">
      <c r="B110" s="18">
        <v>41410</v>
      </c>
      <c r="C110" s="30">
        <v>0.77783403735744605</v>
      </c>
      <c r="D110" s="30">
        <f>VLOOKUP(CurrentMtgRatesDataTable825[[#This Row],[asOfDate]],G:H,2,0)</f>
        <v>0.72159050384319001</v>
      </c>
      <c r="E110" s="34">
        <f ca="1">VLOOKUP(CurrentMtgRatesDataTable825[[#This Row],[asOfDate]]+1,Bloomberg!B:C,2,0)</f>
        <v>4241.5</v>
      </c>
      <c r="G110" s="1">
        <v>41298</v>
      </c>
      <c r="H110" s="33">
        <v>0.81634992305868503</v>
      </c>
    </row>
    <row r="111" spans="2:8">
      <c r="B111" s="18">
        <v>41403</v>
      </c>
      <c r="C111" s="30">
        <v>0.80807149473903783</v>
      </c>
      <c r="D111" s="30">
        <f>VLOOKUP(CurrentMtgRatesDataTable825[[#This Row],[asOfDate]],G:H,2,0)</f>
        <v>0.75094523370436095</v>
      </c>
      <c r="E111" s="34">
        <f ca="1">VLOOKUP(CurrentMtgRatesDataTable825[[#This Row],[asOfDate]]+1,Bloomberg!B:C,2,0)</f>
        <v>4797.2</v>
      </c>
      <c r="G111" s="1">
        <v>41305</v>
      </c>
      <c r="H111" s="33">
        <v>0.77322369572310801</v>
      </c>
    </row>
    <row r="112" spans="2:8">
      <c r="B112" s="18">
        <v>41396</v>
      </c>
      <c r="C112" s="30">
        <v>0.81686282095814366</v>
      </c>
      <c r="D112" s="30">
        <f>VLOOKUP(CurrentMtgRatesDataTable825[[#This Row],[asOfDate]],G:H,2,0)</f>
        <v>0.77520531199879605</v>
      </c>
      <c r="E112" s="34">
        <f ca="1">VLOOKUP(CurrentMtgRatesDataTable825[[#This Row],[asOfDate]]+1,Bloomberg!B:C,2,0)</f>
        <v>5279.9</v>
      </c>
      <c r="G112" s="1">
        <v>41312</v>
      </c>
      <c r="H112" s="33">
        <v>0.75155379277106704</v>
      </c>
    </row>
    <row r="113" spans="2:8">
      <c r="B113" s="18">
        <v>41389</v>
      </c>
      <c r="C113" s="30">
        <v>0.82478602429419701</v>
      </c>
      <c r="D113" s="30">
        <f>VLOOKUP(CurrentMtgRatesDataTable825[[#This Row],[asOfDate]],G:H,2,0)</f>
        <v>0.759939269856726</v>
      </c>
      <c r="E113" s="34">
        <f ca="1">VLOOKUP(CurrentMtgRatesDataTable825[[#This Row],[asOfDate]]+1,Bloomberg!B:C,2,0)</f>
        <v>4854.1000000000004</v>
      </c>
      <c r="G113" s="1">
        <v>41319</v>
      </c>
      <c r="H113" s="33">
        <v>0.75155379277106704</v>
      </c>
    </row>
    <row r="114" spans="2:8">
      <c r="B114" s="18">
        <v>41382</v>
      </c>
      <c r="C114" s="30">
        <v>0.8263799320049966</v>
      </c>
      <c r="D114" s="30">
        <f>VLOOKUP(CurrentMtgRatesDataTable825[[#This Row],[asOfDate]],G:H,2,0)</f>
        <v>0.76108985756873504</v>
      </c>
      <c r="E114" s="34">
        <f ca="1">VLOOKUP(CurrentMtgRatesDataTable825[[#This Row],[asOfDate]]+1,Bloomberg!B:C,2,0)</f>
        <v>4672.1000000000004</v>
      </c>
      <c r="G114" s="1">
        <v>41326</v>
      </c>
      <c r="H114" s="33">
        <v>0.73462902469773095</v>
      </c>
    </row>
    <row r="115" spans="2:8">
      <c r="B115" s="18">
        <v>41375</v>
      </c>
      <c r="C115" s="30">
        <v>0.81951890925716175</v>
      </c>
      <c r="D115" s="30">
        <f>VLOOKUP(CurrentMtgRatesDataTable825[[#This Row],[asOfDate]],G:H,2,0)</f>
        <v>0.73719138808657003</v>
      </c>
      <c r="E115" s="34">
        <f ca="1">VLOOKUP(CurrentMtgRatesDataTable825[[#This Row],[asOfDate]]+1,Bloomberg!B:C,2,0)</f>
        <v>4726.8999999999996</v>
      </c>
      <c r="G115" s="1">
        <v>41333</v>
      </c>
      <c r="H115" s="33">
        <v>0.75332777657917305</v>
      </c>
    </row>
    <row r="116" spans="2:8">
      <c r="B116" s="18">
        <v>41368</v>
      </c>
      <c r="C116" s="30">
        <v>0.74812714109915845</v>
      </c>
      <c r="D116" s="30">
        <f>VLOOKUP(CurrentMtgRatesDataTable825[[#This Row],[asOfDate]],G:H,2,0)</f>
        <v>0.71361316522728502</v>
      </c>
      <c r="E116" s="34">
        <f ca="1">VLOOKUP(CurrentMtgRatesDataTable825[[#This Row],[asOfDate]]+1,Bloomberg!B:C,2,0)</f>
        <v>4528.8999999999996</v>
      </c>
      <c r="G116" s="1">
        <v>41340</v>
      </c>
      <c r="H116" s="33">
        <v>0.731898053840778</v>
      </c>
    </row>
    <row r="117" spans="2:8">
      <c r="B117" s="18">
        <v>41361</v>
      </c>
      <c r="C117" s="30">
        <v>0.73085022058809757</v>
      </c>
      <c r="D117" s="30">
        <f>VLOOKUP(CurrentMtgRatesDataTable825[[#This Row],[asOfDate]],G:H,2,0)</f>
        <v>0.712062870316722</v>
      </c>
      <c r="E117" s="34">
        <f ca="1">VLOOKUP(CurrentMtgRatesDataTable825[[#This Row],[asOfDate]]+1,Bloomberg!B:C,2,0)</f>
        <v>4119.2</v>
      </c>
      <c r="G117" s="1">
        <v>41347</v>
      </c>
      <c r="H117" s="33">
        <v>0.69793386100167498</v>
      </c>
    </row>
    <row r="118" spans="2:8">
      <c r="B118" s="18">
        <v>41354</v>
      </c>
      <c r="C118" s="30">
        <v>0.76832708554350626</v>
      </c>
      <c r="D118" s="30">
        <f>VLOOKUP(CurrentMtgRatesDataTable825[[#This Row],[asOfDate]],G:H,2,0)</f>
        <v>0.72870485724391698</v>
      </c>
      <c r="E118" s="34">
        <f ca="1">VLOOKUP(CurrentMtgRatesDataTable825[[#This Row],[asOfDate]]+1,Bloomberg!B:C,2,0)</f>
        <v>4412.8999999999996</v>
      </c>
      <c r="G118" s="1">
        <v>41354</v>
      </c>
      <c r="H118" s="33">
        <v>0.72870485724391698</v>
      </c>
    </row>
    <row r="119" spans="2:8">
      <c r="B119" s="18">
        <v>41347</v>
      </c>
      <c r="C119" s="30">
        <v>0.70260073761186825</v>
      </c>
      <c r="D119" s="30">
        <f>VLOOKUP(CurrentMtgRatesDataTable825[[#This Row],[asOfDate]],G:H,2,0)</f>
        <v>0.69793386100167498</v>
      </c>
      <c r="E119" s="34">
        <f ca="1">VLOOKUP(CurrentMtgRatesDataTable825[[#This Row],[asOfDate]]+1,Bloomberg!B:C,2,0)</f>
        <v>4111.3</v>
      </c>
      <c r="G119" s="1">
        <v>41361</v>
      </c>
      <c r="H119" s="33">
        <v>0.712062870316722</v>
      </c>
    </row>
    <row r="120" spans="2:8">
      <c r="B120" s="18">
        <v>41340</v>
      </c>
      <c r="C120" s="30">
        <v>0.81254588826988361</v>
      </c>
      <c r="D120" s="30">
        <f>VLOOKUP(CurrentMtgRatesDataTable825[[#This Row],[asOfDate]],G:H,2,0)</f>
        <v>0.731898053840778</v>
      </c>
      <c r="E120" s="34">
        <f ca="1">VLOOKUP(CurrentMtgRatesDataTable825[[#This Row],[asOfDate]]+1,Bloomberg!B:C,2,0)</f>
        <v>4485.2</v>
      </c>
      <c r="G120" s="1">
        <v>41368</v>
      </c>
      <c r="H120" s="33">
        <v>0.71361316522728502</v>
      </c>
    </row>
    <row r="121" spans="2:8">
      <c r="B121" s="18">
        <v>41333</v>
      </c>
      <c r="C121" s="30">
        <v>0.81599621049204552</v>
      </c>
      <c r="D121" s="30">
        <f>VLOOKUP(CurrentMtgRatesDataTable825[[#This Row],[asOfDate]],G:H,2,0)</f>
        <v>0.75332777657917305</v>
      </c>
      <c r="E121" s="34">
        <f ca="1">VLOOKUP(CurrentMtgRatesDataTable825[[#This Row],[asOfDate]]+1,Bloomberg!B:C,2,0)</f>
        <v>4724.8999999999996</v>
      </c>
      <c r="G121" s="1">
        <v>41375</v>
      </c>
      <c r="H121" s="33">
        <v>0.73719138808657003</v>
      </c>
    </row>
    <row r="122" spans="2:8">
      <c r="B122" s="18">
        <v>41326</v>
      </c>
      <c r="C122" s="30">
        <v>0.75767121274967097</v>
      </c>
      <c r="D122" s="30">
        <f>VLOOKUP(CurrentMtgRatesDataTable825[[#This Row],[asOfDate]],G:H,2,0)</f>
        <v>0.73462902469773095</v>
      </c>
      <c r="E122" s="34">
        <f ca="1">VLOOKUP(CurrentMtgRatesDataTable825[[#This Row],[asOfDate]]+1,Bloomberg!B:C,2,0)</f>
        <v>4136.3</v>
      </c>
      <c r="G122" s="1">
        <v>41382</v>
      </c>
      <c r="H122" s="33">
        <v>0.76108985756873504</v>
      </c>
    </row>
    <row r="123" spans="2:8">
      <c r="B123" s="18">
        <v>41319</v>
      </c>
      <c r="C123" s="30">
        <v>0.79744674672768578</v>
      </c>
      <c r="D123" s="30">
        <f>VLOOKUP(CurrentMtgRatesDataTable825[[#This Row],[asOfDate]],G:H,2,0)</f>
        <v>0.75155379277106704</v>
      </c>
      <c r="E123" s="34">
        <f ca="1">VLOOKUP(CurrentMtgRatesDataTable825[[#This Row],[asOfDate]]+1,Bloomberg!B:C,2,0)</f>
        <v>4261.8</v>
      </c>
      <c r="G123" s="1">
        <v>41389</v>
      </c>
      <c r="H123" s="33">
        <v>0.759939269856726</v>
      </c>
    </row>
    <row r="124" spans="2:8">
      <c r="B124" s="18">
        <v>41312</v>
      </c>
      <c r="C124" s="30">
        <v>0.79744674672768578</v>
      </c>
      <c r="D124" s="30">
        <f>VLOOKUP(CurrentMtgRatesDataTable825[[#This Row],[asOfDate]],G:H,2,0)</f>
        <v>0.75155379277106704</v>
      </c>
      <c r="E124" s="34">
        <f ca="1">VLOOKUP(CurrentMtgRatesDataTable825[[#This Row],[asOfDate]]+1,Bloomberg!B:C,2,0)</f>
        <v>4284.3</v>
      </c>
      <c r="G124" s="1">
        <v>41396</v>
      </c>
      <c r="H124" s="33">
        <v>0.77520531199879605</v>
      </c>
    </row>
    <row r="125" spans="2:8">
      <c r="B125" s="18">
        <v>41305</v>
      </c>
      <c r="C125" s="30">
        <v>0.84748759806752005</v>
      </c>
      <c r="D125" s="30">
        <f>VLOOKUP(CurrentMtgRatesDataTable825[[#This Row],[asOfDate]],G:H,2,0)</f>
        <v>0.77322369572310801</v>
      </c>
      <c r="E125" s="34">
        <f ca="1">VLOOKUP(CurrentMtgRatesDataTable825[[#This Row],[asOfDate]]+1,Bloomberg!B:C,2,0)</f>
        <v>4579</v>
      </c>
      <c r="G125" s="1">
        <v>41403</v>
      </c>
      <c r="H125" s="33">
        <v>0.75094523370436095</v>
      </c>
    </row>
    <row r="126" spans="2:8">
      <c r="B126" s="18">
        <v>41298</v>
      </c>
      <c r="C126" s="30">
        <v>0.88379536104531342</v>
      </c>
      <c r="D126" s="30">
        <f>VLOOKUP(CurrentMtgRatesDataTable825[[#This Row],[asOfDate]],G:H,2,0)</f>
        <v>0.81634992305868503</v>
      </c>
      <c r="E126" s="34">
        <f ca="1">VLOOKUP(CurrentMtgRatesDataTable825[[#This Row],[asOfDate]]+1,Bloomberg!B:C,2,0)</f>
        <v>4433.6000000000004</v>
      </c>
      <c r="G126" s="1">
        <v>41410</v>
      </c>
      <c r="H126" s="33">
        <v>0.72159050384319001</v>
      </c>
    </row>
    <row r="127" spans="2:8">
      <c r="B127" s="18">
        <v>41291</v>
      </c>
      <c r="C127" s="30">
        <v>0.88631407683414742</v>
      </c>
      <c r="D127" s="30">
        <f>VLOOKUP(CurrentMtgRatesDataTable825[[#This Row],[asOfDate]],G:H,2,0)</f>
        <v>0.83503612629874802</v>
      </c>
      <c r="E127" s="34">
        <f ca="1">VLOOKUP(CurrentMtgRatesDataTable825[[#This Row],[asOfDate]]+1,Bloomberg!B:C,2,0)</f>
        <v>4937.3999999999996</v>
      </c>
      <c r="G127" s="1">
        <v>41417</v>
      </c>
      <c r="H127" s="33">
        <v>0.68530860108825797</v>
      </c>
    </row>
    <row r="128" spans="2:8">
      <c r="B128" s="18">
        <v>41284</v>
      </c>
      <c r="C128" s="30">
        <v>0.88507237465236011</v>
      </c>
      <c r="D128" s="30">
        <f>VLOOKUP(CurrentMtgRatesDataTable825[[#This Row],[asOfDate]],G:H,2,0)</f>
        <v>0.81798384699460103</v>
      </c>
      <c r="E128" s="34">
        <f ca="1">VLOOKUP(CurrentMtgRatesDataTable825[[#This Row],[asOfDate]]+1,Bloomberg!B:C,2,0)</f>
        <v>4554.3999999999996</v>
      </c>
      <c r="G128" s="1">
        <v>41424</v>
      </c>
      <c r="H128" s="33">
        <v>0.61546645850988302</v>
      </c>
    </row>
    <row r="129" spans="2:8">
      <c r="B129" s="18">
        <v>41277</v>
      </c>
      <c r="C129" s="30">
        <v>0.88829814088555981</v>
      </c>
      <c r="D129" s="30">
        <f>VLOOKUP(CurrentMtgRatesDataTable825[[#This Row],[asOfDate]],G:H,2,0)</f>
        <v>0.83696581575361895</v>
      </c>
      <c r="E129" s="34">
        <f ca="1">VLOOKUP(CurrentMtgRatesDataTable825[[#This Row],[asOfDate]]+1,Bloomberg!B:C,2,0)</f>
        <v>3896.4</v>
      </c>
      <c r="G129" s="1">
        <v>41431</v>
      </c>
      <c r="H129" s="33">
        <v>0.57861777554698002</v>
      </c>
    </row>
    <row r="130" spans="2:8">
      <c r="B130" s="18">
        <v>41270</v>
      </c>
      <c r="C130" s="30">
        <v>0.91018597538933266</v>
      </c>
      <c r="D130" s="30">
        <f>VLOOKUP(CurrentMtgRatesDataTable825[[#This Row],[asOfDate]],G:H,2,0)</f>
        <v>0.85626060279274896</v>
      </c>
      <c r="E130" s="34">
        <f ca="1">VLOOKUP(CurrentMtgRatesDataTable825[[#This Row],[asOfDate]]+1,Bloomberg!B:C,2,0)</f>
        <v>3488.9</v>
      </c>
      <c r="G130" s="1">
        <v>41438</v>
      </c>
      <c r="H130" s="33">
        <v>0.55842108987699401</v>
      </c>
    </row>
    <row r="131" spans="2:8">
      <c r="B131" s="18">
        <v>41263</v>
      </c>
      <c r="C131" s="30">
        <v>0.90965157918840345</v>
      </c>
      <c r="D131" s="30">
        <f>VLOOKUP(CurrentMtgRatesDataTable825[[#This Row],[asOfDate]],G:H,2,0)</f>
        <v>0.85522983991809798</v>
      </c>
      <c r="E131" s="34">
        <f ca="1">VLOOKUP(CurrentMtgRatesDataTable825[[#This Row],[asOfDate]]+1,Bloomberg!B:C,2,0)</f>
        <v>3983.2</v>
      </c>
      <c r="G131" s="1">
        <v>41445</v>
      </c>
      <c r="H131" s="33">
        <v>0.55919632116239604</v>
      </c>
    </row>
    <row r="132" spans="2:8">
      <c r="B132" s="18">
        <v>41256</v>
      </c>
      <c r="C132" s="30">
        <v>0.9126136851792267</v>
      </c>
      <c r="D132" s="30">
        <f>VLOOKUP(CurrentMtgRatesDataTable825[[#This Row],[asOfDate]],G:H,2,0)</f>
        <v>0.87412257034895602</v>
      </c>
      <c r="E132" s="34">
        <f ca="1">VLOOKUP(CurrentMtgRatesDataTable825[[#This Row],[asOfDate]]+1,Bloomberg!B:C,2,0)</f>
        <v>4564.3999999999996</v>
      </c>
      <c r="G132" s="1">
        <v>41452</v>
      </c>
      <c r="H132" s="33">
        <v>0.35042164075900101</v>
      </c>
    </row>
    <row r="133" spans="2:8">
      <c r="B133" s="18">
        <v>41249</v>
      </c>
      <c r="C133" s="30">
        <v>0.9105479087849232</v>
      </c>
      <c r="D133" s="30">
        <f>VLOOKUP(CurrentMtgRatesDataTable825[[#This Row],[asOfDate]],G:H,2,0)</f>
        <v>0.85662578219432695</v>
      </c>
      <c r="E133" s="34">
        <f ca="1">VLOOKUP(CurrentMtgRatesDataTable825[[#This Row],[asOfDate]]+1,Bloomberg!B:C,2,0)</f>
        <v>5368.1</v>
      </c>
      <c r="G133" s="1">
        <v>41458</v>
      </c>
      <c r="H133" s="33">
        <v>0.439218479739446</v>
      </c>
    </row>
    <row r="134" spans="2:8">
      <c r="B134" s="18">
        <v>41242</v>
      </c>
      <c r="C134" s="30">
        <v>0.92756020040727527</v>
      </c>
      <c r="D134" s="30">
        <f>VLOOKUP(CurrentMtgRatesDataTable825[[#This Row],[asOfDate]],G:H,2,0)</f>
        <v>0.86996445945149903</v>
      </c>
      <c r="E134" s="34">
        <f ca="1">VLOOKUP(CurrentMtgRatesDataTable825[[#This Row],[asOfDate]]+1,Bloomberg!B:C,2,0)</f>
        <v>4943</v>
      </c>
      <c r="G134" s="1">
        <v>41466</v>
      </c>
      <c r="H134" s="33">
        <v>0.32003461094412999</v>
      </c>
    </row>
    <row r="135" spans="2:8">
      <c r="B135" s="18">
        <v>41234</v>
      </c>
      <c r="C135" s="30">
        <v>0.9299301195282087</v>
      </c>
      <c r="D135" s="30">
        <f>VLOOKUP(CurrentMtgRatesDataTable825[[#This Row],[asOfDate]],G:H,2,0)</f>
        <v>0.88773399472374204</v>
      </c>
      <c r="E135" s="34" t="e">
        <f ca="1">VLOOKUP(CurrentMtgRatesDataTable825[[#This Row],[asOfDate]]+1,Bloomberg!B:C,2,0)</f>
        <v>#N/A</v>
      </c>
      <c r="G135" s="1">
        <v>41473</v>
      </c>
      <c r="H135" s="33">
        <v>0.407195502334876</v>
      </c>
    </row>
    <row r="136" spans="2:8">
      <c r="B136" s="18">
        <v>41228</v>
      </c>
      <c r="C136" s="30">
        <v>0.92772026190850965</v>
      </c>
      <c r="D136" s="30">
        <f>VLOOKUP(CurrentMtgRatesDataTable825[[#This Row],[asOfDate]],G:H,2,0)</f>
        <v>0.86999483052125803</v>
      </c>
      <c r="E136" s="34">
        <f ca="1">VLOOKUP(CurrentMtgRatesDataTable825[[#This Row],[asOfDate]]+1,Bloomberg!B:C,2,0)</f>
        <v>4702.3999999999996</v>
      </c>
      <c r="G136" s="1">
        <v>41480</v>
      </c>
      <c r="H136" s="33">
        <v>0.40895553727695599</v>
      </c>
    </row>
    <row r="137" spans="2:8">
      <c r="B137" s="18">
        <v>41221</v>
      </c>
      <c r="C137" s="30">
        <v>0.9252942527060104</v>
      </c>
      <c r="D137" s="30">
        <f>VLOOKUP(CurrentMtgRatesDataTable825[[#This Row],[asOfDate]],G:H,2,0)</f>
        <v>0.85194480836680198</v>
      </c>
      <c r="E137" s="34">
        <f ca="1">VLOOKUP(CurrentMtgRatesDataTable825[[#This Row],[asOfDate]]+1,Bloomberg!B:C,2,0)</f>
        <v>4856.1000000000004</v>
      </c>
      <c r="G137" s="1">
        <v>41487</v>
      </c>
      <c r="H137" s="33">
        <v>0.36357930006355599</v>
      </c>
    </row>
    <row r="138" spans="2:8">
      <c r="B138" s="18">
        <v>41214</v>
      </c>
      <c r="C138" s="30">
        <v>0.92571311512973709</v>
      </c>
      <c r="D138" s="30">
        <f>VLOOKUP(CurrentMtgRatesDataTable825[[#This Row],[asOfDate]],G:H,2,0)</f>
        <v>0.85225052894835196</v>
      </c>
      <c r="E138" s="34">
        <f ca="1">VLOOKUP(CurrentMtgRatesDataTable825[[#This Row],[asOfDate]]+1,Bloomberg!B:C,2,0)</f>
        <v>4297.7</v>
      </c>
      <c r="G138" s="1">
        <v>41494</v>
      </c>
      <c r="H138" s="33">
        <v>0.36292296585782302</v>
      </c>
    </row>
    <row r="139" spans="2:8">
      <c r="B139" s="18">
        <v>41207</v>
      </c>
      <c r="C139" s="30">
        <v>0.95079229345734595</v>
      </c>
      <c r="D139" s="30">
        <f>VLOOKUP(CurrentMtgRatesDataTable825[[#This Row],[asOfDate]],G:H,2,0)</f>
        <v>0.87683234085301398</v>
      </c>
      <c r="E139" s="34">
        <f ca="1">VLOOKUP(CurrentMtgRatesDataTable825[[#This Row],[asOfDate]]+1,Bloomberg!B:C,2,0)</f>
        <v>4550.7</v>
      </c>
      <c r="G139" s="1">
        <v>41501</v>
      </c>
      <c r="H139" s="33">
        <v>0.36292296585782302</v>
      </c>
    </row>
    <row r="140" spans="2:8">
      <c r="B140" s="18">
        <v>41200</v>
      </c>
      <c r="C140" s="30">
        <v>0.95277295236812309</v>
      </c>
      <c r="D140" s="30">
        <f>VLOOKUP(CurrentMtgRatesDataTable825[[#This Row],[asOfDate]],G:H,2,0)</f>
        <v>0.89368551357821302</v>
      </c>
      <c r="E140" s="34">
        <f ca="1">VLOOKUP(CurrentMtgRatesDataTable825[[#This Row],[asOfDate]]+1,Bloomberg!B:C,2,0)</f>
        <v>4847.2</v>
      </c>
      <c r="G140" s="1">
        <v>41508</v>
      </c>
      <c r="H140" s="33">
        <v>0.28848466841060699</v>
      </c>
    </row>
    <row r="141" spans="2:8">
      <c r="B141" s="18">
        <v>41193</v>
      </c>
      <c r="C141" s="30">
        <v>0.95159604304738465</v>
      </c>
      <c r="D141" s="30">
        <f>VLOOKUP(CurrentMtgRatesDataTable825[[#This Row],[asOfDate]],G:H,2,0)</f>
        <v>0.87811016351224602</v>
      </c>
      <c r="E141" s="34">
        <f ca="1">VLOOKUP(CurrentMtgRatesDataTable825[[#This Row],[asOfDate]]+1,Bloomberg!B:C,2,0)</f>
        <v>5572.2</v>
      </c>
      <c r="G141" s="1">
        <v>41515</v>
      </c>
      <c r="H141" s="33">
        <v>0.32738957382411199</v>
      </c>
    </row>
    <row r="142" spans="2:8">
      <c r="B142" s="18">
        <v>41186</v>
      </c>
      <c r="C142" s="30">
        <v>0.95362908529618629</v>
      </c>
      <c r="D142" s="30">
        <f>VLOOKUP(CurrentMtgRatesDataTable825[[#This Row],[asOfDate]],G:H,2,0)</f>
        <v>0.89522709255279198</v>
      </c>
      <c r="E142" s="34">
        <f ca="1">VLOOKUP(CurrentMtgRatesDataTable825[[#This Row],[asOfDate]]+1,Bloomberg!B:C,2,0)</f>
        <v>5892.5</v>
      </c>
      <c r="G142" s="1">
        <v>41522</v>
      </c>
      <c r="H142" s="33">
        <v>0.29894428975906101</v>
      </c>
    </row>
    <row r="143" spans="2:8">
      <c r="B143" s="18">
        <v>41179</v>
      </c>
      <c r="C143" s="30">
        <v>0.96459917415866681</v>
      </c>
      <c r="D143" s="30">
        <f>VLOOKUP(CurrentMtgRatesDataTable825[[#This Row],[asOfDate]],G:H,2,0)</f>
        <v>0.91259028169208301</v>
      </c>
      <c r="E143" s="34">
        <f ca="1">VLOOKUP(CurrentMtgRatesDataTable825[[#This Row],[asOfDate]]+1,Bloomberg!B:C,2,0)</f>
        <v>5965.5</v>
      </c>
      <c r="G143" s="1">
        <v>41529</v>
      </c>
      <c r="H143" s="33">
        <v>0.28251411119681702</v>
      </c>
    </row>
    <row r="144" spans="2:8">
      <c r="B144" s="18">
        <v>41172</v>
      </c>
      <c r="C144" s="30">
        <v>0.95891425076544745</v>
      </c>
      <c r="D144" s="30">
        <f>VLOOKUP(CurrentMtgRatesDataTable825[[#This Row],[asOfDate]],G:H,2,0)</f>
        <v>0.87344930653794395</v>
      </c>
      <c r="E144" s="34">
        <f ca="1">VLOOKUP(CurrentMtgRatesDataTable825[[#This Row],[asOfDate]]+1,Bloomberg!B:C,2,0)</f>
        <v>4979</v>
      </c>
      <c r="G144" s="1">
        <v>41536</v>
      </c>
      <c r="H144" s="33">
        <v>0.32091811677951898</v>
      </c>
    </row>
    <row r="145" spans="2:8">
      <c r="B145" s="18">
        <v>41165</v>
      </c>
      <c r="C145" s="30">
        <v>0.94047646256577366</v>
      </c>
      <c r="D145" s="30">
        <f>VLOOKUP(CurrentMtgRatesDataTable825[[#This Row],[asOfDate]],G:H,2,0)</f>
        <v>0.85731125996939705</v>
      </c>
      <c r="E145" s="34">
        <f ca="1">VLOOKUP(CurrentMtgRatesDataTable825[[#This Row],[asOfDate]]+1,Bloomberg!B:C,2,0)</f>
        <v>4823.3</v>
      </c>
      <c r="G145" s="1">
        <v>41543</v>
      </c>
      <c r="H145" s="33">
        <v>0.41607421536967498</v>
      </c>
    </row>
    <row r="146" spans="2:8">
      <c r="B146" s="18">
        <v>41158</v>
      </c>
      <c r="C146" s="30">
        <v>0.91761037893987563</v>
      </c>
      <c r="D146" s="30">
        <f>VLOOKUP(CurrentMtgRatesDataTable825[[#This Row],[asOfDate]],G:H,2,0)</f>
        <v>0.854493626143913</v>
      </c>
      <c r="E146" s="34">
        <f ca="1">VLOOKUP(CurrentMtgRatesDataTable825[[#This Row],[asOfDate]]+1,Bloomberg!B:C,2,0)</f>
        <v>4779.1000000000004</v>
      </c>
      <c r="G146" s="1">
        <v>41550</v>
      </c>
      <c r="H146" s="33">
        <v>0.43751781158176101</v>
      </c>
    </row>
    <row r="147" spans="2:8">
      <c r="B147" s="18">
        <v>41151</v>
      </c>
      <c r="C147" s="30">
        <v>0.92408794393225557</v>
      </c>
      <c r="D147" s="30">
        <f>VLOOKUP(CurrentMtgRatesDataTable825[[#This Row],[asOfDate]],G:H,2,0)</f>
        <v>0.86745968477328095</v>
      </c>
      <c r="E147" s="34">
        <f ca="1">VLOOKUP(CurrentMtgRatesDataTable825[[#This Row],[asOfDate]]+1,Bloomberg!B:C,2,0)</f>
        <v>4274.8</v>
      </c>
      <c r="G147" s="1">
        <v>41557</v>
      </c>
      <c r="H147" s="33">
        <v>0.43701315967767701</v>
      </c>
    </row>
    <row r="148" spans="2:8">
      <c r="B148" s="18">
        <v>41144</v>
      </c>
      <c r="C148" s="30">
        <v>0.85694996797233836</v>
      </c>
      <c r="D148" s="30">
        <f>VLOOKUP(CurrentMtgRatesDataTable825[[#This Row],[asOfDate]],G:H,2,0)</f>
        <v>0.83819941388679298</v>
      </c>
      <c r="E148" s="34">
        <f ca="1">VLOOKUP(CurrentMtgRatesDataTable825[[#This Row],[asOfDate]]+1,Bloomberg!B:C,2,0)</f>
        <v>4414.6000000000004</v>
      </c>
      <c r="G148" s="1">
        <v>41564</v>
      </c>
      <c r="H148" s="33">
        <v>0.40902347477168999</v>
      </c>
    </row>
    <row r="149" spans="2:8">
      <c r="B149" s="18">
        <v>41137</v>
      </c>
      <c r="C149" s="30">
        <v>0.88445471641937157</v>
      </c>
      <c r="D149" s="30">
        <f>VLOOKUP(CurrentMtgRatesDataTable825[[#This Row],[asOfDate]],G:H,2,0)</f>
        <v>0.85198632502448901</v>
      </c>
      <c r="E149" s="34">
        <f ca="1">VLOOKUP(CurrentMtgRatesDataTable825[[#This Row],[asOfDate]]+1,Bloomberg!B:C,2,0)</f>
        <v>4671.1000000000004</v>
      </c>
      <c r="G149" s="1">
        <v>41571</v>
      </c>
      <c r="H149" s="33">
        <v>0.45648777309490202</v>
      </c>
    </row>
    <row r="150" spans="2:8">
      <c r="B150" s="18">
        <v>41130</v>
      </c>
      <c r="C150" s="30">
        <v>0.92408794393225557</v>
      </c>
      <c r="D150" s="30">
        <f>VLOOKUP(CurrentMtgRatesDataTable825[[#This Row],[asOfDate]],G:H,2,0)</f>
        <v>0.86745968477328095</v>
      </c>
      <c r="E150" s="34">
        <f ca="1">VLOOKUP(CurrentMtgRatesDataTable825[[#This Row],[asOfDate]]+1,Bloomberg!B:C,2,0)</f>
        <v>5172.2</v>
      </c>
      <c r="G150" s="1">
        <v>41578</v>
      </c>
      <c r="H150" s="33">
        <v>0.47501022290439499</v>
      </c>
    </row>
    <row r="151" spans="2:8">
      <c r="B151" s="18">
        <v>41123</v>
      </c>
      <c r="C151" s="30">
        <v>0.9385222539497815</v>
      </c>
      <c r="D151" s="30">
        <f>VLOOKUP(CurrentMtgRatesDataTable825[[#This Row],[asOfDate]],G:H,2,0)</f>
        <v>0.86768818253450297</v>
      </c>
      <c r="E151" s="34">
        <f ca="1">VLOOKUP(CurrentMtgRatesDataTable825[[#This Row],[asOfDate]]+1,Bloomberg!B:C,2,0)</f>
        <v>5444.3</v>
      </c>
      <c r="G151" s="1">
        <v>41585</v>
      </c>
      <c r="H151" s="33">
        <v>0.44788779304034998</v>
      </c>
    </row>
    <row r="152" spans="2:8">
      <c r="B152" s="18">
        <v>41116</v>
      </c>
      <c r="C152" s="30">
        <v>0.98451993370244106</v>
      </c>
      <c r="D152" s="30">
        <f>VLOOKUP(CurrentMtgRatesDataTable825[[#This Row],[asOfDate]],G:H,2,0)</f>
        <v>0.89814744996460805</v>
      </c>
      <c r="E152" s="34">
        <f ca="1">VLOOKUP(CurrentMtgRatesDataTable825[[#This Row],[asOfDate]]+1,Bloomberg!B:C,2,0)</f>
        <v>5492.1</v>
      </c>
      <c r="G152" s="1">
        <v>41592</v>
      </c>
      <c r="H152" s="33">
        <v>0.37120289750535601</v>
      </c>
    </row>
    <row r="153" spans="2:8">
      <c r="B153" s="18">
        <v>41109</v>
      </c>
      <c r="C153" s="30">
        <v>0.97186924857158052</v>
      </c>
      <c r="D153" s="30">
        <f>VLOOKUP(CurrentMtgRatesDataTable825[[#This Row],[asOfDate]],G:H,2,0)</f>
        <v>0.88516739973977598</v>
      </c>
      <c r="E153" s="34">
        <f ca="1">VLOOKUP(CurrentMtgRatesDataTable825[[#This Row],[asOfDate]]+1,Bloomberg!B:C,2,0)</f>
        <v>5383.1</v>
      </c>
      <c r="G153" s="1">
        <v>41599</v>
      </c>
      <c r="H153" s="33">
        <v>0.42989701258795199</v>
      </c>
    </row>
    <row r="154" spans="2:8">
      <c r="B154" s="18">
        <v>41102</v>
      </c>
      <c r="C154" s="30">
        <v>0.94551237246929465</v>
      </c>
      <c r="D154" s="30">
        <f>VLOOKUP(CurrentMtgRatesDataTable825[[#This Row],[asOfDate]],G:H,2,0)</f>
        <v>0.88265848165302496</v>
      </c>
      <c r="E154" s="34">
        <f ca="1">VLOOKUP(CurrentMtgRatesDataTable825[[#This Row],[asOfDate]]+1,Bloomberg!B:C,2,0)</f>
        <v>5246.8</v>
      </c>
      <c r="G154" s="1">
        <v>41605</v>
      </c>
      <c r="H154" s="33">
        <v>0.401262959025458</v>
      </c>
    </row>
    <row r="155" spans="2:8">
      <c r="B155" s="18">
        <v>41095</v>
      </c>
      <c r="C155" s="30">
        <v>0.8819114104860859</v>
      </c>
      <c r="D155" s="30">
        <f>VLOOKUP(CurrentMtgRatesDataTable825[[#This Row],[asOfDate]],G:H,2,0)</f>
        <v>0.85531584833132801</v>
      </c>
      <c r="E155" s="34">
        <f ca="1">VLOOKUP(CurrentMtgRatesDataTable825[[#This Row],[asOfDate]]+1,Bloomberg!B:C,2,0)</f>
        <v>4267.8999999999996</v>
      </c>
      <c r="G155" s="1">
        <v>41613</v>
      </c>
      <c r="H155" s="33">
        <v>0.331227934580689</v>
      </c>
    </row>
    <row r="156" spans="2:8">
      <c r="B156" s="18">
        <v>41088</v>
      </c>
      <c r="C156" s="30">
        <v>0.89407594990163874</v>
      </c>
      <c r="D156" s="30">
        <f>VLOOKUP(CurrentMtgRatesDataTable825[[#This Row],[asOfDate]],G:H,2,0)</f>
        <v>0.86306170802286497</v>
      </c>
      <c r="E156" s="34">
        <f ca="1">VLOOKUP(CurrentMtgRatesDataTable825[[#This Row],[asOfDate]]+1,Bloomberg!B:C,2,0)</f>
        <v>4372.2</v>
      </c>
      <c r="G156" s="1">
        <v>41620</v>
      </c>
      <c r="H156" s="33">
        <v>0.33082970500556302</v>
      </c>
    </row>
    <row r="157" spans="2:8">
      <c r="B157" s="18">
        <v>41081</v>
      </c>
      <c r="C157" s="30">
        <v>0.89407594990163874</v>
      </c>
      <c r="D157" s="30">
        <f>VLOOKUP(CurrentMtgRatesDataTable825[[#This Row],[asOfDate]],G:H,2,0)</f>
        <v>0.86306170802286497</v>
      </c>
      <c r="E157" s="34">
        <f ca="1">VLOOKUP(CurrentMtgRatesDataTable825[[#This Row],[asOfDate]]+1,Bloomberg!B:C,2,0)</f>
        <v>4585.8</v>
      </c>
      <c r="G157" s="1">
        <v>41627</v>
      </c>
      <c r="H157" s="33">
        <v>0.29198850689481598</v>
      </c>
    </row>
    <row r="158" spans="2:8">
      <c r="B158" s="18">
        <v>41074</v>
      </c>
      <c r="C158" s="30">
        <v>0.88667449797815956</v>
      </c>
      <c r="D158" s="30">
        <f>VLOOKUP(CurrentMtgRatesDataTable825[[#This Row],[asOfDate]],G:H,2,0)</f>
        <v>0.84549296973434196</v>
      </c>
      <c r="E158" s="34">
        <f ca="1">VLOOKUP(CurrentMtgRatesDataTable825[[#This Row],[asOfDate]]+1,Bloomberg!B:C,2,0)</f>
        <v>4719.6000000000004</v>
      </c>
      <c r="G158" s="1">
        <v>41634</v>
      </c>
      <c r="H158" s="33">
        <v>0.29162362501885603</v>
      </c>
    </row>
    <row r="159" spans="2:8">
      <c r="B159" s="18">
        <v>41067</v>
      </c>
      <c r="C159" s="30">
        <v>0.8920195449585564</v>
      </c>
      <c r="D159" s="30">
        <f>VLOOKUP(CurrentMtgRatesDataTable825[[#This Row],[asOfDate]],G:H,2,0)</f>
        <v>0.86243439572202496</v>
      </c>
      <c r="E159" s="34">
        <f ca="1">VLOOKUP(CurrentMtgRatesDataTable825[[#This Row],[asOfDate]]+1,Bloomberg!B:C,2,0)</f>
        <v>5590</v>
      </c>
      <c r="G159" s="1">
        <v>41641</v>
      </c>
      <c r="H159" s="33">
        <v>0.265306805945277</v>
      </c>
    </row>
    <row r="160" spans="2:8">
      <c r="B160" s="18">
        <v>41060</v>
      </c>
      <c r="C160" s="30">
        <v>0.89512122084695944</v>
      </c>
      <c r="D160" s="30">
        <f>VLOOKUP(CurrentMtgRatesDataTable825[[#This Row],[asOfDate]],G:H,2,0)</f>
        <v>0.83268888035603505</v>
      </c>
      <c r="E160" s="34">
        <f ca="1">VLOOKUP(CurrentMtgRatesDataTable825[[#This Row],[asOfDate]]+1,Bloomberg!B:C,2,0)</f>
        <v>4736</v>
      </c>
      <c r="G160" s="1">
        <v>41648</v>
      </c>
      <c r="H160" s="33">
        <v>0.29015447722721099</v>
      </c>
    </row>
    <row r="161" spans="2:8">
      <c r="B161" s="18">
        <v>41053</v>
      </c>
      <c r="C161" s="30">
        <v>0.89443957907281746</v>
      </c>
      <c r="D161" s="30">
        <f>VLOOKUP(CurrentMtgRatesDataTable825[[#This Row],[asOfDate]],G:H,2,0)</f>
        <v>0.82948257912141399</v>
      </c>
      <c r="E161" s="34">
        <f ca="1">VLOOKUP(CurrentMtgRatesDataTable825[[#This Row],[asOfDate]]+1,Bloomberg!B:C,2,0)</f>
        <v>4675.8999999999996</v>
      </c>
      <c r="G161" s="1">
        <v>41655</v>
      </c>
      <c r="H161" s="33">
        <v>0.32467403778332998</v>
      </c>
    </row>
    <row r="162" spans="2:8">
      <c r="B162" s="18">
        <v>41046</v>
      </c>
      <c r="C162" s="30">
        <v>0.8948997967143093</v>
      </c>
      <c r="D162" s="30">
        <f>VLOOKUP(CurrentMtgRatesDataTable825[[#This Row],[asOfDate]],G:H,2,0)</f>
        <v>0.83152220645888697</v>
      </c>
      <c r="E162" s="34">
        <f ca="1">VLOOKUP(CurrentMtgRatesDataTable825[[#This Row],[asOfDate]]+1,Bloomberg!B:C,2,0)</f>
        <v>4732</v>
      </c>
      <c r="G162" s="1">
        <v>41662</v>
      </c>
      <c r="H162" s="33">
        <v>0.32547727058860199</v>
      </c>
    </row>
    <row r="163" spans="2:8">
      <c r="B163" s="18">
        <v>41039</v>
      </c>
      <c r="C163" s="30">
        <v>0.89337268606647302</v>
      </c>
      <c r="D163" s="30">
        <f>VLOOKUP(CurrentMtgRatesDataTable825[[#This Row],[asOfDate]],G:H,2,0)</f>
        <v>0.807152941952609</v>
      </c>
      <c r="E163" s="34">
        <f ca="1">VLOOKUP(CurrentMtgRatesDataTable825[[#This Row],[asOfDate]]+1,Bloomberg!B:C,2,0)</f>
        <v>4482</v>
      </c>
      <c r="G163" s="1">
        <v>41669</v>
      </c>
      <c r="H163" s="33">
        <v>0.38449844249950499</v>
      </c>
    </row>
    <row r="164" spans="2:8">
      <c r="B164" s="18">
        <v>41032</v>
      </c>
      <c r="C164" s="30">
        <v>0.89225108632442729</v>
      </c>
      <c r="D164" s="30">
        <f>VLOOKUP(CurrentMtgRatesDataTable825[[#This Row],[asOfDate]],G:H,2,0)</f>
        <v>0.80437080516661097</v>
      </c>
      <c r="E164" s="34">
        <f ca="1">VLOOKUP(CurrentMtgRatesDataTable825[[#This Row],[asOfDate]]+1,Bloomberg!B:C,2,0)</f>
        <v>3924.4</v>
      </c>
      <c r="G164" s="1">
        <v>41676</v>
      </c>
      <c r="H164" s="33">
        <v>0.407383000493176</v>
      </c>
    </row>
    <row r="165" spans="2:8">
      <c r="B165" s="18">
        <v>41025</v>
      </c>
      <c r="C165" s="30">
        <v>0.90849340717481886</v>
      </c>
      <c r="D165" s="30">
        <f>VLOOKUP(CurrentMtgRatesDataTable825[[#This Row],[asOfDate]],G:H,2,0)</f>
        <v>0.80193881910043296</v>
      </c>
      <c r="E165" s="34">
        <f ca="1">VLOOKUP(CurrentMtgRatesDataTable825[[#This Row],[asOfDate]]+1,Bloomberg!B:C,2,0)</f>
        <v>3856</v>
      </c>
      <c r="G165" s="1">
        <v>41683</v>
      </c>
      <c r="H165" s="33">
        <v>0.380280894786581</v>
      </c>
    </row>
    <row r="166" spans="2:8">
      <c r="B166" s="18">
        <v>41018</v>
      </c>
      <c r="C166" s="30">
        <v>0.9034983903169389</v>
      </c>
      <c r="D166" s="30">
        <f>VLOOKUP(CurrentMtgRatesDataTable825[[#This Row],[asOfDate]],G:H,2,0)</f>
        <v>0.77781138796328697</v>
      </c>
      <c r="E166" s="34">
        <f ca="1">VLOOKUP(CurrentMtgRatesDataTable825[[#This Row],[asOfDate]]+1,Bloomberg!B:C,2,0)</f>
        <v>3892.2</v>
      </c>
      <c r="G166" s="1">
        <v>41690</v>
      </c>
      <c r="H166" s="33">
        <v>0.35043602810261099</v>
      </c>
    </row>
    <row r="167" spans="2:8">
      <c r="B167" s="18">
        <v>41011</v>
      </c>
      <c r="C167" s="30">
        <v>0.90849340717481886</v>
      </c>
      <c r="D167" s="30">
        <f>VLOOKUP(CurrentMtgRatesDataTable825[[#This Row],[asOfDate]],G:H,2,0)</f>
        <v>0.80193881910043296</v>
      </c>
      <c r="E167" s="34">
        <f ca="1">VLOOKUP(CurrentMtgRatesDataTable825[[#This Row],[asOfDate]]+1,Bloomberg!B:C,2,0)</f>
        <v>4144.3</v>
      </c>
      <c r="G167" s="1">
        <v>41697</v>
      </c>
      <c r="H167" s="33">
        <v>0.34853875137296803</v>
      </c>
    </row>
    <row r="168" spans="2:8">
      <c r="B168" s="18">
        <v>41004</v>
      </c>
      <c r="C168" s="30">
        <v>0.86928745494692716</v>
      </c>
      <c r="D168" s="30">
        <f>VLOOKUP(CurrentMtgRatesDataTable825[[#This Row],[asOfDate]],G:H,2,0)</f>
        <v>0.75253147533014197</v>
      </c>
      <c r="E168" s="34">
        <f ca="1">VLOOKUP(CurrentMtgRatesDataTable825[[#This Row],[asOfDate]]+1,Bloomberg!B:C,2,0)</f>
        <v>3549.3</v>
      </c>
      <c r="G168" s="1">
        <v>41704</v>
      </c>
      <c r="H168" s="33">
        <v>0.37584545219724702</v>
      </c>
    </row>
    <row r="169" spans="2:8">
      <c r="B169" s="18">
        <v>40997</v>
      </c>
      <c r="C169" s="30">
        <v>0.87490910290764468</v>
      </c>
      <c r="D169" s="30">
        <f>VLOOKUP(CurrentMtgRatesDataTable825[[#This Row],[asOfDate]],G:H,2,0)</f>
        <v>0.749723434167341</v>
      </c>
      <c r="E169" s="34">
        <f ca="1">VLOOKUP(CurrentMtgRatesDataTable825[[#This Row],[asOfDate]]+1,Bloomberg!B:C,2,0)</f>
        <v>3699.5</v>
      </c>
      <c r="G169" s="1">
        <v>41711</v>
      </c>
      <c r="H169" s="33">
        <v>0.34537825411835699</v>
      </c>
    </row>
    <row r="170" spans="2:8">
      <c r="B170" s="18">
        <v>40990</v>
      </c>
      <c r="C170" s="30">
        <v>0.78959380464288376</v>
      </c>
      <c r="D170" s="30">
        <f>VLOOKUP(CurrentMtgRatesDataTable825[[#This Row],[asOfDate]],G:H,2,0)</f>
        <v>0.69937061468571404</v>
      </c>
      <c r="E170" s="34">
        <f ca="1">VLOOKUP(CurrentMtgRatesDataTable825[[#This Row],[asOfDate]]+1,Bloomberg!B:C,2,0)</f>
        <v>3588.4</v>
      </c>
      <c r="G170" s="1">
        <v>41718</v>
      </c>
      <c r="H170" s="33">
        <v>0.37475184713589199</v>
      </c>
    </row>
    <row r="171" spans="2:8">
      <c r="B171" s="18">
        <v>40983</v>
      </c>
      <c r="C171" s="30">
        <v>0.90514599034862198</v>
      </c>
      <c r="D171" s="30">
        <f>VLOOKUP(CurrentMtgRatesDataTable825[[#This Row],[asOfDate]],G:H,2,0)</f>
        <v>0.77421402081353796</v>
      </c>
      <c r="E171" s="34">
        <f ca="1">VLOOKUP(CurrentMtgRatesDataTable825[[#This Row],[asOfDate]]+1,Bloomberg!B:C,2,0)</f>
        <v>3715.2</v>
      </c>
      <c r="G171" s="1">
        <v>41725</v>
      </c>
      <c r="H171" s="33">
        <v>0.34373332978073601</v>
      </c>
    </row>
    <row r="172" spans="2:8">
      <c r="B172" s="18">
        <v>40976</v>
      </c>
      <c r="C172" s="30">
        <v>0.91902765125865959</v>
      </c>
      <c r="D172" s="30">
        <f>VLOOKUP(CurrentMtgRatesDataTable825[[#This Row],[asOfDate]],G:H,2,0)</f>
        <v>0.78283886771012201</v>
      </c>
      <c r="E172" s="34">
        <f ca="1">VLOOKUP(CurrentMtgRatesDataTable825[[#This Row],[asOfDate]]+1,Bloomberg!B:C,2,0)</f>
        <v>4063.4</v>
      </c>
      <c r="G172" s="1">
        <v>41732</v>
      </c>
      <c r="H172" s="33">
        <v>0.31383635422742501</v>
      </c>
    </row>
    <row r="173" spans="2:8">
      <c r="B173" s="18">
        <v>40969</v>
      </c>
      <c r="C173" s="30">
        <v>0.91584710240533518</v>
      </c>
      <c r="D173" s="30">
        <f>VLOOKUP(CurrentMtgRatesDataTable825[[#This Row],[asOfDate]],G:H,2,0)</f>
        <v>0.77480777056815697</v>
      </c>
      <c r="E173" s="34">
        <f ca="1">VLOOKUP(CurrentMtgRatesDataTable825[[#This Row],[asOfDate]]+1,Bloomberg!B:C,2,0)</f>
        <v>4277.6000000000004</v>
      </c>
      <c r="G173" s="1">
        <v>41739</v>
      </c>
      <c r="H173" s="33">
        <v>0.34451093908200903</v>
      </c>
    </row>
    <row r="174" spans="2:8">
      <c r="B174" s="18">
        <v>40962</v>
      </c>
      <c r="C174" s="30">
        <v>0.90921329115869776</v>
      </c>
      <c r="D174" s="30">
        <f>VLOOKUP(CurrentMtgRatesDataTable825[[#This Row],[asOfDate]],G:H,2,0)</f>
        <v>0.76669716579457303</v>
      </c>
      <c r="E174" s="34">
        <f ca="1">VLOOKUP(CurrentMtgRatesDataTable825[[#This Row],[asOfDate]]+1,Bloomberg!B:C,2,0)</f>
        <v>4379.1000000000004</v>
      </c>
      <c r="G174" s="1">
        <v>41746</v>
      </c>
      <c r="H174" s="33">
        <v>0.37550642358643799</v>
      </c>
    </row>
    <row r="175" spans="2:8">
      <c r="B175" s="18">
        <v>40955</v>
      </c>
      <c r="C175" s="30">
        <v>0.94107838104995334</v>
      </c>
      <c r="D175" s="30">
        <f>VLOOKUP(CurrentMtgRatesDataTable825[[#This Row],[asOfDate]],G:H,2,0)</f>
        <v>0.79842547980239797</v>
      </c>
      <c r="E175" s="34">
        <f ca="1">VLOOKUP(CurrentMtgRatesDataTable825[[#This Row],[asOfDate]]+1,Bloomberg!B:C,2,0)</f>
        <v>4466.8999999999996</v>
      </c>
      <c r="G175" s="1">
        <v>41753</v>
      </c>
      <c r="H175" s="33">
        <v>0.37394334466633</v>
      </c>
    </row>
    <row r="176" spans="2:8">
      <c r="B176" s="18">
        <v>40948</v>
      </c>
      <c r="C176" s="30">
        <v>0.94107838104995334</v>
      </c>
      <c r="D176" s="30">
        <f>VLOOKUP(CurrentMtgRatesDataTable825[[#This Row],[asOfDate]],G:H,2,0)</f>
        <v>0.79842547980239797</v>
      </c>
      <c r="E176" s="34">
        <f ca="1">VLOOKUP(CurrentMtgRatesDataTable825[[#This Row],[asOfDate]]+1,Bloomberg!B:C,2,0)</f>
        <v>4716.1000000000004</v>
      </c>
      <c r="G176" s="1">
        <v>41760</v>
      </c>
      <c r="H176" s="33">
        <v>0.37348002875422498</v>
      </c>
    </row>
    <row r="177" spans="2:8">
      <c r="B177" s="18">
        <v>40941</v>
      </c>
      <c r="C177" s="30">
        <v>0.94107838104995334</v>
      </c>
      <c r="D177" s="30">
        <f>VLOOKUP(CurrentMtgRatesDataTable825[[#This Row],[asOfDate]],G:H,2,0)</f>
        <v>0.79842547980239797</v>
      </c>
      <c r="E177" s="34">
        <f ca="1">VLOOKUP(CurrentMtgRatesDataTable825[[#This Row],[asOfDate]]+1,Bloomberg!B:C,2,0)</f>
        <v>4617.1000000000004</v>
      </c>
      <c r="G177" s="1">
        <v>41767</v>
      </c>
      <c r="H177" s="33">
        <v>0.42315654967107302</v>
      </c>
    </row>
    <row r="178" spans="2:8">
      <c r="B178" s="18">
        <v>40934</v>
      </c>
      <c r="C178" s="30">
        <v>0.91861521434498927</v>
      </c>
      <c r="D178" s="30">
        <f>VLOOKUP(CurrentMtgRatesDataTable825[[#This Row],[asOfDate]],G:H,2,0)</f>
        <v>0.78339393568549298</v>
      </c>
      <c r="E178" s="34">
        <f ca="1">VLOOKUP(CurrentMtgRatesDataTable825[[#This Row],[asOfDate]]+1,Bloomberg!B:C,2,0)</f>
        <v>4184.3</v>
      </c>
      <c r="G178" s="1">
        <v>41774</v>
      </c>
      <c r="H178" s="33">
        <v>0.42349289634896597</v>
      </c>
    </row>
    <row r="179" spans="2:8">
      <c r="B179" s="18">
        <v>40927</v>
      </c>
      <c r="C179" s="30">
        <v>0.95182771809710431</v>
      </c>
      <c r="D179" s="30">
        <f>VLOOKUP(CurrentMtgRatesDataTable825[[#This Row],[asOfDate]],G:H,2,0)</f>
        <v>0.81461584859780101</v>
      </c>
      <c r="E179" s="34">
        <f ca="1">VLOOKUP(CurrentMtgRatesDataTable825[[#This Row],[asOfDate]]+1,Bloomberg!B:C,2,0)</f>
        <v>4326.3999999999996</v>
      </c>
      <c r="G179" s="1">
        <v>41781</v>
      </c>
      <c r="H179" s="33">
        <v>0.44562837110466802</v>
      </c>
    </row>
    <row r="180" spans="2:8">
      <c r="B180" s="18">
        <v>40920</v>
      </c>
      <c r="C180" s="30">
        <v>0.95320351892281485</v>
      </c>
      <c r="D180" s="30">
        <f>VLOOKUP(CurrentMtgRatesDataTable825[[#This Row],[asOfDate]],G:H,2,0)</f>
        <v>0.81626218699844599</v>
      </c>
      <c r="E180" s="34">
        <f ca="1">VLOOKUP(CurrentMtgRatesDataTable825[[#This Row],[asOfDate]]+1,Bloomberg!B:C,2,0)</f>
        <v>4626.5</v>
      </c>
      <c r="G180" s="1">
        <v>41788</v>
      </c>
      <c r="H180" s="33">
        <v>0.44740081291084099</v>
      </c>
    </row>
    <row r="181" spans="2:8">
      <c r="B181" s="18">
        <v>40913</v>
      </c>
      <c r="C181" s="30">
        <v>0.94481773750585774</v>
      </c>
      <c r="D181" s="30">
        <f>VLOOKUP(CurrentMtgRatesDataTable825[[#This Row],[asOfDate]],G:H,2,0)</f>
        <v>0.80629912189469399</v>
      </c>
      <c r="E181" s="34">
        <f ca="1">VLOOKUP(CurrentMtgRatesDataTable825[[#This Row],[asOfDate]]+1,Bloomberg!B:C,2,0)</f>
        <v>3668.3</v>
      </c>
      <c r="G181" s="1">
        <v>41795</v>
      </c>
      <c r="H181" s="33">
        <v>0.447997908024105</v>
      </c>
    </row>
    <row r="182" spans="2:8">
      <c r="B182" s="18">
        <v>40906</v>
      </c>
      <c r="C182" s="30">
        <v>0.94762260030460288</v>
      </c>
      <c r="D182" s="30">
        <f>VLOOKUP(CurrentMtgRatesDataTable825[[#This Row],[asOfDate]],G:H,2,0)</f>
        <v>0.81734633197465201</v>
      </c>
      <c r="E182" s="34">
        <f ca="1">VLOOKUP(CurrentMtgRatesDataTable825[[#This Row],[asOfDate]]+1,Bloomberg!B:C,2,0)</f>
        <v>3608.1</v>
      </c>
      <c r="G182" s="1">
        <v>41802</v>
      </c>
      <c r="H182" s="33">
        <v>0.42258598579352902</v>
      </c>
    </row>
    <row r="183" spans="2:8">
      <c r="B183" s="18">
        <v>40899</v>
      </c>
      <c r="C183" s="30">
        <v>0.9601958662364245</v>
      </c>
      <c r="D183" s="30">
        <f>VLOOKUP(CurrentMtgRatesDataTable825[[#This Row],[asOfDate]],G:H,2,0)</f>
        <v>0.82537040355923197</v>
      </c>
      <c r="E183" s="34">
        <f ca="1">VLOOKUP(CurrentMtgRatesDataTable825[[#This Row],[asOfDate]]+1,Bloomberg!B:C,2,0)</f>
        <v>3684.5</v>
      </c>
      <c r="G183" s="1">
        <v>41809</v>
      </c>
      <c r="H183" s="33">
        <v>0.42434402519227898</v>
      </c>
    </row>
    <row r="184" spans="2:8">
      <c r="B184" s="18">
        <v>40892</v>
      </c>
      <c r="C184" s="30">
        <v>0.93969161247928745</v>
      </c>
      <c r="D184" s="30">
        <f>VLOOKUP(CurrentMtgRatesDataTable825[[#This Row],[asOfDate]],G:H,2,0)</f>
        <v>0.79646175435893696</v>
      </c>
      <c r="E184" s="34">
        <f ca="1">VLOOKUP(CurrentMtgRatesDataTable825[[#This Row],[asOfDate]]+1,Bloomberg!B:C,2,0)</f>
        <v>3676.1</v>
      </c>
      <c r="G184" s="1">
        <v>41816</v>
      </c>
      <c r="H184" s="33">
        <v>0.447997908024105</v>
      </c>
    </row>
    <row r="185" spans="2:8">
      <c r="B185" s="18">
        <v>40885</v>
      </c>
      <c r="C185" s="30">
        <v>0.9248746068169833</v>
      </c>
      <c r="D185" s="30">
        <f>VLOOKUP(CurrentMtgRatesDataTable825[[#This Row],[asOfDate]],G:H,2,0)</f>
        <v>0.79445840936885304</v>
      </c>
      <c r="E185" s="34">
        <f ca="1">VLOOKUP(CurrentMtgRatesDataTable825[[#This Row],[asOfDate]]+1,Bloomberg!B:C,2,0)</f>
        <v>3708.6</v>
      </c>
      <c r="G185" s="1">
        <v>41823</v>
      </c>
      <c r="H185" s="33">
        <v>0.47241973099249801</v>
      </c>
    </row>
    <row r="186" spans="2:8">
      <c r="B186" s="18">
        <v>40878</v>
      </c>
      <c r="C186" s="30">
        <v>0.91542628506626045</v>
      </c>
      <c r="D186" s="30">
        <f>VLOOKUP(CurrentMtgRatesDataTable825[[#This Row],[asOfDate]],G:H,2,0)</f>
        <v>0.79441104681633201</v>
      </c>
      <c r="E186" s="34">
        <f ca="1">VLOOKUP(CurrentMtgRatesDataTable825[[#This Row],[asOfDate]]+1,Bloomberg!B:C,2,0)</f>
        <v>3394.7</v>
      </c>
      <c r="G186" s="1">
        <v>41830</v>
      </c>
      <c r="H186" s="33">
        <v>0.41926854513922601</v>
      </c>
    </row>
    <row r="187" spans="2:8">
      <c r="B187" s="18">
        <v>40870</v>
      </c>
      <c r="C187" s="30">
        <v>0.94997170807452469</v>
      </c>
      <c r="D187" s="30">
        <f>VLOOKUP(CurrentMtgRatesDataTable825[[#This Row],[asOfDate]],G:H,2,0)</f>
        <v>0.80850149462655696</v>
      </c>
      <c r="E187" s="34" t="e">
        <f ca="1">VLOOKUP(CurrentMtgRatesDataTable825[[#This Row],[asOfDate]]+1,Bloomberg!B:C,2,0)</f>
        <v>#N/A</v>
      </c>
      <c r="G187" s="1">
        <v>41837</v>
      </c>
      <c r="H187" s="33">
        <v>0.44241787954298001</v>
      </c>
    </row>
    <row r="188" spans="2:8">
      <c r="B188" s="18">
        <v>40864</v>
      </c>
      <c r="C188" s="30">
        <v>0.93485323798856346</v>
      </c>
      <c r="D188" s="30">
        <f>VLOOKUP(CurrentMtgRatesDataTable825[[#This Row],[asOfDate]],G:H,2,0)</f>
        <v>0.80719780316763601</v>
      </c>
      <c r="E188" s="34">
        <f ca="1">VLOOKUP(CurrentMtgRatesDataTable825[[#This Row],[asOfDate]]+1,Bloomberg!B:C,2,0)</f>
        <v>3466.8</v>
      </c>
      <c r="G188" s="1">
        <v>41844</v>
      </c>
      <c r="H188" s="33">
        <v>0.44241787954298001</v>
      </c>
    </row>
    <row r="189" spans="2:8">
      <c r="B189" s="18">
        <v>40857</v>
      </c>
      <c r="C189" s="30">
        <v>0.94404770550683115</v>
      </c>
      <c r="D189" s="30">
        <f>VLOOKUP(CurrentMtgRatesDataTable825[[#This Row],[asOfDate]],G:H,2,0)</f>
        <v>0.80724570771905702</v>
      </c>
      <c r="E189" s="34">
        <f ca="1">VLOOKUP(CurrentMtgRatesDataTable825[[#This Row],[asOfDate]]+1,Bloomberg!B:C,2,0)</f>
        <v>3664.5</v>
      </c>
      <c r="G189" s="1">
        <v>41851</v>
      </c>
      <c r="H189" s="33">
        <v>0.44366576481104603</v>
      </c>
    </row>
    <row r="190" spans="2:8">
      <c r="B190" s="18">
        <v>40850</v>
      </c>
      <c r="C190" s="30">
        <v>0.93485323798856346</v>
      </c>
      <c r="D190" s="30">
        <f>VLOOKUP(CurrentMtgRatesDataTable825[[#This Row],[asOfDate]],G:H,2,0)</f>
        <v>0.80719780316763601</v>
      </c>
      <c r="E190" s="34">
        <f ca="1">VLOOKUP(CurrentMtgRatesDataTable825[[#This Row],[asOfDate]]+1,Bloomberg!B:C,2,0)</f>
        <v>4137.6000000000004</v>
      </c>
      <c r="G190" s="1">
        <v>41858</v>
      </c>
      <c r="H190" s="33">
        <v>0.41284557270170602</v>
      </c>
    </row>
    <row r="191" spans="2:8">
      <c r="B191" s="18">
        <v>40843</v>
      </c>
      <c r="C191" s="30">
        <v>0.86512672485653175</v>
      </c>
      <c r="D191" s="30">
        <f>VLOOKUP(CurrentMtgRatesDataTable825[[#This Row],[asOfDate]],G:H,2,0)</f>
        <v>0.77033919514702098</v>
      </c>
      <c r="E191" s="34">
        <f ca="1">VLOOKUP(CurrentMtgRatesDataTable825[[#This Row],[asOfDate]]+1,Bloomberg!B:C,2,0)</f>
        <v>3695</v>
      </c>
      <c r="G191" s="1">
        <v>41865</v>
      </c>
      <c r="H191" s="33">
        <v>0.437009219217877</v>
      </c>
    </row>
    <row r="192" spans="2:8">
      <c r="B192" s="18">
        <v>40836</v>
      </c>
      <c r="C192" s="30">
        <v>0.85635864773186432</v>
      </c>
      <c r="D192" s="30">
        <f>VLOOKUP(CurrentMtgRatesDataTable825[[#This Row],[asOfDate]],G:H,2,0)</f>
        <v>0.76889855223368597</v>
      </c>
      <c r="E192" s="34">
        <f ca="1">VLOOKUP(CurrentMtgRatesDataTable825[[#This Row],[asOfDate]]+1,Bloomberg!B:C,2,0)</f>
        <v>3719.3</v>
      </c>
      <c r="G192" s="1">
        <v>41872</v>
      </c>
      <c r="H192" s="33">
        <v>0.46725416935729103</v>
      </c>
    </row>
    <row r="193" spans="2:8">
      <c r="B193" s="18">
        <v>40829</v>
      </c>
      <c r="C193" s="30">
        <v>0.84917694017596268</v>
      </c>
      <c r="D193" s="30">
        <f>VLOOKUP(CurrentMtgRatesDataTable825[[#This Row],[asOfDate]],G:H,2,0)</f>
        <v>0.75043074974252599</v>
      </c>
      <c r="E193" s="34">
        <f ca="1">VLOOKUP(CurrentMtgRatesDataTable825[[#This Row],[asOfDate]]+1,Bloomberg!B:C,2,0)</f>
        <v>3553.2</v>
      </c>
      <c r="G193" s="1">
        <v>41879</v>
      </c>
      <c r="H193" s="33">
        <v>0.46725416935729103</v>
      </c>
    </row>
    <row r="194" spans="2:8">
      <c r="B194" s="18">
        <v>40822</v>
      </c>
      <c r="C194" s="30">
        <v>0.96725200604215567</v>
      </c>
      <c r="D194" s="30">
        <f>VLOOKUP(CurrentMtgRatesDataTable825[[#This Row],[asOfDate]],G:H,2,0)</f>
        <v>0.82324225699227804</v>
      </c>
      <c r="E194" s="34">
        <f ca="1">VLOOKUP(CurrentMtgRatesDataTable825[[#This Row],[asOfDate]]+1,Bloomberg!B:C,2,0)</f>
        <v>4251.1000000000004</v>
      </c>
      <c r="G194" s="1">
        <v>41886</v>
      </c>
      <c r="H194" s="33">
        <v>0.46145357757128402</v>
      </c>
    </row>
    <row r="195" spans="2:8">
      <c r="B195" s="18">
        <v>40815</v>
      </c>
      <c r="C195" s="30">
        <v>0.94644262124543443</v>
      </c>
      <c r="D195" s="30">
        <f>VLOOKUP(CurrentMtgRatesDataTable825[[#This Row],[asOfDate]],G:H,2,0)</f>
        <v>0.83535228019697605</v>
      </c>
      <c r="E195" s="34">
        <f ca="1">VLOOKUP(CurrentMtgRatesDataTable825[[#This Row],[asOfDate]]+1,Bloomberg!B:C,2,0)</f>
        <v>4241.8</v>
      </c>
      <c r="G195" s="1">
        <v>41893</v>
      </c>
      <c r="H195" s="33">
        <v>0.45995272695767497</v>
      </c>
    </row>
    <row r="196" spans="2:8">
      <c r="B196" s="18">
        <v>40808</v>
      </c>
      <c r="C196" s="30">
        <v>0.90242289630359074</v>
      </c>
      <c r="D196" s="30">
        <f>VLOOKUP(CurrentMtgRatesDataTable825[[#This Row],[asOfDate]],G:H,2,0)</f>
        <v>0.78804143101353397</v>
      </c>
      <c r="E196" s="34">
        <f ca="1">VLOOKUP(CurrentMtgRatesDataTable825[[#This Row],[asOfDate]]+1,Bloomberg!B:C,2,0)</f>
        <v>4512.1000000000004</v>
      </c>
      <c r="G196" s="1">
        <v>41900</v>
      </c>
      <c r="H196" s="33">
        <v>0.403775681059653</v>
      </c>
    </row>
    <row r="197" spans="2:8">
      <c r="B197" s="18">
        <v>40801</v>
      </c>
      <c r="C197" s="30">
        <v>0.90242289630359074</v>
      </c>
      <c r="D197" s="30">
        <f>VLOOKUP(CurrentMtgRatesDataTable825[[#This Row],[asOfDate]],G:H,2,0)</f>
        <v>0.78804143101353397</v>
      </c>
      <c r="E197" s="34">
        <f ca="1">VLOOKUP(CurrentMtgRatesDataTable825[[#This Row],[asOfDate]]+1,Bloomberg!B:C,2,0)</f>
        <v>4033.8</v>
      </c>
      <c r="G197" s="1">
        <v>41907</v>
      </c>
      <c r="H197" s="33">
        <v>0.40569534905697002</v>
      </c>
    </row>
    <row r="198" spans="2:8">
      <c r="B198" s="18">
        <v>40794</v>
      </c>
      <c r="C198" s="30">
        <v>0.87859103936280614</v>
      </c>
      <c r="D198" s="30">
        <f>VLOOKUP(CurrentMtgRatesDataTable825[[#This Row],[asOfDate]],G:H,2,0)</f>
        <v>0.78586619764471199</v>
      </c>
      <c r="E198" s="34">
        <f ca="1">VLOOKUP(CurrentMtgRatesDataTable825[[#This Row],[asOfDate]]+1,Bloomberg!B:C,2,0)</f>
        <v>3571.7</v>
      </c>
      <c r="G198" s="1">
        <v>41914</v>
      </c>
      <c r="H198" s="33">
        <v>0.419925946793896</v>
      </c>
    </row>
    <row r="199" spans="2:8">
      <c r="B199" s="18">
        <v>40787</v>
      </c>
      <c r="C199" s="30">
        <v>0.84129278814437181</v>
      </c>
      <c r="D199" s="30">
        <f>VLOOKUP(CurrentMtgRatesDataTable825[[#This Row],[asOfDate]],G:H,2,0)</f>
        <v>0.72518805605942505</v>
      </c>
      <c r="E199" s="34">
        <f ca="1">VLOOKUP(CurrentMtgRatesDataTable825[[#This Row],[asOfDate]]+1,Bloomberg!B:C,2,0)</f>
        <v>3372</v>
      </c>
      <c r="G199" s="1">
        <v>41921</v>
      </c>
      <c r="H199" s="33">
        <v>0.45168042618119703</v>
      </c>
    </row>
    <row r="200" spans="2:8">
      <c r="B200" s="18">
        <v>40780</v>
      </c>
      <c r="C200" s="30">
        <v>0.84714025108084823</v>
      </c>
      <c r="D200" s="30">
        <f>VLOOKUP(CurrentMtgRatesDataTable825[[#This Row],[asOfDate]],G:H,2,0)</f>
        <v>0.73013076231760698</v>
      </c>
      <c r="E200" s="34">
        <f ca="1">VLOOKUP(CurrentMtgRatesDataTable825[[#This Row],[asOfDate]]+1,Bloomberg!B:C,2,0)</f>
        <v>3601.3</v>
      </c>
      <c r="G200" s="1">
        <v>41928</v>
      </c>
      <c r="H200" s="33">
        <v>0.51982909302980596</v>
      </c>
    </row>
    <row r="201" spans="2:8">
      <c r="B201" s="18">
        <v>40773</v>
      </c>
      <c r="C201" s="30">
        <v>0.86117434904403212</v>
      </c>
      <c r="D201" s="30">
        <f>VLOOKUP(CurrentMtgRatesDataTable825[[#This Row],[asOfDate]],G:H,2,0)</f>
        <v>0.76968967049094095</v>
      </c>
      <c r="E201" s="34">
        <f ca="1">VLOOKUP(CurrentMtgRatesDataTable825[[#This Row],[asOfDate]]+1,Bloomberg!B:C,2,0)</f>
        <v>4110.8</v>
      </c>
      <c r="G201" s="1">
        <v>41935</v>
      </c>
      <c r="H201" s="33">
        <v>0.54838604953283498</v>
      </c>
    </row>
    <row r="202" spans="2:8">
      <c r="B202" s="18">
        <v>40766</v>
      </c>
      <c r="C202" s="30">
        <v>0.83404184296119399</v>
      </c>
      <c r="D202" s="30">
        <f>VLOOKUP(CurrentMtgRatesDataTable825[[#This Row],[asOfDate]],G:H,2,0)</f>
        <v>0.68796050816059295</v>
      </c>
      <c r="E202" s="34">
        <f ca="1">VLOOKUP(CurrentMtgRatesDataTable825[[#This Row],[asOfDate]]+1,Bloomberg!B:C,2,0)</f>
        <v>4184.3999999999996</v>
      </c>
      <c r="G202" s="1">
        <v>41942</v>
      </c>
      <c r="H202" s="33">
        <v>0.519221652370358</v>
      </c>
    </row>
    <row r="203" spans="2:8">
      <c r="B203" s="18">
        <v>40759</v>
      </c>
      <c r="C203" s="30">
        <v>0.81803711941746404</v>
      </c>
      <c r="D203" s="30">
        <f>VLOOKUP(CurrentMtgRatesDataTable825[[#This Row],[asOfDate]],G:H,2,0)</f>
        <v>0.59636201439054404</v>
      </c>
      <c r="E203" s="34">
        <f ca="1">VLOOKUP(CurrentMtgRatesDataTable825[[#This Row],[asOfDate]]+1,Bloomberg!B:C,2,0)</f>
        <v>3880.9</v>
      </c>
      <c r="G203" s="1">
        <v>41949</v>
      </c>
      <c r="H203" s="33">
        <v>0.47679161148246502</v>
      </c>
    </row>
    <row r="204" spans="2:8">
      <c r="B204" s="18">
        <v>40752</v>
      </c>
      <c r="C204" s="30">
        <v>0.61660059317974736</v>
      </c>
      <c r="D204" s="30">
        <f>VLOOKUP(CurrentMtgRatesDataTable825[[#This Row],[asOfDate]],G:H,2,0)</f>
        <v>0.52333294764067595</v>
      </c>
      <c r="E204" s="34">
        <f ca="1">VLOOKUP(CurrentMtgRatesDataTable825[[#This Row],[asOfDate]]+1,Bloomberg!B:C,2,0)</f>
        <v>2974.1</v>
      </c>
      <c r="G204" s="1">
        <v>41956</v>
      </c>
      <c r="H204" s="33">
        <v>0.47696082053878203</v>
      </c>
    </row>
    <row r="205" spans="2:8">
      <c r="B205" s="18">
        <v>40745</v>
      </c>
      <c r="C205" s="30">
        <v>0.66675683999516944</v>
      </c>
      <c r="D205" s="30">
        <f>VLOOKUP(CurrentMtgRatesDataTable825[[#This Row],[asOfDate]],G:H,2,0)</f>
        <v>0.53018048409344898</v>
      </c>
      <c r="E205" s="34">
        <f ca="1">VLOOKUP(CurrentMtgRatesDataTable825[[#This Row],[asOfDate]]+1,Bloomberg!B:C,2,0)</f>
        <v>2769.6</v>
      </c>
      <c r="G205" s="1">
        <v>41963</v>
      </c>
      <c r="H205" s="33">
        <v>0.51126312077979097</v>
      </c>
    </row>
    <row r="206" spans="2:8">
      <c r="B206" s="18">
        <v>40738</v>
      </c>
      <c r="C206" s="30">
        <v>0.684475421712615</v>
      </c>
      <c r="D206" s="30">
        <f>VLOOKUP(CurrentMtgRatesDataTable825[[#This Row],[asOfDate]],G:H,2,0)</f>
        <v>0.55014388201104203</v>
      </c>
      <c r="E206" s="34">
        <f ca="1">VLOOKUP(CurrentMtgRatesDataTable825[[#This Row],[asOfDate]]+1,Bloomberg!B:C,2,0)</f>
        <v>2923.8</v>
      </c>
      <c r="G206" s="1">
        <v>41969</v>
      </c>
      <c r="H206" s="33">
        <v>0.51222876537846296</v>
      </c>
    </row>
    <row r="207" spans="2:8">
      <c r="B207" s="18">
        <v>40731</v>
      </c>
      <c r="C207" s="30">
        <v>0.60410549631050647</v>
      </c>
      <c r="D207" s="30">
        <f>VLOOKUP(CurrentMtgRatesDataTable825[[#This Row],[asOfDate]],G:H,2,0)</f>
        <v>0.49771283747510803</v>
      </c>
      <c r="E207" s="34">
        <f ca="1">VLOOKUP(CurrentMtgRatesDataTable825[[#This Row],[asOfDate]]+1,Bloomberg!B:C,2,0)</f>
        <v>2362.6999999999998</v>
      </c>
      <c r="G207" s="1">
        <v>41977</v>
      </c>
      <c r="H207" s="33">
        <v>0.53685925114667898</v>
      </c>
    </row>
    <row r="208" spans="2:8">
      <c r="B208" s="18">
        <v>40724</v>
      </c>
      <c r="C208" s="30">
        <v>0.69050447134038251</v>
      </c>
      <c r="D208" s="30">
        <f>VLOOKUP(CurrentMtgRatesDataTable825[[#This Row],[asOfDate]],G:H,2,0)</f>
        <v>0.55445082777023702</v>
      </c>
      <c r="E208" s="34">
        <f ca="1">VLOOKUP(CurrentMtgRatesDataTable825[[#This Row],[asOfDate]]+1,Bloomberg!B:C,2,0)</f>
        <v>2527.5</v>
      </c>
      <c r="G208" s="1">
        <v>41984</v>
      </c>
      <c r="H208" s="33">
        <v>0.53353274326337596</v>
      </c>
    </row>
    <row r="209" spans="2:8">
      <c r="B209" s="18">
        <v>40717</v>
      </c>
      <c r="C209" s="30">
        <v>0.66311590107349083</v>
      </c>
      <c r="D209" s="30">
        <f>VLOOKUP(CurrentMtgRatesDataTable825[[#This Row],[asOfDate]],G:H,2,0)</f>
        <v>0.53450860338875705</v>
      </c>
      <c r="E209" s="34">
        <f ca="1">VLOOKUP(CurrentMtgRatesDataTable825[[#This Row],[asOfDate]]+1,Bloomberg!B:C,2,0)</f>
        <v>2809.5</v>
      </c>
      <c r="G209" s="1">
        <v>41991</v>
      </c>
      <c r="H209" s="33">
        <v>0.57447022909045797</v>
      </c>
    </row>
    <row r="210" spans="2:8">
      <c r="B210" s="18">
        <v>40710</v>
      </c>
      <c r="C210" s="30">
        <v>0.72397022872334449</v>
      </c>
      <c r="D210" s="30">
        <f>VLOOKUP(CurrentMtgRatesDataTable825[[#This Row],[asOfDate]],G:H,2,0)</f>
        <v>0.55544034698333999</v>
      </c>
      <c r="E210" s="34">
        <f ca="1">VLOOKUP(CurrentMtgRatesDataTable825[[#This Row],[asOfDate]]+1,Bloomberg!B:C,2,0)</f>
        <v>2857.9</v>
      </c>
      <c r="G210" s="1">
        <v>41997</v>
      </c>
      <c r="H210" s="33">
        <v>0.57166642614489205</v>
      </c>
    </row>
    <row r="211" spans="2:8">
      <c r="B211" s="18">
        <v>40703</v>
      </c>
      <c r="C211" s="30">
        <v>0.74517189360077984</v>
      </c>
      <c r="D211" s="30">
        <f>VLOOKUP(CurrentMtgRatesDataTable825[[#This Row],[asOfDate]],G:H,2,0)</f>
        <v>0.55556126357331004</v>
      </c>
      <c r="E211" s="34">
        <f ca="1">VLOOKUP(CurrentMtgRatesDataTable825[[#This Row],[asOfDate]]+1,Bloomberg!B:C,2,0)</f>
        <v>3101.7</v>
      </c>
      <c r="G211" s="1">
        <v>42004</v>
      </c>
      <c r="H211" s="33">
        <v>0.53680415412734395</v>
      </c>
    </row>
    <row r="212" spans="2:8">
      <c r="B212" s="18">
        <v>40696</v>
      </c>
      <c r="C212" s="30">
        <v>0.66311590107349083</v>
      </c>
      <c r="D212" s="30">
        <f>VLOOKUP(CurrentMtgRatesDataTable825[[#This Row],[asOfDate]],G:H,2,0)</f>
        <v>0.53450860338875705</v>
      </c>
      <c r="E212" s="34">
        <f ca="1">VLOOKUP(CurrentMtgRatesDataTable825[[#This Row],[asOfDate]]+1,Bloomberg!B:C,2,0)</f>
        <v>2648</v>
      </c>
      <c r="G212" s="1">
        <v>42012</v>
      </c>
      <c r="H212" s="33">
        <v>0.59931706558407905</v>
      </c>
    </row>
    <row r="213" spans="2:8">
      <c r="B213" s="18">
        <v>40689</v>
      </c>
      <c r="C213" s="30">
        <v>0.61599363608099678</v>
      </c>
      <c r="D213" s="30">
        <f>VLOOKUP(CurrentMtgRatesDataTable825[[#This Row],[asOfDate]],G:H,2,0)</f>
        <v>0.50568534347274297</v>
      </c>
      <c r="E213" s="34">
        <f ca="1">VLOOKUP(CurrentMtgRatesDataTable825[[#This Row],[asOfDate]]+1,Bloomberg!B:C,2,0)</f>
        <v>2619.6999999999998</v>
      </c>
      <c r="G213" s="1">
        <v>42019</v>
      </c>
      <c r="H213" s="33">
        <v>0.65582330233583797</v>
      </c>
    </row>
    <row r="214" spans="2:8">
      <c r="B214" s="18">
        <v>40682</v>
      </c>
      <c r="C214" s="30">
        <v>0.61264076908113763</v>
      </c>
      <c r="D214" s="30">
        <f>VLOOKUP(CurrentMtgRatesDataTable825[[#This Row],[asOfDate]],G:H,2,0)</f>
        <v>0.50447592982476996</v>
      </c>
      <c r="E214" s="34">
        <f ca="1">VLOOKUP(CurrentMtgRatesDataTable825[[#This Row],[asOfDate]]+1,Bloomberg!B:C,2,0)</f>
        <v>2764.6</v>
      </c>
      <c r="G214" s="1">
        <v>42026</v>
      </c>
      <c r="H214" s="33">
        <v>0.65720471867066899</v>
      </c>
    </row>
    <row r="215" spans="2:8">
      <c r="B215" s="18">
        <v>40675</v>
      </c>
      <c r="C215" s="30">
        <v>0.60662155942020002</v>
      </c>
      <c r="D215" s="30">
        <f>VLOOKUP(CurrentMtgRatesDataTable825[[#This Row],[asOfDate]],G:H,2,0)</f>
        <v>0.50042582297659</v>
      </c>
      <c r="E215" s="34">
        <f ca="1">VLOOKUP(CurrentMtgRatesDataTable825[[#This Row],[asOfDate]]+1,Bloomberg!B:C,2,0)</f>
        <v>2742.2</v>
      </c>
      <c r="G215" s="1">
        <v>42033</v>
      </c>
      <c r="H215" s="33">
        <v>0.65582330233583797</v>
      </c>
    </row>
    <row r="216" spans="2:8">
      <c r="B216" s="18">
        <v>40668</v>
      </c>
      <c r="C216" s="30">
        <v>0.59391131067456038</v>
      </c>
      <c r="D216" s="30">
        <f>VLOOKUP(CurrentMtgRatesDataTable825[[#This Row],[asOfDate]],G:H,2,0)</f>
        <v>0.45891120103405703</v>
      </c>
      <c r="E216" s="34">
        <f ca="1">VLOOKUP(CurrentMtgRatesDataTable825[[#This Row],[asOfDate]]+1,Bloomberg!B:C,2,0)</f>
        <v>2414.9</v>
      </c>
      <c r="G216" s="1">
        <v>42040</v>
      </c>
      <c r="H216" s="33">
        <v>0.65455905311871299</v>
      </c>
    </row>
    <row r="217" spans="2:8">
      <c r="B217" s="18">
        <v>40661</v>
      </c>
      <c r="C217" s="30">
        <v>0.59445921362542997</v>
      </c>
      <c r="D217" s="30">
        <f>VLOOKUP(CurrentMtgRatesDataTable825[[#This Row],[asOfDate]],G:H,2,0)</f>
        <v>0.44565511936132601</v>
      </c>
      <c r="E217" s="34">
        <f ca="1">VLOOKUP(CurrentMtgRatesDataTable825[[#This Row],[asOfDate]]+1,Bloomberg!B:C,2,0)</f>
        <v>2220.1</v>
      </c>
      <c r="G217" s="1">
        <v>42047</v>
      </c>
      <c r="H217" s="33">
        <v>0.62719075850631201</v>
      </c>
    </row>
    <row r="218" spans="2:8">
      <c r="B218" s="18">
        <v>40654</v>
      </c>
      <c r="C218" s="30">
        <v>0.59356262313394537</v>
      </c>
      <c r="D218" s="30">
        <f>VLOOKUP(CurrentMtgRatesDataTable825[[#This Row],[asOfDate]],G:H,2,0)</f>
        <v>0.44381782258269298</v>
      </c>
      <c r="E218" s="34">
        <f ca="1">VLOOKUP(CurrentMtgRatesDataTable825[[#This Row],[asOfDate]]+1,Bloomberg!B:C,2,0)</f>
        <v>2091.4</v>
      </c>
      <c r="G218" s="1">
        <v>42054</v>
      </c>
      <c r="H218" s="33">
        <v>0.59003468905342005</v>
      </c>
    </row>
    <row r="219" spans="2:8">
      <c r="B219" s="18">
        <v>40647</v>
      </c>
      <c r="C219" s="30">
        <v>0.58155199492979581</v>
      </c>
      <c r="D219" s="30">
        <f>VLOOKUP(CurrentMtgRatesDataTable825[[#This Row],[asOfDate]],G:H,2,0)</f>
        <v>0.41340612440810998</v>
      </c>
      <c r="E219" s="34">
        <f ca="1">VLOOKUP(CurrentMtgRatesDataTable825[[#This Row],[asOfDate]]+1,Bloomberg!B:C,2,0)</f>
        <v>2065.3000000000002</v>
      </c>
      <c r="G219" s="1">
        <v>42061</v>
      </c>
      <c r="H219" s="33">
        <v>0.56144623129586702</v>
      </c>
    </row>
    <row r="220" spans="2:8">
      <c r="B220" s="18">
        <v>40640</v>
      </c>
      <c r="C220" s="30">
        <v>0.58542144661011908</v>
      </c>
      <c r="D220" s="30">
        <f>VLOOKUP(CurrentMtgRatesDataTable825[[#This Row],[asOfDate]],G:H,2,0)</f>
        <v>0.414778538159287</v>
      </c>
      <c r="E220" s="34">
        <f ca="1">VLOOKUP(CurrentMtgRatesDataTable825[[#This Row],[asOfDate]]+1,Bloomberg!B:C,2,0)</f>
        <v>2010.6</v>
      </c>
      <c r="G220" s="1">
        <v>42068</v>
      </c>
      <c r="H220" s="33">
        <v>0.58384753948448997</v>
      </c>
    </row>
    <row r="221" spans="2:8">
      <c r="B221" s="18">
        <v>40633</v>
      </c>
      <c r="C221" s="30">
        <v>0.593225708201635</v>
      </c>
      <c r="D221" s="30">
        <f>VLOOKUP(CurrentMtgRatesDataTable825[[#This Row],[asOfDate]],G:H,2,0)</f>
        <v>0.42282958858632702</v>
      </c>
      <c r="E221" s="34">
        <f ca="1">VLOOKUP(CurrentMtgRatesDataTable825[[#This Row],[asOfDate]]+1,Bloomberg!B:C,2,0)</f>
        <v>2194.4</v>
      </c>
      <c r="G221" s="1">
        <v>42075</v>
      </c>
      <c r="H221" s="33">
        <v>0.51703371456013503</v>
      </c>
    </row>
    <row r="222" spans="2:8">
      <c r="B222" s="18">
        <v>40626</v>
      </c>
      <c r="C222" s="30">
        <v>0.59950595681897523</v>
      </c>
      <c r="D222" s="30">
        <f>VLOOKUP(CurrentMtgRatesDataTable825[[#This Row],[asOfDate]],G:H,2,0)</f>
        <v>0.450158099668103</v>
      </c>
      <c r="E222" s="34">
        <f ca="1">VLOOKUP(CurrentMtgRatesDataTable825[[#This Row],[asOfDate]]+1,Bloomberg!B:C,2,0)</f>
        <v>2350.6999999999998</v>
      </c>
      <c r="G222" s="1">
        <v>42082</v>
      </c>
      <c r="H222" s="33">
        <v>0.58146564562660097</v>
      </c>
    </row>
    <row r="223" spans="2:8">
      <c r="B223" s="18">
        <v>40619</v>
      </c>
      <c r="C223" s="30">
        <v>0.60261779474869925</v>
      </c>
      <c r="D223" s="30">
        <f>VLOOKUP(CurrentMtgRatesDataTable825[[#This Row],[asOfDate]],G:H,2,0)</f>
        <v>0.46784663358763601</v>
      </c>
      <c r="E223" s="34">
        <f ca="1">VLOOKUP(CurrentMtgRatesDataTable825[[#This Row],[asOfDate]]+1,Bloomberg!B:C,2,0)</f>
        <v>2620.8000000000002</v>
      </c>
      <c r="G223" s="1">
        <v>42089</v>
      </c>
      <c r="H223" s="33">
        <v>0.61985540937113104</v>
      </c>
    </row>
    <row r="224" spans="2:8">
      <c r="B224" s="18">
        <v>40612</v>
      </c>
      <c r="C224" s="30">
        <v>0.59090570789662444</v>
      </c>
      <c r="D224" s="30">
        <f>VLOOKUP(CurrentMtgRatesDataTable825[[#This Row],[asOfDate]],G:H,2,0)</f>
        <v>0.42124985629360401</v>
      </c>
      <c r="E224" s="34">
        <f ca="1">VLOOKUP(CurrentMtgRatesDataTable825[[#This Row],[asOfDate]]+1,Bloomberg!B:C,2,0)</f>
        <v>2563.6</v>
      </c>
      <c r="G224" s="1">
        <v>42096</v>
      </c>
      <c r="H224" s="33">
        <v>0.60618674833379105</v>
      </c>
    </row>
    <row r="225" spans="2:8">
      <c r="B225" s="18">
        <v>40605</v>
      </c>
      <c r="C225" s="30">
        <v>0.59224775585706535</v>
      </c>
      <c r="D225" s="30">
        <f>VLOOKUP(CurrentMtgRatesDataTable825[[#This Row],[asOfDate]],G:H,2,0)</f>
        <v>0.42215163100202302</v>
      </c>
      <c r="E225" s="34">
        <f ca="1">VLOOKUP(CurrentMtgRatesDataTable825[[#This Row],[asOfDate]]+1,Bloomberg!B:C,2,0)</f>
        <v>2539.4</v>
      </c>
      <c r="G225" s="1">
        <v>42103</v>
      </c>
      <c r="H225" s="33">
        <v>0.63179874985391804</v>
      </c>
    </row>
    <row r="226" spans="2:8">
      <c r="B226" s="18">
        <v>40598</v>
      </c>
      <c r="C226" s="30">
        <v>0.57709503787578109</v>
      </c>
      <c r="D226" s="30">
        <f>VLOOKUP(CurrentMtgRatesDataTable825[[#This Row],[asOfDate]],G:H,2,0)</f>
        <v>0.41551493659156002</v>
      </c>
      <c r="E226" s="34">
        <f ca="1">VLOOKUP(CurrentMtgRatesDataTable825[[#This Row],[asOfDate]]+1,Bloomberg!B:C,2,0)</f>
        <v>2155.5</v>
      </c>
      <c r="G226" s="1">
        <v>42110</v>
      </c>
      <c r="H226" s="33">
        <v>0.60745911385405604</v>
      </c>
    </row>
    <row r="227" spans="2:8">
      <c r="B227" s="18">
        <v>40591</v>
      </c>
      <c r="C227" s="30">
        <v>0.52965901814335548</v>
      </c>
      <c r="D227" s="30">
        <f>VLOOKUP(CurrentMtgRatesDataTable825[[#This Row],[asOfDate]],G:H,2,0)</f>
        <v>0.37678804128174298</v>
      </c>
      <c r="E227" s="34">
        <f ca="1">VLOOKUP(CurrentMtgRatesDataTable825[[#This Row],[asOfDate]]+1,Bloomberg!B:C,2,0)</f>
        <v>2325.3000000000002</v>
      </c>
      <c r="G227" s="1">
        <v>42117</v>
      </c>
      <c r="H227" s="33">
        <v>0.63350921207897204</v>
      </c>
    </row>
    <row r="228" spans="2:8">
      <c r="B228" s="18">
        <v>40584</v>
      </c>
      <c r="C228" s="31">
        <v>0.50868797673712363</v>
      </c>
      <c r="D228" s="31">
        <f>VLOOKUP(CurrentMtgRatesDataTable825[[#This Row],[asOfDate]],G:H,2,0)</f>
        <v>0.35529176669040102</v>
      </c>
      <c r="E228" s="35">
        <f ca="1">VLOOKUP(CurrentMtgRatesDataTable825[[#This Row],[asOfDate]]+1,Bloomberg!B:C,2,0)</f>
        <v>1953.2</v>
      </c>
      <c r="G228" s="1">
        <v>42124</v>
      </c>
      <c r="H228" s="33">
        <v>0.608876308109219</v>
      </c>
    </row>
    <row r="229" spans="2:8">
      <c r="B229" s="18">
        <v>40577</v>
      </c>
      <c r="C229" s="31">
        <v>0.60653142223595213</v>
      </c>
      <c r="D229" s="31">
        <f>VLOOKUP(CurrentMtgRatesDataTable825[[#This Row],[asOfDate]],G:H,2,0)</f>
        <v>0.43462013043084002</v>
      </c>
      <c r="E229" s="35">
        <f ca="1">VLOOKUP(CurrentMtgRatesDataTable825[[#This Row],[asOfDate]]+1,Bloomberg!B:C,2,0)</f>
        <v>2190.4</v>
      </c>
      <c r="G229" s="1">
        <v>42131</v>
      </c>
      <c r="H229" s="33">
        <v>0.53238458781035902</v>
      </c>
    </row>
    <row r="230" spans="2:8">
      <c r="B230" s="18">
        <v>40570</v>
      </c>
      <c r="C230" s="31">
        <v>0.62392159162868732</v>
      </c>
      <c r="D230" s="31">
        <f>VLOOKUP(CurrentMtgRatesDataTable825[[#This Row],[asOfDate]],G:H,2,0)</f>
        <v>0.47679593730615699</v>
      </c>
      <c r="E230" s="35">
        <f ca="1">VLOOKUP(CurrentMtgRatesDataTable825[[#This Row],[asOfDate]]+1,Bloomberg!B:C,2,0)</f>
        <v>2371.1</v>
      </c>
      <c r="G230" s="1">
        <v>42138</v>
      </c>
      <c r="H230" s="33">
        <v>0.52626041924754496</v>
      </c>
    </row>
    <row r="231" spans="2:8">
      <c r="B231" s="18">
        <v>40563</v>
      </c>
      <c r="C231" s="31">
        <v>0.62597730951219899</v>
      </c>
      <c r="D231" s="31">
        <f>VLOOKUP(CurrentMtgRatesDataTable825[[#This Row],[asOfDate]],G:H,2,0)</f>
        <v>0.48029569588235599</v>
      </c>
      <c r="E231" s="35">
        <f ca="1">VLOOKUP(CurrentMtgRatesDataTable825[[#This Row],[asOfDate]]+1,Bloomberg!B:C,2,0)</f>
        <v>2129.6999999999998</v>
      </c>
      <c r="G231" s="1">
        <v>42145</v>
      </c>
      <c r="H231" s="33">
        <v>0.49530657385961702</v>
      </c>
    </row>
    <row r="232" spans="2:8">
      <c r="B232" s="18">
        <v>40556</v>
      </c>
      <c r="C232" s="31">
        <v>0.62817294477626939</v>
      </c>
      <c r="D232" s="31">
        <f>VLOOKUP(CurrentMtgRatesDataTable825[[#This Row],[asOfDate]],G:H,2,0)</f>
        <v>0.49650185657562101</v>
      </c>
      <c r="E232" s="35">
        <f ca="1">VLOOKUP(CurrentMtgRatesDataTable825[[#This Row],[asOfDate]]+1,Bloomberg!B:C,2,0)</f>
        <v>2528.6999999999998</v>
      </c>
      <c r="G232" s="28">
        <v>42152</v>
      </c>
      <c r="H232" s="32">
        <v>0.49518214427458052</v>
      </c>
    </row>
    <row r="233" spans="2:8">
      <c r="B233" s="18">
        <v>40549</v>
      </c>
      <c r="C233" s="31">
        <v>0.62402170072443153</v>
      </c>
      <c r="D233" s="31">
        <f>VLOOKUP(CurrentMtgRatesDataTable825[[#This Row],[asOfDate]],G:H,2,0)</f>
        <v>0.477996028899563</v>
      </c>
      <c r="E233" s="35">
        <f ca="1">VLOOKUP(CurrentMtgRatesDataTable825[[#This Row],[asOfDate]]+1,Bloomberg!B:C,2,0)</f>
        <v>2344.3000000000002</v>
      </c>
      <c r="G233" s="28">
        <v>42159</v>
      </c>
      <c r="H233" s="32">
        <v>0.49151040605794738</v>
      </c>
    </row>
    <row r="234" spans="2:8">
      <c r="G234" s="28"/>
      <c r="H234" s="32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4"/>
  <sheetViews>
    <sheetView workbookViewId="0">
      <selection activeCell="AB82" sqref="AB82"/>
    </sheetView>
  </sheetViews>
  <sheetFormatPr defaultRowHeight="15"/>
  <cols>
    <col min="2" max="2" width="16.28515625" customWidth="1"/>
  </cols>
  <sheetData>
    <row r="1" spans="2:3">
      <c r="C1" t="s">
        <v>30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/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22"/>
  <sheetViews>
    <sheetView tabSelected="1" topLeftCell="B1" workbookViewId="0">
      <selection activeCell="F14" sqref="F14:P14"/>
    </sheetView>
  </sheetViews>
  <sheetFormatPr defaultRowHeight="15"/>
  <cols>
    <col min="6" max="8" width="7.140625" customWidth="1"/>
    <col min="9" max="16" width="6.140625" customWidth="1"/>
  </cols>
  <sheetData>
    <row r="1" spans="2:16">
      <c r="F1" t="s">
        <v>27</v>
      </c>
    </row>
    <row r="2" spans="2:16">
      <c r="B2" s="6" t="s">
        <v>38</v>
      </c>
      <c r="C2" s="6" t="s">
        <v>39</v>
      </c>
      <c r="F2" s="6" t="s">
        <v>40</v>
      </c>
      <c r="G2" s="6" t="s">
        <v>41</v>
      </c>
      <c r="H2" s="6" t="s">
        <v>42</v>
      </c>
      <c r="I2" s="6" t="s">
        <v>43</v>
      </c>
      <c r="J2" s="6" t="s">
        <v>44</v>
      </c>
      <c r="K2" s="6" t="s">
        <v>45</v>
      </c>
      <c r="L2" s="6" t="s">
        <v>46</v>
      </c>
      <c r="M2" s="6" t="s">
        <v>47</v>
      </c>
      <c r="N2" s="6" t="s">
        <v>48</v>
      </c>
      <c r="O2" s="6" t="s">
        <v>49</v>
      </c>
      <c r="P2" s="6" t="s">
        <v>50</v>
      </c>
    </row>
    <row r="3" spans="2:16">
      <c r="B3" s="18">
        <v>42166</v>
      </c>
      <c r="C3" s="35">
        <v>3.94</v>
      </c>
      <c r="F3" s="33">
        <v>0.74492812302243472</v>
      </c>
      <c r="G3" s="33">
        <v>0.64603565087211712</v>
      </c>
      <c r="H3" s="33">
        <v>0.59773420684065992</v>
      </c>
      <c r="I3" s="33">
        <v>0.56001013617974804</v>
      </c>
      <c r="J3" s="33">
        <v>0.51913962145422732</v>
      </c>
      <c r="K3" s="33">
        <v>0.45634727397891434</v>
      </c>
      <c r="L3" s="33">
        <v>0.38236936388652831</v>
      </c>
      <c r="M3" s="33">
        <v>0.33090326656578811</v>
      </c>
      <c r="N3" s="33">
        <v>0.29098744878566229</v>
      </c>
      <c r="O3" s="33">
        <v>0.27208831634225966</v>
      </c>
      <c r="P3" s="33">
        <v>0.20485185088280758</v>
      </c>
    </row>
    <row r="5" spans="2:16">
      <c r="B5" s="1">
        <f>CurrentMtgRatesDataTable825238[AsOfDate]</f>
        <v>42166</v>
      </c>
      <c r="C5">
        <f>CurrentMtgRatesDataTable825238[SeriesNumValue]</f>
        <v>3.94</v>
      </c>
    </row>
    <row r="6" spans="2:16">
      <c r="F6" t="s">
        <v>28</v>
      </c>
    </row>
    <row r="7" spans="2:16">
      <c r="F7" s="6" t="s">
        <v>61</v>
      </c>
      <c r="G7" s="6" t="s">
        <v>62</v>
      </c>
      <c r="H7" s="6" t="s">
        <v>63</v>
      </c>
      <c r="I7" s="6" t="s">
        <v>64</v>
      </c>
      <c r="J7" s="6" t="s">
        <v>65</v>
      </c>
      <c r="K7" s="6" t="s">
        <v>66</v>
      </c>
      <c r="L7" s="6" t="s">
        <v>67</v>
      </c>
      <c r="M7" s="6" t="s">
        <v>68</v>
      </c>
      <c r="N7" s="6" t="s">
        <v>69</v>
      </c>
      <c r="O7" s="6" t="s">
        <v>70</v>
      </c>
      <c r="P7" s="6" t="s">
        <v>71</v>
      </c>
    </row>
    <row r="8" spans="2:16">
      <c r="F8" s="33">
        <v>0.66132281927372705</v>
      </c>
      <c r="G8" s="33">
        <v>0.61742443167358063</v>
      </c>
      <c r="H8" s="33">
        <v>0.55482890552564113</v>
      </c>
      <c r="I8" s="33">
        <v>0.52193552323103543</v>
      </c>
      <c r="J8" s="33">
        <v>0.45915371064370136</v>
      </c>
      <c r="K8" s="33">
        <v>0.39779633268543002</v>
      </c>
      <c r="L8" s="33">
        <v>0.36431880223413576</v>
      </c>
      <c r="M8" s="33">
        <v>0.32134943910537084</v>
      </c>
      <c r="N8" s="33">
        <v>0.29464449046498603</v>
      </c>
      <c r="O8" s="33">
        <v>0.24410272227756832</v>
      </c>
      <c r="P8" s="33">
        <v>0.20106252470542499</v>
      </c>
    </row>
    <row r="10" spans="2:16">
      <c r="F10" t="s">
        <v>103</v>
      </c>
    </row>
    <row r="11" spans="2:16">
      <c r="F11" s="6" t="s">
        <v>61</v>
      </c>
      <c r="G11" s="6" t="s">
        <v>62</v>
      </c>
      <c r="H11" s="6" t="s">
        <v>63</v>
      </c>
      <c r="I11" s="6" t="s">
        <v>64</v>
      </c>
      <c r="J11" s="6" t="s">
        <v>65</v>
      </c>
      <c r="K11" s="6" t="s">
        <v>66</v>
      </c>
      <c r="L11" s="6" t="s">
        <v>67</v>
      </c>
      <c r="M11" s="6" t="s">
        <v>68</v>
      </c>
      <c r="N11" s="6" t="s">
        <v>69</v>
      </c>
      <c r="O11" s="6" t="s">
        <v>70</v>
      </c>
      <c r="P11" s="6" t="s">
        <v>71</v>
      </c>
    </row>
    <row r="12" spans="2:16">
      <c r="F12" s="33">
        <v>0.20405539978490747</v>
      </c>
      <c r="G12" s="33">
        <v>8.8363009906858286E-3</v>
      </c>
      <c r="H12" s="33">
        <v>1.7846726369342121E-3</v>
      </c>
      <c r="I12" s="33">
        <v>2.8983733075451279E-4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</row>
    <row r="13" spans="2:16"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</row>
    <row r="14" spans="2:16">
      <c r="F14" s="33">
        <v>0.21907818282542799</v>
      </c>
      <c r="G14" s="33">
        <v>0.190108436739896</v>
      </c>
      <c r="H14" s="33">
        <v>0.14316673607349001</v>
      </c>
      <c r="I14" s="33">
        <v>3.2242913939845102E-3</v>
      </c>
      <c r="J14" s="33">
        <v>1.24187519436403E-3</v>
      </c>
      <c r="K14" s="33">
        <v>6.0159410239188805E-4</v>
      </c>
      <c r="L14" s="33">
        <v>4.06477365970085E-4</v>
      </c>
      <c r="M14" s="33">
        <v>1.6491162527492001E-4</v>
      </c>
      <c r="N14" s="33">
        <v>1.11925657248564E-4</v>
      </c>
      <c r="O14" s="33">
        <v>4.0945274596614099E-5</v>
      </c>
      <c r="P14" s="33">
        <v>4.0945274596614099E-5</v>
      </c>
    </row>
    <row r="15" spans="2:16"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8" spans="5:16">
      <c r="E18" s="29"/>
      <c r="F18" s="29" t="s">
        <v>55</v>
      </c>
      <c r="G18" s="29" t="s">
        <v>54</v>
      </c>
      <c r="H18" s="29" t="s">
        <v>53</v>
      </c>
      <c r="I18" s="29" t="s">
        <v>52</v>
      </c>
      <c r="J18" s="29" t="s">
        <v>51</v>
      </c>
      <c r="K18" s="41">
        <f>CurrentRate1</f>
        <v>3.94</v>
      </c>
      <c r="L18" s="29" t="s">
        <v>56</v>
      </c>
      <c r="M18" s="29" t="s">
        <v>57</v>
      </c>
      <c r="N18" s="29" t="s">
        <v>58</v>
      </c>
      <c r="O18" s="29" t="s">
        <v>59</v>
      </c>
      <c r="P18" s="29" t="s">
        <v>60</v>
      </c>
    </row>
    <row r="19" spans="5:16">
      <c r="E19" s="39" t="s">
        <v>29</v>
      </c>
      <c r="F19" s="40">
        <f>CurrentMtgRatesDataTable8252349[refinancible1]</f>
        <v>0.74492812302243472</v>
      </c>
      <c r="G19" s="40">
        <f>CurrentMtgRatesDataTable8252349[refinancible2]</f>
        <v>0.64603565087211712</v>
      </c>
      <c r="H19" s="40">
        <f>CurrentMtgRatesDataTable8252349[refinancible3]</f>
        <v>0.59773420684065992</v>
      </c>
      <c r="I19" s="40">
        <f>CurrentMtgRatesDataTable8252349[refinancible4]</f>
        <v>0.56001013617974804</v>
      </c>
      <c r="J19" s="40">
        <f>CurrentMtgRatesDataTable8252349[refinancible5]</f>
        <v>0.51913962145422732</v>
      </c>
      <c r="K19" s="40">
        <f>CurrentMtgRatesDataTable8252349[refinancible6]</f>
        <v>0.45634727397891434</v>
      </c>
      <c r="L19" s="40">
        <f>CurrentMtgRatesDataTable8252349[refinancible7]</f>
        <v>0.38236936388652831</v>
      </c>
      <c r="M19" s="40">
        <f>CurrentMtgRatesDataTable8252349[refinancible8]</f>
        <v>0.33090326656578811</v>
      </c>
      <c r="N19" s="40">
        <f>CurrentMtgRatesDataTable8252349[refinancible9]</f>
        <v>0.29098744878566229</v>
      </c>
      <c r="O19" s="40">
        <f>CurrentMtgRatesDataTable8252349[refinancible10]</f>
        <v>0.27208831634225966</v>
      </c>
      <c r="P19" s="40">
        <f>CurrentMtgRatesDataTable8252349[refinancible11]</f>
        <v>0.20485185088280758</v>
      </c>
    </row>
    <row r="20" spans="5:16">
      <c r="E20" s="39" t="s">
        <v>26</v>
      </c>
      <c r="F20" s="40">
        <f>CurrentMtgRatesDataTable825234610[refinanceible1]</f>
        <v>0.66132281927372705</v>
      </c>
      <c r="G20" s="40">
        <f>CurrentMtgRatesDataTable825234610[refinanceible2]</f>
        <v>0.61742443167358063</v>
      </c>
      <c r="H20" s="40">
        <f>CurrentMtgRatesDataTable825234610[refinanceible3]</f>
        <v>0.55482890552564113</v>
      </c>
      <c r="I20" s="40">
        <f>CurrentMtgRatesDataTable825234610[refinanceible4]</f>
        <v>0.52193552323103543</v>
      </c>
      <c r="J20" s="40">
        <f>CurrentMtgRatesDataTable825234610[refinanceible5]</f>
        <v>0.45915371064370136</v>
      </c>
      <c r="K20" s="40">
        <f>CurrentMtgRatesDataTable825234610[refinanceible6]</f>
        <v>0.39779633268543002</v>
      </c>
      <c r="L20" s="40">
        <f>CurrentMtgRatesDataTable825234610[refinanceible7]</f>
        <v>0.36431880223413576</v>
      </c>
      <c r="M20" s="40">
        <f>CurrentMtgRatesDataTable825234610[refinanceible8]</f>
        <v>0.32134943910537084</v>
      </c>
      <c r="N20" s="40">
        <f>CurrentMtgRatesDataTable825234610[refinanceible9]</f>
        <v>0.29464449046498603</v>
      </c>
      <c r="O20" s="40">
        <f>CurrentMtgRatesDataTable825234610[refinanceible10]</f>
        <v>0.24410272227756832</v>
      </c>
      <c r="P20" s="40">
        <f>CurrentMtgRatesDataTable825234610[refinanceible11]</f>
        <v>0.20106252470542499</v>
      </c>
    </row>
    <row r="21" spans="5:16">
      <c r="E21" s="39" t="s">
        <v>104</v>
      </c>
      <c r="F21" s="40">
        <f>CurrentMtgRatesDataTable82523468[refinanceible1]</f>
        <v>0.20405539978490747</v>
      </c>
      <c r="G21" s="40">
        <f>CurrentMtgRatesDataTable82523468[refinanceible2]</f>
        <v>8.8363009906858286E-3</v>
      </c>
      <c r="H21" s="40">
        <f>CurrentMtgRatesDataTable82523468[refinanceible3]</f>
        <v>1.7846726369342121E-3</v>
      </c>
      <c r="I21" s="40">
        <f>CurrentMtgRatesDataTable82523468[refinanceible4]</f>
        <v>2.8983733075451279E-4</v>
      </c>
      <c r="J21" s="40">
        <f>CurrentMtgRatesDataTable82523468[refinanceible5]</f>
        <v>0</v>
      </c>
      <c r="K21" s="40">
        <f>CurrentMtgRatesDataTable82523468[refinanceible6]</f>
        <v>0</v>
      </c>
      <c r="L21" s="40">
        <f>CurrentMtgRatesDataTable82523468[refinanceible7]</f>
        <v>0</v>
      </c>
      <c r="M21" s="40">
        <f>CurrentMtgRatesDataTable82523468[refinanceible8]</f>
        <v>0</v>
      </c>
      <c r="N21" s="40">
        <f>CurrentMtgRatesDataTable82523468[refinanceible9]</f>
        <v>0</v>
      </c>
      <c r="O21" s="40">
        <f>CurrentMtgRatesDataTable82523468[refinanceible10]</f>
        <v>0</v>
      </c>
      <c r="P21" s="40">
        <f>CurrentMtgRatesDataTable82523468[refinanceible11]</f>
        <v>0</v>
      </c>
    </row>
    <row r="22" spans="5:16">
      <c r="E22" s="39" t="s">
        <v>102</v>
      </c>
      <c r="F22" s="40">
        <f>F14</f>
        <v>0.21907818282542799</v>
      </c>
      <c r="G22" s="40">
        <f t="shared" ref="G22:P22" si="0">G14</f>
        <v>0.190108436739896</v>
      </c>
      <c r="H22" s="40">
        <f t="shared" si="0"/>
        <v>0.14316673607349001</v>
      </c>
      <c r="I22" s="40">
        <f t="shared" si="0"/>
        <v>3.2242913939845102E-3</v>
      </c>
      <c r="J22" s="40">
        <f t="shared" si="0"/>
        <v>1.24187519436403E-3</v>
      </c>
      <c r="K22" s="40">
        <f t="shared" si="0"/>
        <v>6.0159410239188805E-4</v>
      </c>
      <c r="L22" s="40">
        <f t="shared" si="0"/>
        <v>4.06477365970085E-4</v>
      </c>
      <c r="M22" s="40">
        <f t="shared" si="0"/>
        <v>1.6491162527492001E-4</v>
      </c>
      <c r="N22" s="40">
        <f t="shared" si="0"/>
        <v>1.11925657248564E-4</v>
      </c>
      <c r="O22" s="40">
        <f t="shared" si="0"/>
        <v>4.0945274596614099E-5</v>
      </c>
      <c r="P22" s="40">
        <f t="shared" si="0"/>
        <v>4.0945274596614099E-5</v>
      </c>
    </row>
  </sheetData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Z755"/>
  <sheetViews>
    <sheetView topLeftCell="B525" workbookViewId="0">
      <selection activeCell="B525" sqref="B525:C755"/>
    </sheetView>
  </sheetViews>
  <sheetFormatPr defaultRowHeight="15"/>
  <cols>
    <col min="2" max="2" width="10.7109375" bestFit="1" customWidth="1"/>
    <col min="3" max="3" width="16" bestFit="1" customWidth="1"/>
    <col min="6" max="6" width="9.7109375" bestFit="1" customWidth="1"/>
    <col min="7" max="7" width="13.42578125" hidden="1" customWidth="1"/>
    <col min="8" max="8" width="12.140625" hidden="1" customWidth="1"/>
    <col min="9" max="10" width="14.5703125" customWidth="1"/>
    <col min="13" max="13" width="9.28515625" bestFit="1" customWidth="1"/>
    <col min="14" max="14" width="10.7109375" customWidth="1"/>
    <col min="15" max="15" width="11" hidden="1" customWidth="1"/>
    <col min="16" max="16" width="14.5703125" bestFit="1" customWidth="1"/>
    <col min="17" max="18" width="9.140625" style="72"/>
  </cols>
  <sheetData>
    <row r="1" spans="2:26">
      <c r="F1" t="s">
        <v>90</v>
      </c>
      <c r="Q1"/>
      <c r="R1"/>
    </row>
    <row r="2" spans="2:26">
      <c r="B2" t="s">
        <v>38</v>
      </c>
      <c r="C2" t="s">
        <v>80</v>
      </c>
      <c r="F2" s="1" t="s">
        <v>82</v>
      </c>
      <c r="G2" t="s">
        <v>83</v>
      </c>
      <c r="H2" s="1" t="s">
        <v>84</v>
      </c>
      <c r="I2" t="s">
        <v>85</v>
      </c>
      <c r="J2" s="72" t="s">
        <v>85</v>
      </c>
      <c r="M2" t="s">
        <v>86</v>
      </c>
      <c r="N2" t="s">
        <v>87</v>
      </c>
      <c r="O2" t="s">
        <v>88</v>
      </c>
      <c r="P2" t="s">
        <v>85</v>
      </c>
      <c r="Q2" t="s">
        <v>80</v>
      </c>
      <c r="R2"/>
    </row>
    <row r="3" spans="2:26">
      <c r="B3" s="1">
        <v>36896</v>
      </c>
      <c r="C3">
        <v>7.07</v>
      </c>
      <c r="F3" s="1">
        <v>39142</v>
      </c>
      <c r="G3" t="s">
        <v>81</v>
      </c>
      <c r="H3" s="1">
        <v>39142</v>
      </c>
      <c r="I3" s="72">
        <v>6.0299899999999997</v>
      </c>
      <c r="J3" s="72">
        <v>6.0949999999999998</v>
      </c>
      <c r="K3" s="72">
        <f>J3-I3</f>
        <v>6.5010000000000012E-2</v>
      </c>
      <c r="M3" s="1">
        <v>36896</v>
      </c>
      <c r="N3" s="1">
        <v>36896</v>
      </c>
      <c r="O3" s="1">
        <v>36892</v>
      </c>
      <c r="P3" s="72">
        <v>7.07</v>
      </c>
      <c r="Q3" s="72">
        <f>VLOOKUP(N3,B:C,2,0)</f>
        <v>7.07</v>
      </c>
    </row>
    <row r="4" spans="2:26">
      <c r="B4" s="1">
        <v>36903</v>
      </c>
      <c r="C4">
        <v>6.8649999999999904</v>
      </c>
      <c r="F4" s="1">
        <v>39173</v>
      </c>
      <c r="G4" t="s">
        <v>81</v>
      </c>
      <c r="H4" s="1">
        <v>39142</v>
      </c>
      <c r="I4" s="72">
        <v>5.9899899999999997</v>
      </c>
      <c r="J4" s="72">
        <v>5.9899899999999997</v>
      </c>
      <c r="K4" s="72">
        <f t="shared" ref="K4:K67" si="0">J4-I4</f>
        <v>0</v>
      </c>
      <c r="M4" s="1">
        <v>36896</v>
      </c>
      <c r="N4" s="1">
        <v>36903</v>
      </c>
      <c r="O4" s="1">
        <v>36892</v>
      </c>
      <c r="P4" s="72">
        <v>6.8649899999999997</v>
      </c>
      <c r="Q4" s="72">
        <f t="shared" ref="Q4:Q67" si="1">VLOOKUP(N4,B:C,2,0)</f>
        <v>6.8649999999999904</v>
      </c>
    </row>
    <row r="5" spans="2:26">
      <c r="B5" s="1">
        <v>36910</v>
      </c>
      <c r="C5">
        <v>6.9949999999999903</v>
      </c>
      <c r="F5" s="1">
        <v>39203</v>
      </c>
      <c r="G5" t="s">
        <v>81</v>
      </c>
      <c r="H5" s="1">
        <v>39142</v>
      </c>
      <c r="I5" s="72">
        <v>5.9899899999999997</v>
      </c>
      <c r="J5" s="72">
        <v>5.9899899999999997</v>
      </c>
      <c r="K5" s="72">
        <f t="shared" si="0"/>
        <v>0</v>
      </c>
      <c r="M5" s="1">
        <v>36896</v>
      </c>
      <c r="N5" s="1">
        <v>36910</v>
      </c>
      <c r="O5" s="1">
        <v>36892</v>
      </c>
      <c r="P5" s="72">
        <v>6.8649899999999997</v>
      </c>
      <c r="Q5" s="72">
        <f t="shared" si="1"/>
        <v>6.9949999999999903</v>
      </c>
      <c r="Z5">
        <f>753*753</f>
        <v>567009</v>
      </c>
    </row>
    <row r="6" spans="2:26">
      <c r="B6" s="1">
        <v>36917</v>
      </c>
      <c r="C6">
        <v>7.1</v>
      </c>
      <c r="F6" s="1">
        <v>39234</v>
      </c>
      <c r="G6" t="s">
        <v>81</v>
      </c>
      <c r="H6" s="1">
        <v>39142</v>
      </c>
      <c r="I6" s="72">
        <v>5.9899899999999997</v>
      </c>
      <c r="J6" s="72">
        <v>5.9899899999999997</v>
      </c>
      <c r="K6" s="72">
        <f t="shared" si="0"/>
        <v>0</v>
      </c>
      <c r="M6" s="1">
        <v>36896</v>
      </c>
      <c r="N6" s="1">
        <v>36917</v>
      </c>
      <c r="O6" s="1">
        <v>36892</v>
      </c>
      <c r="P6" s="72">
        <v>6.8649899999999997</v>
      </c>
      <c r="Q6" s="72">
        <f t="shared" si="1"/>
        <v>7.1</v>
      </c>
    </row>
    <row r="7" spans="2:26">
      <c r="B7" s="1">
        <v>36924</v>
      </c>
      <c r="C7">
        <v>7.09</v>
      </c>
      <c r="F7" s="1">
        <v>39264</v>
      </c>
      <c r="G7" t="s">
        <v>81</v>
      </c>
      <c r="H7" s="1">
        <v>39142</v>
      </c>
      <c r="I7" s="72">
        <v>5.9899899999999997</v>
      </c>
      <c r="J7" s="72">
        <v>5.9899899999999997</v>
      </c>
      <c r="K7" s="72">
        <f t="shared" si="0"/>
        <v>0</v>
      </c>
      <c r="M7" s="1">
        <v>36896</v>
      </c>
      <c r="N7" s="1">
        <v>36924</v>
      </c>
      <c r="O7" s="1">
        <v>36892</v>
      </c>
      <c r="P7" s="72">
        <v>6.8649899999999997</v>
      </c>
      <c r="Q7" s="72">
        <f t="shared" si="1"/>
        <v>7.09</v>
      </c>
    </row>
    <row r="8" spans="2:26">
      <c r="B8" s="1">
        <v>36931</v>
      </c>
      <c r="C8">
        <v>6.98</v>
      </c>
      <c r="F8" s="1">
        <v>39295</v>
      </c>
      <c r="G8" t="s">
        <v>81</v>
      </c>
      <c r="H8" s="1">
        <v>39142</v>
      </c>
      <c r="I8" s="72">
        <v>5.9899899999999997</v>
      </c>
      <c r="J8" s="72">
        <v>5.9899899999999997</v>
      </c>
      <c r="K8" s="72">
        <f t="shared" si="0"/>
        <v>0</v>
      </c>
      <c r="M8" s="1">
        <v>36896</v>
      </c>
      <c r="N8" s="1">
        <v>36931</v>
      </c>
      <c r="O8" s="1">
        <v>36892</v>
      </c>
      <c r="P8" s="72">
        <v>6.8649899999999997</v>
      </c>
      <c r="Q8" s="72">
        <f t="shared" si="1"/>
        <v>6.98</v>
      </c>
    </row>
    <row r="9" spans="2:26">
      <c r="B9" s="1">
        <v>36938</v>
      </c>
      <c r="C9">
        <v>6.9849999999999897</v>
      </c>
      <c r="F9" s="1">
        <v>39326</v>
      </c>
      <c r="G9" t="s">
        <v>81</v>
      </c>
      <c r="H9" s="1">
        <v>39142</v>
      </c>
      <c r="I9" s="72">
        <v>5.9899899999999997</v>
      </c>
      <c r="J9" s="72">
        <v>5.9899899999999997</v>
      </c>
      <c r="K9" s="72">
        <f t="shared" si="0"/>
        <v>0</v>
      </c>
      <c r="M9" s="1">
        <v>36896</v>
      </c>
      <c r="N9" s="1">
        <v>36938</v>
      </c>
      <c r="O9" s="1">
        <v>36892</v>
      </c>
      <c r="P9" s="72">
        <v>6.8649899999999997</v>
      </c>
      <c r="Q9" s="72">
        <f t="shared" si="1"/>
        <v>6.9849999999999897</v>
      </c>
    </row>
    <row r="10" spans="2:26">
      <c r="B10" s="1">
        <v>36945</v>
      </c>
      <c r="C10">
        <v>7.0949999999999998</v>
      </c>
      <c r="F10" s="1">
        <v>39356</v>
      </c>
      <c r="G10" t="s">
        <v>81</v>
      </c>
      <c r="H10" s="1">
        <v>39142</v>
      </c>
      <c r="I10" s="72">
        <v>5.9899899999999997</v>
      </c>
      <c r="J10" s="72">
        <v>5.9899899999999997</v>
      </c>
      <c r="K10" s="72">
        <f t="shared" si="0"/>
        <v>0</v>
      </c>
      <c r="M10" s="1">
        <v>36896</v>
      </c>
      <c r="N10" s="1">
        <v>36945</v>
      </c>
      <c r="O10" s="1">
        <v>36892</v>
      </c>
      <c r="P10" s="72">
        <v>6.8649899999999997</v>
      </c>
      <c r="Q10" s="72">
        <f t="shared" si="1"/>
        <v>7.0949999999999998</v>
      </c>
    </row>
    <row r="11" spans="2:26">
      <c r="B11" s="1">
        <v>36952</v>
      </c>
      <c r="C11">
        <v>7.0049999999999999</v>
      </c>
      <c r="F11" s="1">
        <v>39387</v>
      </c>
      <c r="G11" t="s">
        <v>81</v>
      </c>
      <c r="H11" s="1">
        <v>39142</v>
      </c>
      <c r="I11" s="72">
        <v>5.9899899999999997</v>
      </c>
      <c r="J11" s="72">
        <v>5.9899899999999997</v>
      </c>
      <c r="K11" s="72">
        <f t="shared" si="0"/>
        <v>0</v>
      </c>
      <c r="M11" s="1">
        <v>36896</v>
      </c>
      <c r="N11" s="1">
        <v>36952</v>
      </c>
      <c r="O11" s="1">
        <v>36892</v>
      </c>
      <c r="P11" s="72">
        <v>6.8649899999999997</v>
      </c>
      <c r="Q11" s="72">
        <f t="shared" si="1"/>
        <v>7.0049999999999999</v>
      </c>
    </row>
    <row r="12" spans="2:26">
      <c r="B12" s="1">
        <v>36959</v>
      </c>
      <c r="C12">
        <v>6.9449999999999896</v>
      </c>
      <c r="F12" s="1">
        <v>39417</v>
      </c>
      <c r="G12" t="s">
        <v>81</v>
      </c>
      <c r="H12" s="1">
        <v>39142</v>
      </c>
      <c r="I12" s="72">
        <v>5.9749999999999996</v>
      </c>
      <c r="J12" s="72">
        <v>5.9749999999999996</v>
      </c>
      <c r="K12" s="72">
        <f t="shared" si="0"/>
        <v>0</v>
      </c>
      <c r="M12" s="1">
        <v>36896</v>
      </c>
      <c r="N12" s="1">
        <v>36959</v>
      </c>
      <c r="O12" s="1">
        <v>36892</v>
      </c>
      <c r="P12" s="72">
        <v>6.8649899999999997</v>
      </c>
      <c r="Q12" s="72">
        <f t="shared" si="1"/>
        <v>6.9449999999999896</v>
      </c>
    </row>
    <row r="13" spans="2:26">
      <c r="B13" s="1">
        <v>36966</v>
      </c>
      <c r="C13">
        <v>6.9349999999999996</v>
      </c>
      <c r="F13" s="1">
        <v>39448</v>
      </c>
      <c r="G13" t="s">
        <v>81</v>
      </c>
      <c r="H13" s="1">
        <v>39142</v>
      </c>
      <c r="I13" s="72">
        <v>5.81</v>
      </c>
      <c r="J13" s="72">
        <v>5.81</v>
      </c>
      <c r="K13" s="72">
        <f t="shared" si="0"/>
        <v>0</v>
      </c>
      <c r="M13" s="1">
        <v>36896</v>
      </c>
      <c r="N13" s="1">
        <v>36966</v>
      </c>
      <c r="O13" s="1">
        <v>36892</v>
      </c>
      <c r="P13" s="72">
        <v>6.8649899999999997</v>
      </c>
      <c r="Q13" s="72">
        <f t="shared" si="1"/>
        <v>6.9349999999999996</v>
      </c>
    </row>
    <row r="14" spans="2:26">
      <c r="B14" s="1">
        <v>36973</v>
      </c>
      <c r="C14">
        <v>6.89</v>
      </c>
      <c r="F14" s="1">
        <v>39479</v>
      </c>
      <c r="G14" t="s">
        <v>81</v>
      </c>
      <c r="H14" s="1">
        <v>39142</v>
      </c>
      <c r="I14" s="72">
        <v>5.33</v>
      </c>
      <c r="J14" s="72">
        <v>5.33</v>
      </c>
      <c r="K14" s="72">
        <f t="shared" si="0"/>
        <v>0</v>
      </c>
      <c r="M14" s="1">
        <v>36896</v>
      </c>
      <c r="N14" s="1">
        <v>36973</v>
      </c>
      <c r="O14" s="1">
        <v>36892</v>
      </c>
      <c r="P14" s="72">
        <v>6.8649899999999997</v>
      </c>
      <c r="Q14" s="72">
        <f t="shared" si="1"/>
        <v>6.89</v>
      </c>
    </row>
    <row r="15" spans="2:26">
      <c r="B15" s="1">
        <v>36980</v>
      </c>
      <c r="C15">
        <v>6.8849999999999998</v>
      </c>
      <c r="F15" s="1">
        <v>39508</v>
      </c>
      <c r="G15" t="s">
        <v>81</v>
      </c>
      <c r="H15" s="1">
        <v>39142</v>
      </c>
      <c r="I15" s="72">
        <v>5.33</v>
      </c>
      <c r="J15" s="72">
        <v>5.33</v>
      </c>
      <c r="K15" s="72">
        <f t="shared" si="0"/>
        <v>0</v>
      </c>
      <c r="M15" s="1">
        <v>36896</v>
      </c>
      <c r="N15" s="1">
        <v>36980</v>
      </c>
      <c r="O15" s="1">
        <v>36892</v>
      </c>
      <c r="P15" s="72">
        <v>6.8649899999999997</v>
      </c>
      <c r="Q15" s="72">
        <f t="shared" si="1"/>
        <v>6.8849999999999998</v>
      </c>
    </row>
    <row r="16" spans="2:26">
      <c r="B16" s="1">
        <v>36987</v>
      </c>
      <c r="C16">
        <v>6.9849999999999897</v>
      </c>
      <c r="F16" s="1">
        <v>39539</v>
      </c>
      <c r="G16" t="s">
        <v>81</v>
      </c>
      <c r="H16" s="1">
        <v>39142</v>
      </c>
      <c r="I16" s="72">
        <v>5.33</v>
      </c>
      <c r="J16" s="72">
        <v>5.33</v>
      </c>
      <c r="K16" s="72">
        <f t="shared" si="0"/>
        <v>0</v>
      </c>
      <c r="M16" s="1">
        <v>36896</v>
      </c>
      <c r="N16" s="1">
        <v>36987</v>
      </c>
      <c r="O16" s="1">
        <v>36892</v>
      </c>
      <c r="P16" s="72">
        <v>6.8649899999999997</v>
      </c>
      <c r="Q16" s="72">
        <f t="shared" si="1"/>
        <v>6.9849999999999897</v>
      </c>
    </row>
    <row r="17" spans="2:17">
      <c r="B17" s="1">
        <v>36994</v>
      </c>
      <c r="C17">
        <v>6.99</v>
      </c>
      <c r="F17" s="1">
        <v>39569</v>
      </c>
      <c r="G17" t="s">
        <v>81</v>
      </c>
      <c r="H17" s="1">
        <v>39142</v>
      </c>
      <c r="I17" s="72">
        <v>5.33</v>
      </c>
      <c r="J17" s="72">
        <v>5.33</v>
      </c>
      <c r="K17" s="72">
        <f t="shared" si="0"/>
        <v>0</v>
      </c>
      <c r="M17" s="1">
        <v>36896</v>
      </c>
      <c r="N17" s="1">
        <v>36994</v>
      </c>
      <c r="O17" s="1">
        <v>36892</v>
      </c>
      <c r="P17" s="72">
        <v>6.8649899999999997</v>
      </c>
      <c r="Q17" s="72">
        <f t="shared" si="1"/>
        <v>6.99</v>
      </c>
    </row>
    <row r="18" spans="2:17">
      <c r="B18" s="1">
        <v>37001</v>
      </c>
      <c r="C18">
        <v>7.1149999999999904</v>
      </c>
      <c r="F18" s="1">
        <v>39600</v>
      </c>
      <c r="G18" t="s">
        <v>81</v>
      </c>
      <c r="H18" s="1">
        <v>39142</v>
      </c>
      <c r="I18" s="72">
        <v>5.33</v>
      </c>
      <c r="J18" s="72">
        <v>5.33</v>
      </c>
      <c r="K18" s="72">
        <f t="shared" si="0"/>
        <v>0</v>
      </c>
      <c r="M18" s="1">
        <v>36896</v>
      </c>
      <c r="N18" s="1">
        <v>37001</v>
      </c>
      <c r="O18" s="1">
        <v>36892</v>
      </c>
      <c r="P18" s="72">
        <v>6.8649899999999997</v>
      </c>
      <c r="Q18" s="72">
        <f t="shared" si="1"/>
        <v>7.1149999999999904</v>
      </c>
    </row>
    <row r="19" spans="2:17">
      <c r="B19" s="1">
        <v>37008</v>
      </c>
      <c r="C19">
        <v>7.12</v>
      </c>
      <c r="F19" s="1">
        <v>39630</v>
      </c>
      <c r="G19" t="s">
        <v>81</v>
      </c>
      <c r="H19" s="1">
        <v>39142</v>
      </c>
      <c r="I19" s="72">
        <v>5.33</v>
      </c>
      <c r="J19" s="72">
        <v>5.33</v>
      </c>
      <c r="K19" s="72">
        <f t="shared" si="0"/>
        <v>0</v>
      </c>
      <c r="M19" s="1">
        <v>36896</v>
      </c>
      <c r="N19" s="1">
        <v>37008</v>
      </c>
      <c r="O19" s="1">
        <v>36892</v>
      </c>
      <c r="P19" s="72">
        <v>6.8649899999999997</v>
      </c>
      <c r="Q19" s="72">
        <f t="shared" si="1"/>
        <v>7.12</v>
      </c>
    </row>
    <row r="20" spans="2:17">
      <c r="B20" s="1">
        <v>37015</v>
      </c>
      <c r="C20">
        <v>7.1149999999999904</v>
      </c>
      <c r="F20" s="1">
        <v>39661</v>
      </c>
      <c r="G20" t="s">
        <v>81</v>
      </c>
      <c r="H20" s="1">
        <v>39142</v>
      </c>
      <c r="I20" s="72">
        <v>5.33</v>
      </c>
      <c r="J20" s="72">
        <v>5.33</v>
      </c>
      <c r="K20" s="72">
        <f t="shared" si="0"/>
        <v>0</v>
      </c>
      <c r="M20" s="1">
        <v>36896</v>
      </c>
      <c r="N20" s="1">
        <v>37015</v>
      </c>
      <c r="O20" s="1">
        <v>36892</v>
      </c>
      <c r="P20" s="72">
        <v>6.8649899999999997</v>
      </c>
      <c r="Q20" s="72">
        <f t="shared" si="1"/>
        <v>7.1149999999999904</v>
      </c>
    </row>
    <row r="21" spans="2:17">
      <c r="B21" s="1">
        <v>37022</v>
      </c>
      <c r="C21">
        <v>7.0749999999999904</v>
      </c>
      <c r="F21" s="1">
        <v>39692</v>
      </c>
      <c r="G21" t="s">
        <v>81</v>
      </c>
      <c r="H21" s="1">
        <v>39142</v>
      </c>
      <c r="I21" s="72">
        <v>5.33</v>
      </c>
      <c r="J21" s="72">
        <v>5.33</v>
      </c>
      <c r="K21" s="72">
        <f t="shared" si="0"/>
        <v>0</v>
      </c>
      <c r="M21" s="1">
        <v>36896</v>
      </c>
      <c r="N21" s="1">
        <v>37022</v>
      </c>
      <c r="O21" s="1">
        <v>36892</v>
      </c>
      <c r="P21" s="72">
        <v>6.8649899999999997</v>
      </c>
      <c r="Q21" s="72">
        <f t="shared" si="1"/>
        <v>7.0749999999999904</v>
      </c>
    </row>
    <row r="22" spans="2:17">
      <c r="B22" s="1">
        <v>37029</v>
      </c>
      <c r="C22">
        <v>7.14</v>
      </c>
      <c r="F22" s="1">
        <v>39722</v>
      </c>
      <c r="G22" t="s">
        <v>81</v>
      </c>
      <c r="H22" s="1">
        <v>39142</v>
      </c>
      <c r="I22" s="72">
        <v>5.33</v>
      </c>
      <c r="J22" s="72">
        <v>5.33</v>
      </c>
      <c r="K22" s="72">
        <f t="shared" si="0"/>
        <v>0</v>
      </c>
      <c r="M22" s="1">
        <v>36896</v>
      </c>
      <c r="N22" s="1">
        <v>37029</v>
      </c>
      <c r="O22" s="1">
        <v>36892</v>
      </c>
      <c r="P22" s="72">
        <v>6.8649899999999997</v>
      </c>
      <c r="Q22" s="72">
        <f t="shared" si="1"/>
        <v>7.14</v>
      </c>
    </row>
    <row r="23" spans="2:17">
      <c r="B23" s="1">
        <v>37036</v>
      </c>
      <c r="C23">
        <v>7.2</v>
      </c>
      <c r="F23" s="1">
        <v>39753</v>
      </c>
      <c r="G23" t="s">
        <v>81</v>
      </c>
      <c r="H23" s="1">
        <v>39142</v>
      </c>
      <c r="I23" s="72">
        <v>5.33</v>
      </c>
      <c r="J23" s="72">
        <v>5.33</v>
      </c>
      <c r="K23" s="72">
        <f t="shared" si="0"/>
        <v>0</v>
      </c>
      <c r="M23" s="1">
        <v>36896</v>
      </c>
      <c r="N23" s="1">
        <v>37036</v>
      </c>
      <c r="O23" s="1">
        <v>36892</v>
      </c>
      <c r="P23" s="72">
        <v>6.8649899999999997</v>
      </c>
      <c r="Q23" s="72">
        <f t="shared" si="1"/>
        <v>7.2</v>
      </c>
    </row>
    <row r="24" spans="2:17">
      <c r="B24" s="1">
        <v>37043</v>
      </c>
      <c r="C24">
        <v>7.2149999999999999</v>
      </c>
      <c r="F24" s="1">
        <v>39783</v>
      </c>
      <c r="G24" t="s">
        <v>81</v>
      </c>
      <c r="H24" s="1">
        <v>39142</v>
      </c>
      <c r="I24" s="72">
        <v>5.33</v>
      </c>
      <c r="J24" s="72">
        <v>5.33</v>
      </c>
      <c r="K24" s="72">
        <f t="shared" si="0"/>
        <v>0</v>
      </c>
      <c r="M24" s="1">
        <v>36896</v>
      </c>
      <c r="N24" s="1">
        <v>37043</v>
      </c>
      <c r="O24" s="1">
        <v>36892</v>
      </c>
      <c r="P24" s="72">
        <v>6.8649899999999997</v>
      </c>
      <c r="Q24" s="72">
        <f t="shared" si="1"/>
        <v>7.2149999999999999</v>
      </c>
    </row>
    <row r="25" spans="2:17">
      <c r="B25" s="1">
        <v>37050</v>
      </c>
      <c r="C25">
        <v>7.2</v>
      </c>
      <c r="F25" s="1">
        <v>39814</v>
      </c>
      <c r="G25" t="s">
        <v>81</v>
      </c>
      <c r="H25" s="1">
        <v>39142</v>
      </c>
      <c r="I25" s="72">
        <v>5.0249899999999998</v>
      </c>
      <c r="J25" s="72">
        <v>5.0249899999999998</v>
      </c>
      <c r="K25" s="72">
        <f t="shared" si="0"/>
        <v>0</v>
      </c>
      <c r="M25" s="1">
        <v>36896</v>
      </c>
      <c r="N25" s="1">
        <v>37050</v>
      </c>
      <c r="O25" s="1">
        <v>36892</v>
      </c>
      <c r="P25" s="72">
        <v>6.8649899999999997</v>
      </c>
      <c r="Q25" s="72">
        <f t="shared" si="1"/>
        <v>7.2</v>
      </c>
    </row>
    <row r="26" spans="2:17">
      <c r="B26" s="1">
        <v>37057</v>
      </c>
      <c r="C26">
        <v>7.1149999999999904</v>
      </c>
      <c r="F26" s="1">
        <v>39845</v>
      </c>
      <c r="G26" t="s">
        <v>81</v>
      </c>
      <c r="H26" s="1">
        <v>39142</v>
      </c>
      <c r="I26" s="72">
        <v>4.8849999999999998</v>
      </c>
      <c r="J26" s="72">
        <v>4.8849999999999998</v>
      </c>
      <c r="K26" s="72">
        <f t="shared" si="0"/>
        <v>0</v>
      </c>
      <c r="M26" s="1">
        <v>36896</v>
      </c>
      <c r="N26" s="1">
        <v>37057</v>
      </c>
      <c r="O26" s="1">
        <v>36892</v>
      </c>
      <c r="P26" s="72">
        <v>6.8649899999999997</v>
      </c>
      <c r="Q26" s="72">
        <f t="shared" si="1"/>
        <v>7.1149999999999904</v>
      </c>
    </row>
    <row r="27" spans="2:17">
      <c r="B27" s="1">
        <v>37064</v>
      </c>
      <c r="C27">
        <v>7.11</v>
      </c>
      <c r="F27" s="1">
        <v>39873</v>
      </c>
      <c r="G27" t="s">
        <v>81</v>
      </c>
      <c r="H27" s="1">
        <v>39142</v>
      </c>
      <c r="I27" s="72">
        <v>4.8849999999999998</v>
      </c>
      <c r="J27" s="72">
        <v>4.8849999999999998</v>
      </c>
      <c r="K27" s="72">
        <f t="shared" si="0"/>
        <v>0</v>
      </c>
      <c r="M27" s="1">
        <v>36896</v>
      </c>
      <c r="N27" s="1">
        <v>37064</v>
      </c>
      <c r="O27" s="1">
        <v>36892</v>
      </c>
      <c r="P27" s="72">
        <v>6.8649899999999997</v>
      </c>
      <c r="Q27" s="72">
        <f t="shared" si="1"/>
        <v>7.11</v>
      </c>
    </row>
    <row r="28" spans="2:17">
      <c r="B28" s="1">
        <v>37071</v>
      </c>
      <c r="C28">
        <v>7.11</v>
      </c>
      <c r="F28" s="1">
        <v>39904</v>
      </c>
      <c r="G28" t="s">
        <v>81</v>
      </c>
      <c r="H28" s="1">
        <v>39142</v>
      </c>
      <c r="I28" s="72">
        <v>4.7749899999999998</v>
      </c>
      <c r="J28" s="72">
        <v>4.7749899999999998</v>
      </c>
      <c r="K28" s="72">
        <f t="shared" si="0"/>
        <v>0</v>
      </c>
      <c r="M28" s="1">
        <v>36896</v>
      </c>
      <c r="N28" s="1">
        <v>37071</v>
      </c>
      <c r="O28" s="1">
        <v>36892</v>
      </c>
      <c r="P28" s="72">
        <v>6.8649899999999997</v>
      </c>
      <c r="Q28" s="72">
        <f t="shared" si="1"/>
        <v>7.11</v>
      </c>
    </row>
    <row r="29" spans="2:17">
      <c r="B29" s="1">
        <v>37078</v>
      </c>
      <c r="C29">
        <v>7.165</v>
      </c>
      <c r="F29" s="1">
        <v>39934</v>
      </c>
      <c r="G29" t="s">
        <v>81</v>
      </c>
      <c r="H29" s="1">
        <v>39142</v>
      </c>
      <c r="I29" s="72">
        <v>4.7050000000000001</v>
      </c>
      <c r="J29" s="72">
        <v>4.7050000000000001</v>
      </c>
      <c r="K29" s="72">
        <f t="shared" si="0"/>
        <v>0</v>
      </c>
      <c r="M29" s="1">
        <v>36896</v>
      </c>
      <c r="N29" s="1">
        <v>37078</v>
      </c>
      <c r="O29" s="1">
        <v>36892</v>
      </c>
      <c r="P29" s="72">
        <v>6.8649899999999997</v>
      </c>
      <c r="Q29" s="72">
        <f t="shared" si="1"/>
        <v>7.165</v>
      </c>
    </row>
    <row r="30" spans="2:17">
      <c r="B30" s="1">
        <v>37085</v>
      </c>
      <c r="C30">
        <v>7.1849999999999996</v>
      </c>
      <c r="F30" s="1">
        <v>39965</v>
      </c>
      <c r="G30" t="s">
        <v>81</v>
      </c>
      <c r="H30" s="1">
        <v>39142</v>
      </c>
      <c r="I30" s="72">
        <v>4.7050000000000001</v>
      </c>
      <c r="J30" s="72">
        <v>4.7050000000000001</v>
      </c>
      <c r="K30" s="72">
        <f t="shared" si="0"/>
        <v>0</v>
      </c>
      <c r="M30" s="1">
        <v>36896</v>
      </c>
      <c r="N30" s="1">
        <v>37085</v>
      </c>
      <c r="O30" s="1">
        <v>36892</v>
      </c>
      <c r="P30" s="72">
        <v>6.8649899999999997</v>
      </c>
      <c r="Q30" s="72">
        <f t="shared" si="1"/>
        <v>7.1849999999999996</v>
      </c>
    </row>
    <row r="31" spans="2:17">
      <c r="B31" s="1">
        <v>37092</v>
      </c>
      <c r="C31">
        <v>7.0549999999999997</v>
      </c>
      <c r="F31" s="1">
        <v>39995</v>
      </c>
      <c r="G31" t="s">
        <v>81</v>
      </c>
      <c r="H31" s="1">
        <v>39142</v>
      </c>
      <c r="I31" s="72">
        <v>4.7050000000000001</v>
      </c>
      <c r="J31" s="72">
        <v>4.7050000000000001</v>
      </c>
      <c r="K31" s="72">
        <f t="shared" si="0"/>
        <v>0</v>
      </c>
      <c r="M31" s="1">
        <v>36896</v>
      </c>
      <c r="N31" s="1">
        <v>37092</v>
      </c>
      <c r="O31" s="1">
        <v>36892</v>
      </c>
      <c r="P31" s="72">
        <v>6.8649899999999997</v>
      </c>
      <c r="Q31" s="72">
        <f t="shared" si="1"/>
        <v>7.0549999999999997</v>
      </c>
    </row>
    <row r="32" spans="2:17">
      <c r="B32" s="1">
        <v>37099</v>
      </c>
      <c r="C32">
        <v>7.0049999999999999</v>
      </c>
      <c r="F32" s="1">
        <v>40026</v>
      </c>
      <c r="G32" t="s">
        <v>81</v>
      </c>
      <c r="H32" s="1">
        <v>39142</v>
      </c>
      <c r="I32" s="72">
        <v>4.7050000000000001</v>
      </c>
      <c r="J32" s="72">
        <v>4.7050000000000001</v>
      </c>
      <c r="K32" s="72">
        <f t="shared" si="0"/>
        <v>0</v>
      </c>
      <c r="M32" s="1">
        <v>36896</v>
      </c>
      <c r="N32" s="1">
        <v>37099</v>
      </c>
      <c r="O32" s="1">
        <v>36892</v>
      </c>
      <c r="P32" s="72">
        <v>6.8649899999999997</v>
      </c>
      <c r="Q32" s="72">
        <f t="shared" si="1"/>
        <v>7.0049999999999999</v>
      </c>
    </row>
    <row r="33" spans="2:17">
      <c r="B33" s="1">
        <v>37106</v>
      </c>
      <c r="C33">
        <v>6.9749999999999996</v>
      </c>
      <c r="F33" s="1">
        <v>40057</v>
      </c>
      <c r="G33" t="s">
        <v>81</v>
      </c>
      <c r="H33" s="1">
        <v>39142</v>
      </c>
      <c r="I33" s="72">
        <v>4.7050000000000001</v>
      </c>
      <c r="J33" s="72">
        <v>4.7050000000000001</v>
      </c>
      <c r="K33" s="72">
        <f t="shared" si="0"/>
        <v>0</v>
      </c>
      <c r="M33" s="1">
        <v>36896</v>
      </c>
      <c r="N33" s="1">
        <v>37106</v>
      </c>
      <c r="O33" s="1">
        <v>36892</v>
      </c>
      <c r="P33" s="72">
        <v>6.8649899999999997</v>
      </c>
      <c r="Q33" s="72">
        <f t="shared" si="1"/>
        <v>6.9749999999999996</v>
      </c>
    </row>
    <row r="34" spans="2:17">
      <c r="B34" s="1">
        <v>37113</v>
      </c>
      <c r="C34">
        <v>6.9749999999999996</v>
      </c>
      <c r="F34" s="1">
        <v>40087</v>
      </c>
      <c r="G34" t="s">
        <v>81</v>
      </c>
      <c r="H34" s="1">
        <v>39142</v>
      </c>
      <c r="I34" s="72">
        <v>4.7050000000000001</v>
      </c>
      <c r="J34" s="72">
        <v>4.7050000000000001</v>
      </c>
      <c r="K34" s="72">
        <f t="shared" si="0"/>
        <v>0</v>
      </c>
      <c r="M34" s="1">
        <v>36896</v>
      </c>
      <c r="N34" s="1">
        <v>37113</v>
      </c>
      <c r="O34" s="1">
        <v>36892</v>
      </c>
      <c r="P34" s="72">
        <v>6.8649899999999997</v>
      </c>
      <c r="Q34" s="72">
        <f t="shared" si="1"/>
        <v>6.9749999999999996</v>
      </c>
    </row>
    <row r="35" spans="2:17">
      <c r="B35" s="1">
        <v>37120</v>
      </c>
      <c r="C35">
        <v>6.8949999999999996</v>
      </c>
      <c r="F35" s="1">
        <v>40118</v>
      </c>
      <c r="G35" t="s">
        <v>81</v>
      </c>
      <c r="H35" s="1">
        <v>39142</v>
      </c>
      <c r="I35" s="72">
        <v>4.7050000000000001</v>
      </c>
      <c r="J35" s="72">
        <v>4.7050000000000001</v>
      </c>
      <c r="K35" s="72">
        <f t="shared" si="0"/>
        <v>0</v>
      </c>
      <c r="M35" s="1">
        <v>36896</v>
      </c>
      <c r="N35" s="1">
        <v>37120</v>
      </c>
      <c r="O35" s="1">
        <v>36892</v>
      </c>
      <c r="P35" s="72">
        <v>6.8649899999999997</v>
      </c>
      <c r="Q35" s="72">
        <f t="shared" si="1"/>
        <v>6.8949999999999996</v>
      </c>
    </row>
    <row r="36" spans="2:17">
      <c r="B36" s="1">
        <v>37127</v>
      </c>
      <c r="C36">
        <v>6.8849999999999998</v>
      </c>
      <c r="F36" s="1">
        <v>40148</v>
      </c>
      <c r="G36" t="s">
        <v>81</v>
      </c>
      <c r="H36" s="1">
        <v>39142</v>
      </c>
      <c r="I36" s="72">
        <v>4.7050000000000001</v>
      </c>
      <c r="J36" s="72">
        <v>4.7050000000000001</v>
      </c>
      <c r="K36" s="72">
        <f t="shared" si="0"/>
        <v>0</v>
      </c>
      <c r="M36" s="1">
        <v>36896</v>
      </c>
      <c r="N36" s="1">
        <v>37127</v>
      </c>
      <c r="O36" s="1">
        <v>36892</v>
      </c>
      <c r="P36" s="72">
        <v>6.8649899999999997</v>
      </c>
      <c r="Q36" s="72">
        <f t="shared" si="1"/>
        <v>6.8849999999999998</v>
      </c>
    </row>
    <row r="37" spans="2:17">
      <c r="B37" s="1">
        <v>37134</v>
      </c>
      <c r="C37">
        <v>6.8949999999999996</v>
      </c>
      <c r="F37" s="1">
        <v>40179</v>
      </c>
      <c r="G37" t="s">
        <v>81</v>
      </c>
      <c r="H37" s="1">
        <v>39142</v>
      </c>
      <c r="I37" s="72">
        <v>4.6349999999999998</v>
      </c>
      <c r="J37" s="72">
        <v>4.6349999999999998</v>
      </c>
      <c r="K37" s="72">
        <f t="shared" si="0"/>
        <v>0</v>
      </c>
      <c r="M37" s="1">
        <v>36896</v>
      </c>
      <c r="N37" s="1">
        <v>37134</v>
      </c>
      <c r="O37" s="1">
        <v>36892</v>
      </c>
      <c r="P37" s="72">
        <v>6.8649899999999997</v>
      </c>
      <c r="Q37" s="72">
        <f t="shared" si="1"/>
        <v>6.8949999999999996</v>
      </c>
    </row>
    <row r="38" spans="2:17">
      <c r="B38" s="1">
        <v>37141</v>
      </c>
      <c r="C38">
        <v>6.8649999999999904</v>
      </c>
      <c r="F38" s="1">
        <v>40210</v>
      </c>
      <c r="G38" t="s">
        <v>81</v>
      </c>
      <c r="H38" s="1">
        <v>39142</v>
      </c>
      <c r="I38" s="72">
        <v>4.6349999999999998</v>
      </c>
      <c r="J38" s="72">
        <v>4.6349999999999998</v>
      </c>
      <c r="K38" s="72">
        <f t="shared" si="0"/>
        <v>0</v>
      </c>
      <c r="M38" s="1">
        <v>36896</v>
      </c>
      <c r="N38" s="1">
        <v>37141</v>
      </c>
      <c r="O38" s="1">
        <v>36892</v>
      </c>
      <c r="P38" s="72">
        <v>6.8649899999999997</v>
      </c>
      <c r="Q38" s="72">
        <f t="shared" si="1"/>
        <v>6.8649999999999904</v>
      </c>
    </row>
    <row r="39" spans="2:17">
      <c r="B39" s="1">
        <v>37148</v>
      </c>
      <c r="C39">
        <v>6.835</v>
      </c>
      <c r="F39" s="1">
        <v>40238</v>
      </c>
      <c r="G39" t="s">
        <v>81</v>
      </c>
      <c r="H39" s="1">
        <v>39142</v>
      </c>
      <c r="I39" s="72">
        <v>4.6349999999999998</v>
      </c>
      <c r="J39" s="72">
        <v>4.6349999999999998</v>
      </c>
      <c r="K39" s="72">
        <f t="shared" si="0"/>
        <v>0</v>
      </c>
      <c r="M39" s="1">
        <v>36896</v>
      </c>
      <c r="N39" s="1">
        <v>37148</v>
      </c>
      <c r="O39" s="1">
        <v>36892</v>
      </c>
      <c r="P39" s="72">
        <v>6.835</v>
      </c>
      <c r="Q39" s="72">
        <f t="shared" si="1"/>
        <v>6.835</v>
      </c>
    </row>
    <row r="40" spans="2:17">
      <c r="B40" s="1">
        <v>37155</v>
      </c>
      <c r="C40">
        <v>6.7749999999999897</v>
      </c>
      <c r="F40" s="1">
        <v>40269</v>
      </c>
      <c r="G40" t="s">
        <v>81</v>
      </c>
      <c r="H40" s="1">
        <v>39142</v>
      </c>
      <c r="I40" s="72">
        <v>4.6349999999999998</v>
      </c>
      <c r="J40" s="72">
        <v>4.6349999999999998</v>
      </c>
      <c r="K40" s="72">
        <f t="shared" si="0"/>
        <v>0</v>
      </c>
      <c r="M40" s="1">
        <v>36896</v>
      </c>
      <c r="N40" s="1">
        <v>37155</v>
      </c>
      <c r="O40" s="1">
        <v>36892</v>
      </c>
      <c r="P40" s="72">
        <v>6.7750000000000004</v>
      </c>
      <c r="Q40" s="72">
        <f t="shared" si="1"/>
        <v>6.7749999999999897</v>
      </c>
    </row>
    <row r="41" spans="2:17">
      <c r="B41" s="1">
        <v>37162</v>
      </c>
      <c r="C41">
        <v>6.6949999999999896</v>
      </c>
      <c r="F41" s="1">
        <v>40299</v>
      </c>
      <c r="G41" t="s">
        <v>81</v>
      </c>
      <c r="H41" s="1">
        <v>39142</v>
      </c>
      <c r="I41" s="72">
        <v>4.6349999999999998</v>
      </c>
      <c r="J41" s="72">
        <v>4.6349999999999998</v>
      </c>
      <c r="K41" s="72">
        <f t="shared" si="0"/>
        <v>0</v>
      </c>
      <c r="M41" s="1">
        <v>36896</v>
      </c>
      <c r="N41" s="1">
        <v>37162</v>
      </c>
      <c r="O41" s="1">
        <v>36892</v>
      </c>
      <c r="P41" s="72">
        <v>6.6949899999999998</v>
      </c>
      <c r="Q41" s="72">
        <f t="shared" si="1"/>
        <v>6.6949999999999896</v>
      </c>
    </row>
    <row r="42" spans="2:17">
      <c r="B42" s="1">
        <v>37169</v>
      </c>
      <c r="C42">
        <v>6.59</v>
      </c>
      <c r="F42" s="1">
        <v>40330</v>
      </c>
      <c r="G42" t="s">
        <v>81</v>
      </c>
      <c r="H42" s="1">
        <v>39142</v>
      </c>
      <c r="I42" s="72">
        <v>4.6349999999999998</v>
      </c>
      <c r="J42" s="72">
        <v>4.6349999999999998</v>
      </c>
      <c r="K42" s="72">
        <f t="shared" si="0"/>
        <v>0</v>
      </c>
      <c r="M42" s="1">
        <v>36896</v>
      </c>
      <c r="N42" s="1">
        <v>37169</v>
      </c>
      <c r="O42" s="1">
        <v>36892</v>
      </c>
      <c r="P42" s="72">
        <v>6.59</v>
      </c>
      <c r="Q42" s="72">
        <f t="shared" si="1"/>
        <v>6.59</v>
      </c>
    </row>
    <row r="43" spans="2:17">
      <c r="B43" s="1">
        <v>37176</v>
      </c>
      <c r="C43">
        <v>6.5549999999999997</v>
      </c>
      <c r="F43" s="1">
        <v>40360</v>
      </c>
      <c r="G43" t="s">
        <v>81</v>
      </c>
      <c r="H43" s="1">
        <v>39142</v>
      </c>
      <c r="I43" s="72">
        <v>4.5049999999999999</v>
      </c>
      <c r="J43" s="72">
        <v>4.6150000000000002</v>
      </c>
      <c r="K43" s="72">
        <f t="shared" si="0"/>
        <v>0.11000000000000032</v>
      </c>
      <c r="M43" s="1">
        <v>36896</v>
      </c>
      <c r="N43" s="1">
        <v>37176</v>
      </c>
      <c r="O43" s="1">
        <v>36892</v>
      </c>
      <c r="P43" s="72">
        <v>6.5549999999999997</v>
      </c>
      <c r="Q43" s="72">
        <f t="shared" si="1"/>
        <v>6.5549999999999997</v>
      </c>
    </row>
    <row r="44" spans="2:17">
      <c r="B44" s="1">
        <v>37183</v>
      </c>
      <c r="C44">
        <v>6.585</v>
      </c>
      <c r="F44" s="1">
        <v>40391</v>
      </c>
      <c r="G44" t="s">
        <v>81</v>
      </c>
      <c r="H44" s="1">
        <v>39142</v>
      </c>
      <c r="I44" s="72">
        <v>4.4649999999999999</v>
      </c>
      <c r="J44" s="72">
        <v>4.4649999999999999</v>
      </c>
      <c r="K44" s="72">
        <f t="shared" si="0"/>
        <v>0</v>
      </c>
      <c r="M44" s="1">
        <v>36896</v>
      </c>
      <c r="N44" s="1">
        <v>37183</v>
      </c>
      <c r="O44" s="1">
        <v>36892</v>
      </c>
      <c r="P44" s="72">
        <v>6.5549999999999997</v>
      </c>
      <c r="Q44" s="72">
        <f t="shared" si="1"/>
        <v>6.585</v>
      </c>
    </row>
    <row r="45" spans="2:17">
      <c r="B45" s="1">
        <v>37190</v>
      </c>
      <c r="C45">
        <v>6.59</v>
      </c>
      <c r="F45" s="1">
        <v>40422</v>
      </c>
      <c r="G45" t="s">
        <v>81</v>
      </c>
      <c r="H45" s="1">
        <v>39142</v>
      </c>
      <c r="I45" s="72">
        <v>4.2850000000000001</v>
      </c>
      <c r="J45" s="72">
        <v>4.2850000000000001</v>
      </c>
      <c r="K45" s="72">
        <f t="shared" si="0"/>
        <v>0</v>
      </c>
      <c r="M45" s="1">
        <v>36896</v>
      </c>
      <c r="N45" s="1">
        <v>37190</v>
      </c>
      <c r="O45" s="1">
        <v>36892</v>
      </c>
      <c r="P45" s="72">
        <v>6.5549999999999997</v>
      </c>
      <c r="Q45" s="72">
        <f t="shared" si="1"/>
        <v>6.59</v>
      </c>
    </row>
    <row r="46" spans="2:17">
      <c r="B46" s="1">
        <v>37197</v>
      </c>
      <c r="C46">
        <v>6.5349999999999904</v>
      </c>
      <c r="F46" s="1">
        <v>40452</v>
      </c>
      <c r="G46" t="s">
        <v>81</v>
      </c>
      <c r="H46" s="1">
        <v>39142</v>
      </c>
      <c r="I46" s="72">
        <v>4.2450000000000001</v>
      </c>
      <c r="J46" s="72">
        <v>4.2450000000000001</v>
      </c>
      <c r="K46" s="72">
        <f t="shared" si="0"/>
        <v>0</v>
      </c>
      <c r="M46" s="1">
        <v>36896</v>
      </c>
      <c r="N46" s="1">
        <v>37197</v>
      </c>
      <c r="O46" s="1">
        <v>36892</v>
      </c>
      <c r="P46" s="72">
        <v>6.5349899999999996</v>
      </c>
      <c r="Q46" s="72">
        <f t="shared" si="1"/>
        <v>6.5349999999999904</v>
      </c>
    </row>
    <row r="47" spans="2:17">
      <c r="B47" s="1">
        <v>37204</v>
      </c>
      <c r="C47">
        <v>6.4</v>
      </c>
      <c r="F47" s="1">
        <v>40483</v>
      </c>
      <c r="G47" t="s">
        <v>81</v>
      </c>
      <c r="H47" s="1">
        <v>39142</v>
      </c>
      <c r="I47" s="72">
        <v>4.1399999999999997</v>
      </c>
      <c r="J47" s="72">
        <v>4.1399999999999997</v>
      </c>
      <c r="K47" s="72">
        <f t="shared" si="0"/>
        <v>0</v>
      </c>
      <c r="M47" s="1">
        <v>36896</v>
      </c>
      <c r="N47" s="1">
        <v>37204</v>
      </c>
      <c r="O47" s="1">
        <v>36892</v>
      </c>
      <c r="P47" s="72">
        <v>6.4</v>
      </c>
      <c r="Q47" s="72">
        <f t="shared" si="1"/>
        <v>6.4</v>
      </c>
    </row>
    <row r="48" spans="2:17">
      <c r="B48" s="1">
        <v>37211</v>
      </c>
      <c r="C48">
        <v>6.46</v>
      </c>
      <c r="F48" s="1">
        <v>40513</v>
      </c>
      <c r="G48" t="s">
        <v>81</v>
      </c>
      <c r="H48" s="1">
        <v>39142</v>
      </c>
      <c r="I48" s="72">
        <v>4.12</v>
      </c>
      <c r="J48" s="72">
        <v>4.12</v>
      </c>
      <c r="K48" s="72">
        <f t="shared" si="0"/>
        <v>0</v>
      </c>
      <c r="M48" s="1">
        <v>36896</v>
      </c>
      <c r="N48" s="1">
        <v>37211</v>
      </c>
      <c r="O48" s="1">
        <v>36892</v>
      </c>
      <c r="P48" s="72">
        <v>6.4</v>
      </c>
      <c r="Q48" s="72">
        <f t="shared" si="1"/>
        <v>6.46</v>
      </c>
    </row>
    <row r="49" spans="2:17">
      <c r="B49" s="1">
        <v>37218</v>
      </c>
      <c r="C49">
        <v>6.7</v>
      </c>
      <c r="F49" s="1">
        <v>40544</v>
      </c>
      <c r="G49" t="s">
        <v>81</v>
      </c>
      <c r="H49" s="1">
        <v>39142</v>
      </c>
      <c r="I49" s="72">
        <v>4.12</v>
      </c>
      <c r="J49" s="72">
        <v>4.12</v>
      </c>
      <c r="K49" s="72">
        <f t="shared" si="0"/>
        <v>0</v>
      </c>
      <c r="M49" s="1">
        <v>36896</v>
      </c>
      <c r="N49" s="1">
        <v>37218</v>
      </c>
      <c r="O49" s="1">
        <v>36892</v>
      </c>
      <c r="P49" s="72">
        <v>6.4</v>
      </c>
      <c r="Q49" s="72">
        <f t="shared" si="1"/>
        <v>6.7</v>
      </c>
    </row>
    <row r="50" spans="2:17">
      <c r="B50" s="1">
        <v>37225</v>
      </c>
      <c r="C50">
        <v>6.9449999999999896</v>
      </c>
      <c r="F50" s="1">
        <v>40575</v>
      </c>
      <c r="G50" t="s">
        <v>81</v>
      </c>
      <c r="H50" s="1">
        <v>39142</v>
      </c>
      <c r="I50" s="72">
        <v>4.12</v>
      </c>
      <c r="J50" s="72">
        <v>4.12</v>
      </c>
      <c r="K50" s="72">
        <f t="shared" si="0"/>
        <v>0</v>
      </c>
      <c r="M50" s="1">
        <v>36896</v>
      </c>
      <c r="N50" s="1">
        <v>37225</v>
      </c>
      <c r="O50" s="1">
        <v>36892</v>
      </c>
      <c r="P50" s="72">
        <v>6.4</v>
      </c>
      <c r="Q50" s="72">
        <f t="shared" si="1"/>
        <v>6.9449999999999896</v>
      </c>
    </row>
    <row r="51" spans="2:17">
      <c r="B51" s="1">
        <v>37232</v>
      </c>
      <c r="C51">
        <v>6.7649999999999997</v>
      </c>
      <c r="F51" s="1">
        <v>40603</v>
      </c>
      <c r="G51" t="s">
        <v>81</v>
      </c>
      <c r="H51" s="1">
        <v>39142</v>
      </c>
      <c r="I51" s="72">
        <v>4.12</v>
      </c>
      <c r="J51" s="72">
        <v>4.12</v>
      </c>
      <c r="K51" s="72">
        <f t="shared" si="0"/>
        <v>0</v>
      </c>
      <c r="M51" s="1">
        <v>36896</v>
      </c>
      <c r="N51" s="1">
        <v>37232</v>
      </c>
      <c r="O51" s="1">
        <v>36892</v>
      </c>
      <c r="P51" s="72">
        <v>6.4</v>
      </c>
      <c r="Q51" s="72">
        <f t="shared" si="1"/>
        <v>6.7649999999999997</v>
      </c>
    </row>
    <row r="52" spans="2:17">
      <c r="B52" s="1">
        <v>37239</v>
      </c>
      <c r="C52">
        <v>7.04</v>
      </c>
      <c r="F52" s="1">
        <v>40634</v>
      </c>
      <c r="G52" t="s">
        <v>81</v>
      </c>
      <c r="H52" s="1">
        <v>39142</v>
      </c>
      <c r="I52" s="72">
        <v>4.12</v>
      </c>
      <c r="J52" s="72">
        <v>4.12</v>
      </c>
      <c r="K52" s="72">
        <f t="shared" si="0"/>
        <v>0</v>
      </c>
      <c r="M52" s="1">
        <v>36896</v>
      </c>
      <c r="N52" s="1">
        <v>37239</v>
      </c>
      <c r="O52" s="1">
        <v>36892</v>
      </c>
      <c r="P52" s="72">
        <v>6.4</v>
      </c>
      <c r="Q52" s="72">
        <f t="shared" si="1"/>
        <v>7.04</v>
      </c>
    </row>
    <row r="53" spans="2:17">
      <c r="B53" s="1">
        <v>37246</v>
      </c>
      <c r="C53">
        <v>7.0949999999999998</v>
      </c>
      <c r="F53" s="1">
        <v>40664</v>
      </c>
      <c r="G53" t="s">
        <v>81</v>
      </c>
      <c r="H53" s="1">
        <v>39142</v>
      </c>
      <c r="I53" s="72">
        <v>4.12</v>
      </c>
      <c r="J53" s="72">
        <v>4.12</v>
      </c>
      <c r="K53" s="72">
        <f t="shared" si="0"/>
        <v>0</v>
      </c>
      <c r="M53" s="1">
        <v>36896</v>
      </c>
      <c r="N53" s="1">
        <v>37246</v>
      </c>
      <c r="O53" s="1">
        <v>36892</v>
      </c>
      <c r="P53" s="72">
        <v>6.4</v>
      </c>
      <c r="Q53" s="72">
        <f t="shared" si="1"/>
        <v>7.0949999999999998</v>
      </c>
    </row>
    <row r="54" spans="2:17">
      <c r="B54" s="1">
        <v>37253</v>
      </c>
      <c r="C54">
        <v>7.11</v>
      </c>
      <c r="F54" s="1">
        <v>40695</v>
      </c>
      <c r="G54" t="s">
        <v>81</v>
      </c>
      <c r="H54" s="1">
        <v>39142</v>
      </c>
      <c r="I54" s="72">
        <v>4.12</v>
      </c>
      <c r="J54" s="72">
        <v>4.12</v>
      </c>
      <c r="K54" s="72">
        <f t="shared" si="0"/>
        <v>0</v>
      </c>
      <c r="M54" s="1">
        <v>36896</v>
      </c>
      <c r="N54" s="1">
        <v>37253</v>
      </c>
      <c r="O54" s="1">
        <v>36892</v>
      </c>
      <c r="P54" s="72">
        <v>6.4</v>
      </c>
      <c r="Q54" s="72">
        <f t="shared" si="1"/>
        <v>7.11</v>
      </c>
    </row>
    <row r="55" spans="2:17">
      <c r="B55" s="1">
        <v>37260</v>
      </c>
      <c r="C55">
        <v>7.09</v>
      </c>
      <c r="F55" s="1">
        <v>40725</v>
      </c>
      <c r="G55" t="s">
        <v>81</v>
      </c>
      <c r="H55" s="1">
        <v>39142</v>
      </c>
      <c r="I55" s="72">
        <v>4.12</v>
      </c>
      <c r="J55" s="72">
        <v>4.12</v>
      </c>
      <c r="K55" s="72">
        <f t="shared" si="0"/>
        <v>0</v>
      </c>
      <c r="M55" s="1">
        <v>36896</v>
      </c>
      <c r="N55" s="1">
        <v>37260</v>
      </c>
      <c r="O55" s="1">
        <v>36892</v>
      </c>
      <c r="P55" s="72">
        <v>6.4</v>
      </c>
      <c r="Q55" s="72">
        <f t="shared" si="1"/>
        <v>7.09</v>
      </c>
    </row>
    <row r="56" spans="2:17">
      <c r="B56" s="1">
        <v>37267</v>
      </c>
      <c r="C56">
        <v>7.01</v>
      </c>
      <c r="F56" s="1">
        <v>40756</v>
      </c>
      <c r="G56" t="s">
        <v>81</v>
      </c>
      <c r="H56" s="1">
        <v>39142</v>
      </c>
      <c r="I56" s="72">
        <v>4.12</v>
      </c>
      <c r="J56" s="72">
        <v>4.12</v>
      </c>
      <c r="K56" s="72">
        <f t="shared" si="0"/>
        <v>0</v>
      </c>
      <c r="M56" s="1">
        <v>36896</v>
      </c>
      <c r="N56" s="1">
        <v>37267</v>
      </c>
      <c r="O56" s="1">
        <v>36892</v>
      </c>
      <c r="P56" s="72">
        <v>6.4</v>
      </c>
      <c r="Q56" s="72">
        <f t="shared" si="1"/>
        <v>7.01</v>
      </c>
    </row>
    <row r="57" spans="2:17">
      <c r="B57" s="1">
        <v>37274</v>
      </c>
      <c r="C57">
        <v>6.7549999999999999</v>
      </c>
      <c r="F57" s="1">
        <v>40787</v>
      </c>
      <c r="G57" t="s">
        <v>81</v>
      </c>
      <c r="H57" s="1">
        <v>39142</v>
      </c>
      <c r="I57" s="72">
        <v>4.0750000000000002</v>
      </c>
      <c r="J57" s="72">
        <v>4.0750000000000002</v>
      </c>
      <c r="K57" s="72">
        <f t="shared" si="0"/>
        <v>0</v>
      </c>
      <c r="M57" s="1">
        <v>36896</v>
      </c>
      <c r="N57" s="1">
        <v>37274</v>
      </c>
      <c r="O57" s="1">
        <v>36892</v>
      </c>
      <c r="P57" s="72">
        <v>6.4</v>
      </c>
      <c r="Q57" s="72">
        <f t="shared" si="1"/>
        <v>6.7549999999999999</v>
      </c>
    </row>
    <row r="58" spans="2:17">
      <c r="B58" s="1">
        <v>37281</v>
      </c>
      <c r="C58">
        <v>6.8849999999999998</v>
      </c>
      <c r="F58" s="1">
        <v>40817</v>
      </c>
      <c r="G58" t="s">
        <v>81</v>
      </c>
      <c r="H58" s="1">
        <v>39142</v>
      </c>
      <c r="I58" s="72">
        <v>3.93499</v>
      </c>
      <c r="J58" s="72">
        <v>3.93499</v>
      </c>
      <c r="K58" s="72">
        <f t="shared" si="0"/>
        <v>0</v>
      </c>
      <c r="M58" s="1">
        <v>36896</v>
      </c>
      <c r="N58" s="1">
        <v>37281</v>
      </c>
      <c r="O58" s="1">
        <v>36892</v>
      </c>
      <c r="P58" s="72">
        <v>6.4</v>
      </c>
      <c r="Q58" s="72">
        <f t="shared" si="1"/>
        <v>6.8849999999999998</v>
      </c>
    </row>
    <row r="59" spans="2:17">
      <c r="B59" s="1">
        <v>37288</v>
      </c>
      <c r="C59">
        <v>6.9449999999999896</v>
      </c>
      <c r="F59" s="1">
        <v>40848</v>
      </c>
      <c r="G59" t="s">
        <v>81</v>
      </c>
      <c r="H59" s="1">
        <v>39142</v>
      </c>
      <c r="I59" s="72">
        <v>3.89</v>
      </c>
      <c r="J59" s="72">
        <v>3.89</v>
      </c>
      <c r="K59" s="72">
        <f t="shared" si="0"/>
        <v>0</v>
      </c>
      <c r="M59" s="1">
        <v>36896</v>
      </c>
      <c r="N59" s="1">
        <v>37288</v>
      </c>
      <c r="O59" s="1">
        <v>36892</v>
      </c>
      <c r="P59" s="72">
        <v>6.4</v>
      </c>
      <c r="Q59" s="72">
        <f t="shared" si="1"/>
        <v>6.9449999999999896</v>
      </c>
    </row>
    <row r="60" spans="2:17">
      <c r="B60" s="1">
        <v>37295</v>
      </c>
      <c r="C60">
        <v>6.8049999999999997</v>
      </c>
      <c r="F60" s="1">
        <v>40878</v>
      </c>
      <c r="G60" t="s">
        <v>81</v>
      </c>
      <c r="H60" s="1">
        <v>39142</v>
      </c>
      <c r="I60" s="72">
        <v>3.89</v>
      </c>
      <c r="J60" s="72">
        <v>3.89</v>
      </c>
      <c r="K60" s="72">
        <f t="shared" si="0"/>
        <v>0</v>
      </c>
      <c r="M60" s="1">
        <v>36896</v>
      </c>
      <c r="N60" s="1">
        <v>37295</v>
      </c>
      <c r="O60" s="1">
        <v>36892</v>
      </c>
      <c r="P60" s="72">
        <v>6.4</v>
      </c>
      <c r="Q60" s="72">
        <f t="shared" si="1"/>
        <v>6.8049999999999997</v>
      </c>
    </row>
    <row r="61" spans="2:17">
      <c r="B61" s="1">
        <v>37302</v>
      </c>
      <c r="C61">
        <v>6.7850000000000001</v>
      </c>
      <c r="F61" s="1">
        <v>40909</v>
      </c>
      <c r="G61" t="s">
        <v>81</v>
      </c>
      <c r="H61" s="1">
        <v>39142</v>
      </c>
      <c r="I61" s="72">
        <v>3.835</v>
      </c>
      <c r="J61" s="72">
        <v>3.835</v>
      </c>
      <c r="K61" s="72">
        <f t="shared" si="0"/>
        <v>0</v>
      </c>
      <c r="M61" s="1">
        <v>36896</v>
      </c>
      <c r="N61" s="1">
        <v>37302</v>
      </c>
      <c r="O61" s="1">
        <v>36892</v>
      </c>
      <c r="P61" s="72">
        <v>6.4</v>
      </c>
      <c r="Q61" s="72">
        <f t="shared" si="1"/>
        <v>6.7850000000000001</v>
      </c>
    </row>
    <row r="62" spans="2:17">
      <c r="B62" s="1">
        <v>37309</v>
      </c>
      <c r="C62">
        <v>6.7349999999999897</v>
      </c>
      <c r="F62" s="1">
        <v>40940</v>
      </c>
      <c r="G62" t="s">
        <v>81</v>
      </c>
      <c r="H62" s="1">
        <v>39142</v>
      </c>
      <c r="I62" s="72">
        <v>3.8149999999999999</v>
      </c>
      <c r="J62" s="72">
        <v>3.8149999999999999</v>
      </c>
      <c r="K62" s="72">
        <f t="shared" si="0"/>
        <v>0</v>
      </c>
      <c r="M62" s="1">
        <v>36896</v>
      </c>
      <c r="N62" s="1">
        <v>37309</v>
      </c>
      <c r="O62" s="1">
        <v>36892</v>
      </c>
      <c r="P62" s="72">
        <v>6.4</v>
      </c>
      <c r="Q62" s="72">
        <f t="shared" si="1"/>
        <v>6.7349999999999897</v>
      </c>
    </row>
    <row r="63" spans="2:17">
      <c r="B63" s="1">
        <v>37316</v>
      </c>
      <c r="C63">
        <v>6.7249999999999996</v>
      </c>
      <c r="F63" s="1">
        <v>40969</v>
      </c>
      <c r="G63" t="s">
        <v>81</v>
      </c>
      <c r="H63" s="1">
        <v>39142</v>
      </c>
      <c r="I63" s="72">
        <v>3.8149999999999999</v>
      </c>
      <c r="J63" s="72">
        <v>3.8149999999999999</v>
      </c>
      <c r="K63" s="72">
        <f t="shared" si="0"/>
        <v>0</v>
      </c>
      <c r="M63" s="1">
        <v>36896</v>
      </c>
      <c r="N63" s="1">
        <v>37316</v>
      </c>
      <c r="O63" s="1">
        <v>36892</v>
      </c>
      <c r="P63" s="72">
        <v>6.4</v>
      </c>
      <c r="Q63" s="72">
        <f t="shared" si="1"/>
        <v>6.7249999999999996</v>
      </c>
    </row>
    <row r="64" spans="2:17">
      <c r="B64" s="1">
        <v>37323</v>
      </c>
      <c r="C64">
        <v>6.7949999999999999</v>
      </c>
      <c r="F64" s="1">
        <v>41000</v>
      </c>
      <c r="G64" t="s">
        <v>81</v>
      </c>
      <c r="H64" s="1">
        <v>39142</v>
      </c>
      <c r="I64" s="72">
        <v>3.8149999999999999</v>
      </c>
      <c r="J64" s="72">
        <v>3.8149999999999999</v>
      </c>
      <c r="K64" s="72">
        <f t="shared" si="0"/>
        <v>0</v>
      </c>
      <c r="M64" s="1">
        <v>36896</v>
      </c>
      <c r="N64" s="1">
        <v>37323</v>
      </c>
      <c r="O64" s="1">
        <v>36892</v>
      </c>
      <c r="P64" s="72">
        <v>6.4</v>
      </c>
      <c r="Q64" s="72">
        <f t="shared" si="1"/>
        <v>6.7949999999999999</v>
      </c>
    </row>
    <row r="65" spans="2:17">
      <c r="B65" s="1">
        <v>37330</v>
      </c>
      <c r="C65">
        <v>7.0049999999999999</v>
      </c>
      <c r="F65" s="1">
        <v>41030</v>
      </c>
      <c r="G65" t="s">
        <v>81</v>
      </c>
      <c r="H65" s="1">
        <v>39142</v>
      </c>
      <c r="I65" s="72">
        <v>3.8050000000000002</v>
      </c>
      <c r="J65" s="72">
        <v>3.8050000000000002</v>
      </c>
      <c r="K65" s="72">
        <f t="shared" si="0"/>
        <v>0</v>
      </c>
      <c r="M65" s="1">
        <v>36896</v>
      </c>
      <c r="N65" s="1">
        <v>37330</v>
      </c>
      <c r="O65" s="1">
        <v>36892</v>
      </c>
      <c r="P65" s="72">
        <v>6.4</v>
      </c>
      <c r="Q65" s="72">
        <f t="shared" si="1"/>
        <v>7.0049999999999999</v>
      </c>
    </row>
    <row r="66" spans="2:17">
      <c r="B66" s="1">
        <v>37337</v>
      </c>
      <c r="C66">
        <v>7.0649999999999897</v>
      </c>
      <c r="F66" s="1">
        <v>41061</v>
      </c>
      <c r="G66" t="s">
        <v>81</v>
      </c>
      <c r="H66" s="1">
        <v>39142</v>
      </c>
      <c r="I66" s="72">
        <v>3.7</v>
      </c>
      <c r="J66" s="72">
        <v>3.7</v>
      </c>
      <c r="K66" s="72">
        <f t="shared" si="0"/>
        <v>0</v>
      </c>
      <c r="M66" s="1">
        <v>36896</v>
      </c>
      <c r="N66" s="1">
        <v>37337</v>
      </c>
      <c r="O66" s="1">
        <v>36892</v>
      </c>
      <c r="P66" s="72">
        <v>6.4</v>
      </c>
      <c r="Q66" s="72">
        <f t="shared" si="1"/>
        <v>7.0649999999999897</v>
      </c>
    </row>
    <row r="67" spans="2:17">
      <c r="B67" s="1">
        <v>37344</v>
      </c>
      <c r="C67">
        <v>7.1049999999999898</v>
      </c>
      <c r="F67" s="1">
        <v>41091</v>
      </c>
      <c r="G67" t="s">
        <v>81</v>
      </c>
      <c r="H67" s="1">
        <v>39142</v>
      </c>
      <c r="I67" s="72">
        <v>3.585</v>
      </c>
      <c r="J67" s="72">
        <v>3.585</v>
      </c>
      <c r="K67" s="72">
        <f t="shared" si="0"/>
        <v>0</v>
      </c>
      <c r="M67" s="1">
        <v>36896</v>
      </c>
      <c r="N67" s="1">
        <v>37344</v>
      </c>
      <c r="O67" s="1">
        <v>36892</v>
      </c>
      <c r="P67" s="72">
        <v>6.4</v>
      </c>
      <c r="Q67" s="72">
        <f t="shared" si="1"/>
        <v>7.1049999999999898</v>
      </c>
    </row>
    <row r="68" spans="2:17">
      <c r="B68" s="1">
        <v>37351</v>
      </c>
      <c r="C68">
        <v>7.0549999999999997</v>
      </c>
      <c r="F68" s="1">
        <v>41122</v>
      </c>
      <c r="G68" t="s">
        <v>81</v>
      </c>
      <c r="H68" s="1">
        <v>39142</v>
      </c>
      <c r="I68" s="72">
        <v>3.415</v>
      </c>
      <c r="J68" s="72">
        <v>3.415</v>
      </c>
      <c r="K68" s="72">
        <f t="shared" ref="K68:K102" si="2">J68-I68</f>
        <v>0</v>
      </c>
      <c r="M68" s="1">
        <v>36896</v>
      </c>
      <c r="N68" s="1">
        <v>37351</v>
      </c>
      <c r="O68" s="1">
        <v>36892</v>
      </c>
      <c r="P68" s="72">
        <v>6.4</v>
      </c>
      <c r="Q68" s="72">
        <f t="shared" ref="Q68:Q131" si="3">VLOOKUP(N68,B:C,2,0)</f>
        <v>7.0549999999999997</v>
      </c>
    </row>
    <row r="69" spans="2:17">
      <c r="B69" s="1">
        <v>37358</v>
      </c>
      <c r="C69">
        <v>6.94</v>
      </c>
      <c r="F69" s="1">
        <v>41153</v>
      </c>
      <c r="G69" t="s">
        <v>81</v>
      </c>
      <c r="H69" s="1">
        <v>39142</v>
      </c>
      <c r="I69" s="72">
        <v>3.415</v>
      </c>
      <c r="J69" s="72">
        <v>3.415</v>
      </c>
      <c r="K69" s="72">
        <f t="shared" si="2"/>
        <v>0</v>
      </c>
      <c r="M69" s="1">
        <v>36896</v>
      </c>
      <c r="N69" s="1">
        <v>37358</v>
      </c>
      <c r="O69" s="1">
        <v>36892</v>
      </c>
      <c r="P69" s="72">
        <v>6.4</v>
      </c>
      <c r="Q69" s="72">
        <f t="shared" si="3"/>
        <v>6.94</v>
      </c>
    </row>
    <row r="70" spans="2:17">
      <c r="B70" s="1">
        <v>37365</v>
      </c>
      <c r="C70">
        <v>6.8650000000000002</v>
      </c>
      <c r="F70" s="1">
        <v>41183</v>
      </c>
      <c r="G70" t="s">
        <v>81</v>
      </c>
      <c r="H70" s="1">
        <v>39142</v>
      </c>
      <c r="I70" s="72">
        <v>3.3</v>
      </c>
      <c r="J70" s="72">
        <v>3.3</v>
      </c>
      <c r="K70" s="72">
        <f t="shared" si="2"/>
        <v>0</v>
      </c>
      <c r="M70" s="1">
        <v>36896</v>
      </c>
      <c r="N70" s="1">
        <v>37365</v>
      </c>
      <c r="O70" s="1">
        <v>36892</v>
      </c>
      <c r="P70" s="72">
        <v>6.4</v>
      </c>
      <c r="Q70" s="72">
        <f t="shared" si="3"/>
        <v>6.8650000000000002</v>
      </c>
    </row>
    <row r="71" spans="2:17">
      <c r="B71" s="1">
        <v>37372</v>
      </c>
      <c r="C71">
        <v>6.8049999999999997</v>
      </c>
      <c r="F71" s="1">
        <v>41214</v>
      </c>
      <c r="G71" t="s">
        <v>81</v>
      </c>
      <c r="H71" s="1">
        <v>39142</v>
      </c>
      <c r="I71" s="72">
        <v>3.26</v>
      </c>
      <c r="J71" s="72">
        <v>3.26</v>
      </c>
      <c r="K71" s="72">
        <f t="shared" si="2"/>
        <v>0</v>
      </c>
      <c r="M71" s="1">
        <v>36896</v>
      </c>
      <c r="N71" s="1">
        <v>37372</v>
      </c>
      <c r="O71" s="1">
        <v>36892</v>
      </c>
      <c r="P71" s="72">
        <v>6.4</v>
      </c>
      <c r="Q71" s="72">
        <f t="shared" si="3"/>
        <v>6.8049999999999997</v>
      </c>
    </row>
    <row r="72" spans="2:17">
      <c r="B72" s="1">
        <v>37379</v>
      </c>
      <c r="C72">
        <v>6.7050000000000001</v>
      </c>
      <c r="F72" s="1">
        <v>41244</v>
      </c>
      <c r="G72" t="s">
        <v>81</v>
      </c>
      <c r="H72" s="1">
        <v>39142</v>
      </c>
      <c r="I72" s="72">
        <v>3.2349999999999999</v>
      </c>
      <c r="J72" s="72">
        <v>3.2349999999999999</v>
      </c>
      <c r="K72" s="72">
        <f t="shared" si="2"/>
        <v>0</v>
      </c>
      <c r="M72" s="1">
        <v>36896</v>
      </c>
      <c r="N72" s="1">
        <v>37379</v>
      </c>
      <c r="O72" s="1">
        <v>36892</v>
      </c>
      <c r="P72" s="72">
        <v>6.4</v>
      </c>
      <c r="Q72" s="72">
        <f t="shared" si="3"/>
        <v>6.7050000000000001</v>
      </c>
    </row>
    <row r="73" spans="2:17">
      <c r="B73" s="1">
        <v>37386</v>
      </c>
      <c r="C73">
        <v>6.7149999999999999</v>
      </c>
      <c r="F73" s="1">
        <v>41275</v>
      </c>
      <c r="G73" t="s">
        <v>81</v>
      </c>
      <c r="H73" s="1">
        <v>39142</v>
      </c>
      <c r="I73" s="72">
        <v>3.2349999999999999</v>
      </c>
      <c r="J73" s="72">
        <v>3.2349999999999999</v>
      </c>
      <c r="K73" s="72">
        <f t="shared" si="2"/>
        <v>0</v>
      </c>
      <c r="M73" s="1">
        <v>36896</v>
      </c>
      <c r="N73" s="1">
        <v>37386</v>
      </c>
      <c r="O73" s="1">
        <v>36892</v>
      </c>
      <c r="P73" s="72">
        <v>6.4</v>
      </c>
      <c r="Q73" s="72">
        <f t="shared" si="3"/>
        <v>6.7149999999999999</v>
      </c>
    </row>
    <row r="74" spans="2:17">
      <c r="B74" s="1">
        <v>37393</v>
      </c>
      <c r="C74">
        <v>6.8149999999999897</v>
      </c>
      <c r="F74" s="1">
        <v>41306</v>
      </c>
      <c r="G74" t="s">
        <v>81</v>
      </c>
      <c r="H74" s="1">
        <v>39142</v>
      </c>
      <c r="I74" s="72">
        <v>3.2349999999999999</v>
      </c>
      <c r="J74" s="72">
        <v>3.2349999999999999</v>
      </c>
      <c r="K74" s="72">
        <f t="shared" si="2"/>
        <v>0</v>
      </c>
      <c r="M74" s="1">
        <v>36896</v>
      </c>
      <c r="N74" s="1">
        <v>37393</v>
      </c>
      <c r="O74" s="1">
        <v>36892</v>
      </c>
      <c r="P74" s="72">
        <v>6.4</v>
      </c>
      <c r="Q74" s="72">
        <f t="shared" si="3"/>
        <v>6.8149999999999897</v>
      </c>
    </row>
    <row r="75" spans="2:17">
      <c r="B75" s="1">
        <v>37400</v>
      </c>
      <c r="C75">
        <v>6.7349999999999897</v>
      </c>
      <c r="F75" s="1">
        <v>41334</v>
      </c>
      <c r="G75" t="s">
        <v>81</v>
      </c>
      <c r="H75" s="1">
        <v>39142</v>
      </c>
      <c r="I75" s="72">
        <v>3.2349999999999999</v>
      </c>
      <c r="J75" s="72">
        <v>3.2349999999999999</v>
      </c>
      <c r="K75" s="72">
        <f t="shared" si="2"/>
        <v>0</v>
      </c>
      <c r="M75" s="1">
        <v>36896</v>
      </c>
      <c r="N75" s="1">
        <v>37400</v>
      </c>
      <c r="O75" s="1">
        <v>36892</v>
      </c>
      <c r="P75" s="72">
        <v>6.4</v>
      </c>
      <c r="Q75" s="72">
        <f t="shared" si="3"/>
        <v>6.7349999999999897</v>
      </c>
    </row>
    <row r="76" spans="2:17">
      <c r="B76" s="1">
        <v>37407</v>
      </c>
      <c r="C76">
        <v>6.71</v>
      </c>
      <c r="F76" s="1">
        <v>41365</v>
      </c>
      <c r="G76" t="s">
        <v>81</v>
      </c>
      <c r="H76" s="1">
        <v>39142</v>
      </c>
      <c r="I76" s="72">
        <v>3.2349999999999999</v>
      </c>
      <c r="J76" s="72">
        <v>3.2349999999999999</v>
      </c>
      <c r="K76" s="72">
        <f t="shared" si="2"/>
        <v>0</v>
      </c>
      <c r="M76" s="1">
        <v>36896</v>
      </c>
      <c r="N76" s="1">
        <v>37407</v>
      </c>
      <c r="O76" s="1">
        <v>36892</v>
      </c>
      <c r="P76" s="72">
        <v>6.4</v>
      </c>
      <c r="Q76" s="72">
        <f t="shared" si="3"/>
        <v>6.71</v>
      </c>
    </row>
    <row r="77" spans="2:17">
      <c r="B77" s="1">
        <v>37414</v>
      </c>
      <c r="C77">
        <v>6.6349999999999998</v>
      </c>
      <c r="F77" s="1">
        <v>41395</v>
      </c>
      <c r="G77" t="s">
        <v>81</v>
      </c>
      <c r="H77" s="1">
        <v>39142</v>
      </c>
      <c r="I77" s="72">
        <v>3.2349999999999999</v>
      </c>
      <c r="J77" s="72">
        <v>3.2349999999999999</v>
      </c>
      <c r="K77" s="72">
        <f t="shared" si="2"/>
        <v>0</v>
      </c>
      <c r="M77" s="1">
        <v>36896</v>
      </c>
      <c r="N77" s="1">
        <v>37414</v>
      </c>
      <c r="O77" s="1">
        <v>36892</v>
      </c>
      <c r="P77" s="72">
        <v>6.4</v>
      </c>
      <c r="Q77" s="72">
        <f t="shared" si="3"/>
        <v>6.6349999999999998</v>
      </c>
    </row>
    <row r="78" spans="2:17">
      <c r="B78" s="1">
        <v>37421</v>
      </c>
      <c r="C78">
        <v>6.6349999999999998</v>
      </c>
      <c r="F78" s="1">
        <v>41426</v>
      </c>
      <c r="G78" t="s">
        <v>81</v>
      </c>
      <c r="H78" s="1">
        <v>39142</v>
      </c>
      <c r="I78" s="72">
        <v>3.2349999999999999</v>
      </c>
      <c r="J78" s="72">
        <v>3.2349999999999999</v>
      </c>
      <c r="K78" s="72">
        <f t="shared" si="2"/>
        <v>0</v>
      </c>
      <c r="M78" s="1">
        <v>36896</v>
      </c>
      <c r="N78" s="1">
        <v>37421</v>
      </c>
      <c r="O78" s="1">
        <v>36892</v>
      </c>
      <c r="P78" s="72">
        <v>6.4</v>
      </c>
      <c r="Q78" s="72">
        <f t="shared" si="3"/>
        <v>6.6349999999999998</v>
      </c>
    </row>
    <row r="79" spans="2:17">
      <c r="B79" s="1">
        <v>37428</v>
      </c>
      <c r="C79">
        <v>6.5049999999999999</v>
      </c>
      <c r="F79" s="1">
        <v>41456</v>
      </c>
      <c r="G79" t="s">
        <v>81</v>
      </c>
      <c r="H79" s="1">
        <v>39142</v>
      </c>
      <c r="I79" s="72">
        <v>3.2349999999999999</v>
      </c>
      <c r="J79" s="72">
        <v>3.2349999999999999</v>
      </c>
      <c r="K79" s="72">
        <f t="shared" si="2"/>
        <v>0</v>
      </c>
      <c r="M79" s="1">
        <v>36896</v>
      </c>
      <c r="N79" s="1">
        <v>37428</v>
      </c>
      <c r="O79" s="1">
        <v>36892</v>
      </c>
      <c r="P79" s="72">
        <v>6.4</v>
      </c>
      <c r="Q79" s="72">
        <f t="shared" si="3"/>
        <v>6.5049999999999999</v>
      </c>
    </row>
    <row r="80" spans="2:17">
      <c r="B80" s="1">
        <v>37435</v>
      </c>
      <c r="C80">
        <v>6.4249999999999998</v>
      </c>
      <c r="F80" s="1">
        <v>41487</v>
      </c>
      <c r="G80" t="s">
        <v>81</v>
      </c>
      <c r="H80" s="1">
        <v>39142</v>
      </c>
      <c r="I80" s="72">
        <v>3.2349999999999999</v>
      </c>
      <c r="J80" s="72">
        <v>3.2349999999999999</v>
      </c>
      <c r="K80" s="72">
        <f t="shared" si="2"/>
        <v>0</v>
      </c>
      <c r="M80" s="1">
        <v>36896</v>
      </c>
      <c r="N80" s="1">
        <v>37435</v>
      </c>
      <c r="O80" s="1">
        <v>36892</v>
      </c>
      <c r="P80" s="72">
        <v>6.4</v>
      </c>
      <c r="Q80" s="72">
        <f t="shared" si="3"/>
        <v>6.4249999999999998</v>
      </c>
    </row>
    <row r="81" spans="2:17">
      <c r="B81" s="1">
        <v>37442</v>
      </c>
      <c r="C81">
        <v>6.4450000000000003</v>
      </c>
      <c r="F81" s="1">
        <v>41518</v>
      </c>
      <c r="G81" t="s">
        <v>81</v>
      </c>
      <c r="H81" s="1">
        <v>39142</v>
      </c>
      <c r="I81" s="72">
        <v>3.2349999999999999</v>
      </c>
      <c r="J81" s="72">
        <v>3.2349999999999999</v>
      </c>
      <c r="K81" s="72">
        <f t="shared" si="2"/>
        <v>0</v>
      </c>
      <c r="M81" s="1">
        <v>36896</v>
      </c>
      <c r="N81" s="1">
        <v>37442</v>
      </c>
      <c r="O81" s="1">
        <v>36892</v>
      </c>
      <c r="P81" s="72">
        <v>6.4</v>
      </c>
      <c r="Q81" s="72">
        <f t="shared" si="3"/>
        <v>6.4450000000000003</v>
      </c>
    </row>
    <row r="82" spans="2:17">
      <c r="B82" s="1">
        <v>37449</v>
      </c>
      <c r="C82">
        <v>6.415</v>
      </c>
      <c r="F82" s="1">
        <v>41548</v>
      </c>
      <c r="G82" t="s">
        <v>81</v>
      </c>
      <c r="H82" s="1">
        <v>39142</v>
      </c>
      <c r="I82" s="72">
        <v>3.2349999999999999</v>
      </c>
      <c r="J82" s="72">
        <v>3.2349999999999999</v>
      </c>
      <c r="K82" s="72">
        <f t="shared" si="2"/>
        <v>0</v>
      </c>
      <c r="M82" s="1">
        <v>36896</v>
      </c>
      <c r="N82" s="1">
        <v>37449</v>
      </c>
      <c r="O82" s="1">
        <v>36892</v>
      </c>
      <c r="P82" s="72">
        <v>6.4</v>
      </c>
      <c r="Q82" s="72">
        <f t="shared" si="3"/>
        <v>6.415</v>
      </c>
    </row>
    <row r="83" spans="2:17">
      <c r="B83" s="1">
        <v>37456</v>
      </c>
      <c r="C83">
        <v>6.39</v>
      </c>
      <c r="F83" s="1">
        <v>41579</v>
      </c>
      <c r="G83" t="s">
        <v>81</v>
      </c>
      <c r="H83" s="1">
        <v>39142</v>
      </c>
      <c r="I83" s="72">
        <v>3.2349999999999999</v>
      </c>
      <c r="J83" s="72">
        <v>3.2349999999999999</v>
      </c>
      <c r="K83" s="72">
        <f t="shared" si="2"/>
        <v>0</v>
      </c>
      <c r="M83" s="1">
        <v>36896</v>
      </c>
      <c r="N83" s="1">
        <v>37456</v>
      </c>
      <c r="O83" s="1">
        <v>36892</v>
      </c>
      <c r="P83" s="72">
        <v>6.39</v>
      </c>
      <c r="Q83" s="72">
        <f t="shared" si="3"/>
        <v>6.39</v>
      </c>
    </row>
    <row r="84" spans="2:17">
      <c r="B84" s="1">
        <v>37463</v>
      </c>
      <c r="C84">
        <v>6.24</v>
      </c>
      <c r="F84" s="1">
        <v>41609</v>
      </c>
      <c r="G84" t="s">
        <v>81</v>
      </c>
      <c r="H84" s="1">
        <v>39142</v>
      </c>
      <c r="I84" s="72">
        <v>3.2349999999999999</v>
      </c>
      <c r="J84" s="72">
        <v>3.2349999999999999</v>
      </c>
      <c r="K84" s="72">
        <f t="shared" si="2"/>
        <v>0</v>
      </c>
      <c r="M84" s="1">
        <v>36896</v>
      </c>
      <c r="N84" s="1">
        <v>37463</v>
      </c>
      <c r="O84" s="1">
        <v>36892</v>
      </c>
      <c r="P84" s="72">
        <v>6.24</v>
      </c>
      <c r="Q84" s="72">
        <f t="shared" si="3"/>
        <v>6.24</v>
      </c>
    </row>
    <row r="85" spans="2:17">
      <c r="B85" s="1">
        <v>37470</v>
      </c>
      <c r="C85">
        <v>6.33</v>
      </c>
      <c r="F85" s="1">
        <v>41640</v>
      </c>
      <c r="G85" t="s">
        <v>81</v>
      </c>
      <c r="H85" s="1">
        <v>39142</v>
      </c>
      <c r="I85" s="72">
        <v>3.2349999999999999</v>
      </c>
      <c r="J85" s="72">
        <v>3.2349999999999999</v>
      </c>
      <c r="K85" s="72">
        <f t="shared" si="2"/>
        <v>0</v>
      </c>
      <c r="M85" s="1">
        <v>36896</v>
      </c>
      <c r="N85" s="1">
        <v>37470</v>
      </c>
      <c r="O85" s="1">
        <v>36892</v>
      </c>
      <c r="P85" s="72">
        <v>6.24</v>
      </c>
      <c r="Q85" s="72">
        <f t="shared" si="3"/>
        <v>6.33</v>
      </c>
    </row>
    <row r="86" spans="2:17">
      <c r="B86" s="1">
        <v>37477</v>
      </c>
      <c r="C86">
        <v>6.21</v>
      </c>
      <c r="F86" s="1">
        <v>41671</v>
      </c>
      <c r="G86" t="s">
        <v>81</v>
      </c>
      <c r="H86" s="1">
        <v>39142</v>
      </c>
      <c r="I86" s="72">
        <v>3.2349999999999999</v>
      </c>
      <c r="J86" s="72">
        <v>3.2349999999999999</v>
      </c>
      <c r="K86" s="72">
        <f t="shared" si="2"/>
        <v>0</v>
      </c>
      <c r="M86" s="1">
        <v>36896</v>
      </c>
      <c r="N86" s="1">
        <v>37477</v>
      </c>
      <c r="O86" s="1">
        <v>36892</v>
      </c>
      <c r="P86" s="72">
        <v>6.21</v>
      </c>
      <c r="Q86" s="72">
        <f t="shared" si="3"/>
        <v>6.21</v>
      </c>
    </row>
    <row r="87" spans="2:17">
      <c r="B87" s="1">
        <v>37484</v>
      </c>
      <c r="C87">
        <v>6.12</v>
      </c>
      <c r="F87" s="1">
        <v>41699</v>
      </c>
      <c r="G87" t="s">
        <v>81</v>
      </c>
      <c r="H87" s="1">
        <v>39142</v>
      </c>
      <c r="I87" s="72">
        <v>3.2349999999999999</v>
      </c>
      <c r="J87" s="72">
        <v>3.2349999999999999</v>
      </c>
      <c r="K87" s="72">
        <f t="shared" si="2"/>
        <v>0</v>
      </c>
      <c r="M87" s="1">
        <v>36896</v>
      </c>
      <c r="N87" s="1">
        <v>37484</v>
      </c>
      <c r="O87" s="1">
        <v>36892</v>
      </c>
      <c r="P87" s="72">
        <v>6.12</v>
      </c>
      <c r="Q87" s="72">
        <f t="shared" si="3"/>
        <v>6.12</v>
      </c>
    </row>
    <row r="88" spans="2:17">
      <c r="B88" s="1">
        <v>37491</v>
      </c>
      <c r="C88">
        <v>6.1949999999999896</v>
      </c>
      <c r="F88" s="1">
        <v>41730</v>
      </c>
      <c r="G88" t="s">
        <v>81</v>
      </c>
      <c r="H88" s="1">
        <v>39142</v>
      </c>
      <c r="I88" s="72">
        <v>3.2349999999999999</v>
      </c>
      <c r="J88" s="72">
        <v>3.2349999999999999</v>
      </c>
      <c r="K88" s="72">
        <f t="shared" si="2"/>
        <v>0</v>
      </c>
      <c r="M88" s="1">
        <v>36896</v>
      </c>
      <c r="N88" s="1">
        <v>37491</v>
      </c>
      <c r="O88" s="1">
        <v>36892</v>
      </c>
      <c r="P88" s="72">
        <v>6.12</v>
      </c>
      <c r="Q88" s="72">
        <f t="shared" si="3"/>
        <v>6.1949999999999896</v>
      </c>
    </row>
    <row r="89" spans="2:17">
      <c r="B89" s="1">
        <v>37498</v>
      </c>
      <c r="C89">
        <v>6.1449999999999996</v>
      </c>
      <c r="F89" s="1">
        <v>41760</v>
      </c>
      <c r="G89" t="s">
        <v>81</v>
      </c>
      <c r="H89" s="1">
        <v>39142</v>
      </c>
      <c r="I89" s="72">
        <v>3.2349999999999999</v>
      </c>
      <c r="J89" s="72">
        <v>3.2349999999999999</v>
      </c>
      <c r="K89" s="72">
        <f t="shared" si="2"/>
        <v>0</v>
      </c>
      <c r="M89" s="1">
        <v>36896</v>
      </c>
      <c r="N89" s="1">
        <v>37498</v>
      </c>
      <c r="O89" s="1">
        <v>36892</v>
      </c>
      <c r="P89" s="72">
        <v>6.12</v>
      </c>
      <c r="Q89" s="72">
        <f t="shared" si="3"/>
        <v>6.1449999999999996</v>
      </c>
    </row>
    <row r="90" spans="2:17">
      <c r="B90" s="1">
        <v>37505</v>
      </c>
      <c r="C90">
        <v>6.05</v>
      </c>
      <c r="F90" s="1">
        <v>41791</v>
      </c>
      <c r="G90" t="s">
        <v>81</v>
      </c>
      <c r="H90" s="1">
        <v>39142</v>
      </c>
      <c r="I90" s="72">
        <v>3.2349999999999999</v>
      </c>
      <c r="J90" s="72">
        <v>3.2349999999999999</v>
      </c>
      <c r="K90" s="72">
        <f t="shared" si="2"/>
        <v>0</v>
      </c>
      <c r="M90" s="1">
        <v>36896</v>
      </c>
      <c r="N90" s="1">
        <v>37505</v>
      </c>
      <c r="O90" s="1">
        <v>36892</v>
      </c>
      <c r="P90" s="72">
        <v>6.05</v>
      </c>
      <c r="Q90" s="72">
        <f t="shared" si="3"/>
        <v>6.05</v>
      </c>
    </row>
    <row r="91" spans="2:17">
      <c r="B91" s="1">
        <v>37512</v>
      </c>
      <c r="C91">
        <v>6.08</v>
      </c>
      <c r="F91" s="1">
        <v>41821</v>
      </c>
      <c r="G91" t="s">
        <v>81</v>
      </c>
      <c r="H91" s="1">
        <v>39142</v>
      </c>
      <c r="I91" s="72">
        <v>3.2349999999999999</v>
      </c>
      <c r="J91" s="72">
        <v>3.2349999999999999</v>
      </c>
      <c r="K91" s="72">
        <f t="shared" si="2"/>
        <v>0</v>
      </c>
      <c r="M91" s="1">
        <v>36896</v>
      </c>
      <c r="N91" s="1">
        <v>37512</v>
      </c>
      <c r="O91" s="1">
        <v>36892</v>
      </c>
      <c r="P91" s="72">
        <v>6.05</v>
      </c>
      <c r="Q91" s="72">
        <f t="shared" si="3"/>
        <v>6.08</v>
      </c>
    </row>
    <row r="92" spans="2:17">
      <c r="B92" s="1">
        <v>37519</v>
      </c>
      <c r="C92">
        <v>5.9749999999999996</v>
      </c>
      <c r="F92" s="1">
        <v>41852</v>
      </c>
      <c r="G92" t="s">
        <v>81</v>
      </c>
      <c r="H92" s="1">
        <v>39142</v>
      </c>
      <c r="I92" s="72">
        <v>3.2349999999999999</v>
      </c>
      <c r="J92" s="72">
        <v>3.2349999999999999</v>
      </c>
      <c r="K92" s="72">
        <f t="shared" si="2"/>
        <v>0</v>
      </c>
      <c r="M92" s="1">
        <v>36896</v>
      </c>
      <c r="N92" s="1">
        <v>37519</v>
      </c>
      <c r="O92" s="1">
        <v>36892</v>
      </c>
      <c r="P92" s="72">
        <v>5.9749999999999996</v>
      </c>
      <c r="Q92" s="72">
        <f t="shared" si="3"/>
        <v>5.9749999999999996</v>
      </c>
    </row>
    <row r="93" spans="2:17">
      <c r="B93" s="1">
        <v>37526</v>
      </c>
      <c r="C93">
        <v>5.89</v>
      </c>
      <c r="F93" s="1">
        <v>41883</v>
      </c>
      <c r="G93" t="s">
        <v>81</v>
      </c>
      <c r="H93" s="1">
        <v>39142</v>
      </c>
      <c r="I93" s="72">
        <v>3.2349999999999999</v>
      </c>
      <c r="J93" s="72">
        <v>3.2349999999999999</v>
      </c>
      <c r="K93" s="72">
        <f t="shared" si="2"/>
        <v>0</v>
      </c>
      <c r="M93" s="1">
        <v>36896</v>
      </c>
      <c r="N93" s="1">
        <v>37526</v>
      </c>
      <c r="O93" s="1">
        <v>36892</v>
      </c>
      <c r="P93" s="72">
        <v>5.89</v>
      </c>
      <c r="Q93" s="72">
        <f t="shared" si="3"/>
        <v>5.89</v>
      </c>
    </row>
    <row r="94" spans="2:17">
      <c r="B94" s="1">
        <v>37533</v>
      </c>
      <c r="C94">
        <v>5.8849999999999998</v>
      </c>
      <c r="F94" s="1">
        <v>41913</v>
      </c>
      <c r="G94" t="s">
        <v>81</v>
      </c>
      <c r="H94" s="1">
        <v>39142</v>
      </c>
      <c r="I94" s="72">
        <v>3.2349999999999999</v>
      </c>
      <c r="J94" s="72">
        <v>3.2349999999999999</v>
      </c>
      <c r="K94" s="72">
        <f t="shared" si="2"/>
        <v>0</v>
      </c>
      <c r="M94" s="1">
        <v>36896</v>
      </c>
      <c r="N94" s="1">
        <v>37533</v>
      </c>
      <c r="O94" s="1">
        <v>36892</v>
      </c>
      <c r="P94" s="72">
        <v>5.8849999999999998</v>
      </c>
      <c r="Q94" s="72">
        <f t="shared" si="3"/>
        <v>5.8849999999999998</v>
      </c>
    </row>
    <row r="95" spans="2:17">
      <c r="B95" s="1">
        <v>37540</v>
      </c>
      <c r="C95">
        <v>5.88</v>
      </c>
      <c r="F95" s="1">
        <v>41944</v>
      </c>
      <c r="G95" t="s">
        <v>81</v>
      </c>
      <c r="H95" s="1">
        <v>39142</v>
      </c>
      <c r="I95" s="72">
        <v>3.2349999999999999</v>
      </c>
      <c r="J95" s="72">
        <v>3.2349999999999999</v>
      </c>
      <c r="K95" s="72">
        <f t="shared" si="2"/>
        <v>0</v>
      </c>
      <c r="M95" s="1">
        <v>36896</v>
      </c>
      <c r="N95" s="1">
        <v>37540</v>
      </c>
      <c r="O95" s="1">
        <v>36892</v>
      </c>
      <c r="P95" s="72">
        <v>5.88</v>
      </c>
      <c r="Q95" s="72">
        <f t="shared" si="3"/>
        <v>5.88</v>
      </c>
    </row>
    <row r="96" spans="2:17">
      <c r="B96" s="1">
        <v>37547</v>
      </c>
      <c r="C96">
        <v>6.0250000000000004</v>
      </c>
      <c r="F96" s="1">
        <v>41974</v>
      </c>
      <c r="G96" t="s">
        <v>81</v>
      </c>
      <c r="H96" s="1">
        <v>39142</v>
      </c>
      <c r="I96" s="72">
        <v>3.2349999999999999</v>
      </c>
      <c r="J96" s="72">
        <v>3.2349999999999999</v>
      </c>
      <c r="K96" s="72">
        <f t="shared" si="2"/>
        <v>0</v>
      </c>
      <c r="M96" s="1">
        <v>36896</v>
      </c>
      <c r="N96" s="1">
        <v>37547</v>
      </c>
      <c r="O96" s="1">
        <v>36892</v>
      </c>
      <c r="P96" s="72">
        <v>5.88</v>
      </c>
      <c r="Q96" s="72">
        <f t="shared" si="3"/>
        <v>6.0250000000000004</v>
      </c>
    </row>
    <row r="97" spans="2:17">
      <c r="B97" s="1">
        <v>37554</v>
      </c>
      <c r="C97">
        <v>6.21</v>
      </c>
      <c r="F97" s="1">
        <v>42005</v>
      </c>
      <c r="G97" t="s">
        <v>81</v>
      </c>
      <c r="H97" s="1">
        <v>39142</v>
      </c>
      <c r="I97" s="72">
        <v>3.2349999999999999</v>
      </c>
      <c r="J97" s="72">
        <v>3.2349999999999999</v>
      </c>
      <c r="K97" s="72">
        <f t="shared" si="2"/>
        <v>0</v>
      </c>
      <c r="M97" s="1">
        <v>36896</v>
      </c>
      <c r="N97" s="1">
        <v>37554</v>
      </c>
      <c r="O97" s="1">
        <v>36892</v>
      </c>
      <c r="P97" s="72">
        <v>5.88</v>
      </c>
      <c r="Q97" s="72">
        <f t="shared" si="3"/>
        <v>6.21</v>
      </c>
    </row>
    <row r="98" spans="2:17">
      <c r="B98" s="1">
        <v>37561</v>
      </c>
      <c r="C98">
        <v>6.03</v>
      </c>
      <c r="F98" s="1">
        <v>42036</v>
      </c>
      <c r="G98" t="s">
        <v>81</v>
      </c>
      <c r="H98" s="1">
        <v>39142</v>
      </c>
      <c r="I98" s="72">
        <v>3.2349999999999999</v>
      </c>
      <c r="J98" s="72">
        <v>3.2349999999999999</v>
      </c>
      <c r="K98" s="72">
        <f t="shared" si="2"/>
        <v>0</v>
      </c>
      <c r="M98" s="1">
        <v>36896</v>
      </c>
      <c r="N98" s="1">
        <v>37561</v>
      </c>
      <c r="O98" s="1">
        <v>36892</v>
      </c>
      <c r="P98" s="72">
        <v>5.88</v>
      </c>
      <c r="Q98" s="72">
        <f t="shared" si="3"/>
        <v>6.03</v>
      </c>
    </row>
    <row r="99" spans="2:17">
      <c r="B99" s="1">
        <v>37568</v>
      </c>
      <c r="C99">
        <v>6.01</v>
      </c>
      <c r="F99" s="1">
        <v>42064</v>
      </c>
      <c r="G99" t="s">
        <v>81</v>
      </c>
      <c r="H99" s="1">
        <v>39142</v>
      </c>
      <c r="I99" s="72">
        <v>3.2349999999999999</v>
      </c>
      <c r="J99" s="72">
        <v>3.2349999999999999</v>
      </c>
      <c r="K99" s="72">
        <f t="shared" si="2"/>
        <v>0</v>
      </c>
      <c r="M99" s="1">
        <v>36896</v>
      </c>
      <c r="N99" s="1">
        <v>37568</v>
      </c>
      <c r="O99" s="1">
        <v>36892</v>
      </c>
      <c r="P99" s="72">
        <v>5.88</v>
      </c>
      <c r="Q99" s="72">
        <f t="shared" si="3"/>
        <v>6.01</v>
      </c>
    </row>
    <row r="100" spans="2:17">
      <c r="B100" s="1">
        <v>37575</v>
      </c>
      <c r="C100">
        <v>5.84</v>
      </c>
      <c r="F100" s="1">
        <v>42095</v>
      </c>
      <c r="G100" t="s">
        <v>81</v>
      </c>
      <c r="H100" s="1">
        <v>39142</v>
      </c>
      <c r="I100" s="72">
        <v>3.2349999999999999</v>
      </c>
      <c r="J100" s="72">
        <v>3.2349999999999999</v>
      </c>
      <c r="K100" s="72">
        <f t="shared" si="2"/>
        <v>0</v>
      </c>
      <c r="M100" s="1">
        <v>36896</v>
      </c>
      <c r="N100" s="1">
        <v>37575</v>
      </c>
      <c r="O100" s="1">
        <v>36892</v>
      </c>
      <c r="P100" s="72">
        <v>5.84</v>
      </c>
      <c r="Q100" s="72">
        <f t="shared" si="3"/>
        <v>5.84</v>
      </c>
    </row>
    <row r="101" spans="2:17">
      <c r="B101" s="1">
        <v>37582</v>
      </c>
      <c r="C101">
        <v>5.93</v>
      </c>
      <c r="F101" s="1">
        <v>42125</v>
      </c>
      <c r="G101" t="s">
        <v>81</v>
      </c>
      <c r="H101" s="1">
        <v>39142</v>
      </c>
      <c r="I101" s="72">
        <v>3.2349999999999999</v>
      </c>
      <c r="J101" s="72">
        <v>3.2349999999999999</v>
      </c>
      <c r="K101" s="72">
        <f t="shared" si="2"/>
        <v>0</v>
      </c>
      <c r="M101" s="1">
        <v>36896</v>
      </c>
      <c r="N101" s="1">
        <v>37582</v>
      </c>
      <c r="O101" s="1">
        <v>36892</v>
      </c>
      <c r="P101" s="72">
        <v>5.84</v>
      </c>
      <c r="Q101" s="72">
        <f t="shared" si="3"/>
        <v>5.93</v>
      </c>
    </row>
    <row r="102" spans="2:17">
      <c r="B102" s="1">
        <v>37589</v>
      </c>
      <c r="C102">
        <v>6.03</v>
      </c>
      <c r="F102" s="1">
        <v>42156</v>
      </c>
      <c r="G102" t="s">
        <v>81</v>
      </c>
      <c r="H102" s="1">
        <v>39142</v>
      </c>
      <c r="I102" s="72">
        <v>3.2349999999999999</v>
      </c>
      <c r="J102" s="72">
        <v>3.2349999999999999</v>
      </c>
      <c r="K102" s="72">
        <f t="shared" si="2"/>
        <v>0</v>
      </c>
      <c r="M102" s="1">
        <v>36896</v>
      </c>
      <c r="N102" s="1">
        <v>37589</v>
      </c>
      <c r="O102" s="1">
        <v>36892</v>
      </c>
      <c r="P102" s="72">
        <v>5.84</v>
      </c>
      <c r="Q102" s="72">
        <f t="shared" si="3"/>
        <v>6.03</v>
      </c>
    </row>
    <row r="103" spans="2:17">
      <c r="B103" s="1">
        <v>37596</v>
      </c>
      <c r="C103">
        <v>6.0650000000000004</v>
      </c>
      <c r="M103" s="1">
        <v>36896</v>
      </c>
      <c r="N103" s="1">
        <v>37596</v>
      </c>
      <c r="O103" s="1">
        <v>36892</v>
      </c>
      <c r="P103" s="72">
        <v>5.84</v>
      </c>
      <c r="Q103" s="72">
        <f t="shared" si="3"/>
        <v>6.0650000000000004</v>
      </c>
    </row>
    <row r="104" spans="2:17">
      <c r="B104" s="1">
        <v>37603</v>
      </c>
      <c r="C104">
        <v>5.915</v>
      </c>
      <c r="M104" s="1">
        <v>36896</v>
      </c>
      <c r="N104" s="1">
        <v>37603</v>
      </c>
      <c r="O104" s="1">
        <v>36892</v>
      </c>
      <c r="P104" s="72">
        <v>5.84</v>
      </c>
      <c r="Q104" s="72">
        <f t="shared" si="3"/>
        <v>5.915</v>
      </c>
    </row>
    <row r="105" spans="2:17">
      <c r="B105" s="1">
        <v>37610</v>
      </c>
      <c r="C105">
        <v>5.93</v>
      </c>
      <c r="M105" s="1">
        <v>36896</v>
      </c>
      <c r="N105" s="1">
        <v>37610</v>
      </c>
      <c r="O105" s="1">
        <v>36892</v>
      </c>
      <c r="P105" s="72">
        <v>5.84</v>
      </c>
      <c r="Q105" s="72">
        <f t="shared" si="3"/>
        <v>5.93</v>
      </c>
    </row>
    <row r="106" spans="2:17">
      <c r="B106" s="1">
        <v>37617</v>
      </c>
      <c r="C106">
        <v>5.83</v>
      </c>
      <c r="M106" s="1">
        <v>36896</v>
      </c>
      <c r="N106" s="1">
        <v>37617</v>
      </c>
      <c r="O106" s="1">
        <v>36892</v>
      </c>
      <c r="P106" s="72">
        <v>5.83</v>
      </c>
      <c r="Q106" s="72">
        <f t="shared" si="3"/>
        <v>5.83</v>
      </c>
    </row>
    <row r="107" spans="2:17">
      <c r="B107" s="1">
        <v>37624</v>
      </c>
      <c r="C107">
        <v>5.75</v>
      </c>
      <c r="M107" s="1">
        <v>36896</v>
      </c>
      <c r="N107" s="1">
        <v>37624</v>
      </c>
      <c r="O107" s="1">
        <v>36892</v>
      </c>
      <c r="P107" s="72">
        <v>5.75</v>
      </c>
      <c r="Q107" s="72">
        <f t="shared" si="3"/>
        <v>5.75</v>
      </c>
    </row>
    <row r="108" spans="2:17">
      <c r="B108" s="1">
        <v>37631</v>
      </c>
      <c r="C108">
        <v>5.8250000000000002</v>
      </c>
      <c r="M108" s="1">
        <v>36896</v>
      </c>
      <c r="N108" s="1">
        <v>37631</v>
      </c>
      <c r="O108" s="1">
        <v>36892</v>
      </c>
      <c r="P108" s="72">
        <v>5.75</v>
      </c>
      <c r="Q108" s="72">
        <f t="shared" si="3"/>
        <v>5.8250000000000002</v>
      </c>
    </row>
    <row r="109" spans="2:17">
      <c r="B109" s="1">
        <v>37638</v>
      </c>
      <c r="C109">
        <v>5.87</v>
      </c>
      <c r="M109" s="1">
        <v>36896</v>
      </c>
      <c r="N109" s="1">
        <v>37638</v>
      </c>
      <c r="O109" s="1">
        <v>36892</v>
      </c>
      <c r="P109" s="72">
        <v>5.75</v>
      </c>
      <c r="Q109" s="72">
        <f t="shared" si="3"/>
        <v>5.87</v>
      </c>
    </row>
    <row r="110" spans="2:17">
      <c r="B110" s="1">
        <v>37645</v>
      </c>
      <c r="C110">
        <v>5.81</v>
      </c>
      <c r="M110" s="1">
        <v>36896</v>
      </c>
      <c r="N110" s="1">
        <v>37645</v>
      </c>
      <c r="O110" s="1">
        <v>36892</v>
      </c>
      <c r="P110" s="72">
        <v>5.75</v>
      </c>
      <c r="Q110" s="72">
        <f t="shared" si="3"/>
        <v>5.81</v>
      </c>
    </row>
    <row r="111" spans="2:17">
      <c r="B111" s="1">
        <v>37652</v>
      </c>
      <c r="C111">
        <v>5.8</v>
      </c>
      <c r="M111" s="1">
        <v>36896</v>
      </c>
      <c r="N111" s="1">
        <v>37652</v>
      </c>
      <c r="O111" s="1">
        <v>36892</v>
      </c>
      <c r="P111" s="72">
        <v>5.75</v>
      </c>
      <c r="Q111" s="72">
        <f t="shared" si="3"/>
        <v>5.8</v>
      </c>
    </row>
    <row r="112" spans="2:17">
      <c r="B112" s="1">
        <v>37659</v>
      </c>
      <c r="C112">
        <v>5.8049999999999997</v>
      </c>
      <c r="M112" s="1">
        <v>36896</v>
      </c>
      <c r="N112" s="1">
        <v>37659</v>
      </c>
      <c r="O112" s="1">
        <v>36892</v>
      </c>
      <c r="P112" s="72">
        <v>5.75</v>
      </c>
      <c r="Q112" s="72">
        <f t="shared" si="3"/>
        <v>5.8049999999999997</v>
      </c>
    </row>
    <row r="113" spans="2:17">
      <c r="B113" s="1">
        <v>37666</v>
      </c>
      <c r="C113">
        <v>5.76</v>
      </c>
      <c r="M113" s="1">
        <v>36896</v>
      </c>
      <c r="N113" s="1">
        <v>37666</v>
      </c>
      <c r="O113" s="1">
        <v>36892</v>
      </c>
      <c r="P113" s="72">
        <v>5.75</v>
      </c>
      <c r="Q113" s="72">
        <f t="shared" si="3"/>
        <v>5.76</v>
      </c>
    </row>
    <row r="114" spans="2:17">
      <c r="B114" s="1">
        <v>37673</v>
      </c>
      <c r="C114">
        <v>5.74</v>
      </c>
      <c r="M114" s="1">
        <v>36896</v>
      </c>
      <c r="N114" s="1">
        <v>37673</v>
      </c>
      <c r="O114" s="1">
        <v>36892</v>
      </c>
      <c r="P114" s="72">
        <v>5.74</v>
      </c>
      <c r="Q114" s="72">
        <f t="shared" si="3"/>
        <v>5.74</v>
      </c>
    </row>
    <row r="115" spans="2:17">
      <c r="B115" s="1">
        <v>37680</v>
      </c>
      <c r="C115">
        <v>5.69</v>
      </c>
      <c r="M115" s="1">
        <v>36896</v>
      </c>
      <c r="N115" s="1">
        <v>37680</v>
      </c>
      <c r="O115" s="1">
        <v>36892</v>
      </c>
      <c r="P115" s="72">
        <v>5.69</v>
      </c>
      <c r="Q115" s="72">
        <f t="shared" si="3"/>
        <v>5.69</v>
      </c>
    </row>
    <row r="116" spans="2:17">
      <c r="B116" s="1">
        <v>37687</v>
      </c>
      <c r="C116">
        <v>5.57</v>
      </c>
      <c r="M116" s="1">
        <v>36896</v>
      </c>
      <c r="N116" s="1">
        <v>37687</v>
      </c>
      <c r="O116" s="1">
        <v>36892</v>
      </c>
      <c r="P116" s="72">
        <v>5.57</v>
      </c>
      <c r="Q116" s="72">
        <f t="shared" si="3"/>
        <v>5.57</v>
      </c>
    </row>
    <row r="117" spans="2:17">
      <c r="B117" s="1">
        <v>37694</v>
      </c>
      <c r="C117">
        <v>5.51</v>
      </c>
      <c r="M117" s="1">
        <v>36896</v>
      </c>
      <c r="N117" s="1">
        <v>37694</v>
      </c>
      <c r="O117" s="1">
        <v>36892</v>
      </c>
      <c r="P117" s="72">
        <v>5.51</v>
      </c>
      <c r="Q117" s="72">
        <f t="shared" si="3"/>
        <v>5.51</v>
      </c>
    </row>
    <row r="118" spans="2:17">
      <c r="B118" s="1">
        <v>37701</v>
      </c>
      <c r="C118">
        <v>5.69</v>
      </c>
      <c r="M118" s="1">
        <v>36896</v>
      </c>
      <c r="N118" s="1">
        <v>37701</v>
      </c>
      <c r="O118" s="1">
        <v>36892</v>
      </c>
      <c r="P118" s="72">
        <v>5.51</v>
      </c>
      <c r="Q118" s="72">
        <f t="shared" si="3"/>
        <v>5.69</v>
      </c>
    </row>
    <row r="119" spans="2:17">
      <c r="B119" s="1">
        <v>37708</v>
      </c>
      <c r="C119">
        <v>5.81</v>
      </c>
      <c r="M119" s="1">
        <v>36896</v>
      </c>
      <c r="N119" s="1">
        <v>37708</v>
      </c>
      <c r="O119" s="1">
        <v>36892</v>
      </c>
      <c r="P119" s="72">
        <v>5.51</v>
      </c>
      <c r="Q119" s="72">
        <f t="shared" si="3"/>
        <v>5.81</v>
      </c>
    </row>
    <row r="120" spans="2:17">
      <c r="B120" s="1">
        <v>37715</v>
      </c>
      <c r="C120">
        <v>5.69</v>
      </c>
      <c r="M120" s="1">
        <v>36896</v>
      </c>
      <c r="N120" s="1">
        <v>37715</v>
      </c>
      <c r="O120" s="1">
        <v>36892</v>
      </c>
      <c r="P120" s="72">
        <v>5.51</v>
      </c>
      <c r="Q120" s="72">
        <f t="shared" si="3"/>
        <v>5.69</v>
      </c>
    </row>
    <row r="121" spans="2:17">
      <c r="B121" s="1">
        <v>37722</v>
      </c>
      <c r="C121">
        <v>5.75</v>
      </c>
      <c r="M121" s="1">
        <v>36896</v>
      </c>
      <c r="N121" s="1">
        <v>37722</v>
      </c>
      <c r="O121" s="1">
        <v>36892</v>
      </c>
      <c r="P121" s="72">
        <v>5.51</v>
      </c>
      <c r="Q121" s="72">
        <f t="shared" si="3"/>
        <v>5.75</v>
      </c>
    </row>
    <row r="122" spans="2:17">
      <c r="B122" s="1">
        <v>37729</v>
      </c>
      <c r="C122">
        <v>5.72</v>
      </c>
      <c r="M122" s="1">
        <v>36896</v>
      </c>
      <c r="N122" s="1">
        <v>37729</v>
      </c>
      <c r="O122" s="1">
        <v>36892</v>
      </c>
      <c r="P122" s="72">
        <v>5.51</v>
      </c>
      <c r="Q122" s="72">
        <f t="shared" si="3"/>
        <v>5.72</v>
      </c>
    </row>
    <row r="123" spans="2:17">
      <c r="B123" s="1">
        <v>37736</v>
      </c>
      <c r="C123">
        <v>5.69</v>
      </c>
      <c r="M123" s="1">
        <v>36896</v>
      </c>
      <c r="N123" s="1">
        <v>37736</v>
      </c>
      <c r="O123" s="1">
        <v>36892</v>
      </c>
      <c r="P123" s="72">
        <v>5.51</v>
      </c>
      <c r="Q123" s="72">
        <f t="shared" si="3"/>
        <v>5.69</v>
      </c>
    </row>
    <row r="124" spans="2:17">
      <c r="B124" s="1">
        <v>37743</v>
      </c>
      <c r="C124">
        <v>5.6</v>
      </c>
      <c r="M124" s="1">
        <v>36896</v>
      </c>
      <c r="N124" s="1">
        <v>37743</v>
      </c>
      <c r="O124" s="1">
        <v>36892</v>
      </c>
      <c r="P124" s="72">
        <v>5.51</v>
      </c>
      <c r="Q124" s="72">
        <f t="shared" si="3"/>
        <v>5.6</v>
      </c>
    </row>
    <row r="125" spans="2:17">
      <c r="B125" s="1">
        <v>37750</v>
      </c>
      <c r="C125">
        <v>5.5449999999999999</v>
      </c>
      <c r="M125" s="1">
        <v>36896</v>
      </c>
      <c r="N125" s="1">
        <v>37750</v>
      </c>
      <c r="O125" s="1">
        <v>36892</v>
      </c>
      <c r="P125" s="72">
        <v>5.51</v>
      </c>
      <c r="Q125" s="72">
        <f t="shared" si="3"/>
        <v>5.5449999999999999</v>
      </c>
    </row>
    <row r="126" spans="2:17">
      <c r="B126" s="1">
        <v>37757</v>
      </c>
      <c r="C126">
        <v>5.35</v>
      </c>
      <c r="M126" s="1">
        <v>36896</v>
      </c>
      <c r="N126" s="1">
        <v>37757</v>
      </c>
      <c r="O126" s="1">
        <v>36892</v>
      </c>
      <c r="P126" s="72">
        <v>5.35</v>
      </c>
      <c r="Q126" s="72">
        <f t="shared" si="3"/>
        <v>5.35</v>
      </c>
    </row>
    <row r="127" spans="2:17">
      <c r="B127" s="1">
        <v>37764</v>
      </c>
      <c r="C127">
        <v>5.2649999999999997</v>
      </c>
      <c r="M127" s="1">
        <v>36896</v>
      </c>
      <c r="N127" s="1">
        <v>37764</v>
      </c>
      <c r="O127" s="1">
        <v>36892</v>
      </c>
      <c r="P127" s="72">
        <v>5.2649999999999997</v>
      </c>
      <c r="Q127" s="72">
        <f t="shared" si="3"/>
        <v>5.2649999999999997</v>
      </c>
    </row>
    <row r="128" spans="2:17">
      <c r="B128" s="1">
        <v>37771</v>
      </c>
      <c r="C128">
        <v>5.21</v>
      </c>
      <c r="M128" s="1">
        <v>36896</v>
      </c>
      <c r="N128" s="1">
        <v>37771</v>
      </c>
      <c r="O128" s="1">
        <v>36892</v>
      </c>
      <c r="P128" s="72">
        <v>5.21</v>
      </c>
      <c r="Q128" s="72">
        <f t="shared" si="3"/>
        <v>5.21</v>
      </c>
    </row>
    <row r="129" spans="2:17">
      <c r="B129" s="1">
        <v>37778</v>
      </c>
      <c r="C129">
        <v>5.1349999999999998</v>
      </c>
      <c r="M129" s="1">
        <v>36896</v>
      </c>
      <c r="N129" s="1">
        <v>37778</v>
      </c>
      <c r="O129" s="1">
        <v>36892</v>
      </c>
      <c r="P129" s="72">
        <v>5.1349999999999998</v>
      </c>
      <c r="Q129" s="72">
        <f t="shared" si="3"/>
        <v>5.1349999999999998</v>
      </c>
    </row>
    <row r="130" spans="2:17">
      <c r="B130" s="1">
        <v>37785</v>
      </c>
      <c r="C130">
        <v>5.085</v>
      </c>
      <c r="M130" s="1">
        <v>36896</v>
      </c>
      <c r="N130" s="1">
        <v>37785</v>
      </c>
      <c r="O130" s="1">
        <v>36892</v>
      </c>
      <c r="P130" s="72">
        <v>5.085</v>
      </c>
      <c r="Q130" s="72">
        <f t="shared" si="3"/>
        <v>5.085</v>
      </c>
    </row>
    <row r="131" spans="2:17">
      <c r="B131" s="1">
        <v>37792</v>
      </c>
      <c r="C131">
        <v>5.1100000000000003</v>
      </c>
      <c r="M131" s="1">
        <v>36896</v>
      </c>
      <c r="N131" s="1">
        <v>37792</v>
      </c>
      <c r="O131" s="1">
        <v>36892</v>
      </c>
      <c r="P131" s="72">
        <v>5.085</v>
      </c>
      <c r="Q131" s="72">
        <f t="shared" si="3"/>
        <v>5.1100000000000003</v>
      </c>
    </row>
    <row r="132" spans="2:17">
      <c r="B132" s="1">
        <v>37799</v>
      </c>
      <c r="C132">
        <v>5.14</v>
      </c>
      <c r="M132" s="1">
        <v>36896</v>
      </c>
      <c r="N132" s="1">
        <v>37799</v>
      </c>
      <c r="O132" s="1">
        <v>36892</v>
      </c>
      <c r="P132" s="72">
        <v>5.085</v>
      </c>
      <c r="Q132" s="72">
        <f t="shared" ref="Q132:Q195" si="4">VLOOKUP(N132,B:C,2,0)</f>
        <v>5.14</v>
      </c>
    </row>
    <row r="133" spans="2:17">
      <c r="B133" s="1">
        <v>37806</v>
      </c>
      <c r="C133">
        <v>5.2750000000000004</v>
      </c>
      <c r="M133" s="1">
        <v>36896</v>
      </c>
      <c r="N133" s="1">
        <v>37806</v>
      </c>
      <c r="O133" s="1">
        <v>36892</v>
      </c>
      <c r="P133" s="72">
        <v>5.085</v>
      </c>
      <c r="Q133" s="72">
        <f t="shared" si="4"/>
        <v>5.2750000000000004</v>
      </c>
    </row>
    <row r="134" spans="2:17">
      <c r="B134" s="1">
        <v>37813</v>
      </c>
      <c r="C134">
        <v>5.42</v>
      </c>
      <c r="M134" s="1">
        <v>36896</v>
      </c>
      <c r="N134" s="1">
        <v>37813</v>
      </c>
      <c r="O134" s="1">
        <v>36892</v>
      </c>
      <c r="P134" s="72">
        <v>5.085</v>
      </c>
      <c r="Q134" s="72">
        <f t="shared" si="4"/>
        <v>5.42</v>
      </c>
    </row>
    <row r="135" spans="2:17">
      <c r="B135" s="1">
        <v>37820</v>
      </c>
      <c r="C135">
        <v>5.5449999999999999</v>
      </c>
      <c r="M135" s="1">
        <v>36896</v>
      </c>
      <c r="N135" s="1">
        <v>37820</v>
      </c>
      <c r="O135" s="1">
        <v>36892</v>
      </c>
      <c r="P135" s="72">
        <v>5.085</v>
      </c>
      <c r="Q135" s="72">
        <f t="shared" si="4"/>
        <v>5.5449999999999999</v>
      </c>
    </row>
    <row r="136" spans="2:17">
      <c r="B136" s="1">
        <v>37827</v>
      </c>
      <c r="C136">
        <v>5.79</v>
      </c>
      <c r="M136" s="1">
        <v>36896</v>
      </c>
      <c r="N136" s="1">
        <v>37827</v>
      </c>
      <c r="O136" s="1">
        <v>36892</v>
      </c>
      <c r="P136" s="72">
        <v>5.085</v>
      </c>
      <c r="Q136" s="72">
        <f t="shared" si="4"/>
        <v>5.79</v>
      </c>
    </row>
    <row r="137" spans="2:17">
      <c r="B137" s="1">
        <v>37834</v>
      </c>
      <c r="C137">
        <v>6.0149999999999997</v>
      </c>
      <c r="M137" s="1">
        <v>36896</v>
      </c>
      <c r="N137" s="1">
        <v>37834</v>
      </c>
      <c r="O137" s="1">
        <v>36892</v>
      </c>
      <c r="P137" s="72">
        <v>5.085</v>
      </c>
      <c r="Q137" s="72">
        <f t="shared" si="4"/>
        <v>6.0149999999999997</v>
      </c>
    </row>
    <row r="138" spans="2:17">
      <c r="B138" s="1">
        <v>37841</v>
      </c>
      <c r="C138">
        <v>6.2649999999999997</v>
      </c>
      <c r="M138" s="1">
        <v>36896</v>
      </c>
      <c r="N138" s="1">
        <v>37841</v>
      </c>
      <c r="O138" s="1">
        <v>36892</v>
      </c>
      <c r="P138" s="72">
        <v>5.085</v>
      </c>
      <c r="Q138" s="72">
        <f t="shared" si="4"/>
        <v>6.2649999999999997</v>
      </c>
    </row>
    <row r="139" spans="2:17">
      <c r="B139" s="1">
        <v>37848</v>
      </c>
      <c r="C139">
        <v>6.165</v>
      </c>
      <c r="M139" s="1">
        <v>36896</v>
      </c>
      <c r="N139" s="1">
        <v>37848</v>
      </c>
      <c r="O139" s="1">
        <v>36892</v>
      </c>
      <c r="P139" s="72">
        <v>5.085</v>
      </c>
      <c r="Q139" s="72">
        <f t="shared" si="4"/>
        <v>6.165</v>
      </c>
    </row>
    <row r="140" spans="2:17">
      <c r="B140" s="1">
        <v>37855</v>
      </c>
      <c r="C140">
        <v>6.23</v>
      </c>
      <c r="M140" s="1">
        <v>36896</v>
      </c>
      <c r="N140" s="1">
        <v>37855</v>
      </c>
      <c r="O140" s="1">
        <v>36892</v>
      </c>
      <c r="P140" s="72">
        <v>5.085</v>
      </c>
      <c r="Q140" s="72">
        <f t="shared" si="4"/>
        <v>6.23</v>
      </c>
    </row>
    <row r="141" spans="2:17">
      <c r="B141" s="1">
        <v>37862</v>
      </c>
      <c r="C141">
        <v>6.2450000000000001</v>
      </c>
      <c r="M141" s="1">
        <v>36896</v>
      </c>
      <c r="N141" s="1">
        <v>37862</v>
      </c>
      <c r="O141" s="1">
        <v>36892</v>
      </c>
      <c r="P141" s="72">
        <v>5.085</v>
      </c>
      <c r="Q141" s="72">
        <f t="shared" si="4"/>
        <v>6.2450000000000001</v>
      </c>
    </row>
    <row r="142" spans="2:17">
      <c r="B142" s="1">
        <v>37869</v>
      </c>
      <c r="C142">
        <v>6.34</v>
      </c>
      <c r="M142" s="1">
        <v>36896</v>
      </c>
      <c r="N142" s="1">
        <v>37869</v>
      </c>
      <c r="O142" s="1">
        <v>36892</v>
      </c>
      <c r="P142" s="72">
        <v>5.085</v>
      </c>
      <c r="Q142" s="72">
        <f t="shared" si="4"/>
        <v>6.34</v>
      </c>
    </row>
    <row r="143" spans="2:17">
      <c r="B143" s="1">
        <v>37876</v>
      </c>
      <c r="C143">
        <v>6.06</v>
      </c>
      <c r="M143" s="1">
        <v>36896</v>
      </c>
      <c r="N143" s="1">
        <v>37876</v>
      </c>
      <c r="O143" s="1">
        <v>36892</v>
      </c>
      <c r="P143" s="72">
        <v>5.085</v>
      </c>
      <c r="Q143" s="72">
        <f t="shared" si="4"/>
        <v>6.06</v>
      </c>
    </row>
    <row r="144" spans="2:17">
      <c r="B144" s="1">
        <v>37883</v>
      </c>
      <c r="C144">
        <v>5.8849999999999998</v>
      </c>
      <c r="M144" s="1">
        <v>36896</v>
      </c>
      <c r="N144" s="1">
        <v>37883</v>
      </c>
      <c r="O144" s="1">
        <v>36892</v>
      </c>
      <c r="P144" s="72">
        <v>5.085</v>
      </c>
      <c r="Q144" s="72">
        <f t="shared" si="4"/>
        <v>5.8849999999999998</v>
      </c>
    </row>
    <row r="145" spans="2:17">
      <c r="B145" s="1">
        <v>37890</v>
      </c>
      <c r="C145">
        <v>5.88</v>
      </c>
      <c r="M145" s="1">
        <v>36896</v>
      </c>
      <c r="N145" s="1">
        <v>37890</v>
      </c>
      <c r="O145" s="1">
        <v>36892</v>
      </c>
      <c r="P145" s="72">
        <v>5.085</v>
      </c>
      <c r="Q145" s="72">
        <f t="shared" si="4"/>
        <v>5.88</v>
      </c>
    </row>
    <row r="146" spans="2:17">
      <c r="B146" s="1">
        <v>37897</v>
      </c>
      <c r="C146">
        <v>5.67</v>
      </c>
      <c r="M146" s="1">
        <v>36896</v>
      </c>
      <c r="N146" s="1">
        <v>37897</v>
      </c>
      <c r="O146" s="1">
        <v>36892</v>
      </c>
      <c r="P146" s="72">
        <v>5.085</v>
      </c>
      <c r="Q146" s="72">
        <f t="shared" si="4"/>
        <v>5.67</v>
      </c>
    </row>
    <row r="147" spans="2:17">
      <c r="B147" s="1">
        <v>37904</v>
      </c>
      <c r="C147">
        <v>5.85</v>
      </c>
      <c r="M147" s="1">
        <v>36896</v>
      </c>
      <c r="N147" s="1">
        <v>37904</v>
      </c>
      <c r="O147" s="1">
        <v>36892</v>
      </c>
      <c r="P147" s="72">
        <v>5.085</v>
      </c>
      <c r="Q147" s="72">
        <f t="shared" si="4"/>
        <v>5.85</v>
      </c>
    </row>
    <row r="148" spans="2:17">
      <c r="B148" s="1">
        <v>37911</v>
      </c>
      <c r="C148">
        <v>5.9249999999999998</v>
      </c>
      <c r="M148" s="1">
        <v>36896</v>
      </c>
      <c r="N148" s="1">
        <v>37911</v>
      </c>
      <c r="O148" s="1">
        <v>36892</v>
      </c>
      <c r="P148" s="72">
        <v>5.085</v>
      </c>
      <c r="Q148" s="72">
        <f t="shared" si="4"/>
        <v>5.9249999999999998</v>
      </c>
    </row>
    <row r="149" spans="2:17">
      <c r="B149" s="1">
        <v>37918</v>
      </c>
      <c r="C149">
        <v>5.9749999999999996</v>
      </c>
      <c r="M149" s="1">
        <v>36896</v>
      </c>
      <c r="N149" s="1">
        <v>37918</v>
      </c>
      <c r="O149" s="1">
        <v>36892</v>
      </c>
      <c r="P149" s="72">
        <v>5.085</v>
      </c>
      <c r="Q149" s="72">
        <f t="shared" si="4"/>
        <v>5.9749999999999996</v>
      </c>
    </row>
    <row r="150" spans="2:17">
      <c r="B150" s="1">
        <v>37925</v>
      </c>
      <c r="C150">
        <v>5.84</v>
      </c>
      <c r="M150" s="1">
        <v>36896</v>
      </c>
      <c r="N150" s="1">
        <v>37925</v>
      </c>
      <c r="O150" s="1">
        <v>36892</v>
      </c>
      <c r="P150" s="72">
        <v>5.085</v>
      </c>
      <c r="Q150" s="72">
        <f t="shared" si="4"/>
        <v>5.84</v>
      </c>
    </row>
    <row r="151" spans="2:17">
      <c r="B151" s="1">
        <v>37932</v>
      </c>
      <c r="C151">
        <v>5.9050000000000002</v>
      </c>
      <c r="M151" s="1">
        <v>36896</v>
      </c>
      <c r="N151" s="1">
        <v>37932</v>
      </c>
      <c r="O151" s="1">
        <v>36892</v>
      </c>
      <c r="P151" s="72">
        <v>5.085</v>
      </c>
      <c r="Q151" s="72">
        <f t="shared" si="4"/>
        <v>5.9050000000000002</v>
      </c>
    </row>
    <row r="152" spans="2:17">
      <c r="B152" s="1">
        <v>37939</v>
      </c>
      <c r="C152">
        <v>5.93</v>
      </c>
      <c r="M152" s="1">
        <v>36896</v>
      </c>
      <c r="N152" s="1">
        <v>37939</v>
      </c>
      <c r="O152" s="1">
        <v>36892</v>
      </c>
      <c r="P152" s="72">
        <v>5.085</v>
      </c>
      <c r="Q152" s="72">
        <f t="shared" si="4"/>
        <v>5.93</v>
      </c>
    </row>
    <row r="153" spans="2:17">
      <c r="B153" s="1">
        <v>37946</v>
      </c>
      <c r="C153">
        <v>5.73</v>
      </c>
      <c r="M153" s="1">
        <v>36896</v>
      </c>
      <c r="N153" s="1">
        <v>37946</v>
      </c>
      <c r="O153" s="1">
        <v>36892</v>
      </c>
      <c r="P153" s="72">
        <v>5.085</v>
      </c>
      <c r="Q153" s="72">
        <f t="shared" si="4"/>
        <v>5.73</v>
      </c>
    </row>
    <row r="154" spans="2:17">
      <c r="B154" s="1">
        <v>37953</v>
      </c>
      <c r="C154">
        <v>5.79</v>
      </c>
      <c r="M154" s="1">
        <v>36896</v>
      </c>
      <c r="N154" s="1">
        <v>37953</v>
      </c>
      <c r="O154" s="1">
        <v>36892</v>
      </c>
      <c r="P154" s="72">
        <v>5.085</v>
      </c>
      <c r="Q154" s="72">
        <f t="shared" si="4"/>
        <v>5.79</v>
      </c>
    </row>
    <row r="155" spans="2:17">
      <c r="B155" s="1">
        <v>37960</v>
      </c>
      <c r="C155">
        <v>5.92</v>
      </c>
      <c r="M155" s="1">
        <v>36896</v>
      </c>
      <c r="N155" s="1">
        <v>37960</v>
      </c>
      <c r="O155" s="1">
        <v>36892</v>
      </c>
      <c r="P155" s="72">
        <v>5.085</v>
      </c>
      <c r="Q155" s="72">
        <f t="shared" si="4"/>
        <v>5.92</v>
      </c>
    </row>
    <row r="156" spans="2:17">
      <c r="B156" s="1">
        <v>37967</v>
      </c>
      <c r="C156">
        <v>5.8049999999999997</v>
      </c>
      <c r="M156" s="1">
        <v>36896</v>
      </c>
      <c r="N156" s="1">
        <v>37967</v>
      </c>
      <c r="O156" s="1">
        <v>36892</v>
      </c>
      <c r="P156" s="72">
        <v>5.085</v>
      </c>
      <c r="Q156" s="72">
        <f t="shared" si="4"/>
        <v>5.8049999999999997</v>
      </c>
    </row>
    <row r="157" spans="2:17">
      <c r="B157" s="1">
        <v>37974</v>
      </c>
      <c r="C157">
        <v>5.7450000000000001</v>
      </c>
      <c r="M157" s="1">
        <v>36896</v>
      </c>
      <c r="N157" s="1">
        <v>37974</v>
      </c>
      <c r="O157" s="1">
        <v>36892</v>
      </c>
      <c r="P157" s="72">
        <v>5.085</v>
      </c>
      <c r="Q157" s="72">
        <f t="shared" si="4"/>
        <v>5.7450000000000001</v>
      </c>
    </row>
    <row r="158" spans="2:17">
      <c r="B158" s="1">
        <v>37981</v>
      </c>
      <c r="C158">
        <v>5.7349999999999897</v>
      </c>
      <c r="M158" s="1">
        <v>36896</v>
      </c>
      <c r="N158" s="1">
        <v>37981</v>
      </c>
      <c r="O158" s="1">
        <v>36892</v>
      </c>
      <c r="P158" s="72">
        <v>5.085</v>
      </c>
      <c r="Q158" s="72">
        <f t="shared" si="4"/>
        <v>5.7349999999999897</v>
      </c>
    </row>
    <row r="159" spans="2:17">
      <c r="B159" s="1">
        <v>37986</v>
      </c>
      <c r="C159">
        <v>5.7749999999999897</v>
      </c>
      <c r="M159" s="1">
        <v>36896</v>
      </c>
      <c r="N159" s="1">
        <v>37986</v>
      </c>
      <c r="O159" s="1">
        <v>36892</v>
      </c>
      <c r="P159" s="72">
        <v>5.085</v>
      </c>
      <c r="Q159" s="72">
        <f t="shared" si="4"/>
        <v>5.7749999999999897</v>
      </c>
    </row>
    <row r="160" spans="2:17">
      <c r="B160" s="1">
        <v>37994</v>
      </c>
      <c r="C160">
        <v>5.7949999999999999</v>
      </c>
      <c r="M160" s="1">
        <v>36896</v>
      </c>
      <c r="N160" s="1">
        <v>37994</v>
      </c>
      <c r="O160" s="1">
        <v>36892</v>
      </c>
      <c r="P160" s="72">
        <v>5.085</v>
      </c>
      <c r="Q160" s="72">
        <f t="shared" si="4"/>
        <v>5.7949999999999999</v>
      </c>
    </row>
    <row r="161" spans="2:17">
      <c r="B161" s="1">
        <v>38001</v>
      </c>
      <c r="C161">
        <v>5.56</v>
      </c>
      <c r="M161" s="1">
        <v>36896</v>
      </c>
      <c r="N161" s="1">
        <v>38001</v>
      </c>
      <c r="O161" s="1">
        <v>36892</v>
      </c>
      <c r="P161" s="72">
        <v>5.085</v>
      </c>
      <c r="Q161" s="72">
        <f t="shared" si="4"/>
        <v>5.56</v>
      </c>
    </row>
    <row r="162" spans="2:17">
      <c r="B162" s="1">
        <v>38008</v>
      </c>
      <c r="C162">
        <v>5.54</v>
      </c>
      <c r="M162" s="1">
        <v>36896</v>
      </c>
      <c r="N162" s="1">
        <v>38008</v>
      </c>
      <c r="O162" s="1">
        <v>36892</v>
      </c>
      <c r="P162" s="72">
        <v>5.085</v>
      </c>
      <c r="Q162" s="72">
        <f t="shared" si="4"/>
        <v>5.54</v>
      </c>
    </row>
    <row r="163" spans="2:17">
      <c r="B163" s="1">
        <v>38015</v>
      </c>
      <c r="C163">
        <v>5.6049999999999898</v>
      </c>
      <c r="M163" s="1">
        <v>36896</v>
      </c>
      <c r="N163" s="1">
        <v>38015</v>
      </c>
      <c r="O163" s="1">
        <v>36892</v>
      </c>
      <c r="P163" s="72">
        <v>5.085</v>
      </c>
      <c r="Q163" s="72">
        <f t="shared" si="4"/>
        <v>5.6049999999999898</v>
      </c>
    </row>
    <row r="164" spans="2:17">
      <c r="B164" s="1">
        <v>38022</v>
      </c>
      <c r="C164">
        <v>5.62</v>
      </c>
      <c r="M164" s="1">
        <v>36896</v>
      </c>
      <c r="N164" s="1">
        <v>38022</v>
      </c>
      <c r="O164" s="1">
        <v>36892</v>
      </c>
      <c r="P164" s="72">
        <v>5.085</v>
      </c>
      <c r="Q164" s="72">
        <f t="shared" si="4"/>
        <v>5.62</v>
      </c>
    </row>
    <row r="165" spans="2:17">
      <c r="B165" s="1">
        <v>38029</v>
      </c>
      <c r="C165">
        <v>5.585</v>
      </c>
      <c r="M165" s="1">
        <v>36896</v>
      </c>
      <c r="N165" s="1">
        <v>38029</v>
      </c>
      <c r="O165" s="1">
        <v>36892</v>
      </c>
      <c r="P165" s="72">
        <v>5.085</v>
      </c>
      <c r="Q165" s="72">
        <f t="shared" si="4"/>
        <v>5.585</v>
      </c>
    </row>
    <row r="166" spans="2:17">
      <c r="B166" s="1">
        <v>38036</v>
      </c>
      <c r="C166">
        <v>5.48</v>
      </c>
      <c r="M166" s="1">
        <v>36896</v>
      </c>
      <c r="N166" s="1">
        <v>38036</v>
      </c>
      <c r="O166" s="1">
        <v>36892</v>
      </c>
      <c r="P166" s="72">
        <v>5.085</v>
      </c>
      <c r="Q166" s="72">
        <f t="shared" si="4"/>
        <v>5.48</v>
      </c>
    </row>
    <row r="167" spans="2:17">
      <c r="B167" s="1">
        <v>38043</v>
      </c>
      <c r="C167">
        <v>5.5049999999999999</v>
      </c>
      <c r="M167" s="1">
        <v>36896</v>
      </c>
      <c r="N167" s="1">
        <v>38043</v>
      </c>
      <c r="O167" s="1">
        <v>36892</v>
      </c>
      <c r="P167" s="72">
        <v>5.085</v>
      </c>
      <c r="Q167" s="72">
        <f t="shared" si="4"/>
        <v>5.5049999999999999</v>
      </c>
    </row>
    <row r="168" spans="2:17">
      <c r="B168" s="1">
        <v>38050</v>
      </c>
      <c r="C168">
        <v>5.5149999999999997</v>
      </c>
      <c r="M168" s="1">
        <v>36896</v>
      </c>
      <c r="N168" s="1">
        <v>38050</v>
      </c>
      <c r="O168" s="1">
        <v>36892</v>
      </c>
      <c r="P168" s="72">
        <v>5.085</v>
      </c>
      <c r="Q168" s="72">
        <f t="shared" si="4"/>
        <v>5.5149999999999997</v>
      </c>
    </row>
    <row r="169" spans="2:17">
      <c r="B169" s="1">
        <v>38057</v>
      </c>
      <c r="C169">
        <v>5.31</v>
      </c>
      <c r="M169" s="1">
        <v>36896</v>
      </c>
      <c r="N169" s="1">
        <v>38057</v>
      </c>
      <c r="O169" s="1">
        <v>36892</v>
      </c>
      <c r="P169" s="72">
        <v>5.085</v>
      </c>
      <c r="Q169" s="72">
        <f t="shared" si="4"/>
        <v>5.31</v>
      </c>
    </row>
    <row r="170" spans="2:17">
      <c r="B170" s="1">
        <v>38064</v>
      </c>
      <c r="C170">
        <v>5.3049999999999997</v>
      </c>
      <c r="M170" s="1">
        <v>36896</v>
      </c>
      <c r="N170" s="1">
        <v>38064</v>
      </c>
      <c r="O170" s="1">
        <v>36892</v>
      </c>
      <c r="P170" s="72">
        <v>5.085</v>
      </c>
      <c r="Q170" s="72">
        <f t="shared" si="4"/>
        <v>5.3049999999999997</v>
      </c>
    </row>
    <row r="171" spans="2:17">
      <c r="B171" s="1">
        <v>38071</v>
      </c>
      <c r="C171">
        <v>5.3250000000000002</v>
      </c>
      <c r="M171" s="1">
        <v>36896</v>
      </c>
      <c r="N171" s="1">
        <v>38071</v>
      </c>
      <c r="O171" s="1">
        <v>36892</v>
      </c>
      <c r="P171" s="72">
        <v>5.085</v>
      </c>
      <c r="Q171" s="72">
        <f t="shared" si="4"/>
        <v>5.3250000000000002</v>
      </c>
    </row>
    <row r="172" spans="2:17">
      <c r="B172" s="1">
        <v>38078</v>
      </c>
      <c r="C172">
        <v>5.42</v>
      </c>
      <c r="M172" s="1">
        <v>36896</v>
      </c>
      <c r="N172" s="1">
        <v>38078</v>
      </c>
      <c r="O172" s="1">
        <v>36892</v>
      </c>
      <c r="P172" s="72">
        <v>5.085</v>
      </c>
      <c r="Q172" s="72">
        <f t="shared" si="4"/>
        <v>5.42</v>
      </c>
    </row>
    <row r="173" spans="2:17">
      <c r="B173" s="1">
        <v>38085</v>
      </c>
      <c r="C173">
        <v>5.7149999999999999</v>
      </c>
      <c r="M173" s="1">
        <v>36896</v>
      </c>
      <c r="N173" s="1">
        <v>38085</v>
      </c>
      <c r="O173" s="1">
        <v>36892</v>
      </c>
      <c r="P173" s="72">
        <v>5.085</v>
      </c>
      <c r="Q173" s="72">
        <f t="shared" si="4"/>
        <v>5.7149999999999999</v>
      </c>
    </row>
    <row r="174" spans="2:17">
      <c r="B174" s="1">
        <v>38092</v>
      </c>
      <c r="C174">
        <v>5.79</v>
      </c>
      <c r="M174" s="1">
        <v>36896</v>
      </c>
      <c r="N174" s="1">
        <v>38092</v>
      </c>
      <c r="O174" s="1">
        <v>36892</v>
      </c>
      <c r="P174" s="72">
        <v>5.085</v>
      </c>
      <c r="Q174" s="72">
        <f t="shared" si="4"/>
        <v>5.79</v>
      </c>
    </row>
    <row r="175" spans="2:17">
      <c r="B175" s="1">
        <v>38099</v>
      </c>
      <c r="C175">
        <v>5.8650000000000002</v>
      </c>
      <c r="M175" s="1">
        <v>36896</v>
      </c>
      <c r="N175" s="1">
        <v>38099</v>
      </c>
      <c r="O175" s="1">
        <v>36892</v>
      </c>
      <c r="P175" s="72">
        <v>5.085</v>
      </c>
      <c r="Q175" s="72">
        <f t="shared" si="4"/>
        <v>5.8650000000000002</v>
      </c>
    </row>
    <row r="176" spans="2:17">
      <c r="B176" s="1">
        <v>38106</v>
      </c>
      <c r="C176">
        <v>5.9349999999999996</v>
      </c>
      <c r="M176" s="1">
        <v>36896</v>
      </c>
      <c r="N176" s="1">
        <v>38106</v>
      </c>
      <c r="O176" s="1">
        <v>36892</v>
      </c>
      <c r="P176" s="72">
        <v>5.085</v>
      </c>
      <c r="Q176" s="72">
        <f t="shared" si="4"/>
        <v>5.9349999999999996</v>
      </c>
    </row>
    <row r="177" spans="2:17">
      <c r="B177" s="1">
        <v>38113</v>
      </c>
      <c r="C177">
        <v>6.0449999999999999</v>
      </c>
      <c r="M177" s="1">
        <v>36896</v>
      </c>
      <c r="N177" s="1">
        <v>38113</v>
      </c>
      <c r="O177" s="1">
        <v>36892</v>
      </c>
      <c r="P177" s="72">
        <v>5.085</v>
      </c>
      <c r="Q177" s="72">
        <f t="shared" si="4"/>
        <v>6.0449999999999999</v>
      </c>
    </row>
    <row r="178" spans="2:17">
      <c r="B178" s="1">
        <v>38120</v>
      </c>
      <c r="C178">
        <v>6.2649999999999997</v>
      </c>
      <c r="M178" s="1">
        <v>36896</v>
      </c>
      <c r="N178" s="1">
        <v>38120</v>
      </c>
      <c r="O178" s="1">
        <v>36892</v>
      </c>
      <c r="P178" s="72">
        <v>5.085</v>
      </c>
      <c r="Q178" s="72">
        <f t="shared" si="4"/>
        <v>6.2649999999999997</v>
      </c>
    </row>
    <row r="179" spans="2:17">
      <c r="B179" s="1">
        <v>38127</v>
      </c>
      <c r="C179">
        <v>6.2249999999999996</v>
      </c>
      <c r="M179" s="1">
        <v>36896</v>
      </c>
      <c r="N179" s="1">
        <v>38127</v>
      </c>
      <c r="O179" s="1">
        <v>36892</v>
      </c>
      <c r="P179" s="72">
        <v>5.085</v>
      </c>
      <c r="Q179" s="72">
        <f t="shared" si="4"/>
        <v>6.2249999999999996</v>
      </c>
    </row>
    <row r="180" spans="2:17">
      <c r="B180" s="1">
        <v>38134</v>
      </c>
      <c r="C180">
        <v>6.22</v>
      </c>
      <c r="M180" s="1">
        <v>36896</v>
      </c>
      <c r="N180" s="1">
        <v>38134</v>
      </c>
      <c r="O180" s="1">
        <v>36892</v>
      </c>
      <c r="P180" s="72">
        <v>5.085</v>
      </c>
      <c r="Q180" s="72">
        <f t="shared" si="4"/>
        <v>6.22</v>
      </c>
    </row>
    <row r="181" spans="2:17">
      <c r="B181" s="1">
        <v>38141</v>
      </c>
      <c r="C181">
        <v>6.2050000000000001</v>
      </c>
      <c r="M181" s="1">
        <v>36896</v>
      </c>
      <c r="N181" s="1">
        <v>38141</v>
      </c>
      <c r="O181" s="1">
        <v>36892</v>
      </c>
      <c r="P181" s="72">
        <v>5.085</v>
      </c>
      <c r="Q181" s="72">
        <f t="shared" si="4"/>
        <v>6.2050000000000001</v>
      </c>
    </row>
    <row r="182" spans="2:17">
      <c r="B182" s="1">
        <v>38148</v>
      </c>
      <c r="C182">
        <v>6.2249999999999996</v>
      </c>
      <c r="M182" s="1">
        <v>36896</v>
      </c>
      <c r="N182" s="1">
        <v>38148</v>
      </c>
      <c r="O182" s="1">
        <v>36892</v>
      </c>
      <c r="P182" s="72">
        <v>5.085</v>
      </c>
      <c r="Q182" s="72">
        <f t="shared" si="4"/>
        <v>6.2249999999999996</v>
      </c>
    </row>
    <row r="183" spans="2:17">
      <c r="B183" s="1">
        <v>38155</v>
      </c>
      <c r="C183">
        <v>6.1950000000000003</v>
      </c>
      <c r="M183" s="1">
        <v>36896</v>
      </c>
      <c r="N183" s="1">
        <v>38155</v>
      </c>
      <c r="O183" s="1">
        <v>36892</v>
      </c>
      <c r="P183" s="72">
        <v>5.085</v>
      </c>
      <c r="Q183" s="72">
        <f t="shared" si="4"/>
        <v>6.1950000000000003</v>
      </c>
    </row>
    <row r="184" spans="2:17">
      <c r="B184" s="1">
        <v>38162</v>
      </c>
      <c r="C184">
        <v>6.15</v>
      </c>
      <c r="M184" s="1">
        <v>36896</v>
      </c>
      <c r="N184" s="1">
        <v>38162</v>
      </c>
      <c r="O184" s="1">
        <v>36892</v>
      </c>
      <c r="P184" s="72">
        <v>5.085</v>
      </c>
      <c r="Q184" s="72">
        <f t="shared" si="4"/>
        <v>6.15</v>
      </c>
    </row>
    <row r="185" spans="2:17">
      <c r="B185" s="1">
        <v>38169</v>
      </c>
      <c r="C185">
        <v>6.11</v>
      </c>
      <c r="M185" s="1">
        <v>36896</v>
      </c>
      <c r="N185" s="1">
        <v>38169</v>
      </c>
      <c r="O185" s="1">
        <v>36892</v>
      </c>
      <c r="P185" s="72">
        <v>5.085</v>
      </c>
      <c r="Q185" s="72">
        <f t="shared" si="4"/>
        <v>6.11</v>
      </c>
    </row>
    <row r="186" spans="2:17">
      <c r="B186" s="1">
        <v>38176</v>
      </c>
      <c r="C186">
        <v>5.91</v>
      </c>
      <c r="M186" s="1">
        <v>36896</v>
      </c>
      <c r="N186" s="1">
        <v>38176</v>
      </c>
      <c r="O186" s="1">
        <v>36892</v>
      </c>
      <c r="P186" s="72">
        <v>5.085</v>
      </c>
      <c r="Q186" s="72">
        <f t="shared" si="4"/>
        <v>5.91</v>
      </c>
    </row>
    <row r="187" spans="2:17">
      <c r="B187" s="1">
        <v>38183</v>
      </c>
      <c r="C187">
        <v>5.9</v>
      </c>
      <c r="M187" s="1">
        <v>36896</v>
      </c>
      <c r="N187" s="1">
        <v>38183</v>
      </c>
      <c r="O187" s="1">
        <v>36892</v>
      </c>
      <c r="P187" s="72">
        <v>5.085</v>
      </c>
      <c r="Q187" s="72">
        <f t="shared" si="4"/>
        <v>5.9</v>
      </c>
    </row>
    <row r="188" spans="2:17">
      <c r="B188" s="1">
        <v>38190</v>
      </c>
      <c r="C188">
        <v>5.88</v>
      </c>
      <c r="M188" s="1">
        <v>36896</v>
      </c>
      <c r="N188" s="1">
        <v>38190</v>
      </c>
      <c r="O188" s="1">
        <v>36892</v>
      </c>
      <c r="P188" s="72">
        <v>5.085</v>
      </c>
      <c r="Q188" s="72">
        <f t="shared" si="4"/>
        <v>5.88</v>
      </c>
    </row>
    <row r="189" spans="2:17">
      <c r="B189" s="1">
        <v>38197</v>
      </c>
      <c r="C189">
        <v>5.98</v>
      </c>
      <c r="M189" s="1">
        <v>36896</v>
      </c>
      <c r="N189" s="1">
        <v>38197</v>
      </c>
      <c r="O189" s="1">
        <v>36892</v>
      </c>
      <c r="P189" s="72">
        <v>5.085</v>
      </c>
      <c r="Q189" s="72">
        <f t="shared" si="4"/>
        <v>5.98</v>
      </c>
    </row>
    <row r="190" spans="2:17">
      <c r="B190" s="1">
        <v>38204</v>
      </c>
      <c r="C190">
        <v>5.915</v>
      </c>
      <c r="M190" s="1">
        <v>36896</v>
      </c>
      <c r="N190" s="1">
        <v>38204</v>
      </c>
      <c r="O190" s="1">
        <v>36892</v>
      </c>
      <c r="P190" s="72">
        <v>5.085</v>
      </c>
      <c r="Q190" s="72">
        <f t="shared" si="4"/>
        <v>5.915</v>
      </c>
    </row>
    <row r="191" spans="2:17">
      <c r="B191" s="1">
        <v>38211</v>
      </c>
      <c r="C191">
        <v>5.75</v>
      </c>
      <c r="M191" s="1">
        <v>36896</v>
      </c>
      <c r="N191" s="1">
        <v>38211</v>
      </c>
      <c r="O191" s="1">
        <v>36892</v>
      </c>
      <c r="P191" s="72">
        <v>5.085</v>
      </c>
      <c r="Q191" s="72">
        <f t="shared" si="4"/>
        <v>5.75</v>
      </c>
    </row>
    <row r="192" spans="2:17">
      <c r="B192" s="1">
        <v>38218</v>
      </c>
      <c r="C192">
        <v>5.7349999999999897</v>
      </c>
      <c r="M192" s="1">
        <v>36896</v>
      </c>
      <c r="N192" s="1">
        <v>38218</v>
      </c>
      <c r="O192" s="1">
        <v>36892</v>
      </c>
      <c r="P192" s="72">
        <v>5.085</v>
      </c>
      <c r="Q192" s="72">
        <f t="shared" si="4"/>
        <v>5.7349999999999897</v>
      </c>
    </row>
    <row r="193" spans="2:17">
      <c r="B193" s="1">
        <v>38225</v>
      </c>
      <c r="C193">
        <v>5.7450000000000001</v>
      </c>
      <c r="M193" s="1">
        <v>36896</v>
      </c>
      <c r="N193" s="1">
        <v>38225</v>
      </c>
      <c r="O193" s="1">
        <v>36892</v>
      </c>
      <c r="P193" s="72">
        <v>5.085</v>
      </c>
      <c r="Q193" s="72">
        <f t="shared" si="4"/>
        <v>5.7450000000000001</v>
      </c>
    </row>
    <row r="194" spans="2:17">
      <c r="B194" s="1">
        <v>38232</v>
      </c>
      <c r="C194">
        <v>5.72</v>
      </c>
      <c r="M194" s="1">
        <v>36896</v>
      </c>
      <c r="N194" s="1">
        <v>38232</v>
      </c>
      <c r="O194" s="1">
        <v>36892</v>
      </c>
      <c r="P194" s="72">
        <v>5.085</v>
      </c>
      <c r="Q194" s="72">
        <f t="shared" si="4"/>
        <v>5.72</v>
      </c>
    </row>
    <row r="195" spans="2:17">
      <c r="B195" s="1">
        <v>38239</v>
      </c>
      <c r="C195">
        <v>5.78</v>
      </c>
      <c r="M195" s="1">
        <v>36896</v>
      </c>
      <c r="N195" s="1">
        <v>38239</v>
      </c>
      <c r="O195" s="1">
        <v>36892</v>
      </c>
      <c r="P195" s="72">
        <v>5.085</v>
      </c>
      <c r="Q195" s="72">
        <f t="shared" si="4"/>
        <v>5.78</v>
      </c>
    </row>
    <row r="196" spans="2:17">
      <c r="B196" s="1">
        <v>38246</v>
      </c>
      <c r="C196">
        <v>5.7</v>
      </c>
      <c r="M196" s="1">
        <v>36896</v>
      </c>
      <c r="N196" s="1">
        <v>38246</v>
      </c>
      <c r="O196" s="1">
        <v>36892</v>
      </c>
      <c r="P196" s="72">
        <v>5.085</v>
      </c>
      <c r="Q196" s="72">
        <f t="shared" ref="Q196:Q259" si="5">VLOOKUP(N196,B:C,2,0)</f>
        <v>5.7</v>
      </c>
    </row>
    <row r="197" spans="2:17">
      <c r="B197" s="1">
        <v>38253</v>
      </c>
      <c r="C197">
        <v>5.625</v>
      </c>
      <c r="M197" s="1">
        <v>36896</v>
      </c>
      <c r="N197" s="1">
        <v>38253</v>
      </c>
      <c r="O197" s="1">
        <v>36892</v>
      </c>
      <c r="P197" s="72">
        <v>5.085</v>
      </c>
      <c r="Q197" s="72">
        <f t="shared" si="5"/>
        <v>5.625</v>
      </c>
    </row>
    <row r="198" spans="2:17">
      <c r="B198" s="1">
        <v>38260</v>
      </c>
      <c r="C198">
        <v>5.62</v>
      </c>
      <c r="M198" s="1">
        <v>36896</v>
      </c>
      <c r="N198" s="1">
        <v>38260</v>
      </c>
      <c r="O198" s="1">
        <v>36892</v>
      </c>
      <c r="P198" s="72">
        <v>5.085</v>
      </c>
      <c r="Q198" s="72">
        <f t="shared" si="5"/>
        <v>5.62</v>
      </c>
    </row>
    <row r="199" spans="2:17">
      <c r="B199" s="1">
        <v>38267</v>
      </c>
      <c r="C199">
        <v>5.72</v>
      </c>
      <c r="M199" s="1">
        <v>36896</v>
      </c>
      <c r="N199" s="1">
        <v>38267</v>
      </c>
      <c r="O199" s="1">
        <v>36892</v>
      </c>
      <c r="P199" s="72">
        <v>5.085</v>
      </c>
      <c r="Q199" s="72">
        <f t="shared" si="5"/>
        <v>5.72</v>
      </c>
    </row>
    <row r="200" spans="2:17">
      <c r="B200" s="1">
        <v>38274</v>
      </c>
      <c r="C200">
        <v>5.64</v>
      </c>
      <c r="M200" s="1">
        <v>36896</v>
      </c>
      <c r="N200" s="1">
        <v>38274</v>
      </c>
      <c r="O200" s="1">
        <v>36892</v>
      </c>
      <c r="P200" s="72">
        <v>5.085</v>
      </c>
      <c r="Q200" s="72">
        <f t="shared" si="5"/>
        <v>5.64</v>
      </c>
    </row>
    <row r="201" spans="2:17">
      <c r="B201" s="1">
        <v>38281</v>
      </c>
      <c r="C201">
        <v>5.6150000000000002</v>
      </c>
      <c r="M201" s="1">
        <v>36896</v>
      </c>
      <c r="N201" s="1">
        <v>38281</v>
      </c>
      <c r="O201" s="1">
        <v>36892</v>
      </c>
      <c r="P201" s="72">
        <v>5.085</v>
      </c>
      <c r="Q201" s="72">
        <f t="shared" si="5"/>
        <v>5.6150000000000002</v>
      </c>
    </row>
    <row r="202" spans="2:17">
      <c r="B202" s="1">
        <v>38288</v>
      </c>
      <c r="C202">
        <v>5.5649999999999897</v>
      </c>
      <c r="M202" s="1">
        <v>36896</v>
      </c>
      <c r="N202" s="1">
        <v>38288</v>
      </c>
      <c r="O202" s="1">
        <v>36892</v>
      </c>
      <c r="P202" s="72">
        <v>5.085</v>
      </c>
      <c r="Q202" s="72">
        <f t="shared" si="5"/>
        <v>5.5649999999999897</v>
      </c>
    </row>
    <row r="203" spans="2:17">
      <c r="B203" s="1">
        <v>38295</v>
      </c>
      <c r="C203">
        <v>5.6</v>
      </c>
      <c r="M203" s="1">
        <v>36896</v>
      </c>
      <c r="N203" s="1">
        <v>38295</v>
      </c>
      <c r="O203" s="1">
        <v>36892</v>
      </c>
      <c r="P203" s="72">
        <v>5.085</v>
      </c>
      <c r="Q203" s="72">
        <f t="shared" si="5"/>
        <v>5.6</v>
      </c>
    </row>
    <row r="204" spans="2:17">
      <c r="B204" s="1">
        <v>38302</v>
      </c>
      <c r="C204">
        <v>5.6849999999999996</v>
      </c>
      <c r="M204" s="1">
        <v>36896</v>
      </c>
      <c r="N204" s="1">
        <v>38302</v>
      </c>
      <c r="O204" s="1">
        <v>36892</v>
      </c>
      <c r="P204" s="72">
        <v>5.085</v>
      </c>
      <c r="Q204" s="72">
        <f t="shared" si="5"/>
        <v>5.6849999999999996</v>
      </c>
    </row>
    <row r="205" spans="2:17">
      <c r="B205" s="1">
        <v>38309</v>
      </c>
      <c r="C205">
        <v>5.64</v>
      </c>
      <c r="M205" s="1">
        <v>36896</v>
      </c>
      <c r="N205" s="1">
        <v>38309</v>
      </c>
      <c r="O205" s="1">
        <v>36892</v>
      </c>
      <c r="P205" s="72">
        <v>5.085</v>
      </c>
      <c r="Q205" s="72">
        <f t="shared" si="5"/>
        <v>5.64</v>
      </c>
    </row>
    <row r="206" spans="2:17">
      <c r="B206" s="1">
        <v>38315</v>
      </c>
      <c r="C206">
        <v>5.62</v>
      </c>
      <c r="M206" s="1">
        <v>36896</v>
      </c>
      <c r="N206" s="1">
        <v>38315</v>
      </c>
      <c r="O206" s="1">
        <v>36892</v>
      </c>
      <c r="P206" s="72">
        <v>5.085</v>
      </c>
      <c r="Q206" s="72">
        <f t="shared" si="5"/>
        <v>5.62</v>
      </c>
    </row>
    <row r="207" spans="2:17">
      <c r="B207" s="1">
        <v>38323</v>
      </c>
      <c r="C207">
        <v>5.71</v>
      </c>
      <c r="M207" s="1">
        <v>36896</v>
      </c>
      <c r="N207" s="1">
        <v>38323</v>
      </c>
      <c r="O207" s="1">
        <v>36892</v>
      </c>
      <c r="P207" s="72">
        <v>5.085</v>
      </c>
      <c r="Q207" s="72">
        <f t="shared" si="5"/>
        <v>5.71</v>
      </c>
    </row>
    <row r="208" spans="2:17">
      <c r="B208" s="1">
        <v>38330</v>
      </c>
      <c r="C208">
        <v>5.6349999999999998</v>
      </c>
      <c r="M208" s="1">
        <v>36896</v>
      </c>
      <c r="N208" s="1">
        <v>38330</v>
      </c>
      <c r="O208" s="1">
        <v>36892</v>
      </c>
      <c r="P208" s="72">
        <v>5.085</v>
      </c>
      <c r="Q208" s="72">
        <f t="shared" si="5"/>
        <v>5.6349999999999998</v>
      </c>
    </row>
    <row r="209" spans="2:17">
      <c r="B209" s="1">
        <v>38337</v>
      </c>
      <c r="C209">
        <v>5.58</v>
      </c>
      <c r="M209" s="1">
        <v>36896</v>
      </c>
      <c r="N209" s="1">
        <v>38337</v>
      </c>
      <c r="O209" s="1">
        <v>36892</v>
      </c>
      <c r="P209" s="72">
        <v>5.085</v>
      </c>
      <c r="Q209" s="72">
        <f t="shared" si="5"/>
        <v>5.58</v>
      </c>
    </row>
    <row r="210" spans="2:17">
      <c r="B210" s="1">
        <v>38343</v>
      </c>
      <c r="C210">
        <v>5.65</v>
      </c>
      <c r="M210" s="1">
        <v>36896</v>
      </c>
      <c r="N210" s="1">
        <v>38343</v>
      </c>
      <c r="O210" s="1">
        <v>36892</v>
      </c>
      <c r="P210" s="72">
        <v>5.085</v>
      </c>
      <c r="Q210" s="72">
        <f t="shared" si="5"/>
        <v>5.65</v>
      </c>
    </row>
    <row r="211" spans="2:17">
      <c r="B211" s="1">
        <v>38350</v>
      </c>
      <c r="C211">
        <v>5.71</v>
      </c>
      <c r="M211" s="1">
        <v>36896</v>
      </c>
      <c r="N211" s="1">
        <v>38350</v>
      </c>
      <c r="O211" s="1">
        <v>36892</v>
      </c>
      <c r="P211" s="72">
        <v>5.085</v>
      </c>
      <c r="Q211" s="72">
        <f t="shared" si="5"/>
        <v>5.71</v>
      </c>
    </row>
    <row r="212" spans="2:17">
      <c r="B212" s="1">
        <v>38358</v>
      </c>
      <c r="C212">
        <v>5.6949999999999896</v>
      </c>
      <c r="M212" s="1">
        <v>36896</v>
      </c>
      <c r="N212" s="1">
        <v>38358</v>
      </c>
      <c r="O212" s="1">
        <v>36892</v>
      </c>
      <c r="P212" s="72">
        <v>5.085</v>
      </c>
      <c r="Q212" s="72">
        <f t="shared" si="5"/>
        <v>5.6949999999999896</v>
      </c>
    </row>
    <row r="213" spans="2:17">
      <c r="B213" s="1">
        <v>38365</v>
      </c>
      <c r="C213">
        <v>5.64</v>
      </c>
      <c r="M213" s="1">
        <v>36896</v>
      </c>
      <c r="N213" s="1">
        <v>38365</v>
      </c>
      <c r="O213" s="1">
        <v>36892</v>
      </c>
      <c r="P213" s="72">
        <v>5.085</v>
      </c>
      <c r="Q213" s="72">
        <f t="shared" si="5"/>
        <v>5.64</v>
      </c>
    </row>
    <row r="214" spans="2:17">
      <c r="B214" s="1">
        <v>38372</v>
      </c>
      <c r="C214">
        <v>5.5949999999999998</v>
      </c>
      <c r="M214" s="1">
        <v>36896</v>
      </c>
      <c r="N214" s="1">
        <v>38372</v>
      </c>
      <c r="O214" s="1">
        <v>36892</v>
      </c>
      <c r="P214" s="72">
        <v>5.085</v>
      </c>
      <c r="Q214" s="72">
        <f t="shared" si="5"/>
        <v>5.5949999999999998</v>
      </c>
    </row>
    <row r="215" spans="2:17">
      <c r="B215" s="1">
        <v>38379</v>
      </c>
      <c r="C215">
        <v>5.56</v>
      </c>
      <c r="M215" s="1">
        <v>36896</v>
      </c>
      <c r="N215" s="1">
        <v>38379</v>
      </c>
      <c r="O215" s="1">
        <v>36892</v>
      </c>
      <c r="P215" s="72">
        <v>5.085</v>
      </c>
      <c r="Q215" s="72">
        <f t="shared" si="5"/>
        <v>5.56</v>
      </c>
    </row>
    <row r="216" spans="2:17">
      <c r="B216" s="1">
        <v>38386</v>
      </c>
      <c r="C216">
        <v>5.5549999999999997</v>
      </c>
      <c r="M216" s="1">
        <v>36896</v>
      </c>
      <c r="N216" s="1">
        <v>38386</v>
      </c>
      <c r="O216" s="1">
        <v>36892</v>
      </c>
      <c r="P216" s="72">
        <v>5.085</v>
      </c>
      <c r="Q216" s="72">
        <f t="shared" si="5"/>
        <v>5.5549999999999997</v>
      </c>
    </row>
    <row r="217" spans="2:17">
      <c r="B217" s="1">
        <v>38393</v>
      </c>
      <c r="C217">
        <v>5.52</v>
      </c>
      <c r="M217" s="1">
        <v>36896</v>
      </c>
      <c r="N217" s="1">
        <v>38393</v>
      </c>
      <c r="O217" s="1">
        <v>36892</v>
      </c>
      <c r="P217" s="72">
        <v>5.085</v>
      </c>
      <c r="Q217" s="72">
        <f t="shared" si="5"/>
        <v>5.52</v>
      </c>
    </row>
    <row r="218" spans="2:17">
      <c r="B218" s="1">
        <v>38400</v>
      </c>
      <c r="C218">
        <v>5.5449999999999999</v>
      </c>
      <c r="M218" s="1">
        <v>36896</v>
      </c>
      <c r="N218" s="1">
        <v>38400</v>
      </c>
      <c r="O218" s="1">
        <v>36892</v>
      </c>
      <c r="P218" s="72">
        <v>5.085</v>
      </c>
      <c r="Q218" s="72">
        <f t="shared" si="5"/>
        <v>5.5449999999999999</v>
      </c>
    </row>
    <row r="219" spans="2:17">
      <c r="B219" s="1">
        <v>38407</v>
      </c>
      <c r="C219">
        <v>5.6150000000000002</v>
      </c>
      <c r="M219" s="1">
        <v>36896</v>
      </c>
      <c r="N219" s="1">
        <v>38407</v>
      </c>
      <c r="O219" s="1">
        <v>36892</v>
      </c>
      <c r="P219" s="72">
        <v>5.085</v>
      </c>
      <c r="Q219" s="72">
        <f t="shared" si="5"/>
        <v>5.6150000000000002</v>
      </c>
    </row>
    <row r="220" spans="2:17">
      <c r="B220" s="1">
        <v>38414</v>
      </c>
      <c r="C220">
        <v>5.7149999999999999</v>
      </c>
      <c r="M220" s="1">
        <v>36896</v>
      </c>
      <c r="N220" s="1">
        <v>38414</v>
      </c>
      <c r="O220" s="1">
        <v>36892</v>
      </c>
      <c r="P220" s="72">
        <v>5.085</v>
      </c>
      <c r="Q220" s="72">
        <f t="shared" si="5"/>
        <v>5.7149999999999999</v>
      </c>
    </row>
    <row r="221" spans="2:17">
      <c r="B221" s="1">
        <v>38421</v>
      </c>
      <c r="C221">
        <v>5.75</v>
      </c>
      <c r="M221" s="1">
        <v>36896</v>
      </c>
      <c r="N221" s="1">
        <v>38421</v>
      </c>
      <c r="O221" s="1">
        <v>36892</v>
      </c>
      <c r="P221" s="72">
        <v>5.085</v>
      </c>
      <c r="Q221" s="72">
        <f t="shared" si="5"/>
        <v>5.75</v>
      </c>
    </row>
    <row r="222" spans="2:17">
      <c r="B222" s="1">
        <v>38428</v>
      </c>
      <c r="C222">
        <v>5.875</v>
      </c>
      <c r="M222" s="1">
        <v>36896</v>
      </c>
      <c r="N222" s="1">
        <v>38428</v>
      </c>
      <c r="O222" s="1">
        <v>36892</v>
      </c>
      <c r="P222" s="72">
        <v>5.085</v>
      </c>
      <c r="Q222" s="72">
        <f t="shared" si="5"/>
        <v>5.875</v>
      </c>
    </row>
    <row r="223" spans="2:17">
      <c r="B223" s="1">
        <v>38435</v>
      </c>
      <c r="C223">
        <v>5.9349999999999996</v>
      </c>
      <c r="M223" s="1">
        <v>36896</v>
      </c>
      <c r="N223" s="1">
        <v>38435</v>
      </c>
      <c r="O223" s="1">
        <v>36892</v>
      </c>
      <c r="P223" s="72">
        <v>5.085</v>
      </c>
      <c r="Q223" s="72">
        <f t="shared" si="5"/>
        <v>5.9349999999999996</v>
      </c>
    </row>
    <row r="224" spans="2:17">
      <c r="B224" s="1">
        <v>38442</v>
      </c>
      <c r="C224">
        <v>5.9649999999999999</v>
      </c>
      <c r="M224" s="1">
        <v>36896</v>
      </c>
      <c r="N224" s="1">
        <v>38442</v>
      </c>
      <c r="O224" s="1">
        <v>36892</v>
      </c>
      <c r="P224" s="72">
        <v>5.085</v>
      </c>
      <c r="Q224" s="72">
        <f t="shared" si="5"/>
        <v>5.9649999999999999</v>
      </c>
    </row>
    <row r="225" spans="2:17">
      <c r="B225" s="1">
        <v>38449</v>
      </c>
      <c r="C225">
        <v>5.8549999999999898</v>
      </c>
      <c r="M225" s="1">
        <v>36896</v>
      </c>
      <c r="N225" s="1">
        <v>38449</v>
      </c>
      <c r="O225" s="1">
        <v>36892</v>
      </c>
      <c r="P225" s="72">
        <v>5.085</v>
      </c>
      <c r="Q225" s="72">
        <f t="shared" si="5"/>
        <v>5.8549999999999898</v>
      </c>
    </row>
    <row r="226" spans="2:17">
      <c r="B226" s="1">
        <v>38456</v>
      </c>
      <c r="C226">
        <v>5.835</v>
      </c>
      <c r="M226" s="1">
        <v>36896</v>
      </c>
      <c r="N226" s="1">
        <v>38456</v>
      </c>
      <c r="O226" s="1">
        <v>36892</v>
      </c>
      <c r="P226" s="72">
        <v>5.085</v>
      </c>
      <c r="Q226" s="72">
        <f t="shared" si="5"/>
        <v>5.835</v>
      </c>
    </row>
    <row r="227" spans="2:17">
      <c r="B227" s="1">
        <v>38463</v>
      </c>
      <c r="C227">
        <v>5.6749999999999998</v>
      </c>
      <c r="M227" s="1">
        <v>36896</v>
      </c>
      <c r="N227" s="1">
        <v>38463</v>
      </c>
      <c r="O227" s="1">
        <v>36892</v>
      </c>
      <c r="P227" s="72">
        <v>5.085</v>
      </c>
      <c r="Q227" s="72">
        <f t="shared" si="5"/>
        <v>5.6749999999999998</v>
      </c>
    </row>
    <row r="228" spans="2:17">
      <c r="B228" s="1">
        <v>38470</v>
      </c>
      <c r="C228">
        <v>5.68</v>
      </c>
      <c r="M228" s="1">
        <v>36896</v>
      </c>
      <c r="N228" s="1">
        <v>38470</v>
      </c>
      <c r="O228" s="1">
        <v>36892</v>
      </c>
      <c r="P228" s="72">
        <v>5.085</v>
      </c>
      <c r="Q228" s="72">
        <f t="shared" si="5"/>
        <v>5.68</v>
      </c>
    </row>
    <row r="229" spans="2:17">
      <c r="B229" s="1">
        <v>38477</v>
      </c>
      <c r="C229">
        <v>5.65</v>
      </c>
      <c r="M229" s="1">
        <v>36896</v>
      </c>
      <c r="N229" s="1">
        <v>38477</v>
      </c>
      <c r="O229" s="1">
        <v>36892</v>
      </c>
      <c r="P229" s="72">
        <v>5.085</v>
      </c>
      <c r="Q229" s="72">
        <f t="shared" si="5"/>
        <v>5.65</v>
      </c>
    </row>
    <row r="230" spans="2:17">
      <c r="B230" s="1">
        <v>38484</v>
      </c>
      <c r="C230">
        <v>5.6449999999999996</v>
      </c>
      <c r="M230" s="1">
        <v>36896</v>
      </c>
      <c r="N230" s="1">
        <v>38484</v>
      </c>
      <c r="O230" s="1">
        <v>36892</v>
      </c>
      <c r="P230" s="72">
        <v>5.085</v>
      </c>
      <c r="Q230" s="72">
        <f t="shared" si="5"/>
        <v>5.6449999999999996</v>
      </c>
    </row>
    <row r="231" spans="2:17">
      <c r="B231" s="1">
        <v>38491</v>
      </c>
      <c r="C231">
        <v>5.6349999999999998</v>
      </c>
      <c r="M231" s="1">
        <v>36896</v>
      </c>
      <c r="N231" s="1">
        <v>38491</v>
      </c>
      <c r="O231" s="1">
        <v>36892</v>
      </c>
      <c r="P231" s="72">
        <v>5.085</v>
      </c>
      <c r="Q231" s="72">
        <f t="shared" si="5"/>
        <v>5.6349999999999998</v>
      </c>
    </row>
    <row r="232" spans="2:17">
      <c r="B232" s="1">
        <v>38498</v>
      </c>
      <c r="C232">
        <v>5.55</v>
      </c>
      <c r="M232" s="1">
        <v>36896</v>
      </c>
      <c r="N232" s="1">
        <v>38498</v>
      </c>
      <c r="O232" s="1">
        <v>36892</v>
      </c>
      <c r="P232" s="72">
        <v>5.085</v>
      </c>
      <c r="Q232" s="72">
        <f t="shared" si="5"/>
        <v>5.55</v>
      </c>
    </row>
    <row r="233" spans="2:17">
      <c r="B233" s="1">
        <v>38505</v>
      </c>
      <c r="C233">
        <v>5.52</v>
      </c>
      <c r="M233" s="1">
        <v>36896</v>
      </c>
      <c r="N233" s="1">
        <v>38505</v>
      </c>
      <c r="O233" s="1">
        <v>36892</v>
      </c>
      <c r="P233" s="72">
        <v>5.085</v>
      </c>
      <c r="Q233" s="72">
        <f t="shared" si="5"/>
        <v>5.52</v>
      </c>
    </row>
    <row r="234" spans="2:17">
      <c r="B234" s="1">
        <v>38512</v>
      </c>
      <c r="C234">
        <v>5.46</v>
      </c>
      <c r="M234" s="1">
        <v>36896</v>
      </c>
      <c r="N234" s="1">
        <v>38512</v>
      </c>
      <c r="O234" s="1">
        <v>36892</v>
      </c>
      <c r="P234" s="72">
        <v>5.085</v>
      </c>
      <c r="Q234" s="72">
        <f t="shared" si="5"/>
        <v>5.46</v>
      </c>
    </row>
    <row r="235" spans="2:17">
      <c r="B235" s="1">
        <v>38519</v>
      </c>
      <c r="C235">
        <v>5.5049999999999999</v>
      </c>
      <c r="M235" s="1">
        <v>36896</v>
      </c>
      <c r="N235" s="1">
        <v>38519</v>
      </c>
      <c r="O235" s="1">
        <v>36892</v>
      </c>
      <c r="P235" s="72">
        <v>5.085</v>
      </c>
      <c r="Q235" s="72">
        <f t="shared" si="5"/>
        <v>5.5049999999999999</v>
      </c>
    </row>
    <row r="236" spans="2:17">
      <c r="B236" s="1">
        <v>38526</v>
      </c>
      <c r="C236">
        <v>5.47</v>
      </c>
      <c r="M236" s="1">
        <v>36896</v>
      </c>
      <c r="N236" s="1">
        <v>38526</v>
      </c>
      <c r="O236" s="1">
        <v>36892</v>
      </c>
      <c r="P236" s="72">
        <v>5.085</v>
      </c>
      <c r="Q236" s="72">
        <f t="shared" si="5"/>
        <v>5.47</v>
      </c>
    </row>
    <row r="237" spans="2:17">
      <c r="B237" s="1">
        <v>38533</v>
      </c>
      <c r="C237">
        <v>5.43</v>
      </c>
      <c r="M237" s="1">
        <v>36896</v>
      </c>
      <c r="N237" s="1">
        <v>38533</v>
      </c>
      <c r="O237" s="1">
        <v>36892</v>
      </c>
      <c r="P237" s="72">
        <v>5.085</v>
      </c>
      <c r="Q237" s="72">
        <f t="shared" si="5"/>
        <v>5.43</v>
      </c>
    </row>
    <row r="238" spans="2:17">
      <c r="B238" s="1">
        <v>38540</v>
      </c>
      <c r="C238">
        <v>5.52</v>
      </c>
      <c r="M238" s="1">
        <v>36896</v>
      </c>
      <c r="N238" s="1">
        <v>38540</v>
      </c>
      <c r="O238" s="1">
        <v>36892</v>
      </c>
      <c r="P238" s="72">
        <v>5.085</v>
      </c>
      <c r="Q238" s="72">
        <f t="shared" si="5"/>
        <v>5.52</v>
      </c>
    </row>
    <row r="239" spans="2:17">
      <c r="B239" s="1">
        <v>38547</v>
      </c>
      <c r="C239">
        <v>5.56</v>
      </c>
      <c r="M239" s="1">
        <v>36896</v>
      </c>
      <c r="N239" s="1">
        <v>38547</v>
      </c>
      <c r="O239" s="1">
        <v>36892</v>
      </c>
      <c r="P239" s="72">
        <v>5.085</v>
      </c>
      <c r="Q239" s="72">
        <f t="shared" si="5"/>
        <v>5.56</v>
      </c>
    </row>
    <row r="240" spans="2:17">
      <c r="B240" s="1">
        <v>38554</v>
      </c>
      <c r="C240">
        <v>5.58</v>
      </c>
      <c r="M240" s="1">
        <v>36896</v>
      </c>
      <c r="N240" s="1">
        <v>38554</v>
      </c>
      <c r="O240" s="1">
        <v>36892</v>
      </c>
      <c r="P240" s="72">
        <v>5.085</v>
      </c>
      <c r="Q240" s="72">
        <f t="shared" si="5"/>
        <v>5.58</v>
      </c>
    </row>
    <row r="241" spans="2:17">
      <c r="B241" s="1">
        <v>38561</v>
      </c>
      <c r="C241">
        <v>5.6449999999999996</v>
      </c>
      <c r="M241" s="1">
        <v>36896</v>
      </c>
      <c r="N241" s="1">
        <v>38561</v>
      </c>
      <c r="O241" s="1">
        <v>36892</v>
      </c>
      <c r="P241" s="72">
        <v>5.085</v>
      </c>
      <c r="Q241" s="72">
        <f t="shared" si="5"/>
        <v>5.6449999999999996</v>
      </c>
    </row>
    <row r="242" spans="2:17">
      <c r="B242" s="1">
        <v>38568</v>
      </c>
      <c r="C242">
        <v>5.72</v>
      </c>
      <c r="M242" s="1">
        <v>36896</v>
      </c>
      <c r="N242" s="1">
        <v>38568</v>
      </c>
      <c r="O242" s="1">
        <v>36892</v>
      </c>
      <c r="P242" s="72">
        <v>5.085</v>
      </c>
      <c r="Q242" s="72">
        <f t="shared" si="5"/>
        <v>5.72</v>
      </c>
    </row>
    <row r="243" spans="2:17">
      <c r="B243" s="1">
        <v>38575</v>
      </c>
      <c r="C243">
        <v>5.7649999999999997</v>
      </c>
      <c r="M243" s="1">
        <v>36896</v>
      </c>
      <c r="N243" s="1">
        <v>38575</v>
      </c>
      <c r="O243" s="1">
        <v>36892</v>
      </c>
      <c r="P243" s="72">
        <v>5.085</v>
      </c>
      <c r="Q243" s="72">
        <f t="shared" si="5"/>
        <v>5.7649999999999997</v>
      </c>
    </row>
    <row r="244" spans="2:17">
      <c r="B244" s="1">
        <v>38582</v>
      </c>
      <c r="C244">
        <v>5.6749999999999998</v>
      </c>
      <c r="M244" s="1">
        <v>36896</v>
      </c>
      <c r="N244" s="1">
        <v>38582</v>
      </c>
      <c r="O244" s="1">
        <v>36892</v>
      </c>
      <c r="P244" s="72">
        <v>5.085</v>
      </c>
      <c r="Q244" s="72">
        <f t="shared" si="5"/>
        <v>5.6749999999999998</v>
      </c>
    </row>
    <row r="245" spans="2:17">
      <c r="B245" s="1">
        <v>38589</v>
      </c>
      <c r="C245">
        <v>5.6449999999999996</v>
      </c>
      <c r="M245" s="1">
        <v>36896</v>
      </c>
      <c r="N245" s="1">
        <v>38589</v>
      </c>
      <c r="O245" s="1">
        <v>36892</v>
      </c>
      <c r="P245" s="72">
        <v>5.085</v>
      </c>
      <c r="Q245" s="72">
        <f t="shared" si="5"/>
        <v>5.6449999999999996</v>
      </c>
    </row>
    <row r="246" spans="2:17">
      <c r="B246" s="1">
        <v>38596</v>
      </c>
      <c r="C246">
        <v>5.61</v>
      </c>
      <c r="M246" s="1">
        <v>36896</v>
      </c>
      <c r="N246" s="1">
        <v>38596</v>
      </c>
      <c r="O246" s="1">
        <v>36892</v>
      </c>
      <c r="P246" s="72">
        <v>5.085</v>
      </c>
      <c r="Q246" s="72">
        <f t="shared" si="5"/>
        <v>5.61</v>
      </c>
    </row>
    <row r="247" spans="2:17">
      <c r="B247" s="1">
        <v>38603</v>
      </c>
      <c r="C247">
        <v>5.61</v>
      </c>
      <c r="M247" s="1">
        <v>36896</v>
      </c>
      <c r="N247" s="1">
        <v>38603</v>
      </c>
      <c r="O247" s="1">
        <v>36892</v>
      </c>
      <c r="P247" s="72">
        <v>5.085</v>
      </c>
      <c r="Q247" s="72">
        <f t="shared" si="5"/>
        <v>5.61</v>
      </c>
    </row>
    <row r="248" spans="2:17">
      <c r="B248" s="1">
        <v>38610</v>
      </c>
      <c r="C248">
        <v>5.64</v>
      </c>
      <c r="M248" s="1">
        <v>36896</v>
      </c>
      <c r="N248" s="1">
        <v>38610</v>
      </c>
      <c r="O248" s="1">
        <v>36892</v>
      </c>
      <c r="P248" s="72">
        <v>5.085</v>
      </c>
      <c r="Q248" s="72">
        <f t="shared" si="5"/>
        <v>5.64</v>
      </c>
    </row>
    <row r="249" spans="2:17">
      <c r="B249" s="1">
        <v>38617</v>
      </c>
      <c r="C249">
        <v>5.7</v>
      </c>
      <c r="M249" s="1">
        <v>36896</v>
      </c>
      <c r="N249" s="1">
        <v>38617</v>
      </c>
      <c r="O249" s="1">
        <v>36892</v>
      </c>
      <c r="P249" s="72">
        <v>5.085</v>
      </c>
      <c r="Q249" s="72">
        <f t="shared" si="5"/>
        <v>5.7</v>
      </c>
    </row>
    <row r="250" spans="2:17">
      <c r="B250" s="1">
        <v>38624</v>
      </c>
      <c r="C250">
        <v>5.7850000000000001</v>
      </c>
      <c r="M250" s="1">
        <v>36896</v>
      </c>
      <c r="N250" s="1">
        <v>38624</v>
      </c>
      <c r="O250" s="1">
        <v>36892</v>
      </c>
      <c r="P250" s="72">
        <v>5.085</v>
      </c>
      <c r="Q250" s="72">
        <f t="shared" si="5"/>
        <v>5.7850000000000001</v>
      </c>
    </row>
    <row r="251" spans="2:17">
      <c r="B251" s="1">
        <v>38631</v>
      </c>
      <c r="C251">
        <v>5.8550000000000004</v>
      </c>
      <c r="M251" s="1">
        <v>36896</v>
      </c>
      <c r="N251" s="1">
        <v>38631</v>
      </c>
      <c r="O251" s="1">
        <v>36892</v>
      </c>
      <c r="P251" s="72">
        <v>5.085</v>
      </c>
      <c r="Q251" s="72">
        <f t="shared" si="5"/>
        <v>5.8550000000000004</v>
      </c>
    </row>
    <row r="252" spans="2:17">
      <c r="B252" s="1">
        <v>38638</v>
      </c>
      <c r="C252">
        <v>5.93</v>
      </c>
      <c r="M252" s="1">
        <v>36896</v>
      </c>
      <c r="N252" s="1">
        <v>38638</v>
      </c>
      <c r="O252" s="1">
        <v>36892</v>
      </c>
      <c r="P252" s="72">
        <v>5.085</v>
      </c>
      <c r="Q252" s="72">
        <f t="shared" si="5"/>
        <v>5.93</v>
      </c>
    </row>
    <row r="253" spans="2:17">
      <c r="B253" s="1">
        <v>38645</v>
      </c>
      <c r="C253">
        <v>5.9749999999999996</v>
      </c>
      <c r="M253" s="1">
        <v>36896</v>
      </c>
      <c r="N253" s="1">
        <v>38645</v>
      </c>
      <c r="O253" s="1">
        <v>36892</v>
      </c>
      <c r="P253" s="72">
        <v>5.085</v>
      </c>
      <c r="Q253" s="72">
        <f t="shared" si="5"/>
        <v>5.9749999999999996</v>
      </c>
    </row>
    <row r="254" spans="2:17">
      <c r="B254" s="1">
        <v>38652</v>
      </c>
      <c r="C254">
        <v>6.0250000000000004</v>
      </c>
      <c r="M254" s="1">
        <v>36896</v>
      </c>
      <c r="N254" s="1">
        <v>38652</v>
      </c>
      <c r="O254" s="1">
        <v>36892</v>
      </c>
      <c r="P254" s="72">
        <v>5.085</v>
      </c>
      <c r="Q254" s="72">
        <f t="shared" si="5"/>
        <v>6.0250000000000004</v>
      </c>
    </row>
    <row r="255" spans="2:17">
      <c r="B255" s="1">
        <v>38659</v>
      </c>
      <c r="C255">
        <v>6.1849999999999996</v>
      </c>
      <c r="M255" s="1">
        <v>36896</v>
      </c>
      <c r="N255" s="1">
        <v>38659</v>
      </c>
      <c r="O255" s="1">
        <v>36892</v>
      </c>
      <c r="P255" s="72">
        <v>5.085</v>
      </c>
      <c r="Q255" s="72">
        <f t="shared" si="5"/>
        <v>6.1849999999999996</v>
      </c>
    </row>
    <row r="256" spans="2:17">
      <c r="B256" s="1">
        <v>38666</v>
      </c>
      <c r="C256">
        <v>6.2350000000000003</v>
      </c>
      <c r="M256" s="1">
        <v>36896</v>
      </c>
      <c r="N256" s="1">
        <v>38666</v>
      </c>
      <c r="O256" s="1">
        <v>36892</v>
      </c>
      <c r="P256" s="72">
        <v>5.085</v>
      </c>
      <c r="Q256" s="72">
        <f t="shared" si="5"/>
        <v>6.2350000000000003</v>
      </c>
    </row>
    <row r="257" spans="2:17">
      <c r="B257" s="1">
        <v>38673</v>
      </c>
      <c r="C257">
        <v>6.27</v>
      </c>
      <c r="M257" s="1">
        <v>36896</v>
      </c>
      <c r="N257" s="1">
        <v>38673</v>
      </c>
      <c r="O257" s="1">
        <v>36892</v>
      </c>
      <c r="P257" s="72">
        <v>5.085</v>
      </c>
      <c r="Q257" s="72">
        <f t="shared" si="5"/>
        <v>6.27</v>
      </c>
    </row>
    <row r="258" spans="2:17">
      <c r="B258" s="1">
        <v>38679</v>
      </c>
      <c r="C258">
        <v>6.18</v>
      </c>
      <c r="M258" s="1">
        <v>36896</v>
      </c>
      <c r="N258" s="1">
        <v>38679</v>
      </c>
      <c r="O258" s="1">
        <v>36892</v>
      </c>
      <c r="P258" s="72">
        <v>5.085</v>
      </c>
      <c r="Q258" s="72">
        <f t="shared" si="5"/>
        <v>6.18</v>
      </c>
    </row>
    <row r="259" spans="2:17">
      <c r="B259" s="1">
        <v>38687</v>
      </c>
      <c r="C259">
        <v>6.1349999999999998</v>
      </c>
      <c r="M259" s="1">
        <v>36896</v>
      </c>
      <c r="N259" s="1">
        <v>38687</v>
      </c>
      <c r="O259" s="1">
        <v>36892</v>
      </c>
      <c r="P259" s="72">
        <v>5.085</v>
      </c>
      <c r="Q259" s="72">
        <f t="shared" si="5"/>
        <v>6.1349999999999998</v>
      </c>
    </row>
    <row r="260" spans="2:17">
      <c r="B260" s="1">
        <v>38694</v>
      </c>
      <c r="C260">
        <v>6.22</v>
      </c>
      <c r="M260" s="1">
        <v>36896</v>
      </c>
      <c r="N260" s="1">
        <v>38694</v>
      </c>
      <c r="O260" s="1">
        <v>36892</v>
      </c>
      <c r="P260" s="72">
        <v>5.085</v>
      </c>
      <c r="Q260" s="72">
        <f t="shared" ref="Q260:Q323" si="6">VLOOKUP(N260,B:C,2,0)</f>
        <v>6.22</v>
      </c>
    </row>
    <row r="261" spans="2:17">
      <c r="B261" s="1">
        <v>38701</v>
      </c>
      <c r="C261">
        <v>6.1749999999999998</v>
      </c>
      <c r="M261" s="1">
        <v>36896</v>
      </c>
      <c r="N261" s="1">
        <v>38701</v>
      </c>
      <c r="O261" s="1">
        <v>36892</v>
      </c>
      <c r="P261" s="72">
        <v>5.085</v>
      </c>
      <c r="Q261" s="72">
        <f t="shared" si="6"/>
        <v>6.1749999999999998</v>
      </c>
    </row>
    <row r="262" spans="2:17">
      <c r="B262" s="1">
        <v>38708</v>
      </c>
      <c r="C262">
        <v>6.16</v>
      </c>
      <c r="M262" s="1">
        <v>36896</v>
      </c>
      <c r="N262" s="1">
        <v>38708</v>
      </c>
      <c r="O262" s="1">
        <v>36892</v>
      </c>
      <c r="P262" s="72">
        <v>5.085</v>
      </c>
      <c r="Q262" s="72">
        <f t="shared" si="6"/>
        <v>6.16</v>
      </c>
    </row>
    <row r="263" spans="2:17">
      <c r="B263" s="1">
        <v>38715</v>
      </c>
      <c r="C263">
        <v>6.0949999999999998</v>
      </c>
      <c r="M263" s="1">
        <v>36896</v>
      </c>
      <c r="N263" s="1">
        <v>38715</v>
      </c>
      <c r="O263" s="1">
        <v>36892</v>
      </c>
      <c r="P263" s="72">
        <v>5.085</v>
      </c>
      <c r="Q263" s="72">
        <f t="shared" si="6"/>
        <v>6.0949999999999998</v>
      </c>
    </row>
    <row r="264" spans="2:17">
      <c r="B264" s="1">
        <v>38722</v>
      </c>
      <c r="C264">
        <v>6.085</v>
      </c>
      <c r="M264" s="1">
        <v>36896</v>
      </c>
      <c r="N264" s="1">
        <v>38722</v>
      </c>
      <c r="O264" s="1">
        <v>36892</v>
      </c>
      <c r="P264" s="72">
        <v>5.085</v>
      </c>
      <c r="Q264" s="72">
        <f t="shared" si="6"/>
        <v>6.085</v>
      </c>
    </row>
    <row r="265" spans="2:17">
      <c r="B265" s="1">
        <v>38729</v>
      </c>
      <c r="C265">
        <v>6.05</v>
      </c>
      <c r="M265" s="1">
        <v>36896</v>
      </c>
      <c r="N265" s="1">
        <v>38729</v>
      </c>
      <c r="O265" s="1">
        <v>36892</v>
      </c>
      <c r="P265" s="72">
        <v>5.085</v>
      </c>
      <c r="Q265" s="72">
        <f t="shared" si="6"/>
        <v>6.05</v>
      </c>
    </row>
    <row r="266" spans="2:17">
      <c r="B266" s="1">
        <v>38736</v>
      </c>
      <c r="C266">
        <v>5.9749999999999996</v>
      </c>
      <c r="M266" s="1">
        <v>36896</v>
      </c>
      <c r="N266" s="1">
        <v>38736</v>
      </c>
      <c r="O266" s="1">
        <v>36892</v>
      </c>
      <c r="P266" s="72">
        <v>5.085</v>
      </c>
      <c r="Q266" s="72">
        <f t="shared" si="6"/>
        <v>5.9749999999999996</v>
      </c>
    </row>
    <row r="267" spans="2:17">
      <c r="B267" s="1">
        <v>38743</v>
      </c>
      <c r="C267">
        <v>5.9950000000000001</v>
      </c>
      <c r="M267" s="1">
        <v>36896</v>
      </c>
      <c r="N267" s="1">
        <v>38743</v>
      </c>
      <c r="O267" s="1">
        <v>36892</v>
      </c>
      <c r="P267" s="72">
        <v>5.085</v>
      </c>
      <c r="Q267" s="72">
        <f t="shared" si="6"/>
        <v>5.9950000000000001</v>
      </c>
    </row>
    <row r="268" spans="2:17">
      <c r="B268" s="1">
        <v>38750</v>
      </c>
      <c r="C268">
        <v>6.1050000000000004</v>
      </c>
      <c r="M268" s="1">
        <v>36896</v>
      </c>
      <c r="N268" s="1">
        <v>38750</v>
      </c>
      <c r="O268" s="1">
        <v>36892</v>
      </c>
      <c r="P268" s="72">
        <v>5.085</v>
      </c>
      <c r="Q268" s="72">
        <f t="shared" si="6"/>
        <v>6.1050000000000004</v>
      </c>
    </row>
    <row r="269" spans="2:17">
      <c r="B269" s="1">
        <v>38757</v>
      </c>
      <c r="C269">
        <v>6.14</v>
      </c>
      <c r="M269" s="1">
        <v>36896</v>
      </c>
      <c r="N269" s="1">
        <v>38757</v>
      </c>
      <c r="O269" s="1">
        <v>36892</v>
      </c>
      <c r="P269" s="72">
        <v>5.085</v>
      </c>
      <c r="Q269" s="72">
        <f t="shared" si="6"/>
        <v>6.14</v>
      </c>
    </row>
    <row r="270" spans="2:17">
      <c r="B270" s="1">
        <v>38764</v>
      </c>
      <c r="C270">
        <v>6.1550000000000002</v>
      </c>
      <c r="M270" s="1">
        <v>36896</v>
      </c>
      <c r="N270" s="1">
        <v>38764</v>
      </c>
      <c r="O270" s="1">
        <v>36892</v>
      </c>
      <c r="P270" s="72">
        <v>5.085</v>
      </c>
      <c r="Q270" s="72">
        <f t="shared" si="6"/>
        <v>6.1550000000000002</v>
      </c>
    </row>
    <row r="271" spans="2:17">
      <c r="B271" s="1">
        <v>38771</v>
      </c>
      <c r="C271">
        <v>6.16</v>
      </c>
      <c r="M271" s="1">
        <v>36896</v>
      </c>
      <c r="N271" s="1">
        <v>38771</v>
      </c>
      <c r="O271" s="1">
        <v>36892</v>
      </c>
      <c r="P271" s="72">
        <v>5.085</v>
      </c>
      <c r="Q271" s="72">
        <f t="shared" si="6"/>
        <v>6.16</v>
      </c>
    </row>
    <row r="272" spans="2:17">
      <c r="B272" s="1">
        <v>38778</v>
      </c>
      <c r="C272">
        <v>6.14</v>
      </c>
      <c r="M272" s="1">
        <v>36896</v>
      </c>
      <c r="N272" s="1">
        <v>38778</v>
      </c>
      <c r="O272" s="1">
        <v>36892</v>
      </c>
      <c r="P272" s="72">
        <v>5.085</v>
      </c>
      <c r="Q272" s="72">
        <f t="shared" si="6"/>
        <v>6.14</v>
      </c>
    </row>
    <row r="273" spans="2:17">
      <c r="B273" s="1">
        <v>38785</v>
      </c>
      <c r="C273">
        <v>6.27</v>
      </c>
      <c r="M273" s="1">
        <v>36896</v>
      </c>
      <c r="N273" s="1">
        <v>38785</v>
      </c>
      <c r="O273" s="1">
        <v>36892</v>
      </c>
      <c r="P273" s="72">
        <v>5.085</v>
      </c>
      <c r="Q273" s="72">
        <f t="shared" si="6"/>
        <v>6.27</v>
      </c>
    </row>
    <row r="274" spans="2:17">
      <c r="B274" s="1">
        <v>38792</v>
      </c>
      <c r="C274">
        <v>6.2649999999999997</v>
      </c>
      <c r="M274" s="1">
        <v>36896</v>
      </c>
      <c r="N274" s="1">
        <v>38792</v>
      </c>
      <c r="O274" s="1">
        <v>36892</v>
      </c>
      <c r="P274" s="72">
        <v>5.085</v>
      </c>
      <c r="Q274" s="72">
        <f t="shared" si="6"/>
        <v>6.2649999999999997</v>
      </c>
    </row>
    <row r="275" spans="2:17">
      <c r="B275" s="1">
        <v>38799</v>
      </c>
      <c r="C275">
        <v>6.22</v>
      </c>
      <c r="M275" s="1">
        <v>36896</v>
      </c>
      <c r="N275" s="1">
        <v>38799</v>
      </c>
      <c r="O275" s="1">
        <v>36892</v>
      </c>
      <c r="P275" s="72">
        <v>5.085</v>
      </c>
      <c r="Q275" s="72">
        <f t="shared" si="6"/>
        <v>6.22</v>
      </c>
    </row>
    <row r="276" spans="2:17">
      <c r="B276" s="1">
        <v>38806</v>
      </c>
      <c r="C276">
        <v>6.2249999999999996</v>
      </c>
      <c r="M276" s="1">
        <v>36896</v>
      </c>
      <c r="N276" s="1">
        <v>38806</v>
      </c>
      <c r="O276" s="1">
        <v>36892</v>
      </c>
      <c r="P276" s="72">
        <v>5.085</v>
      </c>
      <c r="Q276" s="72">
        <f t="shared" si="6"/>
        <v>6.2249999999999996</v>
      </c>
    </row>
    <row r="277" spans="2:17">
      <c r="B277" s="1">
        <v>38813</v>
      </c>
      <c r="C277">
        <v>6.33</v>
      </c>
      <c r="M277" s="1">
        <v>36896</v>
      </c>
      <c r="N277" s="1">
        <v>38813</v>
      </c>
      <c r="O277" s="1">
        <v>36892</v>
      </c>
      <c r="P277" s="72">
        <v>5.085</v>
      </c>
      <c r="Q277" s="72">
        <f t="shared" si="6"/>
        <v>6.33</v>
      </c>
    </row>
    <row r="278" spans="2:17">
      <c r="B278" s="1">
        <v>38820</v>
      </c>
      <c r="C278">
        <v>6.39</v>
      </c>
      <c r="M278" s="1">
        <v>36896</v>
      </c>
      <c r="N278" s="1">
        <v>38820</v>
      </c>
      <c r="O278" s="1">
        <v>36892</v>
      </c>
      <c r="P278" s="72">
        <v>5.085</v>
      </c>
      <c r="Q278" s="72">
        <f t="shared" si="6"/>
        <v>6.39</v>
      </c>
    </row>
    <row r="279" spans="2:17">
      <c r="B279" s="1">
        <v>38827</v>
      </c>
      <c r="C279">
        <v>6.43</v>
      </c>
      <c r="M279" s="1">
        <v>36896</v>
      </c>
      <c r="N279" s="1">
        <v>38827</v>
      </c>
      <c r="O279" s="1">
        <v>36892</v>
      </c>
      <c r="P279" s="72">
        <v>5.085</v>
      </c>
      <c r="Q279" s="72">
        <f t="shared" si="6"/>
        <v>6.43</v>
      </c>
    </row>
    <row r="280" spans="2:17">
      <c r="B280" s="1">
        <v>38834</v>
      </c>
      <c r="C280">
        <v>6.4550000000000001</v>
      </c>
      <c r="M280" s="1">
        <v>36896</v>
      </c>
      <c r="N280" s="1">
        <v>38834</v>
      </c>
      <c r="O280" s="1">
        <v>36892</v>
      </c>
      <c r="P280" s="72">
        <v>5.085</v>
      </c>
      <c r="Q280" s="72">
        <f t="shared" si="6"/>
        <v>6.4550000000000001</v>
      </c>
    </row>
    <row r="281" spans="2:17">
      <c r="B281" s="1">
        <v>38841</v>
      </c>
      <c r="C281">
        <v>6.49</v>
      </c>
      <c r="M281" s="1">
        <v>36896</v>
      </c>
      <c r="N281" s="1">
        <v>38841</v>
      </c>
      <c r="O281" s="1">
        <v>36892</v>
      </c>
      <c r="P281" s="72">
        <v>5.085</v>
      </c>
      <c r="Q281" s="72">
        <f t="shared" si="6"/>
        <v>6.49</v>
      </c>
    </row>
    <row r="282" spans="2:17">
      <c r="B282" s="1">
        <v>38848</v>
      </c>
      <c r="C282">
        <v>6.4550000000000001</v>
      </c>
      <c r="M282" s="1">
        <v>36896</v>
      </c>
      <c r="N282" s="1">
        <v>38848</v>
      </c>
      <c r="O282" s="1">
        <v>36892</v>
      </c>
      <c r="P282" s="72">
        <v>5.085</v>
      </c>
      <c r="Q282" s="72">
        <f t="shared" si="6"/>
        <v>6.4550000000000001</v>
      </c>
    </row>
    <row r="283" spans="2:17">
      <c r="B283" s="1">
        <v>38855</v>
      </c>
      <c r="C283">
        <v>6.4749999999999996</v>
      </c>
      <c r="M283" s="1">
        <v>36896</v>
      </c>
      <c r="N283" s="1">
        <v>38855</v>
      </c>
      <c r="O283" s="1">
        <v>36892</v>
      </c>
      <c r="P283" s="72">
        <v>5.085</v>
      </c>
      <c r="Q283" s="72">
        <f t="shared" si="6"/>
        <v>6.4749999999999996</v>
      </c>
    </row>
    <row r="284" spans="2:17">
      <c r="B284" s="1">
        <v>38862</v>
      </c>
      <c r="C284">
        <v>6.47</v>
      </c>
      <c r="M284" s="1">
        <v>36896</v>
      </c>
      <c r="N284" s="1">
        <v>38862</v>
      </c>
      <c r="O284" s="1">
        <v>36892</v>
      </c>
      <c r="P284" s="72">
        <v>5.085</v>
      </c>
      <c r="Q284" s="72">
        <f t="shared" si="6"/>
        <v>6.47</v>
      </c>
    </row>
    <row r="285" spans="2:17">
      <c r="B285" s="1">
        <v>38869</v>
      </c>
      <c r="C285">
        <v>6.52</v>
      </c>
      <c r="M285" s="1">
        <v>36896</v>
      </c>
      <c r="N285" s="1">
        <v>38869</v>
      </c>
      <c r="O285" s="1">
        <v>36892</v>
      </c>
      <c r="P285" s="72">
        <v>5.085</v>
      </c>
      <c r="Q285" s="72">
        <f t="shared" si="6"/>
        <v>6.52</v>
      </c>
    </row>
    <row r="286" spans="2:17">
      <c r="B286" s="1">
        <v>38876</v>
      </c>
      <c r="C286">
        <v>6.4950000000000001</v>
      </c>
      <c r="M286" s="1">
        <v>36896</v>
      </c>
      <c r="N286" s="1">
        <v>38876</v>
      </c>
      <c r="O286" s="1">
        <v>36892</v>
      </c>
      <c r="P286" s="72">
        <v>5.085</v>
      </c>
      <c r="Q286" s="72">
        <f t="shared" si="6"/>
        <v>6.4950000000000001</v>
      </c>
    </row>
    <row r="287" spans="2:17">
      <c r="B287" s="1">
        <v>38883</v>
      </c>
      <c r="C287">
        <v>6.5049999999999999</v>
      </c>
      <c r="M287" s="1">
        <v>36896</v>
      </c>
      <c r="N287" s="1">
        <v>38883</v>
      </c>
      <c r="O287" s="1">
        <v>36892</v>
      </c>
      <c r="P287" s="72">
        <v>5.085</v>
      </c>
      <c r="Q287" s="72">
        <f t="shared" si="6"/>
        <v>6.5049999999999999</v>
      </c>
    </row>
    <row r="288" spans="2:17">
      <c r="B288" s="1">
        <v>38890</v>
      </c>
      <c r="C288">
        <v>6.585</v>
      </c>
      <c r="M288" s="1">
        <v>36896</v>
      </c>
      <c r="N288" s="1">
        <v>38890</v>
      </c>
      <c r="O288" s="1">
        <v>36892</v>
      </c>
      <c r="P288" s="72">
        <v>5.085</v>
      </c>
      <c r="Q288" s="72">
        <f t="shared" si="6"/>
        <v>6.585</v>
      </c>
    </row>
    <row r="289" spans="2:17">
      <c r="B289" s="1">
        <v>38897</v>
      </c>
      <c r="C289">
        <v>6.6550000000000002</v>
      </c>
      <c r="M289" s="1">
        <v>36896</v>
      </c>
      <c r="N289" s="1">
        <v>38897</v>
      </c>
      <c r="O289" s="1">
        <v>36892</v>
      </c>
      <c r="P289" s="72">
        <v>5.085</v>
      </c>
      <c r="Q289" s="72">
        <f t="shared" si="6"/>
        <v>6.6550000000000002</v>
      </c>
    </row>
    <row r="290" spans="2:17">
      <c r="B290" s="1">
        <v>38904</v>
      </c>
      <c r="C290">
        <v>6.665</v>
      </c>
      <c r="M290" s="1">
        <v>36896</v>
      </c>
      <c r="N290" s="1">
        <v>38904</v>
      </c>
      <c r="O290" s="1">
        <v>36892</v>
      </c>
      <c r="P290" s="72">
        <v>5.085</v>
      </c>
      <c r="Q290" s="72">
        <f t="shared" si="6"/>
        <v>6.665</v>
      </c>
    </row>
    <row r="291" spans="2:17">
      <c r="B291" s="1">
        <v>38911</v>
      </c>
      <c r="C291">
        <v>6.64</v>
      </c>
      <c r="M291" s="1">
        <v>36896</v>
      </c>
      <c r="N291" s="1">
        <v>38911</v>
      </c>
      <c r="O291" s="1">
        <v>36892</v>
      </c>
      <c r="P291" s="72">
        <v>5.085</v>
      </c>
      <c r="Q291" s="72">
        <f t="shared" si="6"/>
        <v>6.64</v>
      </c>
    </row>
    <row r="292" spans="2:17">
      <c r="B292" s="1">
        <v>38918</v>
      </c>
      <c r="C292">
        <v>6.6749999999999998</v>
      </c>
      <c r="M292" s="1">
        <v>36896</v>
      </c>
      <c r="N292" s="1">
        <v>38918</v>
      </c>
      <c r="O292" s="1">
        <v>36892</v>
      </c>
      <c r="P292" s="72">
        <v>5.085</v>
      </c>
      <c r="Q292" s="72">
        <f t="shared" si="6"/>
        <v>6.6749999999999998</v>
      </c>
    </row>
    <row r="293" spans="2:17">
      <c r="B293" s="1">
        <v>38925</v>
      </c>
      <c r="C293">
        <v>6.5449999999999999</v>
      </c>
      <c r="M293" s="1">
        <v>36896</v>
      </c>
      <c r="N293" s="1">
        <v>38925</v>
      </c>
      <c r="O293" s="1">
        <v>36892</v>
      </c>
      <c r="P293" s="72">
        <v>5.085</v>
      </c>
      <c r="Q293" s="72">
        <f t="shared" si="6"/>
        <v>6.5449999999999999</v>
      </c>
    </row>
    <row r="294" spans="2:17">
      <c r="B294" s="1">
        <v>38932</v>
      </c>
      <c r="C294">
        <v>6.4550000000000001</v>
      </c>
      <c r="M294" s="1">
        <v>36896</v>
      </c>
      <c r="N294" s="1">
        <v>38932</v>
      </c>
      <c r="O294" s="1">
        <v>36892</v>
      </c>
      <c r="P294" s="72">
        <v>5.085</v>
      </c>
      <c r="Q294" s="72">
        <f t="shared" si="6"/>
        <v>6.4550000000000001</v>
      </c>
    </row>
    <row r="295" spans="2:17">
      <c r="B295" s="1">
        <v>38939</v>
      </c>
      <c r="C295">
        <v>6.3999999999999897</v>
      </c>
      <c r="M295" s="1">
        <v>36896</v>
      </c>
      <c r="N295" s="1">
        <v>38939</v>
      </c>
      <c r="O295" s="1">
        <v>36892</v>
      </c>
      <c r="P295" s="72">
        <v>5.085</v>
      </c>
      <c r="Q295" s="72">
        <f t="shared" si="6"/>
        <v>6.3999999999999897</v>
      </c>
    </row>
    <row r="296" spans="2:17">
      <c r="B296" s="1">
        <v>38946</v>
      </c>
      <c r="C296">
        <v>6.3449999999999998</v>
      </c>
      <c r="M296" s="1">
        <v>36896</v>
      </c>
      <c r="N296" s="1">
        <v>38946</v>
      </c>
      <c r="O296" s="1">
        <v>36892</v>
      </c>
      <c r="P296" s="72">
        <v>5.085</v>
      </c>
      <c r="Q296" s="72">
        <f t="shared" si="6"/>
        <v>6.3449999999999998</v>
      </c>
    </row>
    <row r="297" spans="2:17">
      <c r="B297" s="1">
        <v>38953</v>
      </c>
      <c r="C297">
        <v>6.33</v>
      </c>
      <c r="M297" s="1">
        <v>36896</v>
      </c>
      <c r="N297" s="1">
        <v>38953</v>
      </c>
      <c r="O297" s="1">
        <v>36892</v>
      </c>
      <c r="P297" s="72">
        <v>5.085</v>
      </c>
      <c r="Q297" s="72">
        <f t="shared" si="6"/>
        <v>6.33</v>
      </c>
    </row>
    <row r="298" spans="2:17">
      <c r="B298" s="1">
        <v>38960</v>
      </c>
      <c r="C298">
        <v>6.29</v>
      </c>
      <c r="M298" s="1">
        <v>36896</v>
      </c>
      <c r="N298" s="1">
        <v>38960</v>
      </c>
      <c r="O298" s="1">
        <v>36892</v>
      </c>
      <c r="P298" s="72">
        <v>5.085</v>
      </c>
      <c r="Q298" s="72">
        <f t="shared" si="6"/>
        <v>6.29</v>
      </c>
    </row>
    <row r="299" spans="2:17">
      <c r="B299" s="1">
        <v>38967</v>
      </c>
      <c r="C299">
        <v>6.3199999999999896</v>
      </c>
      <c r="M299" s="1">
        <v>36896</v>
      </c>
      <c r="N299" s="1">
        <v>38967</v>
      </c>
      <c r="O299" s="1">
        <v>36892</v>
      </c>
      <c r="P299" s="72">
        <v>5.085</v>
      </c>
      <c r="Q299" s="72">
        <f t="shared" si="6"/>
        <v>6.3199999999999896</v>
      </c>
    </row>
    <row r="300" spans="2:17">
      <c r="B300" s="1">
        <v>38974</v>
      </c>
      <c r="C300">
        <v>6.3049999999999997</v>
      </c>
      <c r="M300" s="1">
        <v>36896</v>
      </c>
      <c r="N300" s="1">
        <v>38974</v>
      </c>
      <c r="O300" s="1">
        <v>36892</v>
      </c>
      <c r="P300" s="72">
        <v>5.085</v>
      </c>
      <c r="Q300" s="72">
        <f t="shared" si="6"/>
        <v>6.3049999999999997</v>
      </c>
    </row>
    <row r="301" spans="2:17">
      <c r="B301" s="1">
        <v>38981</v>
      </c>
      <c r="C301">
        <v>6.2750000000000004</v>
      </c>
      <c r="M301" s="1">
        <v>36896</v>
      </c>
      <c r="N301" s="1">
        <v>38981</v>
      </c>
      <c r="O301" s="1">
        <v>36892</v>
      </c>
      <c r="P301" s="72">
        <v>5.085</v>
      </c>
      <c r="Q301" s="72">
        <f t="shared" si="6"/>
        <v>6.2750000000000004</v>
      </c>
    </row>
    <row r="302" spans="2:17">
      <c r="B302" s="1">
        <v>38988</v>
      </c>
      <c r="C302">
        <v>6.1599999999999904</v>
      </c>
      <c r="M302" s="1">
        <v>36896</v>
      </c>
      <c r="N302" s="1">
        <v>38988</v>
      </c>
      <c r="O302" s="1">
        <v>36892</v>
      </c>
      <c r="P302" s="72">
        <v>5.085</v>
      </c>
      <c r="Q302" s="72">
        <f t="shared" si="6"/>
        <v>6.1599999999999904</v>
      </c>
    </row>
    <row r="303" spans="2:17">
      <c r="B303" s="1">
        <v>38995</v>
      </c>
      <c r="C303">
        <v>6.125</v>
      </c>
      <c r="M303" s="1">
        <v>36896</v>
      </c>
      <c r="N303" s="1">
        <v>38995</v>
      </c>
      <c r="O303" s="1">
        <v>36892</v>
      </c>
      <c r="P303" s="72">
        <v>5.085</v>
      </c>
      <c r="Q303" s="72">
        <f t="shared" si="6"/>
        <v>6.125</v>
      </c>
    </row>
    <row r="304" spans="2:17">
      <c r="B304" s="1">
        <v>39002</v>
      </c>
      <c r="C304">
        <v>6.2450000000000001</v>
      </c>
      <c r="M304" s="1">
        <v>36896</v>
      </c>
      <c r="N304" s="1">
        <v>39002</v>
      </c>
      <c r="O304" s="1">
        <v>36892</v>
      </c>
      <c r="P304" s="72">
        <v>5.085</v>
      </c>
      <c r="Q304" s="72">
        <f t="shared" si="6"/>
        <v>6.2450000000000001</v>
      </c>
    </row>
    <row r="305" spans="2:17">
      <c r="B305" s="1">
        <v>39009</v>
      </c>
      <c r="C305">
        <v>6.2350000000000003</v>
      </c>
      <c r="M305" s="1">
        <v>36896</v>
      </c>
      <c r="N305" s="1">
        <v>39009</v>
      </c>
      <c r="O305" s="1">
        <v>36892</v>
      </c>
      <c r="P305" s="72">
        <v>5.085</v>
      </c>
      <c r="Q305" s="72">
        <f t="shared" si="6"/>
        <v>6.2350000000000003</v>
      </c>
    </row>
    <row r="306" spans="2:17">
      <c r="B306" s="1">
        <v>39016</v>
      </c>
      <c r="C306">
        <v>6.25</v>
      </c>
      <c r="M306" s="1">
        <v>36896</v>
      </c>
      <c r="N306" s="1">
        <v>39016</v>
      </c>
      <c r="O306" s="1">
        <v>36892</v>
      </c>
      <c r="P306" s="72">
        <v>5.085</v>
      </c>
      <c r="Q306" s="72">
        <f t="shared" si="6"/>
        <v>6.25</v>
      </c>
    </row>
    <row r="307" spans="2:17">
      <c r="B307" s="1">
        <v>39023</v>
      </c>
      <c r="C307">
        <v>6.1599999999999904</v>
      </c>
      <c r="M307" s="1">
        <v>36896</v>
      </c>
      <c r="N307" s="1">
        <v>39023</v>
      </c>
      <c r="O307" s="1">
        <v>36892</v>
      </c>
      <c r="P307" s="72">
        <v>5.085</v>
      </c>
      <c r="Q307" s="72">
        <f t="shared" si="6"/>
        <v>6.1599999999999904</v>
      </c>
    </row>
    <row r="308" spans="2:17">
      <c r="B308" s="1">
        <v>39030</v>
      </c>
      <c r="C308">
        <v>6.23</v>
      </c>
      <c r="M308" s="1">
        <v>36896</v>
      </c>
      <c r="N308" s="1">
        <v>39030</v>
      </c>
      <c r="O308" s="1">
        <v>36892</v>
      </c>
      <c r="P308" s="72">
        <v>5.085</v>
      </c>
      <c r="Q308" s="72">
        <f t="shared" si="6"/>
        <v>6.23</v>
      </c>
    </row>
    <row r="309" spans="2:17">
      <c r="B309" s="1">
        <v>39037</v>
      </c>
      <c r="C309">
        <v>6.1150000000000002</v>
      </c>
      <c r="M309" s="1">
        <v>36896</v>
      </c>
      <c r="N309" s="1">
        <v>39037</v>
      </c>
      <c r="O309" s="1">
        <v>36892</v>
      </c>
      <c r="P309" s="72">
        <v>5.085</v>
      </c>
      <c r="Q309" s="72">
        <f t="shared" si="6"/>
        <v>6.1150000000000002</v>
      </c>
    </row>
    <row r="310" spans="2:17">
      <c r="B310" s="1">
        <v>39043</v>
      </c>
      <c r="C310">
        <v>6.0549999999999997</v>
      </c>
      <c r="M310" s="1">
        <v>36896</v>
      </c>
      <c r="N310" s="1">
        <v>39043</v>
      </c>
      <c r="O310" s="1">
        <v>36892</v>
      </c>
      <c r="P310" s="72">
        <v>5.085</v>
      </c>
      <c r="Q310" s="72">
        <f t="shared" si="6"/>
        <v>6.0549999999999997</v>
      </c>
    </row>
    <row r="311" spans="2:17">
      <c r="B311" s="1">
        <v>39051</v>
      </c>
      <c r="C311">
        <v>5.9899999999999904</v>
      </c>
      <c r="M311" s="1">
        <v>36896</v>
      </c>
      <c r="N311" s="1">
        <v>39051</v>
      </c>
      <c r="O311" s="1">
        <v>36892</v>
      </c>
      <c r="P311" s="72">
        <v>5.085</v>
      </c>
      <c r="Q311" s="72">
        <f t="shared" si="6"/>
        <v>5.9899999999999904</v>
      </c>
    </row>
    <row r="312" spans="2:17">
      <c r="B312" s="1">
        <v>39058</v>
      </c>
      <c r="C312">
        <v>5.9850000000000003</v>
      </c>
      <c r="M312" s="1">
        <v>36896</v>
      </c>
      <c r="N312" s="1">
        <v>39058</v>
      </c>
      <c r="O312" s="1">
        <v>36892</v>
      </c>
      <c r="P312" s="72">
        <v>5.085</v>
      </c>
      <c r="Q312" s="72">
        <f t="shared" si="6"/>
        <v>5.9850000000000003</v>
      </c>
    </row>
    <row r="313" spans="2:17">
      <c r="B313" s="1">
        <v>39065</v>
      </c>
      <c r="C313">
        <v>5.97</v>
      </c>
      <c r="M313" s="1">
        <v>36896</v>
      </c>
      <c r="N313" s="1">
        <v>39065</v>
      </c>
      <c r="O313" s="1">
        <v>36892</v>
      </c>
      <c r="P313" s="72">
        <v>5.085</v>
      </c>
      <c r="Q313" s="72">
        <f t="shared" si="6"/>
        <v>5.97</v>
      </c>
    </row>
    <row r="314" spans="2:17">
      <c r="B314" s="1">
        <v>39072</v>
      </c>
      <c r="C314">
        <v>5.9799999999999898</v>
      </c>
      <c r="M314" s="1">
        <v>36896</v>
      </c>
      <c r="N314" s="1">
        <v>39072</v>
      </c>
      <c r="O314" s="1">
        <v>36892</v>
      </c>
      <c r="P314" s="72">
        <v>5.085</v>
      </c>
      <c r="Q314" s="72">
        <f t="shared" si="6"/>
        <v>5.9799999999999898</v>
      </c>
    </row>
    <row r="315" spans="2:17">
      <c r="B315" s="1">
        <v>39079</v>
      </c>
      <c r="C315">
        <v>6.0299999999999896</v>
      </c>
      <c r="M315" s="1">
        <v>36896</v>
      </c>
      <c r="N315" s="1">
        <v>39079</v>
      </c>
      <c r="O315" s="1">
        <v>36892</v>
      </c>
      <c r="P315" s="72">
        <v>5.085</v>
      </c>
      <c r="Q315" s="72">
        <f t="shared" si="6"/>
        <v>6.0299999999999896</v>
      </c>
    </row>
    <row r="316" spans="2:17">
      <c r="B316" s="1">
        <v>39086</v>
      </c>
      <c r="C316">
        <v>6.0299999999999896</v>
      </c>
      <c r="M316" s="1">
        <v>36896</v>
      </c>
      <c r="N316" s="1">
        <v>39086</v>
      </c>
      <c r="O316" s="1">
        <v>36892</v>
      </c>
      <c r="P316" s="72">
        <v>5.085</v>
      </c>
      <c r="Q316" s="72">
        <f t="shared" si="6"/>
        <v>6.0299999999999896</v>
      </c>
    </row>
    <row r="317" spans="2:17">
      <c r="B317" s="1">
        <v>39093</v>
      </c>
      <c r="C317">
        <v>6.06</v>
      </c>
      <c r="M317" s="1">
        <v>36896</v>
      </c>
      <c r="N317" s="1">
        <v>39093</v>
      </c>
      <c r="O317" s="1">
        <v>36892</v>
      </c>
      <c r="P317" s="72">
        <v>5.085</v>
      </c>
      <c r="Q317" s="72">
        <f t="shared" si="6"/>
        <v>6.06</v>
      </c>
    </row>
    <row r="318" spans="2:17">
      <c r="B318" s="1">
        <v>39100</v>
      </c>
      <c r="C318">
        <v>6.08</v>
      </c>
      <c r="M318" s="1">
        <v>36896</v>
      </c>
      <c r="N318" s="1">
        <v>39100</v>
      </c>
      <c r="O318" s="1">
        <v>36892</v>
      </c>
      <c r="P318" s="72">
        <v>5.085</v>
      </c>
      <c r="Q318" s="72">
        <f t="shared" si="6"/>
        <v>6.08</v>
      </c>
    </row>
    <row r="319" spans="2:17">
      <c r="B319" s="1">
        <v>39107</v>
      </c>
      <c r="C319">
        <v>6.1</v>
      </c>
      <c r="M319" s="1">
        <v>36896</v>
      </c>
      <c r="N319" s="1">
        <v>39107</v>
      </c>
      <c r="O319" s="1">
        <v>36892</v>
      </c>
      <c r="P319" s="72">
        <v>5.085</v>
      </c>
      <c r="Q319" s="72">
        <f t="shared" si="6"/>
        <v>6.1</v>
      </c>
    </row>
    <row r="320" spans="2:17">
      <c r="B320" s="1">
        <v>39114</v>
      </c>
      <c r="C320">
        <v>6.1899999999999897</v>
      </c>
      <c r="M320" s="1">
        <v>36896</v>
      </c>
      <c r="N320" s="1">
        <v>39114</v>
      </c>
      <c r="O320" s="1">
        <v>36892</v>
      </c>
      <c r="P320" s="72">
        <v>5.085</v>
      </c>
      <c r="Q320" s="72">
        <f t="shared" si="6"/>
        <v>6.1899999999999897</v>
      </c>
    </row>
    <row r="321" spans="2:17">
      <c r="B321" s="1">
        <v>39121</v>
      </c>
      <c r="C321">
        <v>6.1050000000000004</v>
      </c>
      <c r="M321" s="1">
        <v>36896</v>
      </c>
      <c r="N321" s="1">
        <v>39121</v>
      </c>
      <c r="O321" s="1">
        <v>36892</v>
      </c>
      <c r="P321" s="72">
        <v>5.085</v>
      </c>
      <c r="Q321" s="72">
        <f t="shared" si="6"/>
        <v>6.1050000000000004</v>
      </c>
    </row>
    <row r="322" spans="2:17">
      <c r="B322" s="1">
        <v>39128</v>
      </c>
      <c r="C322">
        <v>6.1499999999999897</v>
      </c>
      <c r="M322" s="1">
        <v>36896</v>
      </c>
      <c r="N322" s="1">
        <v>39128</v>
      </c>
      <c r="O322" s="1">
        <v>36892</v>
      </c>
      <c r="P322" s="72">
        <v>5.085</v>
      </c>
      <c r="Q322" s="72">
        <f t="shared" si="6"/>
        <v>6.1499999999999897</v>
      </c>
    </row>
    <row r="323" spans="2:17">
      <c r="B323" s="1">
        <v>39135</v>
      </c>
      <c r="C323">
        <v>6.0949999999999998</v>
      </c>
      <c r="M323" s="1">
        <v>36896</v>
      </c>
      <c r="N323" s="1">
        <v>39135</v>
      </c>
      <c r="O323" s="1">
        <v>36892</v>
      </c>
      <c r="P323" s="72">
        <v>5.085</v>
      </c>
      <c r="Q323" s="72">
        <f t="shared" si="6"/>
        <v>6.0949999999999998</v>
      </c>
    </row>
    <row r="324" spans="2:17">
      <c r="B324" s="1">
        <v>39142</v>
      </c>
      <c r="C324">
        <v>6.0299999999999896</v>
      </c>
      <c r="M324" s="1">
        <v>36896</v>
      </c>
      <c r="N324" s="1">
        <v>39142</v>
      </c>
      <c r="O324" s="1">
        <v>36892</v>
      </c>
      <c r="P324" s="72">
        <v>5.085</v>
      </c>
      <c r="Q324" s="72">
        <f t="shared" ref="Q324:Q387" si="7">VLOOKUP(N324,B:C,2,0)</f>
        <v>6.0299999999999896</v>
      </c>
    </row>
    <row r="325" spans="2:17">
      <c r="B325" s="1">
        <v>39149</v>
      </c>
      <c r="C325">
        <v>6.0149999999999997</v>
      </c>
      <c r="M325" s="1">
        <v>36896</v>
      </c>
      <c r="N325" s="1">
        <v>39149</v>
      </c>
      <c r="O325" s="1">
        <v>36892</v>
      </c>
      <c r="P325" s="72">
        <v>5.085</v>
      </c>
      <c r="Q325" s="72">
        <f t="shared" si="7"/>
        <v>6.0149999999999997</v>
      </c>
    </row>
    <row r="326" spans="2:17">
      <c r="B326" s="1">
        <v>39156</v>
      </c>
      <c r="C326">
        <v>5.9899999999999904</v>
      </c>
      <c r="M326" s="1">
        <v>36896</v>
      </c>
      <c r="N326" s="1">
        <v>39156</v>
      </c>
      <c r="O326" s="1">
        <v>36892</v>
      </c>
      <c r="P326" s="72">
        <v>5.085</v>
      </c>
      <c r="Q326" s="72">
        <f t="shared" si="7"/>
        <v>5.9899999999999904</v>
      </c>
    </row>
    <row r="327" spans="2:17">
      <c r="B327" s="1">
        <v>39163</v>
      </c>
      <c r="C327">
        <v>6.01</v>
      </c>
      <c r="M327" s="1">
        <v>36896</v>
      </c>
      <c r="N327" s="1">
        <v>39163</v>
      </c>
      <c r="O327" s="1">
        <v>36892</v>
      </c>
      <c r="P327" s="72">
        <v>5.085</v>
      </c>
      <c r="Q327" s="72">
        <f t="shared" si="7"/>
        <v>6.01</v>
      </c>
    </row>
    <row r="328" spans="2:17">
      <c r="B328" s="1">
        <v>39170</v>
      </c>
      <c r="C328">
        <v>6.01</v>
      </c>
      <c r="M328" s="1">
        <v>36896</v>
      </c>
      <c r="N328" s="1">
        <v>39170</v>
      </c>
      <c r="O328" s="1">
        <v>36892</v>
      </c>
      <c r="P328" s="72">
        <v>5.085</v>
      </c>
      <c r="Q328" s="72">
        <f t="shared" si="7"/>
        <v>6.01</v>
      </c>
    </row>
    <row r="329" spans="2:17">
      <c r="B329" s="1">
        <v>39177</v>
      </c>
      <c r="C329">
        <v>6.02</v>
      </c>
      <c r="M329" s="1">
        <v>36896</v>
      </c>
      <c r="N329" s="1">
        <v>39177</v>
      </c>
      <c r="O329" s="1">
        <v>36892</v>
      </c>
      <c r="P329" s="72">
        <v>5.085</v>
      </c>
      <c r="Q329" s="72">
        <f t="shared" si="7"/>
        <v>6.02</v>
      </c>
    </row>
    <row r="330" spans="2:17">
      <c r="B330" s="1">
        <v>39184</v>
      </c>
      <c r="C330">
        <v>6.0699999999999896</v>
      </c>
      <c r="M330" s="1">
        <v>36896</v>
      </c>
      <c r="N330" s="1">
        <v>39184</v>
      </c>
      <c r="O330" s="1">
        <v>36892</v>
      </c>
      <c r="P330" s="72">
        <v>5.085</v>
      </c>
      <c r="Q330" s="72">
        <f t="shared" si="7"/>
        <v>6.0699999999999896</v>
      </c>
    </row>
    <row r="331" spans="2:17">
      <c r="B331" s="1">
        <v>39191</v>
      </c>
      <c r="C331">
        <v>6.0449999999999999</v>
      </c>
      <c r="M331" s="1">
        <v>36896</v>
      </c>
      <c r="N331" s="1">
        <v>39191</v>
      </c>
      <c r="O331" s="1">
        <v>36892</v>
      </c>
      <c r="P331" s="72">
        <v>5.085</v>
      </c>
      <c r="Q331" s="72">
        <f t="shared" si="7"/>
        <v>6.0449999999999999</v>
      </c>
    </row>
    <row r="332" spans="2:17">
      <c r="B332" s="1">
        <v>39198</v>
      </c>
      <c r="C332">
        <v>6.0350000000000001</v>
      </c>
      <c r="M332" s="1">
        <v>36896</v>
      </c>
      <c r="N332" s="1">
        <v>39198</v>
      </c>
      <c r="O332" s="1">
        <v>36892</v>
      </c>
      <c r="P332" s="72">
        <v>5.085</v>
      </c>
      <c r="Q332" s="72">
        <f t="shared" si="7"/>
        <v>6.0350000000000001</v>
      </c>
    </row>
    <row r="333" spans="2:17">
      <c r="B333" s="1">
        <v>39205</v>
      </c>
      <c r="C333">
        <v>6.0350000000000001</v>
      </c>
      <c r="M333" s="1">
        <v>36896</v>
      </c>
      <c r="N333" s="1">
        <v>39205</v>
      </c>
      <c r="O333" s="1">
        <v>36892</v>
      </c>
      <c r="P333" s="72">
        <v>5.085</v>
      </c>
      <c r="Q333" s="72">
        <f t="shared" si="7"/>
        <v>6.0350000000000001</v>
      </c>
    </row>
    <row r="334" spans="2:17">
      <c r="B334" s="1">
        <v>39212</v>
      </c>
      <c r="C334">
        <v>6.0250000000000004</v>
      </c>
      <c r="M334" s="1">
        <v>36896</v>
      </c>
      <c r="N334" s="1">
        <v>39212</v>
      </c>
      <c r="O334" s="1">
        <v>36892</v>
      </c>
      <c r="P334" s="72">
        <v>5.085</v>
      </c>
      <c r="Q334" s="72">
        <f t="shared" si="7"/>
        <v>6.0250000000000004</v>
      </c>
    </row>
    <row r="335" spans="2:17">
      <c r="B335" s="1">
        <v>39219</v>
      </c>
      <c r="C335">
        <v>6.06</v>
      </c>
      <c r="M335" s="1">
        <v>36896</v>
      </c>
      <c r="N335" s="1">
        <v>39219</v>
      </c>
      <c r="O335" s="1">
        <v>36892</v>
      </c>
      <c r="P335" s="72">
        <v>5.085</v>
      </c>
      <c r="Q335" s="72">
        <f t="shared" si="7"/>
        <v>6.06</v>
      </c>
    </row>
    <row r="336" spans="2:17">
      <c r="B336" s="1">
        <v>39226</v>
      </c>
      <c r="C336">
        <v>6.22</v>
      </c>
      <c r="M336" s="1">
        <v>36896</v>
      </c>
      <c r="N336" s="1">
        <v>39226</v>
      </c>
      <c r="O336" s="1">
        <v>36892</v>
      </c>
      <c r="P336" s="72">
        <v>5.085</v>
      </c>
      <c r="Q336" s="72">
        <f t="shared" si="7"/>
        <v>6.22</v>
      </c>
    </row>
    <row r="337" spans="2:17">
      <c r="B337" s="1">
        <v>39233</v>
      </c>
      <c r="C337">
        <v>6.27</v>
      </c>
      <c r="M337" s="1">
        <v>36896</v>
      </c>
      <c r="N337" s="1">
        <v>39233</v>
      </c>
      <c r="O337" s="1">
        <v>36892</v>
      </c>
      <c r="P337" s="72">
        <v>5.085</v>
      </c>
      <c r="Q337" s="72">
        <f t="shared" si="7"/>
        <v>6.27</v>
      </c>
    </row>
    <row r="338" spans="2:17">
      <c r="B338" s="1">
        <v>39240</v>
      </c>
      <c r="C338">
        <v>6.38</v>
      </c>
      <c r="M338" s="1">
        <v>36896</v>
      </c>
      <c r="N338" s="1">
        <v>39240</v>
      </c>
      <c r="O338" s="1">
        <v>36892</v>
      </c>
      <c r="P338" s="72">
        <v>5.085</v>
      </c>
      <c r="Q338" s="72">
        <f t="shared" si="7"/>
        <v>6.38</v>
      </c>
    </row>
    <row r="339" spans="2:17">
      <c r="B339" s="1">
        <v>39247</v>
      </c>
      <c r="C339">
        <v>6.59</v>
      </c>
      <c r="M339" s="1">
        <v>36896</v>
      </c>
      <c r="N339" s="1">
        <v>39247</v>
      </c>
      <c r="O339" s="1">
        <v>36892</v>
      </c>
      <c r="P339" s="72">
        <v>5.085</v>
      </c>
      <c r="Q339" s="72">
        <f t="shared" si="7"/>
        <v>6.59</v>
      </c>
    </row>
    <row r="340" spans="2:17">
      <c r="B340" s="1">
        <v>39254</v>
      </c>
      <c r="C340">
        <v>6.5650000000000004</v>
      </c>
      <c r="M340" s="1">
        <v>36896</v>
      </c>
      <c r="N340" s="1">
        <v>39254</v>
      </c>
      <c r="O340" s="1">
        <v>36892</v>
      </c>
      <c r="P340" s="72">
        <v>5.085</v>
      </c>
      <c r="Q340" s="72">
        <f t="shared" si="7"/>
        <v>6.5650000000000004</v>
      </c>
    </row>
    <row r="341" spans="2:17">
      <c r="B341" s="1">
        <v>39261</v>
      </c>
      <c r="C341">
        <v>6.52</v>
      </c>
      <c r="M341" s="1">
        <v>36896</v>
      </c>
      <c r="N341" s="1">
        <v>39261</v>
      </c>
      <c r="O341" s="1">
        <v>36892</v>
      </c>
      <c r="P341" s="72">
        <v>5.085</v>
      </c>
      <c r="Q341" s="72">
        <f t="shared" si="7"/>
        <v>6.52</v>
      </c>
    </row>
    <row r="342" spans="2:17">
      <c r="B342" s="1">
        <v>39268</v>
      </c>
      <c r="C342">
        <v>6.4799999999999898</v>
      </c>
      <c r="M342" s="1">
        <v>36896</v>
      </c>
      <c r="N342" s="1">
        <v>39268</v>
      </c>
      <c r="O342" s="1">
        <v>36892</v>
      </c>
      <c r="P342" s="72">
        <v>5.085</v>
      </c>
      <c r="Q342" s="72">
        <f t="shared" si="7"/>
        <v>6.4799999999999898</v>
      </c>
    </row>
    <row r="343" spans="2:17">
      <c r="B343" s="1">
        <v>39275</v>
      </c>
      <c r="C343">
        <v>6.58</v>
      </c>
      <c r="M343" s="1">
        <v>36896</v>
      </c>
      <c r="N343" s="1">
        <v>39275</v>
      </c>
      <c r="O343" s="1">
        <v>36892</v>
      </c>
      <c r="P343" s="72">
        <v>5.085</v>
      </c>
      <c r="Q343" s="72">
        <f t="shared" si="7"/>
        <v>6.58</v>
      </c>
    </row>
    <row r="344" spans="2:17">
      <c r="B344" s="1">
        <v>39282</v>
      </c>
      <c r="C344">
        <v>6.58</v>
      </c>
      <c r="M344" s="1">
        <v>36896</v>
      </c>
      <c r="N344" s="1">
        <v>39282</v>
      </c>
      <c r="O344" s="1">
        <v>36892</v>
      </c>
      <c r="P344" s="72">
        <v>5.085</v>
      </c>
      <c r="Q344" s="72">
        <f t="shared" si="7"/>
        <v>6.58</v>
      </c>
    </row>
    <row r="345" spans="2:17">
      <c r="B345" s="1">
        <v>39289</v>
      </c>
      <c r="C345">
        <v>6.54</v>
      </c>
      <c r="M345" s="1">
        <v>36896</v>
      </c>
      <c r="N345" s="1">
        <v>39289</v>
      </c>
      <c r="O345" s="1">
        <v>36892</v>
      </c>
      <c r="P345" s="72">
        <v>5.085</v>
      </c>
      <c r="Q345" s="72">
        <f t="shared" si="7"/>
        <v>6.54</v>
      </c>
    </row>
    <row r="346" spans="2:17">
      <c r="B346" s="1">
        <v>39296</v>
      </c>
      <c r="C346">
        <v>6.5049999999999999</v>
      </c>
      <c r="M346" s="1">
        <v>36896</v>
      </c>
      <c r="N346" s="1">
        <v>39296</v>
      </c>
      <c r="O346" s="1">
        <v>36892</v>
      </c>
      <c r="P346" s="72">
        <v>5.085</v>
      </c>
      <c r="Q346" s="72">
        <f t="shared" si="7"/>
        <v>6.5049999999999999</v>
      </c>
    </row>
    <row r="347" spans="2:17">
      <c r="B347" s="1">
        <v>39303</v>
      </c>
      <c r="C347">
        <v>6.4399999999999897</v>
      </c>
      <c r="M347" s="1">
        <v>36896</v>
      </c>
      <c r="N347" s="1">
        <v>39303</v>
      </c>
      <c r="O347" s="1">
        <v>36892</v>
      </c>
      <c r="P347" s="72">
        <v>5.085</v>
      </c>
      <c r="Q347" s="72">
        <f t="shared" si="7"/>
        <v>6.4399999999999897</v>
      </c>
    </row>
    <row r="348" spans="2:17">
      <c r="B348" s="1">
        <v>39310</v>
      </c>
      <c r="C348">
        <v>6.47</v>
      </c>
      <c r="M348" s="1">
        <v>36896</v>
      </c>
      <c r="N348" s="1">
        <v>39310</v>
      </c>
      <c r="O348" s="1">
        <v>36892</v>
      </c>
      <c r="P348" s="72">
        <v>5.085</v>
      </c>
      <c r="Q348" s="72">
        <f t="shared" si="7"/>
        <v>6.47</v>
      </c>
    </row>
    <row r="349" spans="2:17">
      <c r="B349" s="1">
        <v>39317</v>
      </c>
      <c r="C349">
        <v>6.3699999999999903</v>
      </c>
      <c r="M349" s="1">
        <v>36896</v>
      </c>
      <c r="N349" s="1">
        <v>39317</v>
      </c>
      <c r="O349" s="1">
        <v>36892</v>
      </c>
      <c r="P349" s="72">
        <v>5.085</v>
      </c>
      <c r="Q349" s="72">
        <f t="shared" si="7"/>
        <v>6.3699999999999903</v>
      </c>
    </row>
    <row r="350" spans="2:17">
      <c r="B350" s="1">
        <v>39324</v>
      </c>
      <c r="C350">
        <v>6.3250000000000002</v>
      </c>
      <c r="M350" s="1">
        <v>36896</v>
      </c>
      <c r="N350" s="1">
        <v>39324</v>
      </c>
      <c r="O350" s="1">
        <v>36892</v>
      </c>
      <c r="P350" s="72">
        <v>5.085</v>
      </c>
      <c r="Q350" s="72">
        <f t="shared" si="7"/>
        <v>6.3250000000000002</v>
      </c>
    </row>
    <row r="351" spans="2:17">
      <c r="B351" s="1">
        <v>39331</v>
      </c>
      <c r="C351">
        <v>6.335</v>
      </c>
      <c r="M351" s="1">
        <v>36896</v>
      </c>
      <c r="N351" s="1">
        <v>39331</v>
      </c>
      <c r="O351" s="1">
        <v>36892</v>
      </c>
      <c r="P351" s="72">
        <v>5.085</v>
      </c>
      <c r="Q351" s="72">
        <f t="shared" si="7"/>
        <v>6.335</v>
      </c>
    </row>
    <row r="352" spans="2:17">
      <c r="B352" s="1">
        <v>39338</v>
      </c>
      <c r="C352">
        <v>6.1849999999999996</v>
      </c>
      <c r="M352" s="1">
        <v>36896</v>
      </c>
      <c r="N352" s="1">
        <v>39338</v>
      </c>
      <c r="O352" s="1">
        <v>36892</v>
      </c>
      <c r="P352" s="72">
        <v>5.085</v>
      </c>
      <c r="Q352" s="72">
        <f t="shared" si="7"/>
        <v>6.1849999999999996</v>
      </c>
    </row>
    <row r="353" spans="2:17">
      <c r="B353" s="1">
        <v>39345</v>
      </c>
      <c r="C353">
        <v>6.2149999999999999</v>
      </c>
      <c r="M353" s="1">
        <v>36896</v>
      </c>
      <c r="N353" s="1">
        <v>39345</v>
      </c>
      <c r="O353" s="1">
        <v>36892</v>
      </c>
      <c r="P353" s="72">
        <v>5.085</v>
      </c>
      <c r="Q353" s="72">
        <f t="shared" si="7"/>
        <v>6.2149999999999999</v>
      </c>
    </row>
    <row r="354" spans="2:17">
      <c r="B354" s="1">
        <v>39352</v>
      </c>
      <c r="C354">
        <v>6.2949999999999999</v>
      </c>
      <c r="M354" s="1">
        <v>36896</v>
      </c>
      <c r="N354" s="1">
        <v>39352</v>
      </c>
      <c r="O354" s="1">
        <v>36892</v>
      </c>
      <c r="P354" s="72">
        <v>5.085</v>
      </c>
      <c r="Q354" s="72">
        <f t="shared" si="7"/>
        <v>6.2949999999999999</v>
      </c>
    </row>
    <row r="355" spans="2:17">
      <c r="B355" s="1">
        <v>39359</v>
      </c>
      <c r="C355">
        <v>6.2450000000000001</v>
      </c>
      <c r="M355" s="1">
        <v>36896</v>
      </c>
      <c r="N355" s="1">
        <v>39359</v>
      </c>
      <c r="O355" s="1">
        <v>36892</v>
      </c>
      <c r="P355" s="72">
        <v>5.085</v>
      </c>
      <c r="Q355" s="72">
        <f t="shared" si="7"/>
        <v>6.2450000000000001</v>
      </c>
    </row>
    <row r="356" spans="2:17">
      <c r="B356" s="1">
        <v>39366</v>
      </c>
      <c r="C356">
        <v>6.25</v>
      </c>
      <c r="M356" s="1">
        <v>36896</v>
      </c>
      <c r="N356" s="1">
        <v>39366</v>
      </c>
      <c r="O356" s="1">
        <v>36892</v>
      </c>
      <c r="P356" s="72">
        <v>5.085</v>
      </c>
      <c r="Q356" s="72">
        <f t="shared" si="7"/>
        <v>6.25</v>
      </c>
    </row>
    <row r="357" spans="2:17">
      <c r="B357" s="1">
        <v>39373</v>
      </c>
      <c r="C357">
        <v>6.2750000000000004</v>
      </c>
      <c r="M357" s="1">
        <v>36896</v>
      </c>
      <c r="N357" s="1">
        <v>39373</v>
      </c>
      <c r="O357" s="1">
        <v>36892</v>
      </c>
      <c r="P357" s="72">
        <v>5.085</v>
      </c>
      <c r="Q357" s="72">
        <f t="shared" si="7"/>
        <v>6.2750000000000004</v>
      </c>
    </row>
    <row r="358" spans="2:17">
      <c r="B358" s="1">
        <v>39380</v>
      </c>
      <c r="C358">
        <v>6.2050000000000001</v>
      </c>
      <c r="M358" s="1">
        <v>36896</v>
      </c>
      <c r="N358" s="1">
        <v>39380</v>
      </c>
      <c r="O358" s="1">
        <v>36892</v>
      </c>
      <c r="P358" s="72">
        <v>5.085</v>
      </c>
      <c r="Q358" s="72">
        <f t="shared" si="7"/>
        <v>6.2050000000000001</v>
      </c>
    </row>
    <row r="359" spans="2:17">
      <c r="B359" s="1">
        <v>39387</v>
      </c>
      <c r="C359">
        <v>6.1099999999999897</v>
      </c>
      <c r="M359" s="1">
        <v>36896</v>
      </c>
      <c r="N359" s="1">
        <v>39387</v>
      </c>
      <c r="O359" s="1">
        <v>36892</v>
      </c>
      <c r="P359" s="72">
        <v>5.085</v>
      </c>
      <c r="Q359" s="72">
        <f t="shared" si="7"/>
        <v>6.1099999999999897</v>
      </c>
    </row>
    <row r="360" spans="2:17">
      <c r="B360" s="1">
        <v>39394</v>
      </c>
      <c r="C360">
        <v>6.09</v>
      </c>
      <c r="M360" s="1">
        <v>36896</v>
      </c>
      <c r="N360" s="1">
        <v>39394</v>
      </c>
      <c r="O360" s="1">
        <v>36892</v>
      </c>
      <c r="P360" s="72">
        <v>5.085</v>
      </c>
      <c r="Q360" s="72">
        <f t="shared" si="7"/>
        <v>6.09</v>
      </c>
    </row>
    <row r="361" spans="2:17">
      <c r="B361" s="1">
        <v>39401</v>
      </c>
      <c r="C361">
        <v>6.09</v>
      </c>
      <c r="M361" s="1">
        <v>36896</v>
      </c>
      <c r="N361" s="1">
        <v>39401</v>
      </c>
      <c r="O361" s="1">
        <v>36892</v>
      </c>
      <c r="P361" s="72">
        <v>5.085</v>
      </c>
      <c r="Q361" s="72">
        <f t="shared" si="7"/>
        <v>6.09</v>
      </c>
    </row>
    <row r="362" spans="2:17">
      <c r="B362" s="1">
        <v>39407</v>
      </c>
      <c r="C362">
        <v>6.0750000000000002</v>
      </c>
      <c r="M362" s="1">
        <v>36896</v>
      </c>
      <c r="N362" s="1">
        <v>39407</v>
      </c>
      <c r="O362" s="1">
        <v>36892</v>
      </c>
      <c r="P362" s="72">
        <v>5.085</v>
      </c>
      <c r="Q362" s="72">
        <f t="shared" si="7"/>
        <v>6.0750000000000002</v>
      </c>
    </row>
    <row r="363" spans="2:17">
      <c r="B363" s="1">
        <v>39415</v>
      </c>
      <c r="C363">
        <v>5.9749999999999996</v>
      </c>
      <c r="M363" s="1">
        <v>36896</v>
      </c>
      <c r="N363" s="1">
        <v>39415</v>
      </c>
      <c r="O363" s="1">
        <v>36892</v>
      </c>
      <c r="P363" s="72">
        <v>5.085</v>
      </c>
      <c r="Q363" s="72">
        <f t="shared" si="7"/>
        <v>5.9749999999999996</v>
      </c>
    </row>
    <row r="364" spans="2:17">
      <c r="B364" s="1">
        <v>39422</v>
      </c>
      <c r="C364">
        <v>5.81</v>
      </c>
      <c r="M364" s="1">
        <v>36896</v>
      </c>
      <c r="N364" s="1">
        <v>39422</v>
      </c>
      <c r="O364" s="1">
        <v>36892</v>
      </c>
      <c r="P364" s="72">
        <v>5.085</v>
      </c>
      <c r="Q364" s="72">
        <f t="shared" si="7"/>
        <v>5.81</v>
      </c>
    </row>
    <row r="365" spans="2:17">
      <c r="B365" s="1">
        <v>39429</v>
      </c>
      <c r="C365">
        <v>5.9850000000000003</v>
      </c>
      <c r="M365" s="1">
        <v>36896</v>
      </c>
      <c r="N365" s="1">
        <v>39429</v>
      </c>
      <c r="O365" s="1">
        <v>36892</v>
      </c>
      <c r="P365" s="72">
        <v>5.085</v>
      </c>
      <c r="Q365" s="72">
        <f t="shared" si="7"/>
        <v>5.9850000000000003</v>
      </c>
    </row>
    <row r="366" spans="2:17">
      <c r="B366" s="1">
        <v>39436</v>
      </c>
      <c r="C366">
        <v>5.9899999999999904</v>
      </c>
      <c r="M366" s="1">
        <v>36896</v>
      </c>
      <c r="N366" s="1">
        <v>39436</v>
      </c>
      <c r="O366" s="1">
        <v>36892</v>
      </c>
      <c r="P366" s="72">
        <v>5.085</v>
      </c>
      <c r="Q366" s="72">
        <f t="shared" si="7"/>
        <v>5.9899999999999904</v>
      </c>
    </row>
    <row r="367" spans="2:17">
      <c r="B367" s="1">
        <v>39443</v>
      </c>
      <c r="C367">
        <v>6.0449999999999999</v>
      </c>
      <c r="M367" s="1">
        <v>36896</v>
      </c>
      <c r="N367" s="1">
        <v>39443</v>
      </c>
      <c r="O367" s="1">
        <v>36892</v>
      </c>
      <c r="P367" s="72">
        <v>5.085</v>
      </c>
      <c r="Q367" s="72">
        <f t="shared" si="7"/>
        <v>6.0449999999999999</v>
      </c>
    </row>
    <row r="368" spans="2:17">
      <c r="B368" s="1">
        <v>39450</v>
      </c>
      <c r="C368">
        <v>5.9450000000000003</v>
      </c>
      <c r="M368" s="1">
        <v>36896</v>
      </c>
      <c r="N368" s="1">
        <v>39450</v>
      </c>
      <c r="O368" s="1">
        <v>36892</v>
      </c>
      <c r="P368" s="72">
        <v>5.085</v>
      </c>
      <c r="Q368" s="72">
        <f t="shared" si="7"/>
        <v>5.9450000000000003</v>
      </c>
    </row>
    <row r="369" spans="2:17">
      <c r="B369" s="1">
        <v>39457</v>
      </c>
      <c r="C369">
        <v>5.72</v>
      </c>
      <c r="M369" s="1">
        <v>36896</v>
      </c>
      <c r="N369" s="1">
        <v>39457</v>
      </c>
      <c r="O369" s="1">
        <v>36892</v>
      </c>
      <c r="P369" s="72">
        <v>5.085</v>
      </c>
      <c r="Q369" s="72">
        <f t="shared" si="7"/>
        <v>5.72</v>
      </c>
    </row>
    <row r="370" spans="2:17">
      <c r="B370" s="1">
        <v>39464</v>
      </c>
      <c r="C370">
        <v>5.5650000000000004</v>
      </c>
      <c r="M370" s="1">
        <v>36896</v>
      </c>
      <c r="N370" s="1">
        <v>39464</v>
      </c>
      <c r="O370" s="1">
        <v>36892</v>
      </c>
      <c r="P370" s="72">
        <v>5.085</v>
      </c>
      <c r="Q370" s="72">
        <f t="shared" si="7"/>
        <v>5.5650000000000004</v>
      </c>
    </row>
    <row r="371" spans="2:17">
      <c r="B371" s="1">
        <v>39471</v>
      </c>
      <c r="C371">
        <v>5.33</v>
      </c>
      <c r="M371" s="1">
        <v>36896</v>
      </c>
      <c r="N371" s="1">
        <v>39471</v>
      </c>
      <c r="O371" s="1">
        <v>36892</v>
      </c>
      <c r="P371" s="72">
        <v>5.085</v>
      </c>
      <c r="Q371" s="72">
        <f t="shared" si="7"/>
        <v>5.33</v>
      </c>
    </row>
    <row r="372" spans="2:17">
      <c r="B372" s="1">
        <v>39478</v>
      </c>
      <c r="C372">
        <v>5.5299999999999896</v>
      </c>
      <c r="M372" s="1">
        <v>36896</v>
      </c>
      <c r="N372" s="1">
        <v>39478</v>
      </c>
      <c r="O372" s="1">
        <v>36892</v>
      </c>
      <c r="P372" s="72">
        <v>5.085</v>
      </c>
      <c r="Q372" s="72">
        <f t="shared" si="7"/>
        <v>5.5299999999999896</v>
      </c>
    </row>
    <row r="373" spans="2:17">
      <c r="B373" s="1">
        <v>39485</v>
      </c>
      <c r="C373">
        <v>5.52</v>
      </c>
      <c r="M373" s="1">
        <v>36896</v>
      </c>
      <c r="N373" s="1">
        <v>39485</v>
      </c>
      <c r="O373" s="1">
        <v>36892</v>
      </c>
      <c r="P373" s="72">
        <v>5.085</v>
      </c>
      <c r="Q373" s="72">
        <f t="shared" si="7"/>
        <v>5.52</v>
      </c>
    </row>
    <row r="374" spans="2:17">
      <c r="B374" s="1">
        <v>39492</v>
      </c>
      <c r="C374">
        <v>5.5699999999999896</v>
      </c>
      <c r="M374" s="1">
        <v>36896</v>
      </c>
      <c r="N374" s="1">
        <v>39492</v>
      </c>
      <c r="O374" s="1">
        <v>36892</v>
      </c>
      <c r="P374" s="72">
        <v>5.085</v>
      </c>
      <c r="Q374" s="72">
        <f t="shared" si="7"/>
        <v>5.5699999999999896</v>
      </c>
    </row>
    <row r="375" spans="2:17">
      <c r="B375" s="1">
        <v>39499</v>
      </c>
      <c r="C375">
        <v>5.94</v>
      </c>
      <c r="M375" s="1">
        <v>36896</v>
      </c>
      <c r="N375" s="1">
        <v>39499</v>
      </c>
      <c r="O375" s="1">
        <v>36892</v>
      </c>
      <c r="P375" s="72">
        <v>5.085</v>
      </c>
      <c r="Q375" s="72">
        <f t="shared" si="7"/>
        <v>5.94</v>
      </c>
    </row>
    <row r="376" spans="2:17">
      <c r="B376" s="1">
        <v>39506</v>
      </c>
      <c r="C376">
        <v>6.1150000000000002</v>
      </c>
      <c r="M376" s="1">
        <v>36896</v>
      </c>
      <c r="N376" s="1">
        <v>39506</v>
      </c>
      <c r="O376" s="1">
        <v>36892</v>
      </c>
      <c r="P376" s="72">
        <v>5.085</v>
      </c>
      <c r="Q376" s="72">
        <f t="shared" si="7"/>
        <v>6.1150000000000002</v>
      </c>
    </row>
    <row r="377" spans="2:17">
      <c r="B377" s="1">
        <v>39513</v>
      </c>
      <c r="C377">
        <v>5.9050000000000002</v>
      </c>
      <c r="M377" s="1">
        <v>36896</v>
      </c>
      <c r="N377" s="1">
        <v>39513</v>
      </c>
      <c r="O377" s="1">
        <v>36892</v>
      </c>
      <c r="P377" s="72">
        <v>5.085</v>
      </c>
      <c r="Q377" s="72">
        <f t="shared" si="7"/>
        <v>5.9050000000000002</v>
      </c>
    </row>
    <row r="378" spans="2:17">
      <c r="B378" s="1">
        <v>39520</v>
      </c>
      <c r="C378">
        <v>6.0049999999999999</v>
      </c>
      <c r="M378" s="1">
        <v>36896</v>
      </c>
      <c r="N378" s="1">
        <v>39520</v>
      </c>
      <c r="O378" s="1">
        <v>36892</v>
      </c>
      <c r="P378" s="72">
        <v>5.085</v>
      </c>
      <c r="Q378" s="72">
        <f t="shared" si="7"/>
        <v>6.0049999999999999</v>
      </c>
    </row>
    <row r="379" spans="2:17">
      <c r="B379" s="1">
        <v>39527</v>
      </c>
      <c r="C379">
        <v>5.7450000000000001</v>
      </c>
      <c r="M379" s="1">
        <v>36896</v>
      </c>
      <c r="N379" s="1">
        <v>39527</v>
      </c>
      <c r="O379" s="1">
        <v>36892</v>
      </c>
      <c r="P379" s="72">
        <v>5.085</v>
      </c>
      <c r="Q379" s="72">
        <f t="shared" si="7"/>
        <v>5.7450000000000001</v>
      </c>
    </row>
    <row r="380" spans="2:17">
      <c r="B380" s="1">
        <v>39534</v>
      </c>
      <c r="C380">
        <v>5.6999999999999904</v>
      </c>
      <c r="M380" s="1">
        <v>36896</v>
      </c>
      <c r="N380" s="1">
        <v>39534</v>
      </c>
      <c r="O380" s="1">
        <v>36892</v>
      </c>
      <c r="P380" s="72">
        <v>5.085</v>
      </c>
      <c r="Q380" s="72">
        <f t="shared" si="7"/>
        <v>5.6999999999999904</v>
      </c>
    </row>
    <row r="381" spans="2:17">
      <c r="B381" s="1">
        <v>39541</v>
      </c>
      <c r="C381">
        <v>5.7549999999999999</v>
      </c>
      <c r="M381" s="1">
        <v>36896</v>
      </c>
      <c r="N381" s="1">
        <v>39541</v>
      </c>
      <c r="O381" s="1">
        <v>36892</v>
      </c>
      <c r="P381" s="72">
        <v>5.085</v>
      </c>
      <c r="Q381" s="72">
        <f t="shared" si="7"/>
        <v>5.7549999999999999</v>
      </c>
    </row>
    <row r="382" spans="2:17">
      <c r="B382" s="1">
        <v>39548</v>
      </c>
      <c r="C382">
        <v>5.7299999999999898</v>
      </c>
      <c r="M382" s="1">
        <v>36896</v>
      </c>
      <c r="N382" s="1">
        <v>39548</v>
      </c>
      <c r="O382" s="1">
        <v>36892</v>
      </c>
      <c r="P382" s="72">
        <v>5.085</v>
      </c>
      <c r="Q382" s="72">
        <f t="shared" si="7"/>
        <v>5.7299999999999898</v>
      </c>
    </row>
    <row r="383" spans="2:17">
      <c r="B383" s="1">
        <v>39555</v>
      </c>
      <c r="C383">
        <v>5.7299999999999898</v>
      </c>
      <c r="M383" s="1">
        <v>36896</v>
      </c>
      <c r="N383" s="1">
        <v>39555</v>
      </c>
      <c r="O383" s="1">
        <v>36892</v>
      </c>
      <c r="P383" s="72">
        <v>5.085</v>
      </c>
      <c r="Q383" s="72">
        <f t="shared" si="7"/>
        <v>5.7299999999999898</v>
      </c>
    </row>
    <row r="384" spans="2:17">
      <c r="B384" s="1">
        <v>39562</v>
      </c>
      <c r="C384">
        <v>5.8550000000000004</v>
      </c>
      <c r="M384" s="1">
        <v>36896</v>
      </c>
      <c r="N384" s="1">
        <v>39562</v>
      </c>
      <c r="O384" s="1">
        <v>36892</v>
      </c>
      <c r="P384" s="72">
        <v>5.085</v>
      </c>
      <c r="Q384" s="72">
        <f t="shared" si="7"/>
        <v>5.8550000000000004</v>
      </c>
    </row>
    <row r="385" spans="2:17">
      <c r="B385" s="1">
        <v>39569</v>
      </c>
      <c r="C385">
        <v>5.9349999999999996</v>
      </c>
      <c r="M385" s="1">
        <v>36896</v>
      </c>
      <c r="N385" s="1">
        <v>39569</v>
      </c>
      <c r="O385" s="1">
        <v>36892</v>
      </c>
      <c r="P385" s="72">
        <v>5.085</v>
      </c>
      <c r="Q385" s="72">
        <f t="shared" si="7"/>
        <v>5.9349999999999996</v>
      </c>
    </row>
    <row r="386" spans="2:17">
      <c r="B386" s="1">
        <v>39576</v>
      </c>
      <c r="C386">
        <v>5.875</v>
      </c>
      <c r="M386" s="1">
        <v>36896</v>
      </c>
      <c r="N386" s="1">
        <v>39576</v>
      </c>
      <c r="O386" s="1">
        <v>36892</v>
      </c>
      <c r="P386" s="72">
        <v>5.085</v>
      </c>
      <c r="Q386" s="72">
        <f t="shared" si="7"/>
        <v>5.875</v>
      </c>
    </row>
    <row r="387" spans="2:17">
      <c r="B387" s="1">
        <v>39583</v>
      </c>
      <c r="C387">
        <v>5.91</v>
      </c>
      <c r="M387" s="1">
        <v>36896</v>
      </c>
      <c r="N387" s="1">
        <v>39583</v>
      </c>
      <c r="O387" s="1">
        <v>36892</v>
      </c>
      <c r="P387" s="72">
        <v>5.085</v>
      </c>
      <c r="Q387" s="72">
        <f t="shared" si="7"/>
        <v>5.91</v>
      </c>
    </row>
    <row r="388" spans="2:17">
      <c r="B388" s="1">
        <v>39590</v>
      </c>
      <c r="C388">
        <v>5.8550000000000004</v>
      </c>
      <c r="M388" s="1">
        <v>36896</v>
      </c>
      <c r="N388" s="1">
        <v>39590</v>
      </c>
      <c r="O388" s="1">
        <v>36892</v>
      </c>
      <c r="P388" s="72">
        <v>5.085</v>
      </c>
      <c r="Q388" s="72">
        <f t="shared" ref="Q388:Q451" si="8">VLOOKUP(N388,B:C,2,0)</f>
        <v>5.8550000000000004</v>
      </c>
    </row>
    <row r="389" spans="2:17">
      <c r="B389" s="1">
        <v>39597</v>
      </c>
      <c r="C389">
        <v>5.98</v>
      </c>
      <c r="M389" s="1">
        <v>36896</v>
      </c>
      <c r="N389" s="1">
        <v>39597</v>
      </c>
      <c r="O389" s="1">
        <v>36892</v>
      </c>
      <c r="P389" s="72">
        <v>5.085</v>
      </c>
      <c r="Q389" s="72">
        <f t="shared" si="8"/>
        <v>5.98</v>
      </c>
    </row>
    <row r="390" spans="2:17">
      <c r="B390" s="1">
        <v>39604</v>
      </c>
      <c r="C390">
        <v>5.99</v>
      </c>
      <c r="M390" s="1">
        <v>36896</v>
      </c>
      <c r="N390" s="1">
        <v>39604</v>
      </c>
      <c r="O390" s="1">
        <v>36892</v>
      </c>
      <c r="P390" s="72">
        <v>5.085</v>
      </c>
      <c r="Q390" s="72">
        <f t="shared" si="8"/>
        <v>5.99</v>
      </c>
    </row>
    <row r="391" spans="2:17">
      <c r="B391" s="1">
        <v>39611</v>
      </c>
      <c r="C391">
        <v>6.2450000000000001</v>
      </c>
      <c r="M391" s="1">
        <v>36896</v>
      </c>
      <c r="N391" s="1">
        <v>39611</v>
      </c>
      <c r="O391" s="1">
        <v>36892</v>
      </c>
      <c r="P391" s="72">
        <v>5.085</v>
      </c>
      <c r="Q391" s="72">
        <f t="shared" si="8"/>
        <v>6.2450000000000001</v>
      </c>
    </row>
    <row r="392" spans="2:17">
      <c r="B392" s="1">
        <v>39618</v>
      </c>
      <c r="C392">
        <v>6.3449999999999998</v>
      </c>
      <c r="M392" s="1">
        <v>36896</v>
      </c>
      <c r="N392" s="1">
        <v>39618</v>
      </c>
      <c r="O392" s="1">
        <v>36892</v>
      </c>
      <c r="P392" s="72">
        <v>5.085</v>
      </c>
      <c r="Q392" s="72">
        <f t="shared" si="8"/>
        <v>6.3449999999999998</v>
      </c>
    </row>
    <row r="393" spans="2:17">
      <c r="B393" s="1">
        <v>39625</v>
      </c>
      <c r="C393">
        <v>6.35</v>
      </c>
      <c r="M393" s="1">
        <v>36896</v>
      </c>
      <c r="N393" s="1">
        <v>39625</v>
      </c>
      <c r="O393" s="1">
        <v>36892</v>
      </c>
      <c r="P393" s="72">
        <v>5.085</v>
      </c>
      <c r="Q393" s="72">
        <f t="shared" si="8"/>
        <v>6.35</v>
      </c>
    </row>
    <row r="394" spans="2:17">
      <c r="B394" s="1">
        <v>39632</v>
      </c>
      <c r="C394">
        <v>6.25</v>
      </c>
      <c r="M394" s="1">
        <v>36896</v>
      </c>
      <c r="N394" s="1">
        <v>39632</v>
      </c>
      <c r="O394" s="1">
        <v>36892</v>
      </c>
      <c r="P394" s="72">
        <v>5.085</v>
      </c>
      <c r="Q394" s="72">
        <f t="shared" si="8"/>
        <v>6.25</v>
      </c>
    </row>
    <row r="395" spans="2:17">
      <c r="B395" s="1">
        <v>39639</v>
      </c>
      <c r="C395">
        <v>6.27</v>
      </c>
      <c r="M395" s="1">
        <v>36896</v>
      </c>
      <c r="N395" s="1">
        <v>39639</v>
      </c>
      <c r="O395" s="1">
        <v>36892</v>
      </c>
      <c r="P395" s="72">
        <v>5.085</v>
      </c>
      <c r="Q395" s="72">
        <f t="shared" si="8"/>
        <v>6.27</v>
      </c>
    </row>
    <row r="396" spans="2:17">
      <c r="B396" s="1">
        <v>39646</v>
      </c>
      <c r="C396">
        <v>6.16</v>
      </c>
      <c r="M396" s="1">
        <v>36896</v>
      </c>
      <c r="N396" s="1">
        <v>39646</v>
      </c>
      <c r="O396" s="1">
        <v>36892</v>
      </c>
      <c r="P396" s="72">
        <v>5.085</v>
      </c>
      <c r="Q396" s="72">
        <f t="shared" si="8"/>
        <v>6.16</v>
      </c>
    </row>
    <row r="397" spans="2:17">
      <c r="B397" s="1">
        <v>39653</v>
      </c>
      <c r="C397">
        <v>6.53</v>
      </c>
      <c r="M397" s="1">
        <v>36896</v>
      </c>
      <c r="N397" s="1">
        <v>39653</v>
      </c>
      <c r="O397" s="1">
        <v>36892</v>
      </c>
      <c r="P397" s="72">
        <v>5.085</v>
      </c>
      <c r="Q397" s="72">
        <f t="shared" si="8"/>
        <v>6.53</v>
      </c>
    </row>
    <row r="398" spans="2:17">
      <c r="B398" s="1">
        <v>39660</v>
      </c>
      <c r="C398">
        <v>6.4449999999999896</v>
      </c>
      <c r="M398" s="1">
        <v>36896</v>
      </c>
      <c r="N398" s="1">
        <v>39660</v>
      </c>
      <c r="O398" s="1">
        <v>36892</v>
      </c>
      <c r="P398" s="72">
        <v>5.085</v>
      </c>
      <c r="Q398" s="72">
        <f t="shared" si="8"/>
        <v>6.4449999999999896</v>
      </c>
    </row>
    <row r="399" spans="2:17">
      <c r="B399" s="1">
        <v>39667</v>
      </c>
      <c r="C399">
        <v>6.4449999999999896</v>
      </c>
      <c r="M399" s="1">
        <v>36896</v>
      </c>
      <c r="N399" s="1">
        <v>39667</v>
      </c>
      <c r="O399" s="1">
        <v>36892</v>
      </c>
      <c r="P399" s="72">
        <v>5.085</v>
      </c>
      <c r="Q399" s="72">
        <f t="shared" si="8"/>
        <v>6.4449999999999896</v>
      </c>
    </row>
    <row r="400" spans="2:17">
      <c r="B400" s="1">
        <v>39674</v>
      </c>
      <c r="C400">
        <v>6.4449999999999896</v>
      </c>
      <c r="M400" s="1">
        <v>36896</v>
      </c>
      <c r="N400" s="1">
        <v>39674</v>
      </c>
      <c r="O400" s="1">
        <v>36892</v>
      </c>
      <c r="P400" s="72">
        <v>5.085</v>
      </c>
      <c r="Q400" s="72">
        <f t="shared" si="8"/>
        <v>6.4449999999999896</v>
      </c>
    </row>
    <row r="401" spans="2:17">
      <c r="B401" s="1">
        <v>39681</v>
      </c>
      <c r="C401">
        <v>6.3949999999999996</v>
      </c>
      <c r="M401" s="1">
        <v>36896</v>
      </c>
      <c r="N401" s="1">
        <v>39681</v>
      </c>
      <c r="O401" s="1">
        <v>36892</v>
      </c>
      <c r="P401" s="72">
        <v>5.085</v>
      </c>
      <c r="Q401" s="72">
        <f t="shared" si="8"/>
        <v>6.3949999999999996</v>
      </c>
    </row>
    <row r="402" spans="2:17">
      <c r="B402" s="1">
        <v>39688</v>
      </c>
      <c r="C402">
        <v>6.3</v>
      </c>
      <c r="M402" s="1">
        <v>36896</v>
      </c>
      <c r="N402" s="1">
        <v>39688</v>
      </c>
      <c r="O402" s="1">
        <v>36892</v>
      </c>
      <c r="P402" s="72">
        <v>5.085</v>
      </c>
      <c r="Q402" s="72">
        <f t="shared" si="8"/>
        <v>6.3</v>
      </c>
    </row>
    <row r="403" spans="2:17">
      <c r="B403" s="1">
        <v>39695</v>
      </c>
      <c r="C403">
        <v>6.2749999999999897</v>
      </c>
      <c r="M403" s="1">
        <v>36896</v>
      </c>
      <c r="N403" s="1">
        <v>39695</v>
      </c>
      <c r="O403" s="1">
        <v>36892</v>
      </c>
      <c r="P403" s="72">
        <v>5.085</v>
      </c>
      <c r="Q403" s="72">
        <f t="shared" si="8"/>
        <v>6.2749999999999897</v>
      </c>
    </row>
    <row r="404" spans="2:17">
      <c r="B404" s="1">
        <v>39702</v>
      </c>
      <c r="C404">
        <v>5.8549999999999898</v>
      </c>
      <c r="M404" s="1">
        <v>36896</v>
      </c>
      <c r="N404" s="1">
        <v>39702</v>
      </c>
      <c r="O404" s="1">
        <v>36892</v>
      </c>
      <c r="P404" s="72">
        <v>5.085</v>
      </c>
      <c r="Q404" s="72">
        <f t="shared" si="8"/>
        <v>5.8549999999999898</v>
      </c>
    </row>
    <row r="405" spans="2:17">
      <c r="B405" s="1">
        <v>39709</v>
      </c>
      <c r="C405">
        <v>5.68</v>
      </c>
      <c r="M405" s="1">
        <v>36896</v>
      </c>
      <c r="N405" s="1">
        <v>39709</v>
      </c>
      <c r="O405" s="1">
        <v>36892</v>
      </c>
      <c r="P405" s="72">
        <v>5.085</v>
      </c>
      <c r="Q405" s="72">
        <f t="shared" si="8"/>
        <v>5.68</v>
      </c>
    </row>
    <row r="406" spans="2:17">
      <c r="B406" s="1">
        <v>39716</v>
      </c>
      <c r="C406">
        <v>6.0149999999999997</v>
      </c>
      <c r="M406" s="1">
        <v>36896</v>
      </c>
      <c r="N406" s="1">
        <v>39716</v>
      </c>
      <c r="O406" s="1">
        <v>36892</v>
      </c>
      <c r="P406" s="72">
        <v>5.085</v>
      </c>
      <c r="Q406" s="72">
        <f t="shared" si="8"/>
        <v>6.0149999999999997</v>
      </c>
    </row>
    <row r="407" spans="2:17">
      <c r="B407" s="1">
        <v>39723</v>
      </c>
      <c r="C407">
        <v>6</v>
      </c>
      <c r="M407" s="1">
        <v>36896</v>
      </c>
      <c r="N407" s="1">
        <v>39723</v>
      </c>
      <c r="O407" s="1">
        <v>36892</v>
      </c>
      <c r="P407" s="72">
        <v>5.085</v>
      </c>
      <c r="Q407" s="72">
        <f t="shared" si="8"/>
        <v>6</v>
      </c>
    </row>
    <row r="408" spans="2:17">
      <c r="B408" s="1">
        <v>39730</v>
      </c>
      <c r="C408">
        <v>5.84</v>
      </c>
      <c r="M408" s="1">
        <v>36896</v>
      </c>
      <c r="N408" s="1">
        <v>39730</v>
      </c>
      <c r="O408" s="1">
        <v>36892</v>
      </c>
      <c r="P408" s="72">
        <v>5.085</v>
      </c>
      <c r="Q408" s="72">
        <f t="shared" si="8"/>
        <v>5.84</v>
      </c>
    </row>
    <row r="409" spans="2:17">
      <c r="B409" s="1">
        <v>39737</v>
      </c>
      <c r="C409">
        <v>6.36</v>
      </c>
      <c r="M409" s="1">
        <v>36896</v>
      </c>
      <c r="N409" s="1">
        <v>39737</v>
      </c>
      <c r="O409" s="1">
        <v>36892</v>
      </c>
      <c r="P409" s="72">
        <v>5.085</v>
      </c>
      <c r="Q409" s="72">
        <f t="shared" si="8"/>
        <v>6.36</v>
      </c>
    </row>
    <row r="410" spans="2:17">
      <c r="B410" s="1">
        <v>39744</v>
      </c>
      <c r="C410">
        <v>5.94</v>
      </c>
      <c r="M410" s="1">
        <v>36896</v>
      </c>
      <c r="N410" s="1">
        <v>39744</v>
      </c>
      <c r="O410" s="1">
        <v>36892</v>
      </c>
      <c r="P410" s="72">
        <v>5.085</v>
      </c>
      <c r="Q410" s="72">
        <f t="shared" si="8"/>
        <v>5.94</v>
      </c>
    </row>
    <row r="411" spans="2:17">
      <c r="B411" s="1">
        <v>39751</v>
      </c>
      <c r="C411">
        <v>6.3849999999999998</v>
      </c>
      <c r="M411" s="1">
        <v>36896</v>
      </c>
      <c r="N411" s="1">
        <v>39751</v>
      </c>
      <c r="O411" s="1">
        <v>36892</v>
      </c>
      <c r="P411" s="72">
        <v>5.085</v>
      </c>
      <c r="Q411" s="72">
        <f t="shared" si="8"/>
        <v>6.3849999999999998</v>
      </c>
    </row>
    <row r="412" spans="2:17">
      <c r="B412" s="1">
        <v>39758</v>
      </c>
      <c r="C412">
        <v>6.125</v>
      </c>
      <c r="M412" s="1">
        <v>36896</v>
      </c>
      <c r="N412" s="1">
        <v>39758</v>
      </c>
      <c r="O412" s="1">
        <v>36892</v>
      </c>
      <c r="P412" s="72">
        <v>5.085</v>
      </c>
      <c r="Q412" s="72">
        <f t="shared" si="8"/>
        <v>6.125</v>
      </c>
    </row>
    <row r="413" spans="2:17">
      <c r="B413" s="1">
        <v>39765</v>
      </c>
      <c r="C413">
        <v>6.0649999999999897</v>
      </c>
      <c r="M413" s="1">
        <v>36896</v>
      </c>
      <c r="N413" s="1">
        <v>39765</v>
      </c>
      <c r="O413" s="1">
        <v>36892</v>
      </c>
      <c r="P413" s="72">
        <v>5.085</v>
      </c>
      <c r="Q413" s="72">
        <f t="shared" si="8"/>
        <v>6.0649999999999897</v>
      </c>
    </row>
    <row r="414" spans="2:17">
      <c r="B414" s="1">
        <v>39772</v>
      </c>
      <c r="C414">
        <v>5.9649999999999999</v>
      </c>
      <c r="M414" s="1">
        <v>36896</v>
      </c>
      <c r="N414" s="1">
        <v>39772</v>
      </c>
      <c r="O414" s="1">
        <v>36892</v>
      </c>
      <c r="P414" s="72">
        <v>5.085</v>
      </c>
      <c r="Q414" s="72">
        <f t="shared" si="8"/>
        <v>5.9649999999999999</v>
      </c>
    </row>
    <row r="415" spans="2:17">
      <c r="B415" s="1">
        <v>39778</v>
      </c>
      <c r="C415">
        <v>5.8949999999999996</v>
      </c>
      <c r="M415" s="1">
        <v>36896</v>
      </c>
      <c r="N415" s="1">
        <v>39778</v>
      </c>
      <c r="O415" s="1">
        <v>36892</v>
      </c>
      <c r="P415" s="72">
        <v>5.085</v>
      </c>
      <c r="Q415" s="72">
        <f t="shared" si="8"/>
        <v>5.8949999999999996</v>
      </c>
    </row>
    <row r="416" spans="2:17">
      <c r="B416" s="1">
        <v>39786</v>
      </c>
      <c r="C416">
        <v>5.4550000000000001</v>
      </c>
      <c r="M416" s="1">
        <v>36896</v>
      </c>
      <c r="N416" s="1">
        <v>39786</v>
      </c>
      <c r="O416" s="1">
        <v>36892</v>
      </c>
      <c r="P416" s="72">
        <v>5.085</v>
      </c>
      <c r="Q416" s="72">
        <f t="shared" si="8"/>
        <v>5.4550000000000001</v>
      </c>
    </row>
    <row r="417" spans="2:17">
      <c r="B417" s="1">
        <v>39793</v>
      </c>
      <c r="C417">
        <v>5.3949999999999996</v>
      </c>
      <c r="M417" s="1">
        <v>36896</v>
      </c>
      <c r="N417" s="1">
        <v>39793</v>
      </c>
      <c r="O417" s="1">
        <v>36892</v>
      </c>
      <c r="P417" s="72">
        <v>5.085</v>
      </c>
      <c r="Q417" s="72">
        <f t="shared" si="8"/>
        <v>5.3949999999999996</v>
      </c>
    </row>
    <row r="418" spans="2:17">
      <c r="B418" s="1">
        <v>39800</v>
      </c>
      <c r="C418">
        <v>5.1150000000000002</v>
      </c>
      <c r="M418" s="1">
        <v>36896</v>
      </c>
      <c r="N418" s="1">
        <v>39800</v>
      </c>
      <c r="O418" s="1">
        <v>36892</v>
      </c>
      <c r="P418" s="72">
        <v>5.085</v>
      </c>
      <c r="Q418" s="72">
        <f t="shared" si="8"/>
        <v>5.1150000000000002</v>
      </c>
    </row>
    <row r="419" spans="2:17">
      <c r="B419" s="1">
        <v>39806</v>
      </c>
      <c r="C419">
        <v>5.09</v>
      </c>
      <c r="M419" s="1">
        <v>36896</v>
      </c>
      <c r="N419" s="1">
        <v>39806</v>
      </c>
      <c r="O419" s="1">
        <v>36892</v>
      </c>
      <c r="P419" s="72">
        <v>5.085</v>
      </c>
      <c r="Q419" s="72">
        <f t="shared" si="8"/>
        <v>5.09</v>
      </c>
    </row>
    <row r="420" spans="2:17">
      <c r="B420" s="1">
        <v>39813</v>
      </c>
      <c r="C420">
        <v>5.0249999999999897</v>
      </c>
      <c r="M420" s="1">
        <v>36896</v>
      </c>
      <c r="N420" s="1">
        <v>39813</v>
      </c>
      <c r="O420" s="1">
        <v>36892</v>
      </c>
      <c r="P420" s="72">
        <v>5.0249899999999998</v>
      </c>
      <c r="Q420" s="72">
        <f t="shared" si="8"/>
        <v>5.0249999999999897</v>
      </c>
    </row>
    <row r="421" spans="2:17">
      <c r="B421" s="1">
        <v>39821</v>
      </c>
      <c r="C421">
        <v>4.91</v>
      </c>
      <c r="M421" s="1">
        <v>36896</v>
      </c>
      <c r="N421" s="1">
        <v>39821</v>
      </c>
      <c r="O421" s="1">
        <v>36892</v>
      </c>
      <c r="P421" s="72">
        <v>4.91</v>
      </c>
      <c r="Q421" s="72">
        <f t="shared" si="8"/>
        <v>4.91</v>
      </c>
    </row>
    <row r="422" spans="2:17">
      <c r="B422" s="1">
        <v>39828</v>
      </c>
      <c r="C422">
        <v>4.8849999999999998</v>
      </c>
      <c r="M422" s="1">
        <v>36896</v>
      </c>
      <c r="N422" s="1">
        <v>39828</v>
      </c>
      <c r="O422" s="1">
        <v>36892</v>
      </c>
      <c r="P422" s="72">
        <v>4.8849999999999998</v>
      </c>
      <c r="Q422" s="72">
        <f t="shared" si="8"/>
        <v>4.8849999999999998</v>
      </c>
    </row>
    <row r="423" spans="2:17">
      <c r="B423" s="1">
        <v>39835</v>
      </c>
      <c r="C423">
        <v>5.0449999999999999</v>
      </c>
      <c r="M423" s="1">
        <v>36896</v>
      </c>
      <c r="N423" s="1">
        <v>39835</v>
      </c>
      <c r="O423" s="1">
        <v>36892</v>
      </c>
      <c r="P423" s="72">
        <v>4.8849999999999998</v>
      </c>
      <c r="Q423" s="72">
        <f t="shared" si="8"/>
        <v>5.0449999999999999</v>
      </c>
    </row>
    <row r="424" spans="2:17">
      <c r="B424" s="1">
        <v>39842</v>
      </c>
      <c r="C424">
        <v>5.0249999999999897</v>
      </c>
      <c r="M424" s="1">
        <v>36896</v>
      </c>
      <c r="N424" s="1">
        <v>39842</v>
      </c>
      <c r="O424" s="1">
        <v>36892</v>
      </c>
      <c r="P424" s="72">
        <v>4.8849999999999998</v>
      </c>
      <c r="Q424" s="72">
        <f t="shared" si="8"/>
        <v>5.0249999999999897</v>
      </c>
    </row>
    <row r="425" spans="2:17">
      <c r="B425" s="1">
        <v>39849</v>
      </c>
      <c r="C425">
        <v>5.2</v>
      </c>
      <c r="M425" s="1">
        <v>36896</v>
      </c>
      <c r="N425" s="1">
        <v>39849</v>
      </c>
      <c r="O425" s="1">
        <v>36892</v>
      </c>
      <c r="P425" s="72">
        <v>4.8849999999999998</v>
      </c>
      <c r="Q425" s="72">
        <f t="shared" si="8"/>
        <v>5.2</v>
      </c>
    </row>
    <row r="426" spans="2:17">
      <c r="B426" s="1">
        <v>39856</v>
      </c>
      <c r="C426">
        <v>5.085</v>
      </c>
      <c r="M426" s="1">
        <v>36896</v>
      </c>
      <c r="N426" s="1">
        <v>39856</v>
      </c>
      <c r="O426" s="1">
        <v>36892</v>
      </c>
      <c r="P426" s="72">
        <v>4.8849999999999998</v>
      </c>
      <c r="Q426" s="72">
        <f t="shared" si="8"/>
        <v>5.085</v>
      </c>
    </row>
    <row r="427" spans="2:17">
      <c r="B427" s="1">
        <v>39863</v>
      </c>
      <c r="C427">
        <v>4.9649999999999999</v>
      </c>
      <c r="M427" s="1">
        <v>36896</v>
      </c>
      <c r="N427" s="1">
        <v>39863</v>
      </c>
      <c r="O427" s="1">
        <v>36892</v>
      </c>
      <c r="P427" s="72">
        <v>4.8849999999999998</v>
      </c>
      <c r="Q427" s="72">
        <f t="shared" si="8"/>
        <v>4.9649999999999999</v>
      </c>
    </row>
    <row r="428" spans="2:17">
      <c r="B428" s="1">
        <v>39870</v>
      </c>
      <c r="C428">
        <v>4.9950000000000001</v>
      </c>
      <c r="M428" s="1">
        <v>36896</v>
      </c>
      <c r="N428" s="1">
        <v>39870</v>
      </c>
      <c r="O428" s="1">
        <v>36892</v>
      </c>
      <c r="P428" s="72">
        <v>4.8849999999999998</v>
      </c>
      <c r="Q428" s="72">
        <f t="shared" si="8"/>
        <v>4.9950000000000001</v>
      </c>
    </row>
    <row r="429" spans="2:17">
      <c r="B429" s="1">
        <v>39877</v>
      </c>
      <c r="C429">
        <v>5.0750000000000002</v>
      </c>
      <c r="M429" s="1">
        <v>36896</v>
      </c>
      <c r="N429" s="1">
        <v>39877</v>
      </c>
      <c r="O429" s="1">
        <v>36892</v>
      </c>
      <c r="P429" s="72">
        <v>4.8849999999999998</v>
      </c>
      <c r="Q429" s="72">
        <f t="shared" si="8"/>
        <v>5.0750000000000002</v>
      </c>
    </row>
    <row r="430" spans="2:17">
      <c r="B430" s="1">
        <v>39884</v>
      </c>
      <c r="C430">
        <v>4.9550000000000001</v>
      </c>
      <c r="M430" s="1">
        <v>36896</v>
      </c>
      <c r="N430" s="1">
        <v>39884</v>
      </c>
      <c r="O430" s="1">
        <v>36892</v>
      </c>
      <c r="P430" s="72">
        <v>4.8849999999999998</v>
      </c>
      <c r="Q430" s="72">
        <f t="shared" si="8"/>
        <v>4.9550000000000001</v>
      </c>
    </row>
    <row r="431" spans="2:17">
      <c r="B431" s="1">
        <v>39891</v>
      </c>
      <c r="C431">
        <v>4.9050000000000002</v>
      </c>
      <c r="M431" s="1">
        <v>36896</v>
      </c>
      <c r="N431" s="1">
        <v>39891</v>
      </c>
      <c r="O431" s="1">
        <v>36892</v>
      </c>
      <c r="P431" s="72">
        <v>4.8849999999999998</v>
      </c>
      <c r="Q431" s="72">
        <f t="shared" si="8"/>
        <v>4.9050000000000002</v>
      </c>
    </row>
    <row r="432" spans="2:17">
      <c r="B432" s="1">
        <v>39898</v>
      </c>
      <c r="C432">
        <v>4.7749999999999897</v>
      </c>
      <c r="M432" s="1">
        <v>36896</v>
      </c>
      <c r="N432" s="1">
        <v>39898</v>
      </c>
      <c r="O432" s="1">
        <v>36892</v>
      </c>
      <c r="P432" s="72">
        <v>4.7749899999999998</v>
      </c>
      <c r="Q432" s="72">
        <f t="shared" si="8"/>
        <v>4.7749999999999897</v>
      </c>
    </row>
    <row r="433" spans="2:17">
      <c r="B433" s="1">
        <v>39905</v>
      </c>
      <c r="C433">
        <v>4.7050000000000001</v>
      </c>
      <c r="M433" s="1">
        <v>36896</v>
      </c>
      <c r="N433" s="1">
        <v>39905</v>
      </c>
      <c r="O433" s="1">
        <v>36892</v>
      </c>
      <c r="P433" s="72">
        <v>4.7050000000000001</v>
      </c>
      <c r="Q433" s="72">
        <f t="shared" si="8"/>
        <v>4.7050000000000001</v>
      </c>
    </row>
    <row r="434" spans="2:17">
      <c r="B434" s="1">
        <v>39912</v>
      </c>
      <c r="C434">
        <v>4.7949999999999999</v>
      </c>
      <c r="M434" s="1">
        <v>36896</v>
      </c>
      <c r="N434" s="1">
        <v>39912</v>
      </c>
      <c r="O434" s="1">
        <v>36892</v>
      </c>
      <c r="P434" s="72">
        <v>4.7050000000000001</v>
      </c>
      <c r="Q434" s="72">
        <f t="shared" si="8"/>
        <v>4.7949999999999999</v>
      </c>
    </row>
    <row r="435" spans="2:17">
      <c r="B435" s="1">
        <v>39919</v>
      </c>
      <c r="C435">
        <v>4.72</v>
      </c>
      <c r="M435" s="1">
        <v>36896</v>
      </c>
      <c r="N435" s="1">
        <v>39919</v>
      </c>
      <c r="O435" s="1">
        <v>36892</v>
      </c>
      <c r="P435" s="72">
        <v>4.7050000000000001</v>
      </c>
      <c r="Q435" s="72">
        <f t="shared" si="8"/>
        <v>4.72</v>
      </c>
    </row>
    <row r="436" spans="2:17">
      <c r="B436" s="1">
        <v>39926</v>
      </c>
      <c r="C436">
        <v>4.7249999999999996</v>
      </c>
      <c r="M436" s="1">
        <v>36896</v>
      </c>
      <c r="N436" s="1">
        <v>39926</v>
      </c>
      <c r="O436" s="1">
        <v>36892</v>
      </c>
      <c r="P436" s="72">
        <v>4.7050000000000001</v>
      </c>
      <c r="Q436" s="72">
        <f t="shared" si="8"/>
        <v>4.7249999999999996</v>
      </c>
    </row>
    <row r="437" spans="2:17">
      <c r="B437" s="1">
        <v>39933</v>
      </c>
      <c r="C437">
        <v>4.7050000000000001</v>
      </c>
      <c r="M437" s="1">
        <v>36896</v>
      </c>
      <c r="N437" s="1">
        <v>39933</v>
      </c>
      <c r="O437" s="1">
        <v>36892</v>
      </c>
      <c r="P437" s="72">
        <v>4.7050000000000001</v>
      </c>
      <c r="Q437" s="72">
        <f t="shared" si="8"/>
        <v>4.7050000000000001</v>
      </c>
    </row>
    <row r="438" spans="2:17">
      <c r="B438" s="1">
        <v>39940</v>
      </c>
      <c r="C438">
        <v>4.7649999999999997</v>
      </c>
      <c r="M438" s="1">
        <v>36896</v>
      </c>
      <c r="N438" s="1">
        <v>39940</v>
      </c>
      <c r="O438" s="1">
        <v>36892</v>
      </c>
      <c r="P438" s="72">
        <v>4.7050000000000001</v>
      </c>
      <c r="Q438" s="72">
        <f t="shared" si="8"/>
        <v>4.7649999999999997</v>
      </c>
    </row>
    <row r="439" spans="2:17">
      <c r="B439" s="1">
        <v>39947</v>
      </c>
      <c r="C439">
        <v>4.76</v>
      </c>
      <c r="M439" s="1">
        <v>36896</v>
      </c>
      <c r="N439" s="1">
        <v>39947</v>
      </c>
      <c r="O439" s="1">
        <v>36892</v>
      </c>
      <c r="P439" s="72">
        <v>4.7050000000000001</v>
      </c>
      <c r="Q439" s="72">
        <f t="shared" si="8"/>
        <v>4.76</v>
      </c>
    </row>
    <row r="440" spans="2:17">
      <c r="B440" s="1">
        <v>39954</v>
      </c>
      <c r="C440">
        <v>4.7450000000000001</v>
      </c>
      <c r="M440" s="1">
        <v>36896</v>
      </c>
      <c r="N440" s="1">
        <v>39954</v>
      </c>
      <c r="O440" s="1">
        <v>36892</v>
      </c>
      <c r="P440" s="72">
        <v>4.7050000000000001</v>
      </c>
      <c r="Q440" s="72">
        <f t="shared" si="8"/>
        <v>4.7450000000000001</v>
      </c>
    </row>
    <row r="441" spans="2:17">
      <c r="B441" s="1">
        <v>39961</v>
      </c>
      <c r="C441">
        <v>4.835</v>
      </c>
      <c r="M441" s="1">
        <v>36896</v>
      </c>
      <c r="N441" s="1">
        <v>39961</v>
      </c>
      <c r="O441" s="1">
        <v>36892</v>
      </c>
      <c r="P441" s="72">
        <v>4.7050000000000001</v>
      </c>
      <c r="Q441" s="72">
        <f t="shared" si="8"/>
        <v>4.835</v>
      </c>
    </row>
    <row r="442" spans="2:17">
      <c r="B442" s="1">
        <v>39968</v>
      </c>
      <c r="C442">
        <v>5.2149999999999999</v>
      </c>
      <c r="M442" s="1">
        <v>36896</v>
      </c>
      <c r="N442" s="1">
        <v>39968</v>
      </c>
      <c r="O442" s="1">
        <v>36892</v>
      </c>
      <c r="P442" s="72">
        <v>4.7050000000000001</v>
      </c>
      <c r="Q442" s="72">
        <f t="shared" si="8"/>
        <v>5.2149999999999999</v>
      </c>
    </row>
    <row r="443" spans="2:17">
      <c r="B443" s="1">
        <v>39975</v>
      </c>
      <c r="C443">
        <v>5.5149999999999997</v>
      </c>
      <c r="M443" s="1">
        <v>36896</v>
      </c>
      <c r="N443" s="1">
        <v>39975</v>
      </c>
      <c r="O443" s="1">
        <v>36892</v>
      </c>
      <c r="P443" s="72">
        <v>4.7050000000000001</v>
      </c>
      <c r="Q443" s="72">
        <f t="shared" si="8"/>
        <v>5.5149999999999997</v>
      </c>
    </row>
    <row r="444" spans="2:17">
      <c r="B444" s="1">
        <v>39982</v>
      </c>
      <c r="C444">
        <v>5.3049999999999997</v>
      </c>
      <c r="M444" s="1">
        <v>36896</v>
      </c>
      <c r="N444" s="1">
        <v>39982</v>
      </c>
      <c r="O444" s="1">
        <v>36892</v>
      </c>
      <c r="P444" s="72">
        <v>4.7050000000000001</v>
      </c>
      <c r="Q444" s="72">
        <f t="shared" si="8"/>
        <v>5.3049999999999997</v>
      </c>
    </row>
    <row r="445" spans="2:17">
      <c r="B445" s="1">
        <v>39989</v>
      </c>
      <c r="C445">
        <v>5.3449999999999998</v>
      </c>
      <c r="M445" s="1">
        <v>36896</v>
      </c>
      <c r="N445" s="1">
        <v>39989</v>
      </c>
      <c r="O445" s="1">
        <v>36892</v>
      </c>
      <c r="P445" s="72">
        <v>4.7050000000000001</v>
      </c>
      <c r="Q445" s="72">
        <f t="shared" si="8"/>
        <v>5.3449999999999998</v>
      </c>
    </row>
    <row r="446" spans="2:17">
      <c r="B446" s="1">
        <v>39996</v>
      </c>
      <c r="C446">
        <v>5.2450000000000001</v>
      </c>
      <c r="M446" s="1">
        <v>36896</v>
      </c>
      <c r="N446" s="1">
        <v>39996</v>
      </c>
      <c r="O446" s="1">
        <v>36892</v>
      </c>
      <c r="P446" s="72">
        <v>4.7050000000000001</v>
      </c>
      <c r="Q446" s="72">
        <f t="shared" si="8"/>
        <v>5.2450000000000001</v>
      </c>
    </row>
    <row r="447" spans="2:17">
      <c r="B447" s="1">
        <v>40003</v>
      </c>
      <c r="C447">
        <v>5.125</v>
      </c>
      <c r="M447" s="1">
        <v>36896</v>
      </c>
      <c r="N447" s="1">
        <v>40003</v>
      </c>
      <c r="O447" s="1">
        <v>36892</v>
      </c>
      <c r="P447" s="72">
        <v>4.7050000000000001</v>
      </c>
      <c r="Q447" s="72">
        <f t="shared" si="8"/>
        <v>5.125</v>
      </c>
    </row>
    <row r="448" spans="2:17">
      <c r="B448" s="1">
        <v>40010</v>
      </c>
      <c r="C448">
        <v>5.0649999999999897</v>
      </c>
      <c r="M448" s="1">
        <v>36896</v>
      </c>
      <c r="N448" s="1">
        <v>40010</v>
      </c>
      <c r="O448" s="1">
        <v>36892</v>
      </c>
      <c r="P448" s="72">
        <v>4.7050000000000001</v>
      </c>
      <c r="Q448" s="72">
        <f t="shared" si="8"/>
        <v>5.0649999999999897</v>
      </c>
    </row>
    <row r="449" spans="2:17">
      <c r="B449" s="1">
        <v>40017</v>
      </c>
      <c r="C449">
        <v>5.125</v>
      </c>
      <c r="M449" s="1">
        <v>36896</v>
      </c>
      <c r="N449" s="1">
        <v>40017</v>
      </c>
      <c r="O449" s="1">
        <v>36892</v>
      </c>
      <c r="P449" s="72">
        <v>4.7050000000000001</v>
      </c>
      <c r="Q449" s="72">
        <f t="shared" si="8"/>
        <v>5.125</v>
      </c>
    </row>
    <row r="450" spans="2:17">
      <c r="B450" s="1">
        <v>40024</v>
      </c>
      <c r="C450">
        <v>5.1749999999999998</v>
      </c>
      <c r="M450" s="1">
        <v>36896</v>
      </c>
      <c r="N450" s="1">
        <v>40024</v>
      </c>
      <c r="O450" s="1">
        <v>36892</v>
      </c>
      <c r="P450" s="72">
        <v>4.7050000000000001</v>
      </c>
      <c r="Q450" s="72">
        <f t="shared" si="8"/>
        <v>5.1749999999999998</v>
      </c>
    </row>
    <row r="451" spans="2:17">
      <c r="B451" s="1">
        <v>40031</v>
      </c>
      <c r="C451">
        <v>5.12</v>
      </c>
      <c r="M451" s="1">
        <v>36896</v>
      </c>
      <c r="N451" s="1">
        <v>40031</v>
      </c>
      <c r="O451" s="1">
        <v>36892</v>
      </c>
      <c r="P451" s="72">
        <v>4.7050000000000001</v>
      </c>
      <c r="Q451" s="72">
        <f t="shared" si="8"/>
        <v>5.12</v>
      </c>
    </row>
    <row r="452" spans="2:17">
      <c r="B452" s="1">
        <v>40038</v>
      </c>
      <c r="C452">
        <v>5.2149999999999999</v>
      </c>
      <c r="M452" s="1">
        <v>36896</v>
      </c>
      <c r="N452" s="1">
        <v>40038</v>
      </c>
      <c r="O452" s="1">
        <v>36892</v>
      </c>
      <c r="P452" s="72">
        <v>4.7050000000000001</v>
      </c>
      <c r="Q452" s="72">
        <f t="shared" ref="Q452:Q515" si="9">VLOOKUP(N452,B:C,2,0)</f>
        <v>5.2149999999999999</v>
      </c>
    </row>
    <row r="453" spans="2:17">
      <c r="B453" s="1">
        <v>40045</v>
      </c>
      <c r="C453">
        <v>5.0449999999999999</v>
      </c>
      <c r="M453" s="1">
        <v>36896</v>
      </c>
      <c r="N453" s="1">
        <v>40045</v>
      </c>
      <c r="O453" s="1">
        <v>36892</v>
      </c>
      <c r="P453" s="72">
        <v>4.7050000000000001</v>
      </c>
      <c r="Q453" s="72">
        <f t="shared" si="9"/>
        <v>5.0449999999999999</v>
      </c>
    </row>
    <row r="454" spans="2:17">
      <c r="B454" s="1">
        <v>40052</v>
      </c>
      <c r="C454">
        <v>5.0649999999999897</v>
      </c>
      <c r="M454" s="1">
        <v>36896</v>
      </c>
      <c r="N454" s="1">
        <v>40052</v>
      </c>
      <c r="O454" s="1">
        <v>36892</v>
      </c>
      <c r="P454" s="72">
        <v>4.7050000000000001</v>
      </c>
      <c r="Q454" s="72">
        <f t="shared" si="9"/>
        <v>5.0649999999999897</v>
      </c>
    </row>
    <row r="455" spans="2:17">
      <c r="B455" s="1">
        <v>40059</v>
      </c>
      <c r="C455">
        <v>5.0049999999999999</v>
      </c>
      <c r="M455" s="1">
        <v>36896</v>
      </c>
      <c r="N455" s="1">
        <v>40059</v>
      </c>
      <c r="O455" s="1">
        <v>36892</v>
      </c>
      <c r="P455" s="72">
        <v>4.7050000000000001</v>
      </c>
      <c r="Q455" s="72">
        <f t="shared" si="9"/>
        <v>5.0049999999999999</v>
      </c>
    </row>
    <row r="456" spans="2:17">
      <c r="B456" s="1">
        <v>40066</v>
      </c>
      <c r="C456">
        <v>4.9950000000000001</v>
      </c>
      <c r="M456" s="1">
        <v>36896</v>
      </c>
      <c r="N456" s="1">
        <v>40066</v>
      </c>
      <c r="O456" s="1">
        <v>36892</v>
      </c>
      <c r="P456" s="72">
        <v>4.7050000000000001</v>
      </c>
      <c r="Q456" s="72">
        <f t="shared" si="9"/>
        <v>4.9950000000000001</v>
      </c>
    </row>
    <row r="457" spans="2:17">
      <c r="B457" s="1">
        <v>40073</v>
      </c>
      <c r="C457">
        <v>4.9649999999999999</v>
      </c>
      <c r="M457" s="1">
        <v>36896</v>
      </c>
      <c r="N457" s="1">
        <v>40073</v>
      </c>
      <c r="O457" s="1">
        <v>36892</v>
      </c>
      <c r="P457" s="72">
        <v>4.7050000000000001</v>
      </c>
      <c r="Q457" s="72">
        <f t="shared" si="9"/>
        <v>4.9649999999999999</v>
      </c>
    </row>
    <row r="458" spans="2:17">
      <c r="B458" s="1">
        <v>40080</v>
      </c>
      <c r="C458">
        <v>4.9400000000000004</v>
      </c>
      <c r="M458" s="1">
        <v>36896</v>
      </c>
      <c r="N458" s="1">
        <v>40080</v>
      </c>
      <c r="O458" s="1">
        <v>36892</v>
      </c>
      <c r="P458" s="72">
        <v>4.7050000000000001</v>
      </c>
      <c r="Q458" s="72">
        <f t="shared" si="9"/>
        <v>4.9400000000000004</v>
      </c>
    </row>
    <row r="459" spans="2:17">
      <c r="B459" s="1">
        <v>40087</v>
      </c>
      <c r="C459">
        <v>4.8650000000000002</v>
      </c>
      <c r="M459" s="1">
        <v>36896</v>
      </c>
      <c r="N459" s="1">
        <v>40087</v>
      </c>
      <c r="O459" s="1">
        <v>36892</v>
      </c>
      <c r="P459" s="72">
        <v>4.7050000000000001</v>
      </c>
      <c r="Q459" s="72">
        <f t="shared" si="9"/>
        <v>4.8650000000000002</v>
      </c>
    </row>
    <row r="460" spans="2:17">
      <c r="B460" s="1">
        <v>40094</v>
      </c>
      <c r="C460">
        <v>4.7949999999999999</v>
      </c>
      <c r="M460" s="1">
        <v>36896</v>
      </c>
      <c r="N460" s="1">
        <v>40094</v>
      </c>
      <c r="O460" s="1">
        <v>36892</v>
      </c>
      <c r="P460" s="72">
        <v>4.7050000000000001</v>
      </c>
      <c r="Q460" s="72">
        <f t="shared" si="9"/>
        <v>4.7949999999999999</v>
      </c>
    </row>
    <row r="461" spans="2:17">
      <c r="B461" s="1">
        <v>40101</v>
      </c>
      <c r="C461">
        <v>4.8449999999999998</v>
      </c>
      <c r="M461" s="1">
        <v>36896</v>
      </c>
      <c r="N461" s="1">
        <v>40101</v>
      </c>
      <c r="O461" s="1">
        <v>36892</v>
      </c>
      <c r="P461" s="72">
        <v>4.7050000000000001</v>
      </c>
      <c r="Q461" s="72">
        <f t="shared" si="9"/>
        <v>4.8449999999999998</v>
      </c>
    </row>
    <row r="462" spans="2:17">
      <c r="B462" s="1">
        <v>40108</v>
      </c>
      <c r="C462">
        <v>4.9249999999999998</v>
      </c>
      <c r="M462" s="1">
        <v>36896</v>
      </c>
      <c r="N462" s="1">
        <v>40108</v>
      </c>
      <c r="O462" s="1">
        <v>36892</v>
      </c>
      <c r="P462" s="72">
        <v>4.7050000000000001</v>
      </c>
      <c r="Q462" s="72">
        <f t="shared" si="9"/>
        <v>4.9249999999999998</v>
      </c>
    </row>
    <row r="463" spans="2:17">
      <c r="B463" s="1">
        <v>40115</v>
      </c>
      <c r="C463">
        <v>4.9550000000000001</v>
      </c>
      <c r="M463" s="1">
        <v>36896</v>
      </c>
      <c r="N463" s="1">
        <v>40115</v>
      </c>
      <c r="O463" s="1">
        <v>36892</v>
      </c>
      <c r="P463" s="72">
        <v>4.7050000000000001</v>
      </c>
      <c r="Q463" s="72">
        <f t="shared" si="9"/>
        <v>4.9550000000000001</v>
      </c>
    </row>
    <row r="464" spans="2:17">
      <c r="B464" s="1">
        <v>40122</v>
      </c>
      <c r="C464">
        <v>4.9050000000000002</v>
      </c>
      <c r="M464" s="1">
        <v>36896</v>
      </c>
      <c r="N464" s="1">
        <v>40122</v>
      </c>
      <c r="O464" s="1">
        <v>36892</v>
      </c>
      <c r="P464" s="72">
        <v>4.7050000000000001</v>
      </c>
      <c r="Q464" s="72">
        <f t="shared" si="9"/>
        <v>4.9050000000000002</v>
      </c>
    </row>
    <row r="465" spans="2:17">
      <c r="B465" s="1">
        <v>40129</v>
      </c>
      <c r="C465">
        <v>4.835</v>
      </c>
      <c r="M465" s="1">
        <v>36896</v>
      </c>
      <c r="N465" s="1">
        <v>40129</v>
      </c>
      <c r="O465" s="1">
        <v>36892</v>
      </c>
      <c r="P465" s="72">
        <v>4.7050000000000001</v>
      </c>
      <c r="Q465" s="72">
        <f t="shared" si="9"/>
        <v>4.835</v>
      </c>
    </row>
    <row r="466" spans="2:17">
      <c r="B466" s="1">
        <v>40136</v>
      </c>
      <c r="C466">
        <v>4.7549999999999999</v>
      </c>
      <c r="M466" s="1">
        <v>36896</v>
      </c>
      <c r="N466" s="1">
        <v>40136</v>
      </c>
      <c r="O466" s="1">
        <v>36892</v>
      </c>
      <c r="P466" s="72">
        <v>4.7050000000000001</v>
      </c>
      <c r="Q466" s="72">
        <f t="shared" si="9"/>
        <v>4.7549999999999999</v>
      </c>
    </row>
    <row r="467" spans="2:17">
      <c r="B467" s="1">
        <v>40142</v>
      </c>
      <c r="C467">
        <v>4.7050000000000001</v>
      </c>
      <c r="M467" s="1">
        <v>36896</v>
      </c>
      <c r="N467" s="1">
        <v>40142</v>
      </c>
      <c r="O467" s="1">
        <v>36892</v>
      </c>
      <c r="P467" s="72">
        <v>4.7050000000000001</v>
      </c>
      <c r="Q467" s="72">
        <f t="shared" si="9"/>
        <v>4.7050000000000001</v>
      </c>
    </row>
    <row r="468" spans="2:17">
      <c r="B468" s="1">
        <v>40150</v>
      </c>
      <c r="C468">
        <v>4.6349999999999998</v>
      </c>
      <c r="M468" s="1">
        <v>36896</v>
      </c>
      <c r="N468" s="1">
        <v>40150</v>
      </c>
      <c r="O468" s="1">
        <v>36892</v>
      </c>
      <c r="P468" s="72">
        <v>4.6349999999999998</v>
      </c>
      <c r="Q468" s="72">
        <f t="shared" si="9"/>
        <v>4.6349999999999998</v>
      </c>
    </row>
    <row r="469" spans="2:17">
      <c r="B469" s="1">
        <v>40157</v>
      </c>
      <c r="C469">
        <v>4.7349999999999897</v>
      </c>
      <c r="M469" s="1">
        <v>36896</v>
      </c>
      <c r="N469" s="1">
        <v>40157</v>
      </c>
      <c r="O469" s="1">
        <v>36892</v>
      </c>
      <c r="P469" s="72">
        <v>4.6349999999999998</v>
      </c>
      <c r="Q469" s="72">
        <f t="shared" si="9"/>
        <v>4.7349999999999897</v>
      </c>
    </row>
    <row r="470" spans="2:17">
      <c r="B470" s="1">
        <v>40164</v>
      </c>
      <c r="C470">
        <v>4.8650000000000002</v>
      </c>
      <c r="M470" s="1">
        <v>36896</v>
      </c>
      <c r="N470" s="1">
        <v>40164</v>
      </c>
      <c r="O470" s="1">
        <v>36892</v>
      </c>
      <c r="P470" s="72">
        <v>4.6349999999999998</v>
      </c>
      <c r="Q470" s="72">
        <f t="shared" si="9"/>
        <v>4.8650000000000002</v>
      </c>
    </row>
    <row r="471" spans="2:17">
      <c r="B471" s="1">
        <v>40171</v>
      </c>
      <c r="C471">
        <v>4.9749999999999996</v>
      </c>
      <c r="M471" s="1">
        <v>36896</v>
      </c>
      <c r="N471" s="1">
        <v>40171</v>
      </c>
      <c r="O471" s="1">
        <v>36892</v>
      </c>
      <c r="P471" s="72">
        <v>4.6349999999999998</v>
      </c>
      <c r="Q471" s="72">
        <f t="shared" si="9"/>
        <v>4.9749999999999996</v>
      </c>
    </row>
    <row r="472" spans="2:17">
      <c r="B472" s="1">
        <v>40178</v>
      </c>
      <c r="C472">
        <v>5.0649999999999897</v>
      </c>
      <c r="M472" s="1">
        <v>36896</v>
      </c>
      <c r="N472" s="1">
        <v>40178</v>
      </c>
      <c r="O472" s="1">
        <v>36892</v>
      </c>
      <c r="P472" s="72">
        <v>4.6349999999999998</v>
      </c>
      <c r="Q472" s="72">
        <f t="shared" si="9"/>
        <v>5.0649999999999897</v>
      </c>
    </row>
    <row r="473" spans="2:17">
      <c r="B473" s="1">
        <v>40185</v>
      </c>
      <c r="C473">
        <v>5.0149999999999997</v>
      </c>
      <c r="M473" s="1">
        <v>36896</v>
      </c>
      <c r="N473" s="1">
        <v>40185</v>
      </c>
      <c r="O473" s="1">
        <v>36892</v>
      </c>
      <c r="P473" s="72">
        <v>4.6349999999999998</v>
      </c>
      <c r="Q473" s="72">
        <f t="shared" si="9"/>
        <v>5.0149999999999997</v>
      </c>
    </row>
    <row r="474" spans="2:17">
      <c r="B474" s="1">
        <v>40192</v>
      </c>
      <c r="C474">
        <v>4.9849999999999897</v>
      </c>
      <c r="M474" s="1">
        <v>36896</v>
      </c>
      <c r="N474" s="1">
        <v>40192</v>
      </c>
      <c r="O474" s="1">
        <v>36892</v>
      </c>
      <c r="P474" s="72">
        <v>4.6349999999999998</v>
      </c>
      <c r="Q474" s="72">
        <f t="shared" si="9"/>
        <v>4.9849999999999897</v>
      </c>
    </row>
    <row r="475" spans="2:17">
      <c r="B475" s="1">
        <v>40199</v>
      </c>
      <c r="C475">
        <v>4.915</v>
      </c>
      <c r="M475" s="1">
        <v>36896</v>
      </c>
      <c r="N475" s="1">
        <v>40199</v>
      </c>
      <c r="O475" s="1">
        <v>36892</v>
      </c>
      <c r="P475" s="72">
        <v>4.6349999999999998</v>
      </c>
      <c r="Q475" s="72">
        <f t="shared" si="9"/>
        <v>4.915</v>
      </c>
    </row>
    <row r="476" spans="2:17">
      <c r="B476" s="1">
        <v>40206</v>
      </c>
      <c r="C476">
        <v>4.88</v>
      </c>
      <c r="M476" s="1">
        <v>36896</v>
      </c>
      <c r="N476" s="1">
        <v>40206</v>
      </c>
      <c r="O476" s="1">
        <v>36892</v>
      </c>
      <c r="P476" s="72">
        <v>4.6349999999999998</v>
      </c>
      <c r="Q476" s="72">
        <f t="shared" si="9"/>
        <v>4.88</v>
      </c>
    </row>
    <row r="477" spans="2:17">
      <c r="B477" s="1">
        <v>40213</v>
      </c>
      <c r="C477">
        <v>4.9349999999999996</v>
      </c>
      <c r="M477" s="1">
        <v>36896</v>
      </c>
      <c r="N477" s="1">
        <v>40213</v>
      </c>
      <c r="O477" s="1">
        <v>36892</v>
      </c>
      <c r="P477" s="72">
        <v>4.6349999999999998</v>
      </c>
      <c r="Q477" s="72">
        <f t="shared" si="9"/>
        <v>4.9349999999999996</v>
      </c>
    </row>
    <row r="478" spans="2:17">
      <c r="B478" s="1">
        <v>40220</v>
      </c>
      <c r="C478">
        <v>4.8949999999999996</v>
      </c>
      <c r="M478" s="1">
        <v>36896</v>
      </c>
      <c r="N478" s="1">
        <v>40220</v>
      </c>
      <c r="O478" s="1">
        <v>36892</v>
      </c>
      <c r="P478" s="72">
        <v>4.6349999999999998</v>
      </c>
      <c r="Q478" s="72">
        <f t="shared" si="9"/>
        <v>4.8949999999999996</v>
      </c>
    </row>
    <row r="479" spans="2:17">
      <c r="B479" s="1">
        <v>40227</v>
      </c>
      <c r="C479">
        <v>4.8549999999999898</v>
      </c>
      <c r="M479" s="1">
        <v>36896</v>
      </c>
      <c r="N479" s="1">
        <v>40227</v>
      </c>
      <c r="O479" s="1">
        <v>36892</v>
      </c>
      <c r="P479" s="72">
        <v>4.6349999999999998</v>
      </c>
      <c r="Q479" s="72">
        <f t="shared" si="9"/>
        <v>4.8549999999999898</v>
      </c>
    </row>
    <row r="480" spans="2:17">
      <c r="B480" s="1">
        <v>40234</v>
      </c>
      <c r="C480">
        <v>4.9749999999999996</v>
      </c>
      <c r="M480" s="1">
        <v>36896</v>
      </c>
      <c r="N480" s="1">
        <v>40234</v>
      </c>
      <c r="O480" s="1">
        <v>36892</v>
      </c>
      <c r="P480" s="72">
        <v>4.6349999999999998</v>
      </c>
      <c r="Q480" s="72">
        <f t="shared" si="9"/>
        <v>4.9749999999999996</v>
      </c>
    </row>
    <row r="481" spans="2:17">
      <c r="B481" s="1">
        <v>40241</v>
      </c>
      <c r="C481">
        <v>4.8949999999999996</v>
      </c>
      <c r="M481" s="1">
        <v>36896</v>
      </c>
      <c r="N481" s="1">
        <v>40241</v>
      </c>
      <c r="O481" s="1">
        <v>36892</v>
      </c>
      <c r="P481" s="72">
        <v>4.6349999999999998</v>
      </c>
      <c r="Q481" s="72">
        <f t="shared" si="9"/>
        <v>4.8949999999999996</v>
      </c>
    </row>
    <row r="482" spans="2:17">
      <c r="B482" s="1">
        <v>40248</v>
      </c>
      <c r="C482">
        <v>4.875</v>
      </c>
      <c r="M482" s="1">
        <v>36896</v>
      </c>
      <c r="N482" s="1">
        <v>40248</v>
      </c>
      <c r="O482" s="1">
        <v>36892</v>
      </c>
      <c r="P482" s="72">
        <v>4.6349999999999998</v>
      </c>
      <c r="Q482" s="72">
        <f t="shared" si="9"/>
        <v>4.875</v>
      </c>
    </row>
    <row r="483" spans="2:17">
      <c r="B483" s="1">
        <v>40255</v>
      </c>
      <c r="C483">
        <v>4.8849999999999998</v>
      </c>
      <c r="M483" s="1">
        <v>36896</v>
      </c>
      <c r="N483" s="1">
        <v>40255</v>
      </c>
      <c r="O483" s="1">
        <v>36892</v>
      </c>
      <c r="P483" s="72">
        <v>4.6349999999999998</v>
      </c>
      <c r="Q483" s="72">
        <f t="shared" si="9"/>
        <v>4.8849999999999998</v>
      </c>
    </row>
    <row r="484" spans="2:17">
      <c r="B484" s="1">
        <v>40262</v>
      </c>
      <c r="C484">
        <v>4.8899999999999997</v>
      </c>
      <c r="M484" s="1">
        <v>36896</v>
      </c>
      <c r="N484" s="1">
        <v>40262</v>
      </c>
      <c r="O484" s="1">
        <v>36892</v>
      </c>
      <c r="P484" s="72">
        <v>4.6349999999999998</v>
      </c>
      <c r="Q484" s="72">
        <f t="shared" si="9"/>
        <v>4.8899999999999997</v>
      </c>
    </row>
    <row r="485" spans="2:17">
      <c r="B485" s="1">
        <v>40269</v>
      </c>
      <c r="C485">
        <v>5.0049999999999999</v>
      </c>
      <c r="M485" s="1">
        <v>36896</v>
      </c>
      <c r="N485" s="1">
        <v>40269</v>
      </c>
      <c r="O485" s="1">
        <v>36892</v>
      </c>
      <c r="P485" s="72">
        <v>4.6349999999999998</v>
      </c>
      <c r="Q485" s="72">
        <f t="shared" si="9"/>
        <v>5.0049999999999999</v>
      </c>
    </row>
    <row r="486" spans="2:17">
      <c r="B486" s="1">
        <v>40276</v>
      </c>
      <c r="C486">
        <v>5.1100000000000003</v>
      </c>
      <c r="M486" s="1">
        <v>36896</v>
      </c>
      <c r="N486" s="1">
        <v>40276</v>
      </c>
      <c r="O486" s="1">
        <v>36892</v>
      </c>
      <c r="P486" s="72">
        <v>4.6349999999999998</v>
      </c>
      <c r="Q486" s="72">
        <f t="shared" si="9"/>
        <v>5.1100000000000003</v>
      </c>
    </row>
    <row r="487" spans="2:17">
      <c r="B487" s="1">
        <v>40283</v>
      </c>
      <c r="C487">
        <v>4.97</v>
      </c>
      <c r="M487" s="1">
        <v>36896</v>
      </c>
      <c r="N487" s="1">
        <v>40283</v>
      </c>
      <c r="O487" s="1">
        <v>36892</v>
      </c>
      <c r="P487" s="72">
        <v>4.6349999999999998</v>
      </c>
      <c r="Q487" s="72">
        <f t="shared" si="9"/>
        <v>4.97</v>
      </c>
    </row>
    <row r="488" spans="2:17">
      <c r="B488" s="1">
        <v>40290</v>
      </c>
      <c r="C488">
        <v>4.9950000000000001</v>
      </c>
      <c r="M488" s="1">
        <v>36896</v>
      </c>
      <c r="N488" s="1">
        <v>40290</v>
      </c>
      <c r="O488" s="1">
        <v>36892</v>
      </c>
      <c r="P488" s="72">
        <v>4.6349999999999998</v>
      </c>
      <c r="Q488" s="72">
        <f t="shared" si="9"/>
        <v>4.9950000000000001</v>
      </c>
    </row>
    <row r="489" spans="2:17">
      <c r="B489" s="1">
        <v>40297</v>
      </c>
      <c r="C489">
        <v>4.9849999999999897</v>
      </c>
      <c r="M489" s="1">
        <v>36896</v>
      </c>
      <c r="N489" s="1">
        <v>40297</v>
      </c>
      <c r="O489" s="1">
        <v>36892</v>
      </c>
      <c r="P489" s="72">
        <v>4.6349999999999998</v>
      </c>
      <c r="Q489" s="72">
        <f t="shared" si="9"/>
        <v>4.9849999999999897</v>
      </c>
    </row>
    <row r="490" spans="2:17">
      <c r="B490" s="1">
        <v>40304</v>
      </c>
      <c r="C490">
        <v>4.9249999999999998</v>
      </c>
      <c r="M490" s="1">
        <v>36896</v>
      </c>
      <c r="N490" s="1">
        <v>40304</v>
      </c>
      <c r="O490" s="1">
        <v>36892</v>
      </c>
      <c r="P490" s="72">
        <v>4.6349999999999998</v>
      </c>
      <c r="Q490" s="72">
        <f t="shared" si="9"/>
        <v>4.9249999999999998</v>
      </c>
    </row>
    <row r="491" spans="2:17">
      <c r="B491" s="1">
        <v>40311</v>
      </c>
      <c r="C491">
        <v>4.8549999999999898</v>
      </c>
      <c r="M491" s="1">
        <v>36896</v>
      </c>
      <c r="N491" s="1">
        <v>40311</v>
      </c>
      <c r="O491" s="1">
        <v>36892</v>
      </c>
      <c r="P491" s="72">
        <v>4.6349999999999998</v>
      </c>
      <c r="Q491" s="72">
        <f t="shared" si="9"/>
        <v>4.8549999999999898</v>
      </c>
    </row>
    <row r="492" spans="2:17">
      <c r="B492" s="1">
        <v>40318</v>
      </c>
      <c r="C492">
        <v>4.7649999999999997</v>
      </c>
      <c r="M492" s="1">
        <v>36896</v>
      </c>
      <c r="N492" s="1">
        <v>40318</v>
      </c>
      <c r="O492" s="1">
        <v>36892</v>
      </c>
      <c r="P492" s="72">
        <v>4.6349999999999998</v>
      </c>
      <c r="Q492" s="72">
        <f t="shared" si="9"/>
        <v>4.7649999999999997</v>
      </c>
    </row>
    <row r="493" spans="2:17">
      <c r="B493" s="1">
        <v>40325</v>
      </c>
      <c r="C493">
        <v>4.7050000000000001</v>
      </c>
      <c r="M493" s="1">
        <v>36896</v>
      </c>
      <c r="N493" s="1">
        <v>40325</v>
      </c>
      <c r="O493" s="1">
        <v>36892</v>
      </c>
      <c r="P493" s="72">
        <v>4.6349999999999998</v>
      </c>
      <c r="Q493" s="72">
        <f t="shared" si="9"/>
        <v>4.7050000000000001</v>
      </c>
    </row>
    <row r="494" spans="2:17">
      <c r="B494" s="1">
        <v>40332</v>
      </c>
      <c r="C494">
        <v>4.74</v>
      </c>
      <c r="M494" s="1">
        <v>36896</v>
      </c>
      <c r="N494" s="1">
        <v>40332</v>
      </c>
      <c r="O494" s="1">
        <v>36892</v>
      </c>
      <c r="P494" s="72">
        <v>4.6349999999999998</v>
      </c>
      <c r="Q494" s="72">
        <f t="shared" si="9"/>
        <v>4.74</v>
      </c>
    </row>
    <row r="495" spans="2:17">
      <c r="B495" s="1">
        <v>40339</v>
      </c>
      <c r="C495">
        <v>4.6449999999999996</v>
      </c>
      <c r="M495" s="1">
        <v>36896</v>
      </c>
      <c r="N495" s="1">
        <v>40339</v>
      </c>
      <c r="O495" s="1">
        <v>36892</v>
      </c>
      <c r="P495" s="72">
        <v>4.6349999999999998</v>
      </c>
      <c r="Q495" s="72">
        <f t="shared" si="9"/>
        <v>4.6449999999999996</v>
      </c>
    </row>
    <row r="496" spans="2:17">
      <c r="B496" s="1">
        <v>40346</v>
      </c>
      <c r="C496">
        <v>4.6749999999999998</v>
      </c>
      <c r="M496" s="1">
        <v>36896</v>
      </c>
      <c r="N496" s="1">
        <v>40346</v>
      </c>
      <c r="O496" s="1">
        <v>36892</v>
      </c>
      <c r="P496" s="72">
        <v>4.6349999999999998</v>
      </c>
      <c r="Q496" s="72">
        <f t="shared" si="9"/>
        <v>4.6749999999999998</v>
      </c>
    </row>
    <row r="497" spans="2:17">
      <c r="B497" s="1">
        <v>40353</v>
      </c>
      <c r="C497">
        <v>4.6150000000000002</v>
      </c>
      <c r="M497" s="1">
        <v>36896</v>
      </c>
      <c r="N497" s="1">
        <v>40353</v>
      </c>
      <c r="O497" s="1">
        <v>36892</v>
      </c>
      <c r="P497" s="72">
        <v>4.6150000000000002</v>
      </c>
      <c r="Q497" s="72">
        <f t="shared" si="9"/>
        <v>4.6150000000000002</v>
      </c>
    </row>
    <row r="498" spans="2:17">
      <c r="B498" s="1">
        <v>40360</v>
      </c>
      <c r="C498">
        <v>4.5049999999999999</v>
      </c>
      <c r="M498" s="1">
        <v>36896</v>
      </c>
      <c r="N498" s="1">
        <v>40360</v>
      </c>
      <c r="O498" s="1">
        <v>36892</v>
      </c>
      <c r="P498" s="72">
        <v>4.5049999999999999</v>
      </c>
      <c r="Q498" s="72">
        <f t="shared" si="9"/>
        <v>4.5049999999999999</v>
      </c>
    </row>
    <row r="499" spans="2:17">
      <c r="B499" s="1">
        <v>40367</v>
      </c>
      <c r="C499">
        <v>4.4950000000000001</v>
      </c>
      <c r="M499" s="1">
        <v>36896</v>
      </c>
      <c r="N499" s="1">
        <v>40367</v>
      </c>
      <c r="O499" s="1">
        <v>36892</v>
      </c>
      <c r="P499" s="72">
        <v>4.4950000000000001</v>
      </c>
      <c r="Q499" s="72">
        <f t="shared" si="9"/>
        <v>4.4950000000000001</v>
      </c>
    </row>
    <row r="500" spans="2:17">
      <c r="B500" s="1">
        <v>40374</v>
      </c>
      <c r="C500">
        <v>4.4950000000000001</v>
      </c>
      <c r="M500" s="1">
        <v>36896</v>
      </c>
      <c r="N500" s="1">
        <v>40374</v>
      </c>
      <c r="O500" s="1">
        <v>36892</v>
      </c>
      <c r="P500" s="72">
        <v>4.4950000000000001</v>
      </c>
      <c r="Q500" s="72">
        <f t="shared" si="9"/>
        <v>4.4950000000000001</v>
      </c>
    </row>
    <row r="501" spans="2:17">
      <c r="B501" s="1">
        <v>40381</v>
      </c>
      <c r="C501">
        <v>4.4849999999999897</v>
      </c>
      <c r="M501" s="1">
        <v>36896</v>
      </c>
      <c r="N501" s="1">
        <v>40381</v>
      </c>
      <c r="O501" s="1">
        <v>36892</v>
      </c>
      <c r="P501" s="72">
        <v>4.4849899999999998</v>
      </c>
      <c r="Q501" s="72">
        <f t="shared" si="9"/>
        <v>4.4849999999999897</v>
      </c>
    </row>
    <row r="502" spans="2:17">
      <c r="B502" s="1">
        <v>40388</v>
      </c>
      <c r="C502">
        <v>4.4649999999999999</v>
      </c>
      <c r="M502" s="1">
        <v>36896</v>
      </c>
      <c r="N502" s="1">
        <v>40388</v>
      </c>
      <c r="O502" s="1">
        <v>36892</v>
      </c>
      <c r="P502" s="72">
        <v>4.4649999999999999</v>
      </c>
      <c r="Q502" s="72">
        <f t="shared" si="9"/>
        <v>4.4649999999999999</v>
      </c>
    </row>
    <row r="503" spans="2:17">
      <c r="B503" s="1">
        <v>40395</v>
      </c>
      <c r="C503">
        <v>4.415</v>
      </c>
      <c r="M503" s="1">
        <v>36896</v>
      </c>
      <c r="N503" s="1">
        <v>40395</v>
      </c>
      <c r="O503" s="1">
        <v>36892</v>
      </c>
      <c r="P503" s="72">
        <v>4.415</v>
      </c>
      <c r="Q503" s="72">
        <f t="shared" si="9"/>
        <v>4.415</v>
      </c>
    </row>
    <row r="504" spans="2:17">
      <c r="B504" s="1">
        <v>40402</v>
      </c>
      <c r="C504">
        <v>4.3650000000000002</v>
      </c>
      <c r="M504" s="1">
        <v>36896</v>
      </c>
      <c r="N504" s="1">
        <v>40402</v>
      </c>
      <c r="O504" s="1">
        <v>36892</v>
      </c>
      <c r="P504" s="72">
        <v>4.3650000000000002</v>
      </c>
      <c r="Q504" s="72">
        <f t="shared" si="9"/>
        <v>4.3650000000000002</v>
      </c>
    </row>
    <row r="505" spans="2:17">
      <c r="B505" s="1">
        <v>40409</v>
      </c>
      <c r="C505">
        <v>4.3449999999999998</v>
      </c>
      <c r="M505" s="1">
        <v>36896</v>
      </c>
      <c r="N505" s="1">
        <v>40409</v>
      </c>
      <c r="O505" s="1">
        <v>36892</v>
      </c>
      <c r="P505" s="72">
        <v>4.3449999999999998</v>
      </c>
      <c r="Q505" s="72">
        <f t="shared" si="9"/>
        <v>4.3449999999999998</v>
      </c>
    </row>
    <row r="506" spans="2:17">
      <c r="B506" s="1">
        <v>40416</v>
      </c>
      <c r="C506">
        <v>4.2850000000000001</v>
      </c>
      <c r="M506" s="1">
        <v>36896</v>
      </c>
      <c r="N506" s="1">
        <v>40416</v>
      </c>
      <c r="O506" s="1">
        <v>36892</v>
      </c>
      <c r="P506" s="72">
        <v>4.2850000000000001</v>
      </c>
      <c r="Q506" s="72">
        <f t="shared" si="9"/>
        <v>4.2850000000000001</v>
      </c>
    </row>
    <row r="507" spans="2:17">
      <c r="B507" s="1">
        <v>40423</v>
      </c>
      <c r="C507">
        <v>4.2450000000000001</v>
      </c>
      <c r="M507" s="1">
        <v>36896</v>
      </c>
      <c r="N507" s="1">
        <v>40423</v>
      </c>
      <c r="O507" s="1">
        <v>36892</v>
      </c>
      <c r="P507" s="72">
        <v>4.2450000000000001</v>
      </c>
      <c r="Q507" s="72">
        <f t="shared" si="9"/>
        <v>4.2450000000000001</v>
      </c>
    </row>
    <row r="508" spans="2:17">
      <c r="B508" s="1">
        <v>40430</v>
      </c>
      <c r="C508">
        <v>4.2749999999999897</v>
      </c>
      <c r="M508" s="1">
        <v>36896</v>
      </c>
      <c r="N508" s="1">
        <v>40430</v>
      </c>
      <c r="O508" s="1">
        <v>36892</v>
      </c>
      <c r="P508" s="72">
        <v>4.2450000000000001</v>
      </c>
      <c r="Q508" s="72">
        <f t="shared" si="9"/>
        <v>4.2749999999999897</v>
      </c>
    </row>
    <row r="509" spans="2:17">
      <c r="B509" s="1">
        <v>40437</v>
      </c>
      <c r="C509">
        <v>4.2949999999999999</v>
      </c>
      <c r="M509" s="1">
        <v>36896</v>
      </c>
      <c r="N509" s="1">
        <v>40437</v>
      </c>
      <c r="O509" s="1">
        <v>36892</v>
      </c>
      <c r="P509" s="72">
        <v>4.2450000000000001</v>
      </c>
      <c r="Q509" s="72">
        <f t="shared" si="9"/>
        <v>4.2949999999999999</v>
      </c>
    </row>
    <row r="510" spans="2:17">
      <c r="B510" s="1">
        <v>40444</v>
      </c>
      <c r="C510">
        <v>4.2949999999999999</v>
      </c>
      <c r="M510" s="1">
        <v>36896</v>
      </c>
      <c r="N510" s="1">
        <v>40444</v>
      </c>
      <c r="O510" s="1">
        <v>36892</v>
      </c>
      <c r="P510" s="72">
        <v>4.2450000000000001</v>
      </c>
      <c r="Q510" s="72">
        <f t="shared" si="9"/>
        <v>4.2949999999999999</v>
      </c>
    </row>
    <row r="511" spans="2:17">
      <c r="B511" s="1">
        <v>40451</v>
      </c>
      <c r="C511">
        <v>4.2699999999999996</v>
      </c>
      <c r="M511" s="1">
        <v>36896</v>
      </c>
      <c r="N511" s="1">
        <v>40451</v>
      </c>
      <c r="O511" s="1">
        <v>36892</v>
      </c>
      <c r="P511" s="72">
        <v>4.2450000000000001</v>
      </c>
      <c r="Q511" s="72">
        <f t="shared" si="9"/>
        <v>4.2699999999999996</v>
      </c>
    </row>
    <row r="512" spans="2:17">
      <c r="B512" s="1">
        <v>40458</v>
      </c>
      <c r="C512">
        <v>4.22</v>
      </c>
      <c r="M512" s="1">
        <v>36896</v>
      </c>
      <c r="N512" s="1">
        <v>40458</v>
      </c>
      <c r="O512" s="1">
        <v>36892</v>
      </c>
      <c r="P512" s="72">
        <v>4.22</v>
      </c>
      <c r="Q512" s="72">
        <f t="shared" si="9"/>
        <v>4.22</v>
      </c>
    </row>
    <row r="513" spans="2:17">
      <c r="B513" s="1">
        <v>40465</v>
      </c>
      <c r="C513">
        <v>4.1399999999999997</v>
      </c>
      <c r="M513" s="1">
        <v>36896</v>
      </c>
      <c r="N513" s="1">
        <v>40465</v>
      </c>
      <c r="O513" s="1">
        <v>36892</v>
      </c>
      <c r="P513" s="72">
        <v>4.1399999999999997</v>
      </c>
      <c r="Q513" s="72">
        <f t="shared" si="9"/>
        <v>4.1399999999999997</v>
      </c>
    </row>
    <row r="514" spans="2:17">
      <c r="B514" s="1">
        <v>40472</v>
      </c>
      <c r="C514">
        <v>4.16</v>
      </c>
      <c r="M514" s="1">
        <v>36896</v>
      </c>
      <c r="N514" s="1">
        <v>40472</v>
      </c>
      <c r="O514" s="1">
        <v>36892</v>
      </c>
      <c r="P514" s="72">
        <v>4.1399999999999997</v>
      </c>
      <c r="Q514" s="72">
        <f t="shared" si="9"/>
        <v>4.16</v>
      </c>
    </row>
    <row r="515" spans="2:17">
      <c r="B515" s="1">
        <v>40479</v>
      </c>
      <c r="C515">
        <v>4.18</v>
      </c>
      <c r="M515" s="1">
        <v>36896</v>
      </c>
      <c r="N515" s="1">
        <v>40479</v>
      </c>
      <c r="O515" s="1">
        <v>36892</v>
      </c>
      <c r="P515" s="72">
        <v>4.1399999999999997</v>
      </c>
      <c r="Q515" s="72">
        <f t="shared" si="9"/>
        <v>4.18</v>
      </c>
    </row>
    <row r="516" spans="2:17">
      <c r="B516" s="1">
        <v>40486</v>
      </c>
      <c r="C516">
        <v>4.1900000000000004</v>
      </c>
      <c r="M516" s="1">
        <v>36896</v>
      </c>
      <c r="N516" s="1">
        <v>40486</v>
      </c>
      <c r="O516" s="1">
        <v>36892</v>
      </c>
      <c r="P516" s="72">
        <v>4.1399999999999997</v>
      </c>
      <c r="Q516" s="72">
        <f t="shared" ref="Q516:Q579" si="10">VLOOKUP(N516,B:C,2,0)</f>
        <v>4.1900000000000004</v>
      </c>
    </row>
    <row r="517" spans="2:17">
      <c r="B517" s="1">
        <v>40493</v>
      </c>
      <c r="C517">
        <v>4.12</v>
      </c>
      <c r="M517" s="1">
        <v>36896</v>
      </c>
      <c r="N517" s="1">
        <v>40493</v>
      </c>
      <c r="O517" s="1">
        <v>36892</v>
      </c>
      <c r="P517" s="72">
        <v>4.12</v>
      </c>
      <c r="Q517" s="72">
        <f t="shared" si="10"/>
        <v>4.12</v>
      </c>
    </row>
    <row r="518" spans="2:17">
      <c r="B518" s="1">
        <v>40500</v>
      </c>
      <c r="C518">
        <v>4.3649999999999904</v>
      </c>
      <c r="M518" s="1">
        <v>36896</v>
      </c>
      <c r="N518" s="1">
        <v>40500</v>
      </c>
      <c r="O518" s="1">
        <v>36892</v>
      </c>
      <c r="P518" s="72">
        <v>4.12</v>
      </c>
      <c r="Q518" s="72">
        <f t="shared" si="10"/>
        <v>4.3649999999999904</v>
      </c>
    </row>
    <row r="519" spans="2:17">
      <c r="B519" s="1">
        <v>40506</v>
      </c>
      <c r="C519">
        <v>4.3499999999999996</v>
      </c>
      <c r="M519" s="1">
        <v>36896</v>
      </c>
      <c r="N519" s="1">
        <v>40506</v>
      </c>
      <c r="O519" s="1">
        <v>36892</v>
      </c>
      <c r="P519" s="72">
        <v>4.12</v>
      </c>
      <c r="Q519" s="72">
        <f t="shared" si="10"/>
        <v>4.3499999999999996</v>
      </c>
    </row>
    <row r="520" spans="2:17">
      <c r="B520" s="1">
        <v>40514</v>
      </c>
      <c r="C520">
        <v>4.41</v>
      </c>
      <c r="M520" s="1">
        <v>36896</v>
      </c>
      <c r="N520" s="1">
        <v>40514</v>
      </c>
      <c r="O520" s="1">
        <v>36892</v>
      </c>
      <c r="P520" s="72">
        <v>4.12</v>
      </c>
      <c r="Q520" s="72">
        <f t="shared" si="10"/>
        <v>4.41</v>
      </c>
    </row>
    <row r="521" spans="2:17">
      <c r="B521" s="1">
        <v>40521</v>
      </c>
      <c r="C521">
        <v>4.5350000000000001</v>
      </c>
      <c r="M521" s="1">
        <v>36896</v>
      </c>
      <c r="N521" s="1">
        <v>40521</v>
      </c>
      <c r="O521" s="1">
        <v>36892</v>
      </c>
      <c r="P521" s="72">
        <v>4.12</v>
      </c>
      <c r="Q521" s="72">
        <f t="shared" si="10"/>
        <v>4.5350000000000001</v>
      </c>
    </row>
    <row r="522" spans="2:17">
      <c r="B522" s="1">
        <v>40528</v>
      </c>
      <c r="C522">
        <v>4.7549999999999999</v>
      </c>
      <c r="M522" s="1">
        <v>36896</v>
      </c>
      <c r="N522" s="1">
        <v>40528</v>
      </c>
      <c r="O522" s="1">
        <v>36892</v>
      </c>
      <c r="P522" s="72">
        <v>4.12</v>
      </c>
      <c r="Q522" s="72">
        <f t="shared" si="10"/>
        <v>4.7549999999999999</v>
      </c>
    </row>
    <row r="523" spans="2:17">
      <c r="B523" s="1">
        <v>40535</v>
      </c>
      <c r="C523">
        <v>4.7349999999999897</v>
      </c>
      <c r="M523" s="1">
        <v>36896</v>
      </c>
      <c r="N523" s="1">
        <v>40535</v>
      </c>
      <c r="O523" s="1">
        <v>36892</v>
      </c>
      <c r="P523" s="72">
        <v>4.12</v>
      </c>
      <c r="Q523" s="72">
        <f t="shared" si="10"/>
        <v>4.7349999999999897</v>
      </c>
    </row>
    <row r="524" spans="2:17">
      <c r="B524" s="1">
        <v>40542</v>
      </c>
      <c r="C524">
        <v>4.8099999999999996</v>
      </c>
      <c r="M524" s="1">
        <v>36896</v>
      </c>
      <c r="N524" s="1">
        <v>40542</v>
      </c>
      <c r="O524" s="1">
        <v>36892</v>
      </c>
      <c r="P524" s="72">
        <v>4.12</v>
      </c>
      <c r="Q524" s="72">
        <f t="shared" si="10"/>
        <v>4.8099999999999996</v>
      </c>
    </row>
    <row r="525" spans="2:17">
      <c r="B525" s="1">
        <v>40549</v>
      </c>
      <c r="C525">
        <v>4.72</v>
      </c>
      <c r="M525" s="1">
        <v>36896</v>
      </c>
      <c r="N525" s="1">
        <v>40549</v>
      </c>
      <c r="O525" s="1">
        <v>36892</v>
      </c>
      <c r="P525" s="72">
        <v>4.12</v>
      </c>
      <c r="Q525" s="72">
        <f t="shared" si="10"/>
        <v>4.72</v>
      </c>
    </row>
    <row r="526" spans="2:17">
      <c r="B526" s="1">
        <v>40556</v>
      </c>
      <c r="C526">
        <v>4.66</v>
      </c>
      <c r="M526" s="1">
        <v>36896</v>
      </c>
      <c r="N526" s="1">
        <v>40556</v>
      </c>
      <c r="O526" s="1">
        <v>36892</v>
      </c>
      <c r="P526" s="72">
        <v>4.12</v>
      </c>
      <c r="Q526" s="72">
        <f t="shared" si="10"/>
        <v>4.66</v>
      </c>
    </row>
    <row r="527" spans="2:17">
      <c r="B527" s="1">
        <v>40563</v>
      </c>
      <c r="C527">
        <v>4.6900000000000004</v>
      </c>
      <c r="M527" s="1">
        <v>36896</v>
      </c>
      <c r="N527" s="1">
        <v>40563</v>
      </c>
      <c r="O527" s="1">
        <v>36892</v>
      </c>
      <c r="P527" s="72">
        <v>4.12</v>
      </c>
      <c r="Q527" s="72">
        <f t="shared" si="10"/>
        <v>4.6900000000000004</v>
      </c>
    </row>
    <row r="528" spans="2:17">
      <c r="B528" s="1">
        <v>40570</v>
      </c>
      <c r="C528">
        <v>4.7249999999999996</v>
      </c>
      <c r="M528" s="1">
        <v>36896</v>
      </c>
      <c r="N528" s="1">
        <v>40570</v>
      </c>
      <c r="O528" s="1">
        <v>36892</v>
      </c>
      <c r="P528" s="72">
        <v>4.12</v>
      </c>
      <c r="Q528" s="72">
        <f t="shared" si="10"/>
        <v>4.7249999999999996</v>
      </c>
    </row>
    <row r="529" spans="2:17">
      <c r="B529" s="1">
        <v>40577</v>
      </c>
      <c r="C529">
        <v>4.76</v>
      </c>
      <c r="M529" s="1">
        <v>36896</v>
      </c>
      <c r="N529" s="1">
        <v>40577</v>
      </c>
      <c r="O529" s="1">
        <v>36892</v>
      </c>
      <c r="P529" s="72">
        <v>4.12</v>
      </c>
      <c r="Q529" s="72">
        <f t="shared" si="10"/>
        <v>4.76</v>
      </c>
    </row>
    <row r="530" spans="2:17">
      <c r="B530" s="1">
        <v>40584</v>
      </c>
      <c r="C530">
        <v>4.9749999999999996</v>
      </c>
      <c r="M530" s="1">
        <v>36896</v>
      </c>
      <c r="N530" s="1">
        <v>40584</v>
      </c>
      <c r="O530" s="1">
        <v>36892</v>
      </c>
      <c r="P530" s="72">
        <v>4.12</v>
      </c>
      <c r="Q530" s="72">
        <f t="shared" si="10"/>
        <v>4.9749999999999996</v>
      </c>
    </row>
    <row r="531" spans="2:17">
      <c r="B531" s="1">
        <v>40591</v>
      </c>
      <c r="C531">
        <v>4.9249999999999998</v>
      </c>
      <c r="M531" s="1">
        <v>36896</v>
      </c>
      <c r="N531" s="1">
        <v>40591</v>
      </c>
      <c r="O531" s="1">
        <v>36892</v>
      </c>
      <c r="P531" s="72">
        <v>4.12</v>
      </c>
      <c r="Q531" s="72">
        <f t="shared" si="10"/>
        <v>4.9249999999999998</v>
      </c>
    </row>
    <row r="532" spans="2:17">
      <c r="B532" s="1">
        <v>40598</v>
      </c>
      <c r="C532">
        <v>4.8499999999999996</v>
      </c>
      <c r="M532" s="1">
        <v>36896</v>
      </c>
      <c r="N532" s="1">
        <v>40598</v>
      </c>
      <c r="O532" s="1">
        <v>36892</v>
      </c>
      <c r="P532" s="72">
        <v>4.12</v>
      </c>
      <c r="Q532" s="72">
        <f t="shared" si="10"/>
        <v>4.8499999999999996</v>
      </c>
    </row>
    <row r="533" spans="2:17">
      <c r="B533" s="1">
        <v>40605</v>
      </c>
      <c r="C533">
        <v>4.7949999999999999</v>
      </c>
      <c r="M533" s="1">
        <v>36896</v>
      </c>
      <c r="N533" s="1">
        <v>40605</v>
      </c>
      <c r="O533" s="1">
        <v>36892</v>
      </c>
      <c r="P533" s="72">
        <v>4.12</v>
      </c>
      <c r="Q533" s="72">
        <f t="shared" si="10"/>
        <v>4.7949999999999999</v>
      </c>
    </row>
    <row r="534" spans="2:17">
      <c r="B534" s="1">
        <v>40612</v>
      </c>
      <c r="C534">
        <v>4.8049999999999997</v>
      </c>
      <c r="M534" s="1">
        <v>36896</v>
      </c>
      <c r="N534" s="1">
        <v>40612</v>
      </c>
      <c r="O534" s="1">
        <v>36892</v>
      </c>
      <c r="P534" s="72">
        <v>4.12</v>
      </c>
      <c r="Q534" s="72">
        <f t="shared" si="10"/>
        <v>4.8049999999999997</v>
      </c>
    </row>
    <row r="535" spans="2:17">
      <c r="B535" s="1">
        <v>40619</v>
      </c>
      <c r="C535">
        <v>4.6849999999999996</v>
      </c>
      <c r="M535" s="1">
        <v>36896</v>
      </c>
      <c r="N535" s="1">
        <v>40619</v>
      </c>
      <c r="O535" s="1">
        <v>36892</v>
      </c>
      <c r="P535" s="72">
        <v>4.12</v>
      </c>
      <c r="Q535" s="72">
        <f t="shared" si="10"/>
        <v>4.6849999999999996</v>
      </c>
    </row>
    <row r="536" spans="2:17">
      <c r="B536" s="1">
        <v>40626</v>
      </c>
      <c r="C536">
        <v>4.7349999999999897</v>
      </c>
      <c r="M536" s="1">
        <v>36896</v>
      </c>
      <c r="N536" s="1">
        <v>40626</v>
      </c>
      <c r="O536" s="1">
        <v>36892</v>
      </c>
      <c r="P536" s="72">
        <v>4.12</v>
      </c>
      <c r="Q536" s="72">
        <f t="shared" si="10"/>
        <v>4.7349999999999897</v>
      </c>
    </row>
    <row r="537" spans="2:17">
      <c r="B537" s="1">
        <v>40633</v>
      </c>
      <c r="C537">
        <v>4.7850000000000001</v>
      </c>
      <c r="M537" s="1">
        <v>36896</v>
      </c>
      <c r="N537" s="1">
        <v>40633</v>
      </c>
      <c r="O537" s="1">
        <v>36892</v>
      </c>
      <c r="P537" s="72">
        <v>4.12</v>
      </c>
      <c r="Q537" s="72">
        <f t="shared" si="10"/>
        <v>4.7850000000000001</v>
      </c>
    </row>
    <row r="538" spans="2:17">
      <c r="B538" s="1">
        <v>40640</v>
      </c>
      <c r="C538">
        <v>4.7949999999999999</v>
      </c>
      <c r="M538" s="1">
        <v>36896</v>
      </c>
      <c r="N538" s="1">
        <v>40640</v>
      </c>
      <c r="O538" s="1">
        <v>36892</v>
      </c>
      <c r="P538" s="72">
        <v>4.12</v>
      </c>
      <c r="Q538" s="72">
        <f t="shared" si="10"/>
        <v>4.7949999999999999</v>
      </c>
    </row>
    <row r="539" spans="2:17">
      <c r="B539" s="1">
        <v>40647</v>
      </c>
      <c r="C539">
        <v>4.8099999999999996</v>
      </c>
      <c r="M539" s="1">
        <v>36896</v>
      </c>
      <c r="N539" s="1">
        <v>40647</v>
      </c>
      <c r="O539" s="1">
        <v>36892</v>
      </c>
      <c r="P539" s="72">
        <v>4.12</v>
      </c>
      <c r="Q539" s="72">
        <f t="shared" si="10"/>
        <v>4.8099999999999996</v>
      </c>
    </row>
    <row r="540" spans="2:17">
      <c r="B540" s="1">
        <v>40654</v>
      </c>
      <c r="C540">
        <v>4.7249999999999996</v>
      </c>
      <c r="M540" s="1">
        <v>36896</v>
      </c>
      <c r="N540" s="1">
        <v>40654</v>
      </c>
      <c r="O540" s="1">
        <v>36892</v>
      </c>
      <c r="P540" s="72">
        <v>4.12</v>
      </c>
      <c r="Q540" s="72">
        <f t="shared" si="10"/>
        <v>4.7249999999999996</v>
      </c>
    </row>
    <row r="541" spans="2:17">
      <c r="B541" s="1">
        <v>40661</v>
      </c>
      <c r="C541">
        <v>4.7050000000000001</v>
      </c>
      <c r="M541" s="1">
        <v>36896</v>
      </c>
      <c r="N541" s="1">
        <v>40661</v>
      </c>
      <c r="O541" s="1">
        <v>36892</v>
      </c>
      <c r="P541" s="72">
        <v>4.12</v>
      </c>
      <c r="Q541" s="72">
        <f t="shared" si="10"/>
        <v>4.7050000000000001</v>
      </c>
    </row>
    <row r="542" spans="2:17">
      <c r="B542" s="1">
        <v>40668</v>
      </c>
      <c r="C542">
        <v>4.6349999999999998</v>
      </c>
      <c r="M542" s="1">
        <v>36896</v>
      </c>
      <c r="N542" s="1">
        <v>40668</v>
      </c>
      <c r="O542" s="1">
        <v>36892</v>
      </c>
      <c r="P542" s="72">
        <v>4.12</v>
      </c>
      <c r="Q542" s="72">
        <f t="shared" si="10"/>
        <v>4.6349999999999998</v>
      </c>
    </row>
    <row r="543" spans="2:17">
      <c r="B543" s="1">
        <v>40675</v>
      </c>
      <c r="C543">
        <v>4.5549999999999997</v>
      </c>
      <c r="M543" s="1">
        <v>36896</v>
      </c>
      <c r="N543" s="1">
        <v>40675</v>
      </c>
      <c r="O543" s="1">
        <v>36892</v>
      </c>
      <c r="P543" s="72">
        <v>4.12</v>
      </c>
      <c r="Q543" s="72">
        <f t="shared" si="10"/>
        <v>4.5549999999999997</v>
      </c>
    </row>
    <row r="544" spans="2:17">
      <c r="B544" s="1">
        <v>40682</v>
      </c>
      <c r="C544">
        <v>4.5350000000000001</v>
      </c>
      <c r="M544" s="1">
        <v>36896</v>
      </c>
      <c r="N544" s="1">
        <v>40682</v>
      </c>
      <c r="O544" s="1">
        <v>36892</v>
      </c>
      <c r="P544" s="72">
        <v>4.12</v>
      </c>
      <c r="Q544" s="72">
        <f t="shared" si="10"/>
        <v>4.5350000000000001</v>
      </c>
    </row>
    <row r="545" spans="2:17">
      <c r="B545" s="1">
        <v>40689</v>
      </c>
      <c r="C545">
        <v>4.5249999999999897</v>
      </c>
      <c r="M545" s="1">
        <v>36896</v>
      </c>
      <c r="N545" s="1">
        <v>40689</v>
      </c>
      <c r="O545" s="1">
        <v>36892</v>
      </c>
      <c r="P545" s="72">
        <v>4.12</v>
      </c>
      <c r="Q545" s="72">
        <f t="shared" si="10"/>
        <v>4.5249999999999897</v>
      </c>
    </row>
    <row r="546" spans="2:17">
      <c r="B546" s="1">
        <v>40696</v>
      </c>
      <c r="C546">
        <v>4.45</v>
      </c>
      <c r="M546" s="1">
        <v>36896</v>
      </c>
      <c r="N546" s="1">
        <v>40696</v>
      </c>
      <c r="O546" s="1">
        <v>36892</v>
      </c>
      <c r="P546" s="72">
        <v>4.12</v>
      </c>
      <c r="Q546" s="72">
        <f t="shared" si="10"/>
        <v>4.45</v>
      </c>
    </row>
    <row r="547" spans="2:17">
      <c r="B547" s="1">
        <v>40703</v>
      </c>
      <c r="C547">
        <v>4.415</v>
      </c>
      <c r="M547" s="1">
        <v>36896</v>
      </c>
      <c r="N547" s="1">
        <v>40703</v>
      </c>
      <c r="O547" s="1">
        <v>36892</v>
      </c>
      <c r="P547" s="72">
        <v>4.12</v>
      </c>
      <c r="Q547" s="72">
        <f t="shared" si="10"/>
        <v>4.415</v>
      </c>
    </row>
    <row r="548" spans="2:17">
      <c r="B548" s="1">
        <v>40710</v>
      </c>
      <c r="C548">
        <v>4.4249999999999998</v>
      </c>
      <c r="M548" s="1">
        <v>36896</v>
      </c>
      <c r="N548" s="1">
        <v>40710</v>
      </c>
      <c r="O548" s="1">
        <v>36892</v>
      </c>
      <c r="P548" s="72">
        <v>4.12</v>
      </c>
      <c r="Q548" s="72">
        <f t="shared" si="10"/>
        <v>4.4249999999999998</v>
      </c>
    </row>
    <row r="549" spans="2:17">
      <c r="B549" s="1">
        <v>40717</v>
      </c>
      <c r="C549">
        <v>4.45</v>
      </c>
      <c r="M549" s="1">
        <v>36896</v>
      </c>
      <c r="N549" s="1">
        <v>40717</v>
      </c>
      <c r="O549" s="1">
        <v>36892</v>
      </c>
      <c r="P549" s="72">
        <v>4.12</v>
      </c>
      <c r="Q549" s="72">
        <f t="shared" si="10"/>
        <v>4.45</v>
      </c>
    </row>
    <row r="550" spans="2:17">
      <c r="B550" s="1">
        <v>40724</v>
      </c>
      <c r="C550">
        <v>4.4349999999999996</v>
      </c>
      <c r="M550" s="1">
        <v>36896</v>
      </c>
      <c r="N550" s="1">
        <v>40724</v>
      </c>
      <c r="O550" s="1">
        <v>36892</v>
      </c>
      <c r="P550" s="72">
        <v>4.12</v>
      </c>
      <c r="Q550" s="72">
        <f t="shared" si="10"/>
        <v>4.4349999999999996</v>
      </c>
    </row>
    <row r="551" spans="2:17">
      <c r="B551" s="1">
        <v>40731</v>
      </c>
      <c r="C551">
        <v>4.5249999999999897</v>
      </c>
      <c r="M551" s="1">
        <v>36896</v>
      </c>
      <c r="N551" s="1">
        <v>40731</v>
      </c>
      <c r="O551" s="1">
        <v>36892</v>
      </c>
      <c r="P551" s="72">
        <v>4.12</v>
      </c>
      <c r="Q551" s="72">
        <f t="shared" si="10"/>
        <v>4.5249999999999897</v>
      </c>
    </row>
    <row r="552" spans="2:17">
      <c r="B552" s="1">
        <v>40738</v>
      </c>
      <c r="C552">
        <v>4.4349999999999996</v>
      </c>
      <c r="M552" s="1">
        <v>36896</v>
      </c>
      <c r="N552" s="1">
        <v>40738</v>
      </c>
      <c r="O552" s="1">
        <v>36892</v>
      </c>
      <c r="P552" s="72">
        <v>4.12</v>
      </c>
      <c r="Q552" s="72">
        <f t="shared" si="10"/>
        <v>4.4349999999999996</v>
      </c>
    </row>
    <row r="553" spans="2:17">
      <c r="B553" s="1">
        <v>40745</v>
      </c>
      <c r="C553">
        <v>4.4449999999999896</v>
      </c>
      <c r="M553" s="1">
        <v>36896</v>
      </c>
      <c r="N553" s="1">
        <v>40745</v>
      </c>
      <c r="O553" s="1">
        <v>36892</v>
      </c>
      <c r="P553" s="72">
        <v>4.12</v>
      </c>
      <c r="Q553" s="72">
        <f t="shared" si="10"/>
        <v>4.4449999999999896</v>
      </c>
    </row>
    <row r="554" spans="2:17">
      <c r="B554" s="1">
        <v>40752</v>
      </c>
      <c r="C554">
        <v>4.5</v>
      </c>
      <c r="M554" s="1">
        <v>36896</v>
      </c>
      <c r="N554" s="1">
        <v>40752</v>
      </c>
      <c r="O554" s="1">
        <v>36892</v>
      </c>
      <c r="P554" s="72">
        <v>4.12</v>
      </c>
      <c r="Q554" s="72">
        <f t="shared" si="10"/>
        <v>4.5</v>
      </c>
    </row>
    <row r="555" spans="2:17">
      <c r="B555" s="1">
        <v>40759</v>
      </c>
      <c r="C555">
        <v>4.34</v>
      </c>
      <c r="M555" s="1">
        <v>36896</v>
      </c>
      <c r="N555" s="1">
        <v>40759</v>
      </c>
      <c r="O555" s="1">
        <v>36892</v>
      </c>
      <c r="P555" s="72">
        <v>4.12</v>
      </c>
      <c r="Q555" s="72">
        <f t="shared" si="10"/>
        <v>4.34</v>
      </c>
    </row>
    <row r="556" spans="2:17">
      <c r="B556" s="1">
        <v>40766</v>
      </c>
      <c r="C556">
        <v>4.2450000000000001</v>
      </c>
      <c r="M556" s="1">
        <v>36896</v>
      </c>
      <c r="N556" s="1">
        <v>40766</v>
      </c>
      <c r="O556" s="1">
        <v>36892</v>
      </c>
      <c r="P556" s="72">
        <v>4.12</v>
      </c>
      <c r="Q556" s="72">
        <f t="shared" si="10"/>
        <v>4.2450000000000001</v>
      </c>
    </row>
    <row r="557" spans="2:17">
      <c r="B557" s="1">
        <v>40773</v>
      </c>
      <c r="C557">
        <v>4.0750000000000002</v>
      </c>
      <c r="M557" s="1">
        <v>36896</v>
      </c>
      <c r="N557" s="1">
        <v>40773</v>
      </c>
      <c r="O557" s="1">
        <v>36892</v>
      </c>
      <c r="P557" s="72">
        <v>4.0750000000000002</v>
      </c>
      <c r="Q557" s="72">
        <f t="shared" si="10"/>
        <v>4.0750000000000002</v>
      </c>
    </row>
    <row r="558" spans="2:17">
      <c r="B558" s="1">
        <v>40780</v>
      </c>
      <c r="C558">
        <v>4.1449999999999996</v>
      </c>
      <c r="M558" s="1">
        <v>36896</v>
      </c>
      <c r="N558" s="1">
        <v>40780</v>
      </c>
      <c r="O558" s="1">
        <v>36892</v>
      </c>
      <c r="P558" s="72">
        <v>4.0750000000000002</v>
      </c>
      <c r="Q558" s="72">
        <f t="shared" si="10"/>
        <v>4.1449999999999996</v>
      </c>
    </row>
    <row r="559" spans="2:17">
      <c r="B559" s="1">
        <v>40787</v>
      </c>
      <c r="C559">
        <v>4.1449999999999996</v>
      </c>
      <c r="M559" s="1">
        <v>36896</v>
      </c>
      <c r="N559" s="1">
        <v>40787</v>
      </c>
      <c r="O559" s="1">
        <v>36892</v>
      </c>
      <c r="P559" s="72">
        <v>4.0750000000000002</v>
      </c>
      <c r="Q559" s="72">
        <f t="shared" si="10"/>
        <v>4.1449999999999996</v>
      </c>
    </row>
    <row r="560" spans="2:17">
      <c r="B560" s="1">
        <v>40794</v>
      </c>
      <c r="C560">
        <v>4.0449999999999999</v>
      </c>
      <c r="M560" s="1">
        <v>36896</v>
      </c>
      <c r="N560" s="1">
        <v>40794</v>
      </c>
      <c r="O560" s="1">
        <v>36892</v>
      </c>
      <c r="P560" s="72">
        <v>4.0449999999999999</v>
      </c>
      <c r="Q560" s="72">
        <f t="shared" si="10"/>
        <v>4.0449999999999999</v>
      </c>
    </row>
    <row r="561" spans="2:17">
      <c r="B561" s="1">
        <v>40801</v>
      </c>
      <c r="C561">
        <v>4.0149999999999997</v>
      </c>
      <c r="M561" s="1">
        <v>36896</v>
      </c>
      <c r="N561" s="1">
        <v>40801</v>
      </c>
      <c r="O561" s="1">
        <v>36892</v>
      </c>
      <c r="P561" s="72">
        <v>4.0149900000000001</v>
      </c>
      <c r="Q561" s="72">
        <f t="shared" si="10"/>
        <v>4.0149999999999997</v>
      </c>
    </row>
    <row r="562" spans="2:17">
      <c r="B562" s="1">
        <v>40808</v>
      </c>
      <c r="C562">
        <v>4.0149999999999997</v>
      </c>
      <c r="M562" s="1">
        <v>36896</v>
      </c>
      <c r="N562" s="1">
        <v>40808</v>
      </c>
      <c r="O562" s="1">
        <v>36892</v>
      </c>
      <c r="P562" s="72">
        <v>4.0149900000000001</v>
      </c>
      <c r="Q562" s="72">
        <f t="shared" si="10"/>
        <v>4.0149999999999997</v>
      </c>
    </row>
    <row r="563" spans="2:17">
      <c r="B563" s="1">
        <v>40815</v>
      </c>
      <c r="C563">
        <v>3.9349999999999898</v>
      </c>
      <c r="M563" s="1">
        <v>36896</v>
      </c>
      <c r="N563" s="1">
        <v>40815</v>
      </c>
      <c r="O563" s="1">
        <v>36892</v>
      </c>
      <c r="P563" s="72">
        <v>3.93499</v>
      </c>
      <c r="Q563" s="72">
        <f t="shared" si="10"/>
        <v>3.9349999999999898</v>
      </c>
    </row>
    <row r="564" spans="2:17">
      <c r="B564" s="1">
        <v>40822</v>
      </c>
      <c r="C564">
        <v>3.89</v>
      </c>
      <c r="M564" s="1">
        <v>36896</v>
      </c>
      <c r="N564" s="1">
        <v>40822</v>
      </c>
      <c r="O564" s="1">
        <v>36892</v>
      </c>
      <c r="P564" s="72">
        <v>3.89</v>
      </c>
      <c r="Q564" s="72">
        <f t="shared" si="10"/>
        <v>3.89</v>
      </c>
    </row>
    <row r="565" spans="2:17">
      <c r="B565" s="1">
        <v>40829</v>
      </c>
      <c r="C565">
        <v>4.07</v>
      </c>
      <c r="M565" s="1">
        <v>36896</v>
      </c>
      <c r="N565" s="1">
        <v>40829</v>
      </c>
      <c r="O565" s="1">
        <v>36892</v>
      </c>
      <c r="P565" s="72">
        <v>3.89</v>
      </c>
      <c r="Q565" s="72">
        <f t="shared" si="10"/>
        <v>4.07</v>
      </c>
    </row>
    <row r="566" spans="2:17">
      <c r="B566" s="1">
        <v>40836</v>
      </c>
      <c r="C566">
        <v>4.0599999999999996</v>
      </c>
      <c r="M566" s="1">
        <v>36896</v>
      </c>
      <c r="N566" s="1">
        <v>40836</v>
      </c>
      <c r="O566" s="1">
        <v>36892</v>
      </c>
      <c r="P566" s="72">
        <v>3.89</v>
      </c>
      <c r="Q566" s="72">
        <f t="shared" si="10"/>
        <v>4.0599999999999996</v>
      </c>
    </row>
    <row r="567" spans="2:17">
      <c r="B567" s="1">
        <v>40843</v>
      </c>
      <c r="C567">
        <v>4.05</v>
      </c>
      <c r="M567" s="1">
        <v>36896</v>
      </c>
      <c r="N567" s="1">
        <v>40843</v>
      </c>
      <c r="O567" s="1">
        <v>36892</v>
      </c>
      <c r="P567" s="72">
        <v>3.89</v>
      </c>
      <c r="Q567" s="72">
        <f t="shared" si="10"/>
        <v>4.05</v>
      </c>
    </row>
    <row r="568" spans="2:17">
      <c r="B568" s="1">
        <v>40850</v>
      </c>
      <c r="C568">
        <v>3.9249999999999998</v>
      </c>
      <c r="M568" s="1">
        <v>36896</v>
      </c>
      <c r="N568" s="1">
        <v>40850</v>
      </c>
      <c r="O568" s="1">
        <v>36892</v>
      </c>
      <c r="P568" s="72">
        <v>3.89</v>
      </c>
      <c r="Q568" s="72">
        <f t="shared" si="10"/>
        <v>3.9249999999999998</v>
      </c>
    </row>
    <row r="569" spans="2:17">
      <c r="B569" s="1">
        <v>40857</v>
      </c>
      <c r="C569">
        <v>3.915</v>
      </c>
      <c r="M569" s="1">
        <v>36896</v>
      </c>
      <c r="N569" s="1">
        <v>40857</v>
      </c>
      <c r="O569" s="1">
        <v>36892</v>
      </c>
      <c r="P569" s="72">
        <v>3.89</v>
      </c>
      <c r="Q569" s="72">
        <f t="shared" si="10"/>
        <v>3.915</v>
      </c>
    </row>
    <row r="570" spans="2:17">
      <c r="B570" s="1">
        <v>40864</v>
      </c>
      <c r="C570">
        <v>3.9249999999999998</v>
      </c>
      <c r="M570" s="1">
        <v>36896</v>
      </c>
      <c r="N570" s="1">
        <v>40864</v>
      </c>
      <c r="O570" s="1">
        <v>36892</v>
      </c>
      <c r="P570" s="72">
        <v>3.89</v>
      </c>
      <c r="Q570" s="72">
        <f t="shared" si="10"/>
        <v>3.9249999999999998</v>
      </c>
    </row>
    <row r="571" spans="2:17">
      <c r="B571" s="1">
        <v>40870</v>
      </c>
      <c r="C571">
        <v>3.9049999999999998</v>
      </c>
      <c r="M571" s="1">
        <v>36896</v>
      </c>
      <c r="N571" s="1">
        <v>40870</v>
      </c>
      <c r="O571" s="1">
        <v>36892</v>
      </c>
      <c r="P571" s="72">
        <v>3.89</v>
      </c>
      <c r="Q571" s="72">
        <f t="shared" si="10"/>
        <v>3.9049999999999998</v>
      </c>
    </row>
    <row r="572" spans="2:17">
      <c r="B572" s="1">
        <v>40878</v>
      </c>
      <c r="C572">
        <v>3.9249999999999998</v>
      </c>
      <c r="M572" s="1">
        <v>36896</v>
      </c>
      <c r="N572" s="1">
        <v>40878</v>
      </c>
      <c r="O572" s="1">
        <v>36892</v>
      </c>
      <c r="P572" s="72">
        <v>3.89</v>
      </c>
      <c r="Q572" s="72">
        <f t="shared" si="10"/>
        <v>3.9249999999999998</v>
      </c>
    </row>
    <row r="573" spans="2:17">
      <c r="B573" s="1">
        <v>40885</v>
      </c>
      <c r="C573">
        <v>3.915</v>
      </c>
      <c r="M573" s="1">
        <v>36896</v>
      </c>
      <c r="N573" s="1">
        <v>40885</v>
      </c>
      <c r="O573" s="1">
        <v>36892</v>
      </c>
      <c r="P573" s="72">
        <v>3.89</v>
      </c>
      <c r="Q573" s="72">
        <f t="shared" si="10"/>
        <v>3.915</v>
      </c>
    </row>
    <row r="574" spans="2:17">
      <c r="B574" s="1">
        <v>40892</v>
      </c>
      <c r="C574">
        <v>3.89</v>
      </c>
      <c r="M574" s="1">
        <v>36896</v>
      </c>
      <c r="N574" s="1">
        <v>40892</v>
      </c>
      <c r="O574" s="1">
        <v>36892</v>
      </c>
      <c r="P574" s="72">
        <v>3.89</v>
      </c>
      <c r="Q574" s="72">
        <f t="shared" si="10"/>
        <v>3.89</v>
      </c>
    </row>
    <row r="575" spans="2:17">
      <c r="B575" s="1">
        <v>40899</v>
      </c>
      <c r="C575">
        <v>3.835</v>
      </c>
      <c r="M575" s="1">
        <v>36896</v>
      </c>
      <c r="N575" s="1">
        <v>40899</v>
      </c>
      <c r="O575" s="1">
        <v>36892</v>
      </c>
      <c r="P575" s="72">
        <v>3.835</v>
      </c>
      <c r="Q575" s="72">
        <f t="shared" si="10"/>
        <v>3.835</v>
      </c>
    </row>
    <row r="576" spans="2:17">
      <c r="B576" s="1">
        <v>40906</v>
      </c>
      <c r="C576">
        <v>3.875</v>
      </c>
      <c r="M576" s="1">
        <v>36896</v>
      </c>
      <c r="N576" s="1">
        <v>40906</v>
      </c>
      <c r="O576" s="1">
        <v>36892</v>
      </c>
      <c r="P576" s="72">
        <v>3.835</v>
      </c>
      <c r="Q576" s="72">
        <f t="shared" si="10"/>
        <v>3.875</v>
      </c>
    </row>
    <row r="577" spans="2:17">
      <c r="B577" s="1">
        <v>40913</v>
      </c>
      <c r="C577">
        <v>3.86</v>
      </c>
      <c r="M577" s="1">
        <v>36896</v>
      </c>
      <c r="N577" s="1">
        <v>40913</v>
      </c>
      <c r="O577" s="1">
        <v>36892</v>
      </c>
      <c r="P577" s="72">
        <v>3.835</v>
      </c>
      <c r="Q577" s="72">
        <f t="shared" si="10"/>
        <v>3.86</v>
      </c>
    </row>
    <row r="578" spans="2:17">
      <c r="B578" s="1">
        <v>40920</v>
      </c>
      <c r="C578">
        <v>3.8149999999999999</v>
      </c>
      <c r="M578" s="1">
        <v>36896</v>
      </c>
      <c r="N578" s="1">
        <v>40920</v>
      </c>
      <c r="O578" s="1">
        <v>36892</v>
      </c>
      <c r="P578" s="72">
        <v>3.8149999999999999</v>
      </c>
      <c r="Q578" s="72">
        <f t="shared" si="10"/>
        <v>3.8149999999999999</v>
      </c>
    </row>
    <row r="579" spans="2:17">
      <c r="B579" s="1">
        <v>40927</v>
      </c>
      <c r="C579">
        <v>3.83</v>
      </c>
      <c r="M579" s="1">
        <v>36896</v>
      </c>
      <c r="N579" s="1">
        <v>40927</v>
      </c>
      <c r="O579" s="1">
        <v>36892</v>
      </c>
      <c r="P579" s="72">
        <v>3.8149999999999999</v>
      </c>
      <c r="Q579" s="72">
        <f t="shared" si="10"/>
        <v>3.83</v>
      </c>
    </row>
    <row r="580" spans="2:17">
      <c r="B580" s="1">
        <v>40934</v>
      </c>
      <c r="C580">
        <v>3.9049999999999998</v>
      </c>
      <c r="M580" s="1">
        <v>36896</v>
      </c>
      <c r="N580" s="1">
        <v>40934</v>
      </c>
      <c r="O580" s="1">
        <v>36892</v>
      </c>
      <c r="P580" s="72">
        <v>3.8149999999999999</v>
      </c>
      <c r="Q580" s="72">
        <f t="shared" ref="Q580:Q643" si="11">VLOOKUP(N580,B:C,2,0)</f>
        <v>3.9049999999999998</v>
      </c>
    </row>
    <row r="581" spans="2:17">
      <c r="B581" s="1">
        <v>40941</v>
      </c>
      <c r="C581">
        <v>3.82</v>
      </c>
      <c r="M581" s="1">
        <v>36896</v>
      </c>
      <c r="N581" s="1">
        <v>40941</v>
      </c>
      <c r="O581" s="1">
        <v>36892</v>
      </c>
      <c r="P581" s="72">
        <v>3.8149999999999999</v>
      </c>
      <c r="Q581" s="72">
        <f t="shared" si="11"/>
        <v>3.82</v>
      </c>
    </row>
    <row r="582" spans="2:17">
      <c r="B582" s="1">
        <v>40948</v>
      </c>
      <c r="C582">
        <v>3.82</v>
      </c>
      <c r="M582" s="1">
        <v>36896</v>
      </c>
      <c r="N582" s="1">
        <v>40948</v>
      </c>
      <c r="O582" s="1">
        <v>36892</v>
      </c>
      <c r="P582" s="72">
        <v>3.8149999999999999</v>
      </c>
      <c r="Q582" s="72">
        <f t="shared" si="11"/>
        <v>3.82</v>
      </c>
    </row>
    <row r="583" spans="2:17">
      <c r="B583" s="1">
        <v>40955</v>
      </c>
      <c r="C583">
        <v>3.82</v>
      </c>
      <c r="M583" s="1">
        <v>36896</v>
      </c>
      <c r="N583" s="1">
        <v>40955</v>
      </c>
      <c r="O583" s="1">
        <v>36892</v>
      </c>
      <c r="P583" s="72">
        <v>3.8149999999999999</v>
      </c>
      <c r="Q583" s="72">
        <f t="shared" si="11"/>
        <v>3.82</v>
      </c>
    </row>
    <row r="584" spans="2:17">
      <c r="B584" s="1">
        <v>40962</v>
      </c>
      <c r="C584">
        <v>3.9</v>
      </c>
      <c r="M584" s="1">
        <v>36896</v>
      </c>
      <c r="N584" s="1">
        <v>40962</v>
      </c>
      <c r="O584" s="1">
        <v>36892</v>
      </c>
      <c r="P584" s="72">
        <v>3.8149999999999999</v>
      </c>
      <c r="Q584" s="72">
        <f t="shared" si="11"/>
        <v>3.9</v>
      </c>
    </row>
    <row r="585" spans="2:17">
      <c r="B585" s="1">
        <v>40969</v>
      </c>
      <c r="C585">
        <v>3.85</v>
      </c>
      <c r="M585" s="1">
        <v>36896</v>
      </c>
      <c r="N585" s="1">
        <v>40969</v>
      </c>
      <c r="O585" s="1">
        <v>36892</v>
      </c>
      <c r="P585" s="72">
        <v>3.8149999999999999</v>
      </c>
      <c r="Q585" s="72">
        <f t="shared" si="11"/>
        <v>3.85</v>
      </c>
    </row>
    <row r="586" spans="2:17">
      <c r="B586" s="1">
        <v>40976</v>
      </c>
      <c r="C586">
        <v>3.83</v>
      </c>
      <c r="M586" s="1">
        <v>36896</v>
      </c>
      <c r="N586" s="1">
        <v>40976</v>
      </c>
      <c r="O586" s="1">
        <v>36892</v>
      </c>
      <c r="P586" s="72">
        <v>3.8149999999999999</v>
      </c>
      <c r="Q586" s="72">
        <f t="shared" si="11"/>
        <v>3.83</v>
      </c>
    </row>
    <row r="587" spans="2:17">
      <c r="B587" s="1">
        <v>40983</v>
      </c>
      <c r="C587">
        <v>3.87</v>
      </c>
      <c r="M587" s="1">
        <v>36896</v>
      </c>
      <c r="N587" s="1">
        <v>40983</v>
      </c>
      <c r="O587" s="1">
        <v>36892</v>
      </c>
      <c r="P587" s="72">
        <v>3.8149999999999999</v>
      </c>
      <c r="Q587" s="72">
        <f t="shared" si="11"/>
        <v>3.87</v>
      </c>
    </row>
    <row r="588" spans="2:17">
      <c r="B588" s="1">
        <v>40990</v>
      </c>
      <c r="C588">
        <v>4.03</v>
      </c>
      <c r="M588" s="1">
        <v>36896</v>
      </c>
      <c r="N588" s="1">
        <v>40990</v>
      </c>
      <c r="O588" s="1">
        <v>36892</v>
      </c>
      <c r="P588" s="72">
        <v>3.8149999999999999</v>
      </c>
      <c r="Q588" s="72">
        <f t="shared" si="11"/>
        <v>4.03</v>
      </c>
    </row>
    <row r="589" spans="2:17">
      <c r="B589" s="1">
        <v>40997</v>
      </c>
      <c r="C589">
        <v>3.915</v>
      </c>
      <c r="M589" s="1">
        <v>36896</v>
      </c>
      <c r="N589" s="1">
        <v>40997</v>
      </c>
      <c r="O589" s="1">
        <v>36892</v>
      </c>
      <c r="P589" s="72">
        <v>3.8149999999999999</v>
      </c>
      <c r="Q589" s="72">
        <f t="shared" si="11"/>
        <v>3.915</v>
      </c>
    </row>
    <row r="590" spans="2:17">
      <c r="B590" s="1">
        <v>41004</v>
      </c>
      <c r="C590">
        <v>3.9049999999999998</v>
      </c>
      <c r="M590" s="1">
        <v>36896</v>
      </c>
      <c r="N590" s="1">
        <v>41004</v>
      </c>
      <c r="O590" s="1">
        <v>36892</v>
      </c>
      <c r="P590" s="72">
        <v>3.8149999999999999</v>
      </c>
      <c r="Q590" s="72">
        <f t="shared" si="11"/>
        <v>3.9049999999999998</v>
      </c>
    </row>
    <row r="591" spans="2:17">
      <c r="B591" s="1">
        <v>41011</v>
      </c>
      <c r="C591">
        <v>3.8049999999999899</v>
      </c>
      <c r="M591" s="1">
        <v>36896</v>
      </c>
      <c r="N591" s="1">
        <v>41011</v>
      </c>
      <c r="O591" s="1">
        <v>36892</v>
      </c>
      <c r="P591" s="72">
        <v>3.8050000000000002</v>
      </c>
      <c r="Q591" s="72">
        <f t="shared" si="11"/>
        <v>3.8049999999999899</v>
      </c>
    </row>
    <row r="592" spans="2:17">
      <c r="B592" s="1">
        <v>41018</v>
      </c>
      <c r="C592">
        <v>3.85</v>
      </c>
      <c r="M592" s="1">
        <v>36896</v>
      </c>
      <c r="N592" s="1">
        <v>41018</v>
      </c>
      <c r="O592" s="1">
        <v>36892</v>
      </c>
      <c r="P592" s="72">
        <v>3.8050000000000002</v>
      </c>
      <c r="Q592" s="72">
        <f t="shared" si="11"/>
        <v>3.85</v>
      </c>
    </row>
    <row r="593" spans="2:17">
      <c r="B593" s="1">
        <v>41025</v>
      </c>
      <c r="C593">
        <v>3.8049999999999899</v>
      </c>
      <c r="M593" s="1">
        <v>36896</v>
      </c>
      <c r="N593" s="1">
        <v>41025</v>
      </c>
      <c r="O593" s="1">
        <v>36892</v>
      </c>
      <c r="P593" s="72">
        <v>3.8050000000000002</v>
      </c>
      <c r="Q593" s="72">
        <f t="shared" si="11"/>
        <v>3.8049999999999899</v>
      </c>
    </row>
    <row r="594" spans="2:17">
      <c r="B594" s="1">
        <v>41032</v>
      </c>
      <c r="C594">
        <v>3.79</v>
      </c>
      <c r="M594" s="1">
        <v>36896</v>
      </c>
      <c r="N594" s="1">
        <v>41032</v>
      </c>
      <c r="O594" s="1">
        <v>36892</v>
      </c>
      <c r="P594" s="72">
        <v>3.79</v>
      </c>
      <c r="Q594" s="72">
        <f t="shared" si="11"/>
        <v>3.79</v>
      </c>
    </row>
    <row r="595" spans="2:17">
      <c r="B595" s="1">
        <v>41039</v>
      </c>
      <c r="C595">
        <v>3.7549999999999999</v>
      </c>
      <c r="M595" s="1">
        <v>36896</v>
      </c>
      <c r="N595" s="1">
        <v>41039</v>
      </c>
      <c r="O595" s="1">
        <v>36892</v>
      </c>
      <c r="P595" s="72">
        <v>3.7549999999999999</v>
      </c>
      <c r="Q595" s="72">
        <f t="shared" si="11"/>
        <v>3.7549999999999999</v>
      </c>
    </row>
    <row r="596" spans="2:17">
      <c r="B596" s="1">
        <v>41046</v>
      </c>
      <c r="C596">
        <v>3.7149999999999999</v>
      </c>
      <c r="M596" s="1">
        <v>36896</v>
      </c>
      <c r="N596" s="1">
        <v>41046</v>
      </c>
      <c r="O596" s="1">
        <v>36892</v>
      </c>
      <c r="P596" s="72">
        <v>3.7149999999999999</v>
      </c>
      <c r="Q596" s="72">
        <f t="shared" si="11"/>
        <v>3.7149999999999999</v>
      </c>
    </row>
    <row r="597" spans="2:17">
      <c r="B597" s="1">
        <v>41053</v>
      </c>
      <c r="C597">
        <v>3.73</v>
      </c>
      <c r="M597" s="1">
        <v>36896</v>
      </c>
      <c r="N597" s="1">
        <v>41053</v>
      </c>
      <c r="O597" s="1">
        <v>36892</v>
      </c>
      <c r="P597" s="72">
        <v>3.7149999999999999</v>
      </c>
      <c r="Q597" s="72">
        <f t="shared" si="11"/>
        <v>3.73</v>
      </c>
    </row>
    <row r="598" spans="2:17">
      <c r="B598" s="1">
        <v>41060</v>
      </c>
      <c r="C598">
        <v>3.7</v>
      </c>
      <c r="M598" s="1">
        <v>36896</v>
      </c>
      <c r="N598" s="1">
        <v>41060</v>
      </c>
      <c r="O598" s="1">
        <v>36892</v>
      </c>
      <c r="P598" s="72">
        <v>3.7</v>
      </c>
      <c r="Q598" s="72">
        <f t="shared" si="11"/>
        <v>3.7</v>
      </c>
    </row>
    <row r="599" spans="2:17">
      <c r="B599" s="1">
        <v>41067</v>
      </c>
      <c r="C599">
        <v>3.59499999999999</v>
      </c>
      <c r="M599" s="1">
        <v>36896</v>
      </c>
      <c r="N599" s="1">
        <v>41067</v>
      </c>
      <c r="O599" s="1">
        <v>36892</v>
      </c>
      <c r="P599" s="72">
        <v>3.5950000000000002</v>
      </c>
      <c r="Q599" s="72">
        <f t="shared" si="11"/>
        <v>3.59499999999999</v>
      </c>
    </row>
    <row r="600" spans="2:17">
      <c r="B600" s="1">
        <v>41074</v>
      </c>
      <c r="C600">
        <v>3.6349999999999998</v>
      </c>
      <c r="M600" s="1">
        <v>36896</v>
      </c>
      <c r="N600" s="1">
        <v>41074</v>
      </c>
      <c r="O600" s="1">
        <v>36892</v>
      </c>
      <c r="P600" s="72">
        <v>3.5950000000000002</v>
      </c>
      <c r="Q600" s="72">
        <f t="shared" si="11"/>
        <v>3.6349999999999998</v>
      </c>
    </row>
    <row r="601" spans="2:17">
      <c r="B601" s="1">
        <v>41081</v>
      </c>
      <c r="C601">
        <v>3.585</v>
      </c>
      <c r="M601" s="1">
        <v>36896</v>
      </c>
      <c r="N601" s="1">
        <v>41081</v>
      </c>
      <c r="O601" s="1">
        <v>36892</v>
      </c>
      <c r="P601" s="72">
        <v>3.585</v>
      </c>
      <c r="Q601" s="72">
        <f t="shared" si="11"/>
        <v>3.585</v>
      </c>
    </row>
    <row r="602" spans="2:17">
      <c r="B602" s="1">
        <v>41088</v>
      </c>
      <c r="C602">
        <v>3.585</v>
      </c>
      <c r="M602" s="1">
        <v>36896</v>
      </c>
      <c r="N602" s="1">
        <v>41088</v>
      </c>
      <c r="O602" s="1">
        <v>36892</v>
      </c>
      <c r="P602" s="72">
        <v>3.585</v>
      </c>
      <c r="Q602" s="72">
        <f t="shared" si="11"/>
        <v>3.585</v>
      </c>
    </row>
    <row r="603" spans="2:17">
      <c r="B603" s="1">
        <v>41095</v>
      </c>
      <c r="C603">
        <v>3.57</v>
      </c>
      <c r="M603" s="1">
        <v>36896</v>
      </c>
      <c r="N603" s="1">
        <v>41095</v>
      </c>
      <c r="O603" s="1">
        <v>36892</v>
      </c>
      <c r="P603" s="72">
        <v>3.57</v>
      </c>
      <c r="Q603" s="72">
        <f t="shared" si="11"/>
        <v>3.57</v>
      </c>
    </row>
    <row r="604" spans="2:17">
      <c r="B604" s="1">
        <v>41102</v>
      </c>
      <c r="C604">
        <v>3.4849999999999999</v>
      </c>
      <c r="M604" s="1">
        <v>36896</v>
      </c>
      <c r="N604" s="1">
        <v>41102</v>
      </c>
      <c r="O604" s="1">
        <v>36892</v>
      </c>
      <c r="P604" s="72">
        <v>3.4849999999999999</v>
      </c>
      <c r="Q604" s="72">
        <f t="shared" si="11"/>
        <v>3.4849999999999999</v>
      </c>
    </row>
    <row r="605" spans="2:17">
      <c r="B605" s="1">
        <v>41109</v>
      </c>
      <c r="C605">
        <v>3.4549999999999899</v>
      </c>
      <c r="M605" s="1">
        <v>36896</v>
      </c>
      <c r="N605" s="1">
        <v>41109</v>
      </c>
      <c r="O605" s="1">
        <v>36892</v>
      </c>
      <c r="P605" s="72">
        <v>3.45499</v>
      </c>
      <c r="Q605" s="72">
        <f t="shared" si="11"/>
        <v>3.4549999999999899</v>
      </c>
    </row>
    <row r="606" spans="2:17">
      <c r="B606" s="1">
        <v>41116</v>
      </c>
      <c r="C606">
        <v>3.415</v>
      </c>
      <c r="M606" s="1">
        <v>36896</v>
      </c>
      <c r="N606" s="1">
        <v>41116</v>
      </c>
      <c r="O606" s="1">
        <v>36892</v>
      </c>
      <c r="P606" s="72">
        <v>3.415</v>
      </c>
      <c r="Q606" s="72">
        <f t="shared" si="11"/>
        <v>3.415</v>
      </c>
    </row>
    <row r="607" spans="2:17">
      <c r="B607" s="1">
        <v>41123</v>
      </c>
      <c r="C607">
        <v>3.4749999999999899</v>
      </c>
      <c r="M607" s="1">
        <v>36896</v>
      </c>
      <c r="N607" s="1">
        <v>41123</v>
      </c>
      <c r="O607" s="1">
        <v>36892</v>
      </c>
      <c r="P607" s="72">
        <v>3.415</v>
      </c>
      <c r="Q607" s="72">
        <f t="shared" si="11"/>
        <v>3.4749999999999899</v>
      </c>
    </row>
    <row r="608" spans="2:17">
      <c r="B608" s="1">
        <v>41130</v>
      </c>
      <c r="C608">
        <v>3.48999999999999</v>
      </c>
      <c r="M608" s="1">
        <v>36896</v>
      </c>
      <c r="N608" s="1">
        <v>41130</v>
      </c>
      <c r="O608" s="1">
        <v>36892</v>
      </c>
      <c r="P608" s="72">
        <v>3.415</v>
      </c>
      <c r="Q608" s="72">
        <f t="shared" si="11"/>
        <v>3.48999999999999</v>
      </c>
    </row>
    <row r="609" spans="2:17">
      <c r="B609" s="1">
        <v>41137</v>
      </c>
      <c r="C609">
        <v>3.52</v>
      </c>
      <c r="M609" s="1">
        <v>36896</v>
      </c>
      <c r="N609" s="1">
        <v>41137</v>
      </c>
      <c r="O609" s="1">
        <v>36892</v>
      </c>
      <c r="P609" s="72">
        <v>3.415</v>
      </c>
      <c r="Q609" s="72">
        <f t="shared" si="11"/>
        <v>3.52</v>
      </c>
    </row>
    <row r="610" spans="2:17">
      <c r="B610" s="1">
        <v>41144</v>
      </c>
      <c r="C610">
        <v>3.585</v>
      </c>
      <c r="M610" s="1">
        <v>36896</v>
      </c>
      <c r="N610" s="1">
        <v>41144</v>
      </c>
      <c r="O610" s="1">
        <v>36892</v>
      </c>
      <c r="P610" s="72">
        <v>3.415</v>
      </c>
      <c r="Q610" s="72">
        <f t="shared" si="11"/>
        <v>3.585</v>
      </c>
    </row>
    <row r="611" spans="2:17">
      <c r="B611" s="1">
        <v>41151</v>
      </c>
      <c r="C611">
        <v>3.48999999999999</v>
      </c>
      <c r="M611" s="1">
        <v>36896</v>
      </c>
      <c r="N611" s="1">
        <v>41151</v>
      </c>
      <c r="O611" s="1">
        <v>36892</v>
      </c>
      <c r="P611" s="72">
        <v>3.415</v>
      </c>
      <c r="Q611" s="72">
        <f t="shared" si="11"/>
        <v>3.48999999999999</v>
      </c>
    </row>
    <row r="612" spans="2:17">
      <c r="B612" s="1">
        <v>41158</v>
      </c>
      <c r="C612">
        <v>3.4749999999999899</v>
      </c>
      <c r="M612" s="1">
        <v>36896</v>
      </c>
      <c r="N612" s="1">
        <v>41158</v>
      </c>
      <c r="O612" s="1">
        <v>36892</v>
      </c>
      <c r="P612" s="72">
        <v>3.415</v>
      </c>
      <c r="Q612" s="72">
        <f t="shared" si="11"/>
        <v>3.4749999999999899</v>
      </c>
    </row>
    <row r="613" spans="2:17">
      <c r="B613" s="1">
        <v>41165</v>
      </c>
      <c r="C613">
        <v>3.44999999999999</v>
      </c>
      <c r="M613" s="1">
        <v>36896</v>
      </c>
      <c r="N613" s="1">
        <v>41165</v>
      </c>
      <c r="O613" s="1">
        <v>36892</v>
      </c>
      <c r="P613" s="72">
        <v>3.415</v>
      </c>
      <c r="Q613" s="72">
        <f t="shared" si="11"/>
        <v>3.44999999999999</v>
      </c>
    </row>
    <row r="614" spans="2:17">
      <c r="B614" s="1">
        <v>41172</v>
      </c>
      <c r="C614">
        <v>3.39</v>
      </c>
      <c r="M614" s="1">
        <v>36896</v>
      </c>
      <c r="N614" s="1">
        <v>41172</v>
      </c>
      <c r="O614" s="1">
        <v>36892</v>
      </c>
      <c r="P614" s="72">
        <v>3.39</v>
      </c>
      <c r="Q614" s="72">
        <f t="shared" si="11"/>
        <v>3.39</v>
      </c>
    </row>
    <row r="615" spans="2:17">
      <c r="B615" s="1">
        <v>41179</v>
      </c>
      <c r="C615">
        <v>3.3</v>
      </c>
      <c r="M615" s="1">
        <v>36896</v>
      </c>
      <c r="N615" s="1">
        <v>41179</v>
      </c>
      <c r="O615" s="1">
        <v>36892</v>
      </c>
      <c r="P615" s="72">
        <v>3.3</v>
      </c>
      <c r="Q615" s="72">
        <f t="shared" si="11"/>
        <v>3.3</v>
      </c>
    </row>
    <row r="616" spans="2:17">
      <c r="B616" s="1">
        <v>41186</v>
      </c>
      <c r="C616">
        <v>3.26</v>
      </c>
      <c r="M616" s="1">
        <v>36896</v>
      </c>
      <c r="N616" s="1">
        <v>41186</v>
      </c>
      <c r="O616" s="1">
        <v>36892</v>
      </c>
      <c r="P616" s="72">
        <v>3.26</v>
      </c>
      <c r="Q616" s="72">
        <f t="shared" si="11"/>
        <v>3.26</v>
      </c>
    </row>
    <row r="617" spans="2:17">
      <c r="B617" s="1">
        <v>41193</v>
      </c>
      <c r="C617">
        <v>3.3149999999999999</v>
      </c>
      <c r="M617" s="1">
        <v>36896</v>
      </c>
      <c r="N617" s="1">
        <v>41193</v>
      </c>
      <c r="O617" s="1">
        <v>36892</v>
      </c>
      <c r="P617" s="72">
        <v>3.26</v>
      </c>
      <c r="Q617" s="72">
        <f t="shared" si="11"/>
        <v>3.3149999999999999</v>
      </c>
    </row>
    <row r="618" spans="2:17">
      <c r="B618" s="1">
        <v>41200</v>
      </c>
      <c r="C618">
        <v>3.2949999999999999</v>
      </c>
      <c r="M618" s="1">
        <v>36896</v>
      </c>
      <c r="N618" s="1">
        <v>41200</v>
      </c>
      <c r="O618" s="1">
        <v>36892</v>
      </c>
      <c r="P618" s="72">
        <v>3.26</v>
      </c>
      <c r="Q618" s="72">
        <f t="shared" si="11"/>
        <v>3.2949999999999999</v>
      </c>
    </row>
    <row r="619" spans="2:17">
      <c r="B619" s="1">
        <v>41207</v>
      </c>
      <c r="C619">
        <v>3.335</v>
      </c>
      <c r="M619" s="1">
        <v>36896</v>
      </c>
      <c r="N619" s="1">
        <v>41207</v>
      </c>
      <c r="O619" s="1">
        <v>36892</v>
      </c>
      <c r="P619" s="72">
        <v>3.26</v>
      </c>
      <c r="Q619" s="72">
        <f t="shared" si="11"/>
        <v>3.335</v>
      </c>
    </row>
    <row r="620" spans="2:17">
      <c r="B620" s="1">
        <v>41214</v>
      </c>
      <c r="C620">
        <v>3.3149999999999999</v>
      </c>
      <c r="M620" s="1">
        <v>36896</v>
      </c>
      <c r="N620" s="1">
        <v>41214</v>
      </c>
      <c r="O620" s="1">
        <v>36892</v>
      </c>
      <c r="P620" s="72">
        <v>3.26</v>
      </c>
      <c r="Q620" s="72">
        <f t="shared" si="11"/>
        <v>3.3149999999999999</v>
      </c>
    </row>
    <row r="621" spans="2:17">
      <c r="B621" s="1">
        <v>41221</v>
      </c>
      <c r="C621">
        <v>3.32499999999999</v>
      </c>
      <c r="M621" s="1">
        <v>36896</v>
      </c>
      <c r="N621" s="1">
        <v>41221</v>
      </c>
      <c r="O621" s="1">
        <v>36892</v>
      </c>
      <c r="P621" s="72">
        <v>3.26</v>
      </c>
      <c r="Q621" s="72">
        <f t="shared" si="11"/>
        <v>3.32499999999999</v>
      </c>
    </row>
    <row r="622" spans="2:17">
      <c r="B622" s="1">
        <v>41228</v>
      </c>
      <c r="C622">
        <v>3.2649999999999899</v>
      </c>
      <c r="M622" s="1">
        <v>36896</v>
      </c>
      <c r="N622" s="1">
        <v>41228</v>
      </c>
      <c r="O622" s="1">
        <v>36892</v>
      </c>
      <c r="P622" s="72">
        <v>3.26</v>
      </c>
      <c r="Q622" s="72">
        <f t="shared" si="11"/>
        <v>3.2649999999999899</v>
      </c>
    </row>
    <row r="623" spans="2:17">
      <c r="B623" s="1">
        <v>41234</v>
      </c>
      <c r="C623">
        <v>3.2349999999999999</v>
      </c>
      <c r="M623" s="1">
        <v>36896</v>
      </c>
      <c r="N623" s="1">
        <v>41234</v>
      </c>
      <c r="O623" s="1">
        <v>36892</v>
      </c>
      <c r="P623" s="72">
        <v>3.2349999999999999</v>
      </c>
      <c r="Q623" s="72">
        <f t="shared" si="11"/>
        <v>3.2349999999999999</v>
      </c>
    </row>
    <row r="624" spans="2:17">
      <c r="B624" s="1">
        <v>41242</v>
      </c>
      <c r="C624">
        <v>3.27</v>
      </c>
      <c r="M624" s="1">
        <v>36896</v>
      </c>
      <c r="N624" s="1">
        <v>41242</v>
      </c>
      <c r="O624" s="1">
        <v>36892</v>
      </c>
      <c r="P624" s="72">
        <v>3.2349999999999999</v>
      </c>
      <c r="Q624" s="72">
        <f t="shared" si="11"/>
        <v>3.27</v>
      </c>
    </row>
    <row r="625" spans="2:17">
      <c r="B625" s="1">
        <v>41249</v>
      </c>
      <c r="C625">
        <v>3.2649999999999899</v>
      </c>
      <c r="M625" s="1">
        <v>36896</v>
      </c>
      <c r="N625" s="1">
        <v>41249</v>
      </c>
      <c r="O625" s="1">
        <v>36892</v>
      </c>
      <c r="P625" s="72">
        <v>3.2349999999999999</v>
      </c>
      <c r="Q625" s="72">
        <f t="shared" si="11"/>
        <v>3.2649999999999899</v>
      </c>
    </row>
    <row r="626" spans="2:17">
      <c r="B626" s="1">
        <v>41256</v>
      </c>
      <c r="C626">
        <v>3.2449999999999899</v>
      </c>
      <c r="M626" s="1">
        <v>36896</v>
      </c>
      <c r="N626" s="1">
        <v>41256</v>
      </c>
      <c r="O626" s="1">
        <v>36892</v>
      </c>
      <c r="P626" s="72">
        <v>3.2349999999999999</v>
      </c>
      <c r="Q626" s="72">
        <f t="shared" si="11"/>
        <v>3.2449999999999899</v>
      </c>
    </row>
    <row r="627" spans="2:17">
      <c r="B627" s="1">
        <v>41263</v>
      </c>
      <c r="C627">
        <v>3.2949999999999999</v>
      </c>
      <c r="M627" s="1">
        <v>36896</v>
      </c>
      <c r="N627" s="1">
        <v>41263</v>
      </c>
      <c r="O627" s="1">
        <v>36892</v>
      </c>
      <c r="P627" s="72">
        <v>3.2349999999999999</v>
      </c>
      <c r="Q627" s="72">
        <f t="shared" si="11"/>
        <v>3.2949999999999999</v>
      </c>
    </row>
    <row r="628" spans="2:17">
      <c r="B628" s="1">
        <v>41270</v>
      </c>
      <c r="C628">
        <v>3.2749999999999999</v>
      </c>
      <c r="M628" s="1">
        <v>36896</v>
      </c>
      <c r="N628" s="1">
        <v>41270</v>
      </c>
      <c r="O628" s="1">
        <v>36892</v>
      </c>
      <c r="P628" s="72">
        <v>3.2349999999999999</v>
      </c>
      <c r="Q628" s="72">
        <f t="shared" si="11"/>
        <v>3.2749999999999999</v>
      </c>
    </row>
    <row r="629" spans="2:17">
      <c r="B629" s="1">
        <v>41277</v>
      </c>
      <c r="C629">
        <v>3.2649999999999899</v>
      </c>
      <c r="M629" s="1">
        <v>36896</v>
      </c>
      <c r="N629" s="1">
        <v>41277</v>
      </c>
      <c r="O629" s="1">
        <v>36892</v>
      </c>
      <c r="P629" s="72">
        <v>3.2349999999999999</v>
      </c>
      <c r="Q629" s="72">
        <f t="shared" si="11"/>
        <v>3.2649999999999899</v>
      </c>
    </row>
    <row r="630" spans="2:17">
      <c r="B630" s="1">
        <v>41284</v>
      </c>
      <c r="C630">
        <v>3.32499999999999</v>
      </c>
      <c r="M630" s="1">
        <v>36896</v>
      </c>
      <c r="N630" s="1">
        <v>41284</v>
      </c>
      <c r="O630" s="1">
        <v>36892</v>
      </c>
      <c r="P630" s="72">
        <v>3.2349999999999999</v>
      </c>
      <c r="Q630" s="72">
        <f t="shared" si="11"/>
        <v>3.32499999999999</v>
      </c>
    </row>
    <row r="631" spans="2:17">
      <c r="B631" s="1">
        <v>41291</v>
      </c>
      <c r="C631">
        <v>3.3049999999999899</v>
      </c>
      <c r="M631" s="1">
        <v>36896</v>
      </c>
      <c r="N631" s="1">
        <v>41291</v>
      </c>
      <c r="O631" s="1">
        <v>36892</v>
      </c>
      <c r="P631" s="72">
        <v>3.2349999999999999</v>
      </c>
      <c r="Q631" s="72">
        <f t="shared" si="11"/>
        <v>3.3049999999999899</v>
      </c>
    </row>
    <row r="632" spans="2:17">
      <c r="B632" s="1">
        <v>41298</v>
      </c>
      <c r="C632">
        <v>3.34499999999999</v>
      </c>
      <c r="M632" s="1">
        <v>36896</v>
      </c>
      <c r="N632" s="1">
        <v>41298</v>
      </c>
      <c r="O632" s="1">
        <v>36892</v>
      </c>
      <c r="P632" s="72">
        <v>3.2349999999999999</v>
      </c>
      <c r="Q632" s="72">
        <f t="shared" si="11"/>
        <v>3.34499999999999</v>
      </c>
    </row>
    <row r="633" spans="2:17">
      <c r="B633" s="1">
        <v>41305</v>
      </c>
      <c r="C633">
        <v>3.4549999999999899</v>
      </c>
      <c r="M633" s="1">
        <v>36896</v>
      </c>
      <c r="N633" s="1">
        <v>41305</v>
      </c>
      <c r="O633" s="1">
        <v>36892</v>
      </c>
      <c r="P633" s="72">
        <v>3.2349999999999999</v>
      </c>
      <c r="Q633" s="72">
        <f t="shared" si="11"/>
        <v>3.4549999999999899</v>
      </c>
    </row>
    <row r="634" spans="2:17">
      <c r="B634" s="1">
        <v>41312</v>
      </c>
      <c r="C634">
        <v>3.48</v>
      </c>
      <c r="M634" s="1">
        <v>36896</v>
      </c>
      <c r="N634" s="1">
        <v>41312</v>
      </c>
      <c r="O634" s="1">
        <v>36892</v>
      </c>
      <c r="P634" s="72">
        <v>3.2349999999999999</v>
      </c>
      <c r="Q634" s="72">
        <f t="shared" si="11"/>
        <v>3.48</v>
      </c>
    </row>
    <row r="635" spans="2:17">
      <c r="B635" s="1">
        <v>41319</v>
      </c>
      <c r="C635">
        <v>3.48</v>
      </c>
      <c r="M635" s="1">
        <v>36896</v>
      </c>
      <c r="N635" s="1">
        <v>41319</v>
      </c>
      <c r="O635" s="1">
        <v>36892</v>
      </c>
      <c r="P635" s="72">
        <v>3.2349999999999999</v>
      </c>
      <c r="Q635" s="72">
        <f t="shared" si="11"/>
        <v>3.48</v>
      </c>
    </row>
    <row r="636" spans="2:17">
      <c r="B636" s="1">
        <v>41326</v>
      </c>
      <c r="C636">
        <v>3.51</v>
      </c>
      <c r="M636" s="1">
        <v>36896</v>
      </c>
      <c r="N636" s="1">
        <v>41326</v>
      </c>
      <c r="O636" s="1">
        <v>36892</v>
      </c>
      <c r="P636" s="72">
        <v>3.2349999999999999</v>
      </c>
      <c r="Q636" s="72">
        <f t="shared" si="11"/>
        <v>3.51</v>
      </c>
    </row>
    <row r="637" spans="2:17">
      <c r="B637" s="1">
        <v>41333</v>
      </c>
      <c r="C637">
        <v>3.46</v>
      </c>
      <c r="M637" s="1">
        <v>36896</v>
      </c>
      <c r="N637" s="1">
        <v>41333</v>
      </c>
      <c r="O637" s="1">
        <v>36892</v>
      </c>
      <c r="P637" s="72">
        <v>3.2349999999999999</v>
      </c>
      <c r="Q637" s="72">
        <f t="shared" si="11"/>
        <v>3.46</v>
      </c>
    </row>
    <row r="638" spans="2:17">
      <c r="B638" s="1">
        <v>41340</v>
      </c>
      <c r="C638">
        <v>3.4449999999999998</v>
      </c>
      <c r="M638" s="1">
        <v>36896</v>
      </c>
      <c r="N638" s="1">
        <v>41340</v>
      </c>
      <c r="O638" s="1">
        <v>36892</v>
      </c>
      <c r="P638" s="72">
        <v>3.2349999999999999</v>
      </c>
      <c r="Q638" s="72">
        <f t="shared" si="11"/>
        <v>3.4449999999999998</v>
      </c>
    </row>
    <row r="639" spans="2:17">
      <c r="B639" s="1">
        <v>41347</v>
      </c>
      <c r="C639">
        <v>3.58</v>
      </c>
      <c r="M639" s="1">
        <v>36896</v>
      </c>
      <c r="N639" s="1">
        <v>41347</v>
      </c>
      <c r="O639" s="1">
        <v>36892</v>
      </c>
      <c r="P639" s="72">
        <v>3.2349999999999999</v>
      </c>
      <c r="Q639" s="72">
        <f t="shared" si="11"/>
        <v>3.58</v>
      </c>
    </row>
    <row r="640" spans="2:17">
      <c r="B640" s="1">
        <v>41354</v>
      </c>
      <c r="C640">
        <v>3.49</v>
      </c>
      <c r="M640" s="1">
        <v>36896</v>
      </c>
      <c r="N640" s="1">
        <v>41354</v>
      </c>
      <c r="O640" s="1">
        <v>36892</v>
      </c>
      <c r="P640" s="72">
        <v>3.2349999999999999</v>
      </c>
      <c r="Q640" s="72">
        <f t="shared" si="11"/>
        <v>3.49</v>
      </c>
    </row>
    <row r="641" spans="2:17">
      <c r="B641" s="1">
        <v>41361</v>
      </c>
      <c r="C641">
        <v>3.52</v>
      </c>
      <c r="M641" s="1">
        <v>36896</v>
      </c>
      <c r="N641" s="1">
        <v>41361</v>
      </c>
      <c r="O641" s="1">
        <v>36892</v>
      </c>
      <c r="P641" s="72">
        <v>3.2349999999999999</v>
      </c>
      <c r="Q641" s="72">
        <f t="shared" si="11"/>
        <v>3.52</v>
      </c>
    </row>
    <row r="642" spans="2:17">
      <c r="B642" s="1">
        <v>41368</v>
      </c>
      <c r="C642">
        <v>3.49</v>
      </c>
      <c r="M642" s="1">
        <v>36896</v>
      </c>
      <c r="N642" s="1">
        <v>41368</v>
      </c>
      <c r="O642" s="1">
        <v>36892</v>
      </c>
      <c r="P642" s="72">
        <v>3.2349999999999999</v>
      </c>
      <c r="Q642" s="72">
        <f t="shared" si="11"/>
        <v>3.49</v>
      </c>
    </row>
    <row r="643" spans="2:17">
      <c r="B643" s="1">
        <v>41375</v>
      </c>
      <c r="C643">
        <v>3.38</v>
      </c>
      <c r="M643" s="1">
        <v>36896</v>
      </c>
      <c r="N643" s="1">
        <v>41375</v>
      </c>
      <c r="O643" s="1">
        <v>36892</v>
      </c>
      <c r="P643" s="72">
        <v>3.2349999999999999</v>
      </c>
      <c r="Q643" s="72">
        <f t="shared" si="11"/>
        <v>3.38</v>
      </c>
    </row>
    <row r="644" spans="2:17">
      <c r="B644" s="1">
        <v>41382</v>
      </c>
      <c r="C644">
        <v>3.335</v>
      </c>
      <c r="M644" s="1">
        <v>36896</v>
      </c>
      <c r="N644" s="1">
        <v>41382</v>
      </c>
      <c r="O644" s="1">
        <v>36892</v>
      </c>
      <c r="P644" s="72">
        <v>3.2349999999999999</v>
      </c>
      <c r="Q644" s="72">
        <f t="shared" ref="Q644:Q707" si="12">VLOOKUP(N644,B:C,2,0)</f>
        <v>3.335</v>
      </c>
    </row>
    <row r="645" spans="2:17">
      <c r="B645" s="1">
        <v>41389</v>
      </c>
      <c r="C645">
        <v>3.35</v>
      </c>
      <c r="M645" s="1">
        <v>36896</v>
      </c>
      <c r="N645" s="1">
        <v>41389</v>
      </c>
      <c r="O645" s="1">
        <v>36892</v>
      </c>
      <c r="P645" s="72">
        <v>3.2349999999999999</v>
      </c>
      <c r="Q645" s="72">
        <f t="shared" si="12"/>
        <v>3.35</v>
      </c>
    </row>
    <row r="646" spans="2:17">
      <c r="B646" s="1">
        <v>41396</v>
      </c>
      <c r="C646">
        <v>3.2749999999999999</v>
      </c>
      <c r="M646" s="1">
        <v>36896</v>
      </c>
      <c r="N646" s="1">
        <v>41396</v>
      </c>
      <c r="O646" s="1">
        <v>36892</v>
      </c>
      <c r="P646" s="72">
        <v>3.2349999999999999</v>
      </c>
      <c r="Q646" s="72">
        <f t="shared" si="12"/>
        <v>3.2749999999999999</v>
      </c>
    </row>
    <row r="647" spans="2:17">
      <c r="B647" s="1">
        <v>41403</v>
      </c>
      <c r="C647">
        <v>3.34499999999999</v>
      </c>
      <c r="M647" s="1">
        <v>36896</v>
      </c>
      <c r="N647" s="1">
        <v>41403</v>
      </c>
      <c r="O647" s="1">
        <v>36892</v>
      </c>
      <c r="P647" s="72">
        <v>3.2349999999999999</v>
      </c>
      <c r="Q647" s="72">
        <f t="shared" si="12"/>
        <v>3.34499999999999</v>
      </c>
    </row>
    <row r="648" spans="2:17">
      <c r="B648" s="1">
        <v>41410</v>
      </c>
      <c r="C648">
        <v>3.4349999999999898</v>
      </c>
      <c r="M648" s="1">
        <v>36896</v>
      </c>
      <c r="N648" s="1">
        <v>41410</v>
      </c>
      <c r="O648" s="1">
        <v>36892</v>
      </c>
      <c r="P648" s="72">
        <v>3.2349999999999999</v>
      </c>
      <c r="Q648" s="72">
        <f t="shared" si="12"/>
        <v>3.4349999999999898</v>
      </c>
    </row>
    <row r="649" spans="2:17">
      <c r="B649" s="1">
        <v>41417</v>
      </c>
      <c r="C649">
        <v>3.5149999999999899</v>
      </c>
      <c r="M649" s="1">
        <v>36896</v>
      </c>
      <c r="N649" s="1">
        <v>41417</v>
      </c>
      <c r="O649" s="1">
        <v>36892</v>
      </c>
      <c r="P649" s="72">
        <v>3.2349999999999999</v>
      </c>
      <c r="Q649" s="72">
        <f t="shared" si="12"/>
        <v>3.5149999999999899</v>
      </c>
    </row>
    <row r="650" spans="2:17">
      <c r="B650" s="1">
        <v>41424</v>
      </c>
      <c r="C650">
        <v>3.76</v>
      </c>
      <c r="M650" s="1">
        <v>36896</v>
      </c>
      <c r="N650" s="1">
        <v>41424</v>
      </c>
      <c r="O650" s="1">
        <v>36892</v>
      </c>
      <c r="P650" s="72">
        <v>3.2349999999999999</v>
      </c>
      <c r="Q650" s="72">
        <f t="shared" si="12"/>
        <v>3.76</v>
      </c>
    </row>
    <row r="651" spans="2:17">
      <c r="B651" s="1">
        <v>41431</v>
      </c>
      <c r="C651">
        <v>3.835</v>
      </c>
      <c r="M651" s="1">
        <v>36896</v>
      </c>
      <c r="N651" s="1">
        <v>41431</v>
      </c>
      <c r="O651" s="1">
        <v>36892</v>
      </c>
      <c r="P651" s="72">
        <v>3.2349999999999999</v>
      </c>
      <c r="Q651" s="72">
        <f t="shared" si="12"/>
        <v>3.835</v>
      </c>
    </row>
    <row r="652" spans="2:17">
      <c r="B652" s="1">
        <v>41438</v>
      </c>
      <c r="C652">
        <v>3.9049999999999998</v>
      </c>
      <c r="M652" s="1">
        <v>36896</v>
      </c>
      <c r="N652" s="1">
        <v>41438</v>
      </c>
      <c r="O652" s="1">
        <v>36892</v>
      </c>
      <c r="P652" s="72">
        <v>3.2349999999999999</v>
      </c>
      <c r="Q652" s="72">
        <f t="shared" si="12"/>
        <v>3.9049999999999998</v>
      </c>
    </row>
    <row r="653" spans="2:17">
      <c r="B653" s="1">
        <v>41445</v>
      </c>
      <c r="C653">
        <v>3.88</v>
      </c>
      <c r="M653" s="1">
        <v>36896</v>
      </c>
      <c r="N653" s="1">
        <v>41445</v>
      </c>
      <c r="O653" s="1">
        <v>36892</v>
      </c>
      <c r="P653" s="72">
        <v>3.2349999999999999</v>
      </c>
      <c r="Q653" s="72">
        <f t="shared" si="12"/>
        <v>3.88</v>
      </c>
    </row>
    <row r="654" spans="2:17">
      <c r="B654" s="1">
        <v>41452</v>
      </c>
      <c r="C654">
        <v>4.41</v>
      </c>
      <c r="M654" s="1">
        <v>36896</v>
      </c>
      <c r="N654" s="1">
        <v>41452</v>
      </c>
      <c r="O654" s="1">
        <v>36892</v>
      </c>
      <c r="P654" s="72">
        <v>3.2349999999999999</v>
      </c>
      <c r="Q654" s="72">
        <f t="shared" si="12"/>
        <v>4.41</v>
      </c>
    </row>
    <row r="655" spans="2:17">
      <c r="B655" s="1">
        <v>41458</v>
      </c>
      <c r="C655">
        <v>4.2149999999999999</v>
      </c>
      <c r="M655" s="1">
        <v>36896</v>
      </c>
      <c r="N655" s="1">
        <v>41458</v>
      </c>
      <c r="O655" s="1">
        <v>36892</v>
      </c>
      <c r="P655" s="72">
        <v>3.2349999999999999</v>
      </c>
      <c r="Q655" s="72">
        <f t="shared" si="12"/>
        <v>4.2149999999999999</v>
      </c>
    </row>
    <row r="656" spans="2:17">
      <c r="B656" s="1">
        <v>41466</v>
      </c>
      <c r="C656">
        <v>4.46</v>
      </c>
      <c r="M656" s="1">
        <v>36896</v>
      </c>
      <c r="N656" s="1">
        <v>41466</v>
      </c>
      <c r="O656" s="1">
        <v>36892</v>
      </c>
      <c r="P656" s="72">
        <v>3.2349999999999999</v>
      </c>
      <c r="Q656" s="72">
        <f t="shared" si="12"/>
        <v>4.46</v>
      </c>
    </row>
    <row r="657" spans="2:17">
      <c r="B657" s="1">
        <v>41473</v>
      </c>
      <c r="C657">
        <v>4.2949999999999999</v>
      </c>
      <c r="M657" s="1">
        <v>36896</v>
      </c>
      <c r="N657" s="1">
        <v>41473</v>
      </c>
      <c r="O657" s="1">
        <v>36892</v>
      </c>
      <c r="P657" s="72">
        <v>3.2349999999999999</v>
      </c>
      <c r="Q657" s="72">
        <f t="shared" si="12"/>
        <v>4.2949999999999999</v>
      </c>
    </row>
    <row r="658" spans="2:17">
      <c r="B658" s="1">
        <v>41480</v>
      </c>
      <c r="C658">
        <v>4.26</v>
      </c>
      <c r="M658" s="1">
        <v>36896</v>
      </c>
      <c r="N658" s="1">
        <v>41480</v>
      </c>
      <c r="O658" s="1">
        <v>36892</v>
      </c>
      <c r="P658" s="72">
        <v>3.2349999999999999</v>
      </c>
      <c r="Q658" s="72">
        <f t="shared" si="12"/>
        <v>4.26</v>
      </c>
    </row>
    <row r="659" spans="2:17">
      <c r="B659" s="1">
        <v>41487</v>
      </c>
      <c r="C659">
        <v>4.3149999999999897</v>
      </c>
      <c r="M659" s="1">
        <v>36896</v>
      </c>
      <c r="N659" s="1">
        <v>41487</v>
      </c>
      <c r="O659" s="1">
        <v>36892</v>
      </c>
      <c r="P659" s="72">
        <v>3.2349999999999999</v>
      </c>
      <c r="Q659" s="72">
        <f t="shared" si="12"/>
        <v>4.3149999999999897</v>
      </c>
    </row>
    <row r="660" spans="2:17">
      <c r="B660" s="1">
        <v>41494</v>
      </c>
      <c r="C660">
        <v>4.3250000000000002</v>
      </c>
      <c r="M660" s="1">
        <v>36896</v>
      </c>
      <c r="N660" s="1">
        <v>41494</v>
      </c>
      <c r="O660" s="1">
        <v>36892</v>
      </c>
      <c r="P660" s="72">
        <v>3.2349999999999999</v>
      </c>
      <c r="Q660" s="72">
        <f t="shared" si="12"/>
        <v>4.3250000000000002</v>
      </c>
    </row>
    <row r="661" spans="2:17">
      <c r="B661" s="1">
        <v>41501</v>
      </c>
      <c r="C661">
        <v>4.3250000000000002</v>
      </c>
      <c r="M661" s="1">
        <v>36896</v>
      </c>
      <c r="N661" s="1">
        <v>41501</v>
      </c>
      <c r="O661" s="1">
        <v>36892</v>
      </c>
      <c r="P661" s="72">
        <v>3.2349999999999999</v>
      </c>
      <c r="Q661" s="72">
        <f t="shared" si="12"/>
        <v>4.3250000000000002</v>
      </c>
    </row>
    <row r="662" spans="2:17">
      <c r="B662" s="1">
        <v>41508</v>
      </c>
      <c r="C662">
        <v>4.53</v>
      </c>
      <c r="M662" s="1">
        <v>36896</v>
      </c>
      <c r="N662" s="1">
        <v>41508</v>
      </c>
      <c r="O662" s="1">
        <v>36892</v>
      </c>
      <c r="P662" s="72">
        <v>3.2349999999999999</v>
      </c>
      <c r="Q662" s="72">
        <f t="shared" si="12"/>
        <v>4.53</v>
      </c>
    </row>
    <row r="663" spans="2:17">
      <c r="B663" s="1">
        <v>41515</v>
      </c>
      <c r="C663">
        <v>4.4349999999999996</v>
      </c>
      <c r="M663" s="1">
        <v>36896</v>
      </c>
      <c r="N663" s="1">
        <v>41515</v>
      </c>
      <c r="O663" s="1">
        <v>36892</v>
      </c>
      <c r="P663" s="72">
        <v>3.2349999999999999</v>
      </c>
      <c r="Q663" s="72">
        <f t="shared" si="12"/>
        <v>4.4349999999999996</v>
      </c>
    </row>
    <row r="664" spans="2:17">
      <c r="B664" s="1">
        <v>41522</v>
      </c>
      <c r="C664">
        <v>4.4950000000000001</v>
      </c>
      <c r="M664" s="1">
        <v>36896</v>
      </c>
      <c r="N664" s="1">
        <v>41522</v>
      </c>
      <c r="O664" s="1">
        <v>36892</v>
      </c>
      <c r="P664" s="72">
        <v>3.2349999999999999</v>
      </c>
      <c r="Q664" s="72">
        <f t="shared" si="12"/>
        <v>4.4950000000000001</v>
      </c>
    </row>
    <row r="665" spans="2:17">
      <c r="B665" s="1">
        <v>41529</v>
      </c>
      <c r="C665">
        <v>4.5199999999999996</v>
      </c>
      <c r="M665" s="1">
        <v>36896</v>
      </c>
      <c r="N665" s="1">
        <v>41529</v>
      </c>
      <c r="O665" s="1">
        <v>36892</v>
      </c>
      <c r="P665" s="72">
        <v>3.2349999999999999</v>
      </c>
      <c r="Q665" s="72">
        <f t="shared" si="12"/>
        <v>4.5199999999999996</v>
      </c>
    </row>
    <row r="666" spans="2:17">
      <c r="B666" s="1">
        <v>41536</v>
      </c>
      <c r="C666">
        <v>4.4249999999999998</v>
      </c>
      <c r="M666" s="1">
        <v>36896</v>
      </c>
      <c r="N666" s="1">
        <v>41536</v>
      </c>
      <c r="O666" s="1">
        <v>36892</v>
      </c>
      <c r="P666" s="72">
        <v>3.2349999999999999</v>
      </c>
      <c r="Q666" s="72">
        <f t="shared" si="12"/>
        <v>4.4249999999999998</v>
      </c>
    </row>
    <row r="667" spans="2:17">
      <c r="B667" s="1">
        <v>41543</v>
      </c>
      <c r="C667">
        <v>4.2450000000000001</v>
      </c>
      <c r="M667" s="1">
        <v>36896</v>
      </c>
      <c r="N667" s="1">
        <v>41543</v>
      </c>
      <c r="O667" s="1">
        <v>36892</v>
      </c>
      <c r="P667" s="72">
        <v>3.2349999999999999</v>
      </c>
      <c r="Q667" s="72">
        <f t="shared" si="12"/>
        <v>4.2450000000000001</v>
      </c>
    </row>
    <row r="668" spans="2:17">
      <c r="B668" s="1">
        <v>41550</v>
      </c>
      <c r="C668">
        <v>4.1449999999999996</v>
      </c>
      <c r="M668" s="1">
        <v>36896</v>
      </c>
      <c r="N668" s="1">
        <v>41550</v>
      </c>
      <c r="O668" s="1">
        <v>36892</v>
      </c>
      <c r="P668" s="72">
        <v>3.2349999999999999</v>
      </c>
      <c r="Q668" s="72">
        <f t="shared" si="12"/>
        <v>4.1449999999999996</v>
      </c>
    </row>
    <row r="669" spans="2:17">
      <c r="B669" s="1">
        <v>41557</v>
      </c>
      <c r="C669">
        <v>4.1550000000000002</v>
      </c>
      <c r="M669" s="1">
        <v>36896</v>
      </c>
      <c r="N669" s="1">
        <v>41557</v>
      </c>
      <c r="O669" s="1">
        <v>36892</v>
      </c>
      <c r="P669" s="72">
        <v>3.2349999999999999</v>
      </c>
      <c r="Q669" s="72">
        <f t="shared" si="12"/>
        <v>4.1550000000000002</v>
      </c>
    </row>
    <row r="670" spans="2:17">
      <c r="B670" s="1">
        <v>41564</v>
      </c>
      <c r="C670">
        <v>4.2050000000000001</v>
      </c>
      <c r="M670" s="1">
        <v>36896</v>
      </c>
      <c r="N670" s="1">
        <v>41564</v>
      </c>
      <c r="O670" s="1">
        <v>36892</v>
      </c>
      <c r="P670" s="72">
        <v>3.2349999999999999</v>
      </c>
      <c r="Q670" s="72">
        <f t="shared" si="12"/>
        <v>4.2050000000000001</v>
      </c>
    </row>
    <row r="671" spans="2:17">
      <c r="B671" s="1">
        <v>41571</v>
      </c>
      <c r="C671">
        <v>4.08</v>
      </c>
      <c r="M671" s="1">
        <v>36896</v>
      </c>
      <c r="N671" s="1">
        <v>41571</v>
      </c>
      <c r="O671" s="1">
        <v>36892</v>
      </c>
      <c r="P671" s="72">
        <v>3.2349999999999999</v>
      </c>
      <c r="Q671" s="72">
        <f t="shared" si="12"/>
        <v>4.08</v>
      </c>
    </row>
    <row r="672" spans="2:17">
      <c r="B672" s="1">
        <v>41578</v>
      </c>
      <c r="C672">
        <v>4.0249999999999897</v>
      </c>
      <c r="M672" s="1">
        <v>36896</v>
      </c>
      <c r="N672" s="1">
        <v>41578</v>
      </c>
      <c r="O672" s="1">
        <v>36892</v>
      </c>
      <c r="P672" s="72">
        <v>3.2349999999999999</v>
      </c>
      <c r="Q672" s="72">
        <f t="shared" si="12"/>
        <v>4.0249999999999897</v>
      </c>
    </row>
    <row r="673" spans="2:17">
      <c r="B673" s="1">
        <v>41585</v>
      </c>
      <c r="C673">
        <v>4.1100000000000003</v>
      </c>
      <c r="M673" s="1">
        <v>36896</v>
      </c>
      <c r="N673" s="1">
        <v>41585</v>
      </c>
      <c r="O673" s="1">
        <v>36892</v>
      </c>
      <c r="P673" s="72">
        <v>3.2349999999999999</v>
      </c>
      <c r="Q673" s="72">
        <f t="shared" si="12"/>
        <v>4.1100000000000003</v>
      </c>
    </row>
    <row r="674" spans="2:17">
      <c r="B674" s="1">
        <v>41592</v>
      </c>
      <c r="C674">
        <v>4.2749999999999897</v>
      </c>
      <c r="M674" s="1">
        <v>36896</v>
      </c>
      <c r="N674" s="1">
        <v>41592</v>
      </c>
      <c r="O674" s="1">
        <v>36892</v>
      </c>
      <c r="P674" s="72">
        <v>3.2349999999999999</v>
      </c>
      <c r="Q674" s="72">
        <f t="shared" si="12"/>
        <v>4.2749999999999897</v>
      </c>
    </row>
    <row r="675" spans="2:17">
      <c r="B675" s="1">
        <v>41599</v>
      </c>
      <c r="C675">
        <v>4.1449999999999996</v>
      </c>
      <c r="M675" s="1">
        <v>36896</v>
      </c>
      <c r="N675" s="1">
        <v>41599</v>
      </c>
      <c r="O675" s="1">
        <v>36892</v>
      </c>
      <c r="P675" s="72">
        <v>3.2349999999999999</v>
      </c>
      <c r="Q675" s="72">
        <f t="shared" si="12"/>
        <v>4.1449999999999996</v>
      </c>
    </row>
    <row r="676" spans="2:17">
      <c r="B676" s="1">
        <v>41605</v>
      </c>
      <c r="C676">
        <v>4.2149999999999999</v>
      </c>
      <c r="M676" s="1">
        <v>36896</v>
      </c>
      <c r="N676" s="1">
        <v>41605</v>
      </c>
      <c r="O676" s="1">
        <v>36892</v>
      </c>
      <c r="P676" s="72">
        <v>3.2349999999999999</v>
      </c>
      <c r="Q676" s="72">
        <f t="shared" si="12"/>
        <v>4.2149999999999999</v>
      </c>
    </row>
    <row r="677" spans="2:17">
      <c r="B677" s="1">
        <v>41613</v>
      </c>
      <c r="C677">
        <v>4.335</v>
      </c>
      <c r="M677" s="1">
        <v>36896</v>
      </c>
      <c r="N677" s="1">
        <v>41613</v>
      </c>
      <c r="O677" s="1">
        <v>36892</v>
      </c>
      <c r="P677" s="72">
        <v>3.2349999999999999</v>
      </c>
      <c r="Q677" s="72">
        <f t="shared" si="12"/>
        <v>4.335</v>
      </c>
    </row>
    <row r="678" spans="2:17">
      <c r="B678" s="1">
        <v>41620</v>
      </c>
      <c r="C678">
        <v>4.3449999999999998</v>
      </c>
      <c r="M678" s="1">
        <v>36896</v>
      </c>
      <c r="N678" s="1">
        <v>41620</v>
      </c>
      <c r="O678" s="1">
        <v>36892</v>
      </c>
      <c r="P678" s="72">
        <v>3.2349999999999999</v>
      </c>
      <c r="Q678" s="72">
        <f t="shared" si="12"/>
        <v>4.3449999999999998</v>
      </c>
    </row>
    <row r="679" spans="2:17">
      <c r="B679" s="1">
        <v>41627</v>
      </c>
      <c r="C679">
        <v>4.3949999999999996</v>
      </c>
      <c r="M679" s="1">
        <v>36896</v>
      </c>
      <c r="N679" s="1">
        <v>41627</v>
      </c>
      <c r="O679" s="1">
        <v>36892</v>
      </c>
      <c r="P679" s="72">
        <v>3.2349999999999999</v>
      </c>
      <c r="Q679" s="72">
        <f t="shared" si="12"/>
        <v>4.3949999999999996</v>
      </c>
    </row>
    <row r="680" spans="2:17">
      <c r="B680" s="1">
        <v>41634</v>
      </c>
      <c r="C680">
        <v>4.4050000000000002</v>
      </c>
      <c r="M680" s="1">
        <v>36896</v>
      </c>
      <c r="N680" s="1">
        <v>41634</v>
      </c>
      <c r="O680" s="1">
        <v>36892</v>
      </c>
      <c r="P680" s="72">
        <v>3.2349999999999999</v>
      </c>
      <c r="Q680" s="72">
        <f t="shared" si="12"/>
        <v>4.4050000000000002</v>
      </c>
    </row>
    <row r="681" spans="2:17">
      <c r="B681" s="1">
        <v>41641</v>
      </c>
      <c r="C681">
        <v>4.4800000000000004</v>
      </c>
      <c r="M681" s="1">
        <v>36896</v>
      </c>
      <c r="N681" s="1">
        <v>41641</v>
      </c>
      <c r="O681" s="1">
        <v>36892</v>
      </c>
      <c r="P681" s="72">
        <v>3.2349999999999999</v>
      </c>
      <c r="Q681" s="72">
        <f t="shared" si="12"/>
        <v>4.4800000000000004</v>
      </c>
    </row>
    <row r="682" spans="2:17">
      <c r="B682" s="1">
        <v>41648</v>
      </c>
      <c r="C682">
        <v>4.4349999999999996</v>
      </c>
      <c r="M682" s="1">
        <v>36896</v>
      </c>
      <c r="N682" s="1">
        <v>41648</v>
      </c>
      <c r="O682" s="1">
        <v>36892</v>
      </c>
      <c r="P682" s="72">
        <v>3.2349999999999999</v>
      </c>
      <c r="Q682" s="72">
        <f t="shared" si="12"/>
        <v>4.4349999999999996</v>
      </c>
    </row>
    <row r="683" spans="2:17">
      <c r="B683" s="1">
        <v>41655</v>
      </c>
      <c r="C683">
        <v>4.335</v>
      </c>
      <c r="M683" s="1">
        <v>36896</v>
      </c>
      <c r="N683" s="1">
        <v>41655</v>
      </c>
      <c r="O683" s="1">
        <v>36892</v>
      </c>
      <c r="P683" s="72">
        <v>3.2349999999999999</v>
      </c>
      <c r="Q683" s="72">
        <f t="shared" si="12"/>
        <v>4.335</v>
      </c>
    </row>
    <row r="684" spans="2:17">
      <c r="B684" s="1">
        <v>41662</v>
      </c>
      <c r="C684">
        <v>4.3149999999999897</v>
      </c>
      <c r="M684" s="1">
        <v>36896</v>
      </c>
      <c r="N684" s="1">
        <v>41662</v>
      </c>
      <c r="O684" s="1">
        <v>36892</v>
      </c>
      <c r="P684" s="72">
        <v>3.2349999999999999</v>
      </c>
      <c r="Q684" s="72">
        <f t="shared" si="12"/>
        <v>4.3149999999999897</v>
      </c>
    </row>
    <row r="685" spans="2:17">
      <c r="B685" s="1">
        <v>41669</v>
      </c>
      <c r="C685">
        <v>4.2450000000000001</v>
      </c>
      <c r="M685" s="1">
        <v>36896</v>
      </c>
      <c r="N685" s="1">
        <v>41669</v>
      </c>
      <c r="O685" s="1">
        <v>36892</v>
      </c>
      <c r="P685" s="72">
        <v>3.2349999999999999</v>
      </c>
      <c r="Q685" s="72">
        <f t="shared" si="12"/>
        <v>4.2450000000000001</v>
      </c>
    </row>
    <row r="686" spans="2:17">
      <c r="B686" s="1">
        <v>41676</v>
      </c>
      <c r="C686">
        <v>4.1550000000000002</v>
      </c>
      <c r="M686" s="1">
        <v>36896</v>
      </c>
      <c r="N686" s="1">
        <v>41676</v>
      </c>
      <c r="O686" s="1">
        <v>36892</v>
      </c>
      <c r="P686" s="72">
        <v>3.2349999999999999</v>
      </c>
      <c r="Q686" s="72">
        <f t="shared" si="12"/>
        <v>4.1550000000000002</v>
      </c>
    </row>
    <row r="687" spans="2:17">
      <c r="B687" s="1">
        <v>41683</v>
      </c>
      <c r="C687">
        <v>4.2050000000000001</v>
      </c>
      <c r="M687" s="1">
        <v>36896</v>
      </c>
      <c r="N687" s="1">
        <v>41683</v>
      </c>
      <c r="O687" s="1">
        <v>36892</v>
      </c>
      <c r="P687" s="72">
        <v>3.2349999999999999</v>
      </c>
      <c r="Q687" s="72">
        <f t="shared" si="12"/>
        <v>4.2050000000000001</v>
      </c>
    </row>
    <row r="688" spans="2:17">
      <c r="B688" s="1">
        <v>41690</v>
      </c>
      <c r="C688">
        <v>4.2549999999999999</v>
      </c>
      <c r="M688" s="1">
        <v>36896</v>
      </c>
      <c r="N688" s="1">
        <v>41690</v>
      </c>
      <c r="O688" s="1">
        <v>36892</v>
      </c>
      <c r="P688" s="72">
        <v>3.2349999999999999</v>
      </c>
      <c r="Q688" s="72">
        <f t="shared" si="12"/>
        <v>4.2549999999999999</v>
      </c>
    </row>
    <row r="689" spans="2:17">
      <c r="B689" s="1">
        <v>41697</v>
      </c>
      <c r="C689">
        <v>4.2949999999999999</v>
      </c>
      <c r="M689" s="1">
        <v>36896</v>
      </c>
      <c r="N689" s="1">
        <v>41697</v>
      </c>
      <c r="O689" s="1">
        <v>36892</v>
      </c>
      <c r="P689" s="72">
        <v>3.2349999999999999</v>
      </c>
      <c r="Q689" s="72">
        <f t="shared" si="12"/>
        <v>4.2949999999999999</v>
      </c>
    </row>
    <row r="690" spans="2:17">
      <c r="B690" s="1">
        <v>41704</v>
      </c>
      <c r="C690">
        <v>4.2050000000000001</v>
      </c>
      <c r="M690" s="1">
        <v>36896</v>
      </c>
      <c r="N690" s="1">
        <v>41704</v>
      </c>
      <c r="O690" s="1">
        <v>36892</v>
      </c>
      <c r="P690" s="72">
        <v>3.2349999999999999</v>
      </c>
      <c r="Q690" s="72">
        <f t="shared" si="12"/>
        <v>4.2050000000000001</v>
      </c>
    </row>
    <row r="691" spans="2:17">
      <c r="B691" s="1">
        <v>41711</v>
      </c>
      <c r="C691">
        <v>4.2699999999999996</v>
      </c>
      <c r="M691" s="1">
        <v>36896</v>
      </c>
      <c r="N691" s="1">
        <v>41711</v>
      </c>
      <c r="O691" s="1">
        <v>36892</v>
      </c>
      <c r="P691" s="72">
        <v>3.2349999999999999</v>
      </c>
      <c r="Q691" s="72">
        <f t="shared" si="12"/>
        <v>4.2699999999999996</v>
      </c>
    </row>
    <row r="692" spans="2:17">
      <c r="B692" s="1">
        <v>41718</v>
      </c>
      <c r="C692">
        <v>4.22</v>
      </c>
      <c r="M692" s="1">
        <v>36896</v>
      </c>
      <c r="N692" s="1">
        <v>41718</v>
      </c>
      <c r="O692" s="1">
        <v>36892</v>
      </c>
      <c r="P692" s="72">
        <v>3.2349999999999999</v>
      </c>
      <c r="Q692" s="72">
        <f t="shared" si="12"/>
        <v>4.22</v>
      </c>
    </row>
    <row r="693" spans="2:17">
      <c r="B693" s="1">
        <v>41725</v>
      </c>
      <c r="C693">
        <v>4.3</v>
      </c>
      <c r="M693" s="1">
        <v>36896</v>
      </c>
      <c r="N693" s="1">
        <v>41725</v>
      </c>
      <c r="O693" s="1">
        <v>36892</v>
      </c>
      <c r="P693" s="72">
        <v>3.2349999999999999</v>
      </c>
      <c r="Q693" s="72">
        <f t="shared" si="12"/>
        <v>4.3</v>
      </c>
    </row>
    <row r="694" spans="2:17">
      <c r="B694" s="1">
        <v>41732</v>
      </c>
      <c r="C694">
        <v>4.335</v>
      </c>
      <c r="M694" s="1">
        <v>36896</v>
      </c>
      <c r="N694" s="1">
        <v>41732</v>
      </c>
      <c r="O694" s="1">
        <v>36892</v>
      </c>
      <c r="P694" s="72">
        <v>3.2349999999999999</v>
      </c>
      <c r="Q694" s="72">
        <f t="shared" si="12"/>
        <v>4.335</v>
      </c>
    </row>
    <row r="695" spans="2:17">
      <c r="B695" s="1">
        <v>41739</v>
      </c>
      <c r="C695">
        <v>4.2649999999999997</v>
      </c>
      <c r="M695" s="1">
        <v>36896</v>
      </c>
      <c r="N695" s="1">
        <v>41739</v>
      </c>
      <c r="O695" s="1">
        <v>36892</v>
      </c>
      <c r="P695" s="72">
        <v>3.2349999999999999</v>
      </c>
      <c r="Q695" s="72">
        <f t="shared" si="12"/>
        <v>4.2649999999999997</v>
      </c>
    </row>
    <row r="696" spans="2:17">
      <c r="B696" s="1">
        <v>41746</v>
      </c>
      <c r="C696">
        <v>4.1949999999999896</v>
      </c>
      <c r="M696" s="1">
        <v>36896</v>
      </c>
      <c r="N696" s="1">
        <v>41746</v>
      </c>
      <c r="O696" s="1">
        <v>36892</v>
      </c>
      <c r="P696" s="72">
        <v>3.2349999999999999</v>
      </c>
      <c r="Q696" s="72">
        <f t="shared" si="12"/>
        <v>4.1949999999999896</v>
      </c>
    </row>
    <row r="697" spans="2:17">
      <c r="B697" s="1">
        <v>41753</v>
      </c>
      <c r="C697">
        <v>4.2300000000000004</v>
      </c>
      <c r="M697" s="1">
        <v>36896</v>
      </c>
      <c r="N697" s="1">
        <v>41753</v>
      </c>
      <c r="O697" s="1">
        <v>36892</v>
      </c>
      <c r="P697" s="72">
        <v>3.2349999999999999</v>
      </c>
      <c r="Q697" s="72">
        <f t="shared" si="12"/>
        <v>4.2300000000000004</v>
      </c>
    </row>
    <row r="698" spans="2:17">
      <c r="B698" s="1">
        <v>41760</v>
      </c>
      <c r="C698">
        <v>4.2149999999999999</v>
      </c>
      <c r="M698" s="1">
        <v>36896</v>
      </c>
      <c r="N698" s="1">
        <v>41760</v>
      </c>
      <c r="O698" s="1">
        <v>36892</v>
      </c>
      <c r="P698" s="72">
        <v>3.2349999999999999</v>
      </c>
      <c r="Q698" s="72">
        <f t="shared" si="12"/>
        <v>4.2149999999999999</v>
      </c>
    </row>
    <row r="699" spans="2:17">
      <c r="B699" s="1">
        <v>41767</v>
      </c>
      <c r="C699">
        <v>4.1100000000000003</v>
      </c>
      <c r="M699" s="1">
        <v>36896</v>
      </c>
      <c r="N699" s="1">
        <v>41767</v>
      </c>
      <c r="O699" s="1">
        <v>36892</v>
      </c>
      <c r="P699" s="72">
        <v>3.2349999999999999</v>
      </c>
      <c r="Q699" s="72">
        <f t="shared" si="12"/>
        <v>4.1100000000000003</v>
      </c>
    </row>
    <row r="700" spans="2:17">
      <c r="B700" s="1">
        <v>41774</v>
      </c>
      <c r="C700">
        <v>4.0999999999999996</v>
      </c>
      <c r="M700" s="1">
        <v>36896</v>
      </c>
      <c r="N700" s="1">
        <v>41774</v>
      </c>
      <c r="O700" s="1">
        <v>36892</v>
      </c>
      <c r="P700" s="72">
        <v>3.2349999999999999</v>
      </c>
      <c r="Q700" s="72">
        <f t="shared" si="12"/>
        <v>4.0999999999999996</v>
      </c>
    </row>
    <row r="701" spans="2:17">
      <c r="B701" s="1">
        <v>41781</v>
      </c>
      <c r="C701">
        <v>4.04</v>
      </c>
      <c r="M701" s="1">
        <v>36896</v>
      </c>
      <c r="N701" s="1">
        <v>41781</v>
      </c>
      <c r="O701" s="1">
        <v>36892</v>
      </c>
      <c r="P701" s="72">
        <v>3.2349999999999999</v>
      </c>
      <c r="Q701" s="72">
        <f t="shared" si="12"/>
        <v>4.04</v>
      </c>
    </row>
    <row r="702" spans="2:17">
      <c r="B702" s="1">
        <v>41788</v>
      </c>
      <c r="C702">
        <v>4.0199999999999996</v>
      </c>
      <c r="M702" s="1">
        <v>36896</v>
      </c>
      <c r="N702" s="1">
        <v>41788</v>
      </c>
      <c r="O702" s="1">
        <v>36892</v>
      </c>
      <c r="P702" s="72">
        <v>3.2349999999999999</v>
      </c>
      <c r="Q702" s="72">
        <f t="shared" si="12"/>
        <v>4.0199999999999996</v>
      </c>
    </row>
    <row r="703" spans="2:17">
      <c r="B703" s="1">
        <v>41795</v>
      </c>
      <c r="C703">
        <v>4.0149999999999997</v>
      </c>
      <c r="M703" s="1">
        <v>36896</v>
      </c>
      <c r="N703" s="1">
        <v>41795</v>
      </c>
      <c r="O703" s="1">
        <v>36892</v>
      </c>
      <c r="P703" s="72">
        <v>3.2349999999999999</v>
      </c>
      <c r="Q703" s="72">
        <f t="shared" si="12"/>
        <v>4.0149999999999997</v>
      </c>
    </row>
    <row r="704" spans="2:17">
      <c r="B704" s="1">
        <v>41802</v>
      </c>
      <c r="C704">
        <v>4.0999999999999996</v>
      </c>
      <c r="M704" s="1">
        <v>36896</v>
      </c>
      <c r="N704" s="1">
        <v>41802</v>
      </c>
      <c r="O704" s="1">
        <v>36892</v>
      </c>
      <c r="P704" s="72">
        <v>3.2349999999999999</v>
      </c>
      <c r="Q704" s="72">
        <f t="shared" si="12"/>
        <v>4.0999999999999996</v>
      </c>
    </row>
    <row r="705" spans="2:17">
      <c r="B705" s="1">
        <v>41809</v>
      </c>
      <c r="C705">
        <v>4.07</v>
      </c>
      <c r="M705" s="1">
        <v>36896</v>
      </c>
      <c r="N705" s="1">
        <v>41809</v>
      </c>
      <c r="O705" s="1">
        <v>36892</v>
      </c>
      <c r="P705" s="72">
        <v>3.2349999999999999</v>
      </c>
      <c r="Q705" s="72">
        <f t="shared" si="12"/>
        <v>4.07</v>
      </c>
    </row>
    <row r="706" spans="2:17">
      <c r="B706" s="1">
        <v>41816</v>
      </c>
      <c r="C706">
        <v>4.0149999999999997</v>
      </c>
      <c r="M706" s="1">
        <v>36896</v>
      </c>
      <c r="N706" s="1">
        <v>41816</v>
      </c>
      <c r="O706" s="1">
        <v>36892</v>
      </c>
      <c r="P706" s="72">
        <v>3.2349999999999999</v>
      </c>
      <c r="Q706" s="72">
        <f t="shared" si="12"/>
        <v>4.0149999999999997</v>
      </c>
    </row>
    <row r="707" spans="2:17">
      <c r="B707" s="1">
        <v>41823</v>
      </c>
      <c r="C707">
        <v>3.9950000000000001</v>
      </c>
      <c r="M707" s="1">
        <v>36896</v>
      </c>
      <c r="N707" s="1">
        <v>41823</v>
      </c>
      <c r="O707" s="1">
        <v>36892</v>
      </c>
      <c r="P707" s="72">
        <v>3.2349999999999999</v>
      </c>
      <c r="Q707" s="72">
        <f t="shared" si="12"/>
        <v>3.9950000000000001</v>
      </c>
    </row>
    <row r="708" spans="2:17">
      <c r="B708" s="1">
        <v>41830</v>
      </c>
      <c r="C708">
        <v>4.0750000000000002</v>
      </c>
      <c r="M708" s="1">
        <v>36896</v>
      </c>
      <c r="N708" s="1">
        <v>41830</v>
      </c>
      <c r="O708" s="1">
        <v>36892</v>
      </c>
      <c r="P708" s="72">
        <v>3.2349999999999999</v>
      </c>
      <c r="Q708" s="72">
        <f t="shared" ref="Q708:Q755" si="13">VLOOKUP(N708,B:C,2,0)</f>
        <v>4.0750000000000002</v>
      </c>
    </row>
    <row r="709" spans="2:17">
      <c r="B709" s="1">
        <v>41837</v>
      </c>
      <c r="C709">
        <v>4.03</v>
      </c>
      <c r="M709" s="1">
        <v>36896</v>
      </c>
      <c r="N709" s="1">
        <v>41837</v>
      </c>
      <c r="O709" s="1">
        <v>36892</v>
      </c>
      <c r="P709" s="72">
        <v>3.2349999999999999</v>
      </c>
      <c r="Q709" s="72">
        <f t="shared" si="13"/>
        <v>4.03</v>
      </c>
    </row>
    <row r="710" spans="2:17">
      <c r="B710" s="1">
        <v>41844</v>
      </c>
      <c r="C710">
        <v>4.03</v>
      </c>
      <c r="M710" s="1">
        <v>36896</v>
      </c>
      <c r="N710" s="1">
        <v>41844</v>
      </c>
      <c r="O710" s="1">
        <v>36892</v>
      </c>
      <c r="P710" s="72">
        <v>3.2349999999999999</v>
      </c>
      <c r="Q710" s="72">
        <f t="shared" si="13"/>
        <v>4.03</v>
      </c>
    </row>
    <row r="711" spans="2:17">
      <c r="B711" s="1">
        <v>41851</v>
      </c>
      <c r="C711">
        <v>4.0199999999999996</v>
      </c>
      <c r="M711" s="1">
        <v>36896</v>
      </c>
      <c r="N711" s="1">
        <v>41851</v>
      </c>
      <c r="O711" s="1">
        <v>36892</v>
      </c>
      <c r="P711" s="72">
        <v>3.2349999999999999</v>
      </c>
      <c r="Q711" s="72">
        <f t="shared" si="13"/>
        <v>4.0199999999999996</v>
      </c>
    </row>
    <row r="712" spans="2:17">
      <c r="B712" s="1">
        <v>41858</v>
      </c>
      <c r="C712">
        <v>4.0649999999999897</v>
      </c>
      <c r="M712" s="1">
        <v>36896</v>
      </c>
      <c r="N712" s="1">
        <v>41858</v>
      </c>
      <c r="O712" s="1">
        <v>36892</v>
      </c>
      <c r="P712" s="72">
        <v>3.2349999999999999</v>
      </c>
      <c r="Q712" s="72">
        <f t="shared" si="13"/>
        <v>4.0649999999999897</v>
      </c>
    </row>
    <row r="713" spans="2:17">
      <c r="B713" s="1">
        <v>41865</v>
      </c>
      <c r="C713">
        <v>4.0199999999999996</v>
      </c>
      <c r="M713" s="1">
        <v>36896</v>
      </c>
      <c r="N713" s="1">
        <v>41865</v>
      </c>
      <c r="O713" s="1">
        <v>36892</v>
      </c>
      <c r="P713" s="72">
        <v>3.2349999999999999</v>
      </c>
      <c r="Q713" s="72">
        <f t="shared" si="13"/>
        <v>4.0199999999999996</v>
      </c>
    </row>
    <row r="714" spans="2:17">
      <c r="B714" s="1">
        <v>41872</v>
      </c>
      <c r="C714">
        <v>3.9749999999999899</v>
      </c>
      <c r="M714" s="1">
        <v>36896</v>
      </c>
      <c r="N714" s="1">
        <v>41872</v>
      </c>
      <c r="O714" s="1">
        <v>36892</v>
      </c>
      <c r="P714" s="72">
        <v>3.2349999999999999</v>
      </c>
      <c r="Q714" s="72">
        <f t="shared" si="13"/>
        <v>3.9749999999999899</v>
      </c>
    </row>
    <row r="715" spans="2:17">
      <c r="B715" s="1">
        <v>41879</v>
      </c>
      <c r="C715">
        <v>3.9749999999999899</v>
      </c>
      <c r="M715" s="1">
        <v>36896</v>
      </c>
      <c r="N715" s="1">
        <v>41879</v>
      </c>
      <c r="O715" s="1">
        <v>36892</v>
      </c>
      <c r="P715" s="72">
        <v>3.2349999999999999</v>
      </c>
      <c r="Q715" s="72">
        <f t="shared" si="13"/>
        <v>3.9749999999999899</v>
      </c>
    </row>
    <row r="716" spans="2:17">
      <c r="B716" s="1">
        <v>41886</v>
      </c>
      <c r="C716">
        <v>3.9749999999999899</v>
      </c>
      <c r="M716" s="1">
        <v>36896</v>
      </c>
      <c r="N716" s="1">
        <v>41886</v>
      </c>
      <c r="O716" s="1">
        <v>36892</v>
      </c>
      <c r="P716" s="72">
        <v>3.2349999999999999</v>
      </c>
      <c r="Q716" s="72">
        <f t="shared" si="13"/>
        <v>3.9749999999999899</v>
      </c>
    </row>
    <row r="717" spans="2:17">
      <c r="B717" s="1">
        <v>41893</v>
      </c>
      <c r="C717">
        <v>3.9950000000000001</v>
      </c>
      <c r="M717" s="1">
        <v>36896</v>
      </c>
      <c r="N717" s="1">
        <v>41893</v>
      </c>
      <c r="O717" s="1">
        <v>36892</v>
      </c>
      <c r="P717" s="72">
        <v>3.2349999999999999</v>
      </c>
      <c r="Q717" s="72">
        <f t="shared" si="13"/>
        <v>3.9950000000000001</v>
      </c>
    </row>
    <row r="718" spans="2:17">
      <c r="B718" s="1">
        <v>41900</v>
      </c>
      <c r="C718">
        <v>4.1050000000000004</v>
      </c>
      <c r="M718" s="1">
        <v>36896</v>
      </c>
      <c r="N718" s="1">
        <v>41900</v>
      </c>
      <c r="O718" s="1">
        <v>36892</v>
      </c>
      <c r="P718" s="72">
        <v>3.2349999999999999</v>
      </c>
      <c r="Q718" s="72">
        <f t="shared" si="13"/>
        <v>4.1050000000000004</v>
      </c>
    </row>
    <row r="719" spans="2:17">
      <c r="B719" s="1">
        <v>41907</v>
      </c>
      <c r="C719">
        <v>4.0750000000000002</v>
      </c>
      <c r="M719" s="1">
        <v>36896</v>
      </c>
      <c r="N719" s="1">
        <v>41907</v>
      </c>
      <c r="O719" s="1">
        <v>36892</v>
      </c>
      <c r="P719" s="72">
        <v>3.2349999999999999</v>
      </c>
      <c r="Q719" s="72">
        <f t="shared" si="13"/>
        <v>4.0750000000000002</v>
      </c>
    </row>
    <row r="720" spans="2:17">
      <c r="B720" s="1">
        <v>41914</v>
      </c>
      <c r="C720">
        <v>4.04</v>
      </c>
      <c r="M720" s="1">
        <v>36896</v>
      </c>
      <c r="N720" s="1">
        <v>41914</v>
      </c>
      <c r="O720" s="1">
        <v>36892</v>
      </c>
      <c r="P720" s="72">
        <v>3.2349999999999999</v>
      </c>
      <c r="Q720" s="72">
        <f t="shared" si="13"/>
        <v>4.04</v>
      </c>
    </row>
    <row r="721" spans="2:17">
      <c r="B721" s="1">
        <v>41921</v>
      </c>
      <c r="C721">
        <v>3.9950000000000001</v>
      </c>
      <c r="M721" s="1">
        <v>36896</v>
      </c>
      <c r="N721" s="1">
        <v>41921</v>
      </c>
      <c r="O721" s="1">
        <v>36892</v>
      </c>
      <c r="P721" s="72">
        <v>3.2349999999999999</v>
      </c>
      <c r="Q721" s="72">
        <f t="shared" si="13"/>
        <v>3.9950000000000001</v>
      </c>
    </row>
    <row r="722" spans="2:17">
      <c r="B722" s="1">
        <v>41928</v>
      </c>
      <c r="C722">
        <v>3.8450000000000002</v>
      </c>
      <c r="M722" s="1">
        <v>36896</v>
      </c>
      <c r="N722" s="1">
        <v>41928</v>
      </c>
      <c r="O722" s="1">
        <v>36892</v>
      </c>
      <c r="P722" s="72">
        <v>3.2349999999999999</v>
      </c>
      <c r="Q722" s="72">
        <f t="shared" si="13"/>
        <v>3.8450000000000002</v>
      </c>
    </row>
    <row r="723" spans="2:17">
      <c r="B723" s="1">
        <v>41935</v>
      </c>
      <c r="C723">
        <v>3.7949999999999999</v>
      </c>
      <c r="M723" s="1">
        <v>36896</v>
      </c>
      <c r="N723" s="1">
        <v>41935</v>
      </c>
      <c r="O723" s="1">
        <v>36892</v>
      </c>
      <c r="P723" s="72">
        <v>3.2349999999999999</v>
      </c>
      <c r="Q723" s="72">
        <f t="shared" si="13"/>
        <v>3.7949999999999999</v>
      </c>
    </row>
    <row r="724" spans="2:17">
      <c r="B724" s="1">
        <v>41942</v>
      </c>
      <c r="C724">
        <v>3.855</v>
      </c>
      <c r="M724" s="1">
        <v>36896</v>
      </c>
      <c r="N724" s="1">
        <v>41942</v>
      </c>
      <c r="O724" s="1">
        <v>36892</v>
      </c>
      <c r="P724" s="72">
        <v>3.2349999999999999</v>
      </c>
      <c r="Q724" s="72">
        <f t="shared" si="13"/>
        <v>3.855</v>
      </c>
    </row>
    <row r="725" spans="2:17">
      <c r="B725" s="1">
        <v>41949</v>
      </c>
      <c r="C725">
        <v>3.8949999999999898</v>
      </c>
      <c r="M725" s="1">
        <v>36896</v>
      </c>
      <c r="N725" s="1">
        <v>41949</v>
      </c>
      <c r="O725" s="1">
        <v>36892</v>
      </c>
      <c r="P725" s="72">
        <v>3.2349999999999999</v>
      </c>
      <c r="Q725" s="72">
        <f t="shared" si="13"/>
        <v>3.8949999999999898</v>
      </c>
    </row>
    <row r="726" spans="2:17">
      <c r="B726" s="1">
        <v>41956</v>
      </c>
      <c r="C726">
        <v>3.8849999999999998</v>
      </c>
      <c r="M726" s="1">
        <v>36896</v>
      </c>
      <c r="N726" s="1">
        <v>41956</v>
      </c>
      <c r="O726" s="1">
        <v>36892</v>
      </c>
      <c r="P726" s="72">
        <v>3.2349999999999999</v>
      </c>
      <c r="Q726" s="72">
        <f t="shared" si="13"/>
        <v>3.8849999999999998</v>
      </c>
    </row>
    <row r="727" spans="2:17">
      <c r="B727" s="1">
        <v>41963</v>
      </c>
      <c r="C727">
        <v>3.8650000000000002</v>
      </c>
      <c r="M727" s="1">
        <v>36896</v>
      </c>
      <c r="N727" s="1">
        <v>41963</v>
      </c>
      <c r="O727" s="1">
        <v>36892</v>
      </c>
      <c r="P727" s="72">
        <v>3.2349999999999999</v>
      </c>
      <c r="Q727" s="72">
        <f t="shared" si="13"/>
        <v>3.8650000000000002</v>
      </c>
    </row>
    <row r="728" spans="2:17">
      <c r="B728" s="1">
        <v>41969</v>
      </c>
      <c r="C728">
        <v>3.8450000000000002</v>
      </c>
      <c r="M728" s="1">
        <v>36896</v>
      </c>
      <c r="N728" s="1">
        <v>41969</v>
      </c>
      <c r="O728" s="1">
        <v>36892</v>
      </c>
      <c r="P728" s="72">
        <v>3.2349999999999999</v>
      </c>
      <c r="Q728" s="72">
        <f t="shared" si="13"/>
        <v>3.8450000000000002</v>
      </c>
    </row>
    <row r="729" spans="2:17">
      <c r="B729" s="1">
        <v>41977</v>
      </c>
      <c r="C729">
        <v>3.7650000000000001</v>
      </c>
      <c r="M729" s="1">
        <v>36896</v>
      </c>
      <c r="N729" s="1">
        <v>41977</v>
      </c>
      <c r="O729" s="1">
        <v>36892</v>
      </c>
      <c r="P729" s="72">
        <v>3.2349999999999999</v>
      </c>
      <c r="Q729" s="72">
        <f t="shared" si="13"/>
        <v>3.7650000000000001</v>
      </c>
    </row>
    <row r="730" spans="2:17">
      <c r="B730" s="1">
        <v>41984</v>
      </c>
      <c r="C730">
        <v>3.8050000000000002</v>
      </c>
      <c r="M730" s="1">
        <v>36896</v>
      </c>
      <c r="N730" s="1">
        <v>41984</v>
      </c>
      <c r="O730" s="1">
        <v>36892</v>
      </c>
      <c r="P730" s="72">
        <v>3.2349999999999999</v>
      </c>
      <c r="Q730" s="72">
        <f t="shared" si="13"/>
        <v>3.8050000000000002</v>
      </c>
    </row>
    <row r="731" spans="2:17">
      <c r="B731" s="1">
        <v>41991</v>
      </c>
      <c r="C731">
        <v>3.69999999999999</v>
      </c>
      <c r="M731" s="1">
        <v>36896</v>
      </c>
      <c r="N731" s="1">
        <v>41991</v>
      </c>
      <c r="O731" s="1">
        <v>36892</v>
      </c>
      <c r="P731" s="72">
        <v>3.2349999999999999</v>
      </c>
      <c r="Q731" s="72">
        <f t="shared" si="13"/>
        <v>3.69999999999999</v>
      </c>
    </row>
    <row r="732" spans="2:17">
      <c r="B732" s="1">
        <v>41997</v>
      </c>
      <c r="C732">
        <v>3.73</v>
      </c>
      <c r="M732" s="1">
        <v>36896</v>
      </c>
      <c r="N732" s="1">
        <v>41997</v>
      </c>
      <c r="O732" s="1">
        <v>36892</v>
      </c>
      <c r="P732" s="72">
        <v>3.2349999999999999</v>
      </c>
      <c r="Q732" s="72">
        <f t="shared" si="13"/>
        <v>3.73</v>
      </c>
    </row>
    <row r="733" spans="2:17">
      <c r="B733" s="1">
        <v>42004</v>
      </c>
      <c r="C733">
        <v>3.77</v>
      </c>
      <c r="M733" s="1">
        <v>36896</v>
      </c>
      <c r="N733" s="1">
        <v>42004</v>
      </c>
      <c r="O733" s="1">
        <v>36892</v>
      </c>
      <c r="P733" s="72">
        <v>3.2349999999999999</v>
      </c>
      <c r="Q733" s="72">
        <f t="shared" si="13"/>
        <v>3.77</v>
      </c>
    </row>
    <row r="734" spans="2:17">
      <c r="B734" s="1">
        <v>42012</v>
      </c>
      <c r="C734">
        <v>3.63</v>
      </c>
      <c r="M734" s="1">
        <v>36896</v>
      </c>
      <c r="N734" s="1">
        <v>42012</v>
      </c>
      <c r="O734" s="1">
        <v>36892</v>
      </c>
      <c r="P734" s="72">
        <v>3.2349999999999999</v>
      </c>
      <c r="Q734" s="72">
        <f t="shared" si="13"/>
        <v>3.63</v>
      </c>
    </row>
    <row r="735" spans="2:17">
      <c r="B735" s="1">
        <v>42019</v>
      </c>
      <c r="C735">
        <v>3.56</v>
      </c>
      <c r="M735" s="1">
        <v>36896</v>
      </c>
      <c r="N735" s="1">
        <v>42019</v>
      </c>
      <c r="O735" s="1">
        <v>36892</v>
      </c>
      <c r="P735" s="72">
        <v>3.2349999999999999</v>
      </c>
      <c r="Q735" s="72">
        <f t="shared" si="13"/>
        <v>3.56</v>
      </c>
    </row>
    <row r="736" spans="2:17">
      <c r="B736" s="1">
        <v>42026</v>
      </c>
      <c r="C736">
        <v>3.5549999999999899</v>
      </c>
      <c r="M736" s="1">
        <v>36896</v>
      </c>
      <c r="N736" s="1">
        <v>42026</v>
      </c>
      <c r="O736" s="1">
        <v>36892</v>
      </c>
      <c r="P736" s="72">
        <v>3.2349999999999999</v>
      </c>
      <c r="Q736" s="72">
        <f t="shared" si="13"/>
        <v>3.5549999999999899</v>
      </c>
    </row>
    <row r="737" spans="2:17">
      <c r="B737" s="1">
        <v>42033</v>
      </c>
      <c r="C737">
        <v>3.56</v>
      </c>
      <c r="M737" s="1">
        <v>36896</v>
      </c>
      <c r="N737" s="1">
        <v>42033</v>
      </c>
      <c r="O737" s="1">
        <v>36892</v>
      </c>
      <c r="P737" s="72">
        <v>3.2349999999999999</v>
      </c>
      <c r="Q737" s="72">
        <f t="shared" si="13"/>
        <v>3.56</v>
      </c>
    </row>
    <row r="738" spans="2:17">
      <c r="B738" s="1">
        <v>42040</v>
      </c>
      <c r="C738">
        <v>3.5149999999999899</v>
      </c>
      <c r="M738" s="1">
        <v>36896</v>
      </c>
      <c r="N738" s="1">
        <v>42040</v>
      </c>
      <c r="O738" s="1">
        <v>36892</v>
      </c>
      <c r="P738" s="72">
        <v>3.2349999999999999</v>
      </c>
      <c r="Q738" s="72">
        <f t="shared" si="13"/>
        <v>3.5149999999999899</v>
      </c>
    </row>
    <row r="739" spans="2:17">
      <c r="B739" s="1">
        <v>42047</v>
      </c>
      <c r="C739">
        <v>3.59</v>
      </c>
      <c r="M739" s="1">
        <v>36896</v>
      </c>
      <c r="N739" s="1">
        <v>42047</v>
      </c>
      <c r="O739" s="1">
        <v>36892</v>
      </c>
      <c r="P739" s="72">
        <v>3.2349999999999999</v>
      </c>
      <c r="Q739" s="72">
        <f t="shared" si="13"/>
        <v>3.59</v>
      </c>
    </row>
    <row r="740" spans="2:17">
      <c r="B740" s="1">
        <v>42054</v>
      </c>
      <c r="C740">
        <v>3.6599999999999899</v>
      </c>
      <c r="M740" s="1">
        <v>36896</v>
      </c>
      <c r="N740" s="1">
        <v>42054</v>
      </c>
      <c r="O740" s="1">
        <v>36892</v>
      </c>
      <c r="P740" s="72">
        <v>3.2349999999999999</v>
      </c>
      <c r="Q740" s="72">
        <f t="shared" si="13"/>
        <v>3.6599999999999899</v>
      </c>
    </row>
    <row r="741" spans="2:17">
      <c r="B741" s="1">
        <v>42061</v>
      </c>
      <c r="C741">
        <v>3.69999999999999</v>
      </c>
      <c r="M741" s="1">
        <v>36896</v>
      </c>
      <c r="N741" s="1">
        <v>42061</v>
      </c>
      <c r="O741" s="1">
        <v>36892</v>
      </c>
      <c r="P741" s="72">
        <v>3.2349999999999999</v>
      </c>
      <c r="Q741" s="72">
        <f t="shared" si="13"/>
        <v>3.69999999999999</v>
      </c>
    </row>
    <row r="742" spans="2:17">
      <c r="B742" s="1">
        <v>42068</v>
      </c>
      <c r="C742">
        <v>3.65</v>
      </c>
      <c r="M742" s="1">
        <v>36896</v>
      </c>
      <c r="N742" s="1">
        <v>42068</v>
      </c>
      <c r="O742" s="1">
        <v>36892</v>
      </c>
      <c r="P742" s="72">
        <v>3.2349999999999999</v>
      </c>
      <c r="Q742" s="72">
        <f t="shared" si="13"/>
        <v>3.65</v>
      </c>
    </row>
    <row r="743" spans="2:17">
      <c r="B743" s="1">
        <v>42075</v>
      </c>
      <c r="C743">
        <v>3.76</v>
      </c>
      <c r="M743" s="1">
        <v>36896</v>
      </c>
      <c r="N743" s="1">
        <v>42075</v>
      </c>
      <c r="O743" s="1">
        <v>36892</v>
      </c>
      <c r="P743" s="72">
        <v>3.2349999999999999</v>
      </c>
      <c r="Q743" s="72">
        <f t="shared" si="13"/>
        <v>3.76</v>
      </c>
    </row>
    <row r="744" spans="2:17">
      <c r="B744" s="1">
        <v>42082</v>
      </c>
      <c r="C744">
        <v>3.6799999999999899</v>
      </c>
      <c r="M744" s="1">
        <v>36896</v>
      </c>
      <c r="N744" s="1">
        <v>42082</v>
      </c>
      <c r="O744" s="1">
        <v>36892</v>
      </c>
      <c r="P744" s="72">
        <v>3.2349999999999999</v>
      </c>
      <c r="Q744" s="72">
        <f t="shared" si="13"/>
        <v>3.6799999999999899</v>
      </c>
    </row>
    <row r="745" spans="2:17">
      <c r="B745" s="1">
        <v>42089</v>
      </c>
      <c r="C745">
        <v>3.59</v>
      </c>
      <c r="M745" s="1">
        <v>36896</v>
      </c>
      <c r="N745" s="1">
        <v>42089</v>
      </c>
      <c r="O745" s="1">
        <v>36892</v>
      </c>
      <c r="P745" s="72">
        <v>3.2349999999999999</v>
      </c>
      <c r="Q745" s="72">
        <f t="shared" si="13"/>
        <v>3.59</v>
      </c>
    </row>
    <row r="746" spans="2:17">
      <c r="B746" s="1">
        <v>42096</v>
      </c>
      <c r="C746">
        <v>3.6</v>
      </c>
      <c r="M746" s="1">
        <v>36896</v>
      </c>
      <c r="N746" s="1">
        <v>42096</v>
      </c>
      <c r="O746" s="1">
        <v>36892</v>
      </c>
      <c r="P746" s="72">
        <v>3.2349999999999999</v>
      </c>
      <c r="Q746" s="72">
        <f t="shared" si="13"/>
        <v>3.6</v>
      </c>
    </row>
    <row r="747" spans="2:17">
      <c r="B747" s="1">
        <v>42103</v>
      </c>
      <c r="C747">
        <v>3.56</v>
      </c>
      <c r="M747" s="1">
        <v>36896</v>
      </c>
      <c r="N747" s="1">
        <v>42103</v>
      </c>
      <c r="O747" s="1">
        <v>36892</v>
      </c>
      <c r="P747" s="72">
        <v>3.2349999999999999</v>
      </c>
      <c r="Q747" s="72">
        <f t="shared" si="13"/>
        <v>3.56</v>
      </c>
    </row>
    <row r="748" spans="2:17">
      <c r="B748" s="1">
        <v>42110</v>
      </c>
      <c r="C748">
        <v>3.59499999999999</v>
      </c>
      <c r="M748" s="1">
        <v>36896</v>
      </c>
      <c r="N748" s="1">
        <v>42110</v>
      </c>
      <c r="O748" s="1">
        <v>36892</v>
      </c>
      <c r="P748" s="72">
        <v>3.2349999999999999</v>
      </c>
      <c r="Q748" s="72">
        <f t="shared" si="13"/>
        <v>3.59499999999999</v>
      </c>
    </row>
    <row r="749" spans="2:17">
      <c r="B749" s="1">
        <v>42117</v>
      </c>
      <c r="C749">
        <v>3.55</v>
      </c>
      <c r="M749" s="1">
        <v>36896</v>
      </c>
      <c r="N749" s="1">
        <v>42117</v>
      </c>
      <c r="O749" s="1">
        <v>36892</v>
      </c>
      <c r="P749" s="72">
        <v>3.2349999999999999</v>
      </c>
      <c r="Q749" s="72">
        <f t="shared" si="13"/>
        <v>3.55</v>
      </c>
    </row>
    <row r="750" spans="2:17">
      <c r="B750" s="1">
        <v>42124</v>
      </c>
      <c r="C750">
        <v>3.58</v>
      </c>
      <c r="M750" s="1">
        <v>36896</v>
      </c>
      <c r="N750" s="1">
        <v>42124</v>
      </c>
      <c r="O750" s="1">
        <v>36892</v>
      </c>
      <c r="P750" s="72">
        <v>3.2349999999999999</v>
      </c>
      <c r="Q750" s="72">
        <f t="shared" si="13"/>
        <v>3.58</v>
      </c>
    </row>
    <row r="751" spans="2:17">
      <c r="B751" s="1">
        <v>42131</v>
      </c>
      <c r="C751">
        <v>3.69999999999999</v>
      </c>
      <c r="M751" s="1">
        <v>36896</v>
      </c>
      <c r="N751" s="1">
        <v>42131</v>
      </c>
      <c r="O751" s="1">
        <v>36892</v>
      </c>
      <c r="P751" s="72">
        <v>3.2349999999999999</v>
      </c>
      <c r="Q751" s="72">
        <f t="shared" si="13"/>
        <v>3.69999999999999</v>
      </c>
    </row>
    <row r="752" spans="2:17">
      <c r="B752" s="1">
        <v>42138</v>
      </c>
      <c r="C752">
        <v>3.75</v>
      </c>
      <c r="M752" s="1">
        <v>36896</v>
      </c>
      <c r="N752" s="1">
        <v>42138</v>
      </c>
      <c r="O752" s="1">
        <v>36892</v>
      </c>
      <c r="P752" s="72">
        <v>3.2349999999999999</v>
      </c>
      <c r="Q752" s="72">
        <f t="shared" si="13"/>
        <v>3.75</v>
      </c>
    </row>
    <row r="753" spans="2:17">
      <c r="B753" s="1">
        <v>42145</v>
      </c>
      <c r="C753">
        <v>3.7649999999999899</v>
      </c>
      <c r="M753" s="1">
        <v>36896</v>
      </c>
      <c r="N753" s="1">
        <v>42145</v>
      </c>
      <c r="O753" s="1">
        <v>36892</v>
      </c>
      <c r="P753" s="72">
        <v>3.2349999999999999</v>
      </c>
      <c r="Q753" s="72">
        <f t="shared" si="13"/>
        <v>3.7649999999999899</v>
      </c>
    </row>
    <row r="754" spans="2:17">
      <c r="B754" s="1">
        <v>42152</v>
      </c>
      <c r="C754">
        <v>3.77</v>
      </c>
      <c r="M754" s="1">
        <v>36896</v>
      </c>
      <c r="N754" s="1">
        <v>42152</v>
      </c>
      <c r="O754" s="1">
        <v>36892</v>
      </c>
      <c r="P754" s="72">
        <v>3.2349999999999999</v>
      </c>
      <c r="Q754" s="72">
        <f t="shared" si="13"/>
        <v>3.77</v>
      </c>
    </row>
    <row r="755" spans="2:17">
      <c r="B755" s="1">
        <v>42159</v>
      </c>
      <c r="C755">
        <v>3.77</v>
      </c>
      <c r="M755" s="1">
        <v>36896</v>
      </c>
      <c r="N755" s="1">
        <v>42159</v>
      </c>
      <c r="O755" s="1">
        <v>36892</v>
      </c>
      <c r="P755" s="72">
        <v>3.2349999999999999</v>
      </c>
      <c r="Q755" s="72">
        <f t="shared" si="13"/>
        <v>3.77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Z234"/>
  <sheetViews>
    <sheetView topLeftCell="A11" workbookViewId="0">
      <selection activeCell="AL53" sqref="AL53"/>
    </sheetView>
  </sheetViews>
  <sheetFormatPr defaultRowHeight="15"/>
  <cols>
    <col min="2" max="2" width="10.7109375" bestFit="1" customWidth="1"/>
    <col min="4" max="5" width="0" hidden="1" customWidth="1"/>
    <col min="7" max="7" width="11.140625" bestFit="1" customWidth="1"/>
    <col min="8" max="8" width="11.140625" customWidth="1"/>
    <col min="9" max="9" width="0" hidden="1" customWidth="1"/>
    <col min="10" max="10" width="10.7109375" hidden="1" customWidth="1"/>
    <col min="11" max="11" width="12.85546875" hidden="1" customWidth="1"/>
    <col min="12" max="12" width="0" hidden="1" customWidth="1"/>
    <col min="13" max="13" width="10.7109375" hidden="1" customWidth="1"/>
    <col min="14" max="14" width="14" hidden="1" customWidth="1"/>
    <col min="16" max="16" width="10.7109375" bestFit="1" customWidth="1"/>
    <col min="17" max="17" width="12.85546875" bestFit="1" customWidth="1"/>
    <col min="26" max="26" width="9.7109375" bestFit="1" customWidth="1"/>
  </cols>
  <sheetData>
    <row r="2" spans="2:17">
      <c r="B2" t="s">
        <v>23</v>
      </c>
      <c r="C2" t="s">
        <v>89</v>
      </c>
      <c r="D2" t="s">
        <v>91</v>
      </c>
      <c r="E2" t="s">
        <v>92</v>
      </c>
      <c r="F2" t="s">
        <v>95</v>
      </c>
      <c r="G2" t="s">
        <v>93</v>
      </c>
      <c r="H2" t="s">
        <v>102</v>
      </c>
      <c r="J2" t="s">
        <v>23</v>
      </c>
      <c r="K2" t="s">
        <v>25</v>
      </c>
      <c r="M2" t="s">
        <v>23</v>
      </c>
      <c r="N2" t="s">
        <v>25</v>
      </c>
      <c r="P2" t="s">
        <v>23</v>
      </c>
      <c r="Q2" t="s">
        <v>25</v>
      </c>
    </row>
    <row r="3" spans="2:17">
      <c r="B3" s="1">
        <v>40549</v>
      </c>
      <c r="C3" s="33">
        <v>0.477996028899563</v>
      </c>
      <c r="D3" s="33">
        <f t="shared" ref="D3:D66" si="0">VLOOKUP(B3,J:K,2,0)</f>
        <v>0</v>
      </c>
      <c r="E3" s="33">
        <f>VLOOKUP(B3,M:N,2,0)</f>
        <v>4.5378702526762199E-5</v>
      </c>
      <c r="F3" s="33">
        <f t="shared" ref="F3:F66" si="1">VLOOKUP(B3,P:Q,2,0)</f>
        <v>0</v>
      </c>
      <c r="G3" s="73">
        <f ca="1">VLOOKUP(B3+1,Bloomberg!B:C,2,0)</f>
        <v>2344.3000000000002</v>
      </c>
      <c r="H3" s="33">
        <f>VLOOKUP(B3,'Media Effect'!M:N,2,0)</f>
        <v>3.7596565105309601E-4</v>
      </c>
      <c r="J3" s="1">
        <v>40549</v>
      </c>
      <c r="K3" s="33">
        <v>0</v>
      </c>
      <c r="M3" s="1">
        <v>40549</v>
      </c>
      <c r="N3" s="33">
        <v>4.5378702526762199E-5</v>
      </c>
      <c r="P3" s="1">
        <v>40549</v>
      </c>
      <c r="Q3" s="33">
        <v>0</v>
      </c>
    </row>
    <row r="4" spans="2:17">
      <c r="B4" s="1">
        <v>40556</v>
      </c>
      <c r="C4" s="33">
        <v>0.49650185657562101</v>
      </c>
      <c r="D4" s="33">
        <f t="shared" si="0"/>
        <v>0</v>
      </c>
      <c r="E4" s="33">
        <f t="shared" ref="E4:E67" si="2">VLOOKUP(B4,M:N,2,0)</f>
        <v>5.80030998251819E-5</v>
      </c>
      <c r="F4" s="33">
        <f t="shared" si="1"/>
        <v>5.80030998251819E-5</v>
      </c>
      <c r="G4" s="73">
        <f ca="1">VLOOKUP(B4+1,Bloomberg!B:C,2,0)</f>
        <v>2528.6999999999998</v>
      </c>
      <c r="H4" s="33">
        <f>VLOOKUP(B4,'Media Effect'!M:N,2,0)</f>
        <v>5.3255518166106497E-4</v>
      </c>
      <c r="J4" s="1">
        <v>40556</v>
      </c>
      <c r="K4" s="33">
        <v>0</v>
      </c>
      <c r="M4" s="1">
        <v>40556</v>
      </c>
      <c r="N4" s="33">
        <v>5.80030998251819E-5</v>
      </c>
      <c r="P4" s="1">
        <v>40556</v>
      </c>
      <c r="Q4" s="33">
        <v>5.80030998251819E-5</v>
      </c>
    </row>
    <row r="5" spans="2:17">
      <c r="B5" s="1">
        <v>40563</v>
      </c>
      <c r="C5" s="33">
        <v>0.48029569588235599</v>
      </c>
      <c r="D5" s="33">
        <f t="shared" si="0"/>
        <v>0</v>
      </c>
      <c r="E5" s="33">
        <f t="shared" si="2"/>
        <v>0</v>
      </c>
      <c r="F5" s="33">
        <f t="shared" si="1"/>
        <v>0</v>
      </c>
      <c r="G5" s="73">
        <f ca="1">VLOOKUP(B5+1,Bloomberg!B:C,2,0)</f>
        <v>2129.6999999999998</v>
      </c>
      <c r="H5" s="33">
        <f>VLOOKUP(B5,'Media Effect'!M:N,2,0)</f>
        <v>4.2360297628175301E-4</v>
      </c>
      <c r="J5" s="1">
        <v>40563</v>
      </c>
      <c r="K5" s="33">
        <v>0</v>
      </c>
      <c r="M5" s="1">
        <v>40563</v>
      </c>
      <c r="N5" s="33">
        <v>0</v>
      </c>
      <c r="P5" s="1">
        <v>40563</v>
      </c>
      <c r="Q5" s="33">
        <v>0</v>
      </c>
    </row>
    <row r="6" spans="2:17">
      <c r="B6" s="1">
        <v>40570</v>
      </c>
      <c r="C6" s="33">
        <v>0.47679593730615699</v>
      </c>
      <c r="D6" s="33">
        <f t="shared" si="0"/>
        <v>0</v>
      </c>
      <c r="E6" s="33">
        <f t="shared" si="2"/>
        <v>0</v>
      </c>
      <c r="F6" s="33">
        <f t="shared" si="1"/>
        <v>0</v>
      </c>
      <c r="G6" s="73">
        <f ca="1">VLOOKUP(B6+1,Bloomberg!B:C,2,0)</f>
        <v>2371.1</v>
      </c>
      <c r="H6" s="33">
        <f>VLOOKUP(B6,'Media Effect'!M:N,2,0)</f>
        <v>2.71872925347238E-4</v>
      </c>
      <c r="J6" s="1">
        <v>40570</v>
      </c>
      <c r="K6" s="33">
        <v>0</v>
      </c>
      <c r="M6" s="1">
        <v>40570</v>
      </c>
      <c r="N6" s="33">
        <v>0</v>
      </c>
      <c r="P6" s="1">
        <v>40570</v>
      </c>
      <c r="Q6" s="33">
        <v>0</v>
      </c>
    </row>
    <row r="7" spans="2:17">
      <c r="B7" s="1">
        <v>40577</v>
      </c>
      <c r="C7" s="33">
        <v>0.43462013043084002</v>
      </c>
      <c r="D7" s="33">
        <f t="shared" si="0"/>
        <v>0</v>
      </c>
      <c r="E7" s="33">
        <f t="shared" si="2"/>
        <v>6.8979805773259102E-5</v>
      </c>
      <c r="F7" s="33">
        <f t="shared" si="1"/>
        <v>0</v>
      </c>
      <c r="G7" s="73">
        <f ca="1">VLOOKUP(B7+1,Bloomberg!B:C,2,0)</f>
        <v>2190.4</v>
      </c>
      <c r="H7" s="33">
        <f>VLOOKUP(B7,'Media Effect'!M:N,2,0)</f>
        <v>2.0178573468983399E-4</v>
      </c>
      <c r="J7" s="1">
        <v>40577</v>
      </c>
      <c r="K7" s="33">
        <v>0</v>
      </c>
      <c r="M7" s="1">
        <v>40577</v>
      </c>
      <c r="N7" s="33">
        <v>6.8979805773259102E-5</v>
      </c>
      <c r="P7" s="1">
        <v>40577</v>
      </c>
      <c r="Q7" s="33">
        <v>0</v>
      </c>
    </row>
    <row r="8" spans="2:17">
      <c r="B8" s="1">
        <v>40584</v>
      </c>
      <c r="C8" s="33">
        <v>0.35529176669040102</v>
      </c>
      <c r="D8" s="33">
        <f t="shared" si="0"/>
        <v>0</v>
      </c>
      <c r="E8" s="33">
        <f t="shared" si="2"/>
        <v>0</v>
      </c>
      <c r="F8" s="33">
        <f t="shared" si="1"/>
        <v>0</v>
      </c>
      <c r="G8" s="73">
        <f ca="1">VLOOKUP(B8+1,Bloomberg!B:C,2,0)</f>
        <v>1953.2</v>
      </c>
      <c r="H8" s="33">
        <f>VLOOKUP(B8,'Media Effect'!M:N,2,0)</f>
        <v>5.20153194974807E-5</v>
      </c>
      <c r="J8" s="1">
        <v>40584</v>
      </c>
      <c r="K8" s="33">
        <v>0</v>
      </c>
      <c r="M8" s="1">
        <v>40584</v>
      </c>
      <c r="N8" s="33">
        <v>0</v>
      </c>
      <c r="P8" s="1">
        <v>40584</v>
      </c>
      <c r="Q8" s="33">
        <v>0</v>
      </c>
    </row>
    <row r="9" spans="2:17">
      <c r="B9" s="1">
        <v>40591</v>
      </c>
      <c r="C9" s="33">
        <v>0.37678804128174298</v>
      </c>
      <c r="D9" s="33">
        <f t="shared" si="0"/>
        <v>0</v>
      </c>
      <c r="E9" s="33">
        <f t="shared" si="2"/>
        <v>0</v>
      </c>
      <c r="F9" s="33">
        <f t="shared" si="1"/>
        <v>0</v>
      </c>
      <c r="G9" s="73">
        <f ca="1">VLOOKUP(B9+1,Bloomberg!B:C,2,0)</f>
        <v>2325.3000000000002</v>
      </c>
      <c r="H9" s="33">
        <f>VLOOKUP(B9,'Media Effect'!M:N,2,0)</f>
        <v>6.2663406645224498E-5</v>
      </c>
      <c r="J9" s="1">
        <v>40591</v>
      </c>
      <c r="K9" s="33">
        <v>0</v>
      </c>
      <c r="M9" s="1">
        <v>40591</v>
      </c>
      <c r="N9" s="33">
        <v>0</v>
      </c>
      <c r="P9" s="1">
        <v>40591</v>
      </c>
      <c r="Q9" s="33">
        <v>0</v>
      </c>
    </row>
    <row r="10" spans="2:17">
      <c r="B10" s="1">
        <v>40598</v>
      </c>
      <c r="C10" s="33">
        <v>0.41551493659156002</v>
      </c>
      <c r="D10" s="33">
        <f t="shared" si="0"/>
        <v>0</v>
      </c>
      <c r="E10" s="33">
        <f t="shared" si="2"/>
        <v>0</v>
      </c>
      <c r="F10" s="33">
        <f t="shared" si="1"/>
        <v>0</v>
      </c>
      <c r="G10" s="73">
        <f ca="1">VLOOKUP(B10+1,Bloomberg!B:C,2,0)</f>
        <v>2155.5</v>
      </c>
      <c r="H10" s="33">
        <f>VLOOKUP(B10,'Media Effect'!M:N,2,0)</f>
        <v>1.35954340606731E-4</v>
      </c>
      <c r="J10" s="1">
        <v>40598</v>
      </c>
      <c r="K10" s="33">
        <v>0</v>
      </c>
      <c r="M10" s="1">
        <v>40598</v>
      </c>
      <c r="N10" s="33">
        <v>0</v>
      </c>
      <c r="P10" s="1">
        <v>40598</v>
      </c>
      <c r="Q10" s="33">
        <v>0</v>
      </c>
    </row>
    <row r="11" spans="2:17">
      <c r="B11" s="1">
        <v>40605</v>
      </c>
      <c r="C11" s="33">
        <v>0.42215163100202302</v>
      </c>
      <c r="D11" s="33">
        <f t="shared" si="0"/>
        <v>0</v>
      </c>
      <c r="E11" s="33">
        <f t="shared" si="2"/>
        <v>5.3750695510426499E-5</v>
      </c>
      <c r="F11" s="33">
        <f t="shared" si="1"/>
        <v>0</v>
      </c>
      <c r="G11" s="73">
        <f ca="1">VLOOKUP(B11+1,Bloomberg!B:C,2,0)</f>
        <v>2539.4</v>
      </c>
      <c r="H11" s="33">
        <f>VLOOKUP(B11,'Media Effect'!M:N,2,0)</f>
        <v>1.96229527460014E-4</v>
      </c>
      <c r="J11" s="1">
        <v>40605</v>
      </c>
      <c r="K11" s="33">
        <v>0</v>
      </c>
      <c r="M11" s="1">
        <v>40605</v>
      </c>
      <c r="N11" s="33">
        <v>5.3750695510426499E-5</v>
      </c>
      <c r="P11" s="1">
        <v>40605</v>
      </c>
      <c r="Q11" s="33">
        <v>0</v>
      </c>
    </row>
    <row r="12" spans="2:17">
      <c r="B12" s="1">
        <v>40612</v>
      </c>
      <c r="C12" s="33">
        <v>0.42124985629360401</v>
      </c>
      <c r="D12" s="33">
        <f t="shared" si="0"/>
        <v>0</v>
      </c>
      <c r="E12" s="33">
        <f t="shared" si="2"/>
        <v>0</v>
      </c>
      <c r="F12" s="33">
        <f t="shared" si="1"/>
        <v>0</v>
      </c>
      <c r="G12" s="73">
        <f ca="1">VLOOKUP(B12+1,Bloomberg!B:C,2,0)</f>
        <v>2563.6</v>
      </c>
      <c r="H12" s="33">
        <f>VLOOKUP(B12,'Media Effect'!M:N,2,0)</f>
        <v>2.4946862835881098E-4</v>
      </c>
      <c r="J12" s="1">
        <v>40612</v>
      </c>
      <c r="K12" s="33">
        <v>0</v>
      </c>
      <c r="M12" s="1">
        <v>40612</v>
      </c>
      <c r="N12" s="33">
        <v>0</v>
      </c>
      <c r="P12" s="1">
        <v>40612</v>
      </c>
      <c r="Q12" s="33">
        <v>0</v>
      </c>
    </row>
    <row r="13" spans="2:17">
      <c r="B13" s="1">
        <v>40619</v>
      </c>
      <c r="C13" s="33">
        <v>0.46784663358763601</v>
      </c>
      <c r="D13" s="33">
        <f t="shared" si="0"/>
        <v>2.8587340946258598E-4</v>
      </c>
      <c r="E13" s="33">
        <f t="shared" si="2"/>
        <v>0</v>
      </c>
      <c r="F13" s="33">
        <f t="shared" si="1"/>
        <v>4.9225242343752603E-4</v>
      </c>
      <c r="G13" s="73">
        <f ca="1">VLOOKUP(B13+1,Bloomberg!B:C,2,0)</f>
        <v>2620.8000000000002</v>
      </c>
      <c r="H13" s="33">
        <f>VLOOKUP(B13,'Media Effect'!M:N,2,0)</f>
        <v>1.0337095119414301E-3</v>
      </c>
      <c r="J13" s="1">
        <v>40619</v>
      </c>
      <c r="K13" s="33">
        <v>2.8587340946258598E-4</v>
      </c>
      <c r="M13" s="1">
        <v>40619</v>
      </c>
      <c r="N13" s="33">
        <v>0</v>
      </c>
      <c r="P13" s="1">
        <v>40619</v>
      </c>
      <c r="Q13" s="33">
        <v>4.9225242343752603E-4</v>
      </c>
    </row>
    <row r="14" spans="2:17">
      <c r="B14" s="1">
        <v>40626</v>
      </c>
      <c r="C14" s="33">
        <v>0.450158099668103</v>
      </c>
      <c r="D14" s="33">
        <f t="shared" si="0"/>
        <v>1.8853330329791001E-4</v>
      </c>
      <c r="E14" s="33">
        <f t="shared" si="2"/>
        <v>0</v>
      </c>
      <c r="F14" s="33">
        <f t="shared" si="1"/>
        <v>0</v>
      </c>
      <c r="G14" s="73">
        <f ca="1">VLOOKUP(B14+1,Bloomberg!B:C,2,0)</f>
        <v>2350.6999999999998</v>
      </c>
      <c r="H14" s="33">
        <f>VLOOKUP(B14,'Media Effect'!M:N,2,0)</f>
        <v>6.0502769456042399E-4</v>
      </c>
      <c r="J14" s="1">
        <v>40626</v>
      </c>
      <c r="K14" s="33">
        <v>1.8853330329791001E-4</v>
      </c>
      <c r="M14" s="1">
        <v>40626</v>
      </c>
      <c r="N14" s="33">
        <v>0</v>
      </c>
      <c r="P14" s="1">
        <v>40626</v>
      </c>
      <c r="Q14" s="33">
        <v>0</v>
      </c>
    </row>
    <row r="15" spans="2:17">
      <c r="B15" s="1">
        <v>40633</v>
      </c>
      <c r="C15" s="33">
        <v>0.42282958858632702</v>
      </c>
      <c r="D15" s="33">
        <f t="shared" si="0"/>
        <v>0</v>
      </c>
      <c r="E15" s="33">
        <f t="shared" si="2"/>
        <v>0</v>
      </c>
      <c r="F15" s="33">
        <f t="shared" si="1"/>
        <v>0</v>
      </c>
      <c r="G15" s="73">
        <f ca="1">VLOOKUP(B15+1,Bloomberg!B:C,2,0)</f>
        <v>2194.4</v>
      </c>
      <c r="H15" s="33">
        <f>VLOOKUP(B15,'Media Effect'!M:N,2,0)</f>
        <v>2.5023950479765699E-4</v>
      </c>
      <c r="J15" s="1">
        <v>40633</v>
      </c>
      <c r="K15" s="33">
        <v>0</v>
      </c>
      <c r="M15" s="1">
        <v>40633</v>
      </c>
      <c r="N15" s="33">
        <v>0</v>
      </c>
      <c r="P15" s="1">
        <v>40633</v>
      </c>
      <c r="Q15" s="33">
        <v>0</v>
      </c>
    </row>
    <row r="16" spans="2:17">
      <c r="B16" s="1">
        <v>40640</v>
      </c>
      <c r="C16" s="33">
        <v>0.414778538159287</v>
      </c>
      <c r="D16" s="33">
        <f t="shared" si="0"/>
        <v>0</v>
      </c>
      <c r="E16" s="33">
        <f t="shared" si="2"/>
        <v>1.5607101724864899E-4</v>
      </c>
      <c r="F16" s="33">
        <f t="shared" si="1"/>
        <v>0</v>
      </c>
      <c r="G16" s="73">
        <f ca="1">VLOOKUP(B16+1,Bloomberg!B:C,2,0)</f>
        <v>2010.6</v>
      </c>
      <c r="H16" s="33">
        <f>VLOOKUP(B16,'Media Effect'!M:N,2,0)</f>
        <v>2.4181129106516801E-4</v>
      </c>
      <c r="J16" s="1">
        <v>40640</v>
      </c>
      <c r="K16" s="33">
        <v>0</v>
      </c>
      <c r="M16" s="1">
        <v>40640</v>
      </c>
      <c r="N16" s="33">
        <v>1.5607101724864899E-4</v>
      </c>
      <c r="P16" s="1">
        <v>40640</v>
      </c>
      <c r="Q16" s="33">
        <v>0</v>
      </c>
    </row>
    <row r="17" spans="2:17">
      <c r="B17" s="1">
        <v>40647</v>
      </c>
      <c r="C17" s="33">
        <v>0.41340612440810998</v>
      </c>
      <c r="D17" s="33">
        <f t="shared" si="0"/>
        <v>0</v>
      </c>
      <c r="E17" s="33">
        <f t="shared" si="2"/>
        <v>0</v>
      </c>
      <c r="F17" s="33">
        <f t="shared" si="1"/>
        <v>0</v>
      </c>
      <c r="G17" s="73">
        <f ca="1">VLOOKUP(B17+1,Bloomberg!B:C,2,0)</f>
        <v>2065.3000000000002</v>
      </c>
      <c r="H17" s="33">
        <f>VLOOKUP(B17,'Media Effect'!M:N,2,0)</f>
        <v>3.9614697005304603E-4</v>
      </c>
      <c r="J17" s="1">
        <v>40647</v>
      </c>
      <c r="K17" s="33">
        <v>0</v>
      </c>
      <c r="M17" s="1">
        <v>40647</v>
      </c>
      <c r="N17" s="33">
        <v>0</v>
      </c>
      <c r="P17" s="1">
        <v>40647</v>
      </c>
      <c r="Q17" s="33">
        <v>0</v>
      </c>
    </row>
    <row r="18" spans="2:17">
      <c r="B18" s="1">
        <v>40654</v>
      </c>
      <c r="C18" s="33">
        <v>0.44381782258269298</v>
      </c>
      <c r="D18" s="33">
        <f t="shared" si="0"/>
        <v>0</v>
      </c>
      <c r="E18" s="33">
        <f t="shared" si="2"/>
        <v>0</v>
      </c>
      <c r="F18" s="33">
        <f t="shared" si="1"/>
        <v>3.6012387911354998E-4</v>
      </c>
      <c r="G18" s="73">
        <f ca="1">VLOOKUP(B18+1,Bloomberg!B:C,2,0)</f>
        <v>2091.4</v>
      </c>
      <c r="H18" s="33">
        <f>VLOOKUP(B18,'Media Effect'!M:N,2,0)</f>
        <v>1.12729989415065E-3</v>
      </c>
      <c r="J18" s="1">
        <v>40654</v>
      </c>
      <c r="K18" s="33">
        <v>0</v>
      </c>
      <c r="M18" s="1">
        <v>40654</v>
      </c>
      <c r="N18" s="33">
        <v>0</v>
      </c>
      <c r="P18" s="1">
        <v>40654</v>
      </c>
      <c r="Q18" s="33">
        <v>3.6012387911354998E-4</v>
      </c>
    </row>
    <row r="19" spans="2:17">
      <c r="B19" s="1">
        <v>40661</v>
      </c>
      <c r="C19" s="33">
        <v>0.44565511936132601</v>
      </c>
      <c r="D19" s="33">
        <f t="shared" si="0"/>
        <v>0</v>
      </c>
      <c r="E19" s="33">
        <f t="shared" si="2"/>
        <v>3.6290053539469699E-4</v>
      </c>
      <c r="F19" s="33">
        <f t="shared" si="1"/>
        <v>3.6290053539469699E-4</v>
      </c>
      <c r="G19" s="73">
        <f ca="1">VLOOKUP(B19+1,Bloomberg!B:C,2,0)</f>
        <v>2220.1</v>
      </c>
      <c r="H19" s="33">
        <f>VLOOKUP(B19,'Media Effect'!M:N,2,0)</f>
        <v>1.13472894544288E-3</v>
      </c>
      <c r="J19" s="1">
        <v>40661</v>
      </c>
      <c r="K19" s="33">
        <v>0</v>
      </c>
      <c r="M19" s="1">
        <v>40661</v>
      </c>
      <c r="N19" s="33">
        <v>3.6290053539469699E-4</v>
      </c>
      <c r="P19" s="1">
        <v>40661</v>
      </c>
      <c r="Q19" s="33">
        <v>3.6290053539469699E-4</v>
      </c>
    </row>
    <row r="20" spans="2:17">
      <c r="B20" s="1">
        <v>40668</v>
      </c>
      <c r="C20" s="33">
        <v>0.45891120103405703</v>
      </c>
      <c r="D20" s="33">
        <f t="shared" si="0"/>
        <v>1.83428353743357E-3</v>
      </c>
      <c r="E20" s="33">
        <f t="shared" si="2"/>
        <v>2.23755861638673E-3</v>
      </c>
      <c r="F20" s="33">
        <f t="shared" si="1"/>
        <v>1.82362980081562E-3</v>
      </c>
      <c r="G20" s="73">
        <f ca="1">VLOOKUP(B20+1,Bloomberg!B:C,2,0)</f>
        <v>2414.9</v>
      </c>
      <c r="H20" s="33">
        <f>VLOOKUP(B20,'Media Effect'!M:N,2,0)</f>
        <v>2.29777756393631E-3</v>
      </c>
      <c r="J20" s="1">
        <v>40668</v>
      </c>
      <c r="K20" s="33">
        <v>1.83428353743357E-3</v>
      </c>
      <c r="M20" s="1">
        <v>40668</v>
      </c>
      <c r="N20" s="33">
        <v>2.23755861638673E-3</v>
      </c>
      <c r="P20" s="1">
        <v>40668</v>
      </c>
      <c r="Q20" s="33">
        <v>1.82362980081562E-3</v>
      </c>
    </row>
    <row r="21" spans="2:17">
      <c r="B21" s="1">
        <v>40675</v>
      </c>
      <c r="C21" s="33">
        <v>0.50042582297659</v>
      </c>
      <c r="D21" s="33">
        <f t="shared" si="0"/>
        <v>3.7354650777447099E-3</v>
      </c>
      <c r="E21" s="33">
        <f t="shared" si="2"/>
        <v>4.5959167751793003E-3</v>
      </c>
      <c r="F21" s="33">
        <f t="shared" si="1"/>
        <v>4.5959167751793003E-3</v>
      </c>
      <c r="G21" s="73">
        <f ca="1">VLOOKUP(B21+1,Bloomberg!B:C,2,0)</f>
        <v>2742.2</v>
      </c>
      <c r="H21" s="33">
        <f>VLOOKUP(B21,'Media Effect'!M:N,2,0)</f>
        <v>5.44390325332186E-3</v>
      </c>
      <c r="J21" s="1">
        <v>40675</v>
      </c>
      <c r="K21" s="33">
        <v>3.7354650777447099E-3</v>
      </c>
      <c r="M21" s="1">
        <v>40675</v>
      </c>
      <c r="N21" s="33">
        <v>4.5959167751793003E-3</v>
      </c>
      <c r="P21" s="1">
        <v>40675</v>
      </c>
      <c r="Q21" s="33">
        <v>4.5959167751793003E-3</v>
      </c>
    </row>
    <row r="22" spans="2:17">
      <c r="B22" s="1">
        <v>40682</v>
      </c>
      <c r="C22" s="33">
        <v>0.50447592982476996</v>
      </c>
      <c r="D22" s="33">
        <f t="shared" si="0"/>
        <v>3.7736682392233299E-3</v>
      </c>
      <c r="E22" s="33">
        <f t="shared" si="2"/>
        <v>4.6431452038205798E-3</v>
      </c>
      <c r="F22" s="33">
        <f t="shared" si="1"/>
        <v>4.6431452038205798E-3</v>
      </c>
      <c r="G22" s="73">
        <f ca="1">VLOOKUP(B22+1,Bloomberg!B:C,2,0)</f>
        <v>2764.6</v>
      </c>
      <c r="H22" s="33">
        <f>VLOOKUP(B22,'Media Effect'!M:N,2,0)</f>
        <v>5.4986490601633296E-3</v>
      </c>
      <c r="J22" s="1">
        <v>40682</v>
      </c>
      <c r="K22" s="33">
        <v>3.7736682392233299E-3</v>
      </c>
      <c r="M22" s="1">
        <v>40682</v>
      </c>
      <c r="N22" s="33">
        <v>4.6431452038205798E-3</v>
      </c>
      <c r="P22" s="1">
        <v>40682</v>
      </c>
      <c r="Q22" s="33">
        <v>4.6431452038205798E-3</v>
      </c>
    </row>
    <row r="23" spans="2:17">
      <c r="B23" s="1">
        <v>40689</v>
      </c>
      <c r="C23" s="33">
        <v>0.50568534347274297</v>
      </c>
      <c r="D23" s="33">
        <f t="shared" si="0"/>
        <v>3.78347298031131E-3</v>
      </c>
      <c r="E23" s="33">
        <f t="shared" si="2"/>
        <v>0</v>
      </c>
      <c r="F23" s="33">
        <f t="shared" si="1"/>
        <v>4.6547514757033599E-3</v>
      </c>
      <c r="G23" s="73">
        <f ca="1">VLOOKUP(B23+1,Bloomberg!B:C,2,0)</f>
        <v>2619.6999999999998</v>
      </c>
      <c r="H23" s="33">
        <f>VLOOKUP(B23,'Media Effect'!M:N,2,0)</f>
        <v>5.5127032061132201E-3</v>
      </c>
      <c r="J23" s="1">
        <v>40689</v>
      </c>
      <c r="K23" s="33">
        <v>3.78347298031131E-3</v>
      </c>
      <c r="M23" s="1">
        <v>40689</v>
      </c>
      <c r="N23" s="33">
        <v>0</v>
      </c>
      <c r="P23" s="1">
        <v>40689</v>
      </c>
      <c r="Q23" s="33">
        <v>4.6547514757033599E-3</v>
      </c>
    </row>
    <row r="24" spans="2:17">
      <c r="B24" s="1">
        <v>40696</v>
      </c>
      <c r="C24" s="33">
        <v>0.53450860338875705</v>
      </c>
      <c r="D24" s="33">
        <f t="shared" si="0"/>
        <v>7.3818948632408399E-3</v>
      </c>
      <c r="E24" s="33">
        <f t="shared" si="2"/>
        <v>8.7081795385391906E-3</v>
      </c>
      <c r="F24" s="33">
        <f t="shared" si="1"/>
        <v>7.3340957383171597E-3</v>
      </c>
      <c r="G24" s="73">
        <f ca="1">VLOOKUP(B24+1,Bloomberg!B:C,2,0)</f>
        <v>2648</v>
      </c>
      <c r="H24" s="33">
        <f>VLOOKUP(B24,'Media Effect'!M:N,2,0)</f>
        <v>8.68657357338724E-3</v>
      </c>
      <c r="J24" s="1">
        <v>40696</v>
      </c>
      <c r="K24" s="33">
        <v>7.3818948632408399E-3</v>
      </c>
      <c r="M24" s="1">
        <v>40696</v>
      </c>
      <c r="N24" s="33">
        <v>8.7081795385391906E-3</v>
      </c>
      <c r="P24" s="1">
        <v>40696</v>
      </c>
      <c r="Q24" s="33">
        <v>7.3340957383171597E-3</v>
      </c>
    </row>
    <row r="25" spans="2:17">
      <c r="B25" s="1">
        <v>40703</v>
      </c>
      <c r="C25" s="33">
        <v>0.55556126357331004</v>
      </c>
      <c r="D25" s="33">
        <f t="shared" si="0"/>
        <v>8.9846616537212296E-3</v>
      </c>
      <c r="E25" s="33">
        <f t="shared" si="2"/>
        <v>1.05889699277147E-2</v>
      </c>
      <c r="F25" s="33">
        <f t="shared" si="1"/>
        <v>1.05889699277147E-2</v>
      </c>
      <c r="G25" s="73">
        <f ca="1">VLOOKUP(B25+1,Bloomberg!B:C,2,0)</f>
        <v>3101.7</v>
      </c>
      <c r="H25" s="33">
        <f>VLOOKUP(B25,'Media Effect'!M:N,2,0)</f>
        <v>1.23067584719575E-2</v>
      </c>
      <c r="J25" s="1">
        <v>40703</v>
      </c>
      <c r="K25" s="33">
        <v>8.9846616537212296E-3</v>
      </c>
      <c r="M25" s="1">
        <v>40703</v>
      </c>
      <c r="N25" s="33">
        <v>1.05889699277147E-2</v>
      </c>
      <c r="P25" s="1">
        <v>40703</v>
      </c>
      <c r="Q25" s="33">
        <v>1.05889699277147E-2</v>
      </c>
    </row>
    <row r="26" spans="2:17">
      <c r="B26" s="1">
        <v>40710</v>
      </c>
      <c r="C26" s="33">
        <v>0.55544034698333999</v>
      </c>
      <c r="D26" s="33">
        <f t="shared" si="0"/>
        <v>8.9799113270391702E-3</v>
      </c>
      <c r="E26" s="33">
        <f t="shared" si="2"/>
        <v>0</v>
      </c>
      <c r="F26" s="33">
        <f t="shared" si="1"/>
        <v>0</v>
      </c>
      <c r="G26" s="73">
        <f ca="1">VLOOKUP(B26+1,Bloomberg!B:C,2,0)</f>
        <v>2857.9</v>
      </c>
      <c r="H26" s="33">
        <f>VLOOKUP(B26,'Media Effect'!M:N,2,0)</f>
        <v>1.23002415872017E-2</v>
      </c>
      <c r="J26" s="1">
        <v>40710</v>
      </c>
      <c r="K26" s="33">
        <v>8.9799113270391702E-3</v>
      </c>
      <c r="M26" s="1">
        <v>40710</v>
      </c>
      <c r="N26" s="33">
        <v>0</v>
      </c>
      <c r="P26" s="1">
        <v>40710</v>
      </c>
      <c r="Q26" s="33">
        <v>0</v>
      </c>
    </row>
    <row r="27" spans="2:17">
      <c r="B27" s="1">
        <v>40717</v>
      </c>
      <c r="C27" s="33">
        <v>0.53450860338875705</v>
      </c>
      <c r="D27" s="33">
        <f t="shared" si="0"/>
        <v>7.3818948632408399E-3</v>
      </c>
      <c r="E27" s="33">
        <f t="shared" si="2"/>
        <v>0</v>
      </c>
      <c r="F27" s="33">
        <f t="shared" si="1"/>
        <v>0</v>
      </c>
      <c r="G27" s="73">
        <f ca="1">VLOOKUP(B27+1,Bloomberg!B:C,2,0)</f>
        <v>2809.5</v>
      </c>
      <c r="H27" s="33">
        <f>VLOOKUP(B27,'Media Effect'!M:N,2,0)</f>
        <v>1.00606573736092E-2</v>
      </c>
      <c r="J27" s="1">
        <v>40717</v>
      </c>
      <c r="K27" s="33">
        <v>7.3818948632408399E-3</v>
      </c>
      <c r="M27" s="1">
        <v>40717</v>
      </c>
      <c r="N27" s="33">
        <v>0</v>
      </c>
      <c r="P27" s="1">
        <v>40717</v>
      </c>
      <c r="Q27" s="33">
        <v>0</v>
      </c>
    </row>
    <row r="28" spans="2:17">
      <c r="B28" s="1">
        <v>40724</v>
      </c>
      <c r="C28" s="33">
        <v>0.55445082777023702</v>
      </c>
      <c r="D28" s="33">
        <f t="shared" si="0"/>
        <v>8.8785761374936406E-3</v>
      </c>
      <c r="E28" s="33">
        <f t="shared" si="2"/>
        <v>0</v>
      </c>
      <c r="F28" s="33">
        <f t="shared" si="1"/>
        <v>0</v>
      </c>
      <c r="G28" s="73">
        <f ca="1">VLOOKUP(B28+1,Bloomberg!B:C,2,0)</f>
        <v>2527.5</v>
      </c>
      <c r="H28" s="33">
        <f>VLOOKUP(B28,'Media Effect'!M:N,2,0)</f>
        <v>1.2160270900161399E-2</v>
      </c>
      <c r="J28" s="1">
        <v>40724</v>
      </c>
      <c r="K28" s="33">
        <v>8.8785761374936406E-3</v>
      </c>
      <c r="M28" s="1">
        <v>40724</v>
      </c>
      <c r="N28" s="33">
        <v>0</v>
      </c>
      <c r="P28" s="1">
        <v>40724</v>
      </c>
      <c r="Q28" s="33">
        <v>0</v>
      </c>
    </row>
    <row r="29" spans="2:17">
      <c r="B29" s="1">
        <v>40731</v>
      </c>
      <c r="C29" s="33">
        <v>0.49771283747510803</v>
      </c>
      <c r="D29" s="33">
        <f t="shared" si="0"/>
        <v>0</v>
      </c>
      <c r="E29" s="33">
        <f t="shared" si="2"/>
        <v>0</v>
      </c>
      <c r="F29" s="33">
        <f t="shared" si="1"/>
        <v>0</v>
      </c>
      <c r="G29" s="73">
        <f ca="1">VLOOKUP(B29+1,Bloomberg!B:C,2,0)</f>
        <v>2362.6999999999998</v>
      </c>
      <c r="H29" s="33">
        <f>VLOOKUP(B29,'Media Effect'!M:N,2,0)</f>
        <v>7.4617374953439E-3</v>
      </c>
      <c r="J29" s="1">
        <v>40731</v>
      </c>
      <c r="K29" s="33">
        <v>0</v>
      </c>
      <c r="M29" s="1">
        <v>40731</v>
      </c>
      <c r="N29" s="33">
        <v>0</v>
      </c>
      <c r="P29" s="1">
        <v>40731</v>
      </c>
      <c r="Q29" s="33">
        <v>0</v>
      </c>
    </row>
    <row r="30" spans="2:17">
      <c r="B30" s="1">
        <v>40738</v>
      </c>
      <c r="C30" s="33">
        <v>0.55014388201104203</v>
      </c>
      <c r="D30" s="33">
        <f t="shared" si="0"/>
        <v>0</v>
      </c>
      <c r="E30" s="33">
        <f t="shared" si="2"/>
        <v>0</v>
      </c>
      <c r="F30" s="33">
        <f t="shared" si="1"/>
        <v>6.2583851957797503E-4</v>
      </c>
      <c r="G30" s="73">
        <f ca="1">VLOOKUP(B30+1,Bloomberg!B:C,2,0)</f>
        <v>2923.8</v>
      </c>
      <c r="H30" s="33">
        <f>VLOOKUP(B30,'Media Effect'!M:N,2,0)</f>
        <v>1.3388573483630799E-2</v>
      </c>
      <c r="J30" s="1">
        <v>40738</v>
      </c>
      <c r="K30" s="33">
        <v>0</v>
      </c>
      <c r="M30" s="1">
        <v>40738</v>
      </c>
      <c r="N30" s="33">
        <v>0</v>
      </c>
      <c r="P30" s="1">
        <v>40738</v>
      </c>
      <c r="Q30" s="33">
        <v>6.2583851957797503E-4</v>
      </c>
    </row>
    <row r="31" spans="2:17">
      <c r="B31" s="1">
        <v>40745</v>
      </c>
      <c r="C31" s="33">
        <v>0.53018048409344898</v>
      </c>
      <c r="D31" s="33">
        <f t="shared" si="0"/>
        <v>0</v>
      </c>
      <c r="E31" s="33">
        <f t="shared" si="2"/>
        <v>0</v>
      </c>
      <c r="F31" s="33">
        <f t="shared" si="1"/>
        <v>0</v>
      </c>
      <c r="G31" s="73">
        <f ca="1">VLOOKUP(B31+1,Bloomberg!B:C,2,0)</f>
        <v>2769.6</v>
      </c>
      <c r="H31" s="33">
        <f>VLOOKUP(B31,'Media Effect'!M:N,2,0)</f>
        <v>1.04315971858071E-2</v>
      </c>
      <c r="J31" s="1">
        <v>40745</v>
      </c>
      <c r="K31" s="33">
        <v>0</v>
      </c>
      <c r="M31" s="1">
        <v>40745</v>
      </c>
      <c r="N31" s="33">
        <v>0</v>
      </c>
      <c r="P31" s="1">
        <v>40745</v>
      </c>
      <c r="Q31" s="33">
        <v>0</v>
      </c>
    </row>
    <row r="32" spans="2:17">
      <c r="B32" s="1">
        <v>40752</v>
      </c>
      <c r="C32" s="33">
        <v>0.52333294764067595</v>
      </c>
      <c r="D32" s="33">
        <f t="shared" si="0"/>
        <v>0</v>
      </c>
      <c r="E32" s="33">
        <f t="shared" si="2"/>
        <v>0</v>
      </c>
      <c r="F32" s="33">
        <f t="shared" si="1"/>
        <v>0</v>
      </c>
      <c r="G32" s="73">
        <f ca="1">VLOOKUP(B32+1,Bloomberg!B:C,2,0)</f>
        <v>2974.1</v>
      </c>
      <c r="H32" s="33">
        <f>VLOOKUP(B32,'Media Effect'!M:N,2,0)</f>
        <v>9.9907247032366194E-3</v>
      </c>
      <c r="J32" s="1">
        <v>40752</v>
      </c>
      <c r="K32" s="33">
        <v>0</v>
      </c>
      <c r="M32" s="1">
        <v>40752</v>
      </c>
      <c r="N32" s="33">
        <v>0</v>
      </c>
      <c r="P32" s="1">
        <v>40752</v>
      </c>
      <c r="Q32" s="33">
        <v>0</v>
      </c>
    </row>
    <row r="33" spans="2:17">
      <c r="B33" s="1">
        <v>40759</v>
      </c>
      <c r="C33" s="33">
        <v>0.59636201439054404</v>
      </c>
      <c r="D33" s="33">
        <f t="shared" si="0"/>
        <v>1.9461713288795899E-2</v>
      </c>
      <c r="E33" s="33">
        <f t="shared" si="2"/>
        <v>1.9876421458524401E-2</v>
      </c>
      <c r="F33" s="33">
        <f t="shared" si="1"/>
        <v>1.93393301571353E-2</v>
      </c>
      <c r="G33" s="73">
        <f ca="1">VLOOKUP(B33+1,Bloomberg!B:C,2,0)</f>
        <v>3880.9</v>
      </c>
      <c r="H33" s="33">
        <f>VLOOKUP(B33,'Media Effect'!M:N,2,0)</f>
        <v>0.59586208852897005</v>
      </c>
      <c r="J33" s="1">
        <v>40759</v>
      </c>
      <c r="K33" s="33">
        <v>1.9461713288795899E-2</v>
      </c>
      <c r="M33" s="1">
        <v>40759</v>
      </c>
      <c r="N33" s="33">
        <v>1.9876421458524401E-2</v>
      </c>
      <c r="P33" s="1">
        <v>40759</v>
      </c>
      <c r="Q33" s="33">
        <v>1.93393301571353E-2</v>
      </c>
    </row>
    <row r="34" spans="2:17">
      <c r="B34" s="1">
        <v>40766</v>
      </c>
      <c r="C34" s="33">
        <v>0.68796050816059295</v>
      </c>
      <c r="D34" s="33">
        <f t="shared" si="0"/>
        <v>3.5120108450943897E-2</v>
      </c>
      <c r="E34" s="33">
        <f t="shared" si="2"/>
        <v>3.6312412114141997E-2</v>
      </c>
      <c r="F34" s="33">
        <f t="shared" si="1"/>
        <v>3.6312412114141997E-2</v>
      </c>
      <c r="G34" s="73">
        <f ca="1">VLOOKUP(B34+1,Bloomberg!B:C,2,0)</f>
        <v>4184.3999999999996</v>
      </c>
      <c r="H34" s="33">
        <f>VLOOKUP(B34,'Media Effect'!M:N,2,0)</f>
        <v>0.68802315917174295</v>
      </c>
      <c r="J34" s="1">
        <v>40766</v>
      </c>
      <c r="K34" s="33">
        <v>3.5120108450943897E-2</v>
      </c>
      <c r="M34" s="1">
        <v>40766</v>
      </c>
      <c r="N34" s="33">
        <v>3.6312412114141997E-2</v>
      </c>
      <c r="P34" s="1">
        <v>40766</v>
      </c>
      <c r="Q34" s="33">
        <v>3.6312412114141997E-2</v>
      </c>
    </row>
    <row r="35" spans="2:17">
      <c r="B35" s="1">
        <v>40773</v>
      </c>
      <c r="C35" s="33">
        <v>0.76968967049094095</v>
      </c>
      <c r="D35" s="33">
        <f t="shared" si="0"/>
        <v>0.77202311977202898</v>
      </c>
      <c r="E35" s="33">
        <f t="shared" si="2"/>
        <v>0.76977670194978398</v>
      </c>
      <c r="F35" s="33">
        <f t="shared" si="1"/>
        <v>0.76977670194978398</v>
      </c>
      <c r="G35" s="73">
        <f ca="1">VLOOKUP(B35+1,Bloomberg!B:C,2,0)</f>
        <v>4110.8</v>
      </c>
      <c r="H35" s="33">
        <f>VLOOKUP(B35,'Media Effect'!M:N,2,0)</f>
        <v>0.76977670194978398</v>
      </c>
      <c r="J35" s="1">
        <v>40773</v>
      </c>
      <c r="K35" s="33">
        <v>0.77202311977202898</v>
      </c>
      <c r="M35" s="1">
        <v>40773</v>
      </c>
      <c r="N35" s="33">
        <v>0.76977670194978398</v>
      </c>
      <c r="P35" s="1">
        <v>40773</v>
      </c>
      <c r="Q35" s="33">
        <v>0.76977670194978398</v>
      </c>
    </row>
    <row r="36" spans="2:17">
      <c r="B36" s="1">
        <v>40780</v>
      </c>
      <c r="C36" s="33">
        <v>0.73013076231760698</v>
      </c>
      <c r="D36" s="33">
        <f t="shared" si="0"/>
        <v>4.1537856643382699E-2</v>
      </c>
      <c r="E36" s="33">
        <f t="shared" si="2"/>
        <v>0</v>
      </c>
      <c r="F36" s="33">
        <f t="shared" si="1"/>
        <v>0</v>
      </c>
      <c r="G36" s="73">
        <f ca="1">VLOOKUP(B36+1,Bloomberg!B:C,2,0)</f>
        <v>3601.3</v>
      </c>
      <c r="H36" s="33">
        <f>VLOOKUP(B36,'Media Effect'!M:N,2,0)</f>
        <v>0.73020380506198002</v>
      </c>
      <c r="J36" s="1">
        <v>40780</v>
      </c>
      <c r="K36" s="33">
        <v>4.1537856643382699E-2</v>
      </c>
      <c r="M36" s="1">
        <v>40780</v>
      </c>
      <c r="N36" s="33">
        <v>0</v>
      </c>
      <c r="P36" s="1">
        <v>40780</v>
      </c>
      <c r="Q36" s="33">
        <v>0</v>
      </c>
    </row>
    <row r="37" spans="2:17">
      <c r="B37" s="1">
        <v>40787</v>
      </c>
      <c r="C37" s="33">
        <v>0.72518805605942505</v>
      </c>
      <c r="D37" s="33">
        <f t="shared" si="0"/>
        <v>0</v>
      </c>
      <c r="E37" s="33">
        <f t="shared" si="2"/>
        <v>0</v>
      </c>
      <c r="F37" s="33">
        <f t="shared" si="1"/>
        <v>0</v>
      </c>
      <c r="G37" s="73">
        <f ca="1">VLOOKUP(B37+1,Bloomberg!B:C,2,0)</f>
        <v>3372</v>
      </c>
      <c r="H37" s="33">
        <f>VLOOKUP(B37,'Media Effect'!M:N,2,0)</f>
        <v>0.72380364081501802</v>
      </c>
      <c r="J37" s="1">
        <v>40787</v>
      </c>
      <c r="K37" s="33">
        <v>0</v>
      </c>
      <c r="M37" s="1">
        <v>40787</v>
      </c>
      <c r="N37" s="33">
        <v>0</v>
      </c>
      <c r="P37" s="1">
        <v>40787</v>
      </c>
      <c r="Q37" s="33">
        <v>0</v>
      </c>
    </row>
    <row r="38" spans="2:17">
      <c r="B38" s="1">
        <v>40794</v>
      </c>
      <c r="C38" s="33">
        <v>0.78586619764471199</v>
      </c>
      <c r="D38" s="33">
        <f t="shared" si="0"/>
        <v>0.78888769833839301</v>
      </c>
      <c r="E38" s="33">
        <f t="shared" si="2"/>
        <v>0.786160649616369</v>
      </c>
      <c r="F38" s="33">
        <f t="shared" si="1"/>
        <v>0.786160649616369</v>
      </c>
      <c r="G38" s="73">
        <f ca="1">VLOOKUP(B38+1,Bloomberg!B:C,2,0)</f>
        <v>3571.7</v>
      </c>
      <c r="H38" s="33">
        <f>VLOOKUP(B38,'Media Effect'!M:N,2,0)</f>
        <v>0.786160649616369</v>
      </c>
      <c r="J38" s="1">
        <v>40794</v>
      </c>
      <c r="K38" s="33">
        <v>0.78888769833839301</v>
      </c>
      <c r="M38" s="1">
        <v>40794</v>
      </c>
      <c r="N38" s="33">
        <v>0.786160649616369</v>
      </c>
      <c r="P38" s="1">
        <v>40794</v>
      </c>
      <c r="Q38" s="33">
        <v>0.786160649616369</v>
      </c>
    </row>
    <row r="39" spans="2:17">
      <c r="B39" s="1">
        <v>40801</v>
      </c>
      <c r="C39" s="33">
        <v>0.78804143101353397</v>
      </c>
      <c r="D39" s="33">
        <f t="shared" si="0"/>
        <v>0.79107201279716199</v>
      </c>
      <c r="E39" s="33">
        <f t="shared" si="2"/>
        <v>0</v>
      </c>
      <c r="F39" s="33">
        <f t="shared" si="1"/>
        <v>0.78833832359916201</v>
      </c>
      <c r="G39" s="73">
        <f ca="1">VLOOKUP(B39+1,Bloomberg!B:C,2,0)</f>
        <v>4033.8</v>
      </c>
      <c r="H39" s="33">
        <f>VLOOKUP(B39,'Media Effect'!M:N,2,0)</f>
        <v>0.78833832359916201</v>
      </c>
      <c r="J39" s="1">
        <v>40801</v>
      </c>
      <c r="K39" s="33">
        <v>0.79107201279716199</v>
      </c>
      <c r="M39" s="1">
        <v>40801</v>
      </c>
      <c r="N39" s="33">
        <v>0</v>
      </c>
      <c r="P39" s="1">
        <v>40801</v>
      </c>
      <c r="Q39" s="33">
        <v>0.78833832359916201</v>
      </c>
    </row>
    <row r="40" spans="2:17">
      <c r="B40" s="1">
        <v>40808</v>
      </c>
      <c r="C40" s="33">
        <v>0.78804143101353397</v>
      </c>
      <c r="D40" s="33">
        <f t="shared" si="0"/>
        <v>0.79107201279716199</v>
      </c>
      <c r="E40" s="33">
        <f t="shared" si="2"/>
        <v>0</v>
      </c>
      <c r="F40" s="33">
        <f t="shared" si="1"/>
        <v>0</v>
      </c>
      <c r="G40" s="73">
        <f ca="1">VLOOKUP(B40+1,Bloomberg!B:C,2,0)</f>
        <v>4512.1000000000004</v>
      </c>
      <c r="H40" s="33">
        <f>VLOOKUP(B40,'Media Effect'!M:N,2,0)</f>
        <v>0.78833832359916201</v>
      </c>
      <c r="J40" s="1">
        <v>40808</v>
      </c>
      <c r="K40" s="33">
        <v>0.79107201279716199</v>
      </c>
      <c r="M40" s="1">
        <v>40808</v>
      </c>
      <c r="N40" s="33">
        <v>0</v>
      </c>
      <c r="P40" s="1">
        <v>40808</v>
      </c>
      <c r="Q40" s="33">
        <v>0</v>
      </c>
    </row>
    <row r="41" spans="2:17">
      <c r="B41" s="1">
        <v>40815</v>
      </c>
      <c r="C41" s="33">
        <v>0.83535228019697605</v>
      </c>
      <c r="D41" s="33">
        <f t="shared" si="0"/>
        <v>0.83745896053110702</v>
      </c>
      <c r="E41" s="33">
        <f t="shared" si="2"/>
        <v>0</v>
      </c>
      <c r="F41" s="33">
        <f t="shared" si="1"/>
        <v>0.83561176946303795</v>
      </c>
      <c r="G41" s="73">
        <f ca="1">VLOOKUP(B41+1,Bloomberg!B:C,2,0)</f>
        <v>4241.8</v>
      </c>
      <c r="H41" s="33">
        <f>VLOOKUP(B41,'Media Effect'!M:N,2,0)</f>
        <v>0.83561176946303795</v>
      </c>
      <c r="J41" s="1">
        <v>40815</v>
      </c>
      <c r="K41" s="33">
        <v>0.83745896053110702</v>
      </c>
      <c r="M41" s="1">
        <v>40815</v>
      </c>
      <c r="N41" s="33">
        <v>0</v>
      </c>
      <c r="P41" s="1">
        <v>40815</v>
      </c>
      <c r="Q41" s="33">
        <v>0.83561176946303795</v>
      </c>
    </row>
    <row r="42" spans="2:17">
      <c r="B42" s="1">
        <v>40822</v>
      </c>
      <c r="C42" s="33">
        <v>0.82324225699227804</v>
      </c>
      <c r="D42" s="33">
        <f t="shared" si="0"/>
        <v>0.82821806049037405</v>
      </c>
      <c r="E42" s="33">
        <f t="shared" si="2"/>
        <v>0.82378344201764098</v>
      </c>
      <c r="F42" s="33">
        <f t="shared" si="1"/>
        <v>0.82194247765297301</v>
      </c>
      <c r="G42" s="73">
        <f ca="1">VLOOKUP(B42+1,Bloomberg!B:C,2,0)</f>
        <v>4251.1000000000004</v>
      </c>
      <c r="H42" s="33">
        <f>VLOOKUP(B42,'Media Effect'!M:N,2,0)</f>
        <v>0.82194247765297301</v>
      </c>
      <c r="J42" s="1">
        <v>40822</v>
      </c>
      <c r="K42" s="33">
        <v>0.82821806049037405</v>
      </c>
      <c r="M42" s="1">
        <v>40822</v>
      </c>
      <c r="N42" s="33">
        <v>0.82378344201764098</v>
      </c>
      <c r="P42" s="1">
        <v>40822</v>
      </c>
      <c r="Q42" s="33">
        <v>0.82194247765297301</v>
      </c>
    </row>
    <row r="43" spans="2:17">
      <c r="B43" s="1">
        <v>40829</v>
      </c>
      <c r="C43" s="33">
        <v>0.75043074974252599</v>
      </c>
      <c r="D43" s="33">
        <f t="shared" si="0"/>
        <v>0</v>
      </c>
      <c r="E43" s="33">
        <f t="shared" si="2"/>
        <v>0</v>
      </c>
      <c r="F43" s="33">
        <f t="shared" si="1"/>
        <v>0</v>
      </c>
      <c r="G43" s="73">
        <f ca="1">VLOOKUP(B43+1,Bloomberg!B:C,2,0)</f>
        <v>3553.2</v>
      </c>
      <c r="H43" s="33">
        <f>VLOOKUP(B43,'Media Effect'!M:N,2,0)</f>
        <v>0.75098159830325395</v>
      </c>
      <c r="J43" s="1">
        <v>40829</v>
      </c>
      <c r="K43" s="33">
        <v>0</v>
      </c>
      <c r="M43" s="1">
        <v>40829</v>
      </c>
      <c r="N43" s="33">
        <v>0</v>
      </c>
      <c r="P43" s="1">
        <v>40829</v>
      </c>
      <c r="Q43" s="33">
        <v>0</v>
      </c>
    </row>
    <row r="44" spans="2:17">
      <c r="B44" s="1">
        <v>40836</v>
      </c>
      <c r="C44" s="33">
        <v>0.76889855223368597</v>
      </c>
      <c r="D44" s="33">
        <f t="shared" si="0"/>
        <v>0</v>
      </c>
      <c r="E44" s="33">
        <f t="shared" si="2"/>
        <v>0</v>
      </c>
      <c r="F44" s="33">
        <f t="shared" si="1"/>
        <v>0</v>
      </c>
      <c r="G44" s="73">
        <f ca="1">VLOOKUP(B44+1,Bloomberg!B:C,2,0)</f>
        <v>3719.3</v>
      </c>
      <c r="H44" s="33">
        <f>VLOOKUP(B44,'Media Effect'!M:N,2,0)</f>
        <v>0.76945479185077703</v>
      </c>
      <c r="J44" s="1">
        <v>40836</v>
      </c>
      <c r="K44" s="33">
        <v>0</v>
      </c>
      <c r="M44" s="1">
        <v>40836</v>
      </c>
      <c r="N44" s="33">
        <v>0</v>
      </c>
      <c r="P44" s="1">
        <v>40836</v>
      </c>
      <c r="Q44" s="33">
        <v>0</v>
      </c>
    </row>
    <row r="45" spans="2:17">
      <c r="B45" s="1">
        <v>40843</v>
      </c>
      <c r="C45" s="33">
        <v>0.77033919514702098</v>
      </c>
      <c r="D45" s="33">
        <f t="shared" si="0"/>
        <v>0</v>
      </c>
      <c r="E45" s="33">
        <f t="shared" si="2"/>
        <v>0</v>
      </c>
      <c r="F45" s="33">
        <f t="shared" si="1"/>
        <v>0</v>
      </c>
      <c r="G45" s="73">
        <f ca="1">VLOOKUP(B45+1,Bloomberg!B:C,2,0)</f>
        <v>3695</v>
      </c>
      <c r="H45" s="33">
        <f>VLOOKUP(B45,'Media Effect'!M:N,2,0)</f>
        <v>0.77089716807818798</v>
      </c>
      <c r="J45" s="1">
        <v>40843</v>
      </c>
      <c r="K45" s="33">
        <v>0</v>
      </c>
      <c r="M45" s="1">
        <v>40843</v>
      </c>
      <c r="N45" s="33">
        <v>0</v>
      </c>
      <c r="P45" s="1">
        <v>40843</v>
      </c>
      <c r="Q45" s="33">
        <v>0</v>
      </c>
    </row>
    <row r="46" spans="2:17">
      <c r="B46" s="1">
        <v>40850</v>
      </c>
      <c r="C46" s="33">
        <v>0.80719780316763601</v>
      </c>
      <c r="D46" s="33">
        <f t="shared" si="0"/>
        <v>0</v>
      </c>
      <c r="E46" s="33">
        <f t="shared" si="2"/>
        <v>8.7949910171254198E-4</v>
      </c>
      <c r="F46" s="33">
        <f t="shared" si="1"/>
        <v>0</v>
      </c>
      <c r="G46" s="73">
        <f ca="1">VLOOKUP(B46+1,Bloomberg!B:C,2,0)</f>
        <v>4137.6000000000004</v>
      </c>
      <c r="H46" s="33">
        <f>VLOOKUP(B46,'Media Effect'!M:N,2,0)</f>
        <v>0.80648126550350197</v>
      </c>
      <c r="J46" s="1">
        <v>40850</v>
      </c>
      <c r="K46" s="33">
        <v>0</v>
      </c>
      <c r="M46" s="1">
        <v>40850</v>
      </c>
      <c r="N46" s="33">
        <v>8.7949910171254198E-4</v>
      </c>
      <c r="P46" s="1">
        <v>40850</v>
      </c>
      <c r="Q46" s="33">
        <v>0</v>
      </c>
    </row>
    <row r="47" spans="2:17">
      <c r="B47" s="1">
        <v>40857</v>
      </c>
      <c r="C47" s="33">
        <v>0.80724570771905702</v>
      </c>
      <c r="D47" s="33">
        <f t="shared" si="0"/>
        <v>0</v>
      </c>
      <c r="E47" s="33">
        <f t="shared" si="2"/>
        <v>8.7950076846855297E-4</v>
      </c>
      <c r="F47" s="33">
        <f t="shared" si="1"/>
        <v>8.7950076846855297E-4</v>
      </c>
      <c r="G47" s="73">
        <f ca="1">VLOOKUP(B47+1,Bloomberg!B:C,2,0)</f>
        <v>3664.5</v>
      </c>
      <c r="H47" s="33">
        <f>VLOOKUP(B47,'Media Effect'!M:N,2,0)</f>
        <v>0.80740872054840995</v>
      </c>
      <c r="J47" s="1">
        <v>40857</v>
      </c>
      <c r="K47" s="33">
        <v>0</v>
      </c>
      <c r="M47" s="1">
        <v>40857</v>
      </c>
      <c r="N47" s="33">
        <v>8.7950076846855297E-4</v>
      </c>
      <c r="P47" s="1">
        <v>40857</v>
      </c>
      <c r="Q47" s="33">
        <v>8.7950076846855297E-4</v>
      </c>
    </row>
    <row r="48" spans="2:17">
      <c r="B48" s="1">
        <v>40864</v>
      </c>
      <c r="C48" s="33">
        <v>0.80719780316763601</v>
      </c>
      <c r="D48" s="33">
        <f t="shared" si="0"/>
        <v>0</v>
      </c>
      <c r="E48" s="33">
        <f t="shared" si="2"/>
        <v>0</v>
      </c>
      <c r="F48" s="33">
        <f t="shared" si="1"/>
        <v>0</v>
      </c>
      <c r="G48" s="73">
        <f ca="1">VLOOKUP(B48+1,Bloomberg!B:C,2,0)</f>
        <v>3466.8</v>
      </c>
      <c r="H48" s="33">
        <f>VLOOKUP(B48,'Media Effect'!M:N,2,0)</f>
        <v>0.807360764605215</v>
      </c>
      <c r="J48" s="1">
        <v>40864</v>
      </c>
      <c r="K48" s="33">
        <v>0</v>
      </c>
      <c r="M48" s="1">
        <v>40864</v>
      </c>
      <c r="N48" s="33">
        <v>0</v>
      </c>
      <c r="P48" s="1">
        <v>40864</v>
      </c>
      <c r="Q48" s="33">
        <v>0</v>
      </c>
    </row>
    <row r="49" spans="2:17">
      <c r="B49" s="1">
        <v>40870</v>
      </c>
      <c r="C49" s="33">
        <v>0.80850149462655696</v>
      </c>
      <c r="D49" s="33">
        <f t="shared" si="0"/>
        <v>0</v>
      </c>
      <c r="E49" s="33">
        <f t="shared" si="2"/>
        <v>8.8101230968728496E-4</v>
      </c>
      <c r="F49" s="33">
        <f t="shared" si="1"/>
        <v>8.8101230968728496E-4</v>
      </c>
      <c r="G49" s="73" t="e">
        <f ca="1">VLOOKUP(B49+1,Bloomberg!B:C,2,0)</f>
        <v>#N/A</v>
      </c>
      <c r="H49" s="33">
        <f>VLOOKUP(B49,'Media Effect'!M:N,2,0)</f>
        <v>0.80866545886582697</v>
      </c>
      <c r="J49" s="1">
        <v>40870</v>
      </c>
      <c r="K49" s="33">
        <v>0</v>
      </c>
      <c r="M49" s="1">
        <v>40870</v>
      </c>
      <c r="N49" s="33">
        <v>8.8101230968728496E-4</v>
      </c>
      <c r="P49" s="1">
        <v>40870</v>
      </c>
      <c r="Q49" s="33">
        <v>8.8101230968728496E-4</v>
      </c>
    </row>
    <row r="50" spans="2:17">
      <c r="B50" s="1">
        <v>40878</v>
      </c>
      <c r="C50" s="33">
        <v>0.79441104681633201</v>
      </c>
      <c r="D50" s="33">
        <f t="shared" si="0"/>
        <v>0</v>
      </c>
      <c r="E50" s="33">
        <f t="shared" si="2"/>
        <v>6.7786463140743895E-4</v>
      </c>
      <c r="F50" s="33">
        <f t="shared" si="1"/>
        <v>0</v>
      </c>
      <c r="G50" s="73">
        <f ca="1">VLOOKUP(B50+1,Bloomberg!B:C,2,0)</f>
        <v>3394.7</v>
      </c>
      <c r="H50" s="33">
        <f>VLOOKUP(B50,'Media Effect'!M:N,2,0)</f>
        <v>0.79395979394243599</v>
      </c>
      <c r="J50" s="1">
        <v>40878</v>
      </c>
      <c r="K50" s="33">
        <v>0</v>
      </c>
      <c r="M50" s="1">
        <v>40878</v>
      </c>
      <c r="N50" s="33">
        <v>6.7786463140743895E-4</v>
      </c>
      <c r="P50" s="1">
        <v>40878</v>
      </c>
      <c r="Q50" s="33">
        <v>0</v>
      </c>
    </row>
    <row r="51" spans="2:17">
      <c r="B51" s="1">
        <v>40885</v>
      </c>
      <c r="C51" s="33">
        <v>0.79445840936885304</v>
      </c>
      <c r="D51" s="33">
        <f t="shared" si="0"/>
        <v>0</v>
      </c>
      <c r="E51" s="33">
        <f t="shared" si="2"/>
        <v>6.7786594921879302E-4</v>
      </c>
      <c r="F51" s="33">
        <f t="shared" si="1"/>
        <v>6.7786594921879302E-4</v>
      </c>
      <c r="G51" s="73">
        <f ca="1">VLOOKUP(B51+1,Bloomberg!B:C,2,0)</f>
        <v>3708.6</v>
      </c>
      <c r="H51" s="33">
        <f>VLOOKUP(B51,'Media Effect'!M:N,2,0)</f>
        <v>0.79468507896195895</v>
      </c>
      <c r="J51" s="1">
        <v>40885</v>
      </c>
      <c r="K51" s="33">
        <v>0</v>
      </c>
      <c r="M51" s="1">
        <v>40885</v>
      </c>
      <c r="N51" s="33">
        <v>6.7786594921879302E-4</v>
      </c>
      <c r="P51" s="1">
        <v>40885</v>
      </c>
      <c r="Q51" s="33">
        <v>6.7786594921879302E-4</v>
      </c>
    </row>
    <row r="52" spans="2:17">
      <c r="B52" s="1">
        <v>40892</v>
      </c>
      <c r="C52" s="33">
        <v>0.79646175435893696</v>
      </c>
      <c r="D52" s="33">
        <f t="shared" si="0"/>
        <v>0.80042866008933</v>
      </c>
      <c r="E52" s="33">
        <f t="shared" si="2"/>
        <v>0.79669049657242397</v>
      </c>
      <c r="F52" s="33">
        <f t="shared" si="1"/>
        <v>0.79669049657242397</v>
      </c>
      <c r="G52" s="73">
        <f ca="1">VLOOKUP(B52+1,Bloomberg!B:C,2,0)</f>
        <v>3676.1</v>
      </c>
      <c r="H52" s="33">
        <f>VLOOKUP(B52,'Media Effect'!M:N,2,0)</f>
        <v>0.79669049657242397</v>
      </c>
      <c r="J52" s="1">
        <v>40892</v>
      </c>
      <c r="K52" s="33">
        <v>0.80042866008933</v>
      </c>
      <c r="M52" s="1">
        <v>40892</v>
      </c>
      <c r="N52" s="33">
        <v>0.79669049657242397</v>
      </c>
      <c r="P52" s="1">
        <v>40892</v>
      </c>
      <c r="Q52" s="33">
        <v>0.79669049657242397</v>
      </c>
    </row>
    <row r="53" spans="2:17">
      <c r="B53" s="1">
        <v>40899</v>
      </c>
      <c r="C53" s="33">
        <v>0.82537040355923197</v>
      </c>
      <c r="D53" s="33">
        <f t="shared" si="0"/>
        <v>0.82914400231073304</v>
      </c>
      <c r="E53" s="33">
        <f t="shared" si="2"/>
        <v>0.82559057548597004</v>
      </c>
      <c r="F53" s="33">
        <f t="shared" si="1"/>
        <v>0.82559057548597004</v>
      </c>
      <c r="G53" s="73">
        <f ca="1">VLOOKUP(B53+1,Bloomberg!B:C,2,0)</f>
        <v>3684.5</v>
      </c>
      <c r="H53" s="33">
        <f>VLOOKUP(B53,'Media Effect'!M:N,2,0)</f>
        <v>0.82559057548597004</v>
      </c>
      <c r="J53" s="1">
        <v>40899</v>
      </c>
      <c r="K53" s="33">
        <v>0.82914400231073304</v>
      </c>
      <c r="M53" s="1">
        <v>40899</v>
      </c>
      <c r="N53" s="33">
        <v>0.82559057548597004</v>
      </c>
      <c r="P53" s="1">
        <v>40899</v>
      </c>
      <c r="Q53" s="33">
        <v>0.82559057548597004</v>
      </c>
    </row>
    <row r="54" spans="2:17">
      <c r="B54" s="1">
        <v>40906</v>
      </c>
      <c r="C54" s="33">
        <v>0.81734633197465201</v>
      </c>
      <c r="D54" s="33">
        <f t="shared" si="0"/>
        <v>0.82108419091912099</v>
      </c>
      <c r="E54" s="33">
        <f t="shared" si="2"/>
        <v>0</v>
      </c>
      <c r="F54" s="33">
        <f t="shared" si="1"/>
        <v>0</v>
      </c>
      <c r="G54" s="73">
        <f ca="1">VLOOKUP(B54+1,Bloomberg!B:C,2,0)</f>
        <v>3608.1</v>
      </c>
      <c r="H54" s="33">
        <f>VLOOKUP(B54,'Media Effect'!M:N,2,0)</f>
        <v>0.817559292303353</v>
      </c>
      <c r="J54" s="1">
        <v>40906</v>
      </c>
      <c r="K54" s="33">
        <v>0.82108419091912099</v>
      </c>
      <c r="M54" s="1">
        <v>40906</v>
      </c>
      <c r="N54" s="33">
        <v>0</v>
      </c>
      <c r="P54" s="1">
        <v>40906</v>
      </c>
      <c r="Q54" s="33">
        <v>0</v>
      </c>
    </row>
    <row r="55" spans="2:17">
      <c r="B55" s="1">
        <v>40913</v>
      </c>
      <c r="C55" s="33">
        <v>0.80629912189469399</v>
      </c>
      <c r="D55" s="33">
        <f t="shared" si="0"/>
        <v>0</v>
      </c>
      <c r="E55" s="33">
        <f t="shared" si="2"/>
        <v>0</v>
      </c>
      <c r="F55" s="33">
        <f t="shared" si="1"/>
        <v>0</v>
      </c>
      <c r="G55" s="73">
        <f ca="1">VLOOKUP(B55+1,Bloomberg!B:C,2,0)</f>
        <v>3668.3</v>
      </c>
      <c r="H55" s="33">
        <f>VLOOKUP(B55,'Media Effect'!M:N,2,0)</f>
        <v>0.80565650657334698</v>
      </c>
      <c r="J55" s="1">
        <v>40913</v>
      </c>
      <c r="K55" s="33">
        <v>0</v>
      </c>
      <c r="M55" s="1">
        <v>40913</v>
      </c>
      <c r="N55" s="33">
        <v>0</v>
      </c>
      <c r="P55" s="1">
        <v>40913</v>
      </c>
      <c r="Q55" s="33">
        <v>0</v>
      </c>
    </row>
    <row r="56" spans="2:17">
      <c r="B56" s="1">
        <v>40920</v>
      </c>
      <c r="C56" s="33">
        <v>0.81626218699844599</v>
      </c>
      <c r="D56" s="33">
        <f t="shared" si="0"/>
        <v>0.82164362882139497</v>
      </c>
      <c r="E56" s="33">
        <f t="shared" si="2"/>
        <v>0.81663205917875104</v>
      </c>
      <c r="F56" s="33">
        <f t="shared" si="1"/>
        <v>0.81663205917875104</v>
      </c>
      <c r="G56" s="73">
        <f ca="1">VLOOKUP(B56+1,Bloomberg!B:C,2,0)</f>
        <v>4626.5</v>
      </c>
      <c r="H56" s="33">
        <f>VLOOKUP(B56,'Media Effect'!M:N,2,0)</f>
        <v>0.81663205917875104</v>
      </c>
      <c r="J56" s="1">
        <v>40920</v>
      </c>
      <c r="K56" s="33">
        <v>0.82164362882139497</v>
      </c>
      <c r="M56" s="1">
        <v>40920</v>
      </c>
      <c r="N56" s="33">
        <v>0.81663205917875104</v>
      </c>
      <c r="P56" s="1">
        <v>40920</v>
      </c>
      <c r="Q56" s="33">
        <v>0.81663205917875104</v>
      </c>
    </row>
    <row r="57" spans="2:17">
      <c r="B57" s="1">
        <v>40927</v>
      </c>
      <c r="C57" s="33">
        <v>0.81461584859780101</v>
      </c>
      <c r="D57" s="33">
        <f t="shared" si="0"/>
        <v>0.819987108554313</v>
      </c>
      <c r="E57" s="33">
        <f t="shared" si="2"/>
        <v>0</v>
      </c>
      <c r="F57" s="33">
        <f t="shared" si="1"/>
        <v>0</v>
      </c>
      <c r="G57" s="73">
        <f ca="1">VLOOKUP(B57+1,Bloomberg!B:C,2,0)</f>
        <v>4326.3999999999996</v>
      </c>
      <c r="H57" s="33">
        <f>VLOOKUP(B57,'Media Effect'!M:N,2,0)</f>
        <v>0.81498439857814597</v>
      </c>
      <c r="J57" s="1">
        <v>40927</v>
      </c>
      <c r="K57" s="33">
        <v>0.819987108554313</v>
      </c>
      <c r="M57" s="1">
        <v>40927</v>
      </c>
      <c r="N57" s="33">
        <v>0</v>
      </c>
      <c r="P57" s="1">
        <v>40927</v>
      </c>
      <c r="Q57" s="33">
        <v>0</v>
      </c>
    </row>
    <row r="58" spans="2:17">
      <c r="B58" s="1">
        <v>40934</v>
      </c>
      <c r="C58" s="33">
        <v>0.78339393568549298</v>
      </c>
      <c r="D58" s="33">
        <f t="shared" si="0"/>
        <v>0</v>
      </c>
      <c r="E58" s="33">
        <f t="shared" si="2"/>
        <v>0</v>
      </c>
      <c r="F58" s="33">
        <f t="shared" si="1"/>
        <v>0</v>
      </c>
      <c r="G58" s="73">
        <f ca="1">VLOOKUP(B58+1,Bloomberg!B:C,2,0)</f>
        <v>4184.3</v>
      </c>
      <c r="H58" s="33">
        <f>VLOOKUP(B58,'Media Effect'!M:N,2,0)</f>
        <v>0.78374402567192103</v>
      </c>
      <c r="J58" s="1">
        <v>40934</v>
      </c>
      <c r="K58" s="33">
        <v>0</v>
      </c>
      <c r="M58" s="1">
        <v>40934</v>
      </c>
      <c r="N58" s="33">
        <v>0</v>
      </c>
      <c r="P58" s="1">
        <v>40934</v>
      </c>
      <c r="Q58" s="33">
        <v>0</v>
      </c>
    </row>
    <row r="59" spans="2:17">
      <c r="B59" s="1">
        <v>40941</v>
      </c>
      <c r="C59" s="33">
        <v>0.79842547980239797</v>
      </c>
      <c r="D59" s="33">
        <f t="shared" si="0"/>
        <v>0</v>
      </c>
      <c r="E59" s="33">
        <f t="shared" si="2"/>
        <v>0</v>
      </c>
      <c r="F59" s="33">
        <f t="shared" si="1"/>
        <v>0</v>
      </c>
      <c r="G59" s="73">
        <f ca="1">VLOOKUP(B59+1,Bloomberg!B:C,2,0)</f>
        <v>4617.1000000000004</v>
      </c>
      <c r="H59" s="33">
        <f>VLOOKUP(B59,'Media Effect'!M:N,2,0)</f>
        <v>0.79845513778799804</v>
      </c>
      <c r="J59" s="1">
        <v>40941</v>
      </c>
      <c r="K59" s="33">
        <v>0</v>
      </c>
      <c r="M59" s="1">
        <v>40941</v>
      </c>
      <c r="N59" s="33">
        <v>0</v>
      </c>
      <c r="P59" s="1">
        <v>40941</v>
      </c>
      <c r="Q59" s="33">
        <v>0</v>
      </c>
    </row>
    <row r="60" spans="2:17">
      <c r="B60" s="1">
        <v>40948</v>
      </c>
      <c r="C60" s="33">
        <v>0.79842547980239797</v>
      </c>
      <c r="D60" s="33">
        <f t="shared" si="0"/>
        <v>0</v>
      </c>
      <c r="E60" s="33">
        <f t="shared" si="2"/>
        <v>0</v>
      </c>
      <c r="F60" s="33">
        <f t="shared" si="1"/>
        <v>0</v>
      </c>
      <c r="G60" s="73">
        <f ca="1">VLOOKUP(B60+1,Bloomberg!B:C,2,0)</f>
        <v>4716.1000000000004</v>
      </c>
      <c r="H60" s="33">
        <f>VLOOKUP(B60,'Media Effect'!M:N,2,0)</f>
        <v>0.79921379703908202</v>
      </c>
      <c r="J60" s="1">
        <v>40948</v>
      </c>
      <c r="K60" s="33">
        <v>0</v>
      </c>
      <c r="M60" s="1">
        <v>40948</v>
      </c>
      <c r="N60" s="33">
        <v>0</v>
      </c>
      <c r="P60" s="1">
        <v>40948</v>
      </c>
      <c r="Q60" s="33">
        <v>0</v>
      </c>
    </row>
    <row r="61" spans="2:17">
      <c r="B61" s="1">
        <v>40955</v>
      </c>
      <c r="C61" s="33">
        <v>0.79842547980239797</v>
      </c>
      <c r="D61" s="33">
        <f t="shared" si="0"/>
        <v>0</v>
      </c>
      <c r="E61" s="33">
        <f t="shared" si="2"/>
        <v>0</v>
      </c>
      <c r="F61" s="33">
        <f t="shared" si="1"/>
        <v>0</v>
      </c>
      <c r="G61" s="73">
        <f ca="1">VLOOKUP(B61+1,Bloomberg!B:C,2,0)</f>
        <v>4466.8999999999996</v>
      </c>
      <c r="H61" s="33">
        <f>VLOOKUP(B61,'Media Effect'!M:N,2,0)</f>
        <v>0.79921379703908202</v>
      </c>
      <c r="J61" s="1">
        <v>40955</v>
      </c>
      <c r="K61" s="33">
        <v>0</v>
      </c>
      <c r="M61" s="1">
        <v>40955</v>
      </c>
      <c r="N61" s="33">
        <v>0</v>
      </c>
      <c r="P61" s="1">
        <v>40955</v>
      </c>
      <c r="Q61" s="33">
        <v>0</v>
      </c>
    </row>
    <row r="62" spans="2:17">
      <c r="B62" s="1">
        <v>40962</v>
      </c>
      <c r="C62" s="33">
        <v>0.76669716579457303</v>
      </c>
      <c r="D62" s="33">
        <f t="shared" si="0"/>
        <v>0</v>
      </c>
      <c r="E62" s="33">
        <f t="shared" si="2"/>
        <v>0</v>
      </c>
      <c r="F62" s="33">
        <f t="shared" si="1"/>
        <v>0</v>
      </c>
      <c r="G62" s="73">
        <f ca="1">VLOOKUP(B62+1,Bloomberg!B:C,2,0)</f>
        <v>4379.1000000000004</v>
      </c>
      <c r="H62" s="33">
        <f>VLOOKUP(B62,'Media Effect'!M:N,2,0)</f>
        <v>0.76744855177879401</v>
      </c>
      <c r="J62" s="1">
        <v>40962</v>
      </c>
      <c r="K62" s="33">
        <v>0</v>
      </c>
      <c r="M62" s="1">
        <v>40962</v>
      </c>
      <c r="N62" s="33">
        <v>0</v>
      </c>
      <c r="P62" s="1">
        <v>40962</v>
      </c>
      <c r="Q62" s="33">
        <v>0</v>
      </c>
    </row>
    <row r="63" spans="2:17">
      <c r="B63" s="1">
        <v>40969</v>
      </c>
      <c r="C63" s="33">
        <v>0.77480777056815697</v>
      </c>
      <c r="D63" s="33">
        <f t="shared" si="0"/>
        <v>0</v>
      </c>
      <c r="E63" s="33">
        <f t="shared" si="2"/>
        <v>7.51482611976966E-4</v>
      </c>
      <c r="F63" s="33">
        <f t="shared" si="1"/>
        <v>0</v>
      </c>
      <c r="G63" s="73">
        <f ca="1">VLOOKUP(B63+1,Bloomberg!B:C,2,0)</f>
        <v>4277.6000000000004</v>
      </c>
      <c r="H63" s="33">
        <f>VLOOKUP(B63,'Media Effect'!M:N,2,0)</f>
        <v>0.775278844773303</v>
      </c>
      <c r="J63" s="1">
        <v>40969</v>
      </c>
      <c r="K63" s="33">
        <v>0</v>
      </c>
      <c r="M63" s="1">
        <v>40969</v>
      </c>
      <c r="N63" s="33">
        <v>7.51482611976966E-4</v>
      </c>
      <c r="P63" s="1">
        <v>40969</v>
      </c>
      <c r="Q63" s="33">
        <v>0</v>
      </c>
    </row>
    <row r="64" spans="2:17">
      <c r="B64" s="1">
        <v>40976</v>
      </c>
      <c r="C64" s="33">
        <v>0.78283886771012201</v>
      </c>
      <c r="D64" s="33">
        <f t="shared" si="0"/>
        <v>0</v>
      </c>
      <c r="E64" s="33">
        <f t="shared" si="2"/>
        <v>7.6028475141971797E-4</v>
      </c>
      <c r="F64" s="33">
        <f t="shared" si="1"/>
        <v>7.6028475141971797E-4</v>
      </c>
      <c r="G64" s="73">
        <f ca="1">VLOOKUP(B64+1,Bloomberg!B:C,2,0)</f>
        <v>4063.4</v>
      </c>
      <c r="H64" s="33">
        <f>VLOOKUP(B64,'Media Effect'!M:N,2,0)</f>
        <v>0.78407944596061996</v>
      </c>
      <c r="J64" s="1">
        <v>40976</v>
      </c>
      <c r="K64" s="33">
        <v>0</v>
      </c>
      <c r="M64" s="1">
        <v>40976</v>
      </c>
      <c r="N64" s="33">
        <v>7.6028475141971797E-4</v>
      </c>
      <c r="P64" s="1">
        <v>40976</v>
      </c>
      <c r="Q64" s="33">
        <v>7.6028475141971797E-4</v>
      </c>
    </row>
    <row r="65" spans="2:17">
      <c r="B65" s="1">
        <v>40983</v>
      </c>
      <c r="C65" s="33">
        <v>0.77421402081353796</v>
      </c>
      <c r="D65" s="33">
        <f t="shared" si="0"/>
        <v>0</v>
      </c>
      <c r="E65" s="33">
        <f t="shared" si="2"/>
        <v>0</v>
      </c>
      <c r="F65" s="33">
        <f t="shared" si="1"/>
        <v>0</v>
      </c>
      <c r="G65" s="73">
        <f ca="1">VLOOKUP(B65+1,Bloomberg!B:C,2,0)</f>
        <v>3715.2</v>
      </c>
      <c r="H65" s="33">
        <f>VLOOKUP(B65,'Media Effect'!M:N,2,0)</f>
        <v>0.77543640291465299</v>
      </c>
      <c r="J65" s="1">
        <v>40983</v>
      </c>
      <c r="K65" s="33">
        <v>0</v>
      </c>
      <c r="M65" s="1">
        <v>40983</v>
      </c>
      <c r="N65" s="33">
        <v>0</v>
      </c>
      <c r="P65" s="1">
        <v>40983</v>
      </c>
      <c r="Q65" s="33">
        <v>0</v>
      </c>
    </row>
    <row r="66" spans="2:17">
      <c r="B66" s="1">
        <v>40990</v>
      </c>
      <c r="C66" s="33">
        <v>0.69937061468571404</v>
      </c>
      <c r="D66" s="33">
        <f t="shared" si="0"/>
        <v>0</v>
      </c>
      <c r="E66" s="33">
        <f t="shared" si="2"/>
        <v>0</v>
      </c>
      <c r="F66" s="33">
        <f t="shared" si="1"/>
        <v>0</v>
      </c>
      <c r="G66" s="73">
        <f ca="1">VLOOKUP(B66+1,Bloomberg!B:C,2,0)</f>
        <v>3588.4</v>
      </c>
      <c r="H66" s="33">
        <f>VLOOKUP(B66,'Media Effect'!M:N,2,0)</f>
        <v>1.02306018328437E-3</v>
      </c>
      <c r="J66" s="1">
        <v>40990</v>
      </c>
      <c r="K66" s="33">
        <v>0</v>
      </c>
      <c r="M66" s="1">
        <v>40990</v>
      </c>
      <c r="N66" s="33">
        <v>0</v>
      </c>
      <c r="P66" s="1">
        <v>40990</v>
      </c>
      <c r="Q66" s="33">
        <v>0</v>
      </c>
    </row>
    <row r="67" spans="2:17">
      <c r="B67" s="1">
        <v>40997</v>
      </c>
      <c r="C67" s="33">
        <v>0.749723434167341</v>
      </c>
      <c r="D67" s="33">
        <f t="shared" ref="D67:D130" si="3">VLOOKUP(B67,J:K,2,0)</f>
        <v>0</v>
      </c>
      <c r="E67" s="33">
        <f t="shared" si="2"/>
        <v>0</v>
      </c>
      <c r="F67" s="33">
        <f t="shared" ref="F67:F130" si="4">VLOOKUP(B67,P:Q,2,0)</f>
        <v>0</v>
      </c>
      <c r="G67" s="73">
        <f ca="1">VLOOKUP(B67+1,Bloomberg!B:C,2,0)</f>
        <v>3699.5</v>
      </c>
      <c r="H67" s="33">
        <f>VLOOKUP(B67,'Media Effect'!M:N,2,0)</f>
        <v>2.0359348143069401E-3</v>
      </c>
      <c r="J67" s="1">
        <v>40997</v>
      </c>
      <c r="K67" s="33">
        <v>0</v>
      </c>
      <c r="M67" s="1">
        <v>40997</v>
      </c>
      <c r="N67" s="33">
        <v>0</v>
      </c>
      <c r="P67" s="1">
        <v>40997</v>
      </c>
      <c r="Q67" s="33">
        <v>0</v>
      </c>
    </row>
    <row r="68" spans="2:17">
      <c r="B68" s="1">
        <v>41004</v>
      </c>
      <c r="C68" s="33">
        <v>0.75253147533014197</v>
      </c>
      <c r="D68" s="33">
        <f t="shared" si="3"/>
        <v>0</v>
      </c>
      <c r="E68" s="33">
        <f t="shared" ref="E68:E131" si="5">VLOOKUP(B68,M:N,2,0)</f>
        <v>3.1595180888256198E-4</v>
      </c>
      <c r="F68" s="33">
        <f t="shared" si="4"/>
        <v>0</v>
      </c>
      <c r="G68" s="73">
        <f ca="1">VLOOKUP(B68+1,Bloomberg!B:C,2,0)</f>
        <v>3549.3</v>
      </c>
      <c r="H68" s="33">
        <f>VLOOKUP(B68,'Media Effect'!M:N,2,0)</f>
        <v>2.3931530313827699E-3</v>
      </c>
      <c r="J68" s="1">
        <v>41004</v>
      </c>
      <c r="K68" s="33">
        <v>0</v>
      </c>
      <c r="M68" s="1">
        <v>41004</v>
      </c>
      <c r="N68" s="33">
        <v>3.1595180888256198E-4</v>
      </c>
      <c r="P68" s="1">
        <v>41004</v>
      </c>
      <c r="Q68" s="33">
        <v>0</v>
      </c>
    </row>
    <row r="69" spans="2:17">
      <c r="B69" s="1">
        <v>41011</v>
      </c>
      <c r="C69" s="33">
        <v>0.80193881910043296</v>
      </c>
      <c r="D69" s="33">
        <f t="shared" si="3"/>
        <v>0.80971059038520199</v>
      </c>
      <c r="E69" s="33">
        <f t="shared" si="5"/>
        <v>0.80265108338267499</v>
      </c>
      <c r="F69" s="33">
        <f t="shared" si="4"/>
        <v>0.80265108338267499</v>
      </c>
      <c r="G69" s="73">
        <f ca="1">VLOOKUP(B69+1,Bloomberg!B:C,2,0)</f>
        <v>4144.3</v>
      </c>
      <c r="H69" s="33">
        <f>VLOOKUP(B69,'Media Effect'!M:N,2,0)</f>
        <v>0.80265108338267499</v>
      </c>
      <c r="J69" s="1">
        <v>41011</v>
      </c>
      <c r="K69" s="33">
        <v>0.80971059038520199</v>
      </c>
      <c r="M69" s="1">
        <v>41011</v>
      </c>
      <c r="N69" s="33">
        <v>0.80265108338267499</v>
      </c>
      <c r="P69" s="1">
        <v>41011</v>
      </c>
      <c r="Q69" s="33">
        <v>0.80265108338267499</v>
      </c>
    </row>
    <row r="70" spans="2:17">
      <c r="B70" s="1">
        <v>41018</v>
      </c>
      <c r="C70" s="33">
        <v>0.77781138796328697</v>
      </c>
      <c r="D70" s="33">
        <f t="shared" si="3"/>
        <v>0</v>
      </c>
      <c r="E70" s="33">
        <f t="shared" si="5"/>
        <v>0</v>
      </c>
      <c r="F70" s="33">
        <f t="shared" si="4"/>
        <v>0</v>
      </c>
      <c r="G70" s="73">
        <f ca="1">VLOOKUP(B70+1,Bloomberg!B:C,2,0)</f>
        <v>3892.2</v>
      </c>
      <c r="H70" s="33">
        <f>VLOOKUP(B70,'Media Effect'!M:N,2,0)</f>
        <v>0.77849897612614904</v>
      </c>
      <c r="J70" s="1">
        <v>41018</v>
      </c>
      <c r="K70" s="33">
        <v>0</v>
      </c>
      <c r="M70" s="1">
        <v>41018</v>
      </c>
      <c r="N70" s="33">
        <v>0</v>
      </c>
      <c r="P70" s="1">
        <v>41018</v>
      </c>
      <c r="Q70" s="33">
        <v>0</v>
      </c>
    </row>
    <row r="71" spans="2:17">
      <c r="B71" s="1">
        <v>41025</v>
      </c>
      <c r="C71" s="33">
        <v>0.80193881910043296</v>
      </c>
      <c r="D71" s="33">
        <f t="shared" si="3"/>
        <v>0.80971059038520199</v>
      </c>
      <c r="E71" s="33">
        <f t="shared" si="5"/>
        <v>0.80265108338267499</v>
      </c>
      <c r="F71" s="33">
        <f t="shared" si="4"/>
        <v>0.80265108338267499</v>
      </c>
      <c r="G71" s="73">
        <f ca="1">VLOOKUP(B71+1,Bloomberg!B:C,2,0)</f>
        <v>3856</v>
      </c>
      <c r="H71" s="33">
        <f>VLOOKUP(B71,'Media Effect'!M:N,2,0)</f>
        <v>0.80265108338267499</v>
      </c>
      <c r="J71" s="1">
        <v>41025</v>
      </c>
      <c r="K71" s="33">
        <v>0.80971059038520199</v>
      </c>
      <c r="M71" s="1">
        <v>41025</v>
      </c>
      <c r="N71" s="33">
        <v>0.80265108338267499</v>
      </c>
      <c r="P71" s="1">
        <v>41025</v>
      </c>
      <c r="Q71" s="33">
        <v>0.80265108338267499</v>
      </c>
    </row>
    <row r="72" spans="2:17">
      <c r="B72" s="1">
        <v>41032</v>
      </c>
      <c r="C72" s="33">
        <v>0.80437080516661097</v>
      </c>
      <c r="D72" s="33">
        <f t="shared" si="3"/>
        <v>0.81000487625981799</v>
      </c>
      <c r="E72" s="33">
        <f t="shared" si="5"/>
        <v>0.80475633492768095</v>
      </c>
      <c r="F72" s="33">
        <f t="shared" si="4"/>
        <v>0.80415566862182497</v>
      </c>
      <c r="G72" s="73">
        <f ca="1">VLOOKUP(B72+1,Bloomberg!B:C,2,0)</f>
        <v>3924.4</v>
      </c>
      <c r="H72" s="33">
        <f>VLOOKUP(B72,'Media Effect'!M:N,2,0)</f>
        <v>0.80415566862182497</v>
      </c>
      <c r="J72" s="1">
        <v>41032</v>
      </c>
      <c r="K72" s="33">
        <v>0.81000487625981799</v>
      </c>
      <c r="M72" s="1">
        <v>41032</v>
      </c>
      <c r="N72" s="33">
        <v>0.80475633492768095</v>
      </c>
      <c r="P72" s="1">
        <v>41032</v>
      </c>
      <c r="Q72" s="33">
        <v>0.80415566862182497</v>
      </c>
    </row>
    <row r="73" spans="2:17">
      <c r="B73" s="1">
        <v>41039</v>
      </c>
      <c r="C73" s="33">
        <v>0.807152941952609</v>
      </c>
      <c r="D73" s="33">
        <f t="shared" si="3"/>
        <v>0.81280741718354199</v>
      </c>
      <c r="E73" s="33">
        <f t="shared" si="5"/>
        <v>0.80754152596055995</v>
      </c>
      <c r="F73" s="33">
        <f t="shared" si="4"/>
        <v>0.80754152596055995</v>
      </c>
      <c r="G73" s="73">
        <f ca="1">VLOOKUP(B73+1,Bloomberg!B:C,2,0)</f>
        <v>4482</v>
      </c>
      <c r="H73" s="33">
        <f>VLOOKUP(B73,'Media Effect'!M:N,2,0)</f>
        <v>0.80754152596055995</v>
      </c>
      <c r="J73" s="1">
        <v>41039</v>
      </c>
      <c r="K73" s="33">
        <v>0.81280741718354199</v>
      </c>
      <c r="M73" s="1">
        <v>41039</v>
      </c>
      <c r="N73" s="33">
        <v>0.80754152596055995</v>
      </c>
      <c r="P73" s="1">
        <v>41039</v>
      </c>
      <c r="Q73" s="33">
        <v>0.80754152596055995</v>
      </c>
    </row>
    <row r="74" spans="2:17">
      <c r="B74" s="1">
        <v>41046</v>
      </c>
      <c r="C74" s="33">
        <v>0.83152220645888697</v>
      </c>
      <c r="D74" s="33">
        <f t="shared" si="3"/>
        <v>0.83717307738857205</v>
      </c>
      <c r="E74" s="33">
        <f t="shared" si="5"/>
        <v>0.831927164274886</v>
      </c>
      <c r="F74" s="33">
        <f t="shared" si="4"/>
        <v>0.831927164274886</v>
      </c>
      <c r="G74" s="73">
        <f ca="1">VLOOKUP(B74+1,Bloomberg!B:C,2,0)</f>
        <v>4732</v>
      </c>
      <c r="H74" s="33">
        <f>VLOOKUP(B74,'Media Effect'!M:N,2,0)</f>
        <v>0.831927164274886</v>
      </c>
      <c r="J74" s="1">
        <v>41046</v>
      </c>
      <c r="K74" s="33">
        <v>0.83717307738857205</v>
      </c>
      <c r="M74" s="1">
        <v>41046</v>
      </c>
      <c r="N74" s="33">
        <v>0.831927164274886</v>
      </c>
      <c r="P74" s="1">
        <v>41046</v>
      </c>
      <c r="Q74" s="33">
        <v>0.831927164274886</v>
      </c>
    </row>
    <row r="75" spans="2:17">
      <c r="B75" s="1">
        <v>41053</v>
      </c>
      <c r="C75" s="33">
        <v>0.82948257912141399</v>
      </c>
      <c r="D75" s="33">
        <f t="shared" si="3"/>
        <v>0.83512302702617003</v>
      </c>
      <c r="E75" s="33">
        <f t="shared" si="5"/>
        <v>0</v>
      </c>
      <c r="F75" s="33">
        <f t="shared" si="4"/>
        <v>0</v>
      </c>
      <c r="G75" s="73">
        <f ca="1">VLOOKUP(B75+1,Bloomberg!B:C,2,0)</f>
        <v>4675.8999999999996</v>
      </c>
      <c r="H75" s="33">
        <f>VLOOKUP(B75,'Media Effect'!M:N,2,0)</f>
        <v>0.82988569781951205</v>
      </c>
      <c r="J75" s="1">
        <v>41053</v>
      </c>
      <c r="K75" s="33">
        <v>0.83512302702617003</v>
      </c>
      <c r="M75" s="1">
        <v>41053</v>
      </c>
      <c r="N75" s="33">
        <v>0</v>
      </c>
      <c r="P75" s="1">
        <v>41053</v>
      </c>
      <c r="Q75" s="33">
        <v>0</v>
      </c>
    </row>
    <row r="76" spans="2:17">
      <c r="B76" s="1">
        <v>41060</v>
      </c>
      <c r="C76" s="33">
        <v>0.83268888035603505</v>
      </c>
      <c r="D76" s="33">
        <f t="shared" si="3"/>
        <v>0.83834869016316804</v>
      </c>
      <c r="E76" s="33">
        <f t="shared" si="5"/>
        <v>0.83309495413351498</v>
      </c>
      <c r="F76" s="33">
        <f t="shared" si="4"/>
        <v>0.83309495413351498</v>
      </c>
      <c r="G76" s="73">
        <f ca="1">VLOOKUP(B76+1,Bloomberg!B:C,2,0)</f>
        <v>4736</v>
      </c>
      <c r="H76" s="33">
        <f>VLOOKUP(B76,'Media Effect'!M:N,2,0)</f>
        <v>0.83309495413351498</v>
      </c>
      <c r="J76" s="1">
        <v>41060</v>
      </c>
      <c r="K76" s="33">
        <v>0.83834869016316804</v>
      </c>
      <c r="M76" s="1">
        <v>41060</v>
      </c>
      <c r="N76" s="33">
        <v>0.83309495413351498</v>
      </c>
      <c r="P76" s="1">
        <v>41060</v>
      </c>
      <c r="Q76" s="33">
        <v>0.83309495413351498</v>
      </c>
    </row>
    <row r="77" spans="2:17">
      <c r="B77" s="1">
        <v>41067</v>
      </c>
      <c r="C77" s="33">
        <v>0.86243439572202496</v>
      </c>
      <c r="D77" s="33">
        <f t="shared" si="3"/>
        <v>0.87149701964550796</v>
      </c>
      <c r="E77" s="33">
        <f t="shared" si="5"/>
        <v>0.86292922162366903</v>
      </c>
      <c r="F77" s="33">
        <f t="shared" si="4"/>
        <v>0.86123151402869003</v>
      </c>
      <c r="G77" s="73">
        <f ca="1">VLOOKUP(B77+1,Bloomberg!B:C,2,0)</f>
        <v>5590</v>
      </c>
      <c r="H77" s="33">
        <f>VLOOKUP(B77,'Media Effect'!M:N,2,0)</f>
        <v>0.86123151402869003</v>
      </c>
      <c r="J77" s="1">
        <v>41067</v>
      </c>
      <c r="K77" s="33">
        <v>0.87149701964550796</v>
      </c>
      <c r="M77" s="1">
        <v>41067</v>
      </c>
      <c r="N77" s="33">
        <v>0.86292922162366903</v>
      </c>
      <c r="P77" s="1">
        <v>41067</v>
      </c>
      <c r="Q77" s="33">
        <v>0.86123151402869003</v>
      </c>
    </row>
    <row r="78" spans="2:17">
      <c r="B78" s="1">
        <v>41074</v>
      </c>
      <c r="C78" s="33">
        <v>0.84549296973434196</v>
      </c>
      <c r="D78" s="33">
        <f t="shared" si="3"/>
        <v>0.85488063454386298</v>
      </c>
      <c r="E78" s="33">
        <f t="shared" si="5"/>
        <v>0</v>
      </c>
      <c r="F78" s="33">
        <f t="shared" si="4"/>
        <v>0</v>
      </c>
      <c r="G78" s="73">
        <f ca="1">VLOOKUP(B78+1,Bloomberg!B:C,2,0)</f>
        <v>4719.6000000000004</v>
      </c>
      <c r="H78" s="33">
        <f>VLOOKUP(B78,'Media Effect'!M:N,2,0)</f>
        <v>0.84598502966079503</v>
      </c>
      <c r="J78" s="1">
        <v>41074</v>
      </c>
      <c r="K78" s="33">
        <v>0.85488063454386298</v>
      </c>
      <c r="M78" s="1">
        <v>41074</v>
      </c>
      <c r="N78" s="33">
        <v>0</v>
      </c>
      <c r="P78" s="1">
        <v>41074</v>
      </c>
      <c r="Q78" s="33">
        <v>0</v>
      </c>
    </row>
    <row r="79" spans="2:17">
      <c r="B79" s="1">
        <v>41081</v>
      </c>
      <c r="C79" s="33">
        <v>0.86306170802286497</v>
      </c>
      <c r="D79" s="33">
        <f t="shared" si="3"/>
        <v>0.87213068011485895</v>
      </c>
      <c r="E79" s="33">
        <f t="shared" si="5"/>
        <v>0.86355719580735102</v>
      </c>
      <c r="F79" s="33">
        <f t="shared" si="4"/>
        <v>0.86355719580735102</v>
      </c>
      <c r="G79" s="73">
        <f ca="1">VLOOKUP(B79+1,Bloomberg!B:C,2,0)</f>
        <v>4585.8</v>
      </c>
      <c r="H79" s="33">
        <f>VLOOKUP(B79,'Media Effect'!M:N,2,0)</f>
        <v>0.86355719580735102</v>
      </c>
      <c r="J79" s="1">
        <v>41081</v>
      </c>
      <c r="K79" s="33">
        <v>0.87213068011485895</v>
      </c>
      <c r="M79" s="1">
        <v>41081</v>
      </c>
      <c r="N79" s="33">
        <v>0.86355719580735102</v>
      </c>
      <c r="P79" s="1">
        <v>41081</v>
      </c>
      <c r="Q79" s="33">
        <v>0.86355719580735102</v>
      </c>
    </row>
    <row r="80" spans="2:17">
      <c r="B80" s="1">
        <v>41088</v>
      </c>
      <c r="C80" s="33">
        <v>0.86306170802286497</v>
      </c>
      <c r="D80" s="33">
        <f t="shared" si="3"/>
        <v>0.87213068011485895</v>
      </c>
      <c r="E80" s="33">
        <f t="shared" si="5"/>
        <v>0.86355719580735102</v>
      </c>
      <c r="F80" s="33">
        <f t="shared" si="4"/>
        <v>0.86355719580735102</v>
      </c>
      <c r="G80" s="73">
        <f ca="1">VLOOKUP(B80+1,Bloomberg!B:C,2,0)</f>
        <v>4372.2</v>
      </c>
      <c r="H80" s="33">
        <f>VLOOKUP(B80,'Media Effect'!M:N,2,0)</f>
        <v>0.86355719580735102</v>
      </c>
      <c r="J80" s="1">
        <v>41088</v>
      </c>
      <c r="K80" s="33">
        <v>0.87213068011485895</v>
      </c>
      <c r="M80" s="1">
        <v>41088</v>
      </c>
      <c r="N80" s="33">
        <v>0.86355719580735102</v>
      </c>
      <c r="P80" s="1">
        <v>41088</v>
      </c>
      <c r="Q80" s="33">
        <v>0.86355719580735102</v>
      </c>
    </row>
    <row r="81" spans="2:17">
      <c r="B81" s="1">
        <v>41095</v>
      </c>
      <c r="C81" s="33">
        <v>0.85531584833132801</v>
      </c>
      <c r="D81" s="33">
        <f t="shared" si="3"/>
        <v>0.86174931481436201</v>
      </c>
      <c r="E81" s="33">
        <f t="shared" si="5"/>
        <v>0</v>
      </c>
      <c r="F81" s="33">
        <f t="shared" si="4"/>
        <v>0.85480310148891403</v>
      </c>
      <c r="G81" s="73">
        <f ca="1">VLOOKUP(B81+1,Bloomberg!B:C,2,0)</f>
        <v>4267.8999999999996</v>
      </c>
      <c r="H81" s="33">
        <f>VLOOKUP(B81,'Media Effect'!M:N,2,0)</f>
        <v>0.85480310148891403</v>
      </c>
      <c r="J81" s="1">
        <v>41095</v>
      </c>
      <c r="K81" s="33">
        <v>0.86174931481436201</v>
      </c>
      <c r="M81" s="1">
        <v>41095</v>
      </c>
      <c r="N81" s="33">
        <v>0</v>
      </c>
      <c r="P81" s="1">
        <v>41095</v>
      </c>
      <c r="Q81" s="33">
        <v>0.85480310148891403</v>
      </c>
    </row>
    <row r="82" spans="2:17">
      <c r="B82" s="1">
        <v>41102</v>
      </c>
      <c r="C82" s="33">
        <v>0.88265848165302496</v>
      </c>
      <c r="D82" s="33">
        <f t="shared" si="3"/>
        <v>0.88867603682779295</v>
      </c>
      <c r="E82" s="33">
        <f t="shared" si="5"/>
        <v>0.88306588959651799</v>
      </c>
      <c r="F82" s="33">
        <f t="shared" si="4"/>
        <v>0.88306588959651799</v>
      </c>
      <c r="G82" s="73">
        <f ca="1">VLOOKUP(B82+1,Bloomberg!B:C,2,0)</f>
        <v>5246.8</v>
      </c>
      <c r="H82" s="33">
        <f>VLOOKUP(B82,'Media Effect'!M:N,2,0)</f>
        <v>0.88306588959651799</v>
      </c>
      <c r="J82" s="1">
        <v>41102</v>
      </c>
      <c r="K82" s="33">
        <v>0.88867603682779295</v>
      </c>
      <c r="M82" s="1">
        <v>41102</v>
      </c>
      <c r="N82" s="33">
        <v>0.88306588959651799</v>
      </c>
      <c r="P82" s="1">
        <v>41102</v>
      </c>
      <c r="Q82" s="33">
        <v>0.88306588959651799</v>
      </c>
    </row>
    <row r="83" spans="2:17">
      <c r="B83" s="1">
        <v>41109</v>
      </c>
      <c r="C83" s="33">
        <v>0.88516739973977598</v>
      </c>
      <c r="D83" s="33">
        <f t="shared" si="3"/>
        <v>0.89118971623119803</v>
      </c>
      <c r="E83" s="33">
        <f t="shared" si="5"/>
        <v>0</v>
      </c>
      <c r="F83" s="33">
        <f t="shared" si="4"/>
        <v>0.88557582733423201</v>
      </c>
      <c r="G83" s="73">
        <f ca="1">VLOOKUP(B83+1,Bloomberg!B:C,2,0)</f>
        <v>5383.1</v>
      </c>
      <c r="H83" s="33">
        <f>VLOOKUP(B83,'Media Effect'!M:N,2,0)</f>
        <v>0.88557582733423201</v>
      </c>
      <c r="J83" s="1">
        <v>41109</v>
      </c>
      <c r="K83" s="33">
        <v>0.89118971623119803</v>
      </c>
      <c r="M83" s="1">
        <v>41109</v>
      </c>
      <c r="N83" s="33">
        <v>0</v>
      </c>
      <c r="P83" s="1">
        <v>41109</v>
      </c>
      <c r="Q83" s="33">
        <v>0.88557582733423201</v>
      </c>
    </row>
    <row r="84" spans="2:17">
      <c r="B84" s="1">
        <v>41116</v>
      </c>
      <c r="C84" s="33">
        <v>0.89814744996460805</v>
      </c>
      <c r="D84" s="33">
        <f t="shared" si="3"/>
        <v>0.903884728943952</v>
      </c>
      <c r="E84" s="33">
        <f t="shared" si="5"/>
        <v>0.89854811201564799</v>
      </c>
      <c r="F84" s="33">
        <f t="shared" si="4"/>
        <v>0.89854811201564799</v>
      </c>
      <c r="G84" s="73">
        <f ca="1">VLOOKUP(B84+1,Bloomberg!B:C,2,0)</f>
        <v>5492.1</v>
      </c>
      <c r="H84" s="33">
        <f>VLOOKUP(B84,'Media Effect'!M:N,2,0)</f>
        <v>0.89854811201564799</v>
      </c>
      <c r="J84" s="1">
        <v>41116</v>
      </c>
      <c r="K84" s="33">
        <v>0.903884728943952</v>
      </c>
      <c r="M84" s="1">
        <v>41116</v>
      </c>
      <c r="N84" s="33">
        <v>0.89854811201564799</v>
      </c>
      <c r="P84" s="1">
        <v>41116</v>
      </c>
      <c r="Q84" s="33">
        <v>0.89854811201564799</v>
      </c>
    </row>
    <row r="85" spans="2:17">
      <c r="B85" s="1">
        <v>41123</v>
      </c>
      <c r="C85" s="33">
        <v>0.86768818253450297</v>
      </c>
      <c r="D85" s="33">
        <f t="shared" si="3"/>
        <v>0</v>
      </c>
      <c r="E85" s="33">
        <f t="shared" si="5"/>
        <v>0</v>
      </c>
      <c r="F85" s="33">
        <f t="shared" si="4"/>
        <v>0</v>
      </c>
      <c r="G85" s="73">
        <f ca="1">VLOOKUP(B85+1,Bloomberg!B:C,2,0)</f>
        <v>5444.3</v>
      </c>
      <c r="H85" s="33">
        <f>VLOOKUP(B85,'Media Effect'!M:N,2,0)</f>
        <v>0.86721057119503697</v>
      </c>
      <c r="J85" s="1">
        <v>41123</v>
      </c>
      <c r="K85" s="33">
        <v>0</v>
      </c>
      <c r="M85" s="1">
        <v>41123</v>
      </c>
      <c r="N85" s="33">
        <v>0</v>
      </c>
      <c r="P85" s="1">
        <v>41123</v>
      </c>
      <c r="Q85" s="33">
        <v>0</v>
      </c>
    </row>
    <row r="86" spans="2:17">
      <c r="B86" s="1">
        <v>41130</v>
      </c>
      <c r="C86" s="33">
        <v>0.86745968477328095</v>
      </c>
      <c r="D86" s="33">
        <f t="shared" si="3"/>
        <v>0</v>
      </c>
      <c r="E86" s="33">
        <f t="shared" si="5"/>
        <v>0</v>
      </c>
      <c r="F86" s="33">
        <f t="shared" si="4"/>
        <v>0</v>
      </c>
      <c r="G86" s="73">
        <f ca="1">VLOOKUP(B86+1,Bloomberg!B:C,2,0)</f>
        <v>5172.2</v>
      </c>
      <c r="H86" s="33">
        <f>VLOOKUP(B86,'Media Effect'!M:N,2,0)</f>
        <v>0.86873710574149099</v>
      </c>
      <c r="J86" s="1">
        <v>41130</v>
      </c>
      <c r="K86" s="33">
        <v>0</v>
      </c>
      <c r="M86" s="1">
        <v>41130</v>
      </c>
      <c r="N86" s="33">
        <v>0</v>
      </c>
      <c r="P86" s="1">
        <v>41130</v>
      </c>
      <c r="Q86" s="33">
        <v>0</v>
      </c>
    </row>
    <row r="87" spans="2:17">
      <c r="B87" s="1">
        <v>41137</v>
      </c>
      <c r="C87" s="33">
        <v>0.85198632502448901</v>
      </c>
      <c r="D87" s="33">
        <f t="shared" si="3"/>
        <v>0</v>
      </c>
      <c r="E87" s="33">
        <f t="shared" si="5"/>
        <v>0</v>
      </c>
      <c r="F87" s="33">
        <f t="shared" si="4"/>
        <v>0</v>
      </c>
      <c r="G87" s="73">
        <f ca="1">VLOOKUP(B87+1,Bloomberg!B:C,2,0)</f>
        <v>4671.1000000000004</v>
      </c>
      <c r="H87" s="33">
        <f>VLOOKUP(B87,'Media Effect'!M:N,2,0)</f>
        <v>0.85326106113769395</v>
      </c>
      <c r="J87" s="1">
        <v>41137</v>
      </c>
      <c r="K87" s="33">
        <v>0</v>
      </c>
      <c r="M87" s="1">
        <v>41137</v>
      </c>
      <c r="N87" s="33">
        <v>0</v>
      </c>
      <c r="P87" s="1">
        <v>41137</v>
      </c>
      <c r="Q87" s="33">
        <v>0</v>
      </c>
    </row>
    <row r="88" spans="2:17">
      <c r="B88" s="1">
        <v>41144</v>
      </c>
      <c r="C88" s="33">
        <v>0.83819941388679298</v>
      </c>
      <c r="D88" s="33">
        <f t="shared" si="3"/>
        <v>0</v>
      </c>
      <c r="E88" s="33">
        <f t="shared" si="5"/>
        <v>0</v>
      </c>
      <c r="F88" s="33">
        <f t="shared" si="4"/>
        <v>0</v>
      </c>
      <c r="G88" s="73">
        <f ca="1">VLOOKUP(B88+1,Bloomberg!B:C,2,0)</f>
        <v>4414.6000000000004</v>
      </c>
      <c r="H88" s="33">
        <f>VLOOKUP(B88,'Media Effect'!M:N,2,0)</f>
        <v>0.83946291551948105</v>
      </c>
      <c r="J88" s="1">
        <v>41144</v>
      </c>
      <c r="K88" s="33">
        <v>0</v>
      </c>
      <c r="M88" s="1">
        <v>41144</v>
      </c>
      <c r="N88" s="33">
        <v>0</v>
      </c>
      <c r="P88" s="1">
        <v>41144</v>
      </c>
      <c r="Q88" s="33">
        <v>0</v>
      </c>
    </row>
    <row r="89" spans="2:17">
      <c r="B89" s="1">
        <v>41151</v>
      </c>
      <c r="C89" s="33">
        <v>0.86745968477328095</v>
      </c>
      <c r="D89" s="33">
        <f t="shared" si="3"/>
        <v>0</v>
      </c>
      <c r="E89" s="33">
        <f t="shared" si="5"/>
        <v>0</v>
      </c>
      <c r="F89" s="33">
        <f t="shared" si="4"/>
        <v>0</v>
      </c>
      <c r="G89" s="73">
        <f ca="1">VLOOKUP(B89+1,Bloomberg!B:C,2,0)</f>
        <v>4274.8</v>
      </c>
      <c r="H89" s="33">
        <f>VLOOKUP(B89,'Media Effect'!M:N,2,0)</f>
        <v>0.86873710574149099</v>
      </c>
      <c r="J89" s="1">
        <v>41151</v>
      </c>
      <c r="K89" s="33">
        <v>0</v>
      </c>
      <c r="M89" s="1">
        <v>41151</v>
      </c>
      <c r="N89" s="33">
        <v>0</v>
      </c>
      <c r="P89" s="1">
        <v>41151</v>
      </c>
      <c r="Q89" s="33">
        <v>0</v>
      </c>
    </row>
    <row r="90" spans="2:17">
      <c r="B90" s="1">
        <v>41158</v>
      </c>
      <c r="C90" s="33">
        <v>0.854493626143913</v>
      </c>
      <c r="D90" s="33">
        <f t="shared" si="3"/>
        <v>0</v>
      </c>
      <c r="E90" s="33">
        <f t="shared" si="5"/>
        <v>0</v>
      </c>
      <c r="F90" s="33">
        <f t="shared" si="4"/>
        <v>0</v>
      </c>
      <c r="G90" s="73">
        <f ca="1">VLOOKUP(B90+1,Bloomberg!B:C,2,0)</f>
        <v>4779.1000000000004</v>
      </c>
      <c r="H90" s="33">
        <f>VLOOKUP(B90,'Media Effect'!M:N,2,0)</f>
        <v>0.85389897885032495</v>
      </c>
      <c r="J90" s="1">
        <v>41158</v>
      </c>
      <c r="K90" s="33">
        <v>0</v>
      </c>
      <c r="M90" s="1">
        <v>41158</v>
      </c>
      <c r="N90" s="33">
        <v>0</v>
      </c>
      <c r="P90" s="1">
        <v>41158</v>
      </c>
      <c r="Q90" s="33">
        <v>0</v>
      </c>
    </row>
    <row r="91" spans="2:17">
      <c r="B91" s="1">
        <v>41165</v>
      </c>
      <c r="C91" s="33">
        <v>0.85731125996939705</v>
      </c>
      <c r="D91" s="33">
        <f t="shared" si="3"/>
        <v>2.3878660335793101E-3</v>
      </c>
      <c r="E91" s="33">
        <f t="shared" si="5"/>
        <v>3.4287960012666001E-3</v>
      </c>
      <c r="F91" s="33">
        <f t="shared" si="4"/>
        <v>3.4287960012666001E-3</v>
      </c>
      <c r="G91" s="73">
        <f ca="1">VLOOKUP(B91+1,Bloomberg!B:C,2,0)</f>
        <v>4823.3</v>
      </c>
      <c r="H91" s="33">
        <f>VLOOKUP(B91,'Media Effect'!M:N,2,0)</f>
        <v>0.85777100850024601</v>
      </c>
      <c r="J91" s="1">
        <v>41165</v>
      </c>
      <c r="K91" s="33">
        <v>2.3878660335793101E-3</v>
      </c>
      <c r="M91" s="1">
        <v>41165</v>
      </c>
      <c r="N91" s="33">
        <v>3.4287960012666001E-3</v>
      </c>
      <c r="P91" s="1">
        <v>41165</v>
      </c>
      <c r="Q91" s="33">
        <v>3.4287960012666001E-3</v>
      </c>
    </row>
    <row r="92" spans="2:17">
      <c r="B92" s="1">
        <v>41172</v>
      </c>
      <c r="C92" s="33">
        <v>0.87344930653794395</v>
      </c>
      <c r="D92" s="33">
        <f t="shared" si="3"/>
        <v>0.88228040636638605</v>
      </c>
      <c r="E92" s="33">
        <f t="shared" si="5"/>
        <v>0.87391634150534703</v>
      </c>
      <c r="F92" s="33">
        <f t="shared" si="4"/>
        <v>0.87391634150534703</v>
      </c>
      <c r="G92" s="73">
        <f ca="1">VLOOKUP(B92+1,Bloomberg!B:C,2,0)</f>
        <v>4979</v>
      </c>
      <c r="H92" s="33">
        <f>VLOOKUP(B92,'Media Effect'!M:N,2,0)</f>
        <v>0.87391634150534703</v>
      </c>
      <c r="J92" s="1">
        <v>41172</v>
      </c>
      <c r="K92" s="33">
        <v>0.88228040636638605</v>
      </c>
      <c r="M92" s="1">
        <v>41172</v>
      </c>
      <c r="N92" s="33">
        <v>0.87391634150534703</v>
      </c>
      <c r="P92" s="1">
        <v>41172</v>
      </c>
      <c r="Q92" s="33">
        <v>0.87391634150534703</v>
      </c>
    </row>
    <row r="93" spans="2:17">
      <c r="B93" s="1">
        <v>41179</v>
      </c>
      <c r="C93" s="33">
        <v>0.91259028169208301</v>
      </c>
      <c r="D93" s="33">
        <f t="shared" si="3"/>
        <v>0.92058498714658699</v>
      </c>
      <c r="E93" s="33">
        <f t="shared" si="5"/>
        <v>0.91307424668051995</v>
      </c>
      <c r="F93" s="33">
        <f t="shared" si="4"/>
        <v>0.91307424668051995</v>
      </c>
      <c r="G93" s="73">
        <f ca="1">VLOOKUP(B93+1,Bloomberg!B:C,2,0)</f>
        <v>5965.5</v>
      </c>
      <c r="H93" s="33">
        <f>VLOOKUP(B93,'Media Effect'!M:N,2,0)</f>
        <v>0.91307424668051995</v>
      </c>
      <c r="J93" s="1">
        <v>41179</v>
      </c>
      <c r="K93" s="33">
        <v>0.92058498714658699</v>
      </c>
      <c r="M93" s="1">
        <v>41179</v>
      </c>
      <c r="N93" s="33">
        <v>0.91307424668051995</v>
      </c>
      <c r="P93" s="1">
        <v>41179</v>
      </c>
      <c r="Q93" s="33">
        <v>0.91307424668051995</v>
      </c>
    </row>
    <row r="94" spans="2:17">
      <c r="B94" s="1">
        <v>41186</v>
      </c>
      <c r="C94" s="33">
        <v>0.89522709255279198</v>
      </c>
      <c r="D94" s="33">
        <f t="shared" si="3"/>
        <v>0.90561983606265195</v>
      </c>
      <c r="E94" s="33">
        <f t="shared" si="5"/>
        <v>0.89605404534385302</v>
      </c>
      <c r="F94" s="33">
        <f t="shared" si="4"/>
        <v>0.89337068210282</v>
      </c>
      <c r="G94" s="73">
        <f ca="1">VLOOKUP(B94+1,Bloomberg!B:C,2,0)</f>
        <v>5892.5</v>
      </c>
      <c r="H94" s="33">
        <f>VLOOKUP(B94,'Media Effect'!M:N,2,0)</f>
        <v>0.89337068210282</v>
      </c>
      <c r="J94" s="1">
        <v>41186</v>
      </c>
      <c r="K94" s="33">
        <v>0.90561983606265195</v>
      </c>
      <c r="M94" s="1">
        <v>41186</v>
      </c>
      <c r="N94" s="33">
        <v>0.89605404534385302</v>
      </c>
      <c r="P94" s="1">
        <v>41186</v>
      </c>
      <c r="Q94" s="33">
        <v>0.89337068210282</v>
      </c>
    </row>
    <row r="95" spans="2:17">
      <c r="B95" s="1">
        <v>41193</v>
      </c>
      <c r="C95" s="33">
        <v>0.87811016351224602</v>
      </c>
      <c r="D95" s="33">
        <f t="shared" si="3"/>
        <v>0</v>
      </c>
      <c r="E95" s="33">
        <f t="shared" si="5"/>
        <v>0</v>
      </c>
      <c r="F95" s="33">
        <f t="shared" si="4"/>
        <v>0</v>
      </c>
      <c r="G95" s="73">
        <f ca="1">VLOOKUP(B95+1,Bloomberg!B:C,2,0)</f>
        <v>5572.2</v>
      </c>
      <c r="H95" s="33">
        <f>VLOOKUP(B95,'Media Effect'!M:N,2,0)</f>
        <v>0.87893796322118301</v>
      </c>
      <c r="J95" s="1">
        <v>41193</v>
      </c>
      <c r="K95" s="33">
        <v>0</v>
      </c>
      <c r="M95" s="1">
        <v>41193</v>
      </c>
      <c r="N95" s="33">
        <v>0</v>
      </c>
      <c r="P95" s="1">
        <v>41193</v>
      </c>
      <c r="Q95" s="33">
        <v>0</v>
      </c>
    </row>
    <row r="96" spans="2:17">
      <c r="B96" s="1">
        <v>41200</v>
      </c>
      <c r="C96" s="33">
        <v>0.89368551357821302</v>
      </c>
      <c r="D96" s="33">
        <f t="shared" si="3"/>
        <v>0.90406549408554204</v>
      </c>
      <c r="E96" s="33">
        <f t="shared" si="5"/>
        <v>0</v>
      </c>
      <c r="F96" s="33">
        <f t="shared" si="4"/>
        <v>0</v>
      </c>
      <c r="G96" s="73">
        <f ca="1">VLOOKUP(B96+1,Bloomberg!B:C,2,0)</f>
        <v>4847.2</v>
      </c>
      <c r="H96" s="33">
        <f>VLOOKUP(B96,'Media Effect'!M:N,2,0)</f>
        <v>0.89451035602650197</v>
      </c>
      <c r="J96" s="1">
        <v>41200</v>
      </c>
      <c r="K96" s="33">
        <v>0.90406549408554204</v>
      </c>
      <c r="M96" s="1">
        <v>41200</v>
      </c>
      <c r="N96" s="33">
        <v>0</v>
      </c>
      <c r="P96" s="1">
        <v>41200</v>
      </c>
      <c r="Q96" s="33">
        <v>0</v>
      </c>
    </row>
    <row r="97" spans="2:17">
      <c r="B97" s="1">
        <v>41207</v>
      </c>
      <c r="C97" s="33">
        <v>0.87683234085301398</v>
      </c>
      <c r="D97" s="33">
        <f t="shared" si="3"/>
        <v>0</v>
      </c>
      <c r="E97" s="33">
        <f t="shared" si="5"/>
        <v>0</v>
      </c>
      <c r="F97" s="33">
        <f t="shared" si="4"/>
        <v>0</v>
      </c>
      <c r="G97" s="73">
        <f ca="1">VLOOKUP(B97+1,Bloomberg!B:C,2,0)</f>
        <v>4550.7</v>
      </c>
      <c r="H97" s="33">
        <f>VLOOKUP(B97,'Media Effect'!M:N,2,0)</f>
        <v>0.87765828155593195</v>
      </c>
      <c r="J97" s="1">
        <v>41207</v>
      </c>
      <c r="K97" s="33">
        <v>0</v>
      </c>
      <c r="M97" s="1">
        <v>41207</v>
      </c>
      <c r="N97" s="33">
        <v>0</v>
      </c>
      <c r="P97" s="1">
        <v>41207</v>
      </c>
      <c r="Q97" s="33">
        <v>0</v>
      </c>
    </row>
    <row r="98" spans="2:17">
      <c r="B98" s="1">
        <v>41214</v>
      </c>
      <c r="C98" s="33">
        <v>0.85225052894835196</v>
      </c>
      <c r="D98" s="33">
        <f t="shared" si="3"/>
        <v>0</v>
      </c>
      <c r="E98" s="33">
        <f t="shared" si="5"/>
        <v>2.9943824223774501E-3</v>
      </c>
      <c r="F98" s="33">
        <f t="shared" si="4"/>
        <v>0</v>
      </c>
      <c r="G98" s="73">
        <f ca="1">VLOOKUP(B98+1,Bloomberg!B:C,2,0)</f>
        <v>4297.7</v>
      </c>
      <c r="H98" s="33">
        <f>VLOOKUP(B98,'Media Effect'!M:N,2,0)</f>
        <v>0.85025958001434099</v>
      </c>
      <c r="J98" s="1">
        <v>41214</v>
      </c>
      <c r="K98" s="33">
        <v>0</v>
      </c>
      <c r="M98" s="1">
        <v>41214</v>
      </c>
      <c r="N98" s="33">
        <v>2.9943824223774501E-3</v>
      </c>
      <c r="P98" s="1">
        <v>41214</v>
      </c>
      <c r="Q98" s="33">
        <v>0</v>
      </c>
    </row>
    <row r="99" spans="2:17">
      <c r="B99" s="1">
        <v>41221</v>
      </c>
      <c r="C99" s="33">
        <v>0.85194480836680198</v>
      </c>
      <c r="D99" s="33">
        <f t="shared" si="3"/>
        <v>0</v>
      </c>
      <c r="E99" s="33">
        <f t="shared" si="5"/>
        <v>0</v>
      </c>
      <c r="F99" s="33">
        <f t="shared" si="4"/>
        <v>0</v>
      </c>
      <c r="G99" s="73">
        <f ca="1">VLOOKUP(B99+1,Bloomberg!B:C,2,0)</f>
        <v>4856.1000000000004</v>
      </c>
      <c r="H99" s="33">
        <f>VLOOKUP(B99,'Media Effect'!M:N,2,0)</f>
        <v>0.85294848165289106</v>
      </c>
      <c r="J99" s="1">
        <v>41221</v>
      </c>
      <c r="K99" s="33">
        <v>0</v>
      </c>
      <c r="M99" s="1">
        <v>41221</v>
      </c>
      <c r="N99" s="33">
        <v>0</v>
      </c>
      <c r="P99" s="1">
        <v>41221</v>
      </c>
      <c r="Q99" s="33">
        <v>0</v>
      </c>
    </row>
    <row r="100" spans="2:17">
      <c r="B100" s="1">
        <v>41228</v>
      </c>
      <c r="C100" s="33">
        <v>0.86999483052125803</v>
      </c>
      <c r="D100" s="33">
        <f t="shared" si="3"/>
        <v>0</v>
      </c>
      <c r="E100" s="33">
        <f t="shared" si="5"/>
        <v>0</v>
      </c>
      <c r="F100" s="33">
        <f t="shared" si="4"/>
        <v>3.6805392889150699E-3</v>
      </c>
      <c r="G100" s="73">
        <f ca="1">VLOOKUP(B100+1,Bloomberg!B:C,2,0)</f>
        <v>4702.3999999999996</v>
      </c>
      <c r="H100" s="33">
        <f>VLOOKUP(B100,'Media Effect'!M:N,2,0)</f>
        <v>0.87099758649899595</v>
      </c>
      <c r="J100" s="1">
        <v>41228</v>
      </c>
      <c r="K100" s="33">
        <v>0</v>
      </c>
      <c r="M100" s="1">
        <v>41228</v>
      </c>
      <c r="N100" s="33">
        <v>0</v>
      </c>
      <c r="P100" s="1">
        <v>41228</v>
      </c>
      <c r="Q100" s="33">
        <v>3.6805392889150699E-3</v>
      </c>
    </row>
    <row r="101" spans="2:17">
      <c r="B101" s="1">
        <v>41234</v>
      </c>
      <c r="C101" s="33">
        <v>0.88773399472374204</v>
      </c>
      <c r="D101" s="33">
        <f t="shared" si="3"/>
        <v>0.90098684313744204</v>
      </c>
      <c r="E101" s="33">
        <f t="shared" si="5"/>
        <v>0.88870182147749199</v>
      </c>
      <c r="F101" s="33">
        <f t="shared" si="4"/>
        <v>0.88870182147749199</v>
      </c>
      <c r="G101" s="73" t="e">
        <f ca="1">VLOOKUP(B101+1,Bloomberg!B:C,2,0)</f>
        <v>#N/A</v>
      </c>
      <c r="H101" s="33">
        <f>VLOOKUP(B101,'Media Effect'!M:N,2,0)</f>
        <v>0.88870182147749199</v>
      </c>
      <c r="J101" s="1">
        <v>41234</v>
      </c>
      <c r="K101" s="33">
        <v>0.90098684313744204</v>
      </c>
      <c r="M101" s="1">
        <v>41234</v>
      </c>
      <c r="N101" s="33">
        <v>0.88870182147749199</v>
      </c>
      <c r="P101" s="1">
        <v>41234</v>
      </c>
      <c r="Q101" s="33">
        <v>0.88870182147749199</v>
      </c>
    </row>
    <row r="102" spans="2:17">
      <c r="B102" s="1">
        <v>41242</v>
      </c>
      <c r="C102" s="33">
        <v>0.86996445945149903</v>
      </c>
      <c r="D102" s="33">
        <f t="shared" si="3"/>
        <v>0</v>
      </c>
      <c r="E102" s="33">
        <f t="shared" si="5"/>
        <v>0</v>
      </c>
      <c r="F102" s="33">
        <f t="shared" si="4"/>
        <v>0</v>
      </c>
      <c r="G102" s="73">
        <f ca="1">VLOOKUP(B102+1,Bloomberg!B:C,2,0)</f>
        <v>4943</v>
      </c>
      <c r="H102" s="33">
        <f>VLOOKUP(B102,'Media Effect'!M:N,2,0)</f>
        <v>0.87096715032167604</v>
      </c>
      <c r="J102" s="1">
        <v>41242</v>
      </c>
      <c r="K102" s="33">
        <v>0</v>
      </c>
      <c r="M102" s="1">
        <v>41242</v>
      </c>
      <c r="N102" s="33">
        <v>0</v>
      </c>
      <c r="P102" s="1">
        <v>41242</v>
      </c>
      <c r="Q102" s="33">
        <v>0</v>
      </c>
    </row>
    <row r="103" spans="2:17">
      <c r="B103" s="1">
        <v>41249</v>
      </c>
      <c r="C103" s="33">
        <v>0.85662578219432695</v>
      </c>
      <c r="D103" s="33">
        <f t="shared" si="3"/>
        <v>0</v>
      </c>
      <c r="E103" s="33">
        <f t="shared" si="5"/>
        <v>0</v>
      </c>
      <c r="F103" s="33">
        <f t="shared" si="4"/>
        <v>0</v>
      </c>
      <c r="G103" s="73">
        <f ca="1">VLOOKUP(B103+1,Bloomberg!B:C,2,0)</f>
        <v>5368.1</v>
      </c>
      <c r="H103" s="33">
        <f>VLOOKUP(B103,'Media Effect'!M:N,2,0)</f>
        <v>0.85552701758194905</v>
      </c>
      <c r="J103" s="1">
        <v>41249</v>
      </c>
      <c r="K103" s="33">
        <v>0</v>
      </c>
      <c r="M103" s="1">
        <v>41249</v>
      </c>
      <c r="N103" s="33">
        <v>0</v>
      </c>
      <c r="P103" s="1">
        <v>41249</v>
      </c>
      <c r="Q103" s="33">
        <v>0</v>
      </c>
    </row>
    <row r="104" spans="2:17">
      <c r="B104" s="1">
        <v>41256</v>
      </c>
      <c r="C104" s="33">
        <v>0.87412257034895602</v>
      </c>
      <c r="D104" s="33">
        <f t="shared" si="3"/>
        <v>0</v>
      </c>
      <c r="E104" s="33">
        <f t="shared" si="5"/>
        <v>0</v>
      </c>
      <c r="F104" s="33">
        <f t="shared" si="4"/>
        <v>1.92397129365898E-3</v>
      </c>
      <c r="G104" s="73">
        <f ca="1">VLOOKUP(B104+1,Bloomberg!B:C,2,0)</f>
        <v>4564.3999999999996</v>
      </c>
      <c r="H104" s="33">
        <f>VLOOKUP(B104,'Media Effect'!M:N,2,0)</f>
        <v>0.87441718771065802</v>
      </c>
      <c r="J104" s="1">
        <v>41256</v>
      </c>
      <c r="K104" s="33">
        <v>0</v>
      </c>
      <c r="M104" s="1">
        <v>41256</v>
      </c>
      <c r="N104" s="33">
        <v>0</v>
      </c>
      <c r="P104" s="1">
        <v>41256</v>
      </c>
      <c r="Q104" s="33">
        <v>1.92397129365898E-3</v>
      </c>
    </row>
    <row r="105" spans="2:17">
      <c r="B105" s="1">
        <v>41263</v>
      </c>
      <c r="C105" s="33">
        <v>0.85522983991809798</v>
      </c>
      <c r="D105" s="33">
        <f t="shared" si="3"/>
        <v>0</v>
      </c>
      <c r="E105" s="33">
        <f t="shared" si="5"/>
        <v>0</v>
      </c>
      <c r="F105" s="33">
        <f t="shared" si="4"/>
        <v>0</v>
      </c>
      <c r="G105" s="73">
        <f ca="1">VLOOKUP(B105+1,Bloomberg!B:C,2,0)</f>
        <v>3983.2</v>
      </c>
      <c r="H105" s="33">
        <f>VLOOKUP(B105,'Media Effect'!M:N,2,0)</f>
        <v>0.85553537746283803</v>
      </c>
      <c r="J105" s="1">
        <v>41263</v>
      </c>
      <c r="K105" s="33">
        <v>0</v>
      </c>
      <c r="M105" s="1">
        <v>41263</v>
      </c>
      <c r="N105" s="33">
        <v>0</v>
      </c>
      <c r="P105" s="1">
        <v>41263</v>
      </c>
      <c r="Q105" s="33">
        <v>0</v>
      </c>
    </row>
    <row r="106" spans="2:17">
      <c r="B106" s="1">
        <v>41270</v>
      </c>
      <c r="C106" s="33">
        <v>0.85626060279274896</v>
      </c>
      <c r="D106" s="33">
        <f t="shared" si="3"/>
        <v>0</v>
      </c>
      <c r="E106" s="33">
        <f t="shared" si="5"/>
        <v>0</v>
      </c>
      <c r="F106" s="33">
        <f t="shared" si="4"/>
        <v>0</v>
      </c>
      <c r="G106" s="73">
        <f ca="1">VLOOKUP(B106+1,Bloomberg!B:C,2,0)</f>
        <v>3488.9</v>
      </c>
      <c r="H106" s="33">
        <f>VLOOKUP(B106,'Media Effect'!M:N,2,0)</f>
        <v>0.85656729506407103</v>
      </c>
      <c r="J106" s="1">
        <v>41270</v>
      </c>
      <c r="K106" s="33">
        <v>0</v>
      </c>
      <c r="M106" s="1">
        <v>41270</v>
      </c>
      <c r="N106" s="33">
        <v>0</v>
      </c>
      <c r="P106" s="1">
        <v>41270</v>
      </c>
      <c r="Q106" s="33">
        <v>0</v>
      </c>
    </row>
    <row r="107" spans="2:17">
      <c r="B107" s="1">
        <v>41277</v>
      </c>
      <c r="C107" s="33">
        <v>0.83696581575361895</v>
      </c>
      <c r="D107" s="33">
        <f t="shared" si="3"/>
        <v>0</v>
      </c>
      <c r="E107" s="33">
        <f t="shared" si="5"/>
        <v>0</v>
      </c>
      <c r="F107" s="33">
        <f t="shared" si="4"/>
        <v>0</v>
      </c>
      <c r="G107" s="73">
        <f ca="1">VLOOKUP(B107+1,Bloomberg!B:C,2,0)</f>
        <v>3896.4</v>
      </c>
      <c r="H107" s="33">
        <f>VLOOKUP(B107,'Media Effect'!M:N,2,0)</f>
        <v>0.836402700195363</v>
      </c>
      <c r="J107" s="1">
        <v>41277</v>
      </c>
      <c r="K107" s="33">
        <v>0</v>
      </c>
      <c r="M107" s="1">
        <v>41277</v>
      </c>
      <c r="N107" s="33">
        <v>0</v>
      </c>
      <c r="P107" s="1">
        <v>41277</v>
      </c>
      <c r="Q107" s="33">
        <v>0</v>
      </c>
    </row>
    <row r="108" spans="2:17">
      <c r="B108" s="1">
        <v>41284</v>
      </c>
      <c r="C108" s="33">
        <v>0.81798384699460103</v>
      </c>
      <c r="D108" s="33">
        <f t="shared" si="3"/>
        <v>0</v>
      </c>
      <c r="E108" s="33">
        <f t="shared" si="5"/>
        <v>0</v>
      </c>
      <c r="F108" s="33">
        <f t="shared" si="4"/>
        <v>0</v>
      </c>
      <c r="G108" s="73">
        <f ca="1">VLOOKUP(B108+1,Bloomberg!B:C,2,0)</f>
        <v>4554.3999999999996</v>
      </c>
      <c r="H108" s="33">
        <f>VLOOKUP(B108,'Media Effect'!M:N,2,0)</f>
        <v>6.3649104803575E-3</v>
      </c>
      <c r="J108" s="1">
        <v>41284</v>
      </c>
      <c r="K108" s="33">
        <v>0</v>
      </c>
      <c r="M108" s="1">
        <v>41284</v>
      </c>
      <c r="N108" s="33">
        <v>0</v>
      </c>
      <c r="P108" s="1">
        <v>41284</v>
      </c>
      <c r="Q108" s="33">
        <v>0</v>
      </c>
    </row>
    <row r="109" spans="2:17">
      <c r="B109" s="1">
        <v>41291</v>
      </c>
      <c r="C109" s="33">
        <v>0.83503612629874802</v>
      </c>
      <c r="D109" s="33">
        <f t="shared" si="3"/>
        <v>0</v>
      </c>
      <c r="E109" s="33">
        <f t="shared" si="5"/>
        <v>0</v>
      </c>
      <c r="F109" s="33">
        <f t="shared" si="4"/>
        <v>0</v>
      </c>
      <c r="G109" s="73">
        <f ca="1">VLOOKUP(B109+1,Bloomberg!B:C,2,0)</f>
        <v>4937.3999999999996</v>
      </c>
      <c r="H109" s="33">
        <f>VLOOKUP(B109,'Media Effect'!M:N,2,0)</f>
        <v>0.83579303387112303</v>
      </c>
      <c r="J109" s="1">
        <v>41291</v>
      </c>
      <c r="K109" s="33">
        <v>0</v>
      </c>
      <c r="M109" s="1">
        <v>41291</v>
      </c>
      <c r="N109" s="33">
        <v>0</v>
      </c>
      <c r="P109" s="1">
        <v>41291</v>
      </c>
      <c r="Q109" s="33">
        <v>0</v>
      </c>
    </row>
    <row r="110" spans="2:17">
      <c r="B110" s="1">
        <v>41298</v>
      </c>
      <c r="C110" s="33">
        <v>0.81634992305868503</v>
      </c>
      <c r="D110" s="33">
        <f t="shared" si="3"/>
        <v>0</v>
      </c>
      <c r="E110" s="33">
        <f t="shared" si="5"/>
        <v>0</v>
      </c>
      <c r="F110" s="33">
        <f t="shared" si="4"/>
        <v>0</v>
      </c>
      <c r="G110" s="73">
        <f ca="1">VLOOKUP(B110+1,Bloomberg!B:C,2,0)</f>
        <v>4433.6000000000004</v>
      </c>
      <c r="H110" s="33">
        <f>VLOOKUP(B110,'Media Effect'!M:N,2,0)</f>
        <v>6.31365338468388E-3</v>
      </c>
      <c r="J110" s="1">
        <v>41298</v>
      </c>
      <c r="K110" s="33">
        <v>0</v>
      </c>
      <c r="M110" s="1">
        <v>41298</v>
      </c>
      <c r="N110" s="33">
        <v>0</v>
      </c>
      <c r="P110" s="1">
        <v>41298</v>
      </c>
      <c r="Q110" s="33">
        <v>0</v>
      </c>
    </row>
    <row r="111" spans="2:17">
      <c r="B111" s="1">
        <v>41305</v>
      </c>
      <c r="C111" s="33">
        <v>0.77322369572310801</v>
      </c>
      <c r="D111" s="33">
        <f t="shared" si="3"/>
        <v>0</v>
      </c>
      <c r="E111" s="33">
        <f t="shared" si="5"/>
        <v>0</v>
      </c>
      <c r="F111" s="33">
        <f t="shared" si="4"/>
        <v>0</v>
      </c>
      <c r="G111" s="73">
        <f ca="1">VLOOKUP(B111+1,Bloomberg!B:C,2,0)</f>
        <v>4579</v>
      </c>
      <c r="H111" s="33">
        <f>VLOOKUP(B111,'Media Effect'!M:N,2,0)</f>
        <v>1.5724025040129101E-3</v>
      </c>
      <c r="J111" s="1">
        <v>41305</v>
      </c>
      <c r="K111" s="33">
        <v>0</v>
      </c>
      <c r="M111" s="1">
        <v>41305</v>
      </c>
      <c r="N111" s="33">
        <v>0</v>
      </c>
      <c r="P111" s="1">
        <v>41305</v>
      </c>
      <c r="Q111" s="33">
        <v>0</v>
      </c>
    </row>
    <row r="112" spans="2:17">
      <c r="B112" s="1">
        <v>41312</v>
      </c>
      <c r="C112" s="33">
        <v>0.75155379277106704</v>
      </c>
      <c r="D112" s="33">
        <f t="shared" si="3"/>
        <v>0</v>
      </c>
      <c r="E112" s="33">
        <f t="shared" si="5"/>
        <v>5.4993651942507197E-4</v>
      </c>
      <c r="F112" s="33">
        <f t="shared" si="4"/>
        <v>0</v>
      </c>
      <c r="G112" s="73">
        <f ca="1">VLOOKUP(B112+1,Bloomberg!B:C,2,0)</f>
        <v>4284.3</v>
      </c>
      <c r="H112" s="33">
        <f>VLOOKUP(B112,'Media Effect'!M:N,2,0)</f>
        <v>1.8805301659143899E-3</v>
      </c>
      <c r="J112" s="1">
        <v>41312</v>
      </c>
      <c r="K112" s="33">
        <v>0</v>
      </c>
      <c r="M112" s="1">
        <v>41312</v>
      </c>
      <c r="N112" s="33">
        <v>5.4993651942507197E-4</v>
      </c>
      <c r="P112" s="1">
        <v>41312</v>
      </c>
      <c r="Q112" s="33">
        <v>0</v>
      </c>
    </row>
    <row r="113" spans="2:17">
      <c r="B113" s="1">
        <v>41319</v>
      </c>
      <c r="C113" s="33">
        <v>0.75155379277106704</v>
      </c>
      <c r="D113" s="33">
        <f t="shared" si="3"/>
        <v>0</v>
      </c>
      <c r="E113" s="33">
        <f t="shared" si="5"/>
        <v>5.4993651942507197E-4</v>
      </c>
      <c r="F113" s="33">
        <f t="shared" si="4"/>
        <v>5.4993651942507197E-4</v>
      </c>
      <c r="G113" s="73">
        <f ca="1">VLOOKUP(B113+1,Bloomberg!B:C,2,0)</f>
        <v>4261.8</v>
      </c>
      <c r="H113" s="33">
        <f>VLOOKUP(B113,'Media Effect'!M:N,2,0)</f>
        <v>2.4304666853394601E-3</v>
      </c>
      <c r="J113" s="1">
        <v>41319</v>
      </c>
      <c r="K113" s="33">
        <v>0</v>
      </c>
      <c r="M113" s="1">
        <v>41319</v>
      </c>
      <c r="N113" s="33">
        <v>5.4993651942507197E-4</v>
      </c>
      <c r="P113" s="1">
        <v>41319</v>
      </c>
      <c r="Q113" s="33">
        <v>5.4993651942507197E-4</v>
      </c>
    </row>
    <row r="114" spans="2:17">
      <c r="B114" s="1">
        <v>41326</v>
      </c>
      <c r="C114" s="33">
        <v>0.73462902469773095</v>
      </c>
      <c r="D114" s="33">
        <f t="shared" si="3"/>
        <v>0</v>
      </c>
      <c r="E114" s="33">
        <f t="shared" si="5"/>
        <v>0</v>
      </c>
      <c r="F114" s="33">
        <f t="shared" si="4"/>
        <v>0</v>
      </c>
      <c r="G114" s="73">
        <f ca="1">VLOOKUP(B114+1,Bloomberg!B:C,2,0)</f>
        <v>4136.3</v>
      </c>
      <c r="H114" s="33">
        <f>VLOOKUP(B114,'Media Effect'!M:N,2,0)</f>
        <v>1.6769000092261E-3</v>
      </c>
      <c r="J114" s="1">
        <v>41326</v>
      </c>
      <c r="K114" s="33">
        <v>0</v>
      </c>
      <c r="M114" s="1">
        <v>41326</v>
      </c>
      <c r="N114" s="33">
        <v>0</v>
      </c>
      <c r="P114" s="1">
        <v>41326</v>
      </c>
      <c r="Q114" s="33">
        <v>0</v>
      </c>
    </row>
    <row r="115" spans="2:17">
      <c r="B115" s="1">
        <v>41333</v>
      </c>
      <c r="C115" s="33">
        <v>0.75332777657917305</v>
      </c>
      <c r="D115" s="33">
        <f t="shared" si="3"/>
        <v>0</v>
      </c>
      <c r="E115" s="33">
        <f t="shared" si="5"/>
        <v>5.5309707563809801E-4</v>
      </c>
      <c r="F115" s="33">
        <f t="shared" si="4"/>
        <v>5.5309707563809801E-4</v>
      </c>
      <c r="G115" s="73">
        <f ca="1">VLOOKUP(B115+1,Bloomberg!B:C,2,0)</f>
        <v>4724.8999999999996</v>
      </c>
      <c r="H115" s="33">
        <f>VLOOKUP(B115,'Media Effect'!M:N,2,0)</f>
        <v>2.4413028764475298E-3</v>
      </c>
      <c r="J115" s="1">
        <v>41333</v>
      </c>
      <c r="K115" s="33">
        <v>0</v>
      </c>
      <c r="M115" s="1">
        <v>41333</v>
      </c>
      <c r="N115" s="33">
        <v>5.5309707563809801E-4</v>
      </c>
      <c r="P115" s="1">
        <v>41333</v>
      </c>
      <c r="Q115" s="33">
        <v>5.5309707563809801E-4</v>
      </c>
    </row>
    <row r="116" spans="2:17">
      <c r="B116" s="1">
        <v>41340</v>
      </c>
      <c r="C116" s="33">
        <v>0.731898053840778</v>
      </c>
      <c r="D116" s="33">
        <f t="shared" si="3"/>
        <v>7.7337146184788103E-4</v>
      </c>
      <c r="E116" s="33">
        <f t="shared" si="5"/>
        <v>1.3889243411140601E-3</v>
      </c>
      <c r="F116" s="33">
        <f t="shared" si="4"/>
        <v>7.62863846133132E-4</v>
      </c>
      <c r="G116" s="73">
        <f ca="1">VLOOKUP(B116+1,Bloomberg!B:C,2,0)</f>
        <v>4485.2</v>
      </c>
      <c r="H116" s="33">
        <f>VLOOKUP(B116,'Media Effect'!M:N,2,0)</f>
        <v>2.7765010532729102E-3</v>
      </c>
      <c r="J116" s="1">
        <v>41340</v>
      </c>
      <c r="K116" s="33">
        <v>7.7337146184788103E-4</v>
      </c>
      <c r="M116" s="1">
        <v>41340</v>
      </c>
      <c r="N116" s="33">
        <v>1.3889243411140601E-3</v>
      </c>
      <c r="P116" s="1">
        <v>41340</v>
      </c>
      <c r="Q116" s="33">
        <v>7.62863846133132E-4</v>
      </c>
    </row>
    <row r="117" spans="2:17">
      <c r="B117" s="1">
        <v>41347</v>
      </c>
      <c r="C117" s="33">
        <v>0.69793386100167498</v>
      </c>
      <c r="D117" s="33">
        <f t="shared" si="3"/>
        <v>0</v>
      </c>
      <c r="E117" s="33">
        <f t="shared" si="5"/>
        <v>0</v>
      </c>
      <c r="F117" s="33">
        <f t="shared" si="4"/>
        <v>0</v>
      </c>
      <c r="G117" s="73">
        <f ca="1">VLOOKUP(B117+1,Bloomberg!B:C,2,0)</f>
        <v>4111.3</v>
      </c>
      <c r="H117" s="33">
        <f>VLOOKUP(B117,'Media Effect'!M:N,2,0)</f>
        <v>1.16383571386427E-3</v>
      </c>
      <c r="J117" s="1">
        <v>41347</v>
      </c>
      <c r="K117" s="33">
        <v>0</v>
      </c>
      <c r="M117" s="1">
        <v>41347</v>
      </c>
      <c r="N117" s="33">
        <v>0</v>
      </c>
      <c r="P117" s="1">
        <v>41347</v>
      </c>
      <c r="Q117" s="33">
        <v>0</v>
      </c>
    </row>
    <row r="118" spans="2:17">
      <c r="B118" s="1">
        <v>41354</v>
      </c>
      <c r="C118" s="33">
        <v>0.72870485724391698</v>
      </c>
      <c r="D118" s="33">
        <f t="shared" si="3"/>
        <v>0</v>
      </c>
      <c r="E118" s="33">
        <f t="shared" si="5"/>
        <v>0</v>
      </c>
      <c r="F118" s="33">
        <f t="shared" si="4"/>
        <v>0</v>
      </c>
      <c r="G118" s="73">
        <f ca="1">VLOOKUP(B118+1,Bloomberg!B:C,2,0)</f>
        <v>4412.8999999999996</v>
      </c>
      <c r="H118" s="33">
        <f>VLOOKUP(B118,'Media Effect'!M:N,2,0)</f>
        <v>2.2270412887641501E-3</v>
      </c>
      <c r="J118" s="1">
        <v>41354</v>
      </c>
      <c r="K118" s="33">
        <v>0</v>
      </c>
      <c r="M118" s="1">
        <v>41354</v>
      </c>
      <c r="N118" s="33">
        <v>0</v>
      </c>
      <c r="P118" s="1">
        <v>41354</v>
      </c>
      <c r="Q118" s="33">
        <v>0</v>
      </c>
    </row>
    <row r="119" spans="2:17">
      <c r="B119" s="1">
        <v>41361</v>
      </c>
      <c r="C119" s="33">
        <v>0.712062870316722</v>
      </c>
      <c r="D119" s="33">
        <f t="shared" si="3"/>
        <v>0</v>
      </c>
      <c r="E119" s="33">
        <f t="shared" si="5"/>
        <v>0</v>
      </c>
      <c r="F119" s="33">
        <f t="shared" si="4"/>
        <v>0</v>
      </c>
      <c r="G119" s="73">
        <f ca="1">VLOOKUP(B119+1,Bloomberg!B:C,2,0)</f>
        <v>4119.2</v>
      </c>
      <c r="H119" s="33">
        <f>VLOOKUP(B119,'Media Effect'!M:N,2,0)</f>
        <v>1.5814373541439301E-3</v>
      </c>
      <c r="J119" s="1">
        <v>41361</v>
      </c>
      <c r="K119" s="33">
        <v>0</v>
      </c>
      <c r="M119" s="1">
        <v>41361</v>
      </c>
      <c r="N119" s="33">
        <v>0</v>
      </c>
      <c r="P119" s="1">
        <v>41361</v>
      </c>
      <c r="Q119" s="33">
        <v>0</v>
      </c>
    </row>
    <row r="120" spans="2:17">
      <c r="B120" s="1">
        <v>41368</v>
      </c>
      <c r="C120" s="33">
        <v>0.71361316522728502</v>
      </c>
      <c r="D120" s="33">
        <f t="shared" si="3"/>
        <v>0</v>
      </c>
      <c r="E120" s="33">
        <f t="shared" si="5"/>
        <v>1.1149654486757E-3</v>
      </c>
      <c r="F120" s="33">
        <f t="shared" si="4"/>
        <v>0</v>
      </c>
      <c r="G120" s="73">
        <f ca="1">VLOOKUP(B120+1,Bloomberg!B:C,2,0)</f>
        <v>4528.8999999999996</v>
      </c>
      <c r="H120" s="33">
        <f>VLOOKUP(B120,'Media Effect'!M:N,2,0)</f>
        <v>2.9231505873714399E-3</v>
      </c>
      <c r="J120" s="1">
        <v>41368</v>
      </c>
      <c r="K120" s="33">
        <v>0</v>
      </c>
      <c r="M120" s="1">
        <v>41368</v>
      </c>
      <c r="N120" s="33">
        <v>1.1149654486757E-3</v>
      </c>
      <c r="P120" s="1">
        <v>41368</v>
      </c>
      <c r="Q120" s="33">
        <v>0</v>
      </c>
    </row>
    <row r="121" spans="2:17">
      <c r="B121" s="1">
        <v>41375</v>
      </c>
      <c r="C121" s="33">
        <v>0.73719138808657003</v>
      </c>
      <c r="D121" s="33">
        <f t="shared" si="3"/>
        <v>2.5730099171772701E-3</v>
      </c>
      <c r="E121" s="33">
        <f t="shared" si="5"/>
        <v>0</v>
      </c>
      <c r="F121" s="33">
        <f t="shared" si="4"/>
        <v>3.9681299102296798E-3</v>
      </c>
      <c r="G121" s="73">
        <f ca="1">VLOOKUP(B121+1,Bloomberg!B:C,2,0)</f>
        <v>4726.8999999999996</v>
      </c>
      <c r="H121" s="33">
        <f>VLOOKUP(B121,'Media Effect'!M:N,2,0)</f>
        <v>6.9694981086310098E-3</v>
      </c>
      <c r="J121" s="1">
        <v>41375</v>
      </c>
      <c r="K121" s="33">
        <v>2.5730099171772701E-3</v>
      </c>
      <c r="M121" s="1">
        <v>41375</v>
      </c>
      <c r="N121" s="33">
        <v>0</v>
      </c>
      <c r="P121" s="1">
        <v>41375</v>
      </c>
      <c r="Q121" s="33">
        <v>3.9681299102296798E-3</v>
      </c>
    </row>
    <row r="122" spans="2:17">
      <c r="B122" s="1">
        <v>41382</v>
      </c>
      <c r="C122" s="33">
        <v>0.76108985756873504</v>
      </c>
      <c r="D122" s="33">
        <f t="shared" si="3"/>
        <v>3.57006848204049E-3</v>
      </c>
      <c r="E122" s="33">
        <f t="shared" si="5"/>
        <v>5.4959854023419203E-3</v>
      </c>
      <c r="F122" s="33">
        <f t="shared" si="4"/>
        <v>5.4959854023419203E-3</v>
      </c>
      <c r="G122" s="73">
        <f ca="1">VLOOKUP(B122+1,Bloomberg!B:C,2,0)</f>
        <v>4672.1000000000004</v>
      </c>
      <c r="H122" s="33">
        <f>VLOOKUP(B122,'Media Effect'!M:N,2,0)</f>
        <v>1.3563295142313201E-2</v>
      </c>
      <c r="J122" s="1">
        <v>41382</v>
      </c>
      <c r="K122" s="33">
        <v>3.57006848204049E-3</v>
      </c>
      <c r="M122" s="1">
        <v>41382</v>
      </c>
      <c r="N122" s="33">
        <v>5.4959854023419203E-3</v>
      </c>
      <c r="P122" s="1">
        <v>41382</v>
      </c>
      <c r="Q122" s="33">
        <v>5.4959854023419203E-3</v>
      </c>
    </row>
    <row r="123" spans="2:17">
      <c r="B123" s="1">
        <v>41389</v>
      </c>
      <c r="C123" s="33">
        <v>0.759939269856726</v>
      </c>
      <c r="D123" s="33">
        <f t="shared" si="3"/>
        <v>3.5532692281309802E-3</v>
      </c>
      <c r="E123" s="33">
        <f t="shared" si="5"/>
        <v>0</v>
      </c>
      <c r="F123" s="33">
        <f t="shared" si="4"/>
        <v>0</v>
      </c>
      <c r="G123" s="73">
        <f ca="1">VLOOKUP(B123+1,Bloomberg!B:C,2,0)</f>
        <v>4854.1000000000004</v>
      </c>
      <c r="H123" s="33">
        <f>VLOOKUP(B123,'Media Effect'!M:N,2,0)</f>
        <v>9.5307583692172005E-3</v>
      </c>
      <c r="J123" s="1">
        <v>41389</v>
      </c>
      <c r="K123" s="33">
        <v>3.5532692281309802E-3</v>
      </c>
      <c r="M123" s="1">
        <v>41389</v>
      </c>
      <c r="N123" s="33">
        <v>0</v>
      </c>
      <c r="P123" s="1">
        <v>41389</v>
      </c>
      <c r="Q123" s="33">
        <v>0</v>
      </c>
    </row>
    <row r="124" spans="2:17">
      <c r="B124" s="1">
        <v>41396</v>
      </c>
      <c r="C124" s="33">
        <v>0.77520531199879605</v>
      </c>
      <c r="D124" s="33">
        <f t="shared" si="3"/>
        <v>9.50085237780658E-3</v>
      </c>
      <c r="E124" s="33">
        <f t="shared" si="5"/>
        <v>1.2545576309289701E-2</v>
      </c>
      <c r="F124" s="33">
        <f t="shared" si="4"/>
        <v>9.3714860500272602E-3</v>
      </c>
      <c r="G124" s="73">
        <f ca="1">VLOOKUP(B124+1,Bloomberg!B:C,2,0)</f>
        <v>5279.9</v>
      </c>
      <c r="H124" s="33">
        <f>VLOOKUP(B124,'Media Effect'!M:N,2,0)</f>
        <v>0.77278468829226099</v>
      </c>
      <c r="J124" s="1">
        <v>41396</v>
      </c>
      <c r="K124" s="33">
        <v>9.50085237780658E-3</v>
      </c>
      <c r="M124" s="1">
        <v>41396</v>
      </c>
      <c r="N124" s="33">
        <v>1.2545576309289701E-2</v>
      </c>
      <c r="P124" s="1">
        <v>41396</v>
      </c>
      <c r="Q124" s="33">
        <v>9.3714860500272602E-3</v>
      </c>
    </row>
    <row r="125" spans="2:17">
      <c r="B125" s="1">
        <v>41403</v>
      </c>
      <c r="C125" s="33">
        <v>0.75094523370436095</v>
      </c>
      <c r="D125" s="33">
        <f t="shared" si="3"/>
        <v>0</v>
      </c>
      <c r="E125" s="33">
        <f t="shared" si="5"/>
        <v>0</v>
      </c>
      <c r="F125" s="33">
        <f t="shared" si="4"/>
        <v>0</v>
      </c>
      <c r="G125" s="73">
        <f ca="1">VLOOKUP(B125+1,Bloomberg!B:C,2,0)</f>
        <v>4797.2</v>
      </c>
      <c r="H125" s="33">
        <f>VLOOKUP(B125,'Media Effect'!M:N,2,0)</f>
        <v>1.43811701784358E-2</v>
      </c>
      <c r="J125" s="1">
        <v>41403</v>
      </c>
      <c r="K125" s="33">
        <v>0</v>
      </c>
      <c r="M125" s="1">
        <v>41403</v>
      </c>
      <c r="N125" s="33">
        <v>0</v>
      </c>
      <c r="P125" s="1">
        <v>41403</v>
      </c>
      <c r="Q125" s="33">
        <v>0</v>
      </c>
    </row>
    <row r="126" spans="2:17">
      <c r="B126" s="1">
        <v>41410</v>
      </c>
      <c r="C126" s="33">
        <v>0.72159050384319001</v>
      </c>
      <c r="D126" s="33">
        <f t="shared" si="3"/>
        <v>0</v>
      </c>
      <c r="E126" s="33">
        <f t="shared" si="5"/>
        <v>0</v>
      </c>
      <c r="F126" s="33">
        <f t="shared" si="4"/>
        <v>0</v>
      </c>
      <c r="G126" s="73">
        <f ca="1">VLOOKUP(B126+1,Bloomberg!B:C,2,0)</f>
        <v>4241.5</v>
      </c>
      <c r="H126" s="33">
        <f>VLOOKUP(B126,'Media Effect'!M:N,2,0)</f>
        <v>8.3805961025081796E-3</v>
      </c>
      <c r="J126" s="1">
        <v>41410</v>
      </c>
      <c r="K126" s="33">
        <v>0</v>
      </c>
      <c r="M126" s="1">
        <v>41410</v>
      </c>
      <c r="N126" s="33">
        <v>0</v>
      </c>
      <c r="P126" s="1">
        <v>41410</v>
      </c>
      <c r="Q126" s="33">
        <v>0</v>
      </c>
    </row>
    <row r="127" spans="2:17">
      <c r="B127" s="1">
        <v>41417</v>
      </c>
      <c r="C127" s="33">
        <v>0.68530860108825797</v>
      </c>
      <c r="D127" s="33">
        <f t="shared" si="3"/>
        <v>0</v>
      </c>
      <c r="E127" s="33">
        <f t="shared" si="5"/>
        <v>0</v>
      </c>
      <c r="F127" s="33">
        <f t="shared" si="4"/>
        <v>0</v>
      </c>
      <c r="G127" s="73">
        <f ca="1">VLOOKUP(B127+1,Bloomberg!B:C,2,0)</f>
        <v>3709.4</v>
      </c>
      <c r="H127" s="33">
        <f>VLOOKUP(B127,'Media Effect'!M:N,2,0)</f>
        <v>3.24861882666854E-3</v>
      </c>
      <c r="J127" s="1">
        <v>41417</v>
      </c>
      <c r="K127" s="33">
        <v>0</v>
      </c>
      <c r="M127" s="1">
        <v>41417</v>
      </c>
      <c r="N127" s="33">
        <v>0</v>
      </c>
      <c r="P127" s="1">
        <v>41417</v>
      </c>
      <c r="Q127" s="33">
        <v>0</v>
      </c>
    </row>
    <row r="128" spans="2:17">
      <c r="B128" s="1">
        <v>41424</v>
      </c>
      <c r="C128" s="33">
        <v>0.61546645850988302</v>
      </c>
      <c r="D128" s="33">
        <f t="shared" si="3"/>
        <v>0</v>
      </c>
      <c r="E128" s="33">
        <f t="shared" si="5"/>
        <v>0</v>
      </c>
      <c r="F128" s="33">
        <f t="shared" si="4"/>
        <v>0</v>
      </c>
      <c r="G128" s="73">
        <f ca="1">VLOOKUP(B128+1,Bloomberg!B:C,2,0)</f>
        <v>3163.6</v>
      </c>
      <c r="H128" s="33">
        <f>VLOOKUP(B128,'Media Effect'!M:N,2,0)</f>
        <v>7.23006593961598E-4</v>
      </c>
      <c r="J128" s="1">
        <v>41424</v>
      </c>
      <c r="K128" s="33">
        <v>0</v>
      </c>
      <c r="M128" s="1">
        <v>41424</v>
      </c>
      <c r="N128" s="33">
        <v>0</v>
      </c>
      <c r="P128" s="1">
        <v>41424</v>
      </c>
      <c r="Q128" s="33">
        <v>0</v>
      </c>
    </row>
    <row r="129" spans="2:26">
      <c r="B129" s="1">
        <v>41431</v>
      </c>
      <c r="C129" s="33">
        <v>0.57861777554698002</v>
      </c>
      <c r="D129" s="33">
        <f t="shared" si="3"/>
        <v>0</v>
      </c>
      <c r="E129" s="33">
        <f t="shared" si="5"/>
        <v>1.3741005505266799E-4</v>
      </c>
      <c r="F129" s="33">
        <f t="shared" si="4"/>
        <v>0</v>
      </c>
      <c r="G129" s="73">
        <f ca="1">VLOOKUP(B129+1,Bloomberg!B:C,2,0)</f>
        <v>3339.8</v>
      </c>
      <c r="H129" s="33">
        <f>VLOOKUP(B129,'Media Effect'!M:N,2,0)</f>
        <v>5.1111206075067303E-4</v>
      </c>
      <c r="J129" s="1">
        <v>41431</v>
      </c>
      <c r="K129" s="33">
        <v>0</v>
      </c>
      <c r="M129" s="1">
        <v>41431</v>
      </c>
      <c r="N129" s="33">
        <v>1.3741005505266799E-4</v>
      </c>
      <c r="P129" s="1">
        <v>41431</v>
      </c>
      <c r="Q129" s="33">
        <v>0</v>
      </c>
    </row>
    <row r="130" spans="2:26">
      <c r="B130" s="1">
        <v>41438</v>
      </c>
      <c r="C130" s="33">
        <v>0.55842108987699401</v>
      </c>
      <c r="D130" s="33">
        <f t="shared" si="3"/>
        <v>0</v>
      </c>
      <c r="E130" s="33">
        <f t="shared" si="5"/>
        <v>0</v>
      </c>
      <c r="F130" s="33">
        <f t="shared" si="4"/>
        <v>0</v>
      </c>
      <c r="G130" s="73">
        <f ca="1">VLOOKUP(B130+1,Bloomberg!B:C,2,0)</f>
        <v>3214.4</v>
      </c>
      <c r="H130" s="33">
        <f>VLOOKUP(B130,'Media Effect'!M:N,2,0)</f>
        <v>4.4853144090145001E-4</v>
      </c>
      <c r="J130" s="1">
        <v>41438</v>
      </c>
      <c r="K130" s="33">
        <v>0</v>
      </c>
      <c r="M130" s="1">
        <v>41438</v>
      </c>
      <c r="N130" s="33">
        <v>0</v>
      </c>
      <c r="P130" s="1">
        <v>41438</v>
      </c>
      <c r="Q130" s="33">
        <v>0</v>
      </c>
    </row>
    <row r="131" spans="2:26">
      <c r="B131" s="1">
        <v>41445</v>
      </c>
      <c r="C131" s="33">
        <v>0.55919632116239604</v>
      </c>
      <c r="D131" s="33">
        <f t="shared" ref="D131:D194" si="6">VLOOKUP(B131,J:K,2,0)</f>
        <v>0</v>
      </c>
      <c r="E131" s="33">
        <f t="shared" si="5"/>
        <v>0</v>
      </c>
      <c r="F131" s="33">
        <f t="shared" ref="F131:F194" si="7">VLOOKUP(B131,P:Q,2,0)</f>
        <v>0</v>
      </c>
      <c r="G131" s="73">
        <f ca="1">VLOOKUP(B131+1,Bloomberg!B:C,2,0)</f>
        <v>3040.1</v>
      </c>
      <c r="H131" s="33">
        <f>VLOOKUP(B131,'Media Effect'!M:N,2,0)</f>
        <v>4.5721700980804099E-4</v>
      </c>
      <c r="J131" s="1">
        <v>41445</v>
      </c>
      <c r="K131" s="33">
        <v>0</v>
      </c>
      <c r="M131" s="1">
        <v>41445</v>
      </c>
      <c r="N131" s="33">
        <v>0</v>
      </c>
      <c r="P131" s="1">
        <v>41445</v>
      </c>
      <c r="Q131" s="33">
        <v>0</v>
      </c>
    </row>
    <row r="132" spans="2:26">
      <c r="B132" s="1">
        <v>41452</v>
      </c>
      <c r="C132" s="33">
        <v>0.35042164075900101</v>
      </c>
      <c r="D132" s="33">
        <f t="shared" si="6"/>
        <v>0</v>
      </c>
      <c r="E132" s="33">
        <f t="shared" ref="E132:E195" si="8">VLOOKUP(B132,M:N,2,0)</f>
        <v>0</v>
      </c>
      <c r="F132" s="33">
        <f t="shared" si="7"/>
        <v>0</v>
      </c>
      <c r="G132" s="73">
        <f ca="1">VLOOKUP(B132+1,Bloomberg!B:C,2,0)</f>
        <v>2573.4</v>
      </c>
      <c r="H132" s="33">
        <f>VLOOKUP(B132,'Media Effect'!M:N,2,0)</f>
        <v>1.18085120456235E-4</v>
      </c>
      <c r="J132" s="1">
        <v>41452</v>
      </c>
      <c r="K132" s="33">
        <v>0</v>
      </c>
      <c r="M132" s="1">
        <v>41452</v>
      </c>
      <c r="N132" s="33">
        <v>0</v>
      </c>
      <c r="P132" s="1">
        <v>41452</v>
      </c>
      <c r="Q132" s="33">
        <v>0</v>
      </c>
    </row>
    <row r="133" spans="2:26">
      <c r="B133" s="1">
        <v>41458</v>
      </c>
      <c r="C133" s="33">
        <v>0.439218479739446</v>
      </c>
      <c r="D133" s="33">
        <f t="shared" si="6"/>
        <v>0</v>
      </c>
      <c r="E133" s="33">
        <f t="shared" si="8"/>
        <v>7.5561381251634101E-6</v>
      </c>
      <c r="F133" s="33">
        <f t="shared" si="7"/>
        <v>0</v>
      </c>
      <c r="G133" s="73" t="e">
        <f ca="1">VLOOKUP(B133+1,Bloomberg!B:C,2,0)</f>
        <v>#N/A</v>
      </c>
      <c r="H133" s="33">
        <f>VLOOKUP(B133,'Media Effect'!M:N,2,0)</f>
        <v>2.0890509018574801E-4</v>
      </c>
      <c r="J133" s="1">
        <v>41458</v>
      </c>
      <c r="K133" s="33">
        <v>0</v>
      </c>
      <c r="M133" s="1">
        <v>41458</v>
      </c>
      <c r="N133" s="33">
        <v>7.5561381251634101E-6</v>
      </c>
      <c r="P133" s="1">
        <v>41458</v>
      </c>
      <c r="Q133" s="33">
        <v>0</v>
      </c>
    </row>
    <row r="134" spans="2:26">
      <c r="B134" s="1">
        <v>41466</v>
      </c>
      <c r="C134" s="33">
        <v>0.32003461094412999</v>
      </c>
      <c r="D134" s="33">
        <f t="shared" si="6"/>
        <v>0</v>
      </c>
      <c r="E134" s="33">
        <f t="shared" si="8"/>
        <v>0</v>
      </c>
      <c r="F134" s="33">
        <f t="shared" si="7"/>
        <v>0</v>
      </c>
      <c r="G134" s="73">
        <f ca="1">VLOOKUP(B134+1,Bloomberg!B:C,2,0)</f>
        <v>2242.1999999999998</v>
      </c>
      <c r="H134" s="33">
        <f>VLOOKUP(B134,'Media Effect'!M:N,2,0)</f>
        <v>6.2349917608853304E-5</v>
      </c>
      <c r="J134" s="1">
        <v>41466</v>
      </c>
      <c r="K134" s="33">
        <v>0</v>
      </c>
      <c r="M134" s="1">
        <v>41466</v>
      </c>
      <c r="N134" s="33">
        <v>0</v>
      </c>
      <c r="P134" s="1">
        <v>41466</v>
      </c>
      <c r="Q134" s="33">
        <v>0</v>
      </c>
    </row>
    <row r="135" spans="2:26">
      <c r="B135" s="1">
        <v>41473</v>
      </c>
      <c r="C135" s="33">
        <v>0.407195502334876</v>
      </c>
      <c r="D135" s="33">
        <f t="shared" si="6"/>
        <v>0</v>
      </c>
      <c r="E135" s="33">
        <f t="shared" si="8"/>
        <v>0</v>
      </c>
      <c r="F135" s="33">
        <f t="shared" si="7"/>
        <v>0</v>
      </c>
      <c r="G135" s="73">
        <f ca="1">VLOOKUP(B135+1,Bloomberg!B:C,2,0)</f>
        <v>2288</v>
      </c>
      <c r="H135" s="33">
        <f>VLOOKUP(B135,'Media Effect'!M:N,2,0)</f>
        <v>7.7260015377096707E-5</v>
      </c>
      <c r="J135" s="1">
        <v>41473</v>
      </c>
      <c r="K135" s="33">
        <v>0</v>
      </c>
      <c r="M135" s="1">
        <v>41473</v>
      </c>
      <c r="N135" s="33">
        <v>0</v>
      </c>
      <c r="P135" s="1">
        <v>41473</v>
      </c>
      <c r="Q135" s="33">
        <v>0</v>
      </c>
    </row>
    <row r="136" spans="2:26">
      <c r="B136" s="1">
        <v>41480</v>
      </c>
      <c r="C136" s="33">
        <v>0.40895553727695599</v>
      </c>
      <c r="D136" s="33">
        <f t="shared" si="6"/>
        <v>0</v>
      </c>
      <c r="E136" s="33">
        <f t="shared" si="8"/>
        <v>0</v>
      </c>
      <c r="F136" s="33">
        <f t="shared" si="7"/>
        <v>0</v>
      </c>
      <c r="G136" s="73">
        <f ca="1">VLOOKUP(B136+1,Bloomberg!B:C,2,0)</f>
        <v>2218.3000000000002</v>
      </c>
      <c r="H136" s="33">
        <f>VLOOKUP(B136,'Media Effect'!M:N,2,0)</f>
        <v>7.7705125163761099E-5</v>
      </c>
      <c r="J136" s="1">
        <v>41480</v>
      </c>
      <c r="K136" s="33">
        <v>0</v>
      </c>
      <c r="M136" s="1">
        <v>41480</v>
      </c>
      <c r="N136" s="33">
        <v>0</v>
      </c>
      <c r="P136" s="1">
        <v>41480</v>
      </c>
      <c r="Q136" s="33">
        <v>0</v>
      </c>
      <c r="Z136" s="1">
        <v>41458</v>
      </c>
    </row>
    <row r="137" spans="2:26">
      <c r="B137" s="1">
        <v>41487</v>
      </c>
      <c r="C137" s="33">
        <v>0.36357930006355599</v>
      </c>
      <c r="D137" s="33">
        <f t="shared" si="6"/>
        <v>0</v>
      </c>
      <c r="E137" s="33">
        <f t="shared" si="8"/>
        <v>0</v>
      </c>
      <c r="F137" s="33">
        <f t="shared" si="7"/>
        <v>0</v>
      </c>
      <c r="G137" s="73">
        <f ca="1">VLOOKUP(B137+1,Bloomberg!B:C,2,0)</f>
        <v>2228.9</v>
      </c>
      <c r="H137" s="33">
        <f>VLOOKUP(B137,'Media Effect'!M:N,2,0)</f>
        <v>1.2656752123026201E-4</v>
      </c>
      <c r="J137" s="1">
        <v>41487</v>
      </c>
      <c r="K137" s="33">
        <v>0</v>
      </c>
      <c r="M137" s="1">
        <v>41487</v>
      </c>
      <c r="N137" s="33">
        <v>0</v>
      </c>
      <c r="P137" s="1">
        <v>41487</v>
      </c>
      <c r="Q137" s="33">
        <v>0</v>
      </c>
      <c r="Z137" s="1">
        <f>Z136-7</f>
        <v>41451</v>
      </c>
    </row>
    <row r="138" spans="2:26">
      <c r="B138" s="1">
        <v>41494</v>
      </c>
      <c r="C138" s="33">
        <v>0.36292296585782302</v>
      </c>
      <c r="D138" s="33">
        <f t="shared" si="6"/>
        <v>0</v>
      </c>
      <c r="E138" s="33">
        <f t="shared" si="8"/>
        <v>0</v>
      </c>
      <c r="F138" s="33">
        <f t="shared" si="7"/>
        <v>0</v>
      </c>
      <c r="G138" s="73">
        <f ca="1">VLOOKUP(B138+1,Bloomberg!B:C,2,0)</f>
        <v>2110.6</v>
      </c>
      <c r="H138" s="33">
        <f>VLOOKUP(B138,'Media Effect'!M:N,2,0)</f>
        <v>1.8981164598661E-4</v>
      </c>
      <c r="J138" s="1">
        <v>41494</v>
      </c>
      <c r="K138" s="33">
        <v>0</v>
      </c>
      <c r="M138" s="1">
        <v>41494</v>
      </c>
      <c r="N138" s="33">
        <v>0</v>
      </c>
      <c r="P138" s="1">
        <v>41494</v>
      </c>
      <c r="Q138" s="33">
        <v>0</v>
      </c>
    </row>
    <row r="139" spans="2:26">
      <c r="B139" s="1">
        <v>41501</v>
      </c>
      <c r="C139" s="33">
        <v>0.36292296585782302</v>
      </c>
      <c r="D139" s="33">
        <f t="shared" si="6"/>
        <v>0</v>
      </c>
      <c r="E139" s="33">
        <f t="shared" si="8"/>
        <v>0</v>
      </c>
      <c r="F139" s="33">
        <f t="shared" si="7"/>
        <v>0</v>
      </c>
      <c r="G139" s="73">
        <f ca="1">VLOOKUP(B139+1,Bloomberg!B:C,2,0)</f>
        <v>1935.1</v>
      </c>
      <c r="H139" s="33">
        <f>VLOOKUP(B139,'Media Effect'!M:N,2,0)</f>
        <v>1.09727944241163E-4</v>
      </c>
      <c r="J139" s="1">
        <v>41501</v>
      </c>
      <c r="K139" s="33">
        <v>0</v>
      </c>
      <c r="M139" s="1">
        <v>41501</v>
      </c>
      <c r="N139" s="33">
        <v>0</v>
      </c>
      <c r="P139" s="1">
        <v>41501</v>
      </c>
      <c r="Q139" s="33">
        <v>0</v>
      </c>
    </row>
    <row r="140" spans="2:26">
      <c r="B140" s="1">
        <v>41508</v>
      </c>
      <c r="C140" s="33">
        <v>0.28848466841060699</v>
      </c>
      <c r="D140" s="33">
        <f t="shared" si="6"/>
        <v>0</v>
      </c>
      <c r="E140" s="33">
        <f t="shared" si="8"/>
        <v>0</v>
      </c>
      <c r="F140" s="33">
        <f t="shared" si="7"/>
        <v>0</v>
      </c>
      <c r="G140" s="73">
        <f ca="1">VLOOKUP(B140+1,Bloomberg!B:C,2,0)</f>
        <v>1842.6</v>
      </c>
      <c r="H140" s="33">
        <f>VLOOKUP(B140,'Media Effect'!M:N,2,0)</f>
        <v>5.14127448459894E-5</v>
      </c>
      <c r="J140" s="1">
        <v>41508</v>
      </c>
      <c r="K140" s="33">
        <v>0</v>
      </c>
      <c r="M140" s="1">
        <v>41508</v>
      </c>
      <c r="N140" s="33">
        <v>0</v>
      </c>
      <c r="P140" s="1">
        <v>41508</v>
      </c>
      <c r="Q140" s="33">
        <v>0</v>
      </c>
    </row>
    <row r="141" spans="2:26">
      <c r="B141" s="1">
        <v>41515</v>
      </c>
      <c r="C141" s="33">
        <v>0.32738957382411199</v>
      </c>
      <c r="D141" s="33">
        <f t="shared" si="6"/>
        <v>0</v>
      </c>
      <c r="E141" s="33">
        <f t="shared" si="8"/>
        <v>0</v>
      </c>
      <c r="F141" s="33">
        <f t="shared" si="7"/>
        <v>0</v>
      </c>
      <c r="G141" s="73">
        <f ca="1">VLOOKUP(B141+1,Bloomberg!B:C,2,0)</f>
        <v>1909</v>
      </c>
      <c r="H141" s="33">
        <f>VLOOKUP(B141,'Media Effect'!M:N,2,0)</f>
        <v>7.0808320685095995E-5</v>
      </c>
      <c r="J141" s="1">
        <v>41515</v>
      </c>
      <c r="K141" s="33">
        <v>0</v>
      </c>
      <c r="M141" s="1">
        <v>41515</v>
      </c>
      <c r="N141" s="33">
        <v>0</v>
      </c>
      <c r="P141" s="1">
        <v>41515</v>
      </c>
      <c r="Q141" s="33">
        <v>0</v>
      </c>
    </row>
    <row r="142" spans="2:26">
      <c r="B142" s="1">
        <v>41522</v>
      </c>
      <c r="C142" s="33">
        <v>0.29894428975906101</v>
      </c>
      <c r="D142" s="33">
        <f t="shared" si="6"/>
        <v>0</v>
      </c>
      <c r="E142" s="33">
        <f t="shared" si="8"/>
        <v>8.6747880274201799E-5</v>
      </c>
      <c r="F142" s="33">
        <f t="shared" si="7"/>
        <v>0</v>
      </c>
      <c r="G142" s="73">
        <f ca="1">VLOOKUP(B142+1,Bloomberg!B:C,2,0)</f>
        <v>1512.9</v>
      </c>
      <c r="H142" s="33">
        <f>VLOOKUP(B142,'Media Effect'!M:N,2,0)</f>
        <v>1.38137801233605E-4</v>
      </c>
      <c r="J142" s="1">
        <v>41522</v>
      </c>
      <c r="K142" s="33">
        <v>0</v>
      </c>
      <c r="M142" s="1">
        <v>41522</v>
      </c>
      <c r="N142" s="33">
        <v>8.6747880274201799E-5</v>
      </c>
      <c r="P142" s="1">
        <v>41522</v>
      </c>
      <c r="Q142" s="33">
        <v>0</v>
      </c>
    </row>
    <row r="143" spans="2:26">
      <c r="B143" s="1">
        <v>41529</v>
      </c>
      <c r="C143" s="33">
        <v>0.28251411119681702</v>
      </c>
      <c r="D143" s="33">
        <f t="shared" si="6"/>
        <v>0</v>
      </c>
      <c r="E143" s="33">
        <f t="shared" si="8"/>
        <v>0</v>
      </c>
      <c r="F143" s="33">
        <f t="shared" si="7"/>
        <v>0</v>
      </c>
      <c r="G143" s="73">
        <f ca="1">VLOOKUP(B143+1,Bloomberg!B:C,2,0)</f>
        <v>1814</v>
      </c>
      <c r="H143" s="33">
        <f>VLOOKUP(B143,'Media Effect'!M:N,2,0)</f>
        <v>1.28166724373324E-4</v>
      </c>
      <c r="J143" s="1">
        <v>41529</v>
      </c>
      <c r="K143" s="33">
        <v>0</v>
      </c>
      <c r="M143" s="1">
        <v>41529</v>
      </c>
      <c r="N143" s="33">
        <v>0</v>
      </c>
      <c r="P143" s="1">
        <v>41529</v>
      </c>
      <c r="Q143" s="33">
        <v>0</v>
      </c>
    </row>
    <row r="144" spans="2:26">
      <c r="B144" s="1">
        <v>41536</v>
      </c>
      <c r="C144" s="33">
        <v>0.32091811677951898</v>
      </c>
      <c r="D144" s="33">
        <f t="shared" si="6"/>
        <v>0</v>
      </c>
      <c r="E144" s="33">
        <f t="shared" si="8"/>
        <v>1.2070812662829E-4</v>
      </c>
      <c r="F144" s="33">
        <f t="shared" si="7"/>
        <v>1.2070812662829E-4</v>
      </c>
      <c r="G144" s="73">
        <f ca="1">VLOOKUP(B144+1,Bloomberg!B:C,2,0)</f>
        <v>1922.9</v>
      </c>
      <c r="H144" s="33">
        <f>VLOOKUP(B144,'Media Effect'!M:N,2,0)</f>
        <v>2.8613116476948101E-4</v>
      </c>
      <c r="J144" s="1">
        <v>41536</v>
      </c>
      <c r="K144" s="33">
        <v>0</v>
      </c>
      <c r="M144" s="1">
        <v>41536</v>
      </c>
      <c r="N144" s="33">
        <v>1.2070812662829E-4</v>
      </c>
      <c r="P144" s="1">
        <v>41536</v>
      </c>
      <c r="Q144" s="33">
        <v>1.2070812662829E-4</v>
      </c>
    </row>
    <row r="145" spans="2:17">
      <c r="B145" s="1">
        <v>41543</v>
      </c>
      <c r="C145" s="33">
        <v>0.41607421536967498</v>
      </c>
      <c r="D145" s="33">
        <f t="shared" si="6"/>
        <v>4.0264694999978001E-4</v>
      </c>
      <c r="E145" s="33">
        <f t="shared" si="8"/>
        <v>8.9334697556313401E-4</v>
      </c>
      <c r="F145" s="33">
        <f t="shared" si="7"/>
        <v>8.9334697556313401E-4</v>
      </c>
      <c r="G145" s="73">
        <f ca="1">VLOOKUP(B145+1,Bloomberg!B:C,2,0)</f>
        <v>1956.6</v>
      </c>
      <c r="H145" s="33">
        <f>VLOOKUP(B145,'Media Effect'!M:N,2,0)</f>
        <v>1.1254799612103201E-3</v>
      </c>
      <c r="J145" s="1">
        <v>41543</v>
      </c>
      <c r="K145" s="33">
        <v>4.0264694999978001E-4</v>
      </c>
      <c r="M145" s="1">
        <v>41543</v>
      </c>
      <c r="N145" s="33">
        <v>8.9334697556313401E-4</v>
      </c>
      <c r="P145" s="1">
        <v>41543</v>
      </c>
      <c r="Q145" s="33">
        <v>8.9334697556313401E-4</v>
      </c>
    </row>
    <row r="146" spans="2:17">
      <c r="B146" s="1">
        <v>41550</v>
      </c>
      <c r="C146" s="33">
        <v>0.43751781158176101</v>
      </c>
      <c r="D146" s="33">
        <f t="shared" si="6"/>
        <v>1.8052958711509499E-3</v>
      </c>
      <c r="E146" s="33">
        <f t="shared" si="8"/>
        <v>0</v>
      </c>
      <c r="F146" s="33">
        <f t="shared" si="7"/>
        <v>1.7927762872913E-3</v>
      </c>
      <c r="G146" s="73">
        <f ca="1">VLOOKUP(B146+1,Bloomberg!B:C,2,0)</f>
        <v>2025.3</v>
      </c>
      <c r="H146" s="33">
        <f>VLOOKUP(B146,'Media Effect'!M:N,2,0)</f>
        <v>2.1705397754131698E-3</v>
      </c>
      <c r="J146" s="1">
        <v>41550</v>
      </c>
      <c r="K146" s="33">
        <v>1.8052958711509499E-3</v>
      </c>
      <c r="M146" s="1">
        <v>41550</v>
      </c>
      <c r="N146" s="33">
        <v>0</v>
      </c>
      <c r="P146" s="1">
        <v>41550</v>
      </c>
      <c r="Q146" s="33">
        <v>1.7927762872913E-3</v>
      </c>
    </row>
    <row r="147" spans="2:17">
      <c r="B147" s="1">
        <v>41557</v>
      </c>
      <c r="C147" s="33">
        <v>0.43701315967767701</v>
      </c>
      <c r="D147" s="33">
        <f t="shared" si="6"/>
        <v>1.8028502733724301E-3</v>
      </c>
      <c r="E147" s="33">
        <f t="shared" si="8"/>
        <v>0</v>
      </c>
      <c r="F147" s="33">
        <f t="shared" si="7"/>
        <v>0</v>
      </c>
      <c r="G147" s="73">
        <f ca="1">VLOOKUP(B147+1,Bloomberg!B:C,2,0)</f>
        <v>2102.6999999999998</v>
      </c>
      <c r="H147" s="33">
        <f>VLOOKUP(B147,'Media Effect'!M:N,2,0)</f>
        <v>2.9998090771003101E-3</v>
      </c>
      <c r="J147" s="1">
        <v>41557</v>
      </c>
      <c r="K147" s="33">
        <v>1.8028502733724301E-3</v>
      </c>
      <c r="M147" s="1">
        <v>41557</v>
      </c>
      <c r="N147" s="33">
        <v>0</v>
      </c>
      <c r="P147" s="1">
        <v>41557</v>
      </c>
      <c r="Q147" s="33">
        <v>0</v>
      </c>
    </row>
    <row r="148" spans="2:17">
      <c r="B148" s="1">
        <v>41564</v>
      </c>
      <c r="C148" s="33">
        <v>0.40902347477168999</v>
      </c>
      <c r="D148" s="33">
        <f t="shared" si="6"/>
        <v>1.2763303782228801E-3</v>
      </c>
      <c r="E148" s="33">
        <f t="shared" si="8"/>
        <v>0</v>
      </c>
      <c r="F148" s="33">
        <f t="shared" si="7"/>
        <v>0</v>
      </c>
      <c r="G148" s="73">
        <f ca="1">VLOOKUP(B148+1,Bloomberg!B:C,2,0)</f>
        <v>2033.7</v>
      </c>
      <c r="H148" s="33">
        <f>VLOOKUP(B148,'Media Effect'!M:N,2,0)</f>
        <v>2.1912087808184902E-3</v>
      </c>
      <c r="J148" s="1">
        <v>41564</v>
      </c>
      <c r="K148" s="33">
        <v>1.2763303782228801E-3</v>
      </c>
      <c r="M148" s="1">
        <v>41564</v>
      </c>
      <c r="N148" s="33">
        <v>0</v>
      </c>
      <c r="P148" s="1">
        <v>41564</v>
      </c>
      <c r="Q148" s="33">
        <v>0</v>
      </c>
    </row>
    <row r="149" spans="2:17">
      <c r="B149" s="1">
        <v>41571</v>
      </c>
      <c r="C149" s="33">
        <v>0.45648777309490202</v>
      </c>
      <c r="D149" s="33">
        <f t="shared" si="6"/>
        <v>3.1281978508165302E-3</v>
      </c>
      <c r="E149" s="33">
        <f t="shared" si="8"/>
        <v>4.7022607373106203E-3</v>
      </c>
      <c r="F149" s="33">
        <f t="shared" si="7"/>
        <v>4.7022607373106203E-3</v>
      </c>
      <c r="G149" s="73">
        <f ca="1">VLOOKUP(B149+1,Bloomberg!B:C,2,0)</f>
        <v>2211.8000000000002</v>
      </c>
      <c r="H149" s="33">
        <f>VLOOKUP(B149,'Media Effect'!M:N,2,0)</f>
        <v>5.1244395463538699E-3</v>
      </c>
      <c r="J149" s="1">
        <v>41571</v>
      </c>
      <c r="K149" s="33">
        <v>3.1281978508165302E-3</v>
      </c>
      <c r="M149" s="1">
        <v>41571</v>
      </c>
      <c r="N149" s="33">
        <v>4.7022607373106203E-3</v>
      </c>
      <c r="P149" s="1">
        <v>41571</v>
      </c>
      <c r="Q149" s="33">
        <v>4.7022607373106203E-3</v>
      </c>
    </row>
    <row r="150" spans="2:17">
      <c r="B150" s="1">
        <v>41578</v>
      </c>
      <c r="C150" s="33">
        <v>0.47501022290439499</v>
      </c>
      <c r="D150" s="33">
        <f t="shared" si="6"/>
        <v>4.1524763901692498E-3</v>
      </c>
      <c r="E150" s="33">
        <f t="shared" si="8"/>
        <v>0</v>
      </c>
      <c r="F150" s="33">
        <f t="shared" si="7"/>
        <v>6.1587902327108696E-3</v>
      </c>
      <c r="G150" s="73">
        <f ca="1">VLOOKUP(B150+1,Bloomberg!B:C,2,0)</f>
        <v>2105.6</v>
      </c>
      <c r="H150" s="33">
        <f>VLOOKUP(B150,'Media Effect'!M:N,2,0)</f>
        <v>6.6622111195612701E-3</v>
      </c>
      <c r="J150" s="1">
        <v>41578</v>
      </c>
      <c r="K150" s="33">
        <v>4.1524763901692498E-3</v>
      </c>
      <c r="M150" s="1">
        <v>41578</v>
      </c>
      <c r="N150" s="33">
        <v>0</v>
      </c>
      <c r="P150" s="1">
        <v>41578</v>
      </c>
      <c r="Q150" s="33">
        <v>6.1587902327108696E-3</v>
      </c>
    </row>
    <row r="151" spans="2:17">
      <c r="B151" s="1">
        <v>41585</v>
      </c>
      <c r="C151" s="33">
        <v>0.44788779304034998</v>
      </c>
      <c r="D151" s="33">
        <f t="shared" si="6"/>
        <v>0</v>
      </c>
      <c r="E151" s="33">
        <f t="shared" si="8"/>
        <v>2.0113981135582498E-3</v>
      </c>
      <c r="F151" s="33">
        <f t="shared" si="7"/>
        <v>0</v>
      </c>
      <c r="G151" s="73">
        <f ca="1">VLOOKUP(B151+1,Bloomberg!B:C,2,0)</f>
        <v>2056.9</v>
      </c>
      <c r="H151" s="33">
        <f>VLOOKUP(B151,'Media Effect'!M:N,2,0)</f>
        <v>5.9142756056665803E-3</v>
      </c>
      <c r="J151" s="1">
        <v>41585</v>
      </c>
      <c r="K151" s="33">
        <v>0</v>
      </c>
      <c r="M151" s="1">
        <v>41585</v>
      </c>
      <c r="N151" s="33">
        <v>2.0113981135582498E-3</v>
      </c>
      <c r="P151" s="1">
        <v>41585</v>
      </c>
      <c r="Q151" s="33">
        <v>0</v>
      </c>
    </row>
    <row r="152" spans="2:17">
      <c r="B152" s="1">
        <v>41592</v>
      </c>
      <c r="C152" s="33">
        <v>0.37120289750535601</v>
      </c>
      <c r="D152" s="33">
        <f t="shared" si="6"/>
        <v>0</v>
      </c>
      <c r="E152" s="33">
        <f t="shared" si="8"/>
        <v>0</v>
      </c>
      <c r="F152" s="33">
        <f t="shared" si="7"/>
        <v>0</v>
      </c>
      <c r="G152" s="73">
        <f ca="1">VLOOKUP(B152+1,Bloomberg!B:C,2,0)</f>
        <v>1903.5</v>
      </c>
      <c r="H152" s="33">
        <f>VLOOKUP(B152,'Media Effect'!M:N,2,0)</f>
        <v>2.3059610467440102E-3</v>
      </c>
      <c r="J152" s="1">
        <v>41592</v>
      </c>
      <c r="K152" s="33">
        <v>0</v>
      </c>
      <c r="M152" s="1">
        <v>41592</v>
      </c>
      <c r="N152" s="33">
        <v>0</v>
      </c>
      <c r="P152" s="1">
        <v>41592</v>
      </c>
      <c r="Q152" s="33">
        <v>0</v>
      </c>
    </row>
    <row r="153" spans="2:17">
      <c r="B153" s="1">
        <v>41599</v>
      </c>
      <c r="C153" s="33">
        <v>0.42989701258795199</v>
      </c>
      <c r="D153" s="33">
        <f t="shared" si="6"/>
        <v>0</v>
      </c>
      <c r="E153" s="33">
        <f t="shared" si="8"/>
        <v>0</v>
      </c>
      <c r="F153" s="33">
        <f t="shared" si="7"/>
        <v>0</v>
      </c>
      <c r="G153" s="73">
        <f ca="1">VLOOKUP(B153+1,Bloomberg!B:C,2,0)</f>
        <v>1917.2</v>
      </c>
      <c r="H153" s="33">
        <f>VLOOKUP(B153,'Media Effect'!M:N,2,0)</f>
        <v>5.1057108713702896E-3</v>
      </c>
      <c r="J153" s="1">
        <v>41599</v>
      </c>
      <c r="K153" s="33">
        <v>0</v>
      </c>
      <c r="M153" s="1">
        <v>41599</v>
      </c>
      <c r="N153" s="33">
        <v>0</v>
      </c>
      <c r="P153" s="1">
        <v>41599</v>
      </c>
      <c r="Q153" s="33">
        <v>0</v>
      </c>
    </row>
    <row r="154" spans="2:17">
      <c r="B154" s="1">
        <v>41605</v>
      </c>
      <c r="C154" s="33">
        <v>0.401262959025458</v>
      </c>
      <c r="D154" s="33">
        <f t="shared" si="6"/>
        <v>0</v>
      </c>
      <c r="E154" s="33">
        <f t="shared" si="8"/>
        <v>0</v>
      </c>
      <c r="F154" s="33">
        <f t="shared" si="7"/>
        <v>0</v>
      </c>
      <c r="G154" s="73" t="e">
        <f ca="1">VLOOKUP(B154+1,Bloomberg!B:C,2,0)</f>
        <v>#N/A</v>
      </c>
      <c r="H154" s="33">
        <f>VLOOKUP(B154,'Media Effect'!M:N,2,0)</f>
        <v>3.7093838786239901E-3</v>
      </c>
      <c r="J154" s="1">
        <v>41605</v>
      </c>
      <c r="K154" s="33">
        <v>0</v>
      </c>
      <c r="M154" s="1">
        <v>41605</v>
      </c>
      <c r="N154" s="33">
        <v>0</v>
      </c>
      <c r="P154" s="1">
        <v>41605</v>
      </c>
      <c r="Q154" s="33">
        <v>0</v>
      </c>
    </row>
    <row r="155" spans="2:17">
      <c r="B155" s="1">
        <v>41613</v>
      </c>
      <c r="C155" s="33">
        <v>0.331227934580689</v>
      </c>
      <c r="D155" s="33">
        <f t="shared" si="6"/>
        <v>0</v>
      </c>
      <c r="E155" s="33">
        <f t="shared" si="8"/>
        <v>1.6286808216947599E-4</v>
      </c>
      <c r="F155" s="33">
        <f t="shared" si="7"/>
        <v>0</v>
      </c>
      <c r="G155" s="73">
        <f ca="1">VLOOKUP(B155+1,Bloomberg!B:C,2,0)</f>
        <v>1599.4</v>
      </c>
      <c r="H155" s="33">
        <f>VLOOKUP(B155,'Media Effect'!M:N,2,0)</f>
        <v>1.5682869089664699E-3</v>
      </c>
      <c r="J155" s="1">
        <v>41613</v>
      </c>
      <c r="K155" s="33">
        <v>0</v>
      </c>
      <c r="M155" s="1">
        <v>41613</v>
      </c>
      <c r="N155" s="33">
        <v>1.6286808216947599E-4</v>
      </c>
      <c r="P155" s="1">
        <v>41613</v>
      </c>
      <c r="Q155" s="33">
        <v>0</v>
      </c>
    </row>
    <row r="156" spans="2:17">
      <c r="B156" s="1">
        <v>41620</v>
      </c>
      <c r="C156" s="33">
        <v>0.33082970500556302</v>
      </c>
      <c r="D156" s="33">
        <f t="shared" si="6"/>
        <v>0</v>
      </c>
      <c r="E156" s="33">
        <f t="shared" si="8"/>
        <v>0</v>
      </c>
      <c r="F156" s="33">
        <f t="shared" si="7"/>
        <v>0</v>
      </c>
      <c r="G156" s="73">
        <f ca="1">VLOOKUP(B156+1,Bloomberg!B:C,2,0)</f>
        <v>1529.8</v>
      </c>
      <c r="H156" s="33">
        <f>VLOOKUP(B156,'Media Effect'!M:N,2,0)</f>
        <v>1.7289463930776701E-3</v>
      </c>
      <c r="J156" s="1">
        <v>41620</v>
      </c>
      <c r="K156" s="33">
        <v>0</v>
      </c>
      <c r="M156" s="1">
        <v>41620</v>
      </c>
      <c r="N156" s="33">
        <v>0</v>
      </c>
      <c r="P156" s="1">
        <v>41620</v>
      </c>
      <c r="Q156" s="33">
        <v>0</v>
      </c>
    </row>
    <row r="157" spans="2:17">
      <c r="B157" s="1">
        <v>41627</v>
      </c>
      <c r="C157" s="33">
        <v>0.29198850689481598</v>
      </c>
      <c r="D157" s="33">
        <f t="shared" si="6"/>
        <v>0</v>
      </c>
      <c r="E157" s="33">
        <f t="shared" si="8"/>
        <v>0</v>
      </c>
      <c r="F157" s="33">
        <f t="shared" si="7"/>
        <v>0</v>
      </c>
      <c r="G157" s="73">
        <f ca="1">VLOOKUP(B157+1,Bloomberg!B:C,2,0)</f>
        <v>1426.7</v>
      </c>
      <c r="H157" s="33">
        <f>VLOOKUP(B157,'Media Effect'!M:N,2,0)</f>
        <v>9.4800641267841503E-4</v>
      </c>
      <c r="J157" s="1">
        <v>41627</v>
      </c>
      <c r="K157" s="33">
        <v>0</v>
      </c>
      <c r="M157" s="1">
        <v>41627</v>
      </c>
      <c r="N157" s="33">
        <v>0</v>
      </c>
      <c r="P157" s="1">
        <v>41627</v>
      </c>
      <c r="Q157" s="33">
        <v>0</v>
      </c>
    </row>
    <row r="158" spans="2:17">
      <c r="B158" s="1">
        <v>41634</v>
      </c>
      <c r="C158" s="33">
        <v>0.29162362501885603</v>
      </c>
      <c r="D158" s="33">
        <f t="shared" si="6"/>
        <v>0</v>
      </c>
      <c r="E158" s="33">
        <f t="shared" si="8"/>
        <v>0</v>
      </c>
      <c r="F158" s="33">
        <f t="shared" si="7"/>
        <v>0</v>
      </c>
      <c r="G158" s="73">
        <f ca="1">VLOOKUP(B158+1,Bloomberg!B:C,2,0)</f>
        <v>1277.8</v>
      </c>
      <c r="H158" s="33">
        <f>VLOOKUP(B158,'Media Effect'!M:N,2,0)</f>
        <v>7.6921873800145097E-4</v>
      </c>
      <c r="J158" s="1">
        <v>41634</v>
      </c>
      <c r="K158" s="33">
        <v>0</v>
      </c>
      <c r="M158" s="1">
        <v>41634</v>
      </c>
      <c r="N158" s="33">
        <v>0</v>
      </c>
      <c r="P158" s="1">
        <v>41634</v>
      </c>
      <c r="Q158" s="33">
        <v>0</v>
      </c>
    </row>
    <row r="159" spans="2:17">
      <c r="B159" s="1">
        <v>41641</v>
      </c>
      <c r="C159" s="33">
        <v>0.265306805945277</v>
      </c>
      <c r="D159" s="33">
        <f t="shared" si="6"/>
        <v>0</v>
      </c>
      <c r="E159" s="33">
        <f t="shared" si="8"/>
        <v>5.34150887472568E-5</v>
      </c>
      <c r="F159" s="33">
        <f t="shared" si="7"/>
        <v>0</v>
      </c>
      <c r="G159" s="73">
        <f ca="1">VLOOKUP(B159+1,Bloomberg!B:C,2,0)</f>
        <v>1352.7</v>
      </c>
      <c r="H159" s="33">
        <f>VLOOKUP(B159,'Media Effect'!M:N,2,0)</f>
        <v>3.6503917074256998E-4</v>
      </c>
      <c r="J159" s="1">
        <v>41641</v>
      </c>
      <c r="K159" s="33">
        <v>0</v>
      </c>
      <c r="M159" s="1">
        <v>41641</v>
      </c>
      <c r="N159" s="33">
        <v>5.34150887472568E-5</v>
      </c>
      <c r="P159" s="1">
        <v>41641</v>
      </c>
      <c r="Q159" s="33">
        <v>0</v>
      </c>
    </row>
    <row r="160" spans="2:17">
      <c r="B160" s="1">
        <v>41648</v>
      </c>
      <c r="C160" s="33">
        <v>0.29015447722721099</v>
      </c>
      <c r="D160" s="33">
        <f t="shared" si="6"/>
        <v>0</v>
      </c>
      <c r="E160" s="33">
        <f t="shared" si="8"/>
        <v>0</v>
      </c>
      <c r="F160" s="33">
        <f t="shared" si="7"/>
        <v>1.04165660314928E-4</v>
      </c>
      <c r="G160" s="73">
        <f ca="1">VLOOKUP(B160+1,Bloomberg!B:C,2,0)</f>
        <v>1507</v>
      </c>
      <c r="H160" s="33">
        <f>VLOOKUP(B160,'Media Effect'!M:N,2,0)</f>
        <v>7.2807678642524602E-4</v>
      </c>
      <c r="J160" s="1">
        <v>41648</v>
      </c>
      <c r="K160" s="33">
        <v>0</v>
      </c>
      <c r="M160" s="1">
        <v>41648</v>
      </c>
      <c r="N160" s="33">
        <v>0</v>
      </c>
      <c r="P160" s="1">
        <v>41648</v>
      </c>
      <c r="Q160" s="33">
        <v>1.04165660314928E-4</v>
      </c>
    </row>
    <row r="161" spans="2:17">
      <c r="B161" s="1">
        <v>41655</v>
      </c>
      <c r="C161" s="33">
        <v>0.32467403778332998</v>
      </c>
      <c r="D161" s="33">
        <f t="shared" si="6"/>
        <v>2.6481811352228402E-4</v>
      </c>
      <c r="E161" s="33">
        <f t="shared" si="8"/>
        <v>4.3244857845843099E-4</v>
      </c>
      <c r="F161" s="33">
        <f t="shared" si="7"/>
        <v>4.3244857845843099E-4</v>
      </c>
      <c r="G161" s="73">
        <f ca="1">VLOOKUP(B161+1,Bloomberg!B:C,2,0)</f>
        <v>1675.8</v>
      </c>
      <c r="H161" s="33">
        <f>VLOOKUP(B161,'Media Effect'!M:N,2,0)</f>
        <v>2.0703667546944798E-3</v>
      </c>
      <c r="J161" s="1">
        <v>41655</v>
      </c>
      <c r="K161" s="33">
        <v>2.6481811352228402E-4</v>
      </c>
      <c r="M161" s="1">
        <v>41655</v>
      </c>
      <c r="N161" s="33">
        <v>4.3244857845843099E-4</v>
      </c>
      <c r="P161" s="1">
        <v>41655</v>
      </c>
      <c r="Q161" s="33">
        <v>4.3244857845843099E-4</v>
      </c>
    </row>
    <row r="162" spans="2:17">
      <c r="B162" s="1">
        <v>41662</v>
      </c>
      <c r="C162" s="33">
        <v>0.32547727058860199</v>
      </c>
      <c r="D162" s="33">
        <f t="shared" si="6"/>
        <v>2.6685842760667899E-4</v>
      </c>
      <c r="E162" s="33">
        <f t="shared" si="8"/>
        <v>0</v>
      </c>
      <c r="F162" s="33">
        <f t="shared" si="7"/>
        <v>4.3538471617421198E-4</v>
      </c>
      <c r="G162" s="73">
        <f ca="1">VLOOKUP(B162+1,Bloomberg!B:C,2,0)</f>
        <v>1601.2</v>
      </c>
      <c r="H162" s="33">
        <f>VLOOKUP(B162,'Media Effect'!M:N,2,0)</f>
        <v>2.2673030698720899E-3</v>
      </c>
      <c r="J162" s="1">
        <v>41662</v>
      </c>
      <c r="K162" s="33">
        <v>2.6685842760667899E-4</v>
      </c>
      <c r="M162" s="1">
        <v>41662</v>
      </c>
      <c r="N162" s="33">
        <v>0</v>
      </c>
      <c r="P162" s="1">
        <v>41662</v>
      </c>
      <c r="Q162" s="33">
        <v>4.3538471617421198E-4</v>
      </c>
    </row>
    <row r="163" spans="2:17">
      <c r="B163" s="1">
        <v>41669</v>
      </c>
      <c r="C163" s="33">
        <v>0.38449844249950499</v>
      </c>
      <c r="D163" s="33">
        <f t="shared" si="6"/>
        <v>5.3940135932801299E-4</v>
      </c>
      <c r="E163" s="33">
        <f t="shared" si="8"/>
        <v>9.04155248858617E-4</v>
      </c>
      <c r="F163" s="33">
        <f t="shared" si="7"/>
        <v>9.04155248858617E-4</v>
      </c>
      <c r="G163" s="73">
        <f ca="1">VLOOKUP(B163+1,Bloomberg!B:C,2,0)</f>
        <v>1667.5</v>
      </c>
      <c r="H163" s="33">
        <f>VLOOKUP(B163,'Media Effect'!M:N,2,0)</f>
        <v>4.8506682686177702E-3</v>
      </c>
      <c r="J163" s="1">
        <v>41669</v>
      </c>
      <c r="K163" s="33">
        <v>5.3940135932801299E-4</v>
      </c>
      <c r="M163" s="1">
        <v>41669</v>
      </c>
      <c r="N163" s="33">
        <v>9.04155248858617E-4</v>
      </c>
      <c r="P163" s="1">
        <v>41669</v>
      </c>
      <c r="Q163" s="33">
        <v>9.04155248858617E-4</v>
      </c>
    </row>
    <row r="164" spans="2:17">
      <c r="B164" s="1">
        <v>41676</v>
      </c>
      <c r="C164" s="33">
        <v>0.407383000493176</v>
      </c>
      <c r="D164" s="33">
        <f t="shared" si="6"/>
        <v>1.5750068104731199E-3</v>
      </c>
      <c r="E164" s="33">
        <f t="shared" si="8"/>
        <v>2.37296986366846E-3</v>
      </c>
      <c r="F164" s="33">
        <f t="shared" si="7"/>
        <v>1.56502134325395E-3</v>
      </c>
      <c r="G164" s="73">
        <f ca="1">VLOOKUP(B164+1,Bloomberg!B:C,2,0)</f>
        <v>1674.2</v>
      </c>
      <c r="H164" s="33">
        <f>VLOOKUP(B164,'Media Effect'!M:N,2,0)</f>
        <v>7.21546546831584E-3</v>
      </c>
      <c r="J164" s="1">
        <v>41676</v>
      </c>
      <c r="K164" s="33">
        <v>1.5750068104731199E-3</v>
      </c>
      <c r="M164" s="1">
        <v>41676</v>
      </c>
      <c r="N164" s="33">
        <v>2.37296986366846E-3</v>
      </c>
      <c r="P164" s="1">
        <v>41676</v>
      </c>
      <c r="Q164" s="33">
        <v>1.56502134325395E-3</v>
      </c>
    </row>
    <row r="165" spans="2:17">
      <c r="B165" s="1">
        <v>41683</v>
      </c>
      <c r="C165" s="33">
        <v>0.380280894786581</v>
      </c>
      <c r="D165" s="33">
        <f t="shared" si="6"/>
        <v>1.1437911496543099E-3</v>
      </c>
      <c r="E165" s="33">
        <f t="shared" si="8"/>
        <v>0</v>
      </c>
      <c r="F165" s="33">
        <f t="shared" si="7"/>
        <v>0</v>
      </c>
      <c r="G165" s="73">
        <f ca="1">VLOOKUP(B165+1,Bloomberg!B:C,2,0)</f>
        <v>1650.6</v>
      </c>
      <c r="H165" s="33">
        <f>VLOOKUP(B165,'Media Effect'!M:N,2,0)</f>
        <v>5.9474577791092101E-3</v>
      </c>
      <c r="J165" s="1">
        <v>41683</v>
      </c>
      <c r="K165" s="33">
        <v>1.1437911496543099E-3</v>
      </c>
      <c r="M165" s="1">
        <v>41683</v>
      </c>
      <c r="N165" s="33">
        <v>0</v>
      </c>
      <c r="P165" s="1">
        <v>41683</v>
      </c>
      <c r="Q165" s="33">
        <v>0</v>
      </c>
    </row>
    <row r="166" spans="2:17">
      <c r="B166" s="1">
        <v>41690</v>
      </c>
      <c r="C166" s="33">
        <v>0.35043602810261099</v>
      </c>
      <c r="D166" s="33">
        <f t="shared" si="6"/>
        <v>0</v>
      </c>
      <c r="E166" s="33">
        <f t="shared" si="8"/>
        <v>0</v>
      </c>
      <c r="F166" s="33">
        <f t="shared" si="7"/>
        <v>0</v>
      </c>
      <c r="G166" s="73">
        <f ca="1">VLOOKUP(B166+1,Bloomberg!B:C,2,0)</f>
        <v>1442.3</v>
      </c>
      <c r="H166" s="33">
        <f>VLOOKUP(B166,'Media Effect'!M:N,2,0)</f>
        <v>3.7079476145124701E-3</v>
      </c>
      <c r="J166" s="1">
        <v>41690</v>
      </c>
      <c r="K166" s="33">
        <v>0</v>
      </c>
      <c r="M166" s="1">
        <v>41690</v>
      </c>
      <c r="N166" s="33">
        <v>0</v>
      </c>
      <c r="P166" s="1">
        <v>41690</v>
      </c>
      <c r="Q166" s="33">
        <v>0</v>
      </c>
    </row>
    <row r="167" spans="2:17">
      <c r="B167" s="1">
        <v>41697</v>
      </c>
      <c r="C167" s="33">
        <v>0.34853875137296803</v>
      </c>
      <c r="D167" s="33">
        <f t="shared" si="6"/>
        <v>0</v>
      </c>
      <c r="E167" s="33">
        <f t="shared" si="8"/>
        <v>0</v>
      </c>
      <c r="F167" s="33">
        <f t="shared" si="7"/>
        <v>0</v>
      </c>
      <c r="G167" s="73">
        <f ca="1">VLOOKUP(B167+1,Bloomberg!B:C,2,0)</f>
        <v>1600.6</v>
      </c>
      <c r="H167" s="33">
        <f>VLOOKUP(B167,'Media Effect'!M:N,2,0)</f>
        <v>2.0311520591881401E-3</v>
      </c>
      <c r="J167" s="1">
        <v>41697</v>
      </c>
      <c r="K167" s="33">
        <v>0</v>
      </c>
      <c r="M167" s="1">
        <v>41697</v>
      </c>
      <c r="N167" s="33">
        <v>0</v>
      </c>
      <c r="P167" s="1">
        <v>41697</v>
      </c>
      <c r="Q167" s="33">
        <v>0</v>
      </c>
    </row>
    <row r="168" spans="2:17">
      <c r="B168" s="1">
        <v>41704</v>
      </c>
      <c r="C168" s="33">
        <v>0.37584545219724702</v>
      </c>
      <c r="D168" s="33">
        <f t="shared" si="6"/>
        <v>0</v>
      </c>
      <c r="E168" s="33">
        <f t="shared" si="8"/>
        <v>5.1415729776658396E-4</v>
      </c>
      <c r="F168" s="33">
        <f t="shared" si="7"/>
        <v>0</v>
      </c>
      <c r="G168" s="73">
        <f ca="1">VLOOKUP(B168+1,Bloomberg!B:C,2,0)</f>
        <v>1528</v>
      </c>
      <c r="H168" s="33">
        <f>VLOOKUP(B168,'Media Effect'!M:N,2,0)</f>
        <v>6.3681225023528298E-3</v>
      </c>
      <c r="J168" s="1">
        <v>41704</v>
      </c>
      <c r="K168" s="33">
        <v>0</v>
      </c>
      <c r="M168" s="1">
        <v>41704</v>
      </c>
      <c r="N168" s="33">
        <v>5.1415729776658396E-4</v>
      </c>
      <c r="P168" s="1">
        <v>41704</v>
      </c>
      <c r="Q168" s="33">
        <v>0</v>
      </c>
    </row>
    <row r="169" spans="2:17">
      <c r="B169" s="1">
        <v>41711</v>
      </c>
      <c r="C169" s="33">
        <v>0.34537825411835699</v>
      </c>
      <c r="D169" s="33">
        <f t="shared" si="6"/>
        <v>0</v>
      </c>
      <c r="E169" s="33">
        <f t="shared" si="8"/>
        <v>0</v>
      </c>
      <c r="F169" s="33">
        <f t="shared" si="7"/>
        <v>0</v>
      </c>
      <c r="G169" s="73">
        <f ca="1">VLOOKUP(B169+1,Bloomberg!B:C,2,0)</f>
        <v>1552.1</v>
      </c>
      <c r="H169" s="33">
        <f>VLOOKUP(B169,'Media Effect'!M:N,2,0)</f>
        <v>2.5606168679182602E-3</v>
      </c>
      <c r="J169" s="1">
        <v>41711</v>
      </c>
      <c r="K169" s="33">
        <v>0</v>
      </c>
      <c r="M169" s="1">
        <v>41711</v>
      </c>
      <c r="N169" s="33">
        <v>0</v>
      </c>
      <c r="P169" s="1">
        <v>41711</v>
      </c>
      <c r="Q169" s="33">
        <v>0</v>
      </c>
    </row>
    <row r="170" spans="2:17">
      <c r="B170" s="1">
        <v>41718</v>
      </c>
      <c r="C170" s="33">
        <v>0.37475184713589199</v>
      </c>
      <c r="D170" s="33">
        <f t="shared" si="6"/>
        <v>0</v>
      </c>
      <c r="E170" s="33">
        <f t="shared" si="8"/>
        <v>0</v>
      </c>
      <c r="F170" s="33">
        <f t="shared" si="7"/>
        <v>0</v>
      </c>
      <c r="G170" s="73">
        <f ca="1">VLOOKUP(B170+1,Bloomberg!B:C,2,0)</f>
        <v>1426.3</v>
      </c>
      <c r="H170" s="33">
        <f>VLOOKUP(B170,'Media Effect'!M:N,2,0)</f>
        <v>6.7470837053240302E-3</v>
      </c>
      <c r="J170" s="1">
        <v>41718</v>
      </c>
      <c r="K170" s="33">
        <v>0</v>
      </c>
      <c r="M170" s="1">
        <v>41718</v>
      </c>
      <c r="N170" s="33">
        <v>0</v>
      </c>
      <c r="P170" s="1">
        <v>41718</v>
      </c>
      <c r="Q170" s="33">
        <v>0</v>
      </c>
    </row>
    <row r="171" spans="2:17">
      <c r="B171" s="1">
        <v>41725</v>
      </c>
      <c r="C171" s="33">
        <v>0.34373332978073601</v>
      </c>
      <c r="D171" s="33">
        <f t="shared" si="6"/>
        <v>0</v>
      </c>
      <c r="E171" s="33">
        <f t="shared" si="8"/>
        <v>0</v>
      </c>
      <c r="F171" s="33">
        <f t="shared" si="7"/>
        <v>0</v>
      </c>
      <c r="G171" s="73">
        <f ca="1">VLOOKUP(B171+1,Bloomberg!B:C,2,0)</f>
        <v>1383.5</v>
      </c>
      <c r="H171" s="33">
        <f>VLOOKUP(B171,'Media Effect'!M:N,2,0)</f>
        <v>2.5391137542070102E-3</v>
      </c>
      <c r="J171" s="1">
        <v>41725</v>
      </c>
      <c r="K171" s="33">
        <v>0</v>
      </c>
      <c r="M171" s="1">
        <v>41725</v>
      </c>
      <c r="N171" s="33">
        <v>0</v>
      </c>
      <c r="P171" s="1">
        <v>41725</v>
      </c>
      <c r="Q171" s="33">
        <v>0</v>
      </c>
    </row>
    <row r="172" spans="2:17">
      <c r="B172" s="1">
        <v>41732</v>
      </c>
      <c r="C172" s="33">
        <v>0.31383635422742501</v>
      </c>
      <c r="D172" s="33">
        <f t="shared" si="6"/>
        <v>0</v>
      </c>
      <c r="E172" s="33">
        <f t="shared" si="8"/>
        <v>2.3733527759146601E-4</v>
      </c>
      <c r="F172" s="33">
        <f t="shared" si="7"/>
        <v>0</v>
      </c>
      <c r="G172" s="73">
        <f ca="1">VLOOKUP(B172+1,Bloomberg!B:C,2,0)</f>
        <v>1324.7</v>
      </c>
      <c r="H172" s="33">
        <f>VLOOKUP(B172,'Media Effect'!M:N,2,0)</f>
        <v>1.48737291930596E-3</v>
      </c>
      <c r="J172" s="1">
        <v>41732</v>
      </c>
      <c r="K172" s="33">
        <v>0</v>
      </c>
      <c r="M172" s="1">
        <v>41732</v>
      </c>
      <c r="N172" s="33">
        <v>2.3733527759146601E-4</v>
      </c>
      <c r="P172" s="1">
        <v>41732</v>
      </c>
      <c r="Q172" s="33">
        <v>0</v>
      </c>
    </row>
    <row r="173" spans="2:17">
      <c r="B173" s="1">
        <v>41739</v>
      </c>
      <c r="C173" s="33">
        <v>0.34451093908200903</v>
      </c>
      <c r="D173" s="33">
        <f t="shared" si="6"/>
        <v>0</v>
      </c>
      <c r="E173" s="33">
        <f t="shared" si="8"/>
        <v>0</v>
      </c>
      <c r="F173" s="33">
        <f t="shared" si="7"/>
        <v>3.2608018628066501E-4</v>
      </c>
      <c r="G173" s="73">
        <f ca="1">VLOOKUP(B173+1,Bloomberg!B:C,2,0)</f>
        <v>1429.9</v>
      </c>
      <c r="H173" s="33">
        <f>VLOOKUP(B173,'Media Effect'!M:N,2,0)</f>
        <v>3.4890800072405899E-3</v>
      </c>
      <c r="J173" s="1">
        <v>41739</v>
      </c>
      <c r="K173" s="33">
        <v>0</v>
      </c>
      <c r="M173" s="1">
        <v>41739</v>
      </c>
      <c r="N173" s="33">
        <v>0</v>
      </c>
      <c r="P173" s="1">
        <v>41739</v>
      </c>
      <c r="Q173" s="33">
        <v>3.2608018628066501E-4</v>
      </c>
    </row>
    <row r="174" spans="2:17">
      <c r="B174" s="1">
        <v>41746</v>
      </c>
      <c r="C174" s="33">
        <v>0.37550642358643799</v>
      </c>
      <c r="D174" s="33">
        <f t="shared" si="6"/>
        <v>8.4514365903664396E-4</v>
      </c>
      <c r="E174" s="33">
        <f t="shared" si="8"/>
        <v>0</v>
      </c>
      <c r="F174" s="33">
        <f t="shared" si="7"/>
        <v>1.3569924293908599E-3</v>
      </c>
      <c r="G174" s="73">
        <f ca="1">VLOOKUP(B174+1,Bloomberg!B:C,2,0)</f>
        <v>1370.9</v>
      </c>
      <c r="H174" s="33">
        <f>VLOOKUP(B174,'Media Effect'!M:N,2,0)</f>
        <v>9.0367181357990708E-3</v>
      </c>
      <c r="J174" s="1">
        <v>41746</v>
      </c>
      <c r="K174" s="33">
        <v>8.4514365903664396E-4</v>
      </c>
      <c r="M174" s="1">
        <v>41746</v>
      </c>
      <c r="N174" s="33">
        <v>0</v>
      </c>
      <c r="P174" s="1">
        <v>41746</v>
      </c>
      <c r="Q174" s="33">
        <v>1.3569924293908599E-3</v>
      </c>
    </row>
    <row r="175" spans="2:17">
      <c r="B175" s="1">
        <v>41753</v>
      </c>
      <c r="C175" s="33">
        <v>0.37394334466633</v>
      </c>
      <c r="D175" s="33">
        <f t="shared" si="6"/>
        <v>0</v>
      </c>
      <c r="E175" s="33">
        <f t="shared" si="8"/>
        <v>0</v>
      </c>
      <c r="F175" s="33">
        <f t="shared" si="7"/>
        <v>0</v>
      </c>
      <c r="G175" s="73">
        <f ca="1">VLOOKUP(B175+1,Bloomberg!B:C,2,0)</f>
        <v>1298.0999999999999</v>
      </c>
      <c r="H175" s="33">
        <f>VLOOKUP(B175,'Media Effect'!M:N,2,0)</f>
        <v>5.3403429564292202E-3</v>
      </c>
      <c r="J175" s="1">
        <v>41753</v>
      </c>
      <c r="K175" s="33">
        <v>0</v>
      </c>
      <c r="M175" s="1">
        <v>41753</v>
      </c>
      <c r="N175" s="33">
        <v>0</v>
      </c>
      <c r="P175" s="1">
        <v>41753</v>
      </c>
      <c r="Q175" s="33">
        <v>0</v>
      </c>
    </row>
    <row r="176" spans="2:17">
      <c r="B176" s="1">
        <v>41760</v>
      </c>
      <c r="C176" s="33">
        <v>0.37348002875422498</v>
      </c>
      <c r="D176" s="33">
        <f t="shared" si="6"/>
        <v>0</v>
      </c>
      <c r="E176" s="33">
        <f t="shared" si="8"/>
        <v>4.5918193148616898E-4</v>
      </c>
      <c r="F176" s="33">
        <f t="shared" si="7"/>
        <v>0</v>
      </c>
      <c r="G176" s="73">
        <f ca="1">VLOOKUP(B176+1,Bloomberg!B:C,2,0)</f>
        <v>1323.9</v>
      </c>
      <c r="H176" s="33">
        <f>VLOOKUP(B176,'Media Effect'!M:N,2,0)</f>
        <v>9.8642663465764498E-3</v>
      </c>
      <c r="J176" s="1">
        <v>41760</v>
      </c>
      <c r="K176" s="33">
        <v>0</v>
      </c>
      <c r="M176" s="1">
        <v>41760</v>
      </c>
      <c r="N176" s="33">
        <v>4.5918193148616898E-4</v>
      </c>
      <c r="P176" s="1">
        <v>41760</v>
      </c>
      <c r="Q176" s="33">
        <v>0</v>
      </c>
    </row>
    <row r="177" spans="2:17">
      <c r="B177" s="1">
        <v>41767</v>
      </c>
      <c r="C177" s="33">
        <v>0.42315654967107302</v>
      </c>
      <c r="D177" s="33">
        <f t="shared" si="6"/>
        <v>1.24028656514381E-2</v>
      </c>
      <c r="E177" s="33">
        <f t="shared" si="8"/>
        <v>1.33698656511534E-2</v>
      </c>
      <c r="F177" s="33">
        <f t="shared" si="7"/>
        <v>1.33698656511534E-2</v>
      </c>
      <c r="G177" s="73">
        <f ca="1">VLOOKUP(B177+1,Bloomberg!B:C,2,0)</f>
        <v>1400.9</v>
      </c>
      <c r="H177" s="33">
        <f>VLOOKUP(B177,'Media Effect'!M:N,2,0)</f>
        <v>2.2073656709097101E-2</v>
      </c>
      <c r="J177" s="1">
        <v>41767</v>
      </c>
      <c r="K177" s="33">
        <v>1.24028656514381E-2</v>
      </c>
      <c r="M177" s="1">
        <v>41767</v>
      </c>
      <c r="N177" s="33">
        <v>1.33698656511534E-2</v>
      </c>
      <c r="P177" s="1">
        <v>41767</v>
      </c>
      <c r="Q177" s="33">
        <v>1.33698656511534E-2</v>
      </c>
    </row>
    <row r="178" spans="2:17">
      <c r="B178" s="1">
        <v>41774</v>
      </c>
      <c r="C178" s="33">
        <v>0.42349289634896597</v>
      </c>
      <c r="D178" s="33">
        <f t="shared" si="6"/>
        <v>1.2423248154658799E-2</v>
      </c>
      <c r="E178" s="33">
        <f t="shared" si="8"/>
        <v>0</v>
      </c>
      <c r="F178" s="33">
        <f t="shared" si="7"/>
        <v>1.3390108612719401E-2</v>
      </c>
      <c r="G178" s="73">
        <f ca="1">VLOOKUP(B178+1,Bloomberg!B:C,2,0)</f>
        <v>1460.6</v>
      </c>
      <c r="H178" s="33">
        <f>VLOOKUP(B178,'Media Effect'!M:N,2,0)</f>
        <v>2.2126974140678001E-2</v>
      </c>
      <c r="J178" s="1">
        <v>41774</v>
      </c>
      <c r="K178" s="33">
        <v>1.2423248154658799E-2</v>
      </c>
      <c r="M178" s="1">
        <v>41774</v>
      </c>
      <c r="N178" s="33">
        <v>0</v>
      </c>
      <c r="P178" s="1">
        <v>41774</v>
      </c>
      <c r="Q178" s="33">
        <v>1.3390108612719401E-2</v>
      </c>
    </row>
    <row r="179" spans="2:17">
      <c r="B179" s="1">
        <v>41781</v>
      </c>
      <c r="C179" s="33">
        <v>0.44562837110466802</v>
      </c>
      <c r="D179" s="33">
        <f t="shared" si="6"/>
        <v>1.63019272829244E-2</v>
      </c>
      <c r="E179" s="33">
        <f t="shared" si="8"/>
        <v>1.7600292816905099E-2</v>
      </c>
      <c r="F179" s="33">
        <f t="shared" si="7"/>
        <v>1.7600292816905099E-2</v>
      </c>
      <c r="G179" s="73">
        <f ca="1">VLOOKUP(B179+1,Bloomberg!B:C,2,0)</f>
        <v>1453.4</v>
      </c>
      <c r="H179" s="33">
        <f>VLOOKUP(B179,'Media Effect'!M:N,2,0)</f>
        <v>2.8653101671392602E-2</v>
      </c>
      <c r="J179" s="1">
        <v>41781</v>
      </c>
      <c r="K179" s="33">
        <v>1.63019272829244E-2</v>
      </c>
      <c r="M179" s="1">
        <v>41781</v>
      </c>
      <c r="N179" s="33">
        <v>1.7600292816905099E-2</v>
      </c>
      <c r="P179" s="1">
        <v>41781</v>
      </c>
      <c r="Q179" s="33">
        <v>1.7600292816905099E-2</v>
      </c>
    </row>
    <row r="180" spans="2:17">
      <c r="B180" s="1">
        <v>41788</v>
      </c>
      <c r="C180" s="33">
        <v>0.44740081291084099</v>
      </c>
      <c r="D180" s="33">
        <f t="shared" si="6"/>
        <v>2.7417209226581502E-2</v>
      </c>
      <c r="E180" s="33">
        <f t="shared" si="8"/>
        <v>0</v>
      </c>
      <c r="F180" s="33">
        <f t="shared" si="7"/>
        <v>2.8641136811507002E-2</v>
      </c>
      <c r="G180" s="73">
        <f ca="1">VLOOKUP(B180+1,Bloomberg!B:C,2,0)</f>
        <v>1382.6</v>
      </c>
      <c r="H180" s="33">
        <f>VLOOKUP(B180,'Media Effect'!M:N,2,0)</f>
        <v>2.9521653233466699E-2</v>
      </c>
      <c r="J180" s="1">
        <v>41788</v>
      </c>
      <c r="K180" s="33">
        <v>2.7417209226581502E-2</v>
      </c>
      <c r="M180" s="1">
        <v>41788</v>
      </c>
      <c r="N180" s="33">
        <v>0</v>
      </c>
      <c r="P180" s="1">
        <v>41788</v>
      </c>
      <c r="Q180" s="33">
        <v>2.8641136811507002E-2</v>
      </c>
    </row>
    <row r="181" spans="2:17">
      <c r="B181" s="1">
        <v>41795</v>
      </c>
      <c r="C181" s="33">
        <v>0.447997908024105</v>
      </c>
      <c r="D181" s="33">
        <f t="shared" si="6"/>
        <v>3.3152132966845299E-2</v>
      </c>
      <c r="E181" s="33">
        <f t="shared" si="8"/>
        <v>0</v>
      </c>
      <c r="F181" s="33">
        <f t="shared" si="7"/>
        <v>3.2896088379140397E-2</v>
      </c>
      <c r="G181" s="73">
        <f ca="1">VLOOKUP(B181+1,Bloomberg!B:C,2,0)</f>
        <v>1516.9</v>
      </c>
      <c r="H181" s="33">
        <f>VLOOKUP(B181,'Media Effect'!M:N,2,0)</f>
        <v>3.39392972413807E-2</v>
      </c>
      <c r="J181" s="1">
        <v>41795</v>
      </c>
      <c r="K181" s="33">
        <v>3.3152132966845299E-2</v>
      </c>
      <c r="M181" s="1">
        <v>41795</v>
      </c>
      <c r="N181" s="33">
        <v>0</v>
      </c>
      <c r="P181" s="1">
        <v>41795</v>
      </c>
      <c r="Q181" s="33">
        <v>3.2896088379140397E-2</v>
      </c>
    </row>
    <row r="182" spans="2:17">
      <c r="B182" s="1">
        <v>41802</v>
      </c>
      <c r="C182" s="33">
        <v>0.42258598579352902</v>
      </c>
      <c r="D182" s="33">
        <f t="shared" si="6"/>
        <v>0</v>
      </c>
      <c r="E182" s="33">
        <f t="shared" si="8"/>
        <v>0</v>
      </c>
      <c r="F182" s="33">
        <f t="shared" si="7"/>
        <v>0</v>
      </c>
      <c r="G182" s="73">
        <f ca="1">VLOOKUP(B182+1,Bloomberg!B:C,2,0)</f>
        <v>1321.3</v>
      </c>
      <c r="H182" s="33">
        <f>VLOOKUP(B182,'Media Effect'!M:N,2,0)</f>
        <v>2.57985966584953E-2</v>
      </c>
      <c r="J182" s="1">
        <v>41802</v>
      </c>
      <c r="K182" s="33">
        <v>0</v>
      </c>
      <c r="M182" s="1">
        <v>41802</v>
      </c>
      <c r="N182" s="33">
        <v>0</v>
      </c>
      <c r="P182" s="1">
        <v>41802</v>
      </c>
      <c r="Q182" s="33">
        <v>0</v>
      </c>
    </row>
    <row r="183" spans="2:17">
      <c r="B183" s="1">
        <v>41809</v>
      </c>
      <c r="C183" s="33">
        <v>0.42434402519227898</v>
      </c>
      <c r="D183" s="33">
        <f t="shared" si="6"/>
        <v>0</v>
      </c>
      <c r="E183" s="33">
        <f t="shared" si="8"/>
        <v>0</v>
      </c>
      <c r="F183" s="33">
        <f t="shared" si="7"/>
        <v>0</v>
      </c>
      <c r="G183" s="73">
        <f ca="1">VLOOKUP(B183+1,Bloomberg!B:C,2,0)</f>
        <v>1333.5</v>
      </c>
      <c r="H183" s="33">
        <f>VLOOKUP(B183,'Media Effect'!M:N,2,0)</f>
        <v>2.6288769130428501E-2</v>
      </c>
      <c r="J183" s="1">
        <v>41809</v>
      </c>
      <c r="K183" s="33">
        <v>0</v>
      </c>
      <c r="M183" s="1">
        <v>41809</v>
      </c>
      <c r="N183" s="33">
        <v>0</v>
      </c>
      <c r="P183" s="1">
        <v>41809</v>
      </c>
      <c r="Q183" s="33">
        <v>0</v>
      </c>
    </row>
    <row r="184" spans="2:17">
      <c r="B184" s="1">
        <v>41816</v>
      </c>
      <c r="C184" s="33">
        <v>0.447997908024105</v>
      </c>
      <c r="D184" s="33">
        <f t="shared" si="6"/>
        <v>3.3152132966845299E-2</v>
      </c>
      <c r="E184" s="33">
        <f t="shared" si="8"/>
        <v>0</v>
      </c>
      <c r="F184" s="33">
        <f t="shared" si="7"/>
        <v>0</v>
      </c>
      <c r="G184" s="73">
        <f ca="1">VLOOKUP(B184+1,Bloomberg!B:C,2,0)</f>
        <v>1341.8</v>
      </c>
      <c r="H184" s="33">
        <f>VLOOKUP(B184,'Media Effect'!M:N,2,0)</f>
        <v>3.4895003086718203E-2</v>
      </c>
      <c r="J184" s="1">
        <v>41816</v>
      </c>
      <c r="K184" s="33">
        <v>3.3152132966845299E-2</v>
      </c>
      <c r="M184" s="1">
        <v>41816</v>
      </c>
      <c r="N184" s="33">
        <v>0</v>
      </c>
      <c r="P184" s="1">
        <v>41816</v>
      </c>
      <c r="Q184" s="33">
        <v>0</v>
      </c>
    </row>
    <row r="185" spans="2:17">
      <c r="B185" s="1">
        <v>41823</v>
      </c>
      <c r="C185" s="33">
        <v>0.47241973099249801</v>
      </c>
      <c r="D185" s="33">
        <f t="shared" si="6"/>
        <v>4.9659976656306101E-2</v>
      </c>
      <c r="E185" s="33">
        <f t="shared" si="8"/>
        <v>5.0640673268484301E-2</v>
      </c>
      <c r="F185" s="33">
        <f t="shared" si="7"/>
        <v>4.9242422986382497E-2</v>
      </c>
      <c r="G185" s="73">
        <f ca="1">VLOOKUP(B185+1,Bloomberg!B:C,2,0)</f>
        <v>1346.8</v>
      </c>
      <c r="H185" s="33">
        <f>VLOOKUP(B185,'Media Effect'!M:N,2,0)</f>
        <v>5.0464297832893801E-2</v>
      </c>
      <c r="J185" s="1">
        <v>41823</v>
      </c>
      <c r="K185" s="33">
        <v>4.9659976656306101E-2</v>
      </c>
      <c r="M185" s="1">
        <v>41823</v>
      </c>
      <c r="N185" s="33">
        <v>5.0640673268484301E-2</v>
      </c>
      <c r="P185" s="1">
        <v>41823</v>
      </c>
      <c r="Q185" s="33">
        <v>4.9242422986382497E-2</v>
      </c>
    </row>
    <row r="186" spans="2:17">
      <c r="B186" s="1">
        <v>41830</v>
      </c>
      <c r="C186" s="33">
        <v>0.41926854513922601</v>
      </c>
      <c r="D186" s="33">
        <f t="shared" si="6"/>
        <v>0</v>
      </c>
      <c r="E186" s="33">
        <f t="shared" si="8"/>
        <v>0</v>
      </c>
      <c r="F186" s="33">
        <f t="shared" si="7"/>
        <v>0</v>
      </c>
      <c r="G186" s="73">
        <f ca="1">VLOOKUP(B186+1,Bloomberg!B:C,2,0)</f>
        <v>1329.7</v>
      </c>
      <c r="H186" s="33">
        <f>VLOOKUP(B186,'Media Effect'!M:N,2,0)</f>
        <v>2.8091291880043799E-2</v>
      </c>
      <c r="J186" s="1">
        <v>41830</v>
      </c>
      <c r="K186" s="33">
        <v>0</v>
      </c>
      <c r="M186" s="1">
        <v>41830</v>
      </c>
      <c r="N186" s="33">
        <v>0</v>
      </c>
      <c r="P186" s="1">
        <v>41830</v>
      </c>
      <c r="Q186" s="33">
        <v>0</v>
      </c>
    </row>
    <row r="187" spans="2:17">
      <c r="B187" s="1">
        <v>41837</v>
      </c>
      <c r="C187" s="33">
        <v>0.44241787954298001</v>
      </c>
      <c r="D187" s="33">
        <f t="shared" si="6"/>
        <v>0</v>
      </c>
      <c r="E187" s="33">
        <f t="shared" si="8"/>
        <v>0</v>
      </c>
      <c r="F187" s="33">
        <f t="shared" si="7"/>
        <v>0</v>
      </c>
      <c r="G187" s="73">
        <f ca="1">VLOOKUP(B187+1,Bloomberg!B:C,2,0)</f>
        <v>1400.7</v>
      </c>
      <c r="H187" s="33">
        <f>VLOOKUP(B187,'Media Effect'!M:N,2,0)</f>
        <v>3.6985472623473202E-2</v>
      </c>
      <c r="J187" s="1">
        <v>41837</v>
      </c>
      <c r="K187" s="33">
        <v>0</v>
      </c>
      <c r="M187" s="1">
        <v>41837</v>
      </c>
      <c r="N187" s="33">
        <v>0</v>
      </c>
      <c r="P187" s="1">
        <v>41837</v>
      </c>
      <c r="Q187" s="33">
        <v>0</v>
      </c>
    </row>
    <row r="188" spans="2:17">
      <c r="B188" s="1">
        <v>41844</v>
      </c>
      <c r="C188" s="33">
        <v>0.44241787954298001</v>
      </c>
      <c r="D188" s="33">
        <f t="shared" si="6"/>
        <v>0</v>
      </c>
      <c r="E188" s="33">
        <f t="shared" si="8"/>
        <v>0</v>
      </c>
      <c r="F188" s="33">
        <f t="shared" si="7"/>
        <v>0</v>
      </c>
      <c r="G188" s="73">
        <f ca="1">VLOOKUP(B188+1,Bloomberg!B:C,2,0)</f>
        <v>1327.5</v>
      </c>
      <c r="H188" s="33">
        <f>VLOOKUP(B188,'Media Effect'!M:N,2,0)</f>
        <v>3.6985472623473202E-2</v>
      </c>
      <c r="J188" s="1">
        <v>41844</v>
      </c>
      <c r="K188" s="33">
        <v>0</v>
      </c>
      <c r="M188" s="1">
        <v>41844</v>
      </c>
      <c r="N188" s="33">
        <v>0</v>
      </c>
      <c r="P188" s="1">
        <v>41844</v>
      </c>
      <c r="Q188" s="33">
        <v>0</v>
      </c>
    </row>
    <row r="189" spans="2:17">
      <c r="B189" s="1">
        <v>41851</v>
      </c>
      <c r="C189" s="33">
        <v>0.44366576481104603</v>
      </c>
      <c r="D189" s="33">
        <f t="shared" si="6"/>
        <v>0</v>
      </c>
      <c r="E189" s="33">
        <f t="shared" si="8"/>
        <v>0</v>
      </c>
      <c r="F189" s="33">
        <f t="shared" si="7"/>
        <v>0</v>
      </c>
      <c r="G189" s="73">
        <f ca="1">VLOOKUP(B189+1,Bloomberg!B:C,2,0)</f>
        <v>1373.9</v>
      </c>
      <c r="H189" s="33">
        <f>VLOOKUP(B189,'Media Effect'!M:N,2,0)</f>
        <v>3.8081960412189197E-2</v>
      </c>
      <c r="J189" s="1">
        <v>41851</v>
      </c>
      <c r="K189" s="33">
        <v>0</v>
      </c>
      <c r="M189" s="1">
        <v>41851</v>
      </c>
      <c r="N189" s="33">
        <v>0</v>
      </c>
      <c r="P189" s="1">
        <v>41851</v>
      </c>
      <c r="Q189" s="33">
        <v>0</v>
      </c>
    </row>
    <row r="190" spans="2:17">
      <c r="B190" s="1">
        <v>41858</v>
      </c>
      <c r="C190" s="33">
        <v>0.41284557270170602</v>
      </c>
      <c r="D190" s="33">
        <f t="shared" si="6"/>
        <v>0</v>
      </c>
      <c r="E190" s="33">
        <f t="shared" si="8"/>
        <v>0</v>
      </c>
      <c r="F190" s="33">
        <f t="shared" si="7"/>
        <v>0</v>
      </c>
      <c r="G190" s="73">
        <f ca="1">VLOOKUP(B190+1,Bloomberg!B:C,2,0)</f>
        <v>1342.6</v>
      </c>
      <c r="H190" s="33">
        <f>VLOOKUP(B190,'Media Effect'!M:N,2,0)</f>
        <v>2.98931442613069E-2</v>
      </c>
      <c r="J190" s="1">
        <v>41858</v>
      </c>
      <c r="K190" s="33">
        <v>0</v>
      </c>
      <c r="M190" s="1">
        <v>41858</v>
      </c>
      <c r="N190" s="33">
        <v>0</v>
      </c>
      <c r="P190" s="1">
        <v>41858</v>
      </c>
      <c r="Q190" s="33">
        <v>0</v>
      </c>
    </row>
    <row r="191" spans="2:17">
      <c r="B191" s="1">
        <v>41865</v>
      </c>
      <c r="C191" s="33">
        <v>0.437009219217877</v>
      </c>
      <c r="D191" s="33">
        <f t="shared" si="6"/>
        <v>0</v>
      </c>
      <c r="E191" s="33">
        <f t="shared" si="8"/>
        <v>0</v>
      </c>
      <c r="F191" s="33">
        <f t="shared" si="7"/>
        <v>5.9130346511517896E-4</v>
      </c>
      <c r="G191" s="73">
        <f ca="1">VLOOKUP(B191+1,Bloomberg!B:C,2,0)</f>
        <v>1404.9</v>
      </c>
      <c r="H191" s="33">
        <f>VLOOKUP(B191,'Media Effect'!M:N,2,0)</f>
        <v>4.0576469480246402E-2</v>
      </c>
      <c r="J191" s="1">
        <v>41865</v>
      </c>
      <c r="K191" s="33">
        <v>0</v>
      </c>
      <c r="M191" s="1">
        <v>41865</v>
      </c>
      <c r="N191" s="33">
        <v>0</v>
      </c>
      <c r="P191" s="1">
        <v>41865</v>
      </c>
      <c r="Q191" s="33">
        <v>5.9130346511517896E-4</v>
      </c>
    </row>
    <row r="192" spans="2:17">
      <c r="B192" s="1">
        <v>41872</v>
      </c>
      <c r="C192" s="33">
        <v>0.46725416935729103</v>
      </c>
      <c r="D192" s="33">
        <f t="shared" si="6"/>
        <v>5.3862261135193497E-2</v>
      </c>
      <c r="E192" s="33">
        <f t="shared" si="8"/>
        <v>0</v>
      </c>
      <c r="F192" s="33">
        <f t="shared" si="7"/>
        <v>5.44200843584444E-2</v>
      </c>
      <c r="G192" s="73">
        <f ca="1">VLOOKUP(B192+1,Bloomberg!B:C,2,0)</f>
        <v>1439.4</v>
      </c>
      <c r="H192" s="33">
        <f>VLOOKUP(B192,'Media Effect'!M:N,2,0)</f>
        <v>5.5733257120455203E-2</v>
      </c>
      <c r="J192" s="1">
        <v>41872</v>
      </c>
      <c r="K192" s="33">
        <v>5.3862261135193497E-2</v>
      </c>
      <c r="M192" s="1">
        <v>41872</v>
      </c>
      <c r="N192" s="33">
        <v>0</v>
      </c>
      <c r="P192" s="1">
        <v>41872</v>
      </c>
      <c r="Q192" s="33">
        <v>5.44200843584444E-2</v>
      </c>
    </row>
    <row r="193" spans="2:17">
      <c r="B193" s="1">
        <v>41879</v>
      </c>
      <c r="C193" s="33">
        <v>0.46725416935729103</v>
      </c>
      <c r="D193" s="33">
        <f t="shared" si="6"/>
        <v>5.3862261135193497E-2</v>
      </c>
      <c r="E193" s="33">
        <f t="shared" si="8"/>
        <v>0</v>
      </c>
      <c r="F193" s="33">
        <f t="shared" si="7"/>
        <v>0</v>
      </c>
      <c r="G193" s="73">
        <f ca="1">VLOOKUP(B193+1,Bloomberg!B:C,2,0)</f>
        <v>1436</v>
      </c>
      <c r="H193" s="33">
        <f>VLOOKUP(B193,'Media Effect'!M:N,2,0)</f>
        <v>5.5210302843546E-2</v>
      </c>
      <c r="J193" s="1">
        <v>41879</v>
      </c>
      <c r="K193" s="33">
        <v>5.3862261135193497E-2</v>
      </c>
      <c r="M193" s="1">
        <v>41879</v>
      </c>
      <c r="N193" s="33">
        <v>0</v>
      </c>
      <c r="P193" s="1">
        <v>41879</v>
      </c>
      <c r="Q193" s="33">
        <v>0</v>
      </c>
    </row>
    <row r="194" spans="2:17">
      <c r="B194" s="1">
        <v>41886</v>
      </c>
      <c r="C194" s="33">
        <v>0.46145357757128402</v>
      </c>
      <c r="D194" s="33">
        <f t="shared" si="6"/>
        <v>0</v>
      </c>
      <c r="E194" s="33">
        <f t="shared" si="8"/>
        <v>0</v>
      </c>
      <c r="F194" s="33">
        <f t="shared" si="7"/>
        <v>0</v>
      </c>
      <c r="G194" s="73">
        <f ca="1">VLOOKUP(B194+1,Bloomberg!B:C,2,0)</f>
        <v>1275.8</v>
      </c>
      <c r="H194" s="33">
        <f>VLOOKUP(B194,'Media Effect'!M:N,2,0)</f>
        <v>5.6843667888921999E-2</v>
      </c>
      <c r="J194" s="1">
        <v>41886</v>
      </c>
      <c r="K194" s="33">
        <v>0</v>
      </c>
      <c r="M194" s="1">
        <v>41886</v>
      </c>
      <c r="N194" s="33">
        <v>0</v>
      </c>
      <c r="P194" s="1">
        <v>41886</v>
      </c>
      <c r="Q194" s="33">
        <v>0</v>
      </c>
    </row>
    <row r="195" spans="2:17">
      <c r="B195" s="1">
        <v>41893</v>
      </c>
      <c r="C195" s="33">
        <v>0.45995272695767497</v>
      </c>
      <c r="D195" s="33">
        <f t="shared" ref="D195:D233" si="9">VLOOKUP(B195,J:K,2,0)</f>
        <v>0</v>
      </c>
      <c r="E195" s="33">
        <f t="shared" si="8"/>
        <v>0</v>
      </c>
      <c r="F195" s="33">
        <f t="shared" ref="F195:F233" si="10">VLOOKUP(B195,P:Q,2,0)</f>
        <v>0</v>
      </c>
      <c r="G195" s="73">
        <f ca="1">VLOOKUP(B195+1,Bloomberg!B:C,2,0)</f>
        <v>1398.4</v>
      </c>
      <c r="H195" s="33">
        <f>VLOOKUP(B195,'Media Effect'!M:N,2,0)</f>
        <v>5.6963722019140399E-2</v>
      </c>
      <c r="J195" s="1">
        <v>41893</v>
      </c>
      <c r="K195" s="33">
        <v>0</v>
      </c>
      <c r="M195" s="1">
        <v>41893</v>
      </c>
      <c r="N195" s="33">
        <v>0</v>
      </c>
      <c r="P195" s="1">
        <v>41893</v>
      </c>
      <c r="Q195" s="33">
        <v>0</v>
      </c>
    </row>
    <row r="196" spans="2:17">
      <c r="B196" s="1">
        <v>41900</v>
      </c>
      <c r="C196" s="33">
        <v>0.403775681059653</v>
      </c>
      <c r="D196" s="33">
        <f t="shared" si="9"/>
        <v>0</v>
      </c>
      <c r="E196" s="33">
        <f t="shared" ref="E196:E233" si="11">VLOOKUP(B196,M:N,2,0)</f>
        <v>0</v>
      </c>
      <c r="F196" s="33">
        <f t="shared" si="10"/>
        <v>0</v>
      </c>
      <c r="G196" s="73">
        <f ca="1">VLOOKUP(B196+1,Bloomberg!B:C,2,0)</f>
        <v>1335.1</v>
      </c>
      <c r="H196" s="33">
        <f>VLOOKUP(B196,'Media Effect'!M:N,2,0)</f>
        <v>2.1801779477546102E-3</v>
      </c>
      <c r="J196" s="1">
        <v>41900</v>
      </c>
      <c r="K196" s="33">
        <v>0</v>
      </c>
      <c r="M196" s="1">
        <v>41900</v>
      </c>
      <c r="N196" s="33">
        <v>0</v>
      </c>
      <c r="P196" s="1">
        <v>41900</v>
      </c>
      <c r="Q196" s="33">
        <v>0</v>
      </c>
    </row>
    <row r="197" spans="2:17">
      <c r="B197" s="1">
        <v>41907</v>
      </c>
      <c r="C197" s="33">
        <v>0.40569534905697002</v>
      </c>
      <c r="D197" s="33">
        <f t="shared" si="9"/>
        <v>0</v>
      </c>
      <c r="E197" s="33">
        <f t="shared" si="11"/>
        <v>0</v>
      </c>
      <c r="F197" s="33">
        <f t="shared" si="10"/>
        <v>0</v>
      </c>
      <c r="G197" s="73">
        <f ca="1">VLOOKUP(B197+1,Bloomberg!B:C,2,0)</f>
        <v>1326.2</v>
      </c>
      <c r="H197" s="33">
        <f>VLOOKUP(B197,'Media Effect'!M:N,2,0)</f>
        <v>2.1899499180467298E-3</v>
      </c>
      <c r="J197" s="1">
        <v>41907</v>
      </c>
      <c r="K197" s="33">
        <v>0</v>
      </c>
      <c r="M197" s="1">
        <v>41907</v>
      </c>
      <c r="N197" s="33">
        <v>0</v>
      </c>
      <c r="P197" s="1">
        <v>41907</v>
      </c>
      <c r="Q197" s="33">
        <v>0</v>
      </c>
    </row>
    <row r="198" spans="2:17">
      <c r="B198" s="1">
        <v>41914</v>
      </c>
      <c r="C198" s="33">
        <v>0.419925946793896</v>
      </c>
      <c r="D198" s="33">
        <f t="shared" si="9"/>
        <v>0</v>
      </c>
      <c r="E198" s="33">
        <f t="shared" si="11"/>
        <v>6.4923966412872404E-4</v>
      </c>
      <c r="F198" s="33">
        <f t="shared" si="10"/>
        <v>0</v>
      </c>
      <c r="G198" s="73">
        <f ca="1">VLOOKUP(B198+1,Bloomberg!B:C,2,0)</f>
        <v>1387.1</v>
      </c>
      <c r="H198" s="33">
        <f>VLOOKUP(B198,'Media Effect'!M:N,2,0)</f>
        <v>5.78845043705907E-3</v>
      </c>
      <c r="J198" s="1">
        <v>41914</v>
      </c>
      <c r="K198" s="33">
        <v>0</v>
      </c>
      <c r="M198" s="1">
        <v>41914</v>
      </c>
      <c r="N198" s="33">
        <v>6.4923966412872404E-4</v>
      </c>
      <c r="P198" s="1">
        <v>41914</v>
      </c>
      <c r="Q198" s="33">
        <v>0</v>
      </c>
    </row>
    <row r="199" spans="2:17">
      <c r="B199" s="1">
        <v>41921</v>
      </c>
      <c r="C199" s="33">
        <v>0.45168042618119703</v>
      </c>
      <c r="D199" s="33">
        <f t="shared" si="9"/>
        <v>0</v>
      </c>
      <c r="E199" s="33">
        <f t="shared" si="11"/>
        <v>1.00775509847578E-3</v>
      </c>
      <c r="F199" s="33">
        <f t="shared" si="10"/>
        <v>1.00775509847578E-3</v>
      </c>
      <c r="G199" s="73">
        <f ca="1">VLOOKUP(B199+1,Bloomberg!B:C,2,0)</f>
        <v>1560.6</v>
      </c>
      <c r="H199" s="33">
        <f>VLOOKUP(B199,'Media Effect'!M:N,2,0)</f>
        <v>5.7460081272162802E-2</v>
      </c>
      <c r="J199" s="1">
        <v>41921</v>
      </c>
      <c r="K199" s="33">
        <v>0</v>
      </c>
      <c r="M199" s="1">
        <v>41921</v>
      </c>
      <c r="N199" s="33">
        <v>1.00775509847578E-3</v>
      </c>
      <c r="P199" s="1">
        <v>41921</v>
      </c>
      <c r="Q199" s="33">
        <v>1.00775509847578E-3</v>
      </c>
    </row>
    <row r="200" spans="2:17">
      <c r="B200" s="1">
        <v>41928</v>
      </c>
      <c r="C200" s="33">
        <v>0.51982909302980596</v>
      </c>
      <c r="D200" s="33">
        <f t="shared" si="9"/>
        <v>8.9141682364420397E-2</v>
      </c>
      <c r="E200" s="33">
        <f t="shared" si="11"/>
        <v>9.0356790924596503E-2</v>
      </c>
      <c r="F200" s="33">
        <f t="shared" si="10"/>
        <v>9.0356790924596503E-2</v>
      </c>
      <c r="G200" s="73">
        <f ca="1">VLOOKUP(B200+1,Bloomberg!B:C,2,0)</f>
        <v>1898.2</v>
      </c>
      <c r="H200" s="33">
        <f>VLOOKUP(B200,'Media Effect'!M:N,2,0)</f>
        <v>9.2515921347387203E-2</v>
      </c>
      <c r="J200" s="1">
        <v>41928</v>
      </c>
      <c r="K200" s="33">
        <v>8.9141682364420397E-2</v>
      </c>
      <c r="M200" s="1">
        <v>41928</v>
      </c>
      <c r="N200" s="33">
        <v>9.0356790924596503E-2</v>
      </c>
      <c r="P200" s="1">
        <v>41928</v>
      </c>
      <c r="Q200" s="33">
        <v>9.0356790924596503E-2</v>
      </c>
    </row>
    <row r="201" spans="2:17">
      <c r="B201" s="1">
        <v>41935</v>
      </c>
      <c r="C201" s="33">
        <v>0.54838604953283498</v>
      </c>
      <c r="D201" s="33">
        <f t="shared" si="9"/>
        <v>0.102036156885706</v>
      </c>
      <c r="E201" s="33">
        <f t="shared" si="11"/>
        <v>0.103644934949105</v>
      </c>
      <c r="F201" s="33">
        <f t="shared" si="10"/>
        <v>0.103644934949105</v>
      </c>
      <c r="G201" s="73">
        <f ca="1">VLOOKUP(B201+1,Bloomberg!B:C,2,0)</f>
        <v>1713.6</v>
      </c>
      <c r="H201" s="33">
        <f>VLOOKUP(B201,'Media Effect'!M:N,2,0)</f>
        <v>0.105678643107878</v>
      </c>
      <c r="J201" s="1">
        <v>41935</v>
      </c>
      <c r="K201" s="33">
        <v>0.102036156885706</v>
      </c>
      <c r="M201" s="1">
        <v>41935</v>
      </c>
      <c r="N201" s="33">
        <v>0.103644934949105</v>
      </c>
      <c r="P201" s="1">
        <v>41935</v>
      </c>
      <c r="Q201" s="33">
        <v>0.103644934949105</v>
      </c>
    </row>
    <row r="202" spans="2:17">
      <c r="B202" s="1">
        <v>41942</v>
      </c>
      <c r="C202" s="33">
        <v>0.519221652370358</v>
      </c>
      <c r="D202" s="33">
        <f t="shared" si="9"/>
        <v>8.9036077344863601E-2</v>
      </c>
      <c r="E202" s="33">
        <f t="shared" si="11"/>
        <v>0</v>
      </c>
      <c r="F202" s="33">
        <f t="shared" si="10"/>
        <v>0</v>
      </c>
      <c r="G202" s="73">
        <f ca="1">VLOOKUP(B202+1,Bloomberg!B:C,2,0)</f>
        <v>1604.8</v>
      </c>
      <c r="H202" s="33">
        <f>VLOOKUP(B202,'Media Effect'!M:N,2,0)</f>
        <v>9.2355670832085193E-2</v>
      </c>
      <c r="J202" s="1">
        <v>41942</v>
      </c>
      <c r="K202" s="33">
        <v>8.9036077344863601E-2</v>
      </c>
      <c r="M202" s="1">
        <v>41942</v>
      </c>
      <c r="N202" s="33">
        <v>0</v>
      </c>
      <c r="P202" s="1">
        <v>41942</v>
      </c>
      <c r="Q202" s="33">
        <v>0</v>
      </c>
    </row>
    <row r="203" spans="2:17">
      <c r="B203" s="1">
        <v>41949</v>
      </c>
      <c r="C203" s="33">
        <v>0.47679161148246502</v>
      </c>
      <c r="D203" s="33">
        <f t="shared" si="9"/>
        <v>0</v>
      </c>
      <c r="E203" s="33">
        <f t="shared" si="11"/>
        <v>0</v>
      </c>
      <c r="F203" s="33">
        <f t="shared" si="10"/>
        <v>0</v>
      </c>
      <c r="G203" s="73">
        <f ca="1">VLOOKUP(B203+1,Bloomberg!B:C,2,0)</f>
        <v>1565.3</v>
      </c>
      <c r="H203" s="33">
        <f>VLOOKUP(B203,'Media Effect'!M:N,2,0)</f>
        <v>7.3307962083476605E-2</v>
      </c>
      <c r="J203" s="1">
        <v>41949</v>
      </c>
      <c r="K203" s="33">
        <v>0</v>
      </c>
      <c r="M203" s="1">
        <v>41949</v>
      </c>
      <c r="N203" s="33">
        <v>0</v>
      </c>
      <c r="P203" s="1">
        <v>41949</v>
      </c>
      <c r="Q203" s="33">
        <v>0</v>
      </c>
    </row>
    <row r="204" spans="2:17">
      <c r="B204" s="1">
        <v>41956</v>
      </c>
      <c r="C204" s="33">
        <v>0.47696082053878203</v>
      </c>
      <c r="D204" s="33">
        <f t="shared" si="9"/>
        <v>0</v>
      </c>
      <c r="E204" s="33">
        <f t="shared" si="11"/>
        <v>1.4902494177175701E-3</v>
      </c>
      <c r="F204" s="33">
        <f t="shared" si="10"/>
        <v>1.4902494177175701E-3</v>
      </c>
      <c r="G204" s="73">
        <f ca="1">VLOOKUP(B204+1,Bloomberg!B:C,2,0)</f>
        <v>1563.2</v>
      </c>
      <c r="H204" s="33">
        <f>VLOOKUP(B204,'Media Effect'!M:N,2,0)</f>
        <v>7.4888854290669493E-2</v>
      </c>
      <c r="J204" s="1">
        <v>41956</v>
      </c>
      <c r="K204" s="33">
        <v>0</v>
      </c>
      <c r="M204" s="1">
        <v>41956</v>
      </c>
      <c r="N204" s="33">
        <v>1.4902494177175701E-3</v>
      </c>
      <c r="P204" s="1">
        <v>41956</v>
      </c>
      <c r="Q204" s="33">
        <v>1.4902494177175701E-3</v>
      </c>
    </row>
    <row r="205" spans="2:17">
      <c r="B205" s="1">
        <v>41963</v>
      </c>
      <c r="C205" s="33">
        <v>0.51126312077979097</v>
      </c>
      <c r="D205" s="33">
        <f t="shared" si="9"/>
        <v>0</v>
      </c>
      <c r="E205" s="33">
        <f t="shared" si="11"/>
        <v>1.9465534524820899E-3</v>
      </c>
      <c r="F205" s="33">
        <f t="shared" si="10"/>
        <v>1.9465534524820899E-3</v>
      </c>
      <c r="G205" s="73">
        <f ca="1">VLOOKUP(B205+1,Bloomberg!B:C,2,0)</f>
        <v>1547.9</v>
      </c>
      <c r="H205" s="33">
        <f>VLOOKUP(B205,'Media Effect'!M:N,2,0)</f>
        <v>9.2759285706895706E-2</v>
      </c>
      <c r="J205" s="1">
        <v>41963</v>
      </c>
      <c r="K205" s="33">
        <v>0</v>
      </c>
      <c r="M205" s="1">
        <v>41963</v>
      </c>
      <c r="N205" s="33">
        <v>1.9465534524820899E-3</v>
      </c>
      <c r="P205" s="1">
        <v>41963</v>
      </c>
      <c r="Q205" s="33">
        <v>1.9465534524820899E-3</v>
      </c>
    </row>
    <row r="206" spans="2:17">
      <c r="B206" s="1">
        <v>41969</v>
      </c>
      <c r="C206" s="33">
        <v>0.51222876537846296</v>
      </c>
      <c r="D206" s="33">
        <f t="shared" si="9"/>
        <v>0</v>
      </c>
      <c r="E206" s="33">
        <f t="shared" si="11"/>
        <v>1.9601498700341099E-3</v>
      </c>
      <c r="F206" s="33">
        <f t="shared" si="10"/>
        <v>1.9601498700341099E-3</v>
      </c>
      <c r="G206" s="73" t="e">
        <f ca="1">VLOOKUP(B206+1,Bloomberg!B:C,2,0)</f>
        <v>#N/A</v>
      </c>
      <c r="H206" s="33">
        <f>VLOOKUP(B206,'Media Effect'!M:N,2,0)</f>
        <v>9.3998413556807103E-2</v>
      </c>
      <c r="J206" s="1">
        <v>41969</v>
      </c>
      <c r="K206" s="33">
        <v>0</v>
      </c>
      <c r="M206" s="1">
        <v>41969</v>
      </c>
      <c r="N206" s="33">
        <v>1.9601498700341099E-3</v>
      </c>
      <c r="P206" s="1">
        <v>41969</v>
      </c>
      <c r="Q206" s="33">
        <v>1.9601498700341099E-3</v>
      </c>
    </row>
    <row r="207" spans="2:17">
      <c r="B207" s="1">
        <v>41977</v>
      </c>
      <c r="C207" s="33">
        <v>0.53685925114667898</v>
      </c>
      <c r="D207" s="33">
        <f t="shared" si="9"/>
        <v>0.107046613221161</v>
      </c>
      <c r="E207" s="33">
        <f t="shared" si="11"/>
        <v>0.107911443862841</v>
      </c>
      <c r="F207" s="33">
        <f t="shared" si="10"/>
        <v>0.106230521131833</v>
      </c>
      <c r="G207" s="73">
        <f ca="1">VLOOKUP(B207+1,Bloomberg!B:C,2,0)</f>
        <v>1548.6</v>
      </c>
      <c r="H207" s="33">
        <f>VLOOKUP(B207,'Media Effect'!M:N,2,0)</f>
        <v>0.10843983316764801</v>
      </c>
      <c r="J207" s="1">
        <v>41977</v>
      </c>
      <c r="K207" s="33">
        <v>0.107046613221161</v>
      </c>
      <c r="M207" s="1">
        <v>41977</v>
      </c>
      <c r="N207" s="33">
        <v>0.107911443862841</v>
      </c>
      <c r="P207" s="1">
        <v>41977</v>
      </c>
      <c r="Q207" s="33">
        <v>0.106230521131833</v>
      </c>
    </row>
    <row r="208" spans="2:17">
      <c r="B208" s="1">
        <v>41984</v>
      </c>
      <c r="C208" s="33">
        <v>0.53353274326337596</v>
      </c>
      <c r="D208" s="33">
        <f t="shared" si="9"/>
        <v>3.2686618131764701E-3</v>
      </c>
      <c r="E208" s="33">
        <f t="shared" si="11"/>
        <v>0</v>
      </c>
      <c r="F208" s="33">
        <f t="shared" si="10"/>
        <v>0</v>
      </c>
      <c r="G208" s="73">
        <f ca="1">VLOOKUP(B208+1,Bloomberg!B:C,2,0)</f>
        <v>1518.8</v>
      </c>
      <c r="H208" s="33">
        <f>VLOOKUP(B208,'Media Effect'!M:N,2,0)</f>
        <v>0.108243403634791</v>
      </c>
      <c r="J208" s="1">
        <v>41984</v>
      </c>
      <c r="K208" s="33">
        <v>3.2686618131764701E-3</v>
      </c>
      <c r="M208" s="1">
        <v>41984</v>
      </c>
      <c r="N208" s="33">
        <v>0</v>
      </c>
      <c r="P208" s="1">
        <v>41984</v>
      </c>
      <c r="Q208" s="33">
        <v>0</v>
      </c>
    </row>
    <row r="209" spans="2:17">
      <c r="B209" s="1">
        <v>41991</v>
      </c>
      <c r="C209" s="33">
        <v>0.57447022909045797</v>
      </c>
      <c r="D209" s="33">
        <f t="shared" si="9"/>
        <v>0.12578274299901701</v>
      </c>
      <c r="E209" s="33">
        <f t="shared" si="11"/>
        <v>0.127103043508559</v>
      </c>
      <c r="F209" s="33">
        <f t="shared" si="10"/>
        <v>0.127103043508559</v>
      </c>
      <c r="G209" s="73">
        <f ca="1">VLOOKUP(B209+1,Bloomberg!B:C,2,0)</f>
        <v>1538.7</v>
      </c>
      <c r="H209" s="33">
        <f>VLOOKUP(B209,'Media Effect'!M:N,2,0)</f>
        <v>0.13100701570916601</v>
      </c>
      <c r="J209" s="1">
        <v>41991</v>
      </c>
      <c r="K209" s="33">
        <v>0.12578274299901701</v>
      </c>
      <c r="M209" s="1">
        <v>41991</v>
      </c>
      <c r="N209" s="33">
        <v>0.127103043508559</v>
      </c>
      <c r="P209" s="1">
        <v>41991</v>
      </c>
      <c r="Q209" s="33">
        <v>0.127103043508559</v>
      </c>
    </row>
    <row r="210" spans="2:17">
      <c r="B210" s="1">
        <v>41997</v>
      </c>
      <c r="C210" s="33">
        <v>0.57166642614489205</v>
      </c>
      <c r="D210" s="33">
        <f t="shared" si="9"/>
        <v>0.12495979217764</v>
      </c>
      <c r="E210" s="33">
        <f t="shared" si="11"/>
        <v>0</v>
      </c>
      <c r="F210" s="33">
        <f t="shared" si="10"/>
        <v>0</v>
      </c>
      <c r="G210" s="73">
        <f ca="1">VLOOKUP(B210+1,Bloomberg!B:C,2,0)</f>
        <v>1164.2</v>
      </c>
      <c r="H210" s="33">
        <f>VLOOKUP(B210,'Media Effect'!M:N,2,0)</f>
        <v>0.128936720795501</v>
      </c>
      <c r="J210" s="1">
        <v>41997</v>
      </c>
      <c r="K210" s="33">
        <v>0.12495979217764</v>
      </c>
      <c r="M210" s="1">
        <v>41997</v>
      </c>
      <c r="N210" s="33">
        <v>0</v>
      </c>
      <c r="P210" s="1">
        <v>41997</v>
      </c>
      <c r="Q210" s="33">
        <v>0</v>
      </c>
    </row>
    <row r="211" spans="2:17">
      <c r="B211" s="1">
        <v>42004</v>
      </c>
      <c r="C211" s="33">
        <v>0.53680415412734395</v>
      </c>
      <c r="D211" s="33">
        <f t="shared" si="9"/>
        <v>0.107009628981847</v>
      </c>
      <c r="E211" s="33">
        <f t="shared" si="11"/>
        <v>0</v>
      </c>
      <c r="F211" s="33">
        <f t="shared" si="10"/>
        <v>0</v>
      </c>
      <c r="G211" s="73">
        <f ca="1">VLOOKUP(B211+1,Bloomberg!B:C,2,0)</f>
        <v>1347.6</v>
      </c>
      <c r="H211" s="33">
        <f>VLOOKUP(B211,'Media Effect'!M:N,2,0)</f>
        <v>0.11008343849461499</v>
      </c>
      <c r="J211" s="1">
        <v>42004</v>
      </c>
      <c r="K211" s="33">
        <v>0.107009628981847</v>
      </c>
      <c r="M211" s="1">
        <v>42004</v>
      </c>
      <c r="N211" s="33">
        <v>0</v>
      </c>
      <c r="P211" s="1">
        <v>42004</v>
      </c>
      <c r="Q211" s="33">
        <v>0</v>
      </c>
    </row>
    <row r="212" spans="2:17">
      <c r="B212" s="1">
        <v>42012</v>
      </c>
      <c r="C212" s="33">
        <v>0.59931706558407905</v>
      </c>
      <c r="D212" s="33">
        <f t="shared" si="9"/>
        <v>0.14381884025022901</v>
      </c>
      <c r="E212" s="33">
        <f t="shared" si="11"/>
        <v>0.14472565288389</v>
      </c>
      <c r="F212" s="33">
        <f t="shared" si="10"/>
        <v>0.14268475210645201</v>
      </c>
      <c r="G212" s="73">
        <f ca="1">VLOOKUP(B212+1,Bloomberg!B:C,2,0)</f>
        <v>2271.5</v>
      </c>
      <c r="H212" s="33">
        <f>VLOOKUP(B212,'Media Effect'!M:N,2,0)</f>
        <v>0.14791956318824301</v>
      </c>
      <c r="J212" s="1">
        <v>42012</v>
      </c>
      <c r="K212" s="33">
        <v>0.14381884025022901</v>
      </c>
      <c r="M212" s="1">
        <v>42012</v>
      </c>
      <c r="N212" s="33">
        <v>0.14472565288389</v>
      </c>
      <c r="P212" s="1">
        <v>42012</v>
      </c>
      <c r="Q212" s="33">
        <v>0.14268475210645201</v>
      </c>
    </row>
    <row r="213" spans="2:17">
      <c r="B213" s="1">
        <v>42019</v>
      </c>
      <c r="C213" s="33">
        <v>0.65582330233583797</v>
      </c>
      <c r="D213" s="33">
        <f t="shared" si="9"/>
        <v>0.17551998553620099</v>
      </c>
      <c r="E213" s="33">
        <f t="shared" si="11"/>
        <v>0.177765501913389</v>
      </c>
      <c r="F213" s="33">
        <f t="shared" si="10"/>
        <v>0.177765501913389</v>
      </c>
      <c r="G213" s="73">
        <f ca="1">VLOOKUP(B213+1,Bloomberg!B:C,2,0)</f>
        <v>2799.3</v>
      </c>
      <c r="H213" s="33">
        <f>VLOOKUP(B213,'Media Effect'!M:N,2,0)</f>
        <v>0.18556389775981899</v>
      </c>
      <c r="J213" s="1">
        <v>42019</v>
      </c>
      <c r="K213" s="33">
        <v>0.17551998553620099</v>
      </c>
      <c r="M213" s="1">
        <v>42019</v>
      </c>
      <c r="N213" s="33">
        <v>0.177765501913389</v>
      </c>
      <c r="P213" s="1">
        <v>42019</v>
      </c>
      <c r="Q213" s="33">
        <v>0.177765501913389</v>
      </c>
    </row>
    <row r="214" spans="2:17">
      <c r="B214" s="1">
        <v>42026</v>
      </c>
      <c r="C214" s="33">
        <v>0.65720471867066899</v>
      </c>
      <c r="D214" s="33">
        <f t="shared" si="9"/>
        <v>0.175852682693588</v>
      </c>
      <c r="E214" s="33">
        <f t="shared" si="11"/>
        <v>0.17811212012226099</v>
      </c>
      <c r="F214" s="33">
        <f t="shared" si="10"/>
        <v>0.17811212012226099</v>
      </c>
      <c r="G214" s="73">
        <f ca="1">VLOOKUP(B214+1,Bloomberg!B:C,2,0)</f>
        <v>2572.3000000000002</v>
      </c>
      <c r="H214" s="33">
        <f>VLOOKUP(B214,'Media Effect'!M:N,2,0)</f>
        <v>0.18606636138555099</v>
      </c>
      <c r="J214" s="1">
        <v>42026</v>
      </c>
      <c r="K214" s="33">
        <v>0.175852682693588</v>
      </c>
      <c r="M214" s="1">
        <v>42026</v>
      </c>
      <c r="N214" s="33">
        <v>0.17811212012226099</v>
      </c>
      <c r="P214" s="1">
        <v>42026</v>
      </c>
      <c r="Q214" s="33">
        <v>0.17811212012226099</v>
      </c>
    </row>
    <row r="215" spans="2:17">
      <c r="B215" s="1">
        <v>42033</v>
      </c>
      <c r="C215" s="33">
        <v>0.65582330233583797</v>
      </c>
      <c r="D215" s="33">
        <f t="shared" si="9"/>
        <v>0.17551998553620099</v>
      </c>
      <c r="E215" s="33">
        <f t="shared" si="11"/>
        <v>0</v>
      </c>
      <c r="F215" s="33">
        <f t="shared" si="10"/>
        <v>0</v>
      </c>
      <c r="G215" s="73">
        <f ca="1">VLOOKUP(B215+1,Bloomberg!B:C,2,0)</f>
        <v>2584.8000000000002</v>
      </c>
      <c r="H215" s="33">
        <f>VLOOKUP(B215,'Media Effect'!M:N,2,0)</f>
        <v>0.183514418950807</v>
      </c>
      <c r="J215" s="1">
        <v>42033</v>
      </c>
      <c r="K215" s="33">
        <v>0.17551998553620099</v>
      </c>
      <c r="M215" s="1">
        <v>42033</v>
      </c>
      <c r="N215" s="33">
        <v>0</v>
      </c>
      <c r="P215" s="1">
        <v>42033</v>
      </c>
      <c r="Q215" s="33">
        <v>0</v>
      </c>
    </row>
    <row r="216" spans="2:17">
      <c r="B216" s="75">
        <v>42040</v>
      </c>
      <c r="C216" s="76">
        <v>0.65455905311871299</v>
      </c>
      <c r="D216" s="76">
        <f t="shared" si="9"/>
        <v>0.18072689215360199</v>
      </c>
      <c r="E216" s="76">
        <f t="shared" si="11"/>
        <v>0</v>
      </c>
      <c r="F216" s="76">
        <f t="shared" si="10"/>
        <v>0.17933240004933601</v>
      </c>
      <c r="G216" s="77">
        <f ca="1">VLOOKUP(B216+1,Bloomberg!B:C,2,0)</f>
        <v>2291.3000000000002</v>
      </c>
      <c r="H216" s="33">
        <f>VLOOKUP(B216,'Media Effect'!M:N,2,0)</f>
        <v>0.18771115723731899</v>
      </c>
      <c r="J216" s="1">
        <v>42040</v>
      </c>
      <c r="K216" s="33">
        <v>0.18072689215360199</v>
      </c>
      <c r="M216" s="1">
        <v>42040</v>
      </c>
      <c r="N216" s="33">
        <v>0</v>
      </c>
      <c r="P216" s="1">
        <v>42040</v>
      </c>
      <c r="Q216" s="33">
        <v>0.17933240004933601</v>
      </c>
    </row>
    <row r="217" spans="2:17">
      <c r="B217" s="1">
        <v>42047</v>
      </c>
      <c r="C217" s="33">
        <v>0.62719075850631201</v>
      </c>
      <c r="D217" s="33">
        <f t="shared" si="9"/>
        <v>0</v>
      </c>
      <c r="E217" s="33">
        <f t="shared" si="11"/>
        <v>0</v>
      </c>
      <c r="F217" s="33">
        <f t="shared" si="10"/>
        <v>0</v>
      </c>
      <c r="G217" s="73">
        <f ca="1">VLOOKUP(B217+1,Bloomberg!B:C,2,0)</f>
        <v>1904.2</v>
      </c>
      <c r="H217" s="33">
        <f>VLOOKUP(B217,'Media Effect'!M:N,2,0)</f>
        <v>0.17272998234149201</v>
      </c>
      <c r="J217" s="1">
        <v>42047</v>
      </c>
      <c r="K217" s="33">
        <v>0</v>
      </c>
      <c r="M217" s="1">
        <v>42047</v>
      </c>
      <c r="N217" s="33">
        <v>0</v>
      </c>
      <c r="P217" s="1">
        <v>42047</v>
      </c>
      <c r="Q217" s="33">
        <v>0</v>
      </c>
    </row>
    <row r="218" spans="2:17">
      <c r="B218" s="1">
        <v>42054</v>
      </c>
      <c r="C218" s="33">
        <v>0.59003468905342005</v>
      </c>
      <c r="D218" s="33">
        <f t="shared" si="9"/>
        <v>0</v>
      </c>
      <c r="E218" s="33">
        <f t="shared" si="11"/>
        <v>0</v>
      </c>
      <c r="F218" s="33">
        <f t="shared" si="10"/>
        <v>0</v>
      </c>
      <c r="G218" s="73">
        <f ca="1">VLOOKUP(B218+1,Bloomberg!B:C,2,0)</f>
        <v>1703.1</v>
      </c>
      <c r="H218" s="33">
        <f>VLOOKUP(B218,'Media Effect'!M:N,2,0)</f>
        <v>0.146759122816186</v>
      </c>
      <c r="J218" s="1">
        <v>42054</v>
      </c>
      <c r="K218" s="33">
        <v>0</v>
      </c>
      <c r="M218" s="1">
        <v>42054</v>
      </c>
      <c r="N218" s="33">
        <v>0</v>
      </c>
      <c r="P218" s="1">
        <v>42054</v>
      </c>
      <c r="Q218" s="33">
        <v>0</v>
      </c>
    </row>
    <row r="219" spans="2:17">
      <c r="B219" s="1">
        <v>42061</v>
      </c>
      <c r="C219" s="33">
        <v>0.56144623129586702</v>
      </c>
      <c r="D219" s="33">
        <f t="shared" si="9"/>
        <v>0</v>
      </c>
      <c r="E219" s="33">
        <f t="shared" si="11"/>
        <v>0</v>
      </c>
      <c r="F219" s="33">
        <f t="shared" si="10"/>
        <v>0</v>
      </c>
      <c r="G219" s="73">
        <f ca="1">VLOOKUP(B219+1,Bloomberg!B:C,2,0)</f>
        <v>1740.3</v>
      </c>
      <c r="H219" s="33">
        <f>VLOOKUP(B219,'Media Effect'!M:N,2,0)</f>
        <v>0.13140881606048399</v>
      </c>
      <c r="J219" s="1">
        <v>42061</v>
      </c>
      <c r="K219" s="33">
        <v>0</v>
      </c>
      <c r="M219" s="1">
        <v>42061</v>
      </c>
      <c r="N219" s="33">
        <v>0</v>
      </c>
      <c r="P219" s="1">
        <v>42061</v>
      </c>
      <c r="Q219" s="33">
        <v>0</v>
      </c>
    </row>
    <row r="220" spans="2:17">
      <c r="B220" s="1">
        <v>42068</v>
      </c>
      <c r="C220" s="33">
        <v>0.58384753948448997</v>
      </c>
      <c r="D220" s="33">
        <f t="shared" si="9"/>
        <v>0</v>
      </c>
      <c r="E220" s="33">
        <f t="shared" si="11"/>
        <v>6.2884116237213504E-4</v>
      </c>
      <c r="F220" s="33">
        <f t="shared" si="10"/>
        <v>0</v>
      </c>
      <c r="G220" s="73">
        <f ca="1">VLOOKUP(B220+1,Bloomberg!B:C,2,0)</f>
        <v>1685.7</v>
      </c>
      <c r="H220" s="33">
        <f>VLOOKUP(B220,'Media Effect'!M:N,2,0)</f>
        <v>0.14554399189627501</v>
      </c>
      <c r="J220" s="1">
        <v>42068</v>
      </c>
      <c r="K220" s="33">
        <v>0</v>
      </c>
      <c r="M220" s="1">
        <v>42068</v>
      </c>
      <c r="N220" s="33">
        <v>6.2884116237213504E-4</v>
      </c>
      <c r="P220" s="1">
        <v>42068</v>
      </c>
      <c r="Q220" s="33">
        <v>0</v>
      </c>
    </row>
    <row r="221" spans="2:17">
      <c r="B221" s="1">
        <v>42075</v>
      </c>
      <c r="C221" s="33">
        <v>0.51703371456013503</v>
      </c>
      <c r="D221" s="33">
        <f t="shared" si="9"/>
        <v>0</v>
      </c>
      <c r="E221" s="33">
        <f t="shared" si="11"/>
        <v>0</v>
      </c>
      <c r="F221" s="33">
        <f t="shared" si="10"/>
        <v>0</v>
      </c>
      <c r="G221" s="73">
        <f ca="1">VLOOKUP(B221+1,Bloomberg!B:C,2,0)</f>
        <v>1623.6</v>
      </c>
      <c r="H221" s="33">
        <f>VLOOKUP(B221,'Media Effect'!M:N,2,0)</f>
        <v>0.109721001806031</v>
      </c>
      <c r="J221" s="1">
        <v>42075</v>
      </c>
      <c r="K221" s="33">
        <v>0</v>
      </c>
      <c r="M221" s="1">
        <v>42075</v>
      </c>
      <c r="N221" s="33">
        <v>0</v>
      </c>
      <c r="P221" s="1">
        <v>42075</v>
      </c>
      <c r="Q221" s="33">
        <v>0</v>
      </c>
    </row>
    <row r="222" spans="2:17">
      <c r="B222" s="1">
        <v>42082</v>
      </c>
      <c r="C222" s="33">
        <v>0.58146564562660097</v>
      </c>
      <c r="D222" s="33">
        <f t="shared" si="9"/>
        <v>0</v>
      </c>
      <c r="E222" s="33">
        <f t="shared" si="11"/>
        <v>0</v>
      </c>
      <c r="F222" s="33">
        <f t="shared" si="10"/>
        <v>0</v>
      </c>
      <c r="G222" s="73">
        <f ca="1">VLOOKUP(B222+1,Bloomberg!B:C,2,0)</f>
        <v>1860.8</v>
      </c>
      <c r="H222" s="33">
        <f>VLOOKUP(B222,'Media Effect'!M:N,2,0)</f>
        <v>0.145251647985956</v>
      </c>
      <c r="J222" s="1">
        <v>42082</v>
      </c>
      <c r="K222" s="33">
        <v>0</v>
      </c>
      <c r="M222" s="1">
        <v>42082</v>
      </c>
      <c r="N222" s="33">
        <v>0</v>
      </c>
      <c r="P222" s="1">
        <v>42082</v>
      </c>
      <c r="Q222" s="33">
        <v>0</v>
      </c>
    </row>
    <row r="223" spans="2:17">
      <c r="B223" s="1">
        <v>42089</v>
      </c>
      <c r="C223" s="33">
        <v>0.61985540937113104</v>
      </c>
      <c r="D223" s="33">
        <f t="shared" si="9"/>
        <v>0</v>
      </c>
      <c r="E223" s="33">
        <f t="shared" si="11"/>
        <v>9.60298428502188E-4</v>
      </c>
      <c r="F223" s="33">
        <f t="shared" si="10"/>
        <v>9.60298428502188E-4</v>
      </c>
      <c r="G223" s="73">
        <f ca="1">VLOOKUP(B223+1,Bloomberg!B:C,2,0)</f>
        <v>1941.6</v>
      </c>
      <c r="H223" s="33">
        <f>VLOOKUP(B223,'Media Effect'!M:N,2,0)</f>
        <v>0.16936375390644101</v>
      </c>
      <c r="J223" s="1">
        <v>42089</v>
      </c>
      <c r="K223" s="33">
        <v>0</v>
      </c>
      <c r="M223" s="1">
        <v>42089</v>
      </c>
      <c r="N223" s="33">
        <v>9.60298428502188E-4</v>
      </c>
      <c r="P223" s="1">
        <v>42089</v>
      </c>
      <c r="Q223" s="33">
        <v>9.60298428502188E-4</v>
      </c>
    </row>
    <row r="224" spans="2:17">
      <c r="B224" s="1">
        <v>42096</v>
      </c>
      <c r="C224" s="33">
        <v>0.60618674833379105</v>
      </c>
      <c r="D224" s="33">
        <f t="shared" si="9"/>
        <v>0</v>
      </c>
      <c r="E224" s="33">
        <f t="shared" si="11"/>
        <v>1.45191950633741E-3</v>
      </c>
      <c r="F224" s="33">
        <f t="shared" si="10"/>
        <v>0</v>
      </c>
      <c r="G224" s="73">
        <f ca="1">VLOOKUP(B224+1,Bloomberg!B:C,2,0)</f>
        <v>1854.7</v>
      </c>
      <c r="H224" s="33">
        <f>VLOOKUP(B224,'Media Effect'!M:N,2,0)</f>
        <v>0.16611661450599</v>
      </c>
      <c r="J224" s="1">
        <v>42096</v>
      </c>
      <c r="K224" s="33">
        <v>0</v>
      </c>
      <c r="M224" s="1">
        <v>42096</v>
      </c>
      <c r="N224" s="33">
        <v>1.45191950633741E-3</v>
      </c>
      <c r="P224" s="1">
        <v>42096</v>
      </c>
      <c r="Q224" s="33">
        <v>0</v>
      </c>
    </row>
    <row r="225" spans="2:17">
      <c r="B225" s="1">
        <v>42103</v>
      </c>
      <c r="C225" s="33">
        <v>0.63179874985391804</v>
      </c>
      <c r="D225" s="33">
        <f t="shared" si="9"/>
        <v>2.04914469266147E-3</v>
      </c>
      <c r="E225" s="33">
        <f t="shared" si="11"/>
        <v>3.87908393633439E-3</v>
      </c>
      <c r="F225" s="33">
        <f t="shared" si="10"/>
        <v>3.87908393633439E-3</v>
      </c>
      <c r="G225" s="73">
        <f ca="1">VLOOKUP(B225+1,Bloomberg!B:C,2,0)</f>
        <v>1804.6</v>
      </c>
      <c r="H225" s="33">
        <f>VLOOKUP(B225,'Media Effect'!M:N,2,0)</f>
        <v>0.18505564947661601</v>
      </c>
      <c r="J225" s="1">
        <v>42103</v>
      </c>
      <c r="K225" s="33">
        <v>2.04914469266147E-3</v>
      </c>
      <c r="M225" s="1">
        <v>42103</v>
      </c>
      <c r="N225" s="33">
        <v>3.87908393633439E-3</v>
      </c>
      <c r="P225" s="1">
        <v>42103</v>
      </c>
      <c r="Q225" s="33">
        <v>3.87908393633439E-3</v>
      </c>
    </row>
    <row r="226" spans="2:17">
      <c r="B226" s="1">
        <v>42110</v>
      </c>
      <c r="C226" s="33">
        <v>0.60745911385405604</v>
      </c>
      <c r="D226" s="33">
        <f t="shared" si="9"/>
        <v>0</v>
      </c>
      <c r="E226" s="33">
        <f t="shared" si="11"/>
        <v>0</v>
      </c>
      <c r="F226" s="33">
        <f t="shared" si="10"/>
        <v>0</v>
      </c>
      <c r="G226" s="73">
        <f ca="1">VLOOKUP(B226+1,Bloomberg!B:C,2,0)</f>
        <v>1817</v>
      </c>
      <c r="H226" s="33">
        <f>VLOOKUP(B226,'Media Effect'!M:N,2,0)</f>
        <v>0.16810406485709101</v>
      </c>
      <c r="J226" s="1">
        <v>42110</v>
      </c>
      <c r="K226" s="33">
        <v>0</v>
      </c>
      <c r="M226" s="1">
        <v>42110</v>
      </c>
      <c r="N226" s="33">
        <v>0</v>
      </c>
      <c r="P226" s="1">
        <v>42110</v>
      </c>
      <c r="Q226" s="33">
        <v>0</v>
      </c>
    </row>
    <row r="227" spans="2:17">
      <c r="B227" s="1">
        <v>42117</v>
      </c>
      <c r="C227" s="33">
        <v>0.63350921207897204</v>
      </c>
      <c r="D227" s="33">
        <f t="shared" si="9"/>
        <v>2.0688636543890401E-3</v>
      </c>
      <c r="E227" s="33">
        <f t="shared" si="11"/>
        <v>3.9431628666260904E-3</v>
      </c>
      <c r="F227" s="33">
        <f t="shared" si="10"/>
        <v>3.9431628666260904E-3</v>
      </c>
      <c r="G227" s="73">
        <f ca="1">VLOOKUP(B227+1,Bloomberg!B:C,2,0)</f>
        <v>1723</v>
      </c>
      <c r="H227" s="33">
        <f>VLOOKUP(B227,'Media Effect'!M:N,2,0)</f>
        <v>0.187930762639857</v>
      </c>
      <c r="J227" s="1">
        <v>42117</v>
      </c>
      <c r="K227" s="33">
        <v>2.0688636543890401E-3</v>
      </c>
      <c r="M227" s="1">
        <v>42117</v>
      </c>
      <c r="N227" s="33">
        <v>3.9431628666260904E-3</v>
      </c>
      <c r="P227" s="1">
        <v>42117</v>
      </c>
      <c r="Q227" s="33">
        <v>3.9431628666260904E-3</v>
      </c>
    </row>
    <row r="228" spans="2:17">
      <c r="B228" s="1">
        <v>42124</v>
      </c>
      <c r="C228" s="33">
        <v>0.608876308109219</v>
      </c>
      <c r="D228" s="33">
        <f t="shared" si="9"/>
        <v>1.57914232208429E-3</v>
      </c>
      <c r="E228" s="33">
        <f t="shared" si="11"/>
        <v>0</v>
      </c>
      <c r="F228" s="33">
        <f t="shared" si="10"/>
        <v>0</v>
      </c>
      <c r="G228" s="73">
        <f ca="1">VLOOKUP(B228+1,Bloomberg!B:C,2,0)</f>
        <v>1559.4</v>
      </c>
      <c r="H228" s="33">
        <f>VLOOKUP(B228,'Media Effect'!M:N,2,0)</f>
        <v>0.168531927128662</v>
      </c>
      <c r="J228" s="1">
        <v>42124</v>
      </c>
      <c r="K228" s="33">
        <v>1.57914232208429E-3</v>
      </c>
      <c r="M228" s="1">
        <v>42124</v>
      </c>
      <c r="N228" s="33">
        <v>0</v>
      </c>
      <c r="P228" s="1">
        <v>42124</v>
      </c>
      <c r="Q228" s="33">
        <v>0</v>
      </c>
    </row>
    <row r="229" spans="2:17">
      <c r="B229" s="1">
        <v>42131</v>
      </c>
      <c r="C229" s="33">
        <v>0.53238458781035902</v>
      </c>
      <c r="D229" s="33">
        <f t="shared" si="9"/>
        <v>0</v>
      </c>
      <c r="E229" s="33">
        <f t="shared" si="11"/>
        <v>7.0383308801985904E-4</v>
      </c>
      <c r="F229" s="33">
        <f t="shared" si="10"/>
        <v>0</v>
      </c>
      <c r="G229" s="73">
        <f ca="1">VLOOKUP(B229+1,Bloomberg!B:C,2,0)</f>
        <v>1477.8</v>
      </c>
      <c r="H229" s="33">
        <f>VLOOKUP(B229,'Media Effect'!M:N,2,0)</f>
        <v>3.4714448657501701E-3</v>
      </c>
      <c r="J229" s="1">
        <v>42131</v>
      </c>
      <c r="K229" s="33">
        <v>0</v>
      </c>
      <c r="M229" s="1">
        <v>42131</v>
      </c>
      <c r="N229" s="33">
        <v>7.0383308801985904E-4</v>
      </c>
      <c r="P229" s="1">
        <v>42131</v>
      </c>
      <c r="Q229" s="33">
        <v>0</v>
      </c>
    </row>
    <row r="230" spans="2:17">
      <c r="B230" s="1">
        <v>42138</v>
      </c>
      <c r="C230" s="33">
        <v>0.52626041924754496</v>
      </c>
      <c r="D230" s="33">
        <f t="shared" si="9"/>
        <v>0</v>
      </c>
      <c r="E230" s="33">
        <f t="shared" si="11"/>
        <v>0</v>
      </c>
      <c r="F230" s="33">
        <f t="shared" si="10"/>
        <v>0</v>
      </c>
      <c r="G230" s="73">
        <f ca="1">VLOOKUP(B230+1,Bloomberg!B:C,2,0)</f>
        <v>1448.8</v>
      </c>
      <c r="H230" s="33">
        <f>VLOOKUP(B230,'Media Effect'!M:N,2,0)</f>
        <v>2.3331317991025198E-3</v>
      </c>
      <c r="J230" s="1">
        <v>42138</v>
      </c>
      <c r="K230" s="33">
        <v>0</v>
      </c>
      <c r="M230" s="1">
        <v>42138</v>
      </c>
      <c r="N230" s="33">
        <v>0</v>
      </c>
      <c r="P230" s="1">
        <v>42138</v>
      </c>
      <c r="Q230" s="33">
        <v>0</v>
      </c>
    </row>
    <row r="231" spans="2:17">
      <c r="B231" s="1">
        <v>42145</v>
      </c>
      <c r="C231" s="33">
        <v>0.49530657385961702</v>
      </c>
      <c r="D231" s="33">
        <f t="shared" si="9"/>
        <v>0</v>
      </c>
      <c r="E231" s="33">
        <f t="shared" si="11"/>
        <v>0</v>
      </c>
      <c r="F231" s="33">
        <f t="shared" si="10"/>
        <v>0</v>
      </c>
      <c r="G231" s="73">
        <f ca="1">VLOOKUP(B231+1,Bloomberg!B:C,2,0)</f>
        <v>1408.1</v>
      </c>
      <c r="H231" s="33">
        <f>VLOOKUP(B231,'Media Effect'!M:N,2,0)</f>
        <v>1.67442383088528E-3</v>
      </c>
      <c r="J231" s="1">
        <v>42145</v>
      </c>
      <c r="K231" s="33">
        <v>0</v>
      </c>
      <c r="M231" s="1">
        <v>42145</v>
      </c>
      <c r="N231" s="33">
        <v>0</v>
      </c>
      <c r="P231" s="1">
        <v>42145</v>
      </c>
      <c r="Q231" s="33">
        <v>0</v>
      </c>
    </row>
    <row r="232" spans="2:17">
      <c r="B232" s="28">
        <v>42152</v>
      </c>
      <c r="C232" s="32">
        <v>0.49518214427458052</v>
      </c>
      <c r="D232" s="33">
        <f t="shared" si="9"/>
        <v>0</v>
      </c>
      <c r="E232" s="33">
        <f t="shared" si="11"/>
        <v>0</v>
      </c>
      <c r="F232" s="33">
        <f t="shared" si="10"/>
        <v>0</v>
      </c>
      <c r="G232" s="73">
        <f ca="1">VLOOKUP(B232+1,Bloomberg!B:C,2,0)</f>
        <v>1233.9000000000001</v>
      </c>
      <c r="H232" s="33">
        <f>VLOOKUP(B232,'Media Effect'!M:N,2,0)</f>
        <v>1.6736251546201301E-3</v>
      </c>
      <c r="J232" s="1">
        <v>42152</v>
      </c>
      <c r="K232" s="33">
        <v>0</v>
      </c>
      <c r="M232" s="1">
        <v>42152</v>
      </c>
      <c r="N232" s="33">
        <v>0</v>
      </c>
      <c r="P232" s="1">
        <v>42152</v>
      </c>
      <c r="Q232" s="33">
        <v>0</v>
      </c>
    </row>
    <row r="233" spans="2:17">
      <c r="B233" s="28">
        <v>42159</v>
      </c>
      <c r="C233" s="32">
        <v>0.49151040605794738</v>
      </c>
      <c r="D233" s="33">
        <f t="shared" si="9"/>
        <v>0</v>
      </c>
      <c r="E233" s="33">
        <f t="shared" si="11"/>
        <v>1.9176458430616799E-4</v>
      </c>
      <c r="F233" s="33">
        <f t="shared" si="10"/>
        <v>0</v>
      </c>
      <c r="G233" s="73" t="e">
        <f ca="1">VLOOKUP(B233+1,Bloomberg!B:C,2,0)</f>
        <v>#N/A</v>
      </c>
      <c r="H233" s="33">
        <f>VLOOKUP(B233,'Media Effect'!M:N,2,0)</f>
        <v>1.4226748396708299E-3</v>
      </c>
      <c r="J233" s="1">
        <v>42159</v>
      </c>
      <c r="K233" s="33">
        <v>0</v>
      </c>
      <c r="M233" s="1">
        <v>42159</v>
      </c>
      <c r="N233" s="33">
        <v>1.9176458430616799E-4</v>
      </c>
      <c r="P233" s="1">
        <v>42159</v>
      </c>
      <c r="Q233" s="33">
        <v>0</v>
      </c>
    </row>
    <row r="234" spans="2:17">
      <c r="M234" s="1">
        <v>42166</v>
      </c>
      <c r="N234" s="33">
        <v>0</v>
      </c>
      <c r="P234" s="1">
        <v>42166</v>
      </c>
      <c r="Q234" s="33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0:G33"/>
  <sheetViews>
    <sheetView workbookViewId="0">
      <selection activeCell="D19" sqref="D19"/>
    </sheetView>
  </sheetViews>
  <sheetFormatPr defaultRowHeight="15"/>
  <cols>
    <col min="4" max="4" width="10.7109375" bestFit="1" customWidth="1"/>
  </cols>
  <sheetData>
    <row r="10" spans="3:7">
      <c r="C10" t="s">
        <v>86</v>
      </c>
      <c r="D10" t="s">
        <v>87</v>
      </c>
      <c r="E10" t="s">
        <v>88</v>
      </c>
      <c r="F10" t="s">
        <v>94</v>
      </c>
      <c r="G10" t="s">
        <v>85</v>
      </c>
    </row>
    <row r="11" spans="3:7">
      <c r="C11" s="1">
        <v>41732</v>
      </c>
      <c r="D11" s="1">
        <v>41984</v>
      </c>
      <c r="E11" s="1">
        <v>41760</v>
      </c>
      <c r="F11" s="1">
        <v>42005</v>
      </c>
      <c r="G11" s="74">
        <v>3.7650000000000001</v>
      </c>
    </row>
    <row r="12" spans="3:7">
      <c r="C12" s="1">
        <v>41732</v>
      </c>
      <c r="D12" s="1">
        <v>41991</v>
      </c>
      <c r="E12" s="1">
        <v>41760</v>
      </c>
      <c r="F12" s="1">
        <v>42005</v>
      </c>
      <c r="G12" s="74">
        <v>3.7</v>
      </c>
    </row>
    <row r="13" spans="3:7">
      <c r="C13" s="1">
        <v>41732</v>
      </c>
      <c r="D13" s="1">
        <v>41997</v>
      </c>
      <c r="E13" s="1">
        <v>41760</v>
      </c>
      <c r="F13" s="1">
        <v>42005</v>
      </c>
      <c r="G13" s="74">
        <v>3.7</v>
      </c>
    </row>
    <row r="14" spans="3:7">
      <c r="C14" s="1">
        <v>41732</v>
      </c>
      <c r="D14" s="1">
        <v>42004</v>
      </c>
      <c r="E14" s="1">
        <v>41760</v>
      </c>
      <c r="F14" s="1">
        <v>42005</v>
      </c>
      <c r="G14" s="74">
        <v>3.7</v>
      </c>
    </row>
    <row r="15" spans="3:7">
      <c r="C15" s="1">
        <v>41732</v>
      </c>
      <c r="D15" s="1">
        <v>42012</v>
      </c>
      <c r="E15" s="1">
        <v>41760</v>
      </c>
      <c r="F15" s="1">
        <v>42036</v>
      </c>
      <c r="G15" s="74">
        <v>3.63</v>
      </c>
    </row>
    <row r="16" spans="3:7">
      <c r="C16" s="1">
        <v>41732</v>
      </c>
      <c r="D16" s="1">
        <v>42019</v>
      </c>
      <c r="E16" s="1">
        <v>41760</v>
      </c>
      <c r="F16" s="1">
        <v>42036</v>
      </c>
      <c r="G16" s="74">
        <v>3.56</v>
      </c>
    </row>
    <row r="17" spans="3:7">
      <c r="C17" s="1">
        <v>41732</v>
      </c>
      <c r="D17" s="1">
        <v>42026</v>
      </c>
      <c r="E17" s="1">
        <v>41760</v>
      </c>
      <c r="F17" s="1">
        <v>42036</v>
      </c>
      <c r="G17" s="74">
        <v>3.5550000000000002</v>
      </c>
    </row>
    <row r="18" spans="3:7">
      <c r="C18" s="1">
        <v>41732</v>
      </c>
      <c r="D18" s="1">
        <v>42033</v>
      </c>
      <c r="E18" s="1">
        <v>41760</v>
      </c>
      <c r="F18" s="1">
        <v>42036</v>
      </c>
      <c r="G18" s="74">
        <v>3.5550000000000002</v>
      </c>
    </row>
    <row r="19" spans="3:7">
      <c r="C19" s="1">
        <v>41732</v>
      </c>
      <c r="D19" s="1">
        <v>42040</v>
      </c>
      <c r="E19" s="1">
        <v>41760</v>
      </c>
      <c r="F19" s="1">
        <v>42064</v>
      </c>
      <c r="G19" s="74">
        <v>3.5149900000000001</v>
      </c>
    </row>
    <row r="20" spans="3:7">
      <c r="C20" s="1">
        <v>41732</v>
      </c>
      <c r="D20" s="1">
        <v>42047</v>
      </c>
      <c r="E20" s="1">
        <v>41760</v>
      </c>
      <c r="F20" s="1">
        <v>42064</v>
      </c>
      <c r="G20" s="74">
        <v>3.5149900000000001</v>
      </c>
    </row>
    <row r="21" spans="3:7">
      <c r="C21" s="1">
        <v>41732</v>
      </c>
      <c r="D21" s="1">
        <v>42054</v>
      </c>
      <c r="E21" s="1">
        <v>41760</v>
      </c>
      <c r="F21" s="1">
        <v>42064</v>
      </c>
      <c r="G21" s="74">
        <v>3.5149900000000001</v>
      </c>
    </row>
    <row r="22" spans="3:7">
      <c r="C22" s="1">
        <v>41732</v>
      </c>
      <c r="D22" s="1">
        <v>42061</v>
      </c>
      <c r="E22" s="1">
        <v>41760</v>
      </c>
      <c r="F22" s="1">
        <v>42064</v>
      </c>
      <c r="G22" s="74">
        <v>3.5149900000000001</v>
      </c>
    </row>
    <row r="23" spans="3:7">
      <c r="C23" s="1">
        <v>41732</v>
      </c>
      <c r="D23" s="1">
        <v>42068</v>
      </c>
      <c r="E23" s="1">
        <v>41760</v>
      </c>
      <c r="F23" s="1">
        <v>42095</v>
      </c>
      <c r="G23" s="74">
        <v>3.5149900000000001</v>
      </c>
    </row>
    <row r="24" spans="3:7">
      <c r="C24" s="1">
        <v>41732</v>
      </c>
      <c r="D24" s="1">
        <v>42075</v>
      </c>
      <c r="E24" s="1">
        <v>41760</v>
      </c>
      <c r="F24" s="1">
        <v>42095</v>
      </c>
      <c r="G24" s="74">
        <v>3.5149900000000001</v>
      </c>
    </row>
    <row r="25" spans="3:7">
      <c r="C25" s="1">
        <v>41732</v>
      </c>
      <c r="D25" s="1">
        <v>42082</v>
      </c>
      <c r="E25" s="1">
        <v>41760</v>
      </c>
      <c r="F25" s="1">
        <v>42095</v>
      </c>
      <c r="G25" s="74">
        <v>3.5149900000000001</v>
      </c>
    </row>
    <row r="26" spans="3:7">
      <c r="C26" s="1">
        <v>41732</v>
      </c>
      <c r="D26" s="1">
        <v>42089</v>
      </c>
      <c r="E26" s="1">
        <v>41760</v>
      </c>
      <c r="F26" s="1">
        <v>42095</v>
      </c>
      <c r="G26" s="74">
        <v>3.5149900000000001</v>
      </c>
    </row>
    <row r="27" spans="3:7">
      <c r="C27" s="1">
        <v>41732</v>
      </c>
      <c r="D27" s="1">
        <v>42096</v>
      </c>
      <c r="E27" s="1">
        <v>41760</v>
      </c>
      <c r="F27" s="1">
        <v>42125</v>
      </c>
      <c r="G27" s="74">
        <v>3.5149900000000001</v>
      </c>
    </row>
    <row r="28" spans="3:7">
      <c r="C28" s="1">
        <v>41732</v>
      </c>
      <c r="D28" s="1">
        <v>42103</v>
      </c>
      <c r="E28" s="1">
        <v>41760</v>
      </c>
      <c r="F28" s="1">
        <v>42125</v>
      </c>
      <c r="G28" s="74">
        <v>3.5149900000000001</v>
      </c>
    </row>
    <row r="29" spans="3:7">
      <c r="C29" s="1">
        <v>41732</v>
      </c>
      <c r="D29" s="1">
        <v>42110</v>
      </c>
      <c r="E29" s="1">
        <v>41760</v>
      </c>
      <c r="F29" s="1">
        <v>42125</v>
      </c>
      <c r="G29" s="74">
        <v>3.5149900000000001</v>
      </c>
    </row>
    <row r="30" spans="3:7">
      <c r="C30" s="1">
        <v>41732</v>
      </c>
      <c r="D30" s="1">
        <v>42117</v>
      </c>
      <c r="E30" s="1">
        <v>41760</v>
      </c>
      <c r="F30" s="1">
        <v>42125</v>
      </c>
      <c r="G30" s="74">
        <v>3.5149900000000001</v>
      </c>
    </row>
    <row r="31" spans="3:7">
      <c r="C31" s="1">
        <v>41732</v>
      </c>
      <c r="D31" s="1">
        <v>42124</v>
      </c>
      <c r="E31" s="1">
        <v>41760</v>
      </c>
      <c r="F31" s="1">
        <v>42125</v>
      </c>
      <c r="G31" s="74">
        <v>3.5149900000000001</v>
      </c>
    </row>
    <row r="32" spans="3:7">
      <c r="C32" s="1">
        <v>41732</v>
      </c>
      <c r="D32" s="1">
        <v>42131</v>
      </c>
      <c r="E32" s="1">
        <v>41760</v>
      </c>
      <c r="F32" s="1">
        <v>42156</v>
      </c>
      <c r="G32" s="74">
        <v>3.5149900000000001</v>
      </c>
    </row>
    <row r="33" spans="3:7">
      <c r="C33" s="1">
        <v>41732</v>
      </c>
      <c r="D33" s="1">
        <v>42138</v>
      </c>
      <c r="E33" s="1">
        <v>41760</v>
      </c>
      <c r="F33" s="1">
        <v>42156</v>
      </c>
      <c r="G33" s="74">
        <v>3.5149900000000001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D8:F27"/>
  <sheetViews>
    <sheetView topLeftCell="A4" zoomScaleNormal="100" workbookViewId="0">
      <selection activeCell="AA19" sqref="AA19"/>
    </sheetView>
  </sheetViews>
  <sheetFormatPr defaultRowHeight="15"/>
  <sheetData>
    <row r="8" spans="4:4">
      <c r="D8" t="s">
        <v>97</v>
      </c>
    </row>
    <row r="9" spans="4:4">
      <c r="D9" t="s">
        <v>96</v>
      </c>
    </row>
    <row r="26" spans="4:6">
      <c r="D26" t="s">
        <v>98</v>
      </c>
      <c r="F26" t="s">
        <v>99</v>
      </c>
    </row>
    <row r="27" spans="4:6">
      <c r="F27" t="s">
        <v>100</v>
      </c>
    </row>
  </sheetData>
  <pageMargins left="0.7" right="0.7" top="0.75" bottom="0.75" header="0.3" footer="0.3"/>
  <pageSetup scale="66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N235"/>
  <sheetViews>
    <sheetView workbookViewId="0">
      <selection activeCell="E233" sqref="E233"/>
    </sheetView>
  </sheetViews>
  <sheetFormatPr defaultRowHeight="15"/>
  <cols>
    <col min="2" max="2" width="10.7109375" bestFit="1" customWidth="1"/>
    <col min="3" max="3" width="16" bestFit="1" customWidth="1"/>
    <col min="4" max="4" width="15" customWidth="1"/>
    <col min="6" max="6" width="9.28515625" hidden="1" customWidth="1"/>
    <col min="7" max="7" width="10.7109375" hidden="1" customWidth="1"/>
    <col min="8" max="8" width="11" hidden="1" customWidth="1"/>
    <col min="9" max="9" width="10.140625" hidden="1" customWidth="1"/>
    <col min="10" max="10" width="12" hidden="1" customWidth="1"/>
    <col min="11" max="11" width="0" hidden="1" customWidth="1"/>
    <col min="13" max="13" width="10.7109375" bestFit="1" customWidth="1"/>
    <col min="14" max="14" width="12.85546875" bestFit="1" customWidth="1"/>
  </cols>
  <sheetData>
    <row r="3" spans="2:14">
      <c r="B3" t="s">
        <v>38</v>
      </c>
      <c r="C3" t="s">
        <v>39</v>
      </c>
      <c r="D3" t="s">
        <v>101</v>
      </c>
      <c r="F3" t="s">
        <v>86</v>
      </c>
      <c r="G3" t="s">
        <v>87</v>
      </c>
      <c r="H3" t="s">
        <v>88</v>
      </c>
      <c r="I3" t="s">
        <v>94</v>
      </c>
      <c r="J3" t="s">
        <v>101</v>
      </c>
      <c r="M3" t="s">
        <v>23</v>
      </c>
      <c r="N3" t="s">
        <v>25</v>
      </c>
    </row>
    <row r="4" spans="2:14">
      <c r="B4" s="1">
        <v>41732</v>
      </c>
      <c r="C4">
        <v>4.335</v>
      </c>
      <c r="F4" s="1">
        <v>41732</v>
      </c>
      <c r="G4" s="1">
        <v>41732</v>
      </c>
      <c r="H4" s="1">
        <v>41760</v>
      </c>
      <c r="I4" s="1">
        <v>41760</v>
      </c>
      <c r="M4" s="1">
        <v>40549</v>
      </c>
      <c r="N4" s="81">
        <v>3.7596565105309601E-4</v>
      </c>
    </row>
    <row r="5" spans="2:14">
      <c r="B5" s="1">
        <v>41739</v>
      </c>
      <c r="C5">
        <v>4.2649999999999997</v>
      </c>
      <c r="D5">
        <v>0</v>
      </c>
      <c r="F5" s="1">
        <v>41732</v>
      </c>
      <c r="G5" s="1">
        <v>41739</v>
      </c>
      <c r="H5" s="1">
        <v>41760</v>
      </c>
      <c r="I5" s="1">
        <v>41760</v>
      </c>
      <c r="J5">
        <v>0</v>
      </c>
      <c r="M5" s="1">
        <v>40556</v>
      </c>
      <c r="N5" s="81">
        <v>5.3255518166106497E-4</v>
      </c>
    </row>
    <row r="6" spans="2:14">
      <c r="B6" s="1">
        <v>41746</v>
      </c>
      <c r="C6">
        <v>4.1949999999999896</v>
      </c>
      <c r="D6">
        <v>0</v>
      </c>
      <c r="F6" s="1">
        <v>41732</v>
      </c>
      <c r="G6" s="1">
        <v>41746</v>
      </c>
      <c r="H6" s="1">
        <v>41760</v>
      </c>
      <c r="I6" s="1">
        <v>41760</v>
      </c>
      <c r="J6">
        <v>0</v>
      </c>
      <c r="M6" s="1">
        <v>40563</v>
      </c>
      <c r="N6" s="81">
        <v>4.2360297628175301E-4</v>
      </c>
    </row>
    <row r="7" spans="2:14">
      <c r="B7" s="1">
        <v>41753</v>
      </c>
      <c r="C7">
        <v>4.2300000000000004</v>
      </c>
      <c r="D7">
        <v>1</v>
      </c>
      <c r="F7" s="1">
        <v>41732</v>
      </c>
      <c r="G7" s="1">
        <v>41753</v>
      </c>
      <c r="H7" s="1">
        <v>41760</v>
      </c>
      <c r="I7" s="1">
        <v>41760</v>
      </c>
      <c r="J7">
        <v>1</v>
      </c>
      <c r="M7" s="1">
        <v>40570</v>
      </c>
      <c r="N7" s="81">
        <v>2.71872925347238E-4</v>
      </c>
    </row>
    <row r="8" spans="2:14">
      <c r="B8" s="1">
        <v>41760</v>
      </c>
      <c r="C8">
        <v>4.2149999999999999</v>
      </c>
      <c r="D8">
        <v>1</v>
      </c>
      <c r="F8" s="1">
        <v>41732</v>
      </c>
      <c r="G8" s="1">
        <v>41760</v>
      </c>
      <c r="H8" s="1">
        <v>41760</v>
      </c>
      <c r="I8" s="1">
        <v>41791</v>
      </c>
      <c r="J8">
        <v>1</v>
      </c>
      <c r="M8" s="1">
        <v>40577</v>
      </c>
      <c r="N8" s="81">
        <v>2.0178573468983399E-4</v>
      </c>
    </row>
    <row r="9" spans="2:14">
      <c r="B9" s="1">
        <v>41767</v>
      </c>
      <c r="C9">
        <v>4.1100000000000003</v>
      </c>
      <c r="D9">
        <v>0</v>
      </c>
      <c r="F9" s="1">
        <v>41732</v>
      </c>
      <c r="G9" s="1">
        <v>41767</v>
      </c>
      <c r="H9" s="1">
        <v>41760</v>
      </c>
      <c r="I9" s="1">
        <v>41791</v>
      </c>
      <c r="J9">
        <v>0</v>
      </c>
      <c r="M9" s="1">
        <v>40584</v>
      </c>
      <c r="N9" s="81">
        <v>5.20153194974807E-5</v>
      </c>
    </row>
    <row r="10" spans="2:14">
      <c r="B10" s="1">
        <v>41774</v>
      </c>
      <c r="C10">
        <v>4.0999999999999996</v>
      </c>
      <c r="D10">
        <v>0</v>
      </c>
      <c r="F10" s="1">
        <v>41732</v>
      </c>
      <c r="G10" s="1">
        <v>41774</v>
      </c>
      <c r="H10" s="1">
        <v>41760</v>
      </c>
      <c r="I10" s="1">
        <v>41791</v>
      </c>
      <c r="J10">
        <v>0</v>
      </c>
      <c r="M10" s="1">
        <v>40591</v>
      </c>
      <c r="N10" s="81">
        <v>6.2663406645224498E-5</v>
      </c>
    </row>
    <row r="11" spans="2:14">
      <c r="B11" s="1">
        <v>41781</v>
      </c>
      <c r="C11">
        <v>4.04</v>
      </c>
      <c r="D11">
        <v>0</v>
      </c>
      <c r="F11" s="1">
        <v>41732</v>
      </c>
      <c r="G11" s="1">
        <v>41781</v>
      </c>
      <c r="H11" s="1">
        <v>41760</v>
      </c>
      <c r="I11" s="1">
        <v>41791</v>
      </c>
      <c r="J11">
        <v>0</v>
      </c>
      <c r="M11" s="1">
        <v>40598</v>
      </c>
      <c r="N11" s="81">
        <v>1.35954340606731E-4</v>
      </c>
    </row>
    <row r="12" spans="2:14">
      <c r="B12" s="1">
        <v>41788</v>
      </c>
      <c r="C12">
        <v>4.0199999999999996</v>
      </c>
      <c r="D12">
        <v>0</v>
      </c>
      <c r="F12" s="1">
        <v>41732</v>
      </c>
      <c r="G12" s="1">
        <v>41788</v>
      </c>
      <c r="H12" s="1">
        <v>41760</v>
      </c>
      <c r="I12" s="1">
        <v>41791</v>
      </c>
      <c r="J12">
        <v>0</v>
      </c>
      <c r="M12" s="1">
        <v>40605</v>
      </c>
      <c r="N12" s="81">
        <v>1.96229527460014E-4</v>
      </c>
    </row>
    <row r="13" spans="2:14">
      <c r="B13" s="1">
        <v>41795</v>
      </c>
      <c r="C13">
        <v>4.0149999999999997</v>
      </c>
      <c r="D13">
        <v>0</v>
      </c>
      <c r="F13" s="1">
        <v>41732</v>
      </c>
      <c r="G13" s="1">
        <v>41795</v>
      </c>
      <c r="H13" s="1">
        <v>41760</v>
      </c>
      <c r="I13" s="1">
        <v>41821</v>
      </c>
      <c r="J13">
        <v>0</v>
      </c>
      <c r="M13" s="1">
        <v>40612</v>
      </c>
      <c r="N13" s="81">
        <v>2.4946862835881098E-4</v>
      </c>
    </row>
    <row r="14" spans="2:14">
      <c r="B14" s="1">
        <v>41802</v>
      </c>
      <c r="C14">
        <v>4.0999999999999996</v>
      </c>
      <c r="D14">
        <v>4</v>
      </c>
      <c r="F14" s="1">
        <v>41732</v>
      </c>
      <c r="G14" s="1">
        <v>41802</v>
      </c>
      <c r="H14" s="1">
        <v>41760</v>
      </c>
      <c r="I14" s="1">
        <v>41821</v>
      </c>
      <c r="J14">
        <v>4</v>
      </c>
      <c r="M14" s="1">
        <v>40619</v>
      </c>
      <c r="N14" s="81">
        <v>1.0337095119414301E-3</v>
      </c>
    </row>
    <row r="15" spans="2:14">
      <c r="B15" s="1">
        <v>41809</v>
      </c>
      <c r="C15">
        <v>4.07</v>
      </c>
      <c r="D15">
        <v>3</v>
      </c>
      <c r="F15" s="1">
        <v>41732</v>
      </c>
      <c r="G15" s="1">
        <v>41809</v>
      </c>
      <c r="H15" s="1">
        <v>41760</v>
      </c>
      <c r="I15" s="1">
        <v>41821</v>
      </c>
      <c r="J15">
        <v>3</v>
      </c>
      <c r="M15" s="1">
        <v>40626</v>
      </c>
      <c r="N15" s="81">
        <v>6.0502769456042399E-4</v>
      </c>
    </row>
    <row r="16" spans="2:14">
      <c r="B16" s="1">
        <v>41816</v>
      </c>
      <c r="C16">
        <v>4.0149999999999997</v>
      </c>
      <c r="D16">
        <v>1</v>
      </c>
      <c r="F16" s="1">
        <v>41732</v>
      </c>
      <c r="G16" s="1">
        <v>41816</v>
      </c>
      <c r="H16" s="1">
        <v>41760</v>
      </c>
      <c r="I16" s="1">
        <v>41821</v>
      </c>
      <c r="J16">
        <v>1</v>
      </c>
      <c r="M16" s="1">
        <v>40633</v>
      </c>
      <c r="N16" s="81">
        <v>2.5023950479765699E-4</v>
      </c>
    </row>
    <row r="17" spans="2:14">
      <c r="B17" s="1">
        <v>41823</v>
      </c>
      <c r="C17">
        <v>3.9950000000000001</v>
      </c>
      <c r="D17">
        <v>0</v>
      </c>
      <c r="F17" s="1">
        <v>41732</v>
      </c>
      <c r="G17" s="1">
        <v>41823</v>
      </c>
      <c r="H17" s="1">
        <v>41760</v>
      </c>
      <c r="I17" s="1">
        <v>41852</v>
      </c>
      <c r="J17">
        <v>0</v>
      </c>
      <c r="M17" s="1">
        <v>40640</v>
      </c>
      <c r="N17" s="81">
        <v>2.4181129106516801E-4</v>
      </c>
    </row>
    <row r="18" spans="2:14">
      <c r="B18" s="1">
        <v>41830</v>
      </c>
      <c r="C18">
        <v>4.0750000000000002</v>
      </c>
      <c r="D18">
        <v>6</v>
      </c>
      <c r="F18" s="1">
        <v>41732</v>
      </c>
      <c r="G18" s="1">
        <v>41830</v>
      </c>
      <c r="H18" s="1">
        <v>41760</v>
      </c>
      <c r="I18" s="1">
        <v>41852</v>
      </c>
      <c r="J18">
        <v>6</v>
      </c>
      <c r="M18" s="1">
        <v>40647</v>
      </c>
      <c r="N18" s="81">
        <v>3.9614697005304603E-4</v>
      </c>
    </row>
    <row r="19" spans="2:14">
      <c r="B19" s="1">
        <v>41837</v>
      </c>
      <c r="C19">
        <v>4.03</v>
      </c>
      <c r="D19">
        <v>4</v>
      </c>
      <c r="F19" s="1">
        <v>41732</v>
      </c>
      <c r="G19" s="1">
        <v>41837</v>
      </c>
      <c r="H19" s="1">
        <v>41760</v>
      </c>
      <c r="I19" s="1">
        <v>41852</v>
      </c>
      <c r="J19">
        <v>4</v>
      </c>
      <c r="M19" s="1">
        <v>40654</v>
      </c>
      <c r="N19" s="81">
        <v>1.12729989415065E-3</v>
      </c>
    </row>
    <row r="20" spans="2:14">
      <c r="B20" s="1">
        <v>41844</v>
      </c>
      <c r="C20">
        <v>4.03</v>
      </c>
      <c r="D20">
        <v>5</v>
      </c>
      <c r="F20" s="1">
        <v>41732</v>
      </c>
      <c r="G20" s="1">
        <v>41844</v>
      </c>
      <c r="H20" s="1">
        <v>41760</v>
      </c>
      <c r="I20" s="1">
        <v>41852</v>
      </c>
      <c r="J20">
        <v>5</v>
      </c>
      <c r="M20" s="1">
        <v>40661</v>
      </c>
      <c r="N20" s="81">
        <v>1.13472894544288E-3</v>
      </c>
    </row>
    <row r="21" spans="2:14">
      <c r="B21" s="1">
        <v>41851</v>
      </c>
      <c r="C21">
        <v>4.0199999999999996</v>
      </c>
      <c r="D21">
        <v>4</v>
      </c>
      <c r="F21" s="1">
        <v>41732</v>
      </c>
      <c r="G21" s="1">
        <v>41851</v>
      </c>
      <c r="H21" s="1">
        <v>41760</v>
      </c>
      <c r="I21" s="1">
        <v>41852</v>
      </c>
      <c r="J21">
        <v>4</v>
      </c>
      <c r="M21" s="1">
        <v>40668</v>
      </c>
      <c r="N21" s="81">
        <v>2.29777756393631E-3</v>
      </c>
    </row>
    <row r="22" spans="2:14">
      <c r="B22" s="1">
        <v>41858</v>
      </c>
      <c r="C22">
        <v>4.0649999999999897</v>
      </c>
      <c r="D22">
        <v>8</v>
      </c>
      <c r="F22" s="1">
        <v>41732</v>
      </c>
      <c r="G22" s="1">
        <v>41858</v>
      </c>
      <c r="H22" s="1">
        <v>41760</v>
      </c>
      <c r="I22" s="1">
        <v>41883</v>
      </c>
      <c r="J22">
        <v>8</v>
      </c>
      <c r="M22" s="1">
        <v>40675</v>
      </c>
      <c r="N22" s="81">
        <v>5.44390325332186E-3</v>
      </c>
    </row>
    <row r="23" spans="2:14">
      <c r="B23" s="1">
        <v>41865</v>
      </c>
      <c r="C23">
        <v>4.0199999999999996</v>
      </c>
      <c r="D23">
        <v>5</v>
      </c>
      <c r="F23" s="1">
        <v>41732</v>
      </c>
      <c r="G23" s="1">
        <v>41865</v>
      </c>
      <c r="H23" s="1">
        <v>41760</v>
      </c>
      <c r="I23" s="1">
        <v>41883</v>
      </c>
      <c r="J23">
        <v>5</v>
      </c>
      <c r="M23" s="1">
        <v>40682</v>
      </c>
      <c r="N23" s="81">
        <v>5.4986490601633296E-3</v>
      </c>
    </row>
    <row r="24" spans="2:14">
      <c r="B24" s="1">
        <v>41872</v>
      </c>
      <c r="C24">
        <v>3.9749999999999899</v>
      </c>
      <c r="D24">
        <v>0</v>
      </c>
      <c r="F24" s="1">
        <v>41732</v>
      </c>
      <c r="G24" s="1">
        <v>41872</v>
      </c>
      <c r="H24" s="1">
        <v>41760</v>
      </c>
      <c r="I24" s="1">
        <v>41883</v>
      </c>
      <c r="J24">
        <v>0</v>
      </c>
      <c r="M24" s="1">
        <v>40689</v>
      </c>
      <c r="N24" s="81">
        <v>5.5127032061132201E-3</v>
      </c>
    </row>
    <row r="25" spans="2:14">
      <c r="B25" s="1">
        <v>41879</v>
      </c>
      <c r="C25">
        <v>3.9749999999999899</v>
      </c>
      <c r="D25">
        <v>1</v>
      </c>
      <c r="F25" s="1">
        <v>41732</v>
      </c>
      <c r="G25" s="1">
        <v>41879</v>
      </c>
      <c r="H25" s="1">
        <v>41760</v>
      </c>
      <c r="I25" s="1">
        <v>41883</v>
      </c>
      <c r="J25">
        <v>1</v>
      </c>
      <c r="M25" s="1">
        <v>40696</v>
      </c>
      <c r="N25" s="81">
        <v>8.68657357338724E-3</v>
      </c>
    </row>
    <row r="26" spans="2:14">
      <c r="B26" s="1">
        <v>41886</v>
      </c>
      <c r="C26">
        <v>3.9749999999999899</v>
      </c>
      <c r="D26">
        <v>2</v>
      </c>
      <c r="F26" s="1">
        <v>41732</v>
      </c>
      <c r="G26" s="1">
        <v>41886</v>
      </c>
      <c r="H26" s="1">
        <v>41760</v>
      </c>
      <c r="I26" s="1">
        <v>41913</v>
      </c>
      <c r="J26">
        <v>2</v>
      </c>
      <c r="M26" s="1">
        <v>40703</v>
      </c>
      <c r="N26" s="81">
        <v>1.23067584719575E-2</v>
      </c>
    </row>
    <row r="27" spans="2:14">
      <c r="B27" s="1">
        <v>41893</v>
      </c>
      <c r="C27">
        <v>3.9950000000000001</v>
      </c>
      <c r="D27">
        <v>4</v>
      </c>
      <c r="F27" s="1">
        <v>41732</v>
      </c>
      <c r="G27" s="1">
        <v>41893</v>
      </c>
      <c r="H27" s="1">
        <v>41760</v>
      </c>
      <c r="I27" s="1">
        <v>41913</v>
      </c>
      <c r="J27">
        <v>4</v>
      </c>
      <c r="M27" s="1">
        <v>40710</v>
      </c>
      <c r="N27" s="81">
        <v>1.23002415872017E-2</v>
      </c>
    </row>
    <row r="28" spans="2:14">
      <c r="B28" s="1">
        <v>41900</v>
      </c>
      <c r="C28">
        <v>4.1050000000000004</v>
      </c>
      <c r="D28">
        <v>18</v>
      </c>
      <c r="F28" s="1">
        <v>41732</v>
      </c>
      <c r="G28" s="1">
        <v>41900</v>
      </c>
      <c r="H28" s="1">
        <v>41760</v>
      </c>
      <c r="I28" s="1">
        <v>41913</v>
      </c>
      <c r="J28">
        <v>18</v>
      </c>
      <c r="M28" s="1">
        <v>40717</v>
      </c>
      <c r="N28" s="81">
        <v>1.00606573736092E-2</v>
      </c>
    </row>
    <row r="29" spans="2:14">
      <c r="B29" s="1">
        <v>41907</v>
      </c>
      <c r="C29">
        <v>4.0750000000000002</v>
      </c>
      <c r="D29">
        <v>16</v>
      </c>
      <c r="F29" s="1">
        <v>41732</v>
      </c>
      <c r="G29" s="1">
        <v>41907</v>
      </c>
      <c r="H29" s="1">
        <v>41760</v>
      </c>
      <c r="I29" s="1">
        <v>41913</v>
      </c>
      <c r="J29">
        <v>16</v>
      </c>
      <c r="M29" s="1">
        <v>40724</v>
      </c>
      <c r="N29" s="81">
        <v>1.2160270900161399E-2</v>
      </c>
    </row>
    <row r="30" spans="2:14">
      <c r="B30" s="1">
        <v>41914</v>
      </c>
      <c r="C30">
        <v>4.04</v>
      </c>
      <c r="D30">
        <v>13</v>
      </c>
      <c r="F30" s="1">
        <v>41732</v>
      </c>
      <c r="G30" s="1">
        <v>41914</v>
      </c>
      <c r="H30" s="1">
        <v>41760</v>
      </c>
      <c r="I30" s="1">
        <v>41944</v>
      </c>
      <c r="J30">
        <v>13</v>
      </c>
      <c r="M30" s="1">
        <v>40731</v>
      </c>
      <c r="N30" s="81">
        <v>7.4617374953439E-3</v>
      </c>
    </row>
    <row r="31" spans="2:14">
      <c r="B31" s="1">
        <v>41921</v>
      </c>
      <c r="C31">
        <v>3.9950000000000001</v>
      </c>
      <c r="D31">
        <v>5</v>
      </c>
      <c r="F31" s="1">
        <v>41732</v>
      </c>
      <c r="G31" s="1">
        <v>41921</v>
      </c>
      <c r="H31" s="1">
        <v>41760</v>
      </c>
      <c r="I31" s="1">
        <v>41944</v>
      </c>
      <c r="J31">
        <v>5</v>
      </c>
      <c r="M31" s="1">
        <v>40738</v>
      </c>
      <c r="N31" s="81">
        <v>1.3388573483630799E-2</v>
      </c>
    </row>
    <row r="32" spans="2:14">
      <c r="B32" s="1">
        <v>41928</v>
      </c>
      <c r="C32">
        <v>3.8450000000000002</v>
      </c>
      <c r="D32">
        <v>0</v>
      </c>
      <c r="F32" s="1">
        <v>41732</v>
      </c>
      <c r="G32" s="1">
        <v>41928</v>
      </c>
      <c r="H32" s="1">
        <v>41760</v>
      </c>
      <c r="I32" s="1">
        <v>41944</v>
      </c>
      <c r="J32">
        <v>0</v>
      </c>
      <c r="M32" s="1">
        <v>40745</v>
      </c>
      <c r="N32" s="81">
        <v>1.04315971858071E-2</v>
      </c>
    </row>
    <row r="33" spans="2:14">
      <c r="B33" s="1">
        <v>41935</v>
      </c>
      <c r="C33">
        <v>3.7949999999999999</v>
      </c>
      <c r="D33">
        <v>0</v>
      </c>
      <c r="F33" s="1">
        <v>41732</v>
      </c>
      <c r="G33" s="1">
        <v>41935</v>
      </c>
      <c r="H33" s="1">
        <v>41760</v>
      </c>
      <c r="I33" s="1">
        <v>41944</v>
      </c>
      <c r="J33">
        <v>0</v>
      </c>
      <c r="M33" s="1">
        <v>40752</v>
      </c>
      <c r="N33" s="81">
        <v>9.9907247032366194E-3</v>
      </c>
    </row>
    <row r="34" spans="2:14">
      <c r="B34" s="1">
        <v>41942</v>
      </c>
      <c r="C34">
        <v>3.855</v>
      </c>
      <c r="D34">
        <v>2</v>
      </c>
      <c r="F34" s="1">
        <v>41732</v>
      </c>
      <c r="G34" s="1">
        <v>41942</v>
      </c>
      <c r="H34" s="1">
        <v>41760</v>
      </c>
      <c r="I34" s="1">
        <v>41944</v>
      </c>
      <c r="J34">
        <v>2</v>
      </c>
      <c r="M34" s="1">
        <v>40759</v>
      </c>
      <c r="N34" s="81">
        <v>0.59586208852897005</v>
      </c>
    </row>
    <row r="35" spans="2:14">
      <c r="B35" s="1">
        <v>41949</v>
      </c>
      <c r="C35">
        <v>3.8949999999999898</v>
      </c>
      <c r="D35">
        <v>3</v>
      </c>
      <c r="F35" s="1">
        <v>41732</v>
      </c>
      <c r="G35" s="1">
        <v>41949</v>
      </c>
      <c r="H35" s="1">
        <v>41760</v>
      </c>
      <c r="I35" s="1">
        <v>41974</v>
      </c>
      <c r="J35">
        <v>3</v>
      </c>
      <c r="M35" s="1">
        <v>40766</v>
      </c>
      <c r="N35" s="81">
        <v>0.68802315917174295</v>
      </c>
    </row>
    <row r="36" spans="2:14">
      <c r="B36" s="1">
        <v>41956</v>
      </c>
      <c r="C36">
        <v>3.8849999999999998</v>
      </c>
      <c r="D36">
        <v>3</v>
      </c>
      <c r="F36" s="1">
        <v>41732</v>
      </c>
      <c r="G36" s="1">
        <v>41956</v>
      </c>
      <c r="H36" s="1">
        <v>41760</v>
      </c>
      <c r="I36" s="1">
        <v>41974</v>
      </c>
      <c r="J36">
        <v>3</v>
      </c>
      <c r="M36" s="1">
        <v>40773</v>
      </c>
      <c r="N36" s="81">
        <v>0.76977670194978398</v>
      </c>
    </row>
    <row r="37" spans="2:14">
      <c r="B37" s="1">
        <v>41963</v>
      </c>
      <c r="C37">
        <v>3.8650000000000002</v>
      </c>
      <c r="D37">
        <v>3</v>
      </c>
      <c r="F37" s="1">
        <v>41732</v>
      </c>
      <c r="G37" s="1">
        <v>41963</v>
      </c>
      <c r="H37" s="1">
        <v>41760</v>
      </c>
      <c r="I37" s="1">
        <v>41974</v>
      </c>
      <c r="J37">
        <v>3</v>
      </c>
      <c r="M37" s="1">
        <v>40780</v>
      </c>
      <c r="N37" s="81">
        <v>0.73020380506198002</v>
      </c>
    </row>
    <row r="38" spans="2:14">
      <c r="B38" s="1">
        <v>41969</v>
      </c>
      <c r="C38">
        <v>3.8450000000000002</v>
      </c>
      <c r="D38">
        <v>2</v>
      </c>
      <c r="F38" s="1">
        <v>41732</v>
      </c>
      <c r="G38" s="1">
        <v>41969</v>
      </c>
      <c r="H38" s="1">
        <v>41760</v>
      </c>
      <c r="I38" s="1">
        <v>41974</v>
      </c>
      <c r="J38">
        <v>2</v>
      </c>
      <c r="M38" s="1">
        <v>40787</v>
      </c>
      <c r="N38" s="81">
        <v>0.72380364081501802</v>
      </c>
    </row>
    <row r="39" spans="2:14">
      <c r="B39" s="1">
        <v>41977</v>
      </c>
      <c r="C39">
        <v>3.7650000000000001</v>
      </c>
      <c r="D39">
        <v>0</v>
      </c>
      <c r="F39" s="1">
        <v>41732</v>
      </c>
      <c r="G39" s="1">
        <v>41977</v>
      </c>
      <c r="H39" s="1">
        <v>41760</v>
      </c>
      <c r="I39" s="1">
        <v>42005</v>
      </c>
      <c r="J39">
        <v>0</v>
      </c>
      <c r="M39" s="1">
        <v>40794</v>
      </c>
      <c r="N39" s="81">
        <v>0.786160649616369</v>
      </c>
    </row>
    <row r="40" spans="2:14">
      <c r="B40" s="1">
        <v>41984</v>
      </c>
      <c r="C40">
        <v>3.8050000000000002</v>
      </c>
      <c r="D40">
        <v>2</v>
      </c>
      <c r="F40" s="1">
        <v>41732</v>
      </c>
      <c r="G40" s="1">
        <v>41984</v>
      </c>
      <c r="H40" s="1">
        <v>41760</v>
      </c>
      <c r="I40" s="1">
        <v>42005</v>
      </c>
      <c r="J40">
        <v>2</v>
      </c>
      <c r="M40" s="1">
        <v>40801</v>
      </c>
      <c r="N40" s="81">
        <v>0.78833832359916201</v>
      </c>
    </row>
    <row r="41" spans="2:14">
      <c r="B41" s="1">
        <v>41991</v>
      </c>
      <c r="C41">
        <v>3.69999999999999</v>
      </c>
      <c r="D41">
        <v>0</v>
      </c>
      <c r="F41" s="1">
        <v>41732</v>
      </c>
      <c r="G41" s="1">
        <v>41991</v>
      </c>
      <c r="H41" s="1">
        <v>41760</v>
      </c>
      <c r="I41" s="1">
        <v>42005</v>
      </c>
      <c r="J41">
        <v>0</v>
      </c>
      <c r="M41" s="1">
        <v>40808</v>
      </c>
      <c r="N41" s="81">
        <v>0.78833832359916201</v>
      </c>
    </row>
    <row r="42" spans="2:14">
      <c r="B42" s="1">
        <v>41997</v>
      </c>
      <c r="C42">
        <v>3.73</v>
      </c>
      <c r="D42">
        <v>1</v>
      </c>
      <c r="F42" s="1">
        <v>41732</v>
      </c>
      <c r="G42" s="1">
        <v>41997</v>
      </c>
      <c r="H42" s="1">
        <v>41760</v>
      </c>
      <c r="I42" s="1">
        <v>42005</v>
      </c>
      <c r="J42">
        <v>1</v>
      </c>
      <c r="M42" s="1">
        <v>40815</v>
      </c>
      <c r="N42" s="81">
        <v>0.83561176946303795</v>
      </c>
    </row>
    <row r="43" spans="2:14">
      <c r="B43" s="1">
        <v>42004</v>
      </c>
      <c r="C43">
        <v>3.77</v>
      </c>
      <c r="D43">
        <v>3</v>
      </c>
      <c r="F43" s="1">
        <v>41732</v>
      </c>
      <c r="G43" s="1">
        <v>42004</v>
      </c>
      <c r="H43" s="1">
        <v>41760</v>
      </c>
      <c r="I43" s="1">
        <v>42005</v>
      </c>
      <c r="J43">
        <v>3</v>
      </c>
      <c r="M43" s="1">
        <v>40822</v>
      </c>
      <c r="N43" s="81">
        <v>0.82194247765297301</v>
      </c>
    </row>
    <row r="44" spans="2:14">
      <c r="B44" s="1">
        <v>42012</v>
      </c>
      <c r="C44">
        <v>3.63</v>
      </c>
      <c r="D44">
        <v>0</v>
      </c>
      <c r="F44" s="1">
        <v>41732</v>
      </c>
      <c r="G44" s="1">
        <v>42012</v>
      </c>
      <c r="H44" s="1">
        <v>41760</v>
      </c>
      <c r="I44" s="1">
        <v>42036</v>
      </c>
      <c r="J44">
        <v>0</v>
      </c>
      <c r="M44" s="1">
        <v>40829</v>
      </c>
      <c r="N44" s="81">
        <v>0.75098159830325395</v>
      </c>
    </row>
    <row r="45" spans="2:14">
      <c r="B45" s="1">
        <v>42019</v>
      </c>
      <c r="C45">
        <v>3.56</v>
      </c>
      <c r="D45">
        <v>0</v>
      </c>
      <c r="F45" s="1">
        <v>41732</v>
      </c>
      <c r="G45" s="1">
        <v>42019</v>
      </c>
      <c r="H45" s="1">
        <v>41760</v>
      </c>
      <c r="I45" s="1">
        <v>42036</v>
      </c>
      <c r="J45">
        <v>0</v>
      </c>
      <c r="M45" s="1">
        <v>40836</v>
      </c>
      <c r="N45" s="81">
        <v>0.76945479185077703</v>
      </c>
    </row>
    <row r="46" spans="2:14">
      <c r="B46" s="1">
        <v>42026</v>
      </c>
      <c r="C46">
        <v>3.5549999999999899</v>
      </c>
      <c r="D46">
        <v>0</v>
      </c>
      <c r="F46" s="1">
        <v>41732</v>
      </c>
      <c r="G46" s="1">
        <v>42026</v>
      </c>
      <c r="H46" s="1">
        <v>41760</v>
      </c>
      <c r="I46" s="1">
        <v>42036</v>
      </c>
      <c r="J46">
        <v>0</v>
      </c>
      <c r="M46" s="1">
        <v>40843</v>
      </c>
      <c r="N46" s="81">
        <v>0.77089716807818798</v>
      </c>
    </row>
    <row r="47" spans="2:14">
      <c r="B47" s="1">
        <v>42033</v>
      </c>
      <c r="C47">
        <v>3.56</v>
      </c>
      <c r="D47">
        <v>2</v>
      </c>
      <c r="F47" s="1">
        <v>41732</v>
      </c>
      <c r="G47" s="1">
        <v>42033</v>
      </c>
      <c r="H47" s="1">
        <v>41760</v>
      </c>
      <c r="I47" s="1">
        <v>42036</v>
      </c>
      <c r="J47">
        <v>2</v>
      </c>
      <c r="M47" s="1">
        <v>40850</v>
      </c>
      <c r="N47" s="81">
        <v>0.80648126550350197</v>
      </c>
    </row>
    <row r="48" spans="2:14">
      <c r="B48" s="1">
        <v>42040</v>
      </c>
      <c r="C48">
        <v>3.5149999999999899</v>
      </c>
      <c r="D48">
        <v>0</v>
      </c>
      <c r="F48" s="1">
        <v>41732</v>
      </c>
      <c r="G48" s="1">
        <v>42040</v>
      </c>
      <c r="H48" s="1">
        <v>41760</v>
      </c>
      <c r="I48" s="1">
        <v>42064</v>
      </c>
      <c r="J48">
        <v>0</v>
      </c>
      <c r="M48" s="1">
        <v>40857</v>
      </c>
      <c r="N48" s="81">
        <v>0.80740872054840995</v>
      </c>
    </row>
    <row r="49" spans="2:14">
      <c r="B49" s="1">
        <v>42047</v>
      </c>
      <c r="C49">
        <v>3.59</v>
      </c>
      <c r="D49">
        <v>4</v>
      </c>
      <c r="F49" s="1">
        <v>41732</v>
      </c>
      <c r="G49" s="1">
        <v>42047</v>
      </c>
      <c r="H49" s="1">
        <v>41760</v>
      </c>
      <c r="I49" s="1">
        <v>42064</v>
      </c>
      <c r="J49">
        <v>4</v>
      </c>
      <c r="M49" s="1">
        <v>40864</v>
      </c>
      <c r="N49" s="81">
        <v>0.807360764605215</v>
      </c>
    </row>
    <row r="50" spans="2:14">
      <c r="B50" s="1">
        <v>42054</v>
      </c>
      <c r="C50">
        <v>3.6599999999999899</v>
      </c>
      <c r="D50">
        <v>6</v>
      </c>
      <c r="F50" s="1">
        <v>41732</v>
      </c>
      <c r="G50" s="1">
        <v>42054</v>
      </c>
      <c r="H50" s="1">
        <v>41760</v>
      </c>
      <c r="I50" s="1">
        <v>42064</v>
      </c>
      <c r="J50">
        <v>6</v>
      </c>
      <c r="M50" s="1">
        <v>40870</v>
      </c>
      <c r="N50" s="81">
        <v>0.80866545886582697</v>
      </c>
    </row>
    <row r="51" spans="2:14">
      <c r="B51" s="1">
        <v>42061</v>
      </c>
      <c r="C51">
        <v>3.69999999999999</v>
      </c>
      <c r="D51">
        <v>8</v>
      </c>
      <c r="F51" s="1">
        <v>41732</v>
      </c>
      <c r="G51" s="1">
        <v>42061</v>
      </c>
      <c r="H51" s="1">
        <v>41760</v>
      </c>
      <c r="I51" s="1">
        <v>42064</v>
      </c>
      <c r="J51">
        <v>8</v>
      </c>
      <c r="M51" s="1">
        <v>40878</v>
      </c>
      <c r="N51" s="81">
        <v>0.79395979394243599</v>
      </c>
    </row>
    <row r="52" spans="2:14">
      <c r="B52" s="1">
        <v>42068</v>
      </c>
      <c r="C52">
        <v>3.65</v>
      </c>
      <c r="D52">
        <v>6</v>
      </c>
      <c r="F52" s="1">
        <v>41732</v>
      </c>
      <c r="G52" s="1">
        <v>42068</v>
      </c>
      <c r="H52" s="1">
        <v>41760</v>
      </c>
      <c r="I52" s="1">
        <v>42095</v>
      </c>
      <c r="J52">
        <v>6</v>
      </c>
      <c r="M52" s="1">
        <v>40885</v>
      </c>
      <c r="N52" s="81">
        <v>0.79468507896195895</v>
      </c>
    </row>
    <row r="53" spans="2:14">
      <c r="B53" s="1">
        <v>42075</v>
      </c>
      <c r="C53">
        <v>3.76</v>
      </c>
      <c r="D53">
        <v>11</v>
      </c>
      <c r="F53" s="1">
        <v>41732</v>
      </c>
      <c r="G53" s="1">
        <v>42075</v>
      </c>
      <c r="H53" s="1">
        <v>41760</v>
      </c>
      <c r="I53" s="1">
        <v>42095</v>
      </c>
      <c r="J53">
        <v>11</v>
      </c>
      <c r="M53" s="1">
        <v>40892</v>
      </c>
      <c r="N53" s="81">
        <v>0.79669049657242397</v>
      </c>
    </row>
    <row r="54" spans="2:14">
      <c r="B54" s="1">
        <v>42082</v>
      </c>
      <c r="C54">
        <v>3.6799999999999899</v>
      </c>
      <c r="D54">
        <v>8</v>
      </c>
      <c r="F54" s="1">
        <v>41732</v>
      </c>
      <c r="G54" s="1">
        <v>42082</v>
      </c>
      <c r="H54" s="1">
        <v>41760</v>
      </c>
      <c r="I54" s="1">
        <v>42095</v>
      </c>
      <c r="J54">
        <v>8</v>
      </c>
      <c r="M54" s="1">
        <v>40899</v>
      </c>
      <c r="N54" s="81">
        <v>0.82559057548597004</v>
      </c>
    </row>
    <row r="55" spans="2:14">
      <c r="B55" s="1">
        <v>42089</v>
      </c>
      <c r="C55">
        <v>3.59</v>
      </c>
      <c r="D55">
        <v>5</v>
      </c>
      <c r="F55" s="1">
        <v>41732</v>
      </c>
      <c r="G55" s="1">
        <v>42089</v>
      </c>
      <c r="H55" s="1">
        <v>41760</v>
      </c>
      <c r="I55" s="1">
        <v>42095</v>
      </c>
      <c r="J55">
        <v>5</v>
      </c>
      <c r="M55" s="1">
        <v>40906</v>
      </c>
      <c r="N55" s="81">
        <v>0.817559292303353</v>
      </c>
    </row>
    <row r="56" spans="2:14">
      <c r="B56" s="1">
        <v>42096</v>
      </c>
      <c r="C56">
        <v>3.6</v>
      </c>
      <c r="D56">
        <v>6</v>
      </c>
      <c r="F56" s="1">
        <v>41732</v>
      </c>
      <c r="G56" s="1">
        <v>42096</v>
      </c>
      <c r="H56" s="1">
        <v>41760</v>
      </c>
      <c r="I56" s="1">
        <v>42125</v>
      </c>
      <c r="J56">
        <v>6</v>
      </c>
      <c r="M56" s="1">
        <v>40913</v>
      </c>
      <c r="N56" s="81">
        <v>0.80565650657334698</v>
      </c>
    </row>
    <row r="57" spans="2:14">
      <c r="B57" s="1">
        <v>42103</v>
      </c>
      <c r="C57">
        <v>3.56</v>
      </c>
      <c r="D57">
        <v>4</v>
      </c>
      <c r="F57" s="1">
        <v>41732</v>
      </c>
      <c r="G57" s="1">
        <v>42103</v>
      </c>
      <c r="H57" s="1">
        <v>41760</v>
      </c>
      <c r="I57" s="1">
        <v>42125</v>
      </c>
      <c r="J57">
        <v>4</v>
      </c>
      <c r="M57" s="1">
        <v>40920</v>
      </c>
      <c r="N57" s="81">
        <v>0.81663205917875104</v>
      </c>
    </row>
    <row r="58" spans="2:14">
      <c r="B58" s="1">
        <v>42110</v>
      </c>
      <c r="C58">
        <v>3.59499999999999</v>
      </c>
      <c r="D58">
        <v>7</v>
      </c>
      <c r="F58" s="1">
        <v>41732</v>
      </c>
      <c r="G58" s="1">
        <v>42110</v>
      </c>
      <c r="H58" s="1">
        <v>41760</v>
      </c>
      <c r="I58" s="1">
        <v>42125</v>
      </c>
      <c r="J58">
        <v>7</v>
      </c>
      <c r="M58" s="1">
        <v>40927</v>
      </c>
      <c r="N58" s="81">
        <v>0.81498439857814597</v>
      </c>
    </row>
    <row r="59" spans="2:14">
      <c r="B59" s="1">
        <v>42117</v>
      </c>
      <c r="C59">
        <v>3.55</v>
      </c>
      <c r="D59">
        <v>1</v>
      </c>
      <c r="F59" s="1">
        <v>41732</v>
      </c>
      <c r="G59" s="1">
        <v>42117</v>
      </c>
      <c r="H59" s="1">
        <v>41760</v>
      </c>
      <c r="I59" s="1">
        <v>42125</v>
      </c>
      <c r="J59">
        <v>1</v>
      </c>
      <c r="M59" s="1">
        <v>40934</v>
      </c>
      <c r="N59" s="81">
        <v>0.78374402567192103</v>
      </c>
    </row>
    <row r="60" spans="2:14">
      <c r="B60" s="1">
        <v>42124</v>
      </c>
      <c r="C60">
        <v>3.58</v>
      </c>
      <c r="D60">
        <v>6</v>
      </c>
      <c r="F60" s="1">
        <v>41732</v>
      </c>
      <c r="G60" s="1">
        <v>42124</v>
      </c>
      <c r="H60" s="1">
        <v>41760</v>
      </c>
      <c r="I60" s="1">
        <v>42125</v>
      </c>
      <c r="J60">
        <v>6</v>
      </c>
      <c r="M60" s="1">
        <v>40941</v>
      </c>
      <c r="N60" s="81">
        <v>0.79845513778799804</v>
      </c>
    </row>
    <row r="61" spans="2:14">
      <c r="B61" s="1">
        <v>42131</v>
      </c>
      <c r="C61">
        <v>3.69999999999999</v>
      </c>
      <c r="D61">
        <v>17</v>
      </c>
      <c r="F61" s="1">
        <v>41732</v>
      </c>
      <c r="G61" s="1">
        <v>42131</v>
      </c>
      <c r="H61" s="1">
        <v>41760</v>
      </c>
      <c r="I61" s="1">
        <v>42156</v>
      </c>
      <c r="J61">
        <v>17</v>
      </c>
      <c r="M61" s="1">
        <v>40948</v>
      </c>
      <c r="N61" s="81">
        <v>0.79921379703908202</v>
      </c>
    </row>
    <row r="62" spans="2:14">
      <c r="B62" s="1">
        <v>42138</v>
      </c>
      <c r="C62">
        <v>3.75</v>
      </c>
      <c r="D62">
        <v>19</v>
      </c>
      <c r="F62" s="1">
        <v>41732</v>
      </c>
      <c r="G62" s="1">
        <v>42138</v>
      </c>
      <c r="H62" s="1">
        <v>41760</v>
      </c>
      <c r="I62" s="1">
        <v>42156</v>
      </c>
      <c r="J62">
        <v>19</v>
      </c>
      <c r="M62" s="1">
        <v>40955</v>
      </c>
      <c r="N62" s="81">
        <v>0.79921379703908202</v>
      </c>
    </row>
    <row r="63" spans="2:14">
      <c r="B63" s="1">
        <v>42145</v>
      </c>
      <c r="C63">
        <v>3.7649999999999899</v>
      </c>
      <c r="D63">
        <v>21</v>
      </c>
      <c r="F63" s="1">
        <v>41732</v>
      </c>
      <c r="G63" s="1">
        <v>42145</v>
      </c>
      <c r="H63" s="1">
        <v>41760</v>
      </c>
      <c r="I63" s="1">
        <v>42156</v>
      </c>
      <c r="J63">
        <v>21</v>
      </c>
      <c r="M63" s="1">
        <v>40962</v>
      </c>
      <c r="N63" s="81">
        <v>0.76744855177879401</v>
      </c>
    </row>
    <row r="64" spans="2:14">
      <c r="B64" s="1">
        <v>42152</v>
      </c>
      <c r="C64">
        <v>3.77</v>
      </c>
      <c r="D64">
        <v>24</v>
      </c>
      <c r="F64" s="1">
        <v>41732</v>
      </c>
      <c r="G64" s="1">
        <v>42152</v>
      </c>
      <c r="H64" s="1">
        <v>41760</v>
      </c>
      <c r="I64" s="1">
        <v>42156</v>
      </c>
      <c r="J64">
        <v>24</v>
      </c>
      <c r="M64" s="1">
        <v>40969</v>
      </c>
      <c r="N64" s="81">
        <v>0.775278844773303</v>
      </c>
    </row>
    <row r="65" spans="2:14">
      <c r="B65" s="1">
        <v>42159</v>
      </c>
      <c r="C65">
        <v>3.77</v>
      </c>
      <c r="D65">
        <v>25</v>
      </c>
      <c r="F65" s="1">
        <v>41732</v>
      </c>
      <c r="G65" s="1">
        <v>42159</v>
      </c>
      <c r="H65" s="1">
        <v>41760</v>
      </c>
      <c r="I65" s="1">
        <v>42186</v>
      </c>
      <c r="J65">
        <v>25</v>
      </c>
      <c r="M65" s="1">
        <v>40976</v>
      </c>
      <c r="N65" s="81">
        <v>0.78407944596061996</v>
      </c>
    </row>
    <row r="66" spans="2:14">
      <c r="B66" s="1">
        <v>42166</v>
      </c>
      <c r="C66">
        <v>3.94</v>
      </c>
      <c r="D66">
        <v>34</v>
      </c>
      <c r="F66" s="1">
        <v>41732</v>
      </c>
      <c r="G66" s="1">
        <v>42166</v>
      </c>
      <c r="H66" s="1">
        <v>41760</v>
      </c>
      <c r="I66" s="1">
        <v>42186</v>
      </c>
      <c r="J66">
        <v>34</v>
      </c>
      <c r="M66" s="1">
        <v>40983</v>
      </c>
      <c r="N66" s="81">
        <v>0.77543640291465299</v>
      </c>
    </row>
    <row r="67" spans="2:14">
      <c r="M67" s="1">
        <v>40990</v>
      </c>
      <c r="N67" s="81">
        <v>1.02306018328437E-3</v>
      </c>
    </row>
    <row r="68" spans="2:14">
      <c r="M68" s="1">
        <v>40997</v>
      </c>
      <c r="N68" s="81">
        <v>2.0359348143069401E-3</v>
      </c>
    </row>
    <row r="69" spans="2:14">
      <c r="M69" s="1">
        <v>41004</v>
      </c>
      <c r="N69" s="81">
        <v>2.3931530313827699E-3</v>
      </c>
    </row>
    <row r="70" spans="2:14">
      <c r="M70" s="1">
        <v>41011</v>
      </c>
      <c r="N70" s="81">
        <v>0.80265108338267499</v>
      </c>
    </row>
    <row r="71" spans="2:14">
      <c r="M71" s="1">
        <v>41018</v>
      </c>
      <c r="N71" s="81">
        <v>0.77849897612614904</v>
      </c>
    </row>
    <row r="72" spans="2:14">
      <c r="M72" s="1">
        <v>41025</v>
      </c>
      <c r="N72" s="81">
        <v>0.80265108338267499</v>
      </c>
    </row>
    <row r="73" spans="2:14">
      <c r="M73" s="1">
        <v>41032</v>
      </c>
      <c r="N73" s="81">
        <v>0.80415566862182497</v>
      </c>
    </row>
    <row r="74" spans="2:14">
      <c r="M74" s="1">
        <v>41039</v>
      </c>
      <c r="N74" s="81">
        <v>0.80754152596055995</v>
      </c>
    </row>
    <row r="75" spans="2:14">
      <c r="M75" s="1">
        <v>41046</v>
      </c>
      <c r="N75" s="81">
        <v>0.831927164274886</v>
      </c>
    </row>
    <row r="76" spans="2:14">
      <c r="M76" s="1">
        <v>41053</v>
      </c>
      <c r="N76" s="81">
        <v>0.82988569781951205</v>
      </c>
    </row>
    <row r="77" spans="2:14">
      <c r="M77" s="1">
        <v>41060</v>
      </c>
      <c r="N77" s="81">
        <v>0.83309495413351498</v>
      </c>
    </row>
    <row r="78" spans="2:14">
      <c r="M78" s="1">
        <v>41067</v>
      </c>
      <c r="N78" s="81">
        <v>0.86123151402869003</v>
      </c>
    </row>
    <row r="79" spans="2:14">
      <c r="M79" s="1">
        <v>41074</v>
      </c>
      <c r="N79" s="81">
        <v>0.84598502966079503</v>
      </c>
    </row>
    <row r="80" spans="2:14">
      <c r="M80" s="1">
        <v>41081</v>
      </c>
      <c r="N80" s="81">
        <v>0.86355719580735102</v>
      </c>
    </row>
    <row r="81" spans="13:14">
      <c r="M81" s="1">
        <v>41088</v>
      </c>
      <c r="N81" s="81">
        <v>0.86355719580735102</v>
      </c>
    </row>
    <row r="82" spans="13:14">
      <c r="M82" s="1">
        <v>41095</v>
      </c>
      <c r="N82" s="81">
        <v>0.85480310148891403</v>
      </c>
    </row>
    <row r="83" spans="13:14">
      <c r="M83" s="1">
        <v>41102</v>
      </c>
      <c r="N83" s="81">
        <v>0.88306588959651799</v>
      </c>
    </row>
    <row r="84" spans="13:14">
      <c r="M84" s="1">
        <v>41109</v>
      </c>
      <c r="N84" s="81">
        <v>0.88557582733423201</v>
      </c>
    </row>
    <row r="85" spans="13:14">
      <c r="M85" s="1">
        <v>41116</v>
      </c>
      <c r="N85" s="81">
        <v>0.89854811201564799</v>
      </c>
    </row>
    <row r="86" spans="13:14">
      <c r="M86" s="1">
        <v>41123</v>
      </c>
      <c r="N86" s="81">
        <v>0.86721057119503697</v>
      </c>
    </row>
    <row r="87" spans="13:14">
      <c r="M87" s="1">
        <v>41130</v>
      </c>
      <c r="N87" s="81">
        <v>0.86873710574149099</v>
      </c>
    </row>
    <row r="88" spans="13:14">
      <c r="M88" s="1">
        <v>41137</v>
      </c>
      <c r="N88" s="81">
        <v>0.85326106113769395</v>
      </c>
    </row>
    <row r="89" spans="13:14">
      <c r="M89" s="1">
        <v>41144</v>
      </c>
      <c r="N89" s="81">
        <v>0.83946291551948105</v>
      </c>
    </row>
    <row r="90" spans="13:14">
      <c r="M90" s="1">
        <v>41151</v>
      </c>
      <c r="N90" s="81">
        <v>0.86873710574149099</v>
      </c>
    </row>
    <row r="91" spans="13:14">
      <c r="M91" s="1">
        <v>41158</v>
      </c>
      <c r="N91" s="81">
        <v>0.85389897885032495</v>
      </c>
    </row>
    <row r="92" spans="13:14">
      <c r="M92" s="1">
        <v>41165</v>
      </c>
      <c r="N92" s="81">
        <v>0.85777100850024601</v>
      </c>
    </row>
    <row r="93" spans="13:14">
      <c r="M93" s="1">
        <v>41172</v>
      </c>
      <c r="N93" s="81">
        <v>0.87391634150534703</v>
      </c>
    </row>
    <row r="94" spans="13:14">
      <c r="M94" s="1">
        <v>41179</v>
      </c>
      <c r="N94" s="81">
        <v>0.91307424668051995</v>
      </c>
    </row>
    <row r="95" spans="13:14">
      <c r="M95" s="1">
        <v>41186</v>
      </c>
      <c r="N95" s="81">
        <v>0.89337068210282</v>
      </c>
    </row>
    <row r="96" spans="13:14">
      <c r="M96" s="1">
        <v>41193</v>
      </c>
      <c r="N96" s="81">
        <v>0.87893796322118301</v>
      </c>
    </row>
    <row r="97" spans="13:14">
      <c r="M97" s="1">
        <v>41200</v>
      </c>
      <c r="N97" s="81">
        <v>0.89451035602650197</v>
      </c>
    </row>
    <row r="98" spans="13:14">
      <c r="M98" s="1">
        <v>41207</v>
      </c>
      <c r="N98" s="81">
        <v>0.87765828155593195</v>
      </c>
    </row>
    <row r="99" spans="13:14">
      <c r="M99" s="1">
        <v>41214</v>
      </c>
      <c r="N99" s="81">
        <v>0.85025958001434099</v>
      </c>
    </row>
    <row r="100" spans="13:14">
      <c r="M100" s="1">
        <v>41221</v>
      </c>
      <c r="N100" s="81">
        <v>0.85294848165289106</v>
      </c>
    </row>
    <row r="101" spans="13:14">
      <c r="M101" s="1">
        <v>41228</v>
      </c>
      <c r="N101" s="81">
        <v>0.87099758649899595</v>
      </c>
    </row>
    <row r="102" spans="13:14">
      <c r="M102" s="1">
        <v>41234</v>
      </c>
      <c r="N102" s="81">
        <v>0.88870182147749199</v>
      </c>
    </row>
    <row r="103" spans="13:14">
      <c r="M103" s="1">
        <v>41242</v>
      </c>
      <c r="N103" s="81">
        <v>0.87096715032167604</v>
      </c>
    </row>
    <row r="104" spans="13:14">
      <c r="M104" s="1">
        <v>41249</v>
      </c>
      <c r="N104" s="81">
        <v>0.85552701758194905</v>
      </c>
    </row>
    <row r="105" spans="13:14">
      <c r="M105" s="1">
        <v>41256</v>
      </c>
      <c r="N105" s="81">
        <v>0.87441718771065802</v>
      </c>
    </row>
    <row r="106" spans="13:14">
      <c r="M106" s="1">
        <v>41263</v>
      </c>
      <c r="N106" s="81">
        <v>0.85553537746283803</v>
      </c>
    </row>
    <row r="107" spans="13:14">
      <c r="M107" s="1">
        <v>41270</v>
      </c>
      <c r="N107" s="81">
        <v>0.85656729506407103</v>
      </c>
    </row>
    <row r="108" spans="13:14">
      <c r="M108" s="1">
        <v>41277</v>
      </c>
      <c r="N108" s="81">
        <v>0.836402700195363</v>
      </c>
    </row>
    <row r="109" spans="13:14">
      <c r="M109" s="1">
        <v>41284</v>
      </c>
      <c r="N109" s="81">
        <v>6.3649104803575E-3</v>
      </c>
    </row>
    <row r="110" spans="13:14">
      <c r="M110" s="1">
        <v>41291</v>
      </c>
      <c r="N110" s="81">
        <v>0.83579303387112303</v>
      </c>
    </row>
    <row r="111" spans="13:14">
      <c r="M111" s="1">
        <v>41298</v>
      </c>
      <c r="N111" s="81">
        <v>6.31365338468388E-3</v>
      </c>
    </row>
    <row r="112" spans="13:14">
      <c r="M112" s="1">
        <v>41305</v>
      </c>
      <c r="N112" s="81">
        <v>1.5724025040129101E-3</v>
      </c>
    </row>
    <row r="113" spans="13:14">
      <c r="M113" s="1">
        <v>41312</v>
      </c>
      <c r="N113" s="81">
        <v>1.8805301659143899E-3</v>
      </c>
    </row>
    <row r="114" spans="13:14">
      <c r="M114" s="1">
        <v>41319</v>
      </c>
      <c r="N114" s="81">
        <v>2.4304666853394601E-3</v>
      </c>
    </row>
    <row r="115" spans="13:14">
      <c r="M115" s="1">
        <v>41326</v>
      </c>
      <c r="N115" s="81">
        <v>1.6769000092261E-3</v>
      </c>
    </row>
    <row r="116" spans="13:14">
      <c r="M116" s="1">
        <v>41333</v>
      </c>
      <c r="N116" s="81">
        <v>2.4413028764475298E-3</v>
      </c>
    </row>
    <row r="117" spans="13:14">
      <c r="M117" s="1">
        <v>41340</v>
      </c>
      <c r="N117" s="81">
        <v>2.7765010532729102E-3</v>
      </c>
    </row>
    <row r="118" spans="13:14">
      <c r="M118" s="1">
        <v>41347</v>
      </c>
      <c r="N118" s="81">
        <v>1.16383571386427E-3</v>
      </c>
    </row>
    <row r="119" spans="13:14">
      <c r="M119" s="1">
        <v>41354</v>
      </c>
      <c r="N119" s="81">
        <v>2.2270412887641501E-3</v>
      </c>
    </row>
    <row r="120" spans="13:14">
      <c r="M120" s="1">
        <v>41361</v>
      </c>
      <c r="N120" s="81">
        <v>1.5814373541439301E-3</v>
      </c>
    </row>
    <row r="121" spans="13:14">
      <c r="M121" s="1">
        <v>41368</v>
      </c>
      <c r="N121" s="81">
        <v>2.9231505873714399E-3</v>
      </c>
    </row>
    <row r="122" spans="13:14">
      <c r="M122" s="1">
        <v>41375</v>
      </c>
      <c r="N122" s="81">
        <v>6.9694981086310098E-3</v>
      </c>
    </row>
    <row r="123" spans="13:14">
      <c r="M123" s="1">
        <v>41382</v>
      </c>
      <c r="N123" s="81">
        <v>1.3563295142313201E-2</v>
      </c>
    </row>
    <row r="124" spans="13:14">
      <c r="M124" s="1">
        <v>41389</v>
      </c>
      <c r="N124" s="81">
        <v>9.5307583692172005E-3</v>
      </c>
    </row>
    <row r="125" spans="13:14">
      <c r="M125" s="1">
        <v>41396</v>
      </c>
      <c r="N125" s="81">
        <v>0.77278468829226099</v>
      </c>
    </row>
    <row r="126" spans="13:14">
      <c r="M126" s="1">
        <v>41403</v>
      </c>
      <c r="N126" s="81">
        <v>1.43811701784358E-2</v>
      </c>
    </row>
    <row r="127" spans="13:14">
      <c r="M127" s="1">
        <v>41410</v>
      </c>
      <c r="N127" s="81">
        <v>8.3805961025081796E-3</v>
      </c>
    </row>
    <row r="128" spans="13:14">
      <c r="M128" s="1">
        <v>41417</v>
      </c>
      <c r="N128" s="81">
        <v>3.24861882666854E-3</v>
      </c>
    </row>
    <row r="129" spans="13:14">
      <c r="M129" s="1">
        <v>41424</v>
      </c>
      <c r="N129" s="81">
        <v>7.23006593961598E-4</v>
      </c>
    </row>
    <row r="130" spans="13:14">
      <c r="M130" s="1">
        <v>41431</v>
      </c>
      <c r="N130" s="81">
        <v>5.1111206075067303E-4</v>
      </c>
    </row>
    <row r="131" spans="13:14">
      <c r="M131" s="1">
        <v>41438</v>
      </c>
      <c r="N131" s="81">
        <v>4.4853144090145001E-4</v>
      </c>
    </row>
    <row r="132" spans="13:14">
      <c r="M132" s="1">
        <v>41445</v>
      </c>
      <c r="N132" s="81">
        <v>4.5721700980804099E-4</v>
      </c>
    </row>
    <row r="133" spans="13:14">
      <c r="M133" s="1">
        <v>41452</v>
      </c>
      <c r="N133" s="81">
        <v>1.18085120456235E-4</v>
      </c>
    </row>
    <row r="134" spans="13:14">
      <c r="M134" s="1">
        <v>41458</v>
      </c>
      <c r="N134" s="81">
        <v>2.0890509018574801E-4</v>
      </c>
    </row>
    <row r="135" spans="13:14">
      <c r="M135" s="1">
        <v>41466</v>
      </c>
      <c r="N135" s="81">
        <v>6.2349917608853304E-5</v>
      </c>
    </row>
    <row r="136" spans="13:14">
      <c r="M136" s="1">
        <v>41473</v>
      </c>
      <c r="N136" s="81">
        <v>7.7260015377096707E-5</v>
      </c>
    </row>
    <row r="137" spans="13:14">
      <c r="M137" s="1">
        <v>41480</v>
      </c>
      <c r="N137" s="81">
        <v>7.7705125163761099E-5</v>
      </c>
    </row>
    <row r="138" spans="13:14">
      <c r="M138" s="1">
        <v>41487</v>
      </c>
      <c r="N138" s="81">
        <v>1.2656752123026201E-4</v>
      </c>
    </row>
    <row r="139" spans="13:14">
      <c r="M139" s="1">
        <v>41494</v>
      </c>
      <c r="N139" s="81">
        <v>1.8981164598661E-4</v>
      </c>
    </row>
    <row r="140" spans="13:14">
      <c r="M140" s="1">
        <v>41501</v>
      </c>
      <c r="N140" s="81">
        <v>1.09727944241163E-4</v>
      </c>
    </row>
    <row r="141" spans="13:14">
      <c r="M141" s="1">
        <v>41508</v>
      </c>
      <c r="N141" s="81">
        <v>5.14127448459894E-5</v>
      </c>
    </row>
    <row r="142" spans="13:14">
      <c r="M142" s="1">
        <v>41515</v>
      </c>
      <c r="N142" s="81">
        <v>7.0808320685095995E-5</v>
      </c>
    </row>
    <row r="143" spans="13:14">
      <c r="M143" s="1">
        <v>41522</v>
      </c>
      <c r="N143" s="81">
        <v>1.38137801233605E-4</v>
      </c>
    </row>
    <row r="144" spans="13:14">
      <c r="M144" s="1">
        <v>41529</v>
      </c>
      <c r="N144" s="81">
        <v>1.28166724373324E-4</v>
      </c>
    </row>
    <row r="145" spans="13:14">
      <c r="M145" s="1">
        <v>41536</v>
      </c>
      <c r="N145" s="81">
        <v>2.8613116476948101E-4</v>
      </c>
    </row>
    <row r="146" spans="13:14">
      <c r="M146" s="1">
        <v>41543</v>
      </c>
      <c r="N146" s="81">
        <v>1.1254799612103201E-3</v>
      </c>
    </row>
    <row r="147" spans="13:14">
      <c r="M147" s="1">
        <v>41550</v>
      </c>
      <c r="N147" s="81">
        <v>2.1705397754131698E-3</v>
      </c>
    </row>
    <row r="148" spans="13:14">
      <c r="M148" s="1">
        <v>41557</v>
      </c>
      <c r="N148" s="81">
        <v>2.9998090771003101E-3</v>
      </c>
    </row>
    <row r="149" spans="13:14">
      <c r="M149" s="1">
        <v>41564</v>
      </c>
      <c r="N149" s="81">
        <v>2.1912087808184902E-3</v>
      </c>
    </row>
    <row r="150" spans="13:14">
      <c r="M150" s="1">
        <v>41571</v>
      </c>
      <c r="N150" s="81">
        <v>5.1244395463538699E-3</v>
      </c>
    </row>
    <row r="151" spans="13:14">
      <c r="M151" s="1">
        <v>41578</v>
      </c>
      <c r="N151" s="81">
        <v>6.6622111195612701E-3</v>
      </c>
    </row>
    <row r="152" spans="13:14">
      <c r="M152" s="1">
        <v>41585</v>
      </c>
      <c r="N152" s="81">
        <v>5.9142756056665803E-3</v>
      </c>
    </row>
    <row r="153" spans="13:14">
      <c r="M153" s="1">
        <v>41592</v>
      </c>
      <c r="N153" s="81">
        <v>2.3059610467440102E-3</v>
      </c>
    </row>
    <row r="154" spans="13:14">
      <c r="M154" s="1">
        <v>41599</v>
      </c>
      <c r="N154" s="81">
        <v>5.1057108713702896E-3</v>
      </c>
    </row>
    <row r="155" spans="13:14">
      <c r="M155" s="1">
        <v>41605</v>
      </c>
      <c r="N155" s="81">
        <v>3.7093838786239901E-3</v>
      </c>
    </row>
    <row r="156" spans="13:14">
      <c r="M156" s="1">
        <v>41613</v>
      </c>
      <c r="N156" s="81">
        <v>1.5682869089664699E-3</v>
      </c>
    </row>
    <row r="157" spans="13:14">
      <c r="M157" s="1">
        <v>41620</v>
      </c>
      <c r="N157" s="81">
        <v>1.7289463930776701E-3</v>
      </c>
    </row>
    <row r="158" spans="13:14">
      <c r="M158" s="1">
        <v>41627</v>
      </c>
      <c r="N158" s="81">
        <v>9.4800641267841503E-4</v>
      </c>
    </row>
    <row r="159" spans="13:14">
      <c r="M159" s="1">
        <v>41634</v>
      </c>
      <c r="N159" s="81">
        <v>7.6921873800145097E-4</v>
      </c>
    </row>
    <row r="160" spans="13:14">
      <c r="M160" s="1">
        <v>41641</v>
      </c>
      <c r="N160" s="81">
        <v>3.6503917074256998E-4</v>
      </c>
    </row>
    <row r="161" spans="13:14">
      <c r="M161" s="1">
        <v>41648</v>
      </c>
      <c r="N161" s="81">
        <v>7.2807678642524602E-4</v>
      </c>
    </row>
    <row r="162" spans="13:14">
      <c r="M162" s="1">
        <v>41655</v>
      </c>
      <c r="N162" s="81">
        <v>2.0703667546944798E-3</v>
      </c>
    </row>
    <row r="163" spans="13:14">
      <c r="M163" s="1">
        <v>41662</v>
      </c>
      <c r="N163" s="81">
        <v>2.2673030698720899E-3</v>
      </c>
    </row>
    <row r="164" spans="13:14">
      <c r="M164" s="1">
        <v>41669</v>
      </c>
      <c r="N164" s="81">
        <v>4.8506682686177702E-3</v>
      </c>
    </row>
    <row r="165" spans="13:14">
      <c r="M165" s="1">
        <v>41676</v>
      </c>
      <c r="N165" s="81">
        <v>7.21546546831584E-3</v>
      </c>
    </row>
    <row r="166" spans="13:14">
      <c r="M166" s="1">
        <v>41683</v>
      </c>
      <c r="N166" s="81">
        <v>5.9474577791092101E-3</v>
      </c>
    </row>
    <row r="167" spans="13:14">
      <c r="M167" s="1">
        <v>41690</v>
      </c>
      <c r="N167" s="81">
        <v>3.7079476145124701E-3</v>
      </c>
    </row>
    <row r="168" spans="13:14">
      <c r="M168" s="1">
        <v>41697</v>
      </c>
      <c r="N168" s="81">
        <v>2.0311520591881401E-3</v>
      </c>
    </row>
    <row r="169" spans="13:14">
      <c r="M169" s="1">
        <v>41704</v>
      </c>
      <c r="N169" s="81">
        <v>6.3681225023528298E-3</v>
      </c>
    </row>
    <row r="170" spans="13:14">
      <c r="M170" s="1">
        <v>41711</v>
      </c>
      <c r="N170" s="81">
        <v>2.5606168679182602E-3</v>
      </c>
    </row>
    <row r="171" spans="13:14">
      <c r="M171" s="1">
        <v>41718</v>
      </c>
      <c r="N171" s="81">
        <v>6.7470837053240302E-3</v>
      </c>
    </row>
    <row r="172" spans="13:14">
      <c r="M172" s="1">
        <v>41725</v>
      </c>
      <c r="N172" s="81">
        <v>2.5391137542070102E-3</v>
      </c>
    </row>
    <row r="173" spans="13:14">
      <c r="M173" s="1">
        <v>41732</v>
      </c>
      <c r="N173" s="81">
        <v>1.48737291930596E-3</v>
      </c>
    </row>
    <row r="174" spans="13:14">
      <c r="M174" s="1">
        <v>41739</v>
      </c>
      <c r="N174" s="81">
        <v>3.4890800072405899E-3</v>
      </c>
    </row>
    <row r="175" spans="13:14">
      <c r="M175" s="1">
        <v>41746</v>
      </c>
      <c r="N175" s="81">
        <v>9.0367181357990708E-3</v>
      </c>
    </row>
    <row r="176" spans="13:14">
      <c r="M176" s="1">
        <v>41753</v>
      </c>
      <c r="N176" s="81">
        <v>5.3403429564292202E-3</v>
      </c>
    </row>
    <row r="177" spans="13:14">
      <c r="M177" s="1">
        <v>41760</v>
      </c>
      <c r="N177" s="81">
        <v>9.8642663465764498E-3</v>
      </c>
    </row>
    <row r="178" spans="13:14">
      <c r="M178" s="1">
        <v>41767</v>
      </c>
      <c r="N178" s="81">
        <v>2.2073656709097101E-2</v>
      </c>
    </row>
    <row r="179" spans="13:14">
      <c r="M179" s="1">
        <v>41774</v>
      </c>
      <c r="N179" s="81">
        <v>2.2126974140678001E-2</v>
      </c>
    </row>
    <row r="180" spans="13:14">
      <c r="M180" s="1">
        <v>41781</v>
      </c>
      <c r="N180" s="81">
        <v>2.8653101671392602E-2</v>
      </c>
    </row>
    <row r="181" spans="13:14">
      <c r="M181" s="1">
        <v>41788</v>
      </c>
      <c r="N181" s="81">
        <v>2.9521653233466699E-2</v>
      </c>
    </row>
    <row r="182" spans="13:14">
      <c r="M182" s="1">
        <v>41795</v>
      </c>
      <c r="N182" s="81">
        <v>3.39392972413807E-2</v>
      </c>
    </row>
    <row r="183" spans="13:14">
      <c r="M183" s="1">
        <v>41802</v>
      </c>
      <c r="N183" s="81">
        <v>2.57985966584953E-2</v>
      </c>
    </row>
    <row r="184" spans="13:14">
      <c r="M184" s="1">
        <v>41809</v>
      </c>
      <c r="N184" s="81">
        <v>2.6288769130428501E-2</v>
      </c>
    </row>
    <row r="185" spans="13:14">
      <c r="M185" s="1">
        <v>41816</v>
      </c>
      <c r="N185" s="81">
        <v>3.4895003086718203E-2</v>
      </c>
    </row>
    <row r="186" spans="13:14">
      <c r="M186" s="1">
        <v>41823</v>
      </c>
      <c r="N186" s="81">
        <v>5.0464297832893801E-2</v>
      </c>
    </row>
    <row r="187" spans="13:14">
      <c r="M187" s="1">
        <v>41830</v>
      </c>
      <c r="N187" s="81">
        <v>2.8091291880043799E-2</v>
      </c>
    </row>
    <row r="188" spans="13:14">
      <c r="M188" s="1">
        <v>41837</v>
      </c>
      <c r="N188" s="81">
        <v>3.6985472623473202E-2</v>
      </c>
    </row>
    <row r="189" spans="13:14">
      <c r="M189" s="1">
        <v>41844</v>
      </c>
      <c r="N189" s="81">
        <v>3.6985472623473202E-2</v>
      </c>
    </row>
    <row r="190" spans="13:14">
      <c r="M190" s="1">
        <v>41851</v>
      </c>
      <c r="N190" s="81">
        <v>3.8081960412189197E-2</v>
      </c>
    </row>
    <row r="191" spans="13:14">
      <c r="M191" s="1">
        <v>41858</v>
      </c>
      <c r="N191" s="81">
        <v>2.98931442613069E-2</v>
      </c>
    </row>
    <row r="192" spans="13:14">
      <c r="M192" s="1">
        <v>41865</v>
      </c>
      <c r="N192" s="81">
        <v>4.0576469480246402E-2</v>
      </c>
    </row>
    <row r="193" spans="13:14">
      <c r="M193" s="1">
        <v>41872</v>
      </c>
      <c r="N193" s="81">
        <v>5.5733257120455203E-2</v>
      </c>
    </row>
    <row r="194" spans="13:14">
      <c r="M194" s="1">
        <v>41879</v>
      </c>
      <c r="N194" s="81">
        <v>5.5210302843546E-2</v>
      </c>
    </row>
    <row r="195" spans="13:14">
      <c r="M195" s="1">
        <v>41886</v>
      </c>
      <c r="N195" s="81">
        <v>5.6843667888921999E-2</v>
      </c>
    </row>
    <row r="196" spans="13:14">
      <c r="M196" s="1">
        <v>41893</v>
      </c>
      <c r="N196" s="81">
        <v>5.6963722019140399E-2</v>
      </c>
    </row>
    <row r="197" spans="13:14">
      <c r="M197" s="1">
        <v>41900</v>
      </c>
      <c r="N197" s="81">
        <v>2.1801779477546102E-3</v>
      </c>
    </row>
    <row r="198" spans="13:14">
      <c r="M198" s="1">
        <v>41907</v>
      </c>
      <c r="N198" s="81">
        <v>2.1899499180467298E-3</v>
      </c>
    </row>
    <row r="199" spans="13:14">
      <c r="M199" s="1">
        <v>41914</v>
      </c>
      <c r="N199" s="81">
        <v>5.78845043705907E-3</v>
      </c>
    </row>
    <row r="200" spans="13:14">
      <c r="M200" s="1">
        <v>41921</v>
      </c>
      <c r="N200" s="81">
        <v>5.7460081272162802E-2</v>
      </c>
    </row>
    <row r="201" spans="13:14">
      <c r="M201" s="1">
        <v>41928</v>
      </c>
      <c r="N201" s="81">
        <v>9.2515921347387203E-2</v>
      </c>
    </row>
    <row r="202" spans="13:14">
      <c r="M202" s="1">
        <v>41935</v>
      </c>
      <c r="N202" s="81">
        <v>0.105678643107878</v>
      </c>
    </row>
    <row r="203" spans="13:14">
      <c r="M203" s="1">
        <v>41942</v>
      </c>
      <c r="N203" s="81">
        <v>9.2355670832085193E-2</v>
      </c>
    </row>
    <row r="204" spans="13:14">
      <c r="M204" s="1">
        <v>41949</v>
      </c>
      <c r="N204" s="81">
        <v>7.3307962083476605E-2</v>
      </c>
    </row>
    <row r="205" spans="13:14">
      <c r="M205" s="1">
        <v>41956</v>
      </c>
      <c r="N205" s="81">
        <v>7.4888854290669493E-2</v>
      </c>
    </row>
    <row r="206" spans="13:14">
      <c r="M206" s="1">
        <v>41963</v>
      </c>
      <c r="N206" s="81">
        <v>9.2759285706895706E-2</v>
      </c>
    </row>
    <row r="207" spans="13:14">
      <c r="M207" s="1">
        <v>41969</v>
      </c>
      <c r="N207" s="81">
        <v>9.3998413556807103E-2</v>
      </c>
    </row>
    <row r="208" spans="13:14">
      <c r="M208" s="1">
        <v>41977</v>
      </c>
      <c r="N208" s="81">
        <v>0.10843983316764801</v>
      </c>
    </row>
    <row r="209" spans="13:14">
      <c r="M209" s="1">
        <v>41984</v>
      </c>
      <c r="N209" s="81">
        <v>0.108243403634791</v>
      </c>
    </row>
    <row r="210" spans="13:14">
      <c r="M210" s="1">
        <v>41991</v>
      </c>
      <c r="N210" s="81">
        <v>0.13100701570916601</v>
      </c>
    </row>
    <row r="211" spans="13:14">
      <c r="M211" s="1">
        <v>41997</v>
      </c>
      <c r="N211" s="81">
        <v>0.128936720795501</v>
      </c>
    </row>
    <row r="212" spans="13:14">
      <c r="M212" s="1">
        <v>42004</v>
      </c>
      <c r="N212" s="81">
        <v>0.11008343849461499</v>
      </c>
    </row>
    <row r="213" spans="13:14">
      <c r="M213" s="1">
        <v>42012</v>
      </c>
      <c r="N213" s="81">
        <v>0.14791956318824301</v>
      </c>
    </row>
    <row r="214" spans="13:14">
      <c r="M214" s="1">
        <v>42019</v>
      </c>
      <c r="N214" s="81">
        <v>0.18556389775981899</v>
      </c>
    </row>
    <row r="215" spans="13:14">
      <c r="M215" s="1">
        <v>42026</v>
      </c>
      <c r="N215" s="81">
        <v>0.18606636138555099</v>
      </c>
    </row>
    <row r="216" spans="13:14">
      <c r="M216" s="1">
        <v>42033</v>
      </c>
      <c r="N216" s="81">
        <v>0.183514418950807</v>
      </c>
    </row>
    <row r="217" spans="13:14">
      <c r="M217" s="1">
        <v>42040</v>
      </c>
      <c r="N217" s="81">
        <v>0.18771115723731899</v>
      </c>
    </row>
    <row r="218" spans="13:14">
      <c r="M218" s="1">
        <v>42047</v>
      </c>
      <c r="N218" s="81">
        <v>0.17272998234149201</v>
      </c>
    </row>
    <row r="219" spans="13:14">
      <c r="M219" s="1">
        <v>42054</v>
      </c>
      <c r="N219" s="81">
        <v>0.146759122816186</v>
      </c>
    </row>
    <row r="220" spans="13:14">
      <c r="M220" s="1">
        <v>42061</v>
      </c>
      <c r="N220" s="81">
        <v>0.13140881606048399</v>
      </c>
    </row>
    <row r="221" spans="13:14">
      <c r="M221" s="1">
        <v>42068</v>
      </c>
      <c r="N221" s="81">
        <v>0.14554399189627501</v>
      </c>
    </row>
    <row r="222" spans="13:14">
      <c r="M222" s="1">
        <v>42075</v>
      </c>
      <c r="N222" s="81">
        <v>0.109721001806031</v>
      </c>
    </row>
    <row r="223" spans="13:14">
      <c r="M223" s="1">
        <v>42082</v>
      </c>
      <c r="N223" s="81">
        <v>0.145251647985956</v>
      </c>
    </row>
    <row r="224" spans="13:14">
      <c r="M224" s="1">
        <v>42089</v>
      </c>
      <c r="N224" s="81">
        <v>0.16936375390644101</v>
      </c>
    </row>
    <row r="225" spans="13:14">
      <c r="M225" s="1">
        <v>42096</v>
      </c>
      <c r="N225" s="81">
        <v>0.16611661450599</v>
      </c>
    </row>
    <row r="226" spans="13:14">
      <c r="M226" s="1">
        <v>42103</v>
      </c>
      <c r="N226" s="81">
        <v>0.18505564947661601</v>
      </c>
    </row>
    <row r="227" spans="13:14">
      <c r="M227" s="1">
        <v>42110</v>
      </c>
      <c r="N227" s="81">
        <v>0.16810406485709101</v>
      </c>
    </row>
    <row r="228" spans="13:14">
      <c r="M228" s="1">
        <v>42117</v>
      </c>
      <c r="N228" s="81">
        <v>0.187930762639857</v>
      </c>
    </row>
    <row r="229" spans="13:14">
      <c r="M229" s="1">
        <v>42124</v>
      </c>
      <c r="N229" s="81">
        <v>0.168531927128662</v>
      </c>
    </row>
    <row r="230" spans="13:14">
      <c r="M230" s="1">
        <v>42131</v>
      </c>
      <c r="N230" s="81">
        <v>3.4714448657501701E-3</v>
      </c>
    </row>
    <row r="231" spans="13:14">
      <c r="M231" s="1">
        <v>42138</v>
      </c>
      <c r="N231" s="81">
        <v>2.3331317991025198E-3</v>
      </c>
    </row>
    <row r="232" spans="13:14">
      <c r="M232" s="1">
        <v>42145</v>
      </c>
      <c r="N232" s="81">
        <v>1.67442383088528E-3</v>
      </c>
    </row>
    <row r="233" spans="13:14">
      <c r="M233" s="1">
        <v>42152</v>
      </c>
      <c r="N233" s="81">
        <v>1.6736251546201301E-3</v>
      </c>
    </row>
    <row r="234" spans="13:14">
      <c r="M234" s="1">
        <v>42159</v>
      </c>
      <c r="N234" s="81">
        <v>1.4226748396708299E-3</v>
      </c>
    </row>
    <row r="235" spans="13:14">
      <c r="M235" s="1">
        <v>42166</v>
      </c>
      <c r="N235" s="81">
        <v>6.0159410239188805E-4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"/>
  <sheetViews>
    <sheetView zoomScaleNormal="100" workbookViewId="0">
      <selection activeCell="AB29" sqref="AB29"/>
    </sheetView>
  </sheetViews>
  <sheetFormatPr defaultRowHeight="15"/>
  <sheetData/>
  <pageMargins left="0.7" right="0.7" top="0.75" bottom="0.75" header="0.3" footer="0.3"/>
  <pageSetup scale="6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26</vt:i4>
      </vt:variant>
    </vt:vector>
  </HeadingPairs>
  <TitlesOfParts>
    <vt:vector size="36" baseType="lpstr">
      <vt:lpstr>Report</vt:lpstr>
      <vt:lpstr>Query</vt:lpstr>
      <vt:lpstr>Bloomberg</vt:lpstr>
      <vt:lpstr>Function Of Rate</vt:lpstr>
      <vt:lpstr>Low rate</vt:lpstr>
      <vt:lpstr>Low Rate Result</vt:lpstr>
      <vt:lpstr>Sheet1</vt:lpstr>
      <vt:lpstr>Result Page 1</vt:lpstr>
      <vt:lpstr>Media Effect</vt:lpstr>
      <vt:lpstr>Result Page 2</vt:lpstr>
      <vt:lpstr>CurrentCloseDate</vt:lpstr>
      <vt:lpstr>CurrentRate1</vt:lpstr>
      <vt:lpstr>CurrMonth</vt:lpstr>
      <vt:lpstr>CuurentRate1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'Result Page 1'!Print_Area</vt:lpstr>
      <vt:lpstr>SaveRatesToDB</vt:lpstr>
      <vt:lpstr>'Low rate'!temp</vt:lpstr>
      <vt:lpstr>'Low Rate Result'!temp</vt:lpstr>
      <vt:lpstr>'Media Effect'!temp</vt:lpstr>
      <vt:lpstr>Query!temp</vt:lpstr>
      <vt:lpstr>'Function Of Rate'!temp_1</vt:lpstr>
      <vt:lpstr>'Low rate'!temp_1</vt:lpstr>
      <vt:lpstr>'Low Rate Result'!temp_1</vt:lpstr>
      <vt:lpstr>'Media Effect'!temp_1</vt:lpstr>
      <vt:lpstr>'Function Of Rate'!temp_2</vt:lpstr>
      <vt:lpstr>'Low rate'!temp_2</vt:lpstr>
      <vt:lpstr>'Low Rate Result'!temp_2</vt:lpstr>
      <vt:lpstr>'Media Effect'!temp_2</vt:lpstr>
      <vt:lpstr>'Low Rate Result'!temp_3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2015-06-16T19:26:04Z</cp:lastPrinted>
  <dcterms:created xsi:type="dcterms:W3CDTF">2006-09-16T00:00:00Z</dcterms:created>
  <dcterms:modified xsi:type="dcterms:W3CDTF">2015-06-17T21:05:56Z</dcterms:modified>
</cp:coreProperties>
</file>