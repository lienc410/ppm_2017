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7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firstSheet="1" activeTab="8"/>
  </bookViews>
  <sheets>
    <sheet name="Report" sheetId="16" state="hidden" r:id="rId1"/>
    <sheet name="PoolRefinancible" sheetId="18" r:id="rId2"/>
    <sheet name="Bloomberg" sheetId="19" r:id="rId3"/>
    <sheet name="Sheet3" sheetId="20" r:id="rId4"/>
    <sheet name="HARP LLPA" sheetId="21" r:id="rId5"/>
    <sheet name="HARPable Universe" sheetId="22" r:id="rId6"/>
    <sheet name="LogReturn" sheetId="23" r:id="rId7"/>
    <sheet name="Plot" sheetId="24" r:id="rId8"/>
    <sheet name="Sheet1" sheetId="25" r:id="rId9"/>
  </sheets>
  <functionGroups builtInGroupCount="17"/>
  <externalReferences>
    <externalReference r:id="rId10"/>
    <externalReference r:id="rId11"/>
    <externalReference r:id="rId12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#REF!</definedName>
    <definedName name="PivotTable11">#REF!</definedName>
    <definedName name="PivotTable12">#REF!</definedName>
    <definedName name="_xlnm.Print_Area" localSheetId="4">'HARP LLPA'!$D$37:$AB$69</definedName>
    <definedName name="_xlnm.Print_Area" localSheetId="5">'HARPable Universe'!$T$1:$AJ$40</definedName>
    <definedName name="_xlnm.Print_Area" localSheetId="0">Report!$B$1:$Q$59</definedName>
    <definedName name="Query_from_Agency_10" localSheetId="1" hidden="1">PoolRefinancible!$W$2:$X$228</definedName>
    <definedName name="Query_from_Agency_6" localSheetId="1" hidden="1">PoolRefinancible!$B$2:$D$227</definedName>
    <definedName name="Query_from_Agency_7" localSheetId="1" hidden="1">PoolRefinancible!$M$2:$N$227</definedName>
    <definedName name="Query_from_Agency_8" localSheetId="1" hidden="1">PoolRefinancible!$Q$2:$R$228</definedName>
    <definedName name="Query_from_Agency_9" localSheetId="1" hidden="1">PoolRefinancible!$T$2:$U$228</definedName>
    <definedName name="SaveRatesToDB">Report!$W$1</definedName>
    <definedName name="temp_1" localSheetId="1">PoolRefinancible!$AF$2:$AG$230</definedName>
    <definedName name="temp_1" localSheetId="8">Sheet1!$Z$2:$AA$230</definedName>
    <definedName name="temp_17">#REF!</definedName>
    <definedName name="temp_8">#REF!</definedName>
    <definedName name="temp1" localSheetId="5">'HARPable Universe'!$F$2:$G$228</definedName>
    <definedName name="temp1" localSheetId="1">PoolRefinancible!$T$2:$T$207</definedName>
    <definedName name="temp1_1" localSheetId="5">'HARPable Universe'!$I$2:$K$228</definedName>
    <definedName name="temp1_1" localSheetId="1">PoolRefinancible!$Z$2:$AA$228</definedName>
    <definedName name="temp1_2" localSheetId="5">'HARPable Universe'!$O$2:$Q$228</definedName>
    <definedName name="temp1_2" localSheetId="1">PoolRefinancible!$AC$2:$AD$228</definedName>
  </definedNames>
  <calcPr calcId="145621"/>
</workbook>
</file>

<file path=xl/calcChain.xml><?xml version="1.0" encoding="utf-8"?>
<calcChain xmlns="http://schemas.openxmlformats.org/spreadsheetml/2006/main">
  <c r="F4" i="25" l="1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3" i="25"/>
  <c r="K3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L4" i="22" l="1"/>
  <c r="M4" i="22"/>
  <c r="L5" i="22"/>
  <c r="M5" i="22"/>
  <c r="L6" i="22"/>
  <c r="M6" i="22"/>
  <c r="L7" i="22"/>
  <c r="M7" i="22"/>
  <c r="L8" i="22"/>
  <c r="M8" i="22"/>
  <c r="L9" i="22"/>
  <c r="M9" i="22"/>
  <c r="L10" i="22"/>
  <c r="M10" i="22"/>
  <c r="L11" i="22"/>
  <c r="M11" i="22"/>
  <c r="L12" i="22"/>
  <c r="M12" i="22"/>
  <c r="L13" i="22"/>
  <c r="M13" i="22"/>
  <c r="L14" i="22"/>
  <c r="M14" i="22"/>
  <c r="L15" i="22"/>
  <c r="M15" i="22"/>
  <c r="L16" i="22"/>
  <c r="M16" i="22"/>
  <c r="L17" i="22"/>
  <c r="M17" i="22"/>
  <c r="L18" i="22"/>
  <c r="M18" i="22"/>
  <c r="L19" i="22"/>
  <c r="M19" i="22"/>
  <c r="L20" i="22"/>
  <c r="M20" i="22"/>
  <c r="L21" i="22"/>
  <c r="M21" i="22"/>
  <c r="L22" i="22"/>
  <c r="M22" i="22"/>
  <c r="L23" i="22"/>
  <c r="M23" i="22"/>
  <c r="L24" i="22"/>
  <c r="M24" i="22"/>
  <c r="L25" i="22"/>
  <c r="M25" i="22"/>
  <c r="L26" i="22"/>
  <c r="M26" i="22"/>
  <c r="L27" i="22"/>
  <c r="M27" i="22"/>
  <c r="L28" i="22"/>
  <c r="M28" i="22"/>
  <c r="L29" i="22"/>
  <c r="M29" i="22"/>
  <c r="L30" i="22"/>
  <c r="M30" i="22"/>
  <c r="L31" i="22"/>
  <c r="M31" i="22"/>
  <c r="L32" i="22"/>
  <c r="M32" i="22"/>
  <c r="L33" i="22"/>
  <c r="M33" i="22"/>
  <c r="L34" i="22"/>
  <c r="M34" i="22"/>
  <c r="L35" i="22"/>
  <c r="M35" i="22"/>
  <c r="L36" i="22"/>
  <c r="M36" i="22"/>
  <c r="L37" i="22"/>
  <c r="M37" i="22"/>
  <c r="L38" i="22"/>
  <c r="M38" i="22"/>
  <c r="L39" i="22"/>
  <c r="M39" i="22"/>
  <c r="L40" i="22"/>
  <c r="M40" i="22"/>
  <c r="L41" i="22"/>
  <c r="M41" i="22"/>
  <c r="L42" i="22"/>
  <c r="M42" i="22"/>
  <c r="L43" i="22"/>
  <c r="M43" i="22"/>
  <c r="L44" i="22"/>
  <c r="M44" i="22"/>
  <c r="L45" i="22"/>
  <c r="M45" i="22"/>
  <c r="L46" i="22"/>
  <c r="M46" i="22"/>
  <c r="L47" i="22"/>
  <c r="M47" i="22"/>
  <c r="L48" i="22"/>
  <c r="M48" i="22"/>
  <c r="L49" i="22"/>
  <c r="M49" i="22"/>
  <c r="L50" i="22"/>
  <c r="M50" i="22"/>
  <c r="L51" i="22"/>
  <c r="M51" i="22"/>
  <c r="L52" i="22"/>
  <c r="M52" i="22"/>
  <c r="L53" i="22"/>
  <c r="M53" i="22"/>
  <c r="L54" i="22"/>
  <c r="M54" i="22"/>
  <c r="L55" i="22"/>
  <c r="M55" i="22"/>
  <c r="L56" i="22"/>
  <c r="M56" i="22"/>
  <c r="L57" i="22"/>
  <c r="M57" i="22"/>
  <c r="L58" i="22"/>
  <c r="M58" i="22"/>
  <c r="L59" i="22"/>
  <c r="M59" i="22"/>
  <c r="L60" i="22"/>
  <c r="M60" i="22"/>
  <c r="L61" i="22"/>
  <c r="M61" i="22"/>
  <c r="L62" i="22"/>
  <c r="M62" i="22"/>
  <c r="L63" i="22"/>
  <c r="M63" i="22"/>
  <c r="L64" i="22"/>
  <c r="M64" i="22"/>
  <c r="L65" i="22"/>
  <c r="M65" i="22"/>
  <c r="L66" i="22"/>
  <c r="M66" i="22"/>
  <c r="L67" i="22"/>
  <c r="M67" i="22"/>
  <c r="L68" i="22"/>
  <c r="M68" i="22"/>
  <c r="L69" i="22"/>
  <c r="M69" i="22"/>
  <c r="L70" i="22"/>
  <c r="M70" i="22"/>
  <c r="L71" i="22"/>
  <c r="M71" i="22"/>
  <c r="L72" i="22"/>
  <c r="M72" i="22"/>
  <c r="L73" i="22"/>
  <c r="M73" i="22"/>
  <c r="L74" i="22"/>
  <c r="M74" i="22"/>
  <c r="L75" i="22"/>
  <c r="M75" i="22"/>
  <c r="L76" i="22"/>
  <c r="M76" i="22"/>
  <c r="L77" i="22"/>
  <c r="M77" i="22"/>
  <c r="L78" i="22"/>
  <c r="M78" i="22"/>
  <c r="L79" i="22"/>
  <c r="M79" i="22"/>
  <c r="L80" i="22"/>
  <c r="M80" i="22"/>
  <c r="L81" i="22"/>
  <c r="M81" i="22"/>
  <c r="L82" i="22"/>
  <c r="M82" i="22"/>
  <c r="L83" i="22"/>
  <c r="M83" i="22"/>
  <c r="L84" i="22"/>
  <c r="M84" i="22"/>
  <c r="L85" i="22"/>
  <c r="M85" i="22"/>
  <c r="L86" i="22"/>
  <c r="M86" i="22"/>
  <c r="L87" i="22"/>
  <c r="M87" i="22"/>
  <c r="L88" i="22"/>
  <c r="M88" i="22"/>
  <c r="L89" i="22"/>
  <c r="M89" i="22"/>
  <c r="L90" i="22"/>
  <c r="M90" i="22"/>
  <c r="L91" i="22"/>
  <c r="M91" i="22"/>
  <c r="L92" i="22"/>
  <c r="M92" i="22"/>
  <c r="L93" i="22"/>
  <c r="M93" i="22"/>
  <c r="L94" i="22"/>
  <c r="M94" i="22"/>
  <c r="L95" i="22"/>
  <c r="M95" i="22"/>
  <c r="L96" i="22"/>
  <c r="M96" i="22"/>
  <c r="L97" i="22"/>
  <c r="M97" i="22"/>
  <c r="L98" i="22"/>
  <c r="M98" i="22"/>
  <c r="L99" i="22"/>
  <c r="M99" i="22"/>
  <c r="L100" i="22"/>
  <c r="M100" i="22"/>
  <c r="L101" i="22"/>
  <c r="M101" i="22"/>
  <c r="L102" i="22"/>
  <c r="M102" i="22"/>
  <c r="L103" i="22"/>
  <c r="M103" i="22"/>
  <c r="L104" i="22"/>
  <c r="M104" i="22"/>
  <c r="L105" i="22"/>
  <c r="M105" i="22"/>
  <c r="L106" i="22"/>
  <c r="M106" i="22"/>
  <c r="L107" i="22"/>
  <c r="M107" i="22"/>
  <c r="L108" i="22"/>
  <c r="M108" i="22"/>
  <c r="L109" i="22"/>
  <c r="M109" i="22"/>
  <c r="L110" i="22"/>
  <c r="M110" i="22"/>
  <c r="L111" i="22"/>
  <c r="M111" i="22"/>
  <c r="L112" i="22"/>
  <c r="M112" i="22"/>
  <c r="L113" i="22"/>
  <c r="M113" i="22"/>
  <c r="L114" i="22"/>
  <c r="M114" i="22"/>
  <c r="L115" i="22"/>
  <c r="M115" i="22"/>
  <c r="L116" i="22"/>
  <c r="M116" i="22"/>
  <c r="L117" i="22"/>
  <c r="M117" i="22"/>
  <c r="L118" i="22"/>
  <c r="M118" i="22"/>
  <c r="L119" i="22"/>
  <c r="M119" i="22"/>
  <c r="L120" i="22"/>
  <c r="M120" i="22"/>
  <c r="L121" i="22"/>
  <c r="M121" i="22"/>
  <c r="L122" i="22"/>
  <c r="M122" i="22"/>
  <c r="L123" i="22"/>
  <c r="M123" i="22"/>
  <c r="L124" i="22"/>
  <c r="M124" i="22"/>
  <c r="L125" i="22"/>
  <c r="M125" i="22"/>
  <c r="L126" i="22"/>
  <c r="M126" i="22"/>
  <c r="L127" i="22"/>
  <c r="M127" i="22"/>
  <c r="L128" i="22"/>
  <c r="M128" i="22"/>
  <c r="L129" i="22"/>
  <c r="M129" i="22"/>
  <c r="L130" i="22"/>
  <c r="M130" i="22"/>
  <c r="L131" i="22"/>
  <c r="M131" i="22"/>
  <c r="L132" i="22"/>
  <c r="M132" i="22"/>
  <c r="L133" i="22"/>
  <c r="M133" i="22"/>
  <c r="L134" i="22"/>
  <c r="M134" i="22"/>
  <c r="L135" i="22"/>
  <c r="M135" i="22"/>
  <c r="L136" i="22"/>
  <c r="M136" i="22"/>
  <c r="L137" i="22"/>
  <c r="M137" i="22"/>
  <c r="L138" i="22"/>
  <c r="M138" i="22"/>
  <c r="L139" i="22"/>
  <c r="M139" i="22"/>
  <c r="L140" i="22"/>
  <c r="M140" i="22"/>
  <c r="L141" i="22"/>
  <c r="M141" i="22"/>
  <c r="L142" i="22"/>
  <c r="M142" i="22"/>
  <c r="L143" i="22"/>
  <c r="M143" i="22"/>
  <c r="L144" i="22"/>
  <c r="M144" i="22"/>
  <c r="L145" i="22"/>
  <c r="M145" i="22"/>
  <c r="L146" i="22"/>
  <c r="M146" i="22"/>
  <c r="L147" i="22"/>
  <c r="M147" i="22"/>
  <c r="L148" i="22"/>
  <c r="M148" i="22"/>
  <c r="L149" i="22"/>
  <c r="M149" i="22"/>
  <c r="L150" i="22"/>
  <c r="M150" i="22"/>
  <c r="L151" i="22"/>
  <c r="M151" i="22"/>
  <c r="L152" i="22"/>
  <c r="M152" i="22"/>
  <c r="L153" i="22"/>
  <c r="M153" i="22"/>
  <c r="L154" i="22"/>
  <c r="M154" i="22"/>
  <c r="L155" i="22"/>
  <c r="M155" i="22"/>
  <c r="L156" i="22"/>
  <c r="M156" i="22"/>
  <c r="L157" i="22"/>
  <c r="M157" i="22"/>
  <c r="L158" i="22"/>
  <c r="M158" i="22"/>
  <c r="L159" i="22"/>
  <c r="M159" i="22"/>
  <c r="L160" i="22"/>
  <c r="M160" i="22"/>
  <c r="L161" i="22"/>
  <c r="M161" i="22"/>
  <c r="L162" i="22"/>
  <c r="M162" i="22"/>
  <c r="L163" i="22"/>
  <c r="M163" i="22"/>
  <c r="L164" i="22"/>
  <c r="M164" i="22"/>
  <c r="L165" i="22"/>
  <c r="M165" i="22"/>
  <c r="L166" i="22"/>
  <c r="M166" i="22"/>
  <c r="L167" i="22"/>
  <c r="M167" i="22"/>
  <c r="L168" i="22"/>
  <c r="M168" i="22"/>
  <c r="L169" i="22"/>
  <c r="M169" i="22"/>
  <c r="L170" i="22"/>
  <c r="M170" i="22"/>
  <c r="L171" i="22"/>
  <c r="M171" i="22"/>
  <c r="L172" i="22"/>
  <c r="M172" i="22"/>
  <c r="L173" i="22"/>
  <c r="M173" i="22"/>
  <c r="L174" i="22"/>
  <c r="M174" i="22"/>
  <c r="L175" i="22"/>
  <c r="M175" i="22"/>
  <c r="L176" i="22"/>
  <c r="M176" i="22"/>
  <c r="L177" i="22"/>
  <c r="M177" i="22"/>
  <c r="L178" i="22"/>
  <c r="M178" i="22"/>
  <c r="L179" i="22"/>
  <c r="M179" i="22"/>
  <c r="L180" i="22"/>
  <c r="M180" i="22"/>
  <c r="L181" i="22"/>
  <c r="M181" i="22"/>
  <c r="L182" i="22"/>
  <c r="M182" i="22"/>
  <c r="L183" i="22"/>
  <c r="M183" i="22"/>
  <c r="L184" i="22"/>
  <c r="M184" i="22"/>
  <c r="L185" i="22"/>
  <c r="M185" i="22"/>
  <c r="L186" i="22"/>
  <c r="M186" i="22"/>
  <c r="L187" i="22"/>
  <c r="M187" i="22"/>
  <c r="L188" i="22"/>
  <c r="M188" i="22"/>
  <c r="L189" i="22"/>
  <c r="M189" i="22"/>
  <c r="L190" i="22"/>
  <c r="M190" i="22"/>
  <c r="L191" i="22"/>
  <c r="M191" i="22"/>
  <c r="L192" i="22"/>
  <c r="M192" i="22"/>
  <c r="L193" i="22"/>
  <c r="M193" i="22"/>
  <c r="L194" i="22"/>
  <c r="M194" i="22"/>
  <c r="L195" i="22"/>
  <c r="M195" i="22"/>
  <c r="L196" i="22"/>
  <c r="M196" i="22"/>
  <c r="L197" i="22"/>
  <c r="M197" i="22"/>
  <c r="L198" i="22"/>
  <c r="M198" i="22"/>
  <c r="L199" i="22"/>
  <c r="M199" i="22"/>
  <c r="L200" i="22"/>
  <c r="M200" i="22"/>
  <c r="L201" i="22"/>
  <c r="M201" i="22"/>
  <c r="L202" i="22"/>
  <c r="M202" i="22"/>
  <c r="L203" i="22"/>
  <c r="M203" i="22"/>
  <c r="L204" i="22"/>
  <c r="M204" i="22"/>
  <c r="L205" i="22"/>
  <c r="M205" i="22"/>
  <c r="L206" i="22"/>
  <c r="M206" i="22"/>
  <c r="L207" i="22"/>
  <c r="M207" i="22"/>
  <c r="L208" i="22"/>
  <c r="M208" i="22"/>
  <c r="L209" i="22"/>
  <c r="M209" i="22"/>
  <c r="L210" i="22"/>
  <c r="M210" i="22"/>
  <c r="L211" i="22"/>
  <c r="M211" i="22"/>
  <c r="L212" i="22"/>
  <c r="M212" i="22"/>
  <c r="L213" i="22"/>
  <c r="M213" i="22"/>
  <c r="L214" i="22"/>
  <c r="M214" i="22"/>
  <c r="L215" i="22"/>
  <c r="M215" i="22"/>
  <c r="L216" i="22"/>
  <c r="M216" i="22"/>
  <c r="L217" i="22"/>
  <c r="M217" i="22"/>
  <c r="L218" i="22"/>
  <c r="M218" i="22"/>
  <c r="L219" i="22"/>
  <c r="M219" i="22"/>
  <c r="L220" i="22"/>
  <c r="M220" i="22"/>
  <c r="L221" i="22"/>
  <c r="M221" i="22"/>
  <c r="L222" i="22"/>
  <c r="M222" i="22"/>
  <c r="L223" i="22"/>
  <c r="M223" i="22"/>
  <c r="L224" i="22"/>
  <c r="M224" i="22"/>
  <c r="L225" i="22"/>
  <c r="M225" i="22"/>
  <c r="L226" i="22"/>
  <c r="M226" i="22"/>
  <c r="L227" i="22"/>
  <c r="M227" i="22"/>
  <c r="L228" i="22"/>
  <c r="M228" i="22"/>
  <c r="L3" i="22"/>
  <c r="M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3" i="22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3" i="18"/>
  <c r="Z4" i="21"/>
  <c r="Z28" i="21"/>
  <c r="AA4" i="21"/>
  <c r="AA28" i="21"/>
  <c r="Z5" i="21"/>
  <c r="Z29" i="21"/>
  <c r="AA5" i="21"/>
  <c r="AA29" i="21"/>
  <c r="Z6" i="21"/>
  <c r="Z30" i="21"/>
  <c r="AA6" i="21"/>
  <c r="AA30" i="21"/>
  <c r="Z7" i="21"/>
  <c r="Z31" i="21"/>
  <c r="AA7" i="21"/>
  <c r="AA31" i="21"/>
  <c r="Z8" i="21"/>
  <c r="Z32" i="21"/>
  <c r="AA8" i="21"/>
  <c r="AA32" i="21"/>
  <c r="Z9" i="21"/>
  <c r="Z33" i="21"/>
  <c r="AA9" i="21"/>
  <c r="AA33" i="21"/>
  <c r="Z10" i="21"/>
  <c r="Z34" i="21"/>
  <c r="AA10" i="21"/>
  <c r="AA34" i="21"/>
  <c r="Z11" i="21"/>
  <c r="Z35" i="21"/>
  <c r="AA11" i="21"/>
  <c r="AA35" i="21"/>
  <c r="V23" i="21"/>
  <c r="V11" i="21"/>
  <c r="V35" i="21"/>
  <c r="T23" i="21"/>
  <c r="T11" i="21"/>
  <c r="S23" i="21"/>
  <c r="S11" i="21"/>
  <c r="S35" i="21"/>
  <c r="R23" i="21"/>
  <c r="R11" i="21"/>
  <c r="R35" i="21"/>
  <c r="V22" i="21"/>
  <c r="V10" i="21"/>
  <c r="T22" i="21"/>
  <c r="T10" i="21"/>
  <c r="T34" i="21"/>
  <c r="S22" i="21"/>
  <c r="S10" i="21"/>
  <c r="S34" i="21"/>
  <c r="R22" i="21"/>
  <c r="R10" i="21"/>
  <c r="V21" i="21"/>
  <c r="V9" i="21"/>
  <c r="T21" i="21"/>
  <c r="T9" i="21"/>
  <c r="S21" i="21"/>
  <c r="S9" i="21"/>
  <c r="S33" i="21"/>
  <c r="R21" i="21"/>
  <c r="R9" i="21"/>
  <c r="R33" i="21"/>
  <c r="V20" i="21"/>
  <c r="V8" i="21"/>
  <c r="T20" i="21"/>
  <c r="T8" i="21"/>
  <c r="T32" i="21"/>
  <c r="S20" i="21"/>
  <c r="S8" i="21"/>
  <c r="S32" i="21"/>
  <c r="R20" i="21"/>
  <c r="R8" i="21"/>
  <c r="V19" i="21"/>
  <c r="V7" i="21"/>
  <c r="T19" i="21"/>
  <c r="T7" i="21"/>
  <c r="T31" i="21"/>
  <c r="S19" i="21"/>
  <c r="S7" i="21"/>
  <c r="S31" i="21"/>
  <c r="R19" i="21"/>
  <c r="R7" i="21"/>
  <c r="R31" i="21"/>
  <c r="V18" i="21"/>
  <c r="V6" i="21"/>
  <c r="V30" i="21"/>
  <c r="T18" i="21"/>
  <c r="T6" i="21"/>
  <c r="T30" i="21"/>
  <c r="S18" i="21"/>
  <c r="S6" i="21"/>
  <c r="S30" i="21"/>
  <c r="R18" i="21"/>
  <c r="R6" i="21"/>
  <c r="V17" i="21"/>
  <c r="V5" i="21"/>
  <c r="T17" i="21"/>
  <c r="T5" i="21"/>
  <c r="S17" i="21"/>
  <c r="S5" i="21"/>
  <c r="S29" i="21"/>
  <c r="R17" i="21"/>
  <c r="R5" i="21"/>
  <c r="R29" i="21"/>
  <c r="T16" i="21"/>
  <c r="T4" i="21"/>
  <c r="S16" i="21"/>
  <c r="S4" i="21"/>
  <c r="S28" i="21"/>
  <c r="U17" i="21"/>
  <c r="U5" i="21"/>
  <c r="U29" i="21"/>
  <c r="W17" i="21"/>
  <c r="W5" i="21"/>
  <c r="X17" i="21"/>
  <c r="X5" i="21"/>
  <c r="Y17" i="21"/>
  <c r="Y5" i="21"/>
  <c r="U18" i="21"/>
  <c r="U6" i="21"/>
  <c r="U30" i="21"/>
  <c r="W18" i="21"/>
  <c r="W6" i="21"/>
  <c r="W30" i="21"/>
  <c r="X18" i="21"/>
  <c r="X6" i="21"/>
  <c r="Y18" i="21"/>
  <c r="Y6" i="21"/>
  <c r="Y30" i="21"/>
  <c r="U19" i="21"/>
  <c r="U7" i="21"/>
  <c r="U31" i="21"/>
  <c r="W19" i="21"/>
  <c r="W7" i="21"/>
  <c r="X19" i="21"/>
  <c r="X7" i="21"/>
  <c r="Y19" i="21"/>
  <c r="Y7" i="21"/>
  <c r="Y31" i="21"/>
  <c r="U20" i="21"/>
  <c r="U8" i="21"/>
  <c r="U32" i="21"/>
  <c r="W20" i="21"/>
  <c r="W8" i="21"/>
  <c r="W32" i="21"/>
  <c r="X20" i="21"/>
  <c r="X8" i="21"/>
  <c r="X32" i="21"/>
  <c r="Y20" i="21"/>
  <c r="Y8" i="21"/>
  <c r="Y32" i="21"/>
  <c r="U21" i="21"/>
  <c r="U9" i="21"/>
  <c r="U33" i="21"/>
  <c r="W21" i="21"/>
  <c r="W9" i="21"/>
  <c r="X21" i="21"/>
  <c r="X9" i="21"/>
  <c r="Y21" i="21"/>
  <c r="Y9" i="21"/>
  <c r="Y33" i="21"/>
  <c r="U22" i="21"/>
  <c r="U10" i="21"/>
  <c r="U34" i="21"/>
  <c r="W22" i="21"/>
  <c r="W10" i="21"/>
  <c r="W34" i="21"/>
  <c r="X22" i="21"/>
  <c r="X10" i="21"/>
  <c r="X34" i="21"/>
  <c r="Y22" i="21"/>
  <c r="Y10" i="21"/>
  <c r="Y34" i="21"/>
  <c r="U23" i="21"/>
  <c r="U11" i="21"/>
  <c r="U35" i="21"/>
  <c r="W23" i="21"/>
  <c r="W11" i="21"/>
  <c r="X23" i="21"/>
  <c r="X11" i="21"/>
  <c r="Y23" i="21"/>
  <c r="Y11" i="21"/>
  <c r="U16" i="21"/>
  <c r="U4" i="21"/>
  <c r="U28" i="21"/>
  <c r="V16" i="21"/>
  <c r="V4" i="21"/>
  <c r="V28" i="21"/>
  <c r="W16" i="21"/>
  <c r="W4" i="21"/>
  <c r="X16" i="21"/>
  <c r="X4" i="21"/>
  <c r="Y16" i="21"/>
  <c r="Y4" i="21"/>
  <c r="Y28" i="21"/>
  <c r="R16" i="21"/>
  <c r="R4" i="21"/>
  <c r="F29" i="21"/>
  <c r="G29" i="21"/>
  <c r="H29" i="21"/>
  <c r="I29" i="21"/>
  <c r="J29" i="21"/>
  <c r="K29" i="21"/>
  <c r="L29" i="21"/>
  <c r="M29" i="21"/>
  <c r="F30" i="21"/>
  <c r="G30" i="21"/>
  <c r="H30" i="21"/>
  <c r="I30" i="21"/>
  <c r="J30" i="21"/>
  <c r="K30" i="21"/>
  <c r="L30" i="21"/>
  <c r="M30" i="21"/>
  <c r="F31" i="21"/>
  <c r="G31" i="21"/>
  <c r="H31" i="21"/>
  <c r="I31" i="21"/>
  <c r="J31" i="21"/>
  <c r="K31" i="21"/>
  <c r="L31" i="21"/>
  <c r="M31" i="21"/>
  <c r="F32" i="21"/>
  <c r="G32" i="21"/>
  <c r="H32" i="21"/>
  <c r="I32" i="21"/>
  <c r="J32" i="21"/>
  <c r="K32" i="21"/>
  <c r="L32" i="21"/>
  <c r="M32" i="21"/>
  <c r="F33" i="21"/>
  <c r="G33" i="21"/>
  <c r="H33" i="21"/>
  <c r="I33" i="21"/>
  <c r="J33" i="21"/>
  <c r="K33" i="21"/>
  <c r="L33" i="21"/>
  <c r="M33" i="21"/>
  <c r="F34" i="21"/>
  <c r="G34" i="21"/>
  <c r="H34" i="21"/>
  <c r="I34" i="21"/>
  <c r="J34" i="21"/>
  <c r="K34" i="21"/>
  <c r="L34" i="21"/>
  <c r="M34" i="21"/>
  <c r="F35" i="21"/>
  <c r="G35" i="21"/>
  <c r="H35" i="21"/>
  <c r="I35" i="21"/>
  <c r="J35" i="21"/>
  <c r="K35" i="21"/>
  <c r="L35" i="21"/>
  <c r="M35" i="21"/>
  <c r="G28" i="21"/>
  <c r="H28" i="21"/>
  <c r="I28" i="21"/>
  <c r="J28" i="21"/>
  <c r="K28" i="21"/>
  <c r="L28" i="21"/>
  <c r="M28" i="21"/>
  <c r="F28" i="21"/>
  <c r="I3" i="18"/>
  <c r="I4" i="18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07" i="18"/>
  <c r="I208" i="18"/>
  <c r="I209" i="18"/>
  <c r="I210" i="18"/>
  <c r="I211" i="18"/>
  <c r="I212" i="18"/>
  <c r="I213" i="18"/>
  <c r="I214" i="18"/>
  <c r="I215" i="18"/>
  <c r="I216" i="18"/>
  <c r="I217" i="18"/>
  <c r="I218" i="18"/>
  <c r="I219" i="18"/>
  <c r="I220" i="18"/>
  <c r="I221" i="18"/>
  <c r="I222" i="18"/>
  <c r="I223" i="18"/>
  <c r="I224" i="18"/>
  <c r="I225" i="18"/>
  <c r="I226" i="18"/>
  <c r="I227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3" i="18"/>
  <c r="AD11" i="20"/>
  <c r="AD12" i="20"/>
  <c r="AD13" i="20"/>
  <c r="AD14" i="20"/>
  <c r="AD15" i="20"/>
  <c r="AD16" i="20"/>
  <c r="AD17" i="20"/>
  <c r="AD10" i="20"/>
  <c r="Z11" i="20"/>
  <c r="Z12" i="20"/>
  <c r="Z13" i="20"/>
  <c r="Z14" i="20"/>
  <c r="Z15" i="20"/>
  <c r="Z16" i="20"/>
  <c r="Z17" i="20"/>
  <c r="Z10" i="20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U9" i="16"/>
  <c r="F55" i="16" a="1"/>
  <c r="F55" i="16"/>
  <c r="U4" i="16"/>
  <c r="G41" i="16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E50" i="16" a="1"/>
  <c r="E50" i="16"/>
  <c r="Y29" i="21"/>
  <c r="W31" i="21"/>
  <c r="R32" i="21"/>
  <c r="W33" i="21"/>
  <c r="V31" i="21"/>
  <c r="X30" i="21"/>
  <c r="T33" i="21"/>
  <c r="W35" i="21"/>
  <c r="T28" i="21"/>
  <c r="T29" i="21"/>
  <c r="V34" i="21"/>
  <c r="T35" i="21"/>
  <c r="W28" i="21"/>
  <c r="Y35" i="21"/>
  <c r="R30" i="21"/>
  <c r="R28" i="21"/>
  <c r="V32" i="21"/>
  <c r="X28" i="21"/>
  <c r="W29" i="21"/>
  <c r="R34" i="21"/>
  <c r="D56" i="16" a="1"/>
  <c r="D56" i="16"/>
  <c r="D50" i="16" a="1"/>
  <c r="D50" i="16"/>
  <c r="U10" i="16"/>
  <c r="F53" i="16" a="1"/>
  <c r="F53" i="16"/>
  <c r="D57" i="16" a="1"/>
  <c r="D57" i="16"/>
  <c r="F49" i="16" a="1"/>
  <c r="F49" i="16"/>
  <c r="F50" i="16" a="1"/>
  <c r="F50" i="16"/>
  <c r="D58" i="16" a="1"/>
  <c r="D58" i="16"/>
  <c r="E52" i="16" a="1"/>
  <c r="E52" i="16"/>
  <c r="E49" i="16" a="1"/>
  <c r="E49" i="16"/>
  <c r="E57" i="16" a="1"/>
  <c r="E57" i="16"/>
  <c r="E58" i="16" a="1"/>
  <c r="E58" i="16"/>
  <c r="F58" i="16" a="1"/>
  <c r="F58" i="16"/>
  <c r="D52" i="16" a="1"/>
  <c r="D52" i="16"/>
  <c r="D49" i="16" a="1"/>
  <c r="D49" i="16"/>
  <c r="F56" i="16" a="1"/>
  <c r="F56" i="16"/>
  <c r="F57" i="16" a="1"/>
  <c r="F57" i="16"/>
  <c r="F52" i="16" a="1"/>
  <c r="F52" i="16"/>
  <c r="E53" i="16" a="1"/>
  <c r="E53" i="16"/>
  <c r="D53" i="16" a="1"/>
  <c r="D53" i="16"/>
  <c r="F47" i="16"/>
  <c r="E51" i="16" a="1"/>
  <c r="E51" i="16"/>
  <c r="F54" i="16" a="1"/>
  <c r="F54" i="16"/>
  <c r="E55" i="16" a="1"/>
  <c r="E55" i="16"/>
  <c r="D55" i="16" a="1"/>
  <c r="D55" i="16"/>
  <c r="E56" i="16" a="1"/>
  <c r="E56" i="16"/>
  <c r="F51" i="16" a="1"/>
  <c r="F51" i="16"/>
  <c r="D54" i="16" a="1"/>
  <c r="D54" i="16"/>
  <c r="D51" i="16" a="1"/>
  <c r="D51" i="16"/>
  <c r="E54" i="16" a="1"/>
  <c r="E54" i="16"/>
  <c r="X29" i="21"/>
  <c r="X33" i="21"/>
  <c r="X35" i="21"/>
  <c r="X31" i="21"/>
  <c r="V29" i="21"/>
  <c r="V33" i="21"/>
  <c r="K53" i="16" a="1"/>
  <c r="K53" i="16"/>
  <c r="I54" i="16" a="1"/>
  <c r="I54" i="16"/>
  <c r="K52" i="16" a="1"/>
  <c r="K52" i="16"/>
  <c r="I53" i="16" a="1"/>
  <c r="I53" i="16"/>
  <c r="K51" i="16" a="1"/>
  <c r="K51" i="16"/>
  <c r="J52" i="16" a="1"/>
  <c r="J52" i="16"/>
  <c r="J51" i="16" a="1"/>
  <c r="J51" i="16"/>
  <c r="I49" i="16" a="1"/>
  <c r="I49" i="16"/>
  <c r="K55" i="16" a="1"/>
  <c r="K55" i="16"/>
  <c r="K56" i="16" a="1"/>
  <c r="K56" i="16"/>
  <c r="J58" i="16" a="1"/>
  <c r="J58" i="16"/>
  <c r="I57" i="16" a="1"/>
  <c r="I57" i="16"/>
  <c r="J56" i="16" a="1"/>
  <c r="J56" i="16"/>
  <c r="I56" i="16" a="1"/>
  <c r="I56" i="16"/>
  <c r="J54" i="16" a="1"/>
  <c r="J54" i="16"/>
  <c r="I58" i="16" a="1"/>
  <c r="I58" i="16"/>
  <c r="J57" i="16" a="1"/>
  <c r="J57" i="16"/>
  <c r="K54" i="16" a="1"/>
  <c r="K54" i="16"/>
  <c r="I52" i="16" a="1"/>
  <c r="I52" i="16"/>
  <c r="J49" i="16" a="1"/>
  <c r="J49" i="16"/>
  <c r="K47" i="16"/>
  <c r="I51" i="16" a="1"/>
  <c r="I51" i="16"/>
  <c r="J55" i="16" a="1"/>
  <c r="J55" i="16"/>
  <c r="K49" i="16" a="1"/>
  <c r="K49" i="16"/>
  <c r="K50" i="16" a="1"/>
  <c r="K50" i="16"/>
  <c r="K57" i="16" a="1"/>
  <c r="K57" i="16"/>
  <c r="I55" i="16" a="1"/>
  <c r="I55" i="16"/>
  <c r="J53" i="16" a="1"/>
  <c r="J53" i="16"/>
  <c r="J50" i="16" a="1"/>
  <c r="J50" i="16"/>
  <c r="K58" i="16" a="1"/>
  <c r="K58" i="16"/>
  <c r="I50" i="16" a="1"/>
  <c r="I50" i="16"/>
  <c r="B1" i="19"/>
  <c r="E215" i="18" l="1"/>
  <c r="O16" i="18"/>
  <c r="O171" i="18"/>
  <c r="E113" i="18"/>
  <c r="E120" i="18"/>
  <c r="E177" i="18"/>
  <c r="E103" i="18"/>
  <c r="O58" i="18"/>
  <c r="E77" i="18"/>
  <c r="E144" i="18"/>
  <c r="O29" i="18"/>
  <c r="O98" i="18"/>
  <c r="E101" i="18"/>
  <c r="E214" i="18"/>
  <c r="O219" i="18"/>
  <c r="E167" i="18"/>
  <c r="O49" i="18"/>
  <c r="O178" i="18"/>
  <c r="E18" i="18"/>
  <c r="E51" i="18"/>
  <c r="O175" i="18"/>
  <c r="O48" i="18"/>
  <c r="O26" i="18"/>
  <c r="E25" i="18"/>
  <c r="E184" i="18"/>
  <c r="E191" i="18"/>
  <c r="E38" i="18"/>
  <c r="O34" i="18"/>
  <c r="E213" i="18"/>
  <c r="E47" i="18"/>
  <c r="O36" i="18"/>
  <c r="E89" i="18"/>
  <c r="E133" i="18"/>
  <c r="O65" i="18"/>
  <c r="E61" i="18"/>
  <c r="O63" i="18"/>
  <c r="O144" i="18"/>
  <c r="E218" i="18"/>
  <c r="E78" i="18"/>
  <c r="E10" i="18"/>
  <c r="E128" i="18"/>
  <c r="E143" i="18"/>
  <c r="O180" i="18"/>
  <c r="O132" i="18"/>
  <c r="E199" i="18"/>
  <c r="E136" i="18"/>
  <c r="O150" i="18"/>
  <c r="O79" i="18"/>
  <c r="O20" i="18"/>
  <c r="E36" i="18"/>
  <c r="O220" i="18"/>
  <c r="E52" i="18"/>
  <c r="O75" i="18"/>
  <c r="E39" i="18"/>
  <c r="E115" i="18"/>
  <c r="E3" i="18"/>
  <c r="O102" i="18"/>
  <c r="E202" i="18"/>
  <c r="O81" i="18"/>
  <c r="O44" i="18"/>
  <c r="O93" i="18"/>
  <c r="O227" i="18"/>
  <c r="O5" i="18"/>
  <c r="O184" i="18"/>
  <c r="E225" i="18"/>
  <c r="O74" i="18"/>
  <c r="E106" i="18"/>
  <c r="O18" i="18"/>
  <c r="O164" i="18"/>
  <c r="O196" i="18"/>
  <c r="O95" i="18"/>
  <c r="E134" i="18"/>
  <c r="O85" i="18"/>
  <c r="E122" i="18"/>
  <c r="E14" i="18"/>
  <c r="E179" i="18"/>
  <c r="O43" i="18"/>
  <c r="E130" i="18"/>
  <c r="E182" i="18"/>
  <c r="O61" i="18"/>
  <c r="O182" i="18"/>
  <c r="O169" i="18"/>
  <c r="E94" i="18"/>
  <c r="O134" i="18"/>
  <c r="E50" i="18"/>
  <c r="O159" i="18"/>
  <c r="E32" i="18"/>
  <c r="E63" i="18"/>
  <c r="O129" i="18"/>
  <c r="E131" i="18"/>
  <c r="E11" i="18"/>
  <c r="E19" i="18"/>
  <c r="O17" i="18"/>
  <c r="O149" i="18"/>
  <c r="O191" i="18"/>
  <c r="O59" i="18"/>
  <c r="O38" i="18"/>
  <c r="O215" i="18"/>
  <c r="O186" i="18"/>
  <c r="O168" i="18"/>
  <c r="O142" i="18"/>
  <c r="O199" i="18"/>
  <c r="E163" i="18"/>
  <c r="E201" i="18"/>
  <c r="E60" i="18"/>
  <c r="E149" i="18"/>
  <c r="O86" i="18"/>
  <c r="E87" i="18"/>
  <c r="O189" i="18"/>
  <c r="E222" i="18"/>
  <c r="E189" i="18"/>
  <c r="O226" i="18"/>
  <c r="O161" i="18"/>
  <c r="E224" i="18"/>
  <c r="O119" i="18"/>
  <c r="E16" i="18"/>
  <c r="E169" i="18"/>
  <c r="O27" i="18"/>
  <c r="O96" i="18"/>
  <c r="O42" i="18"/>
  <c r="E226" i="18"/>
  <c r="E22" i="18"/>
  <c r="E102" i="18"/>
  <c r="O41" i="18"/>
  <c r="E211" i="18"/>
  <c r="O172" i="18"/>
  <c r="E146" i="18"/>
  <c r="O136" i="18"/>
  <c r="E227" i="18"/>
  <c r="O109" i="18"/>
  <c r="E98" i="18"/>
  <c r="E194" i="18"/>
  <c r="O170" i="18"/>
  <c r="O122" i="18"/>
  <c r="O112" i="18"/>
  <c r="O137" i="18"/>
  <c r="E56" i="18"/>
  <c r="O46" i="18"/>
  <c r="O135" i="18"/>
  <c r="E86" i="18"/>
  <c r="O141" i="18"/>
  <c r="E176" i="18"/>
  <c r="E140" i="18"/>
  <c r="O193" i="18"/>
  <c r="O73" i="18"/>
  <c r="E110" i="18"/>
  <c r="O71" i="18"/>
  <c r="E48" i="18"/>
  <c r="E6" i="18"/>
  <c r="E24" i="18"/>
  <c r="E138" i="18"/>
  <c r="O127" i="18"/>
  <c r="E141" i="18"/>
  <c r="O83" i="18"/>
  <c r="O24" i="18"/>
  <c r="E43" i="18"/>
  <c r="E204" i="18"/>
  <c r="E159" i="18"/>
  <c r="O57" i="18"/>
  <c r="O4" i="18"/>
  <c r="E186" i="18"/>
  <c r="O91" i="18"/>
  <c r="O166" i="18"/>
  <c r="E125" i="18"/>
  <c r="O6" i="18"/>
  <c r="E79" i="18"/>
  <c r="O19" i="18"/>
  <c r="E85" i="18"/>
  <c r="E59" i="18"/>
  <c r="O214" i="18"/>
  <c r="O174" i="18"/>
  <c r="O118" i="18"/>
  <c r="O153" i="18"/>
  <c r="E142" i="18"/>
  <c r="O51" i="18"/>
  <c r="E107" i="18"/>
  <c r="E20" i="18"/>
  <c r="O84" i="18"/>
  <c r="O160" i="18"/>
  <c r="E29" i="18"/>
  <c r="E112" i="18"/>
  <c r="O114" i="18"/>
  <c r="O47" i="18"/>
  <c r="O89" i="18"/>
  <c r="E7" i="18"/>
  <c r="E5" i="18"/>
  <c r="E68" i="18"/>
  <c r="O205" i="18"/>
  <c r="E206" i="18"/>
  <c r="E200" i="18"/>
  <c r="E208" i="18"/>
  <c r="E49" i="18"/>
  <c r="E96" i="18"/>
  <c r="O204" i="18"/>
  <c r="O200" i="18"/>
  <c r="E8" i="18"/>
  <c r="O39" i="18"/>
  <c r="O8" i="18"/>
  <c r="O210" i="18"/>
  <c r="E217" i="18"/>
  <c r="E82" i="18"/>
  <c r="O33" i="18"/>
  <c r="E74" i="18"/>
  <c r="O31" i="18"/>
  <c r="O218" i="18"/>
  <c r="O70" i="18"/>
  <c r="O177" i="18"/>
  <c r="E162" i="18"/>
  <c r="E27" i="18"/>
  <c r="E33" i="18"/>
  <c r="E54" i="18"/>
  <c r="E158" i="18"/>
  <c r="E53" i="18"/>
  <c r="O76" i="18"/>
  <c r="E192" i="18"/>
  <c r="O207" i="18"/>
  <c r="O32" i="18"/>
  <c r="E183" i="18"/>
  <c r="E173" i="18"/>
  <c r="E31" i="18"/>
  <c r="O7" i="18"/>
  <c r="E151" i="18"/>
  <c r="O167" i="18"/>
  <c r="O131" i="18"/>
  <c r="O78" i="18"/>
  <c r="O110" i="18"/>
  <c r="E197" i="18"/>
  <c r="O225" i="18"/>
  <c r="E41" i="18"/>
  <c r="O194" i="18"/>
  <c r="E15" i="18"/>
  <c r="E117" i="18"/>
  <c r="O183" i="18"/>
  <c r="E99" i="18"/>
  <c r="E40" i="18"/>
  <c r="O121" i="18"/>
  <c r="O72" i="18"/>
  <c r="O15" i="18"/>
  <c r="E180" i="18"/>
  <c r="O104" i="18"/>
  <c r="O190" i="18"/>
  <c r="O90" i="18"/>
  <c r="O82" i="18"/>
  <c r="E198" i="18"/>
  <c r="E21" i="18"/>
  <c r="E223" i="18"/>
  <c r="E55" i="18"/>
  <c r="E170" i="18"/>
  <c r="E193" i="18"/>
  <c r="E93" i="18"/>
  <c r="O80" i="18"/>
  <c r="E185" i="18"/>
  <c r="O56" i="18"/>
  <c r="O181" i="18"/>
  <c r="O201" i="18"/>
  <c r="E139" i="18"/>
  <c r="O10" i="18"/>
  <c r="E187" i="18"/>
  <c r="E171" i="18"/>
  <c r="O88" i="18"/>
  <c r="E92" i="18"/>
  <c r="O9" i="18"/>
  <c r="O87" i="18"/>
  <c r="E90" i="18"/>
  <c r="O188" i="18"/>
  <c r="O155" i="18"/>
  <c r="E13" i="18"/>
  <c r="E72" i="18"/>
  <c r="O209" i="18"/>
  <c r="E164" i="18"/>
  <c r="O25" i="18"/>
  <c r="E69" i="18"/>
  <c r="E195" i="18"/>
  <c r="E178" i="18"/>
  <c r="E76" i="18"/>
  <c r="O212" i="18"/>
  <c r="E114" i="18"/>
  <c r="E81" i="18"/>
  <c r="O192" i="18"/>
  <c r="O163" i="18"/>
  <c r="E111" i="18"/>
  <c r="O203" i="18"/>
  <c r="E127" i="18"/>
  <c r="E216" i="18"/>
  <c r="O224" i="18"/>
  <c r="O50" i="18"/>
  <c r="E45" i="18"/>
  <c r="O30" i="18"/>
  <c r="O202" i="18"/>
  <c r="E57" i="18"/>
  <c r="E64" i="18"/>
  <c r="E147" i="18"/>
  <c r="E26" i="18"/>
  <c r="E34" i="18"/>
  <c r="O66" i="18"/>
  <c r="O14" i="18"/>
  <c r="E105" i="18"/>
  <c r="O146" i="18"/>
  <c r="O97" i="18"/>
  <c r="E165" i="18"/>
  <c r="E71" i="18"/>
  <c r="O22" i="18"/>
  <c r="E104" i="18"/>
  <c r="E108" i="18"/>
  <c r="E109" i="18"/>
  <c r="O69" i="18"/>
  <c r="O197" i="18"/>
  <c r="O151" i="18"/>
  <c r="E70" i="18"/>
  <c r="O13" i="18"/>
  <c r="O176" i="18"/>
  <c r="O92" i="18"/>
  <c r="E17" i="18"/>
  <c r="E116" i="18"/>
  <c r="O147" i="18"/>
  <c r="O99" i="18"/>
  <c r="E145" i="18"/>
  <c r="O198" i="18"/>
  <c r="O221" i="18"/>
  <c r="O21" i="18"/>
  <c r="O53" i="18"/>
  <c r="O157" i="18"/>
  <c r="O113" i="18"/>
  <c r="O54" i="18"/>
  <c r="O117" i="18"/>
  <c r="E28" i="18"/>
  <c r="O173" i="18"/>
  <c r="E157" i="18"/>
  <c r="O105" i="18"/>
  <c r="O156" i="18"/>
  <c r="O28" i="18"/>
  <c r="O94" i="18"/>
  <c r="E221" i="18"/>
  <c r="O100" i="18"/>
  <c r="O179" i="18"/>
  <c r="E196" i="18"/>
  <c r="E118" i="18"/>
  <c r="O152" i="18"/>
  <c r="E172" i="18"/>
  <c r="E205" i="18"/>
  <c r="O223" i="18"/>
  <c r="E80" i="18"/>
  <c r="O3" i="18"/>
  <c r="E44" i="18"/>
  <c r="O120" i="18"/>
  <c r="E91" i="18"/>
  <c r="O216" i="18"/>
  <c r="E66" i="18"/>
  <c r="O187" i="18"/>
  <c r="O130" i="18"/>
  <c r="E42" i="18"/>
  <c r="O23" i="18"/>
  <c r="E148" i="18"/>
  <c r="E75" i="18"/>
  <c r="E88" i="18"/>
  <c r="E168" i="18"/>
  <c r="O143" i="18"/>
  <c r="O124" i="18"/>
  <c r="O148" i="18"/>
  <c r="E124" i="18"/>
  <c r="O123" i="18"/>
  <c r="E150" i="18"/>
  <c r="E220" i="18"/>
  <c r="O154" i="18"/>
  <c r="O52" i="18"/>
  <c r="E73" i="18"/>
  <c r="E135" i="18"/>
  <c r="E166" i="18"/>
  <c r="O165" i="18"/>
  <c r="O126" i="18"/>
  <c r="O103" i="18"/>
  <c r="E219" i="18"/>
  <c r="O217" i="18"/>
  <c r="O222" i="18"/>
  <c r="E210" i="18"/>
  <c r="E65" i="18"/>
  <c r="E121" i="18"/>
  <c r="E137" i="18"/>
  <c r="E132" i="18"/>
  <c r="O138" i="18"/>
  <c r="E160" i="18"/>
  <c r="E37" i="18"/>
  <c r="O206" i="18"/>
  <c r="O116" i="18"/>
  <c r="E83" i="18"/>
  <c r="O211" i="18"/>
  <c r="E161" i="18"/>
  <c r="E58" i="18"/>
  <c r="O45" i="18"/>
  <c r="E95" i="18"/>
  <c r="O37" i="18"/>
  <c r="E175" i="18"/>
  <c r="E129" i="18"/>
  <c r="O195" i="18"/>
  <c r="E9" i="18"/>
  <c r="O108" i="18"/>
  <c r="E126" i="18"/>
  <c r="E84" i="18"/>
  <c r="E12" i="18"/>
  <c r="E203" i="18"/>
  <c r="E209" i="18"/>
  <c r="E35" i="18"/>
  <c r="O68" i="18"/>
  <c r="O133" i="18"/>
  <c r="E152" i="18"/>
  <c r="O158" i="18"/>
  <c r="O125" i="18"/>
  <c r="O140" i="18"/>
  <c r="E67" i="18"/>
  <c r="E154" i="18"/>
  <c r="O107" i="18"/>
  <c r="O64" i="18"/>
  <c r="E119" i="18"/>
  <c r="O55" i="18"/>
  <c r="E100" i="18"/>
  <c r="O60" i="18"/>
  <c r="O185" i="18"/>
  <c r="O139" i="18"/>
  <c r="O128" i="18"/>
  <c r="O145" i="18"/>
  <c r="O67" i="18"/>
  <c r="E212" i="18"/>
  <c r="E153" i="18"/>
  <c r="E4" i="18"/>
  <c r="E174" i="18"/>
  <c r="O213" i="18"/>
  <c r="O208" i="18"/>
  <c r="O11" i="18"/>
  <c r="O35" i="18"/>
  <c r="E97" i="18"/>
  <c r="O115" i="18"/>
  <c r="O62" i="18"/>
  <c r="O162" i="18"/>
  <c r="O111" i="18"/>
  <c r="E123" i="18"/>
  <c r="E62" i="18"/>
  <c r="E207" i="18"/>
  <c r="O106" i="18"/>
  <c r="E188" i="18"/>
  <c r="O77" i="18"/>
  <c r="O12" i="18"/>
  <c r="E46" i="18"/>
  <c r="O40" i="18"/>
  <c r="O101" i="18"/>
  <c r="E23" i="18"/>
  <c r="E155" i="18"/>
  <c r="E30" i="18"/>
  <c r="E190" i="18"/>
  <c r="E156" i="18"/>
  <c r="E181" i="18"/>
</calcChain>
</file>

<file path=xl/connections.xml><?xml version="1.0" encoding="utf-8"?>
<connections xmlns="http://schemas.openxmlformats.org/spreadsheetml/2006/main">
  <connection id="1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3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4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5" name="NoLagTopTenQuery11" type="1" refreshedVersion="4" savePassword="1" saveData="1">
    <dbPr connection="DSN=Agency" command="select AsOfDate,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_x000d__x000a_select t.asOfDate, _x000d__x000a_refinancible = sum(case when f.wac - t.SeriesNumValue &gt;= 0.5 then f.currentBalance else 0 end)/sum(f.currentBalance),  _x000d__x000a_refinancible_satoAdj = sum(case when f.wac - t.SeriesNumValue -s.SATO/100.0 &gt;= 0.5 then f.currentBalance else 0 end)/sum(f.currentBalance)_x000d__x000a_from fnm.sec p, fnm.secFactor f,  #tempone t, fnm.secSupp s_x000d__x000a_where p.issueId = f.issueId_x000d__x000a_and p.issueId = s.issueId_x000d__x000a_and f.asOf = s.asOf_x000d__x000a_and p.collateralType = 'LOAN' _x000d__x000a_and p.marketTicker in ('FNCL')_x000d__x000a_and year(t.asOfDate) * 100 + month(t.asOfDate) = year(f.asOf)* 100 + month(f.asOf)_x000d__x000a_and t.asOfDate &gt;= '20110101'_x000d__x000a_group by t.asOfDate_x000d__x000a_order by t.asOfDate"/>
  </connection>
  <connection id="6" name="NoLagTopTenQuery111" type="1" refreshedVersion="4" savePassword="1" saveData="1">
    <dbPr connection="DSN=Agency" command="select AsOfDate,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_x000d__x000a_select t.asOfDate,_x000d__x000a_refinanceible = sum(case when l.OrigNoteRate - t.SeriesNumValue &gt;= 0.5 then (case when lh.currentRpb &gt; 0 then lh.currentRpb else 0.000001 end) else 0 end)/sum(case when lh.currentRpb &gt; 0 then lh.currentRpb else 0.000001 end)_x000d__x000a_from fhl.sec p, fhl.Cello_Loan l, fhl.Cello_LoanHist lh, #tempone t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year(t.asOfDate) * 100 + month(t.asOfDate) = year(lh.asOf)* 100 + month(lh.asOf)_x000d__x000a_and t.asOfDate &gt;= '20110101'_x000d__x000a_group by t.asOfDate_x000d__x000a_order by t.asOfDate"/>
  </connection>
  <connection id="7" name="NoLagTopTenQuery1111" type="1" refreshedVersion="4" savePassword="1" saveData="1">
    <dbPr connection="DSN=Agency" command="DROP TABLE IF EXISTS #tempLLPA;_x000d__x000a_select f.FicoStart, f.FicoEnd, f.LtvStart, f.LtvEnd, o.occtype, u.numUnits, f.LLPA as BaseLLTV, a.LLPA as AMDC, HighLTV = (case when l.llpa is null then 999 else l.llpa end), _x000d__x000a_        Occp = (case when o.llpa is null then 999 else o.llpa end), UnitL = (case when u.llpa is null then 999 else u.llpa end),_x000d__x000a_        totalLLPA = (BaseLLTV + AMDC + HighLTV + Occp + UnitL)/100_x000d__x000a_into #tempLLPA_x000d__x000a_from report.LLPAFicoLTV f_x000d__x000a_join report.LLPAAMDC a _x000d__x000a_on f.FicoStart = a.FicoStart _x000d__x000a_and f.FicoEnd = a.FicoEnd _x000d__x000a_and f.LtvStart = a.LtvStart_x000d__x000a_and f.LtvEnd = a.LtvEnd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f.AsofDate = '2015-01-07'_x000d__x000a_and a.AsofDate = '2014-01-08'_x000d__x000a_and l.asofdate = '2013-12-16'_x000d__x000a_and o.asofdate = '2013-11-14'_x000d__x000a_and u.asofdate = '2013-11-14'_x000d__x000a_;_x000d__x000a_COMMIT;_x000d__x000a__x000d__x000a_CREATE INDEX idx_templla_occType ON #tempLLPA(occType);_x000d__x000a_CREATE INDEX idx_templla_numUnits ON #tempLLPA(numUnits);_x000d__x000a_COMMIT;_x000d__x000a__x000d__x000a_DROP TABLE IF EXISTS #tempone;_x000d__x000a_select _x000d__x000a_    AsOfDate,_x000d__x000a_    convert(date, year(asOfDate) || '-' || month(asOfDate) || '-01') as AsOf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OMMIT;_x000d__x000a__x000d__x000a__x000d__x000a__x000d__x000a__x000d__x000a_select t.asOfDate,_x000d__x000a_refinanceible = sum(case when l.OrigNoteRate - t.SeriesNumValue - tl.totalLLPA/4 &gt;= 0.5 _x000d__x000a_                   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--and lh.asOf &lt; '2011-03-01'_x000d__x000a_and l.occType = tl.occType_x000d__x000a_and l.cs &gt;= tl.FicoStart and l.cs &lt; tl.FicoEnd_x000d__x000a_and lh.CLTV &gt; tl.ltvStart and lh.CLTV &lt;= tl.LtvEnd_x000d__x000a_and l.numUnits = tl.numUnits_x000d__x000a_--and l.calcorigmonth_LL &gt; 200906_x000d__x000a_group by t.asOfDate_x000d__x000a_order by t.asOfDate"/>
  </connection>
  <connection id="8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9" name="NoLagTopTenQuery11112" type="1" refreshedVersion="4" savePassword="1" saveData="1">
    <dbPr connection="DSN=Agency" command="DROP TABLE IF EXISTS #tempPMI;_x000d__x000a_select * _x000d__x000a_into #tempPMI_x000d__x000a_from PMI_x000d__x000a_where Asofdate &gt;= '20140101'_x000d__x000a_and LoanPurpose = 'REFI'_x000d__x000a_;_x000d__x000a_COMMIT;_x000d__x000a__x000d__x000a__x000d__x000a_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select t.asOfDate,_x000d__x000a_--t.datebucket,_x000d__x000a_--tl.totalLLPA, tl.asofdate,_x000d__x000a_refinanceible = sum(case when l.OrigNoteRate - t.SeriesNumValue - tl.totalLLPA/4 - tp.PMI/100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, #tempPMI tp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cs &gt;= tp.FICObucketStart and l.cs &lt; tp.FICObucketEnd_x000d__x000a_and lh.CLTV &gt; tp.LTVBucketStart and lh.CLTV &lt;= tp.LTVBucket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0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2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6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7" name="temp14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5" type="6" refreshedVersion="4" background="1" saveData="1">
    <textPr codePage="437" sourceFile="C:\Users\lien.chen\Desktop\temp1.csv" space="1" comma="1" consecutive="1" qualifier="singleQuote">
      <textFields count="3">
        <textField/>
        <textField/>
        <textField/>
      </textFields>
    </textPr>
  </connection>
  <connection id="19" name="temp16" type="6" refreshedVersion="4" background="1" saveData="1">
    <textPr codePage="437" sourceFile="C:\Users\lien.chen\Desktop\temp1.csv" space="1" comma="1" consecutive="1" qualifier="singleQuote">
      <textFields count="3">
        <textField/>
        <textField/>
        <textField/>
      </textFields>
    </textPr>
  </connection>
  <connection id="20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<sst xmlns="http://schemas.openxmlformats.org/spreadsheetml/2006/main" count="314" uniqueCount="96">
  <si>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</si>
  <si>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</si>
  <si>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</si>
  <si>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</si>
  <si>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</si>
  <si>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</si>
  <si>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</si>
  <si>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</si>
  <si>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</si>
  <si>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</si>
  <si>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</si>
  <si>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</si>
  <si>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</si>
  <si>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</si>
  <si>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</si>
  <si>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</si>
  <si>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</si>
  <si>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</si>
  <si>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</si>
  <si>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</si>
  <si>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</si>
  <si>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</si>
  <si>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</si>
  <si>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</si>
  <si>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</si>
  <si>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</si>
  <si>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</si>
  <si>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Change lag on</t>
  </si>
  <si>
    <t>Volume (M)</t>
  </si>
  <si>
    <t>S:\IT\Production\Daily Reports\Primary Market\tmp\</t>
  </si>
  <si>
    <t>Issue Month:</t>
  </si>
  <si>
    <t>asOfDate</t>
  </si>
  <si>
    <t>refinancible</t>
  </si>
  <si>
    <t>refinancible_satoAdj</t>
  </si>
  <si>
    <t>Conv Refi Index</t>
  </si>
  <si>
    <t>ITMBalance</t>
  </si>
  <si>
    <t>currBalance</t>
  </si>
  <si>
    <t>refinanceible</t>
  </si>
  <si>
    <t>fnma</t>
  </si>
  <si>
    <t>loan</t>
  </si>
  <si>
    <t>pool</t>
  </si>
  <si>
    <t>FHL</t>
  </si>
  <si>
    <t>Loan Level</t>
  </si>
  <si>
    <t>LLPA</t>
  </si>
  <si>
    <t>l.calcorigmonth_LL &gt; 200906</t>
  </si>
  <si>
    <t>Loan with LLPA</t>
  </si>
  <si>
    <t>l.calcorigmonth &gt; 200906</t>
  </si>
  <si>
    <t>Pool</t>
  </si>
  <si>
    <t>Loan</t>
  </si>
  <si>
    <t>Difference</t>
  </si>
  <si>
    <t>datebucket</t>
  </si>
  <si>
    <t>Time Dependent LLPA</t>
  </si>
  <si>
    <t>Time-Dependent LLPA</t>
  </si>
  <si>
    <t>Base</t>
  </si>
  <si>
    <t>Occupancy</t>
  </si>
  <si>
    <t>Unit</t>
  </si>
  <si>
    <t>High LTV</t>
  </si>
  <si>
    <t>AMDC</t>
  </si>
  <si>
    <t>PMI</t>
  </si>
  <si>
    <t>LLPA &amp; PMI</t>
  </si>
  <si>
    <t>HARP</t>
  </si>
  <si>
    <t>LTV</t>
  </si>
  <si>
    <t>Credit Score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</si>
  <si>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</si>
  <si>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</si>
  <si>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</si>
  <si>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</si>
  <si>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</si>
  <si>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</si>
  <si>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</si>
  <si>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</si>
  <si>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</si>
  <si>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</si>
  <si>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</si>
  <si>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</si>
  <si>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</si>
  <si>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</si>
  <si>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</si>
  <si>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</si>
  <si>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97.01-105</t>
  </si>
  <si>
    <t>&gt;105</t>
  </si>
  <si>
    <t>LLPA plus</t>
  </si>
  <si>
    <t>Delta</t>
  </si>
  <si>
    <t>With Cap 0.75</t>
  </si>
  <si>
    <t>N/A</t>
  </si>
  <si>
    <t>Refi Plus</t>
  </si>
  <si>
    <t>Regular Refi Matrix</t>
  </si>
  <si>
    <t>Regular</t>
  </si>
  <si>
    <t>Total Universe</t>
  </si>
  <si>
    <t>HARPable Balance</t>
  </si>
  <si>
    <t>Total Balance</t>
  </si>
  <si>
    <t>Percentage</t>
  </si>
  <si>
    <t>Pool Level</t>
  </si>
  <si>
    <t>Current Paying PMI</t>
  </si>
  <si>
    <t>Currnet PMI</t>
  </si>
  <si>
    <t>Diff(New-HARP)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</si>
</sst>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7" formatCode="_(* #,##0_);_(* \(#,##0\);_(* &quot;-&quot;??_);_(@_)"/>
  </numFmts>
  <fonts count="1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/>
        <bgColor theme="4"/>
      </patternFill>
    </fill>
  </fills>
  <borders count="5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1051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4" applyNumberFormat="0"/>
    <xf numFmtId="0" fontId="80" fillId="36" borderId="44" applyNumberFormat="0"/>
    <xf numFmtId="0" fontId="34" fillId="38" borderId="8" applyNumberFormat="0"/>
    <xf numFmtId="0" fontId="136" fillId="65" borderId="44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3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  <xf numFmtId="43" fontId="1" fillId="0" borderId="0" applyFont="0" applyFill="0" applyBorder="0" applyAlignment="0" applyProtection="0"/>
  </cellStyleXfs>
  <cellXfs count="82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164" fontId="7" fillId="0" borderId="38" xfId="1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4" fontId="7" fillId="0" borderId="39" xfId="1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4" fontId="4" fillId="0" borderId="38" xfId="1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0" xfId="0" applyNumberFormat="1" applyFont="1"/>
    <xf numFmtId="9" fontId="7" fillId="0" borderId="0" xfId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4" fontId="7" fillId="0" borderId="41" xfId="1" applyNumberFormat="1" applyFont="1" applyBorder="1" applyAlignment="1">
      <alignment horizontal="center"/>
    </xf>
    <xf numFmtId="195" fontId="7" fillId="0" borderId="42" xfId="1" applyNumberFormat="1" applyFont="1" applyBorder="1" applyAlignment="1">
      <alignment horizontal="center"/>
    </xf>
    <xf numFmtId="195" fontId="7" fillId="0" borderId="42" xfId="0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9" fontId="0" fillId="0" borderId="0" xfId="1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9" fontId="138" fillId="0" borderId="0" xfId="1" applyFont="1" applyAlignment="1">
      <alignment horizontal="center"/>
    </xf>
    <xf numFmtId="9" fontId="138" fillId="0" borderId="0" xfId="0" applyNumberFormat="1" applyFont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14" fontId="0" fillId="0" borderId="48" xfId="0" applyNumberFormat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0" borderId="0" xfId="1" applyFont="1" applyBorder="1"/>
    <xf numFmtId="9" fontId="138" fillId="0" borderId="49" xfId="1" applyFont="1" applyBorder="1" applyAlignment="1">
      <alignment horizontal="center"/>
    </xf>
    <xf numFmtId="14" fontId="0" fillId="0" borderId="50" xfId="0" applyNumberFormat="1" applyBorder="1" applyAlignment="1">
      <alignment horizontal="center"/>
    </xf>
    <xf numFmtId="9" fontId="0" fillId="0" borderId="30" xfId="1" applyFont="1" applyBorder="1" applyAlignment="1">
      <alignment horizontal="center"/>
    </xf>
    <xf numFmtId="9" fontId="0" fillId="0" borderId="30" xfId="1" applyFont="1" applyBorder="1"/>
    <xf numFmtId="9" fontId="138" fillId="0" borderId="51" xfId="1" applyFont="1" applyBorder="1" applyAlignment="1">
      <alignment horizontal="center"/>
    </xf>
    <xf numFmtId="14" fontId="0" fillId="0" borderId="0" xfId="1" applyNumberFormat="1" applyFont="1"/>
    <xf numFmtId="10" fontId="0" fillId="0" borderId="0" xfId="1" applyNumberFormat="1" applyFont="1"/>
    <xf numFmtId="14" fontId="0" fillId="0" borderId="3" xfId="0" applyNumberFormat="1" applyBorder="1" applyAlignment="1">
      <alignment horizontal="center"/>
    </xf>
    <xf numFmtId="14" fontId="139" fillId="0" borderId="0" xfId="0" applyNumberFormat="1" applyFont="1"/>
    <xf numFmtId="0" fontId="139" fillId="0" borderId="0" xfId="0" applyNumberFormat="1" applyFont="1"/>
    <xf numFmtId="9" fontId="139" fillId="0" borderId="0" xfId="1" applyFont="1"/>
    <xf numFmtId="0" fontId="139" fillId="0" borderId="0" xfId="0" applyFont="1"/>
    <xf numFmtId="14" fontId="7" fillId="0" borderId="52" xfId="0" applyNumberFormat="1" applyFont="1" applyBorder="1"/>
    <xf numFmtId="0" fontId="140" fillId="67" borderId="52" xfId="0" applyFont="1" applyFill="1" applyBorder="1"/>
    <xf numFmtId="14" fontId="7" fillId="0" borderId="53" xfId="0" applyNumberFormat="1" applyFont="1" applyBorder="1"/>
    <xf numFmtId="164" fontId="8" fillId="7" borderId="54" xfId="0" applyNumberFormat="1" applyFont="1" applyFill="1" applyBorder="1" applyAlignment="1">
      <alignment horizontal="left"/>
    </xf>
    <xf numFmtId="164" fontId="8" fillId="7" borderId="54" xfId="0" applyNumberFormat="1" applyFont="1" applyFill="1" applyBorder="1" applyAlignment="1">
      <alignment horizontal="center"/>
    </xf>
    <xf numFmtId="0" fontId="4" fillId="0" borderId="54" xfId="0" quotePrefix="1" applyFont="1" applyBorder="1" applyAlignment="1">
      <alignment horizontal="center"/>
    </xf>
    <xf numFmtId="2" fontId="0" fillId="0" borderId="0" xfId="0" applyNumberFormat="1"/>
    <xf numFmtId="0" fontId="4" fillId="0" borderId="0" xfId="0" applyFont="1" applyFill="1" applyBorder="1" applyAlignment="1">
      <alignment horizontal="center"/>
    </xf>
    <xf numFmtId="0" fontId="4" fillId="0" borderId="55" xfId="0" applyFont="1" applyFill="1" applyBorder="1" applyAlignment="1">
      <alignment horizontal="center"/>
    </xf>
    <xf numFmtId="0" fontId="4" fillId="0" borderId="55" xfId="0" quotePrefix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41" borderId="54" xfId="0" applyNumberFormat="1" applyFont="1" applyFill="1" applyBorder="1" applyAlignment="1">
      <alignment horizontal="center"/>
    </xf>
    <xf numFmtId="197" fontId="0" fillId="0" borderId="0" xfId="1050" applyNumberFormat="1" applyFont="1"/>
    <xf numFmtId="164" fontId="8" fillId="7" borderId="40" xfId="0" applyNumberFormat="1" applyFont="1" applyFill="1" applyBorder="1" applyAlignment="1">
      <alignment horizontal="center"/>
    </xf>
    <xf numFmtId="164" fontId="8" fillId="7" borderId="41" xfId="0" applyNumberFormat="1" applyFont="1" applyFill="1" applyBorder="1" applyAlignment="1">
      <alignment horizontal="center"/>
    </xf>
    <xf numFmtId="164" fontId="8" fillId="7" borderId="42" xfId="0" applyNumberFormat="1" applyFont="1" applyFill="1" applyBorder="1" applyAlignment="1">
      <alignment horizontal="center"/>
    </xf>
    <xf numFmtId="0" fontId="140" fillId="67" borderId="56" xfId="0" applyFont="1" applyFill="1" applyBorder="1"/>
    <xf numFmtId="0" fontId="140" fillId="67" borderId="57" xfId="0" applyFont="1" applyFill="1" applyBorder="1"/>
    <xf numFmtId="0" fontId="140" fillId="67" borderId="0" xfId="0" applyFont="1" applyFill="1" applyBorder="1"/>
    <xf numFmtId="14" fontId="7" fillId="0" borderId="3" xfId="0" applyNumberFormat="1" applyFont="1" applyBorder="1"/>
    <xf numFmtId="9" fontId="7" fillId="0" borderId="3" xfId="1" applyNumberFormat="1" applyFont="1" applyBorder="1"/>
    <xf numFmtId="9" fontId="0" fillId="0" borderId="3" xfId="0" applyNumberFormat="1" applyBorder="1"/>
  </cellXfs>
  <cellStyles count="1051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" xfId="1050" builtinId="3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29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8A60"/>
      <color rgb="FFAD275C"/>
      <color rgb="FF2E398A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727552"/>
        <c:axId val="324410752"/>
      </c:barChar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826688"/>
        <c:axId val="309828224"/>
      </c:lineChart>
      <c:catAx>
        <c:axId val="309826688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309828224"/>
        <c:crosses val="autoZero"/>
        <c:auto val="1"/>
        <c:lblAlgn val="ctr"/>
        <c:lblOffset val="100"/>
        <c:tickLblSkip val="2"/>
        <c:noMultiLvlLbl val="1"/>
      </c:catAx>
      <c:valAx>
        <c:axId val="309828224"/>
        <c:scaling>
          <c:orientation val="minMax"/>
          <c:max val="0.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9826688"/>
        <c:crosses val="autoZero"/>
        <c:crossBetween val="between"/>
      </c:valAx>
      <c:valAx>
        <c:axId val="324410752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348727552"/>
        <c:crosses val="max"/>
        <c:crossBetween val="between"/>
        <c:dispUnits>
          <c:builtInUnit val="billions"/>
        </c:dispUnits>
      </c:valAx>
      <c:catAx>
        <c:axId val="348727552"/>
        <c:scaling>
          <c:orientation val="minMax"/>
        </c:scaling>
        <c:delete val="1"/>
        <c:axPos val="b"/>
        <c:majorTickMark val="out"/>
        <c:minorTickMark val="none"/>
        <c:tickLblPos val="nextTo"/>
        <c:crossAx val="32441075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091328"/>
        <c:axId val="351102848"/>
      </c:barChart>
      <c:catAx>
        <c:axId val="351091328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overlay val="0"/>
        </c:title>
        <c:majorTickMark val="out"/>
        <c:minorTickMark val="none"/>
        <c:tickLblPos val="nextTo"/>
        <c:crossAx val="351102848"/>
        <c:crosses val="autoZero"/>
        <c:auto val="1"/>
        <c:lblAlgn val="ctr"/>
        <c:lblOffset val="100"/>
        <c:noMultiLvlLbl val="0"/>
      </c:catAx>
      <c:valAx>
        <c:axId val="35110284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high"/>
        <c:crossAx val="35109132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Refinancible Percentage</c:v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593600"/>
        <c:axId val="371595136"/>
      </c:lineChart>
      <c:lineChart>
        <c:grouping val="standard"/>
        <c:varyColors val="0"/>
        <c:ser>
          <c:idx val="2"/>
          <c:order val="1"/>
          <c:tx>
            <c:v>Conventional Refi Index</c:v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16960"/>
        <c:axId val="467415040"/>
      </c:lineChart>
      <c:dateAx>
        <c:axId val="371593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71595136"/>
        <c:crosses val="autoZero"/>
        <c:auto val="1"/>
        <c:lblOffset val="100"/>
        <c:baseTimeUnit val="days"/>
      </c:dateAx>
      <c:valAx>
        <c:axId val="3715951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71593600"/>
        <c:crosses val="autoZero"/>
        <c:crossBetween val="between"/>
      </c:valAx>
      <c:valAx>
        <c:axId val="467415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67416960"/>
        <c:crosses val="max"/>
        <c:crossBetween val="between"/>
      </c:valAx>
      <c:dateAx>
        <c:axId val="4674169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67415040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Pool Level</c:v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443520"/>
        <c:axId val="325559424"/>
      </c:lineChart>
      <c:dateAx>
        <c:axId val="324443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5559424"/>
        <c:crosses val="autoZero"/>
        <c:auto val="1"/>
        <c:lblOffset val="100"/>
        <c:baseTimeUnit val="days"/>
      </c:dateAx>
      <c:valAx>
        <c:axId val="325559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 Refinancible</a:t>
                </a:r>
                <a:r>
                  <a:rPr lang="en-US" baseline="0"/>
                  <a:t> </a:t>
                </a:r>
                <a:r>
                  <a:rPr lang="en-US"/>
                  <a:t>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24443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/>
              <a:t>Historical Conventional Refi Index vs. FNCL Refinancible Universe (50</a:t>
            </a:r>
            <a:r>
              <a:rPr lang="en-US" sz="1100" baseline="0"/>
              <a:t> bp incentive) -- From Chunnip</a:t>
            </a:r>
            <a:endParaRPr lang="en-US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782071222578659"/>
          <c:y val="0.17223125335139558"/>
          <c:w val="0.7563854055280127"/>
          <c:h val="0.54053029661614882"/>
        </c:manualLayout>
      </c:layout>
      <c:lineChart>
        <c:grouping val="standard"/>
        <c:varyColors val="0"/>
        <c:ser>
          <c:idx val="0"/>
          <c:order val="0"/>
          <c:tx>
            <c:v>MBA Conventional Refi Index</c:v>
          </c:tx>
          <c:marker>
            <c:symbol val="none"/>
          </c:marker>
          <c:cat>
            <c:numRef>
              <c:f>'[3]all FNCL'!$I$180:$I$403</c:f>
              <c:numCache>
                <c:formatCode>General</c:formatCode>
                <c:ptCount val="224"/>
                <c:pt idx="0">
                  <c:v>40550</c:v>
                </c:pt>
                <c:pt idx="1">
                  <c:v>40557</c:v>
                </c:pt>
                <c:pt idx="2">
                  <c:v>40564</c:v>
                </c:pt>
                <c:pt idx="3">
                  <c:v>40571</c:v>
                </c:pt>
                <c:pt idx="4">
                  <c:v>40578</c:v>
                </c:pt>
                <c:pt idx="5">
                  <c:v>40585</c:v>
                </c:pt>
                <c:pt idx="6">
                  <c:v>40592</c:v>
                </c:pt>
                <c:pt idx="7">
                  <c:v>40599</c:v>
                </c:pt>
                <c:pt idx="8">
                  <c:v>40606</c:v>
                </c:pt>
                <c:pt idx="9">
                  <c:v>40613</c:v>
                </c:pt>
                <c:pt idx="10">
                  <c:v>40620</c:v>
                </c:pt>
                <c:pt idx="11">
                  <c:v>40627</c:v>
                </c:pt>
                <c:pt idx="12">
                  <c:v>40634</c:v>
                </c:pt>
                <c:pt idx="13">
                  <c:v>40641</c:v>
                </c:pt>
                <c:pt idx="14">
                  <c:v>40648</c:v>
                </c:pt>
                <c:pt idx="15">
                  <c:v>40654</c:v>
                </c:pt>
                <c:pt idx="16">
                  <c:v>40662</c:v>
                </c:pt>
                <c:pt idx="17">
                  <c:v>40669</c:v>
                </c:pt>
                <c:pt idx="18">
                  <c:v>40676</c:v>
                </c:pt>
                <c:pt idx="19">
                  <c:v>40683</c:v>
                </c:pt>
                <c:pt idx="20">
                  <c:v>40690</c:v>
                </c:pt>
                <c:pt idx="21">
                  <c:v>40697</c:v>
                </c:pt>
                <c:pt idx="22">
                  <c:v>40704</c:v>
                </c:pt>
                <c:pt idx="23">
                  <c:v>40711</c:v>
                </c:pt>
                <c:pt idx="24">
                  <c:v>40718</c:v>
                </c:pt>
                <c:pt idx="25">
                  <c:v>40725</c:v>
                </c:pt>
                <c:pt idx="26">
                  <c:v>40732</c:v>
                </c:pt>
                <c:pt idx="27">
                  <c:v>40739</c:v>
                </c:pt>
                <c:pt idx="28">
                  <c:v>40746</c:v>
                </c:pt>
                <c:pt idx="29">
                  <c:v>40753</c:v>
                </c:pt>
                <c:pt idx="30">
                  <c:v>40760</c:v>
                </c:pt>
                <c:pt idx="31">
                  <c:v>40767</c:v>
                </c:pt>
                <c:pt idx="32">
                  <c:v>40774</c:v>
                </c:pt>
                <c:pt idx="33">
                  <c:v>40781</c:v>
                </c:pt>
                <c:pt idx="34">
                  <c:v>40788</c:v>
                </c:pt>
                <c:pt idx="35">
                  <c:v>40795</c:v>
                </c:pt>
                <c:pt idx="36">
                  <c:v>40802</c:v>
                </c:pt>
                <c:pt idx="37">
                  <c:v>40809</c:v>
                </c:pt>
                <c:pt idx="38">
                  <c:v>40816</c:v>
                </c:pt>
                <c:pt idx="39">
                  <c:v>40823</c:v>
                </c:pt>
                <c:pt idx="40">
                  <c:v>40830</c:v>
                </c:pt>
                <c:pt idx="41">
                  <c:v>40837</c:v>
                </c:pt>
                <c:pt idx="42">
                  <c:v>40844</c:v>
                </c:pt>
                <c:pt idx="43">
                  <c:v>40851</c:v>
                </c:pt>
                <c:pt idx="44">
                  <c:v>40858</c:v>
                </c:pt>
                <c:pt idx="45">
                  <c:v>40865</c:v>
                </c:pt>
                <c:pt idx="46">
                  <c:v>40872</c:v>
                </c:pt>
                <c:pt idx="47">
                  <c:v>40879</c:v>
                </c:pt>
                <c:pt idx="48">
                  <c:v>40886</c:v>
                </c:pt>
                <c:pt idx="49">
                  <c:v>40893</c:v>
                </c:pt>
                <c:pt idx="50">
                  <c:v>40900</c:v>
                </c:pt>
                <c:pt idx="51">
                  <c:v>40907</c:v>
                </c:pt>
                <c:pt idx="52">
                  <c:v>40914</c:v>
                </c:pt>
                <c:pt idx="53">
                  <c:v>40921</c:v>
                </c:pt>
                <c:pt idx="54">
                  <c:v>40928</c:v>
                </c:pt>
                <c:pt idx="55">
                  <c:v>40935</c:v>
                </c:pt>
                <c:pt idx="56">
                  <c:v>40942</c:v>
                </c:pt>
                <c:pt idx="57">
                  <c:v>40949</c:v>
                </c:pt>
                <c:pt idx="58">
                  <c:v>40956</c:v>
                </c:pt>
                <c:pt idx="59">
                  <c:v>40963</c:v>
                </c:pt>
                <c:pt idx="60">
                  <c:v>40970</c:v>
                </c:pt>
                <c:pt idx="61">
                  <c:v>40977</c:v>
                </c:pt>
                <c:pt idx="62">
                  <c:v>40984</c:v>
                </c:pt>
                <c:pt idx="63">
                  <c:v>40991</c:v>
                </c:pt>
                <c:pt idx="64">
                  <c:v>40998</c:v>
                </c:pt>
                <c:pt idx="65">
                  <c:v>41005</c:v>
                </c:pt>
                <c:pt idx="66">
                  <c:v>41012</c:v>
                </c:pt>
                <c:pt idx="67">
                  <c:v>41019</c:v>
                </c:pt>
                <c:pt idx="68">
                  <c:v>41026</c:v>
                </c:pt>
                <c:pt idx="69">
                  <c:v>41033</c:v>
                </c:pt>
                <c:pt idx="70">
                  <c:v>41040</c:v>
                </c:pt>
                <c:pt idx="71">
                  <c:v>41047</c:v>
                </c:pt>
                <c:pt idx="72">
                  <c:v>41054</c:v>
                </c:pt>
                <c:pt idx="73">
                  <c:v>41061</c:v>
                </c:pt>
                <c:pt idx="74">
                  <c:v>41068</c:v>
                </c:pt>
                <c:pt idx="75">
                  <c:v>41075</c:v>
                </c:pt>
                <c:pt idx="76">
                  <c:v>41082</c:v>
                </c:pt>
                <c:pt idx="77">
                  <c:v>41089</c:v>
                </c:pt>
                <c:pt idx="78">
                  <c:v>41096</c:v>
                </c:pt>
                <c:pt idx="79">
                  <c:v>41103</c:v>
                </c:pt>
                <c:pt idx="80">
                  <c:v>41110</c:v>
                </c:pt>
                <c:pt idx="81">
                  <c:v>41117</c:v>
                </c:pt>
                <c:pt idx="82">
                  <c:v>41124</c:v>
                </c:pt>
                <c:pt idx="83">
                  <c:v>41131</c:v>
                </c:pt>
                <c:pt idx="84">
                  <c:v>41138</c:v>
                </c:pt>
                <c:pt idx="85">
                  <c:v>41145</c:v>
                </c:pt>
                <c:pt idx="86">
                  <c:v>41152</c:v>
                </c:pt>
                <c:pt idx="87">
                  <c:v>41159</c:v>
                </c:pt>
                <c:pt idx="88">
                  <c:v>41166</c:v>
                </c:pt>
                <c:pt idx="89">
                  <c:v>41173</c:v>
                </c:pt>
                <c:pt idx="90">
                  <c:v>41180</c:v>
                </c:pt>
                <c:pt idx="91">
                  <c:v>41187</c:v>
                </c:pt>
                <c:pt idx="92">
                  <c:v>41194</c:v>
                </c:pt>
                <c:pt idx="93">
                  <c:v>41201</c:v>
                </c:pt>
                <c:pt idx="94">
                  <c:v>41208</c:v>
                </c:pt>
                <c:pt idx="95">
                  <c:v>41215</c:v>
                </c:pt>
                <c:pt idx="96">
                  <c:v>41222</c:v>
                </c:pt>
                <c:pt idx="97">
                  <c:v>41229</c:v>
                </c:pt>
                <c:pt idx="98">
                  <c:v>41236</c:v>
                </c:pt>
                <c:pt idx="99">
                  <c:v>41243</c:v>
                </c:pt>
                <c:pt idx="100">
                  <c:v>41250</c:v>
                </c:pt>
                <c:pt idx="101">
                  <c:v>41257</c:v>
                </c:pt>
                <c:pt idx="102">
                  <c:v>41264</c:v>
                </c:pt>
                <c:pt idx="103">
                  <c:v>41271</c:v>
                </c:pt>
                <c:pt idx="104">
                  <c:v>41278</c:v>
                </c:pt>
                <c:pt idx="105">
                  <c:v>41285</c:v>
                </c:pt>
                <c:pt idx="106">
                  <c:v>41292</c:v>
                </c:pt>
                <c:pt idx="107">
                  <c:v>41299</c:v>
                </c:pt>
                <c:pt idx="108">
                  <c:v>41306</c:v>
                </c:pt>
                <c:pt idx="109">
                  <c:v>41313</c:v>
                </c:pt>
                <c:pt idx="110">
                  <c:v>41320</c:v>
                </c:pt>
                <c:pt idx="111">
                  <c:v>41327</c:v>
                </c:pt>
                <c:pt idx="112">
                  <c:v>41334</c:v>
                </c:pt>
                <c:pt idx="113">
                  <c:v>41341</c:v>
                </c:pt>
                <c:pt idx="114">
                  <c:v>41348</c:v>
                </c:pt>
                <c:pt idx="115">
                  <c:v>41355</c:v>
                </c:pt>
                <c:pt idx="116">
                  <c:v>41361</c:v>
                </c:pt>
                <c:pt idx="117">
                  <c:v>41369</c:v>
                </c:pt>
                <c:pt idx="118">
                  <c:v>41376</c:v>
                </c:pt>
                <c:pt idx="119">
                  <c:v>41383</c:v>
                </c:pt>
                <c:pt idx="120">
                  <c:v>41390</c:v>
                </c:pt>
                <c:pt idx="121">
                  <c:v>41397</c:v>
                </c:pt>
                <c:pt idx="122">
                  <c:v>41404</c:v>
                </c:pt>
                <c:pt idx="123">
                  <c:v>41409</c:v>
                </c:pt>
                <c:pt idx="124">
                  <c:v>41418</c:v>
                </c:pt>
                <c:pt idx="125">
                  <c:v>41425</c:v>
                </c:pt>
                <c:pt idx="126">
                  <c:v>41432</c:v>
                </c:pt>
                <c:pt idx="127">
                  <c:v>41439</c:v>
                </c:pt>
                <c:pt idx="128">
                  <c:v>41446</c:v>
                </c:pt>
                <c:pt idx="129">
                  <c:v>41453</c:v>
                </c:pt>
                <c:pt idx="130">
                  <c:v>41460</c:v>
                </c:pt>
                <c:pt idx="131">
                  <c:v>41467</c:v>
                </c:pt>
                <c:pt idx="132">
                  <c:v>41474</c:v>
                </c:pt>
                <c:pt idx="133">
                  <c:v>41481</c:v>
                </c:pt>
                <c:pt idx="134">
                  <c:v>41488</c:v>
                </c:pt>
                <c:pt idx="135">
                  <c:v>41495</c:v>
                </c:pt>
                <c:pt idx="136">
                  <c:v>41508</c:v>
                </c:pt>
                <c:pt idx="137">
                  <c:v>41509</c:v>
                </c:pt>
                <c:pt idx="138">
                  <c:v>41516</c:v>
                </c:pt>
                <c:pt idx="139">
                  <c:v>41523</c:v>
                </c:pt>
                <c:pt idx="140">
                  <c:v>41530</c:v>
                </c:pt>
                <c:pt idx="141">
                  <c:v>41537</c:v>
                </c:pt>
                <c:pt idx="142">
                  <c:v>41544</c:v>
                </c:pt>
                <c:pt idx="143">
                  <c:v>41551</c:v>
                </c:pt>
                <c:pt idx="144">
                  <c:v>41558</c:v>
                </c:pt>
                <c:pt idx="145">
                  <c:v>41565</c:v>
                </c:pt>
                <c:pt idx="146">
                  <c:v>41572</c:v>
                </c:pt>
                <c:pt idx="147">
                  <c:v>41579</c:v>
                </c:pt>
                <c:pt idx="148">
                  <c:v>41586</c:v>
                </c:pt>
                <c:pt idx="149">
                  <c:v>41593</c:v>
                </c:pt>
                <c:pt idx="150">
                  <c:v>41600</c:v>
                </c:pt>
                <c:pt idx="151">
                  <c:v>41605</c:v>
                </c:pt>
                <c:pt idx="152">
                  <c:v>41614</c:v>
                </c:pt>
                <c:pt idx="153">
                  <c:v>41621</c:v>
                </c:pt>
                <c:pt idx="154">
                  <c:v>41628</c:v>
                </c:pt>
                <c:pt idx="155">
                  <c:v>41635</c:v>
                </c:pt>
                <c:pt idx="156">
                  <c:v>41642</c:v>
                </c:pt>
                <c:pt idx="157">
                  <c:v>41649</c:v>
                </c:pt>
                <c:pt idx="158">
                  <c:v>41656</c:v>
                </c:pt>
                <c:pt idx="159">
                  <c:v>41663</c:v>
                </c:pt>
                <c:pt idx="160">
                  <c:v>41670</c:v>
                </c:pt>
                <c:pt idx="161">
                  <c:v>41677</c:v>
                </c:pt>
                <c:pt idx="162">
                  <c:v>41684</c:v>
                </c:pt>
                <c:pt idx="163">
                  <c:v>41691</c:v>
                </c:pt>
                <c:pt idx="164">
                  <c:v>41698</c:v>
                </c:pt>
                <c:pt idx="165">
                  <c:v>41705</c:v>
                </c:pt>
                <c:pt idx="166">
                  <c:v>41712</c:v>
                </c:pt>
                <c:pt idx="167">
                  <c:v>41719</c:v>
                </c:pt>
                <c:pt idx="168">
                  <c:v>41726</c:v>
                </c:pt>
                <c:pt idx="169">
                  <c:v>41733</c:v>
                </c:pt>
                <c:pt idx="170">
                  <c:v>41740</c:v>
                </c:pt>
                <c:pt idx="171">
                  <c:v>41746</c:v>
                </c:pt>
                <c:pt idx="172">
                  <c:v>41754</c:v>
                </c:pt>
                <c:pt idx="173">
                  <c:v>41761</c:v>
                </c:pt>
                <c:pt idx="174">
                  <c:v>41768</c:v>
                </c:pt>
                <c:pt idx="175">
                  <c:v>41775</c:v>
                </c:pt>
                <c:pt idx="176">
                  <c:v>41782</c:v>
                </c:pt>
                <c:pt idx="177">
                  <c:v>41789</c:v>
                </c:pt>
                <c:pt idx="178">
                  <c:v>41796</c:v>
                </c:pt>
                <c:pt idx="179">
                  <c:v>41803</c:v>
                </c:pt>
                <c:pt idx="180">
                  <c:v>41810</c:v>
                </c:pt>
                <c:pt idx="181">
                  <c:v>41817</c:v>
                </c:pt>
                <c:pt idx="182">
                  <c:v>41823</c:v>
                </c:pt>
                <c:pt idx="183">
                  <c:v>41831</c:v>
                </c:pt>
                <c:pt idx="184">
                  <c:v>41838</c:v>
                </c:pt>
                <c:pt idx="185">
                  <c:v>41845</c:v>
                </c:pt>
                <c:pt idx="186">
                  <c:v>41852</c:v>
                </c:pt>
                <c:pt idx="187">
                  <c:v>41859</c:v>
                </c:pt>
                <c:pt idx="188">
                  <c:v>41866</c:v>
                </c:pt>
                <c:pt idx="189">
                  <c:v>41873</c:v>
                </c:pt>
                <c:pt idx="190">
                  <c:v>41880</c:v>
                </c:pt>
                <c:pt idx="191">
                  <c:v>41887</c:v>
                </c:pt>
                <c:pt idx="192">
                  <c:v>41894</c:v>
                </c:pt>
                <c:pt idx="193">
                  <c:v>41901</c:v>
                </c:pt>
                <c:pt idx="194">
                  <c:v>41908</c:v>
                </c:pt>
                <c:pt idx="195">
                  <c:v>41915</c:v>
                </c:pt>
                <c:pt idx="196">
                  <c:v>41922</c:v>
                </c:pt>
                <c:pt idx="197">
                  <c:v>41929</c:v>
                </c:pt>
                <c:pt idx="198">
                  <c:v>41936</c:v>
                </c:pt>
                <c:pt idx="199">
                  <c:v>41943</c:v>
                </c:pt>
                <c:pt idx="200">
                  <c:v>41950</c:v>
                </c:pt>
                <c:pt idx="201">
                  <c:v>41957</c:v>
                </c:pt>
                <c:pt idx="202">
                  <c:v>41964</c:v>
                </c:pt>
                <c:pt idx="203">
                  <c:v>41971</c:v>
                </c:pt>
                <c:pt idx="204">
                  <c:v>41978</c:v>
                </c:pt>
                <c:pt idx="205">
                  <c:v>41985</c:v>
                </c:pt>
                <c:pt idx="206">
                  <c:v>41992</c:v>
                </c:pt>
                <c:pt idx="207">
                  <c:v>41999</c:v>
                </c:pt>
                <c:pt idx="208">
                  <c:v>42006</c:v>
                </c:pt>
                <c:pt idx="209">
                  <c:v>42013</c:v>
                </c:pt>
                <c:pt idx="210">
                  <c:v>42020</c:v>
                </c:pt>
                <c:pt idx="211">
                  <c:v>42027</c:v>
                </c:pt>
                <c:pt idx="212">
                  <c:v>42034</c:v>
                </c:pt>
                <c:pt idx="213">
                  <c:v>42041</c:v>
                </c:pt>
                <c:pt idx="214">
                  <c:v>42048</c:v>
                </c:pt>
                <c:pt idx="215">
                  <c:v>42055</c:v>
                </c:pt>
                <c:pt idx="216">
                  <c:v>42062</c:v>
                </c:pt>
                <c:pt idx="217">
                  <c:v>42069</c:v>
                </c:pt>
                <c:pt idx="218">
                  <c:v>42076</c:v>
                </c:pt>
                <c:pt idx="219">
                  <c:v>42083</c:v>
                </c:pt>
                <c:pt idx="220">
                  <c:v>42090</c:v>
                </c:pt>
                <c:pt idx="221">
                  <c:v>42097</c:v>
                </c:pt>
                <c:pt idx="222">
                  <c:v>42104</c:v>
                </c:pt>
                <c:pt idx="223">
                  <c:v>42111</c:v>
                </c:pt>
              </c:numCache>
            </c:numRef>
          </c:cat>
          <c:val>
            <c:numRef>
              <c:f>'[3]all FNCL'!$J$180:$J$403</c:f>
              <c:numCache>
                <c:formatCode>General</c:formatCode>
                <c:ptCount val="224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4033.78</c:v>
                </c:pt>
                <c:pt idx="37">
                  <c:v>4512.13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2941.3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4423</c:v>
                </c:pt>
                <c:pt idx="86">
                  <c:v>4273.1000000000004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4666.8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2417.8000000000002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1561.6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1366.6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1164.2</c:v>
                </c:pt>
                <c:pt idx="208">
                  <c:v>1347.6</c:v>
                </c:pt>
                <c:pt idx="209">
                  <c:v>2308.6999999999998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69536"/>
        <c:axId val="325571328"/>
      </c:lineChart>
      <c:lineChart>
        <c:grouping val="standard"/>
        <c:varyColors val="0"/>
        <c:ser>
          <c:idx val="1"/>
          <c:order val="1"/>
          <c:tx>
            <c:v>FNCL Refinancible Universe</c:v>
          </c:tx>
          <c:marker>
            <c:symbol val="none"/>
          </c:marker>
          <c:val>
            <c:numRef>
              <c:f>'[3]all FNCL'!$L$180:$L$403</c:f>
              <c:numCache>
                <c:formatCode>General</c:formatCode>
                <c:ptCount val="224"/>
                <c:pt idx="0">
                  <c:v>0.62402170072443097</c:v>
                </c:pt>
                <c:pt idx="1">
                  <c:v>0.62817294477626895</c:v>
                </c:pt>
                <c:pt idx="2">
                  <c:v>0.62597730951219799</c:v>
                </c:pt>
                <c:pt idx="3">
                  <c:v>0.62392159162868699</c:v>
                </c:pt>
                <c:pt idx="4">
                  <c:v>0.60653142223595202</c:v>
                </c:pt>
                <c:pt idx="5">
                  <c:v>0.50868797673712296</c:v>
                </c:pt>
                <c:pt idx="6">
                  <c:v>0.52965901814335503</c:v>
                </c:pt>
                <c:pt idx="7">
                  <c:v>0.57709503787578098</c:v>
                </c:pt>
                <c:pt idx="8">
                  <c:v>0.59224775585706502</c:v>
                </c:pt>
                <c:pt idx="9">
                  <c:v>0.590905707896624</c:v>
                </c:pt>
                <c:pt idx="10">
                  <c:v>0.60261779474869903</c:v>
                </c:pt>
                <c:pt idx="11">
                  <c:v>0.59950595681897501</c:v>
                </c:pt>
                <c:pt idx="12">
                  <c:v>0.59322570820163401</c:v>
                </c:pt>
                <c:pt idx="13">
                  <c:v>0.58542144661011897</c:v>
                </c:pt>
                <c:pt idx="14">
                  <c:v>0.58155199492979504</c:v>
                </c:pt>
                <c:pt idx="15">
                  <c:v>0.59356262313394503</c:v>
                </c:pt>
                <c:pt idx="16">
                  <c:v>0.59445921362542897</c:v>
                </c:pt>
                <c:pt idx="17">
                  <c:v>0.59391131067456004</c:v>
                </c:pt>
                <c:pt idx="18">
                  <c:v>0.60662155942019902</c:v>
                </c:pt>
                <c:pt idx="19">
                  <c:v>0.61264076908113696</c:v>
                </c:pt>
                <c:pt idx="20">
                  <c:v>0.615993636080996</c:v>
                </c:pt>
                <c:pt idx="21">
                  <c:v>0.66311590107349005</c:v>
                </c:pt>
                <c:pt idx="22">
                  <c:v>0.74517189360077896</c:v>
                </c:pt>
                <c:pt idx="23">
                  <c:v>0.72397022872334404</c:v>
                </c:pt>
                <c:pt idx="24">
                  <c:v>0.66311590107349005</c:v>
                </c:pt>
                <c:pt idx="25">
                  <c:v>0.69050447134038195</c:v>
                </c:pt>
                <c:pt idx="26">
                  <c:v>0.60410549631050603</c:v>
                </c:pt>
                <c:pt idx="27">
                  <c:v>0.684475421712614</c:v>
                </c:pt>
                <c:pt idx="28">
                  <c:v>0.66675683999516899</c:v>
                </c:pt>
                <c:pt idx="29">
                  <c:v>0.61660059317974703</c:v>
                </c:pt>
                <c:pt idx="30">
                  <c:v>0.81803711941746404</c:v>
                </c:pt>
                <c:pt idx="31">
                  <c:v>0.83404184296119299</c:v>
                </c:pt>
                <c:pt idx="32">
                  <c:v>0.86117434904403201</c:v>
                </c:pt>
                <c:pt idx="33">
                  <c:v>0.84714025108084801</c:v>
                </c:pt>
                <c:pt idx="34">
                  <c:v>0.84129278814437103</c:v>
                </c:pt>
                <c:pt idx="35">
                  <c:v>0.87859103936280603</c:v>
                </c:pt>
                <c:pt idx="36">
                  <c:v>0.90242289630358996</c:v>
                </c:pt>
                <c:pt idx="37">
                  <c:v>0.90242289630358996</c:v>
                </c:pt>
                <c:pt idx="38">
                  <c:v>0.94644262124543399</c:v>
                </c:pt>
                <c:pt idx="39">
                  <c:v>0.967252006042155</c:v>
                </c:pt>
                <c:pt idx="40">
                  <c:v>0.84917694017596201</c:v>
                </c:pt>
                <c:pt idx="41">
                  <c:v>0.85635864773186399</c:v>
                </c:pt>
                <c:pt idx="42">
                  <c:v>0.86512672485653097</c:v>
                </c:pt>
                <c:pt idx="43">
                  <c:v>0.93485323798856301</c:v>
                </c:pt>
                <c:pt idx="44">
                  <c:v>0.94404770550683104</c:v>
                </c:pt>
                <c:pt idx="45">
                  <c:v>0.93485323798856301</c:v>
                </c:pt>
                <c:pt idx="46">
                  <c:v>0.94997170807452402</c:v>
                </c:pt>
                <c:pt idx="47">
                  <c:v>0.91542628506626</c:v>
                </c:pt>
                <c:pt idx="48">
                  <c:v>0.92487460681698297</c:v>
                </c:pt>
                <c:pt idx="49">
                  <c:v>0.93969161247928701</c:v>
                </c:pt>
                <c:pt idx="50">
                  <c:v>0.96019586623642394</c:v>
                </c:pt>
                <c:pt idx="51">
                  <c:v>0.94762260030460199</c:v>
                </c:pt>
                <c:pt idx="52">
                  <c:v>0.94481773750585696</c:v>
                </c:pt>
                <c:pt idx="53">
                  <c:v>0.95320351892281396</c:v>
                </c:pt>
                <c:pt idx="54">
                  <c:v>0.95182771809710398</c:v>
                </c:pt>
                <c:pt idx="55">
                  <c:v>0.91861521434498905</c:v>
                </c:pt>
                <c:pt idx="56">
                  <c:v>0.94107838104995301</c:v>
                </c:pt>
                <c:pt idx="57">
                  <c:v>0.94107838104995301</c:v>
                </c:pt>
                <c:pt idx="58">
                  <c:v>0.94107838104995301</c:v>
                </c:pt>
                <c:pt idx="59">
                  <c:v>0.90921329115869698</c:v>
                </c:pt>
                <c:pt idx="60">
                  <c:v>0.91584710240533496</c:v>
                </c:pt>
                <c:pt idx="61">
                  <c:v>0.91902765125865904</c:v>
                </c:pt>
                <c:pt idx="62">
                  <c:v>0.90514599034862198</c:v>
                </c:pt>
                <c:pt idx="63">
                  <c:v>0.78959380464288298</c:v>
                </c:pt>
                <c:pt idx="64">
                  <c:v>0.87490910290764401</c:v>
                </c:pt>
                <c:pt idx="65">
                  <c:v>0.86928745494692705</c:v>
                </c:pt>
                <c:pt idx="66">
                  <c:v>0.90849340717481797</c:v>
                </c:pt>
                <c:pt idx="67">
                  <c:v>0.90349839031693802</c:v>
                </c:pt>
                <c:pt idx="68">
                  <c:v>0.90849340717481797</c:v>
                </c:pt>
                <c:pt idx="69">
                  <c:v>0.89225108632442696</c:v>
                </c:pt>
                <c:pt idx="70">
                  <c:v>0.89337268606647202</c:v>
                </c:pt>
                <c:pt idx="71">
                  <c:v>0.89489979671430897</c:v>
                </c:pt>
                <c:pt idx="72">
                  <c:v>0.89443957907281701</c:v>
                </c:pt>
                <c:pt idx="73">
                  <c:v>0.895121220846959</c:v>
                </c:pt>
                <c:pt idx="74">
                  <c:v>0.89201954495855595</c:v>
                </c:pt>
                <c:pt idx="75">
                  <c:v>0.886674497978159</c:v>
                </c:pt>
                <c:pt idx="76">
                  <c:v>0.89407594990163797</c:v>
                </c:pt>
                <c:pt idx="77">
                  <c:v>0.89407594990163797</c:v>
                </c:pt>
                <c:pt idx="78">
                  <c:v>0.88191141048608501</c:v>
                </c:pt>
                <c:pt idx="79">
                  <c:v>0.94551237246929398</c:v>
                </c:pt>
                <c:pt idx="80">
                  <c:v>0.97186924857157997</c:v>
                </c:pt>
                <c:pt idx="81">
                  <c:v>0.98451993370244095</c:v>
                </c:pt>
                <c:pt idx="82">
                  <c:v>0.93852225394978095</c:v>
                </c:pt>
                <c:pt idx="83">
                  <c:v>0.92408794393225502</c:v>
                </c:pt>
                <c:pt idx="84">
                  <c:v>0.88445471641937101</c:v>
                </c:pt>
                <c:pt idx="85">
                  <c:v>0.85694996797233802</c:v>
                </c:pt>
                <c:pt idx="86">
                  <c:v>0.92408794393225502</c:v>
                </c:pt>
                <c:pt idx="87">
                  <c:v>0.91761037893987496</c:v>
                </c:pt>
                <c:pt idx="88">
                  <c:v>0.940476462565773</c:v>
                </c:pt>
                <c:pt idx="89">
                  <c:v>0.95891425076544701</c:v>
                </c:pt>
                <c:pt idx="90">
                  <c:v>0.96459917415866603</c:v>
                </c:pt>
                <c:pt idx="91">
                  <c:v>0.95362908529618595</c:v>
                </c:pt>
                <c:pt idx="92">
                  <c:v>0.95159604304738399</c:v>
                </c:pt>
                <c:pt idx="93">
                  <c:v>0.95277295236812298</c:v>
                </c:pt>
                <c:pt idx="94">
                  <c:v>0.95079229345734495</c:v>
                </c:pt>
                <c:pt idx="95">
                  <c:v>0.92571311512973697</c:v>
                </c:pt>
                <c:pt idx="96">
                  <c:v>0.92529425270600996</c:v>
                </c:pt>
                <c:pt idx="97">
                  <c:v>0.92772026190850898</c:v>
                </c:pt>
                <c:pt idx="98">
                  <c:v>0.92993011952820803</c:v>
                </c:pt>
                <c:pt idx="99">
                  <c:v>0.92756020040727505</c:v>
                </c:pt>
                <c:pt idx="100">
                  <c:v>0.91054790878492298</c:v>
                </c:pt>
                <c:pt idx="101">
                  <c:v>0.91261368517922603</c:v>
                </c:pt>
                <c:pt idx="102">
                  <c:v>0.909651579188403</c:v>
                </c:pt>
                <c:pt idx="103">
                  <c:v>0.91018597538933199</c:v>
                </c:pt>
                <c:pt idx="104">
                  <c:v>0.88829814088555903</c:v>
                </c:pt>
                <c:pt idx="105">
                  <c:v>0.88507237465235999</c:v>
                </c:pt>
                <c:pt idx="106">
                  <c:v>0.88631407683414698</c:v>
                </c:pt>
                <c:pt idx="107">
                  <c:v>0.88379536104531298</c:v>
                </c:pt>
                <c:pt idx="108">
                  <c:v>0.84748759806752005</c:v>
                </c:pt>
                <c:pt idx="109">
                  <c:v>0.79744674672768501</c:v>
                </c:pt>
                <c:pt idx="110">
                  <c:v>0.79744674672768501</c:v>
                </c:pt>
                <c:pt idx="111">
                  <c:v>0.75767121274966998</c:v>
                </c:pt>
                <c:pt idx="112">
                  <c:v>0.81599621049204496</c:v>
                </c:pt>
                <c:pt idx="113">
                  <c:v>0.81254588826988305</c:v>
                </c:pt>
                <c:pt idx="114">
                  <c:v>0.70260073761186803</c:v>
                </c:pt>
                <c:pt idx="115">
                  <c:v>0.76832708554350604</c:v>
                </c:pt>
                <c:pt idx="116">
                  <c:v>0.73085022058809701</c:v>
                </c:pt>
                <c:pt idx="117">
                  <c:v>0.74812714109915801</c:v>
                </c:pt>
                <c:pt idx="118">
                  <c:v>0.81951890925716098</c:v>
                </c:pt>
                <c:pt idx="119">
                  <c:v>0.82637993200499604</c:v>
                </c:pt>
                <c:pt idx="120">
                  <c:v>0.82478602429419601</c:v>
                </c:pt>
                <c:pt idx="121">
                  <c:v>0.816862820958143</c:v>
                </c:pt>
                <c:pt idx="122">
                  <c:v>0.80807149473903706</c:v>
                </c:pt>
                <c:pt idx="123">
                  <c:v>0.77783403735744605</c:v>
                </c:pt>
                <c:pt idx="124">
                  <c:v>0.69528028144530996</c:v>
                </c:pt>
                <c:pt idx="125">
                  <c:v>0.63267241864898405</c:v>
                </c:pt>
                <c:pt idx="126">
                  <c:v>0.60569175356282701</c:v>
                </c:pt>
                <c:pt idx="127">
                  <c:v>0.57343184072471898</c:v>
                </c:pt>
                <c:pt idx="128">
                  <c:v>0.58795254732817603</c:v>
                </c:pt>
                <c:pt idx="129">
                  <c:v>0.39082116641682302</c:v>
                </c:pt>
                <c:pt idx="130">
                  <c:v>0.43308646421209301</c:v>
                </c:pt>
                <c:pt idx="131">
                  <c:v>0.31856955774356599</c:v>
                </c:pt>
                <c:pt idx="132">
                  <c:v>0.42624975952077698</c:v>
                </c:pt>
                <c:pt idx="133">
                  <c:v>0.42922629610906499</c:v>
                </c:pt>
                <c:pt idx="134">
                  <c:v>0.40917398895536999</c:v>
                </c:pt>
                <c:pt idx="135">
                  <c:v>0.40797811985401</c:v>
                </c:pt>
                <c:pt idx="136">
                  <c:v>0.28211495793674202</c:v>
                </c:pt>
                <c:pt idx="137">
                  <c:v>0.28211495793674202</c:v>
                </c:pt>
                <c:pt idx="138">
                  <c:v>0.32707732602530398</c:v>
                </c:pt>
                <c:pt idx="139">
                  <c:v>0.28186492560364501</c:v>
                </c:pt>
                <c:pt idx="140">
                  <c:v>0.27463010199382099</c:v>
                </c:pt>
                <c:pt idx="141">
                  <c:v>0.33277831045649597</c:v>
                </c:pt>
                <c:pt idx="142">
                  <c:v>0.40445747526612702</c:v>
                </c:pt>
                <c:pt idx="143">
                  <c:v>0.41528178559290602</c:v>
                </c:pt>
                <c:pt idx="144">
                  <c:v>0.41314719259777</c:v>
                </c:pt>
                <c:pt idx="145">
                  <c:v>0.402324815903361</c:v>
                </c:pt>
                <c:pt idx="146">
                  <c:v>0.431569129246685</c:v>
                </c:pt>
                <c:pt idx="147">
                  <c:v>0.46054051472194202</c:v>
                </c:pt>
                <c:pt idx="148">
                  <c:v>0.42159370418067099</c:v>
                </c:pt>
                <c:pt idx="149">
                  <c:v>0.38756459325455</c:v>
                </c:pt>
                <c:pt idx="150">
                  <c:v>0.41410653536495001</c:v>
                </c:pt>
                <c:pt idx="151">
                  <c:v>0.39699815933228</c:v>
                </c:pt>
                <c:pt idx="152">
                  <c:v>0.37338021104571001</c:v>
                </c:pt>
                <c:pt idx="153">
                  <c:v>0.37072062674784101</c:v>
                </c:pt>
                <c:pt idx="154">
                  <c:v>0.339745677776082</c:v>
                </c:pt>
                <c:pt idx="155">
                  <c:v>0.33029809597210902</c:v>
                </c:pt>
                <c:pt idx="156">
                  <c:v>0.26212623729092299</c:v>
                </c:pt>
                <c:pt idx="157">
                  <c:v>0.29022600492529399</c:v>
                </c:pt>
                <c:pt idx="158">
                  <c:v>0.36774882579493101</c:v>
                </c:pt>
                <c:pt idx="159">
                  <c:v>0.37084428304329597</c:v>
                </c:pt>
                <c:pt idx="160">
                  <c:v>0.38160196936392599</c:v>
                </c:pt>
                <c:pt idx="161">
                  <c:v>0.40068103493110202</c:v>
                </c:pt>
                <c:pt idx="162">
                  <c:v>0.38532630107915999</c:v>
                </c:pt>
                <c:pt idx="163">
                  <c:v>0.375571977518594</c:v>
                </c:pt>
                <c:pt idx="164">
                  <c:v>0.36967404481869198</c:v>
                </c:pt>
                <c:pt idx="165">
                  <c:v>0.383169637258365</c:v>
                </c:pt>
                <c:pt idx="166">
                  <c:v>0.36933430427665598</c:v>
                </c:pt>
                <c:pt idx="167">
                  <c:v>0.38030249532079302</c:v>
                </c:pt>
                <c:pt idx="168">
                  <c:v>0.36565400061255998</c:v>
                </c:pt>
                <c:pt idx="169">
                  <c:v>0.35521926568999201</c:v>
                </c:pt>
                <c:pt idx="170">
                  <c:v>0.36683376695248798</c:v>
                </c:pt>
                <c:pt idx="171">
                  <c:v>0.38166972699665502</c:v>
                </c:pt>
                <c:pt idx="172">
                  <c:v>0.37393962817107101</c:v>
                </c:pt>
                <c:pt idx="173">
                  <c:v>0.37360583835556399</c:v>
                </c:pt>
                <c:pt idx="174">
                  <c:v>0.409756747537739</c:v>
                </c:pt>
                <c:pt idx="175">
                  <c:v>0.41321534069517601</c:v>
                </c:pt>
                <c:pt idx="176">
                  <c:v>0.44799454346559803</c:v>
                </c:pt>
                <c:pt idx="177">
                  <c:v>0.463620204949516</c:v>
                </c:pt>
                <c:pt idx="178">
                  <c:v>0.46847875373528802</c:v>
                </c:pt>
                <c:pt idx="179">
                  <c:v>0.41096738430920399</c:v>
                </c:pt>
                <c:pt idx="180">
                  <c:v>0.426359386921487</c:v>
                </c:pt>
                <c:pt idx="181">
                  <c:v>0.46847875373528802</c:v>
                </c:pt>
                <c:pt idx="182">
                  <c:v>0.481783217502605</c:v>
                </c:pt>
                <c:pt idx="183">
                  <c:v>0.42147742037559999</c:v>
                </c:pt>
                <c:pt idx="184">
                  <c:v>0.451552968278365</c:v>
                </c:pt>
                <c:pt idx="185">
                  <c:v>0.451552968278365</c:v>
                </c:pt>
                <c:pt idx="186">
                  <c:v>0.45923072088835198</c:v>
                </c:pt>
                <c:pt idx="187">
                  <c:v>0.42413376349642801</c:v>
                </c:pt>
                <c:pt idx="188">
                  <c:v>0.45575254137027599</c:v>
                </c:pt>
                <c:pt idx="189">
                  <c:v>0.49084413664233301</c:v>
                </c:pt>
                <c:pt idx="190">
                  <c:v>0.49084413664233301</c:v>
                </c:pt>
                <c:pt idx="191">
                  <c:v>0.487326419100717</c:v>
                </c:pt>
                <c:pt idx="192">
                  <c:v>0.47415919522438099</c:v>
                </c:pt>
                <c:pt idx="193">
                  <c:v>0.39816728626756598</c:v>
                </c:pt>
                <c:pt idx="194">
                  <c:v>0.413732301706637</c:v>
                </c:pt>
                <c:pt idx="195">
                  <c:v>0.43232059685066698</c:v>
                </c:pt>
                <c:pt idx="196">
                  <c:v>0.47165449273347199</c:v>
                </c:pt>
                <c:pt idx="197">
                  <c:v>0.57517284737260699</c:v>
                </c:pt>
                <c:pt idx="198">
                  <c:v>0.58745733896979602</c:v>
                </c:pt>
                <c:pt idx="199">
                  <c:v>0.57181297396619601</c:v>
                </c:pt>
                <c:pt idx="200">
                  <c:v>0.548579829179903</c:v>
                </c:pt>
                <c:pt idx="201">
                  <c:v>0.55497671209744104</c:v>
                </c:pt>
                <c:pt idx="202">
                  <c:v>0.56606721089043699</c:v>
                </c:pt>
                <c:pt idx="203">
                  <c:v>0.57290983086857505</c:v>
                </c:pt>
                <c:pt idx="204">
                  <c:v>0.59279776197128298</c:v>
                </c:pt>
                <c:pt idx="205">
                  <c:v>0.57867105076839898</c:v>
                </c:pt>
                <c:pt idx="206">
                  <c:v>0.61554969638107904</c:v>
                </c:pt>
                <c:pt idx="207">
                  <c:v>0.605746362235419</c:v>
                </c:pt>
                <c:pt idx="208">
                  <c:v>0.59072795930158895</c:v>
                </c:pt>
                <c:pt idx="209">
                  <c:v>0.63580141506138299</c:v>
                </c:pt>
                <c:pt idx="210">
                  <c:v>0.66264885680248997</c:v>
                </c:pt>
                <c:pt idx="211">
                  <c:v>0.664741267487021</c:v>
                </c:pt>
                <c:pt idx="212">
                  <c:v>0.66264885680248997</c:v>
                </c:pt>
                <c:pt idx="213">
                  <c:v>0.68438167594716104</c:v>
                </c:pt>
                <c:pt idx="214">
                  <c:v>0.64890841265420796</c:v>
                </c:pt>
                <c:pt idx="215">
                  <c:v>0.62651628119673397</c:v>
                </c:pt>
                <c:pt idx="216">
                  <c:v>0.61098575112407705</c:v>
                </c:pt>
                <c:pt idx="217">
                  <c:v>0.61966926616186602</c:v>
                </c:pt>
                <c:pt idx="218">
                  <c:v>0.57559445438514301</c:v>
                </c:pt>
                <c:pt idx="219">
                  <c:v>0.609371962286406</c:v>
                </c:pt>
                <c:pt idx="220">
                  <c:v>0.64195316325793905</c:v>
                </c:pt>
                <c:pt idx="221">
                  <c:v>0.62812472062617597</c:v>
                </c:pt>
                <c:pt idx="222">
                  <c:v>0.64478767281568505</c:v>
                </c:pt>
                <c:pt idx="223">
                  <c:v>0.63088888629855699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75040"/>
        <c:axId val="325573248"/>
      </c:lineChart>
      <c:catAx>
        <c:axId val="32556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25571328"/>
        <c:crosses val="autoZero"/>
        <c:auto val="1"/>
        <c:lblAlgn val="ctr"/>
        <c:lblOffset val="100"/>
        <c:noMultiLvlLbl val="1"/>
      </c:catAx>
      <c:valAx>
        <c:axId val="325571328"/>
        <c:scaling>
          <c:orientation val="minMax"/>
          <c:max val="6500"/>
          <c:min val="5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Refi</a:t>
                </a:r>
                <a:r>
                  <a:rPr lang="en-US" baseline="0"/>
                  <a:t> Index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25569536"/>
        <c:crosses val="autoZero"/>
        <c:crossBetween val="between"/>
      </c:valAx>
      <c:valAx>
        <c:axId val="325573248"/>
        <c:scaling>
          <c:orientation val="minMax"/>
          <c:max val="1.1000000000000001"/>
          <c:min val="0.2"/>
        </c:scaling>
        <c:delete val="0"/>
        <c:axPos val="r"/>
        <c:numFmt formatCode="General" sourceLinked="1"/>
        <c:majorTickMark val="out"/>
        <c:minorTickMark val="none"/>
        <c:tickLblPos val="nextTo"/>
        <c:crossAx val="325575040"/>
        <c:crosses val="max"/>
        <c:crossBetween val="between"/>
      </c:valAx>
      <c:catAx>
        <c:axId val="325575040"/>
        <c:scaling>
          <c:orientation val="minMax"/>
        </c:scaling>
        <c:delete val="1"/>
        <c:axPos val="b"/>
        <c:majorTickMark val="out"/>
        <c:minorTickMark val="none"/>
        <c:tickLblPos val="nextTo"/>
        <c:crossAx val="32557324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010368"/>
        <c:axId val="326011904"/>
      </c:lineChart>
      <c:dateAx>
        <c:axId val="326010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6011904"/>
        <c:crosses val="autoZero"/>
        <c:auto val="1"/>
        <c:lblOffset val="100"/>
        <c:baseTimeUnit val="days"/>
      </c:dateAx>
      <c:valAx>
        <c:axId val="3260119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26010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1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78912"/>
        <c:axId val="342280448"/>
      </c:lineChart>
      <c:lineChart>
        <c:grouping val="standard"/>
        <c:varyColors val="0"/>
        <c:ser>
          <c:idx val="2"/>
          <c:order val="0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88640"/>
        <c:axId val="342286720"/>
      </c:lineChart>
      <c:dateAx>
        <c:axId val="342278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2280448"/>
        <c:crosses val="autoZero"/>
        <c:auto val="1"/>
        <c:lblOffset val="100"/>
        <c:baseTimeUnit val="days"/>
      </c:dateAx>
      <c:valAx>
        <c:axId val="342280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42278912"/>
        <c:crosses val="autoZero"/>
        <c:crossBetween val="between"/>
      </c:valAx>
      <c:valAx>
        <c:axId val="34228672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2288640"/>
        <c:crosses val="max"/>
        <c:crossBetween val="between"/>
      </c:valAx>
      <c:dateAx>
        <c:axId val="3422886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2286720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57632"/>
        <c:axId val="345159168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71456"/>
        <c:axId val="345161088"/>
      </c:lineChart>
      <c:dateAx>
        <c:axId val="34515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5159168"/>
        <c:crosses val="autoZero"/>
        <c:auto val="1"/>
        <c:lblOffset val="100"/>
        <c:baseTimeUnit val="days"/>
      </c:dateAx>
      <c:valAx>
        <c:axId val="345159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45157632"/>
        <c:crosses val="autoZero"/>
        <c:crossBetween val="between"/>
      </c:valAx>
      <c:valAx>
        <c:axId val="3451610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5171456"/>
        <c:crosses val="max"/>
        <c:crossBetween val="between"/>
      </c:valAx>
      <c:dateAx>
        <c:axId val="3451714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5161088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6"/>
          <c:order val="1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23072"/>
        <c:axId val="348724608"/>
      </c:lineChart>
      <c:dateAx>
        <c:axId val="348723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8724608"/>
        <c:crosses val="autoZero"/>
        <c:auto val="1"/>
        <c:lblOffset val="100"/>
        <c:baseTimeUnit val="days"/>
      </c:dateAx>
      <c:valAx>
        <c:axId val="3487246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48723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62880"/>
        <c:axId val="348764416"/>
      </c:lineChart>
      <c:dateAx>
        <c:axId val="348762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8764416"/>
        <c:crosses val="autoZero"/>
        <c:auto val="1"/>
        <c:lblOffset val="100"/>
        <c:baseTimeUnit val="days"/>
      </c:dateAx>
      <c:valAx>
        <c:axId val="3487644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48762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850624"/>
        <c:axId val="349852416"/>
      </c:lineChart>
      <c:dateAx>
        <c:axId val="349850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9852416"/>
        <c:crosses val="autoZero"/>
        <c:auto val="1"/>
        <c:lblOffset val="100"/>
        <c:baseTimeUnit val="days"/>
      </c:dateAx>
      <c:valAx>
        <c:axId val="3498524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49850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869184"/>
        <c:axId val="349870720"/>
      </c:lineChart>
      <c:dateAx>
        <c:axId val="349869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9870720"/>
        <c:crosses val="autoZero"/>
        <c:auto val="1"/>
        <c:lblOffset val="100"/>
        <c:baseTimeUnit val="days"/>
      </c:dateAx>
      <c:valAx>
        <c:axId val="3498707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49869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011968"/>
        <c:axId val="351013504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025024"/>
        <c:axId val="351023488"/>
      </c:lineChart>
      <c:dateAx>
        <c:axId val="351011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51013504"/>
        <c:crosses val="autoZero"/>
        <c:auto val="1"/>
        <c:lblOffset val="100"/>
        <c:baseTimeUnit val="days"/>
      </c:dateAx>
      <c:valAx>
        <c:axId val="3510135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51011968"/>
        <c:crosses val="autoZero"/>
        <c:crossBetween val="between"/>
      </c:valAx>
      <c:valAx>
        <c:axId val="351023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51025024"/>
        <c:crosses val="max"/>
        <c:crossBetween val="between"/>
      </c:valAx>
      <c:dateAx>
        <c:axId val="3510250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51023488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PoolRefinancible!$K$2</c:f>
              <c:strCache>
                <c:ptCount val="1"/>
                <c:pt idx="0">
                  <c:v>Currnet PMI</c:v>
                </c:pt>
              </c:strCache>
            </c:strRef>
          </c:tx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PoolRefinancible!$K$3:$K$227</c:f>
              <c:numCache>
                <c:formatCode>0%</c:formatCode>
                <c:ptCount val="225"/>
                <c:pt idx="0">
                  <c:v>0.46885641253034299</c:v>
                </c:pt>
                <c:pt idx="1">
                  <c:v>0.484880705000166</c:v>
                </c:pt>
                <c:pt idx="2">
                  <c:v>0.46911247375695397</c:v>
                </c:pt>
                <c:pt idx="3">
                  <c:v>0.46839804028281901</c:v>
                </c:pt>
                <c:pt idx="4">
                  <c:v>0.440398387253014</c:v>
                </c:pt>
                <c:pt idx="5">
                  <c:v>0.40695271820136403</c:v>
                </c:pt>
                <c:pt idx="6">
                  <c:v>0.41797156185356299</c:v>
                </c:pt>
                <c:pt idx="7">
                  <c:v>0.42749088486683401</c:v>
                </c:pt>
                <c:pt idx="8">
                  <c:v>0.43033160357153799</c:v>
                </c:pt>
                <c:pt idx="9">
                  <c:v>0.43030110657149201</c:v>
                </c:pt>
                <c:pt idx="10">
                  <c:v>0.45843967337938502</c:v>
                </c:pt>
                <c:pt idx="11">
                  <c:v>0.44338718423978701</c:v>
                </c:pt>
                <c:pt idx="12">
                  <c:v>0.43034776102532601</c:v>
                </c:pt>
                <c:pt idx="13">
                  <c:v>0.42302014893146</c:v>
                </c:pt>
                <c:pt idx="14">
                  <c:v>0.422913696043141</c:v>
                </c:pt>
                <c:pt idx="15">
                  <c:v>0.43647525585997698</c:v>
                </c:pt>
                <c:pt idx="16">
                  <c:v>0.43694753509709</c:v>
                </c:pt>
                <c:pt idx="17">
                  <c:v>0.447281712887248</c:v>
                </c:pt>
                <c:pt idx="18">
                  <c:v>0.48169103338999603</c:v>
                </c:pt>
                <c:pt idx="19">
                  <c:v>0.48179766411393099</c:v>
                </c:pt>
                <c:pt idx="20">
                  <c:v>0.48194723053828598</c:v>
                </c:pt>
                <c:pt idx="21">
                  <c:v>0.50487266986540702</c:v>
                </c:pt>
                <c:pt idx="22">
                  <c:v>0.52689216322250598</c:v>
                </c:pt>
                <c:pt idx="23">
                  <c:v>0.52686022379811903</c:v>
                </c:pt>
                <c:pt idx="24">
                  <c:v>0.50487266986540702</c:v>
                </c:pt>
                <c:pt idx="25">
                  <c:v>0.52593041582120903</c:v>
                </c:pt>
                <c:pt idx="26">
                  <c:v>0.47454621524908303</c:v>
                </c:pt>
                <c:pt idx="27">
                  <c:v>0.52190457919731803</c:v>
                </c:pt>
                <c:pt idx="28">
                  <c:v>0.50065707260663195</c:v>
                </c:pt>
                <c:pt idx="29">
                  <c:v>0.49688453784682102</c:v>
                </c:pt>
                <c:pt idx="30">
                  <c:v>0.56742832753757799</c:v>
                </c:pt>
                <c:pt idx="31">
                  <c:v>0.66600802275198501</c:v>
                </c:pt>
                <c:pt idx="32">
                  <c:v>0.75450188553023501</c:v>
                </c:pt>
                <c:pt idx="33">
                  <c:v>0.71265891972781104</c:v>
                </c:pt>
                <c:pt idx="34">
                  <c:v>0.70758341766817601</c:v>
                </c:pt>
                <c:pt idx="35">
                  <c:v>0.77195870739625605</c:v>
                </c:pt>
                <c:pt idx="36">
                  <c:v>0.77393677940889705</c:v>
                </c:pt>
                <c:pt idx="37">
                  <c:v>0.77393677940889705</c:v>
                </c:pt>
                <c:pt idx="38">
                  <c:v>0.82508471199231004</c:v>
                </c:pt>
                <c:pt idx="39">
                  <c:v>0.81259352846128097</c:v>
                </c:pt>
                <c:pt idx="40">
                  <c:v>0.73459198246487301</c:v>
                </c:pt>
                <c:pt idx="41">
                  <c:v>0.75489065999645399</c:v>
                </c:pt>
                <c:pt idx="42">
                  <c:v>0.75632978245354299</c:v>
                </c:pt>
                <c:pt idx="43">
                  <c:v>0.79566700230121001</c:v>
                </c:pt>
                <c:pt idx="44">
                  <c:v>0.79568702054103702</c:v>
                </c:pt>
                <c:pt idx="45">
                  <c:v>0.79566700230121001</c:v>
                </c:pt>
                <c:pt idx="46">
                  <c:v>0.79700998806971202</c:v>
                </c:pt>
                <c:pt idx="47">
                  <c:v>0.78198517813851298</c:v>
                </c:pt>
                <c:pt idx="48">
                  <c:v>0.78200436831299003</c:v>
                </c:pt>
                <c:pt idx="49">
                  <c:v>0.78386700001619203</c:v>
                </c:pt>
                <c:pt idx="50">
                  <c:v>0.81520432036593904</c:v>
                </c:pt>
                <c:pt idx="51">
                  <c:v>0.80688676728488795</c:v>
                </c:pt>
                <c:pt idx="52">
                  <c:v>0.79520781124912299</c:v>
                </c:pt>
                <c:pt idx="53">
                  <c:v>0.80606898228656498</c:v>
                </c:pt>
                <c:pt idx="54">
                  <c:v>0.80437633407850995</c:v>
                </c:pt>
                <c:pt idx="55">
                  <c:v>0.77101655382029799</c:v>
                </c:pt>
                <c:pt idx="56">
                  <c:v>0.78569858522023195</c:v>
                </c:pt>
                <c:pt idx="57">
                  <c:v>0.78569858522023195</c:v>
                </c:pt>
                <c:pt idx="58">
                  <c:v>0.78569858522023195</c:v>
                </c:pt>
                <c:pt idx="59">
                  <c:v>0.75212890691069101</c:v>
                </c:pt>
                <c:pt idx="60">
                  <c:v>0.76046432171719602</c:v>
                </c:pt>
                <c:pt idx="61">
                  <c:v>0.769583122656471</c:v>
                </c:pt>
                <c:pt idx="62">
                  <c:v>0.760354139396616</c:v>
                </c:pt>
                <c:pt idx="63">
                  <c:v>0.68235415299983104</c:v>
                </c:pt>
                <c:pt idx="64">
                  <c:v>0.73476761977876004</c:v>
                </c:pt>
                <c:pt idx="65">
                  <c:v>0.73755756512459603</c:v>
                </c:pt>
                <c:pt idx="66">
                  <c:v>0.79074299766476497</c:v>
                </c:pt>
                <c:pt idx="67">
                  <c:v>0.76301875675410702</c:v>
                </c:pt>
                <c:pt idx="68">
                  <c:v>0.79074299766476497</c:v>
                </c:pt>
                <c:pt idx="69">
                  <c:v>0.79110304591011105</c:v>
                </c:pt>
                <c:pt idx="70">
                  <c:v>0.79377197751957995</c:v>
                </c:pt>
                <c:pt idx="71">
                  <c:v>0.819382348373077</c:v>
                </c:pt>
                <c:pt idx="72">
                  <c:v>0.81716837750375204</c:v>
                </c:pt>
                <c:pt idx="73">
                  <c:v>0.82067742647539199</c:v>
                </c:pt>
                <c:pt idx="74">
                  <c:v>0.851826871264451</c:v>
                </c:pt>
                <c:pt idx="75">
                  <c:v>0.83440082254211201</c:v>
                </c:pt>
                <c:pt idx="76">
                  <c:v>0.852507202125939</c:v>
                </c:pt>
                <c:pt idx="77">
                  <c:v>0.852507202125939</c:v>
                </c:pt>
                <c:pt idx="78">
                  <c:v>0.84443285130548495</c:v>
                </c:pt>
                <c:pt idx="79">
                  <c:v>0.87307230305311201</c:v>
                </c:pt>
                <c:pt idx="80">
                  <c:v>0.87588131701956295</c:v>
                </c:pt>
                <c:pt idx="81">
                  <c:v>0.89130274249393204</c:v>
                </c:pt>
                <c:pt idx="82">
                  <c:v>0.85861085726029096</c:v>
                </c:pt>
                <c:pt idx="83">
                  <c:v>0.85851356171529003</c:v>
                </c:pt>
                <c:pt idx="84">
                  <c:v>0.84263939707257096</c:v>
                </c:pt>
                <c:pt idx="85">
                  <c:v>0.82803482113362603</c:v>
                </c:pt>
                <c:pt idx="86">
                  <c:v>0.85851356171529003</c:v>
                </c:pt>
                <c:pt idx="87">
                  <c:v>0.84451763496073995</c:v>
                </c:pt>
                <c:pt idx="88">
                  <c:v>0.84790364930397299</c:v>
                </c:pt>
                <c:pt idx="89">
                  <c:v>0.86619119046951298</c:v>
                </c:pt>
                <c:pt idx="90">
                  <c:v>0.910245503690152</c:v>
                </c:pt>
                <c:pt idx="91">
                  <c:v>0.89290914695732604</c:v>
                </c:pt>
                <c:pt idx="92">
                  <c:v>0.87226850902259401</c:v>
                </c:pt>
                <c:pt idx="93">
                  <c:v>0.89128952685596297</c:v>
                </c:pt>
                <c:pt idx="94">
                  <c:v>0.87104733311356397</c:v>
                </c:pt>
                <c:pt idx="95">
                  <c:v>0.84701078060636004</c:v>
                </c:pt>
                <c:pt idx="96">
                  <c:v>0.84675644186934695</c:v>
                </c:pt>
                <c:pt idx="97">
                  <c:v>0.86832868961091403</c:v>
                </c:pt>
                <c:pt idx="98">
                  <c:v>0.885671898426593</c:v>
                </c:pt>
                <c:pt idx="99">
                  <c:v>0.86831848418102098</c:v>
                </c:pt>
                <c:pt idx="100">
                  <c:v>0.85498076945371704</c:v>
                </c:pt>
                <c:pt idx="101">
                  <c:v>0.87213995657492904</c:v>
                </c:pt>
                <c:pt idx="102">
                  <c:v>0.85356056091635002</c:v>
                </c:pt>
                <c:pt idx="103">
                  <c:v>0.85467378378497705</c:v>
                </c:pt>
                <c:pt idx="104">
                  <c:v>0.836074004884102</c:v>
                </c:pt>
                <c:pt idx="105">
                  <c:v>0.81363065108031496</c:v>
                </c:pt>
                <c:pt idx="106">
                  <c:v>0.83425064960633499</c:v>
                </c:pt>
                <c:pt idx="107">
                  <c:v>0.81192425274368896</c:v>
                </c:pt>
                <c:pt idx="108">
                  <c:v>0.76624395820115998</c:v>
                </c:pt>
                <c:pt idx="109">
                  <c:v>0.74556803951524098</c:v>
                </c:pt>
                <c:pt idx="110">
                  <c:v>0.74556803951524098</c:v>
                </c:pt>
                <c:pt idx="111">
                  <c:v>0.72902118949627903</c:v>
                </c:pt>
                <c:pt idx="112">
                  <c:v>0.74754949703860096</c:v>
                </c:pt>
                <c:pt idx="113">
                  <c:v>0.72577244794763196</c:v>
                </c:pt>
                <c:pt idx="114">
                  <c:v>0.69274472587634806</c:v>
                </c:pt>
                <c:pt idx="115">
                  <c:v>0.72250975757212299</c:v>
                </c:pt>
                <c:pt idx="116">
                  <c:v>0.70629186250718001</c:v>
                </c:pt>
                <c:pt idx="117">
                  <c:v>0.70738390160501996</c:v>
                </c:pt>
                <c:pt idx="118">
                  <c:v>0.73166189405675097</c:v>
                </c:pt>
                <c:pt idx="119">
                  <c:v>0.75618746001711701</c:v>
                </c:pt>
                <c:pt idx="120">
                  <c:v>0.75486678604069102</c:v>
                </c:pt>
                <c:pt idx="121">
                  <c:v>0.771484788579061</c:v>
                </c:pt>
                <c:pt idx="122">
                  <c:v>0.74464419012176697</c:v>
                </c:pt>
                <c:pt idx="123">
                  <c:v>0.71633590828579896</c:v>
                </c:pt>
                <c:pt idx="124">
                  <c:v>0.67870748269177705</c:v>
                </c:pt>
                <c:pt idx="125">
                  <c:v>0.61251731306242996</c:v>
                </c:pt>
                <c:pt idx="126">
                  <c:v>0.57822132602668297</c:v>
                </c:pt>
                <c:pt idx="127">
                  <c:v>0.559460433785407</c:v>
                </c:pt>
                <c:pt idx="128">
                  <c:v>0.55969090716589698</c:v>
                </c:pt>
                <c:pt idx="129">
                  <c:v>0.367888732312324</c:v>
                </c:pt>
                <c:pt idx="130">
                  <c:v>0.44991679314134703</c:v>
                </c:pt>
                <c:pt idx="131">
                  <c:v>0.343565932630295</c:v>
                </c:pt>
                <c:pt idx="132">
                  <c:v>0.42213456893363699</c:v>
                </c:pt>
                <c:pt idx="133">
                  <c:v>0.42257495599278999</c:v>
                </c:pt>
                <c:pt idx="134">
                  <c:v>0.383004460274534</c:v>
                </c:pt>
                <c:pt idx="135">
                  <c:v>0.38279147275356301</c:v>
                </c:pt>
                <c:pt idx="136">
                  <c:v>0.38279147275356301</c:v>
                </c:pt>
                <c:pt idx="137">
                  <c:v>0.32338711550858601</c:v>
                </c:pt>
                <c:pt idx="138">
                  <c:v>0.35369890645833102</c:v>
                </c:pt>
                <c:pt idx="139">
                  <c:v>0.33186163023723098</c:v>
                </c:pt>
                <c:pt idx="140">
                  <c:v>0.31934207014088301</c:v>
                </c:pt>
                <c:pt idx="141">
                  <c:v>0.35010450976329799</c:v>
                </c:pt>
                <c:pt idx="142">
                  <c:v>0.43462730705216701</c:v>
                </c:pt>
                <c:pt idx="143">
                  <c:v>0.45701419816167999</c:v>
                </c:pt>
                <c:pt idx="144">
                  <c:v>0.45674725476883798</c:v>
                </c:pt>
                <c:pt idx="145">
                  <c:v>0.43002867204072798</c:v>
                </c:pt>
                <c:pt idx="146">
                  <c:v>0.473627443383146</c:v>
                </c:pt>
                <c:pt idx="147">
                  <c:v>0.48999705577596903</c:v>
                </c:pt>
                <c:pt idx="148">
                  <c:v>0.46893100954315098</c:v>
                </c:pt>
                <c:pt idx="149">
                  <c:v>0.39912661021989099</c:v>
                </c:pt>
                <c:pt idx="150">
                  <c:v>0.45277671098188799</c:v>
                </c:pt>
                <c:pt idx="151">
                  <c:v>0.42570300756113</c:v>
                </c:pt>
                <c:pt idx="152">
                  <c:v>0.36552450667219999</c:v>
                </c:pt>
                <c:pt idx="153">
                  <c:v>0.36539692843229499</c:v>
                </c:pt>
                <c:pt idx="154">
                  <c:v>0.33464433537542498</c:v>
                </c:pt>
                <c:pt idx="155">
                  <c:v>0.33458344922379002</c:v>
                </c:pt>
                <c:pt idx="156">
                  <c:v>0.31505205634612699</c:v>
                </c:pt>
                <c:pt idx="157">
                  <c:v>0.334027493112526</c:v>
                </c:pt>
                <c:pt idx="158">
                  <c:v>0.36192371081112201</c:v>
                </c:pt>
                <c:pt idx="159">
                  <c:v>0.36226743615738599</c:v>
                </c:pt>
                <c:pt idx="160">
                  <c:v>0.41605972221627302</c:v>
                </c:pt>
                <c:pt idx="161">
                  <c:v>0.439234845957858</c:v>
                </c:pt>
                <c:pt idx="162">
                  <c:v>0.41377930466343998</c:v>
                </c:pt>
                <c:pt idx="163">
                  <c:v>0.38763738178583501</c:v>
                </c:pt>
                <c:pt idx="164">
                  <c:v>0.38707778665425802</c:v>
                </c:pt>
                <c:pt idx="165">
                  <c:v>0.41131556149818799</c:v>
                </c:pt>
                <c:pt idx="166">
                  <c:v>0.38478710266298899</c:v>
                </c:pt>
                <c:pt idx="167">
                  <c:v>0.410587950533847</c:v>
                </c:pt>
                <c:pt idx="168">
                  <c:v>0.38449666572835101</c:v>
                </c:pt>
                <c:pt idx="169">
                  <c:v>0.35767470629269998</c:v>
                </c:pt>
                <c:pt idx="170">
                  <c:v>0.38504831317119298</c:v>
                </c:pt>
                <c:pt idx="171">
                  <c:v>0.41164243172086001</c:v>
                </c:pt>
                <c:pt idx="172">
                  <c:v>0.41092385739423598</c:v>
                </c:pt>
                <c:pt idx="173">
                  <c:v>0.41100158272746001</c:v>
                </c:pt>
                <c:pt idx="174">
                  <c:v>0.45457812646171702</c:v>
                </c:pt>
                <c:pt idx="175">
                  <c:v>0.45459535037724502</c:v>
                </c:pt>
                <c:pt idx="176">
                  <c:v>0.47441483161345099</c:v>
                </c:pt>
                <c:pt idx="177">
                  <c:v>0.47487286011146401</c:v>
                </c:pt>
                <c:pt idx="178">
                  <c:v>0.475595859590284</c:v>
                </c:pt>
                <c:pt idx="179">
                  <c:v>0.45449098513744102</c:v>
                </c:pt>
                <c:pt idx="180">
                  <c:v>0.45535981677361198</c:v>
                </c:pt>
                <c:pt idx="181">
                  <c:v>0.475595859590284</c:v>
                </c:pt>
                <c:pt idx="182">
                  <c:v>0.49785164828491202</c:v>
                </c:pt>
                <c:pt idx="183">
                  <c:v>0.45313476995693502</c:v>
                </c:pt>
                <c:pt idx="184">
                  <c:v>0.47345524330482502</c:v>
                </c:pt>
                <c:pt idx="185">
                  <c:v>0.47345524330482502</c:v>
                </c:pt>
                <c:pt idx="186">
                  <c:v>0.47367267081046699</c:v>
                </c:pt>
                <c:pt idx="187">
                  <c:v>0.44905662805025698</c:v>
                </c:pt>
                <c:pt idx="188">
                  <c:v>0.46961383574146598</c:v>
                </c:pt>
                <c:pt idx="189">
                  <c:v>0.49412020813719998</c:v>
                </c:pt>
                <c:pt idx="190">
                  <c:v>0.49412020813719998</c:v>
                </c:pt>
                <c:pt idx="191">
                  <c:v>0.490645181334884</c:v>
                </c:pt>
                <c:pt idx="192">
                  <c:v>0.490245807372506</c:v>
                </c:pt>
                <c:pt idx="193">
                  <c:v>0.44485844381328299</c:v>
                </c:pt>
                <c:pt idx="194">
                  <c:v>0.44562992385305</c:v>
                </c:pt>
                <c:pt idx="195">
                  <c:v>0.461630793166039</c:v>
                </c:pt>
                <c:pt idx="196">
                  <c:v>0.48583856044097401</c:v>
                </c:pt>
                <c:pt idx="197">
                  <c:v>0.54189899626716298</c:v>
                </c:pt>
                <c:pt idx="198">
                  <c:v>0.56780927639171197</c:v>
                </c:pt>
                <c:pt idx="199">
                  <c:v>0.541842357237176</c:v>
                </c:pt>
                <c:pt idx="200">
                  <c:v>0.508409072340408</c:v>
                </c:pt>
                <c:pt idx="201">
                  <c:v>0.50851555140808302</c:v>
                </c:pt>
                <c:pt idx="202">
                  <c:v>0.53761514525020104</c:v>
                </c:pt>
                <c:pt idx="203">
                  <c:v>0.53775096220647101</c:v>
                </c:pt>
                <c:pt idx="204">
                  <c:v>0.55994808522013495</c:v>
                </c:pt>
                <c:pt idx="205">
                  <c:v>0.55923798077262399</c:v>
                </c:pt>
                <c:pt idx="206">
                  <c:v>0.59158262628997005</c:v>
                </c:pt>
                <c:pt idx="207">
                  <c:v>0.59042721040695001</c:v>
                </c:pt>
                <c:pt idx="208">
                  <c:v>0.55990527677423996</c:v>
                </c:pt>
                <c:pt idx="209">
                  <c:v>0.614335309691869</c:v>
                </c:pt>
                <c:pt idx="210">
                  <c:v>0.66457945448095002</c:v>
                </c:pt>
                <c:pt idx="211">
                  <c:v>0.66484227327937295</c:v>
                </c:pt>
                <c:pt idx="212">
                  <c:v>0.66457945448095002</c:v>
                </c:pt>
                <c:pt idx="213">
                  <c:v>0.66194922130079104</c:v>
                </c:pt>
                <c:pt idx="214">
                  <c:v>0.63758870497027298</c:v>
                </c:pt>
                <c:pt idx="215">
                  <c:v>0.60813217145599097</c:v>
                </c:pt>
                <c:pt idx="216">
                  <c:v>0.58092112302735699</c:v>
                </c:pt>
                <c:pt idx="217">
                  <c:v>0.60172096268720499</c:v>
                </c:pt>
                <c:pt idx="218">
                  <c:v>0.54300415809967995</c:v>
                </c:pt>
                <c:pt idx="219">
                  <c:v>0.601158744048226</c:v>
                </c:pt>
                <c:pt idx="220">
                  <c:v>0.63113120835468395</c:v>
                </c:pt>
                <c:pt idx="221">
                  <c:v>0.62050008500155596</c:v>
                </c:pt>
                <c:pt idx="222">
                  <c:v>0.644780928204296</c:v>
                </c:pt>
                <c:pt idx="223">
                  <c:v>0.62101551120389098</c:v>
                </c:pt>
                <c:pt idx="224">
                  <c:v>0.64530537163066504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47136"/>
        <c:axId val="447948672"/>
      </c:lineChart>
      <c:dateAx>
        <c:axId val="447947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47948672"/>
        <c:crosses val="autoZero"/>
        <c:auto val="1"/>
        <c:lblOffset val="100"/>
        <c:baseTimeUnit val="days"/>
      </c:dateAx>
      <c:valAx>
        <c:axId val="4479486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7947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100288"/>
        <c:axId val="351118464"/>
      </c:lineChart>
      <c:dateAx>
        <c:axId val="351100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51118464"/>
        <c:crosses val="autoZero"/>
        <c:auto val="1"/>
        <c:lblOffset val="100"/>
        <c:baseTimeUnit val="days"/>
      </c:dateAx>
      <c:valAx>
        <c:axId val="3511184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511002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HARPable Universe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'HARPable Universe'!$C$2</c:f>
              <c:strCache>
                <c:ptCount val="1"/>
                <c:pt idx="0">
                  <c:v>Refi Plus</c:v>
                </c:pt>
              </c:strCache>
            </c:strRef>
          </c:tx>
          <c:marker>
            <c:symbol val="none"/>
          </c:marker>
          <c:cat>
            <c:numRef>
              <c:f>'HARPable Universe'!$B$3:$B$227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'HARPable Universe'!$C$3:$C$227</c:f>
              <c:numCache>
                <c:formatCode>0%</c:formatCode>
                <c:ptCount val="225"/>
                <c:pt idx="0">
                  <c:v>0.68934342154794104</c:v>
                </c:pt>
                <c:pt idx="1">
                  <c:v>0.70307643177109502</c:v>
                </c:pt>
                <c:pt idx="2">
                  <c:v>0.68938813329756798</c:v>
                </c:pt>
                <c:pt idx="3">
                  <c:v>0.68933878258023296</c:v>
                </c:pt>
                <c:pt idx="4">
                  <c:v>0.67503887167036103</c:v>
                </c:pt>
                <c:pt idx="5">
                  <c:v>0.62601198303170802</c:v>
                </c:pt>
                <c:pt idx="6">
                  <c:v>0.64635810340061295</c:v>
                </c:pt>
                <c:pt idx="7">
                  <c:v>0.657316480570869</c:v>
                </c:pt>
                <c:pt idx="8">
                  <c:v>0.67062319372880397</c:v>
                </c:pt>
                <c:pt idx="9">
                  <c:v>0.67056643052686704</c:v>
                </c:pt>
                <c:pt idx="10">
                  <c:v>0.69499981858565096</c:v>
                </c:pt>
                <c:pt idx="11">
                  <c:v>0.68107814802781896</c:v>
                </c:pt>
                <c:pt idx="12">
                  <c:v>0.67063539524591398</c:v>
                </c:pt>
                <c:pt idx="13">
                  <c:v>0.667098340408248</c:v>
                </c:pt>
                <c:pt idx="14">
                  <c:v>0.66704040155500299</c:v>
                </c:pt>
                <c:pt idx="15">
                  <c:v>0.67762590916364096</c:v>
                </c:pt>
                <c:pt idx="16">
                  <c:v>0.67764813539017299</c:v>
                </c:pt>
                <c:pt idx="17">
                  <c:v>0.68894669316518398</c:v>
                </c:pt>
                <c:pt idx="18">
                  <c:v>0.71405065373301202</c:v>
                </c:pt>
                <c:pt idx="19">
                  <c:v>0.71407362852576595</c:v>
                </c:pt>
                <c:pt idx="20">
                  <c:v>0.71409882525790402</c:v>
                </c:pt>
                <c:pt idx="21">
                  <c:v>0.72824875176082904</c:v>
                </c:pt>
                <c:pt idx="22">
                  <c:v>0.74506714039606803</c:v>
                </c:pt>
                <c:pt idx="23">
                  <c:v>0.74505340929157504</c:v>
                </c:pt>
                <c:pt idx="24">
                  <c:v>0.72824875176082904</c:v>
                </c:pt>
                <c:pt idx="25">
                  <c:v>0.74479550295308605</c:v>
                </c:pt>
                <c:pt idx="26">
                  <c:v>0.70952144486954205</c:v>
                </c:pt>
                <c:pt idx="27">
                  <c:v>0.74275012081458902</c:v>
                </c:pt>
                <c:pt idx="28">
                  <c:v>0.72609841989856705</c:v>
                </c:pt>
                <c:pt idx="29">
                  <c:v>0.72572799430629997</c:v>
                </c:pt>
                <c:pt idx="30">
                  <c:v>0.77903375194828495</c:v>
                </c:pt>
                <c:pt idx="31">
                  <c:v>0.86382425683094299</c:v>
                </c:pt>
                <c:pt idx="32">
                  <c:v>0.93211944193435403</c:v>
                </c:pt>
                <c:pt idx="33">
                  <c:v>0.89991044673128795</c:v>
                </c:pt>
                <c:pt idx="34">
                  <c:v>0.89921029459495505</c:v>
                </c:pt>
                <c:pt idx="35">
                  <c:v>0.94885867876400498</c:v>
                </c:pt>
                <c:pt idx="36">
                  <c:v>0.948919698883541</c:v>
                </c:pt>
                <c:pt idx="37">
                  <c:v>0.948919698883541</c:v>
                </c:pt>
                <c:pt idx="38">
                  <c:v>0.974512005363524</c:v>
                </c:pt>
                <c:pt idx="39">
                  <c:v>0.97415183550259199</c:v>
                </c:pt>
                <c:pt idx="40">
                  <c:v>0.930833872341434</c:v>
                </c:pt>
                <c:pt idx="41">
                  <c:v>0.948221735508743</c:v>
                </c:pt>
                <c:pt idx="42">
                  <c:v>0.94825133674425999</c:v>
                </c:pt>
                <c:pt idx="43">
                  <c:v>0.97363330958432404</c:v>
                </c:pt>
                <c:pt idx="44">
                  <c:v>0.97363631849321397</c:v>
                </c:pt>
                <c:pt idx="45">
                  <c:v>0.97363330958432404</c:v>
                </c:pt>
                <c:pt idx="46">
                  <c:v>0.97364489082606698</c:v>
                </c:pt>
                <c:pt idx="47">
                  <c:v>0.97319978848678002</c:v>
                </c:pt>
                <c:pt idx="48">
                  <c:v>0.973202121427309</c:v>
                </c:pt>
                <c:pt idx="49">
                  <c:v>0.97322297014224102</c:v>
                </c:pt>
                <c:pt idx="50">
                  <c:v>0.98378393141539</c:v>
                </c:pt>
                <c:pt idx="51">
                  <c:v>0.98374645848449505</c:v>
                </c:pt>
                <c:pt idx="52">
                  <c:v>0.98350298040027295</c:v>
                </c:pt>
                <c:pt idx="53">
                  <c:v>0.983519920596025</c:v>
                </c:pt>
                <c:pt idx="54">
                  <c:v>0.98351461374668603</c:v>
                </c:pt>
                <c:pt idx="55">
                  <c:v>0.97286189980816695</c:v>
                </c:pt>
                <c:pt idx="56">
                  <c:v>0.98329981748947404</c:v>
                </c:pt>
                <c:pt idx="57">
                  <c:v>0.98329981748947404</c:v>
                </c:pt>
                <c:pt idx="58">
                  <c:v>0.98329981748947404</c:v>
                </c:pt>
                <c:pt idx="59">
                  <c:v>0.97253147097901604</c:v>
                </c:pt>
                <c:pt idx="60">
                  <c:v>0.98307098130391601</c:v>
                </c:pt>
                <c:pt idx="61">
                  <c:v>0.98308116533178702</c:v>
                </c:pt>
                <c:pt idx="62">
                  <c:v>0.98304412035651201</c:v>
                </c:pt>
                <c:pt idx="63">
                  <c:v>0.94621671624645198</c:v>
                </c:pt>
                <c:pt idx="64">
                  <c:v>0.97221317553099895</c:v>
                </c:pt>
                <c:pt idx="65">
                  <c:v>0.972659113561122</c:v>
                </c:pt>
                <c:pt idx="66">
                  <c:v>0.98910284855503505</c:v>
                </c:pt>
                <c:pt idx="67">
                  <c:v>0.98328533943875196</c:v>
                </c:pt>
                <c:pt idx="68">
                  <c:v>0.98910284855503505</c:v>
                </c:pt>
                <c:pt idx="69">
                  <c:v>0.98918794291197698</c:v>
                </c:pt>
                <c:pt idx="70">
                  <c:v>0.98919709187808802</c:v>
                </c:pt>
                <c:pt idx="71">
                  <c:v>0.99452879876186695</c:v>
                </c:pt>
                <c:pt idx="72">
                  <c:v>0.994528175384642</c:v>
                </c:pt>
                <c:pt idx="73">
                  <c:v>0.99453076174602095</c:v>
                </c:pt>
                <c:pt idx="74">
                  <c:v>0.99920990822137301</c:v>
                </c:pt>
                <c:pt idx="75">
                  <c:v>0.99750984999361303</c:v>
                </c:pt>
                <c:pt idx="76">
                  <c:v>0.99920990822137301</c:v>
                </c:pt>
                <c:pt idx="77">
                  <c:v>0.99920990822137301</c:v>
                </c:pt>
                <c:pt idx="78">
                  <c:v>0.99921052750741601</c:v>
                </c:pt>
                <c:pt idx="79">
                  <c:v>0.99993082487965101</c:v>
                </c:pt>
                <c:pt idx="80">
                  <c:v>0.99993082487965101</c:v>
                </c:pt>
                <c:pt idx="81">
                  <c:v>0.99994356235953297</c:v>
                </c:pt>
                <c:pt idx="82">
                  <c:v>0.99992850979514003</c:v>
                </c:pt>
                <c:pt idx="83">
                  <c:v>0.99992850979514003</c:v>
                </c:pt>
                <c:pt idx="84">
                  <c:v>0.99991808103115498</c:v>
                </c:pt>
                <c:pt idx="85">
                  <c:v>0.99920283129912302</c:v>
                </c:pt>
                <c:pt idx="86">
                  <c:v>0.99992850979514003</c:v>
                </c:pt>
                <c:pt idx="87">
                  <c:v>0.999925926572371</c:v>
                </c:pt>
                <c:pt idx="88">
                  <c:v>0.999925926572371</c:v>
                </c:pt>
                <c:pt idx="89">
                  <c:v>0.99993925458967703</c:v>
                </c:pt>
                <c:pt idx="90">
                  <c:v>0.999963330930556</c:v>
                </c:pt>
                <c:pt idx="91">
                  <c:v>0.99996184565451895</c:v>
                </c:pt>
                <c:pt idx="92">
                  <c:v>0.99994149110272401</c:v>
                </c:pt>
                <c:pt idx="93">
                  <c:v>0.99996184565451895</c:v>
                </c:pt>
                <c:pt idx="94">
                  <c:v>0.99994149110272401</c:v>
                </c:pt>
                <c:pt idx="95">
                  <c:v>0.99993955387432398</c:v>
                </c:pt>
                <c:pt idx="96">
                  <c:v>0.99993955387432398</c:v>
                </c:pt>
                <c:pt idx="97">
                  <c:v>0.999960116591327</c:v>
                </c:pt>
                <c:pt idx="98">
                  <c:v>0.99997526938915204</c:v>
                </c:pt>
                <c:pt idx="99">
                  <c:v>0.999960116591327</c:v>
                </c:pt>
                <c:pt idx="100">
                  <c:v>0.99995840571303796</c:v>
                </c:pt>
                <c:pt idx="101">
                  <c:v>0.99997421417518995</c:v>
                </c:pt>
                <c:pt idx="102">
                  <c:v>0.99995840571303796</c:v>
                </c:pt>
                <c:pt idx="103">
                  <c:v>0.99995840571303796</c:v>
                </c:pt>
                <c:pt idx="104">
                  <c:v>0.99995690344517796</c:v>
                </c:pt>
                <c:pt idx="105">
                  <c:v>0.99993449558008296</c:v>
                </c:pt>
                <c:pt idx="106">
                  <c:v>0.99995690344517796</c:v>
                </c:pt>
                <c:pt idx="107">
                  <c:v>0.99993449558008296</c:v>
                </c:pt>
                <c:pt idx="108">
                  <c:v>0.99991411771788796</c:v>
                </c:pt>
                <c:pt idx="109">
                  <c:v>0.99991089237320696</c:v>
                </c:pt>
                <c:pt idx="110">
                  <c:v>0.99991089237320696</c:v>
                </c:pt>
                <c:pt idx="111">
                  <c:v>0.99989953187824898</c:v>
                </c:pt>
                <c:pt idx="112">
                  <c:v>0.99991089237320696</c:v>
                </c:pt>
                <c:pt idx="113">
                  <c:v>0.99990931344518297</c:v>
                </c:pt>
                <c:pt idx="114">
                  <c:v>0.99915802709531398</c:v>
                </c:pt>
                <c:pt idx="115">
                  <c:v>0.99990931344518297</c:v>
                </c:pt>
                <c:pt idx="116">
                  <c:v>0.999897251404256</c:v>
                </c:pt>
                <c:pt idx="117">
                  <c:v>0.99990366179078405</c:v>
                </c:pt>
                <c:pt idx="118">
                  <c:v>0.99991982126825196</c:v>
                </c:pt>
                <c:pt idx="119">
                  <c:v>0.99992797902387898</c:v>
                </c:pt>
                <c:pt idx="120">
                  <c:v>0.99992797902387898</c:v>
                </c:pt>
                <c:pt idx="121">
                  <c:v>0.9999571303068</c:v>
                </c:pt>
                <c:pt idx="122">
                  <c:v>0.999926355664575</c:v>
                </c:pt>
                <c:pt idx="123">
                  <c:v>0.99991596688144602</c:v>
                </c:pt>
                <c:pt idx="124">
                  <c:v>0.999891003765222</c:v>
                </c:pt>
                <c:pt idx="125">
                  <c:v>0.98959937329126002</c:v>
                </c:pt>
                <c:pt idx="126">
                  <c:v>0.98319620204482405</c:v>
                </c:pt>
                <c:pt idx="127">
                  <c:v>0.97483509520421197</c:v>
                </c:pt>
                <c:pt idx="128">
                  <c:v>0.974845105001512</c:v>
                </c:pt>
                <c:pt idx="129">
                  <c:v>0.75861637191260001</c:v>
                </c:pt>
                <c:pt idx="130">
                  <c:v>0.87464281994842097</c:v>
                </c:pt>
                <c:pt idx="131">
                  <c:v>0.73939644380791003</c:v>
                </c:pt>
                <c:pt idx="132">
                  <c:v>0.83595927197837805</c:v>
                </c:pt>
                <c:pt idx="133">
                  <c:v>0.83620473842721499</c:v>
                </c:pt>
                <c:pt idx="134">
                  <c:v>0.79246254673167404</c:v>
                </c:pt>
                <c:pt idx="135">
                  <c:v>0.792438207756055</c:v>
                </c:pt>
                <c:pt idx="136">
                  <c:v>0.792438207756055</c:v>
                </c:pt>
                <c:pt idx="137">
                  <c:v>0.72293605511047399</c:v>
                </c:pt>
                <c:pt idx="138">
                  <c:v>0.75618136859207497</c:v>
                </c:pt>
                <c:pt idx="139">
                  <c:v>0.73241928482112195</c:v>
                </c:pt>
                <c:pt idx="140">
                  <c:v>0.71851650648965204</c:v>
                </c:pt>
                <c:pt idx="141">
                  <c:v>0.75283799652968897</c:v>
                </c:pt>
                <c:pt idx="142">
                  <c:v>0.87216740152542305</c:v>
                </c:pt>
                <c:pt idx="143">
                  <c:v>0.91006704896642798</c:v>
                </c:pt>
                <c:pt idx="144">
                  <c:v>0.91000379323017</c:v>
                </c:pt>
                <c:pt idx="145">
                  <c:v>0.87030379941598801</c:v>
                </c:pt>
                <c:pt idx="146">
                  <c:v>0.92948151561270798</c:v>
                </c:pt>
                <c:pt idx="147">
                  <c:v>0.946371224192602</c:v>
                </c:pt>
                <c:pt idx="148">
                  <c:v>0.92862600348226998</c:v>
                </c:pt>
                <c:pt idx="149">
                  <c:v>0.82764760393529802</c:v>
                </c:pt>
                <c:pt idx="150">
                  <c:v>0.90867076242729805</c:v>
                </c:pt>
                <c:pt idx="151">
                  <c:v>0.868879336155854</c:v>
                </c:pt>
                <c:pt idx="152">
                  <c:v>0.78150994044042599</c:v>
                </c:pt>
                <c:pt idx="153">
                  <c:v>0.78142626283674099</c:v>
                </c:pt>
                <c:pt idx="154">
                  <c:v>0.74080880570196705</c:v>
                </c:pt>
                <c:pt idx="155">
                  <c:v>0.74072304288786295</c:v>
                </c:pt>
                <c:pt idx="156">
                  <c:v>0.71573440369395702</c:v>
                </c:pt>
                <c:pt idx="157">
                  <c:v>0.737862180577046</c:v>
                </c:pt>
                <c:pt idx="158">
                  <c:v>0.77881660913151596</c:v>
                </c:pt>
                <c:pt idx="159">
                  <c:v>0.77893724315267199</c:v>
                </c:pt>
                <c:pt idx="160">
                  <c:v>0.86531452225895999</c:v>
                </c:pt>
                <c:pt idx="161">
                  <c:v>0.904840601248314</c:v>
                </c:pt>
                <c:pt idx="162">
                  <c:v>0.86420449138465305</c:v>
                </c:pt>
                <c:pt idx="163">
                  <c:v>0.82103225324176798</c:v>
                </c:pt>
                <c:pt idx="164">
                  <c:v>0.82077124571501203</c:v>
                </c:pt>
                <c:pt idx="165">
                  <c:v>0.86296973588403203</c:v>
                </c:pt>
                <c:pt idx="166">
                  <c:v>0.81906765211778298</c:v>
                </c:pt>
                <c:pt idx="167">
                  <c:v>0.86286183686691498</c:v>
                </c:pt>
                <c:pt idx="168">
                  <c:v>0.81889916283087805</c:v>
                </c:pt>
                <c:pt idx="169">
                  <c:v>0.77382163087992895</c:v>
                </c:pt>
                <c:pt idx="170">
                  <c:v>0.81929535733400805</c:v>
                </c:pt>
                <c:pt idx="171">
                  <c:v>0.86307390731589495</c:v>
                </c:pt>
                <c:pt idx="172">
                  <c:v>0.862883144079441</c:v>
                </c:pt>
                <c:pt idx="173">
                  <c:v>0.86338218182302096</c:v>
                </c:pt>
                <c:pt idx="174">
                  <c:v>0.92469964057410103</c:v>
                </c:pt>
                <c:pt idx="175">
                  <c:v>0.92471213874485103</c:v>
                </c:pt>
                <c:pt idx="176">
                  <c:v>0.942170788335981</c:v>
                </c:pt>
                <c:pt idx="177">
                  <c:v>0.94220364207853702</c:v>
                </c:pt>
                <c:pt idx="178">
                  <c:v>0.94191255638832705</c:v>
                </c:pt>
                <c:pt idx="179">
                  <c:v>0.924708662683428</c:v>
                </c:pt>
                <c:pt idx="180">
                  <c:v>0.92478797041361505</c:v>
                </c:pt>
                <c:pt idx="181">
                  <c:v>0.94191255638832705</c:v>
                </c:pt>
                <c:pt idx="182">
                  <c:v>0.95933486163638704</c:v>
                </c:pt>
                <c:pt idx="183">
                  <c:v>0.92435732512698199</c:v>
                </c:pt>
                <c:pt idx="184">
                  <c:v>0.94140193159732499</c:v>
                </c:pt>
                <c:pt idx="185">
                  <c:v>0.94140193159732499</c:v>
                </c:pt>
                <c:pt idx="186">
                  <c:v>0.94141649683931705</c:v>
                </c:pt>
                <c:pt idx="187">
                  <c:v>0.92406873351741203</c:v>
                </c:pt>
                <c:pt idx="188">
                  <c:v>0.94091871934431903</c:v>
                </c:pt>
                <c:pt idx="189">
                  <c:v>0.95930523734958395</c:v>
                </c:pt>
                <c:pt idx="190">
                  <c:v>0.95930523734958395</c:v>
                </c:pt>
                <c:pt idx="191">
                  <c:v>0.959184322523427</c:v>
                </c:pt>
                <c:pt idx="192">
                  <c:v>0.95904395158926303</c:v>
                </c:pt>
                <c:pt idx="193">
                  <c:v>0.92367592231458095</c:v>
                </c:pt>
                <c:pt idx="194">
                  <c:v>0.92375754000891097</c:v>
                </c:pt>
                <c:pt idx="195">
                  <c:v>0.939877910552257</c:v>
                </c:pt>
                <c:pt idx="196">
                  <c:v>0.95870597013426595</c:v>
                </c:pt>
                <c:pt idx="197">
                  <c:v>0.98146689029705902</c:v>
                </c:pt>
                <c:pt idx="198">
                  <c:v>0.98818151288594802</c:v>
                </c:pt>
                <c:pt idx="199">
                  <c:v>0.98146296312210002</c:v>
                </c:pt>
                <c:pt idx="200">
                  <c:v>0.97081970689119501</c:v>
                </c:pt>
                <c:pt idx="201">
                  <c:v>0.97082427955975303</c:v>
                </c:pt>
                <c:pt idx="202">
                  <c:v>0.98114317383489702</c:v>
                </c:pt>
                <c:pt idx="203">
                  <c:v>0.98115309471965295</c:v>
                </c:pt>
                <c:pt idx="204">
                  <c:v>0.98784281177175604</c:v>
                </c:pt>
                <c:pt idx="205">
                  <c:v>0.98783408332259803</c:v>
                </c:pt>
                <c:pt idx="206">
                  <c:v>0.99479182701672098</c:v>
                </c:pt>
                <c:pt idx="207">
                  <c:v>0.99479023677626099</c:v>
                </c:pt>
                <c:pt idx="208">
                  <c:v>0.98784159692108897</c:v>
                </c:pt>
                <c:pt idx="209">
                  <c:v>0.99863696366528298</c:v>
                </c:pt>
                <c:pt idx="210">
                  <c:v>0.99972875942488504</c:v>
                </c:pt>
                <c:pt idx="211">
                  <c:v>0.99972875942488504</c:v>
                </c:pt>
                <c:pt idx="212">
                  <c:v>0.99972875942488504</c:v>
                </c:pt>
                <c:pt idx="213">
                  <c:v>0.99972493862629996</c:v>
                </c:pt>
                <c:pt idx="214">
                  <c:v>0.99902094218210002</c:v>
                </c:pt>
                <c:pt idx="215">
                  <c:v>0.99863084569716998</c:v>
                </c:pt>
                <c:pt idx="216">
                  <c:v>0.99472881095047105</c:v>
                </c:pt>
                <c:pt idx="217">
                  <c:v>0.99843910380784895</c:v>
                </c:pt>
                <c:pt idx="218">
                  <c:v>0.98728276128744996</c:v>
                </c:pt>
                <c:pt idx="219">
                  <c:v>0.99843910380784895</c:v>
                </c:pt>
                <c:pt idx="220">
                  <c:v>0.99887607034173698</c:v>
                </c:pt>
                <c:pt idx="221">
                  <c:v>0.99885910901552399</c:v>
                </c:pt>
                <c:pt idx="222">
                  <c:v>0.99960994368004696</c:v>
                </c:pt>
                <c:pt idx="223">
                  <c:v>0.99885981007337399</c:v>
                </c:pt>
                <c:pt idx="224">
                  <c:v>0.99960994368004696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'HARPable Universe'!$D$2</c:f>
              <c:strCache>
                <c:ptCount val="1"/>
                <c:pt idx="0">
                  <c:v>Regular</c:v>
                </c:pt>
              </c:strCache>
            </c:strRef>
          </c:tx>
          <c:marker>
            <c:symbol val="none"/>
          </c:marker>
          <c:cat>
            <c:numRef>
              <c:f>'HARPable Universe'!$B$3:$B$227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'HARPable Universe'!$D$3:$D$227</c:f>
              <c:numCache>
                <c:formatCode>0%</c:formatCode>
                <c:ptCount val="225"/>
                <c:pt idx="0">
                  <c:v>0.32204130779229101</c:v>
                </c:pt>
                <c:pt idx="1">
                  <c:v>0.33944259689377898</c:v>
                </c:pt>
                <c:pt idx="2">
                  <c:v>0.32792342987711598</c:v>
                </c:pt>
                <c:pt idx="3">
                  <c:v>0.32039053977925802</c:v>
                </c:pt>
                <c:pt idx="4">
                  <c:v>0.295596785601205</c:v>
                </c:pt>
                <c:pt idx="5">
                  <c:v>0.234840435700295</c:v>
                </c:pt>
                <c:pt idx="6">
                  <c:v>0.25513974378513499</c:v>
                </c:pt>
                <c:pt idx="7">
                  <c:v>0.27027204570239999</c:v>
                </c:pt>
                <c:pt idx="8">
                  <c:v>0.27618659696598702</c:v>
                </c:pt>
                <c:pt idx="9">
                  <c:v>0.27593598906514399</c:v>
                </c:pt>
                <c:pt idx="10">
                  <c:v>0.30794837748269599</c:v>
                </c:pt>
                <c:pt idx="11">
                  <c:v>0.29055412632630701</c:v>
                </c:pt>
                <c:pt idx="12">
                  <c:v>0.276215339287747</c:v>
                </c:pt>
                <c:pt idx="13">
                  <c:v>0.28032672938051101</c:v>
                </c:pt>
                <c:pt idx="14">
                  <c:v>0.27639565795825799</c:v>
                </c:pt>
                <c:pt idx="15">
                  <c:v>0.29489367773778902</c:v>
                </c:pt>
                <c:pt idx="16">
                  <c:v>0.30100380523127301</c:v>
                </c:pt>
                <c:pt idx="17">
                  <c:v>0.32414763510163902</c:v>
                </c:pt>
                <c:pt idx="18">
                  <c:v>0.35120080584396202</c:v>
                </c:pt>
                <c:pt idx="19">
                  <c:v>0.35171549347634701</c:v>
                </c:pt>
                <c:pt idx="20">
                  <c:v>0.35587573298129699</c:v>
                </c:pt>
                <c:pt idx="21">
                  <c:v>0.384751810944437</c:v>
                </c:pt>
                <c:pt idx="22">
                  <c:v>0.40107831488719298</c:v>
                </c:pt>
                <c:pt idx="23">
                  <c:v>0.401048271232536</c:v>
                </c:pt>
                <c:pt idx="24">
                  <c:v>0.384751810944437</c:v>
                </c:pt>
                <c:pt idx="25">
                  <c:v>0.40017737051204799</c:v>
                </c:pt>
                <c:pt idx="26">
                  <c:v>0.36468183111139002</c:v>
                </c:pt>
                <c:pt idx="27">
                  <c:v>0.40333930019983799</c:v>
                </c:pt>
                <c:pt idx="28">
                  <c:v>0.38775372661303198</c:v>
                </c:pt>
                <c:pt idx="29">
                  <c:v>0.38003243735001302</c:v>
                </c:pt>
                <c:pt idx="30">
                  <c:v>0.44778093064805002</c:v>
                </c:pt>
                <c:pt idx="31">
                  <c:v>0.52006535712284097</c:v>
                </c:pt>
                <c:pt idx="32">
                  <c:v>0.58768687513124296</c:v>
                </c:pt>
                <c:pt idx="33">
                  <c:v>0.55816631773039305</c:v>
                </c:pt>
                <c:pt idx="34">
                  <c:v>0.56195750140436296</c:v>
                </c:pt>
                <c:pt idx="35">
                  <c:v>0.60700793412000198</c:v>
                </c:pt>
                <c:pt idx="36">
                  <c:v>0.61032822604557502</c:v>
                </c:pt>
                <c:pt idx="37">
                  <c:v>0.61032822604557502</c:v>
                </c:pt>
                <c:pt idx="38">
                  <c:v>0.64853433410786498</c:v>
                </c:pt>
                <c:pt idx="39">
                  <c:v>0.645956259094282</c:v>
                </c:pt>
                <c:pt idx="40">
                  <c:v>0.58447873508666104</c:v>
                </c:pt>
                <c:pt idx="41">
                  <c:v>0.59657753136731795</c:v>
                </c:pt>
                <c:pt idx="42">
                  <c:v>0.59967366222938401</c:v>
                </c:pt>
                <c:pt idx="43">
                  <c:v>0.63426200382067699</c:v>
                </c:pt>
                <c:pt idx="44">
                  <c:v>0.63427711234699902</c:v>
                </c:pt>
                <c:pt idx="45">
                  <c:v>0.63426200382067699</c:v>
                </c:pt>
                <c:pt idx="46">
                  <c:v>0.635648130355292</c:v>
                </c:pt>
                <c:pt idx="47">
                  <c:v>0.62458539335419805</c:v>
                </c:pt>
                <c:pt idx="48">
                  <c:v>0.62459894340621602</c:v>
                </c:pt>
                <c:pt idx="49">
                  <c:v>0.62737303113999399</c:v>
                </c:pt>
                <c:pt idx="50">
                  <c:v>0.64767108993784595</c:v>
                </c:pt>
                <c:pt idx="51">
                  <c:v>0.63728428479421295</c:v>
                </c:pt>
                <c:pt idx="52">
                  <c:v>0.63473367433484096</c:v>
                </c:pt>
                <c:pt idx="53">
                  <c:v>0.64586810672947803</c:v>
                </c:pt>
                <c:pt idx="54">
                  <c:v>0.64423993013390601</c:v>
                </c:pt>
                <c:pt idx="55">
                  <c:v>0.62201051152227504</c:v>
                </c:pt>
                <c:pt idx="56">
                  <c:v>0.64005936276544695</c:v>
                </c:pt>
                <c:pt idx="57">
                  <c:v>0.64005936276544695</c:v>
                </c:pt>
                <c:pt idx="58">
                  <c:v>0.64005936276544695</c:v>
                </c:pt>
                <c:pt idx="59">
                  <c:v>0.61808643863248902</c:v>
                </c:pt>
                <c:pt idx="60">
                  <c:v>0.62796244692019199</c:v>
                </c:pt>
                <c:pt idx="61">
                  <c:v>0.63624058874854394</c:v>
                </c:pt>
                <c:pt idx="62">
                  <c:v>0.62572384062849695</c:v>
                </c:pt>
                <c:pt idx="63">
                  <c:v>0.57002458854182303</c:v>
                </c:pt>
                <c:pt idx="64">
                  <c:v>0.613026013245069</c:v>
                </c:pt>
                <c:pt idx="65">
                  <c:v>0.64462607137328098</c:v>
                </c:pt>
                <c:pt idx="66">
                  <c:v>0.67706909583525099</c:v>
                </c:pt>
                <c:pt idx="67">
                  <c:v>0.65838549683501602</c:v>
                </c:pt>
                <c:pt idx="68">
                  <c:v>0.67706909583525099</c:v>
                </c:pt>
                <c:pt idx="69">
                  <c:v>0.70759479979039797</c:v>
                </c:pt>
                <c:pt idx="70">
                  <c:v>0.71147773162473305</c:v>
                </c:pt>
                <c:pt idx="71">
                  <c:v>0.72048705417655701</c:v>
                </c:pt>
                <c:pt idx="72">
                  <c:v>0.71747083126455002</c:v>
                </c:pt>
                <c:pt idx="73">
                  <c:v>0.72251040855348803</c:v>
                </c:pt>
                <c:pt idx="74">
                  <c:v>0.76469548566159196</c:v>
                </c:pt>
                <c:pt idx="75">
                  <c:v>0.75970865346687</c:v>
                </c:pt>
                <c:pt idx="76">
                  <c:v>0.76601871584032599</c:v>
                </c:pt>
                <c:pt idx="77">
                  <c:v>0.76601871584032599</c:v>
                </c:pt>
                <c:pt idx="78">
                  <c:v>0.77656524470940902</c:v>
                </c:pt>
                <c:pt idx="79">
                  <c:v>0.78357818362172504</c:v>
                </c:pt>
                <c:pt idx="80">
                  <c:v>0.78680943760229805</c:v>
                </c:pt>
                <c:pt idx="81">
                  <c:v>0.78926724871332199</c:v>
                </c:pt>
                <c:pt idx="82">
                  <c:v>0.79167204155684201</c:v>
                </c:pt>
                <c:pt idx="83">
                  <c:v>0.79119157211259705</c:v>
                </c:pt>
                <c:pt idx="84">
                  <c:v>0.78981685075272301</c:v>
                </c:pt>
                <c:pt idx="85">
                  <c:v>0.78342241627971398</c:v>
                </c:pt>
                <c:pt idx="86">
                  <c:v>0.79119157211259705</c:v>
                </c:pt>
                <c:pt idx="87">
                  <c:v>0.79869244722997501</c:v>
                </c:pt>
                <c:pt idx="88">
                  <c:v>0.80125181967528103</c:v>
                </c:pt>
                <c:pt idx="89">
                  <c:v>0.80486189051620305</c:v>
                </c:pt>
                <c:pt idx="90">
                  <c:v>0.80926691142062801</c:v>
                </c:pt>
                <c:pt idx="91">
                  <c:v>0.81286201159837101</c:v>
                </c:pt>
                <c:pt idx="92">
                  <c:v>0.81023413562504598</c:v>
                </c:pt>
                <c:pt idx="93">
                  <c:v>0.81175268314445304</c:v>
                </c:pt>
                <c:pt idx="94">
                  <c:v>0.809839941502147</c:v>
                </c:pt>
                <c:pt idx="95">
                  <c:v>0.81305878798935505</c:v>
                </c:pt>
                <c:pt idx="96">
                  <c:v>0.812945122249775</c:v>
                </c:pt>
                <c:pt idx="97">
                  <c:v>0.81568730147186896</c:v>
                </c:pt>
                <c:pt idx="98">
                  <c:v>0.81619201070139402</c:v>
                </c:pt>
                <c:pt idx="99">
                  <c:v>0.81567965422119304</c:v>
                </c:pt>
                <c:pt idx="100">
                  <c:v>0.81785115811029996</c:v>
                </c:pt>
                <c:pt idx="101">
                  <c:v>0.81814457584000999</c:v>
                </c:pt>
                <c:pt idx="102">
                  <c:v>0.81674451148550797</c:v>
                </c:pt>
                <c:pt idx="103">
                  <c:v>0.81764309369800603</c:v>
                </c:pt>
                <c:pt idx="104">
                  <c:v>0.82341532975696197</c:v>
                </c:pt>
                <c:pt idx="105">
                  <c:v>0.82080020350731497</c:v>
                </c:pt>
                <c:pt idx="106">
                  <c:v>0.82149229359926401</c:v>
                </c:pt>
                <c:pt idx="107">
                  <c:v>0.81986111028491404</c:v>
                </c:pt>
                <c:pt idx="108">
                  <c:v>0.81478312271985798</c:v>
                </c:pt>
                <c:pt idx="109">
                  <c:v>0.81882809099579801</c:v>
                </c:pt>
                <c:pt idx="110">
                  <c:v>0.81882809099579801</c:v>
                </c:pt>
                <c:pt idx="111">
                  <c:v>0.81745206005968196</c:v>
                </c:pt>
                <c:pt idx="112">
                  <c:v>0.82073842590296597</c:v>
                </c:pt>
                <c:pt idx="113">
                  <c:v>0.82850307416378899</c:v>
                </c:pt>
                <c:pt idx="114">
                  <c:v>0.82003372097846405</c:v>
                </c:pt>
                <c:pt idx="115">
                  <c:v>0.82553780316113101</c:v>
                </c:pt>
                <c:pt idx="116">
                  <c:v>0.82472458395839399</c:v>
                </c:pt>
                <c:pt idx="117">
                  <c:v>0.84328555765855695</c:v>
                </c:pt>
                <c:pt idx="118">
                  <c:v>0.84878046306266597</c:v>
                </c:pt>
                <c:pt idx="119">
                  <c:v>0.85066430465365805</c:v>
                </c:pt>
                <c:pt idx="120">
                  <c:v>0.84953189700775</c:v>
                </c:pt>
                <c:pt idx="121">
                  <c:v>0.86809283690983496</c:v>
                </c:pt>
                <c:pt idx="122">
                  <c:v>0.86549923979029997</c:v>
                </c:pt>
                <c:pt idx="123">
                  <c:v>0.86263586497337696</c:v>
                </c:pt>
                <c:pt idx="124">
                  <c:v>0.85860250393135296</c:v>
                </c:pt>
                <c:pt idx="125">
                  <c:v>0.83247184789062301</c:v>
                </c:pt>
                <c:pt idx="126">
                  <c:v>0.83759474015632596</c:v>
                </c:pt>
                <c:pt idx="127">
                  <c:v>0.823700334554193</c:v>
                </c:pt>
                <c:pt idx="128">
                  <c:v>0.82432391546961303</c:v>
                </c:pt>
                <c:pt idx="129">
                  <c:v>0.58169167101166497</c:v>
                </c:pt>
                <c:pt idx="130">
                  <c:v>0.71619679638174105</c:v>
                </c:pt>
                <c:pt idx="131">
                  <c:v>0.56754957680996199</c:v>
                </c:pt>
                <c:pt idx="132">
                  <c:v>0.674456067653048</c:v>
                </c:pt>
                <c:pt idx="133">
                  <c:v>0.67655434294099503</c:v>
                </c:pt>
                <c:pt idx="134">
                  <c:v>0.64055597334900805</c:v>
                </c:pt>
                <c:pt idx="135">
                  <c:v>0.64029309309363502</c:v>
                </c:pt>
                <c:pt idx="136">
                  <c:v>0.64029309309363502</c:v>
                </c:pt>
                <c:pt idx="137">
                  <c:v>0.55236674392539098</c:v>
                </c:pt>
                <c:pt idx="138">
                  <c:v>0.59640056248304896</c:v>
                </c:pt>
                <c:pt idx="139">
                  <c:v>0.57522237437054402</c:v>
                </c:pt>
                <c:pt idx="140">
                  <c:v>0.55927995080584203</c:v>
                </c:pt>
                <c:pt idx="141">
                  <c:v>0.60260582931028095</c:v>
                </c:pt>
                <c:pt idx="142">
                  <c:v>0.72850837742778696</c:v>
                </c:pt>
                <c:pt idx="143">
                  <c:v>0.769426288466591</c:v>
                </c:pt>
                <c:pt idx="144">
                  <c:v>0.76833211087653297</c:v>
                </c:pt>
                <c:pt idx="145">
                  <c:v>0.732195057450439</c:v>
                </c:pt>
                <c:pt idx="146">
                  <c:v>0.79336710567798696</c:v>
                </c:pt>
                <c:pt idx="147">
                  <c:v>0.81149174558591197</c:v>
                </c:pt>
                <c:pt idx="148">
                  <c:v>0.79173406072518504</c:v>
                </c:pt>
                <c:pt idx="149">
                  <c:v>0.68857017211934701</c:v>
                </c:pt>
                <c:pt idx="150">
                  <c:v>0.76948544283018205</c:v>
                </c:pt>
                <c:pt idx="151">
                  <c:v>0.73153515943713499</c:v>
                </c:pt>
                <c:pt idx="152">
                  <c:v>0.64271311842684598</c:v>
                </c:pt>
                <c:pt idx="153">
                  <c:v>0.64127080834763694</c:v>
                </c:pt>
                <c:pt idx="154">
                  <c:v>0.58358220441457098</c:v>
                </c:pt>
                <c:pt idx="155">
                  <c:v>0.57997892806395601</c:v>
                </c:pt>
                <c:pt idx="156">
                  <c:v>0.555096534677191</c:v>
                </c:pt>
                <c:pt idx="157">
                  <c:v>0.59351739235175405</c:v>
                </c:pt>
                <c:pt idx="158">
                  <c:v>0.640010525508934</c:v>
                </c:pt>
                <c:pt idx="159">
                  <c:v>0.641007859456873</c:v>
                </c:pt>
                <c:pt idx="160">
                  <c:v>0.72590930220267003</c:v>
                </c:pt>
                <c:pt idx="161">
                  <c:v>0.76715832931317196</c:v>
                </c:pt>
                <c:pt idx="162">
                  <c:v>0.73079513071076196</c:v>
                </c:pt>
                <c:pt idx="163">
                  <c:v>0.68632933440003197</c:v>
                </c:pt>
                <c:pt idx="164">
                  <c:v>0.684442361485053</c:v>
                </c:pt>
                <c:pt idx="165">
                  <c:v>0.73198493777118001</c:v>
                </c:pt>
                <c:pt idx="166">
                  <c:v>0.68652732115680604</c:v>
                </c:pt>
                <c:pt idx="167">
                  <c:v>0.73018796633644001</c:v>
                </c:pt>
                <c:pt idx="168">
                  <c:v>0.68450438143886005</c:v>
                </c:pt>
                <c:pt idx="169">
                  <c:v>0.65157328022433403</c:v>
                </c:pt>
                <c:pt idx="170">
                  <c:v>0.69782122652957301</c:v>
                </c:pt>
                <c:pt idx="171">
                  <c:v>0.74322583937257003</c:v>
                </c:pt>
                <c:pt idx="172">
                  <c:v>0.741465269880487</c:v>
                </c:pt>
                <c:pt idx="173">
                  <c:v>0.75311294857435296</c:v>
                </c:pt>
                <c:pt idx="174">
                  <c:v>0.81447465128368302</c:v>
                </c:pt>
                <c:pt idx="175">
                  <c:v>0.81448915279691303</c:v>
                </c:pt>
                <c:pt idx="176">
                  <c:v>0.83369685729657195</c:v>
                </c:pt>
                <c:pt idx="177">
                  <c:v>0.83441070814585505</c:v>
                </c:pt>
                <c:pt idx="178">
                  <c:v>0.84407077334338998</c:v>
                </c:pt>
                <c:pt idx="179">
                  <c:v>0.824454253938531</c:v>
                </c:pt>
                <c:pt idx="180">
                  <c:v>0.82589246523279602</c:v>
                </c:pt>
                <c:pt idx="181">
                  <c:v>0.84407077334338998</c:v>
                </c:pt>
                <c:pt idx="182">
                  <c:v>0.86674293264243896</c:v>
                </c:pt>
                <c:pt idx="183">
                  <c:v>0.82890227253426596</c:v>
                </c:pt>
                <c:pt idx="184">
                  <c:v>0.84648587198714098</c:v>
                </c:pt>
                <c:pt idx="185">
                  <c:v>0.84648587198714098</c:v>
                </c:pt>
                <c:pt idx="186">
                  <c:v>0.84693805880599304</c:v>
                </c:pt>
                <c:pt idx="187">
                  <c:v>0.83214930029007805</c:v>
                </c:pt>
                <c:pt idx="188">
                  <c:v>0.84983360370315197</c:v>
                </c:pt>
                <c:pt idx="189">
                  <c:v>0.87098339925649604</c:v>
                </c:pt>
                <c:pt idx="190">
                  <c:v>0.87098339925649604</c:v>
                </c:pt>
                <c:pt idx="191">
                  <c:v>0.87380583264278999</c:v>
                </c:pt>
                <c:pt idx="192">
                  <c:v>0.87282316645630098</c:v>
                </c:pt>
                <c:pt idx="193">
                  <c:v>0.83339683915826901</c:v>
                </c:pt>
                <c:pt idx="194">
                  <c:v>0.83469677777951401</c:v>
                </c:pt>
                <c:pt idx="195">
                  <c:v>0.85275490992422898</c:v>
                </c:pt>
                <c:pt idx="196">
                  <c:v>0.87407306805923601</c:v>
                </c:pt>
                <c:pt idx="197">
                  <c:v>0.90427695834799704</c:v>
                </c:pt>
                <c:pt idx="198">
                  <c:v>0.91415871688142003</c:v>
                </c:pt>
                <c:pt idx="199">
                  <c:v>0.90425801000292305</c:v>
                </c:pt>
                <c:pt idx="200">
                  <c:v>0.89330807391308997</c:v>
                </c:pt>
                <c:pt idx="201">
                  <c:v>0.89333391711787102</c:v>
                </c:pt>
                <c:pt idx="202">
                  <c:v>0.905011241503064</c:v>
                </c:pt>
                <c:pt idx="203">
                  <c:v>0.90562471296629599</c:v>
                </c:pt>
                <c:pt idx="204">
                  <c:v>0.91738283856560698</c:v>
                </c:pt>
                <c:pt idx="205">
                  <c:v>0.91630211530110295</c:v>
                </c:pt>
                <c:pt idx="206">
                  <c:v>0.92646419287507198</c:v>
                </c:pt>
                <c:pt idx="207">
                  <c:v>0.92571360320613905</c:v>
                </c:pt>
                <c:pt idx="208">
                  <c:v>0.91736458306846103</c:v>
                </c:pt>
                <c:pt idx="209">
                  <c:v>0.93802679486435903</c:v>
                </c:pt>
                <c:pt idx="210">
                  <c:v>0.94118254536371704</c:v>
                </c:pt>
                <c:pt idx="211">
                  <c:v>0.94123508910533804</c:v>
                </c:pt>
                <c:pt idx="212">
                  <c:v>0.94118254536371704</c:v>
                </c:pt>
                <c:pt idx="213">
                  <c:v>0.94276245790638102</c:v>
                </c:pt>
                <c:pt idx="214">
                  <c:v>0.94029174019523298</c:v>
                </c:pt>
                <c:pt idx="215">
                  <c:v>0.93829546422584498</c:v>
                </c:pt>
                <c:pt idx="216">
                  <c:v>0.93258058102369301</c:v>
                </c:pt>
                <c:pt idx="217">
                  <c:v>0.93870362974987798</c:v>
                </c:pt>
                <c:pt idx="218">
                  <c:v>0.92338991003179305</c:v>
                </c:pt>
                <c:pt idx="219">
                  <c:v>0.93778619299504695</c:v>
                </c:pt>
                <c:pt idx="220">
                  <c:v>0.94062134279207998</c:v>
                </c:pt>
                <c:pt idx="221">
                  <c:v>0.94047446142896596</c:v>
                </c:pt>
                <c:pt idx="222">
                  <c:v>0.94241786802401695</c:v>
                </c:pt>
                <c:pt idx="223">
                  <c:v>0.94078919694529395</c:v>
                </c:pt>
                <c:pt idx="224">
                  <c:v>0.94300276803956395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410624"/>
        <c:axId val="352412416"/>
      </c:lineChart>
      <c:dateAx>
        <c:axId val="352410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52412416"/>
        <c:crosses val="autoZero"/>
        <c:auto val="1"/>
        <c:lblOffset val="100"/>
        <c:baseTimeUnit val="days"/>
      </c:dateAx>
      <c:valAx>
        <c:axId val="3524124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52410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'HARPable Universe'!$K$2</c:f>
              <c:strCache>
                <c:ptCount val="1"/>
                <c:pt idx="0">
                  <c:v>HARPable Balance</c:v>
                </c:pt>
              </c:strCache>
            </c:strRef>
          </c:tx>
          <c:marker>
            <c:symbol val="none"/>
          </c:marker>
          <c:cat>
            <c:numRef>
              <c:f>'HARPable Universe'!$I$3:$I$228</c:f>
              <c:numCache>
                <c:formatCode>m/d/yyyy</c:formatCode>
                <c:ptCount val="226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</c:numCache>
            </c:numRef>
          </c:cat>
          <c:val>
            <c:numRef>
              <c:f>'HARPable Universe'!$K$3:$K$228</c:f>
              <c:numCache>
                <c:formatCode>_(* #,##0_);_(* \(#,##0\);_(* "-"??_);_(@_)</c:formatCode>
                <c:ptCount val="226"/>
                <c:pt idx="0">
                  <c:v>511152631253.10303</c:v>
                </c:pt>
                <c:pt idx="1">
                  <c:v>511152631253.10303</c:v>
                </c:pt>
                <c:pt idx="2">
                  <c:v>511152631253.10303</c:v>
                </c:pt>
                <c:pt idx="3">
                  <c:v>511152631253.10303</c:v>
                </c:pt>
                <c:pt idx="4">
                  <c:v>498355321367.67102</c:v>
                </c:pt>
                <c:pt idx="5">
                  <c:v>498355321367.67102</c:v>
                </c:pt>
                <c:pt idx="6">
                  <c:v>498355321367.67102</c:v>
                </c:pt>
                <c:pt idx="7">
                  <c:v>498355321367.67102</c:v>
                </c:pt>
                <c:pt idx="8">
                  <c:v>487217270284.03302</c:v>
                </c:pt>
                <c:pt idx="9">
                  <c:v>487217270284.03302</c:v>
                </c:pt>
                <c:pt idx="10">
                  <c:v>487217270284.03302</c:v>
                </c:pt>
                <c:pt idx="11">
                  <c:v>487217270284.03302</c:v>
                </c:pt>
                <c:pt idx="12">
                  <c:v>487217270284.03302</c:v>
                </c:pt>
                <c:pt idx="13">
                  <c:v>478049332159.64398</c:v>
                </c:pt>
                <c:pt idx="14">
                  <c:v>478049332159.64398</c:v>
                </c:pt>
                <c:pt idx="15">
                  <c:v>478049332159.64398</c:v>
                </c:pt>
                <c:pt idx="16">
                  <c:v>478049332159.64398</c:v>
                </c:pt>
                <c:pt idx="17">
                  <c:v>470003496681.77802</c:v>
                </c:pt>
                <c:pt idx="18">
                  <c:v>470003496681.77802</c:v>
                </c:pt>
                <c:pt idx="19">
                  <c:v>470003496681.77802</c:v>
                </c:pt>
                <c:pt idx="20">
                  <c:v>470003496681.77802</c:v>
                </c:pt>
                <c:pt idx="21">
                  <c:v>462480304706.05603</c:v>
                </c:pt>
                <c:pt idx="22">
                  <c:v>462480304706.05603</c:v>
                </c:pt>
                <c:pt idx="23">
                  <c:v>462480304706.05603</c:v>
                </c:pt>
                <c:pt idx="24">
                  <c:v>462480304706.05603</c:v>
                </c:pt>
                <c:pt idx="25">
                  <c:v>462480304706.05603</c:v>
                </c:pt>
                <c:pt idx="26">
                  <c:v>454274419000.159</c:v>
                </c:pt>
                <c:pt idx="27">
                  <c:v>454274419000.159</c:v>
                </c:pt>
                <c:pt idx="28">
                  <c:v>454274419000.159</c:v>
                </c:pt>
                <c:pt idx="29">
                  <c:v>454274419000.159</c:v>
                </c:pt>
                <c:pt idx="30">
                  <c:v>446036314532.50897</c:v>
                </c:pt>
                <c:pt idx="31">
                  <c:v>446036314532.50897</c:v>
                </c:pt>
                <c:pt idx="32">
                  <c:v>446036314532.50897</c:v>
                </c:pt>
                <c:pt idx="33">
                  <c:v>446036314532.50897</c:v>
                </c:pt>
                <c:pt idx="34">
                  <c:v>436967852620.36298</c:v>
                </c:pt>
                <c:pt idx="35">
                  <c:v>436967852620.36298</c:v>
                </c:pt>
                <c:pt idx="36">
                  <c:v>436967852620.36298</c:v>
                </c:pt>
                <c:pt idx="37">
                  <c:v>436967852620.36298</c:v>
                </c:pt>
                <c:pt idx="38">
                  <c:v>436967852620.36298</c:v>
                </c:pt>
                <c:pt idx="39">
                  <c:v>426018974879.43103</c:v>
                </c:pt>
                <c:pt idx="40">
                  <c:v>426018974879.43103</c:v>
                </c:pt>
                <c:pt idx="41">
                  <c:v>426018974879.43103</c:v>
                </c:pt>
                <c:pt idx="42">
                  <c:v>426018974879.43103</c:v>
                </c:pt>
                <c:pt idx="43">
                  <c:v>412851613521.01099</c:v>
                </c:pt>
                <c:pt idx="44">
                  <c:v>412851613521.01099</c:v>
                </c:pt>
                <c:pt idx="45">
                  <c:v>412851613521.01099</c:v>
                </c:pt>
                <c:pt idx="46">
                  <c:v>412851613521.01099</c:v>
                </c:pt>
                <c:pt idx="47">
                  <c:v>399942599684.46997</c:v>
                </c:pt>
                <c:pt idx="48">
                  <c:v>399942599684.46997</c:v>
                </c:pt>
                <c:pt idx="49">
                  <c:v>399942599684.46997</c:v>
                </c:pt>
                <c:pt idx="50">
                  <c:v>399942599684.46997</c:v>
                </c:pt>
                <c:pt idx="51">
                  <c:v>399942599684.46997</c:v>
                </c:pt>
                <c:pt idx="52">
                  <c:v>388008884102.70697</c:v>
                </c:pt>
                <c:pt idx="53">
                  <c:v>388008884102.70697</c:v>
                </c:pt>
                <c:pt idx="54">
                  <c:v>388008884102.70697</c:v>
                </c:pt>
                <c:pt idx="55">
                  <c:v>388008884102.70697</c:v>
                </c:pt>
                <c:pt idx="56">
                  <c:v>377010024939.07202</c:v>
                </c:pt>
                <c:pt idx="57">
                  <c:v>377010024939.07202</c:v>
                </c:pt>
                <c:pt idx="58">
                  <c:v>377010024939.07202</c:v>
                </c:pt>
                <c:pt idx="59">
                  <c:v>377010024939.07202</c:v>
                </c:pt>
                <c:pt idx="60">
                  <c:v>364462334224.22998</c:v>
                </c:pt>
                <c:pt idx="61">
                  <c:v>364462334224.22998</c:v>
                </c:pt>
                <c:pt idx="62">
                  <c:v>364462334224.22998</c:v>
                </c:pt>
                <c:pt idx="63">
                  <c:v>364462334224.22998</c:v>
                </c:pt>
                <c:pt idx="64">
                  <c:v>364462334224.22998</c:v>
                </c:pt>
                <c:pt idx="65">
                  <c:v>350890768985.05603</c:v>
                </c:pt>
                <c:pt idx="66">
                  <c:v>350890768985.05603</c:v>
                </c:pt>
                <c:pt idx="67">
                  <c:v>350890768985.05603</c:v>
                </c:pt>
                <c:pt idx="68">
                  <c:v>350890768985.05603</c:v>
                </c:pt>
                <c:pt idx="69">
                  <c:v>338046228672.72302</c:v>
                </c:pt>
                <c:pt idx="70">
                  <c:v>338046228672.72302</c:v>
                </c:pt>
                <c:pt idx="71">
                  <c:v>338046228672.72302</c:v>
                </c:pt>
                <c:pt idx="72">
                  <c:v>338046228672.72302</c:v>
                </c:pt>
                <c:pt idx="73">
                  <c:v>338046228672.72302</c:v>
                </c:pt>
                <c:pt idx="74">
                  <c:v>324611094201.94598</c:v>
                </c:pt>
                <c:pt idx="75">
                  <c:v>324611094201.94598</c:v>
                </c:pt>
                <c:pt idx="76">
                  <c:v>324611094201.94598</c:v>
                </c:pt>
                <c:pt idx="77">
                  <c:v>324611094201.94598</c:v>
                </c:pt>
                <c:pt idx="78">
                  <c:v>311798813958.06299</c:v>
                </c:pt>
                <c:pt idx="79">
                  <c:v>311798813958.06299</c:v>
                </c:pt>
                <c:pt idx="80">
                  <c:v>311798813958.06299</c:v>
                </c:pt>
                <c:pt idx="81">
                  <c:v>311798813958.06299</c:v>
                </c:pt>
                <c:pt idx="82">
                  <c:v>299045132715.31299</c:v>
                </c:pt>
                <c:pt idx="83">
                  <c:v>299045132715.31299</c:v>
                </c:pt>
                <c:pt idx="84">
                  <c:v>299045132715.31299</c:v>
                </c:pt>
                <c:pt idx="85">
                  <c:v>299045132715.31299</c:v>
                </c:pt>
                <c:pt idx="86">
                  <c:v>299045132715.31299</c:v>
                </c:pt>
                <c:pt idx="87">
                  <c:v>285566306127.30701</c:v>
                </c:pt>
                <c:pt idx="88">
                  <c:v>285566306127.30701</c:v>
                </c:pt>
                <c:pt idx="89">
                  <c:v>285566306127.30701</c:v>
                </c:pt>
                <c:pt idx="90">
                  <c:v>285566306127.30701</c:v>
                </c:pt>
                <c:pt idx="91">
                  <c:v>273811402301.38901</c:v>
                </c:pt>
                <c:pt idx="92">
                  <c:v>273811402301.38901</c:v>
                </c:pt>
                <c:pt idx="93">
                  <c:v>273811402301.38901</c:v>
                </c:pt>
                <c:pt idx="94">
                  <c:v>273811402301.38901</c:v>
                </c:pt>
                <c:pt idx="95">
                  <c:v>261291167855.54599</c:v>
                </c:pt>
                <c:pt idx="96">
                  <c:v>261291167855.54599</c:v>
                </c:pt>
                <c:pt idx="97">
                  <c:v>261291167855.54599</c:v>
                </c:pt>
                <c:pt idx="98">
                  <c:v>261291167855.54599</c:v>
                </c:pt>
                <c:pt idx="99">
                  <c:v>261291167855.54599</c:v>
                </c:pt>
                <c:pt idx="100">
                  <c:v>249957281866.888</c:v>
                </c:pt>
                <c:pt idx="101">
                  <c:v>249957281866.888</c:v>
                </c:pt>
                <c:pt idx="102">
                  <c:v>249957281866.888</c:v>
                </c:pt>
                <c:pt idx="103">
                  <c:v>249957281866.888</c:v>
                </c:pt>
                <c:pt idx="104">
                  <c:v>238607531217.349</c:v>
                </c:pt>
                <c:pt idx="105">
                  <c:v>238607531217.349</c:v>
                </c:pt>
                <c:pt idx="106">
                  <c:v>238607531217.349</c:v>
                </c:pt>
                <c:pt idx="107">
                  <c:v>238607531217.349</c:v>
                </c:pt>
                <c:pt idx="108">
                  <c:v>238607531217.349</c:v>
                </c:pt>
                <c:pt idx="109">
                  <c:v>227504189704.84799</c:v>
                </c:pt>
                <c:pt idx="110">
                  <c:v>227504189704.84799</c:v>
                </c:pt>
                <c:pt idx="111">
                  <c:v>227504189704.84799</c:v>
                </c:pt>
                <c:pt idx="112">
                  <c:v>227504189704.84799</c:v>
                </c:pt>
                <c:pt idx="113">
                  <c:v>216694156147.63699</c:v>
                </c:pt>
                <c:pt idx="114">
                  <c:v>216694156147.63699</c:v>
                </c:pt>
                <c:pt idx="115">
                  <c:v>216694156147.63699</c:v>
                </c:pt>
                <c:pt idx="116">
                  <c:v>216694156147.63699</c:v>
                </c:pt>
                <c:pt idx="117">
                  <c:v>205810683336.68799</c:v>
                </c:pt>
                <c:pt idx="118">
                  <c:v>205810683336.68799</c:v>
                </c:pt>
                <c:pt idx="119">
                  <c:v>205810683336.68799</c:v>
                </c:pt>
                <c:pt idx="120">
                  <c:v>205810683336.68799</c:v>
                </c:pt>
                <c:pt idx="121">
                  <c:v>195225890723.888</c:v>
                </c:pt>
                <c:pt idx="122">
                  <c:v>195225890723.888</c:v>
                </c:pt>
                <c:pt idx="123">
                  <c:v>195225890723.888</c:v>
                </c:pt>
                <c:pt idx="124">
                  <c:v>195225890723.888</c:v>
                </c:pt>
                <c:pt idx="125">
                  <c:v>195225890723.888</c:v>
                </c:pt>
                <c:pt idx="126">
                  <c:v>185053119902.13599</c:v>
                </c:pt>
                <c:pt idx="127">
                  <c:v>185053119902.13599</c:v>
                </c:pt>
                <c:pt idx="128">
                  <c:v>185053119902.13599</c:v>
                </c:pt>
                <c:pt idx="129">
                  <c:v>185053119902.13599</c:v>
                </c:pt>
                <c:pt idx="130">
                  <c:v>176083452320.259</c:v>
                </c:pt>
                <c:pt idx="131">
                  <c:v>176083452320.259</c:v>
                </c:pt>
                <c:pt idx="132">
                  <c:v>176083452320.259</c:v>
                </c:pt>
                <c:pt idx="133">
                  <c:v>176083452320.259</c:v>
                </c:pt>
                <c:pt idx="134">
                  <c:v>167577702279.88699</c:v>
                </c:pt>
                <c:pt idx="135">
                  <c:v>167577702279.88699</c:v>
                </c:pt>
                <c:pt idx="136">
                  <c:v>167577702279.88699</c:v>
                </c:pt>
                <c:pt idx="137">
                  <c:v>167577702279.88699</c:v>
                </c:pt>
                <c:pt idx="138">
                  <c:v>167577702279.88699</c:v>
                </c:pt>
                <c:pt idx="139">
                  <c:v>160787339683.77899</c:v>
                </c:pt>
                <c:pt idx="140">
                  <c:v>160787339683.77899</c:v>
                </c:pt>
                <c:pt idx="141">
                  <c:v>160787339683.77899</c:v>
                </c:pt>
                <c:pt idx="142">
                  <c:v>160787339683.77899</c:v>
                </c:pt>
                <c:pt idx="143">
                  <c:v>155649461575.04901</c:v>
                </c:pt>
                <c:pt idx="144">
                  <c:v>155649461575.04901</c:v>
                </c:pt>
                <c:pt idx="145">
                  <c:v>155649461575.04901</c:v>
                </c:pt>
                <c:pt idx="146">
                  <c:v>155649461575.04901</c:v>
                </c:pt>
                <c:pt idx="147">
                  <c:v>155649461575.04901</c:v>
                </c:pt>
                <c:pt idx="148">
                  <c:v>151540990492.15701</c:v>
                </c:pt>
                <c:pt idx="149">
                  <c:v>151540990492.15701</c:v>
                </c:pt>
                <c:pt idx="150">
                  <c:v>151540990492.15701</c:v>
                </c:pt>
                <c:pt idx="151">
                  <c:v>151540990492.15701</c:v>
                </c:pt>
                <c:pt idx="152">
                  <c:v>147596217220.30301</c:v>
                </c:pt>
                <c:pt idx="153">
                  <c:v>147596217220.30301</c:v>
                </c:pt>
                <c:pt idx="154">
                  <c:v>147596217220.30301</c:v>
                </c:pt>
                <c:pt idx="155">
                  <c:v>147596217220.30301</c:v>
                </c:pt>
                <c:pt idx="156">
                  <c:v>143491329926.00299</c:v>
                </c:pt>
                <c:pt idx="157">
                  <c:v>143491329926.00299</c:v>
                </c:pt>
                <c:pt idx="158">
                  <c:v>143491329926.00299</c:v>
                </c:pt>
                <c:pt idx="159">
                  <c:v>143491329926.00299</c:v>
                </c:pt>
                <c:pt idx="160">
                  <c:v>143491329926.00299</c:v>
                </c:pt>
                <c:pt idx="161">
                  <c:v>140177207664.35901</c:v>
                </c:pt>
                <c:pt idx="162">
                  <c:v>140177207664.35901</c:v>
                </c:pt>
                <c:pt idx="163">
                  <c:v>140177207664.35901</c:v>
                </c:pt>
                <c:pt idx="164">
                  <c:v>140177207664.35901</c:v>
                </c:pt>
                <c:pt idx="165">
                  <c:v>137302780283.616</c:v>
                </c:pt>
                <c:pt idx="166">
                  <c:v>137302780283.616</c:v>
                </c:pt>
                <c:pt idx="167">
                  <c:v>137302780283.616</c:v>
                </c:pt>
                <c:pt idx="168">
                  <c:v>137302780283.616</c:v>
                </c:pt>
                <c:pt idx="169">
                  <c:v>134084311974.908</c:v>
                </c:pt>
                <c:pt idx="170">
                  <c:v>134084311974.908</c:v>
                </c:pt>
                <c:pt idx="171">
                  <c:v>134084311974.908</c:v>
                </c:pt>
                <c:pt idx="172">
                  <c:v>134084311974.908</c:v>
                </c:pt>
                <c:pt idx="173">
                  <c:v>131022110576.76801</c:v>
                </c:pt>
                <c:pt idx="174">
                  <c:v>131022110576.76801</c:v>
                </c:pt>
                <c:pt idx="175">
                  <c:v>131022110576.76801</c:v>
                </c:pt>
                <c:pt idx="176">
                  <c:v>131022110576.76801</c:v>
                </c:pt>
                <c:pt idx="177">
                  <c:v>131022110576.76801</c:v>
                </c:pt>
                <c:pt idx="178">
                  <c:v>127996673162.017</c:v>
                </c:pt>
                <c:pt idx="179">
                  <c:v>127996673162.017</c:v>
                </c:pt>
                <c:pt idx="180">
                  <c:v>127996673162.017</c:v>
                </c:pt>
                <c:pt idx="181">
                  <c:v>127996673162.017</c:v>
                </c:pt>
                <c:pt idx="182">
                  <c:v>124999566160.547</c:v>
                </c:pt>
                <c:pt idx="183">
                  <c:v>124999566160.547</c:v>
                </c:pt>
                <c:pt idx="184">
                  <c:v>124999566160.547</c:v>
                </c:pt>
                <c:pt idx="185">
                  <c:v>124999566160.547</c:v>
                </c:pt>
                <c:pt idx="186">
                  <c:v>124999566160.547</c:v>
                </c:pt>
                <c:pt idx="187">
                  <c:v>122034558755.91701</c:v>
                </c:pt>
                <c:pt idx="188">
                  <c:v>122034558755.91701</c:v>
                </c:pt>
                <c:pt idx="189">
                  <c:v>122034558755.91701</c:v>
                </c:pt>
                <c:pt idx="190">
                  <c:v>122034558755.91701</c:v>
                </c:pt>
                <c:pt idx="191">
                  <c:v>119186886371.356</c:v>
                </c:pt>
                <c:pt idx="192">
                  <c:v>119186886371.356</c:v>
                </c:pt>
                <c:pt idx="193">
                  <c:v>119186886371.356</c:v>
                </c:pt>
                <c:pt idx="194">
                  <c:v>119186886371.356</c:v>
                </c:pt>
                <c:pt idx="195">
                  <c:v>116367013129.366</c:v>
                </c:pt>
                <c:pt idx="196">
                  <c:v>116367013129.366</c:v>
                </c:pt>
                <c:pt idx="197">
                  <c:v>116367013129.366</c:v>
                </c:pt>
                <c:pt idx="198">
                  <c:v>116367013129.366</c:v>
                </c:pt>
                <c:pt idx="199">
                  <c:v>116367013129.366</c:v>
                </c:pt>
                <c:pt idx="200">
                  <c:v>113578619016.686</c:v>
                </c:pt>
                <c:pt idx="201">
                  <c:v>113578619016.686</c:v>
                </c:pt>
                <c:pt idx="202">
                  <c:v>113578619016.686</c:v>
                </c:pt>
                <c:pt idx="203">
                  <c:v>113578619016.686</c:v>
                </c:pt>
                <c:pt idx="204">
                  <c:v>111141034606.26401</c:v>
                </c:pt>
                <c:pt idx="205">
                  <c:v>111141034606.26401</c:v>
                </c:pt>
                <c:pt idx="206">
                  <c:v>111141034606.26401</c:v>
                </c:pt>
                <c:pt idx="207">
                  <c:v>111141034606.26401</c:v>
                </c:pt>
                <c:pt idx="208">
                  <c:v>111141034606.26401</c:v>
                </c:pt>
                <c:pt idx="209">
                  <c:v>108459729439.83501</c:v>
                </c:pt>
                <c:pt idx="210">
                  <c:v>108459729439.83501</c:v>
                </c:pt>
                <c:pt idx="211">
                  <c:v>108459729439.83501</c:v>
                </c:pt>
                <c:pt idx="212">
                  <c:v>108459729439.83501</c:v>
                </c:pt>
                <c:pt idx="213">
                  <c:v>106176807405.543</c:v>
                </c:pt>
                <c:pt idx="214">
                  <c:v>106176807405.543</c:v>
                </c:pt>
                <c:pt idx="215">
                  <c:v>106176807405.543</c:v>
                </c:pt>
                <c:pt idx="216">
                  <c:v>106176807405.543</c:v>
                </c:pt>
                <c:pt idx="217">
                  <c:v>103782963597.884</c:v>
                </c:pt>
                <c:pt idx="218">
                  <c:v>103782963597.884</c:v>
                </c:pt>
                <c:pt idx="219">
                  <c:v>103782963597.884</c:v>
                </c:pt>
                <c:pt idx="220">
                  <c:v>103782963597.884</c:v>
                </c:pt>
                <c:pt idx="221">
                  <c:v>100652792127.048</c:v>
                </c:pt>
                <c:pt idx="222">
                  <c:v>100652792127.048</c:v>
                </c:pt>
                <c:pt idx="223">
                  <c:v>100652792127.048</c:v>
                </c:pt>
                <c:pt idx="224">
                  <c:v>100652792127.048</c:v>
                </c:pt>
                <c:pt idx="225">
                  <c:v>100652792127.048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'HARPable Universe'!$L$2</c:f>
              <c:strCache>
                <c:ptCount val="1"/>
                <c:pt idx="0">
                  <c:v>Total Balance</c:v>
                </c:pt>
              </c:strCache>
            </c:strRef>
          </c:tx>
          <c:marker>
            <c:symbol val="none"/>
          </c:marker>
          <c:cat>
            <c:numRef>
              <c:f>'HARPable Universe'!$I$3:$I$228</c:f>
              <c:numCache>
                <c:formatCode>m/d/yyyy</c:formatCode>
                <c:ptCount val="226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</c:numCache>
            </c:numRef>
          </c:cat>
          <c:val>
            <c:numRef>
              <c:f>'HARPable Universe'!$L$3:$L$228</c:f>
              <c:numCache>
                <c:formatCode>_(* #,##0_);_(* \(#,##0\);_(* "-"??_);_(@_)</c:formatCode>
                <c:ptCount val="226"/>
                <c:pt idx="0">
                  <c:v>895480193330.53601</c:v>
                </c:pt>
                <c:pt idx="1">
                  <c:v>895480193330.53601</c:v>
                </c:pt>
                <c:pt idx="2">
                  <c:v>895480193330.53601</c:v>
                </c:pt>
                <c:pt idx="3">
                  <c:v>895480193330.53601</c:v>
                </c:pt>
                <c:pt idx="4">
                  <c:v>900632902369.08301</c:v>
                </c:pt>
                <c:pt idx="5">
                  <c:v>900632902369.08301</c:v>
                </c:pt>
                <c:pt idx="6">
                  <c:v>900632902369.08301</c:v>
                </c:pt>
                <c:pt idx="7">
                  <c:v>900632902369.08301</c:v>
                </c:pt>
                <c:pt idx="8">
                  <c:v>898485534285.64099</c:v>
                </c:pt>
                <c:pt idx="9">
                  <c:v>898485534285.64099</c:v>
                </c:pt>
                <c:pt idx="10">
                  <c:v>898485534285.64099</c:v>
                </c:pt>
                <c:pt idx="11">
                  <c:v>898485534285.64099</c:v>
                </c:pt>
                <c:pt idx="12">
                  <c:v>898485534285.64099</c:v>
                </c:pt>
                <c:pt idx="13">
                  <c:v>898010001419.72205</c:v>
                </c:pt>
                <c:pt idx="14">
                  <c:v>898010001419.72205</c:v>
                </c:pt>
                <c:pt idx="15">
                  <c:v>898010001419.72205</c:v>
                </c:pt>
                <c:pt idx="16">
                  <c:v>898010001419.72205</c:v>
                </c:pt>
                <c:pt idx="17">
                  <c:v>897679401564.875</c:v>
                </c:pt>
                <c:pt idx="18">
                  <c:v>897679401564.875</c:v>
                </c:pt>
                <c:pt idx="19">
                  <c:v>897679401564.875</c:v>
                </c:pt>
                <c:pt idx="20">
                  <c:v>897679401564.875</c:v>
                </c:pt>
                <c:pt idx="21">
                  <c:v>898925930940.14294</c:v>
                </c:pt>
                <c:pt idx="22">
                  <c:v>898925930940.14294</c:v>
                </c:pt>
                <c:pt idx="23">
                  <c:v>898925930940.14294</c:v>
                </c:pt>
                <c:pt idx="24">
                  <c:v>898925930940.14294</c:v>
                </c:pt>
                <c:pt idx="25">
                  <c:v>898925930940.14294</c:v>
                </c:pt>
                <c:pt idx="26">
                  <c:v>896187746439.72998</c:v>
                </c:pt>
                <c:pt idx="27">
                  <c:v>896187746439.72998</c:v>
                </c:pt>
                <c:pt idx="28">
                  <c:v>896187746439.72998</c:v>
                </c:pt>
                <c:pt idx="29">
                  <c:v>896187746439.72998</c:v>
                </c:pt>
                <c:pt idx="30">
                  <c:v>896440206380.84204</c:v>
                </c:pt>
                <c:pt idx="31">
                  <c:v>896440206380.84204</c:v>
                </c:pt>
                <c:pt idx="32">
                  <c:v>896440206380.84204</c:v>
                </c:pt>
                <c:pt idx="33">
                  <c:v>896440206380.84204</c:v>
                </c:pt>
                <c:pt idx="34">
                  <c:v>895897744776.50806</c:v>
                </c:pt>
                <c:pt idx="35">
                  <c:v>895897744776.50806</c:v>
                </c:pt>
                <c:pt idx="36">
                  <c:v>895897744776.50806</c:v>
                </c:pt>
                <c:pt idx="37">
                  <c:v>895897744776.50806</c:v>
                </c:pt>
                <c:pt idx="38">
                  <c:v>895897744776.50806</c:v>
                </c:pt>
                <c:pt idx="39">
                  <c:v>890903153887.02795</c:v>
                </c:pt>
                <c:pt idx="40">
                  <c:v>890903153887.02795</c:v>
                </c:pt>
                <c:pt idx="41">
                  <c:v>890903153887.02795</c:v>
                </c:pt>
                <c:pt idx="42">
                  <c:v>890903153887.02795</c:v>
                </c:pt>
                <c:pt idx="43">
                  <c:v>880795609040.20496</c:v>
                </c:pt>
                <c:pt idx="44">
                  <c:v>880795609040.20496</c:v>
                </c:pt>
                <c:pt idx="45">
                  <c:v>880795609040.20496</c:v>
                </c:pt>
                <c:pt idx="46">
                  <c:v>880795609040.20496</c:v>
                </c:pt>
                <c:pt idx="47">
                  <c:v>867951071508.93604</c:v>
                </c:pt>
                <c:pt idx="48">
                  <c:v>867951071508.93604</c:v>
                </c:pt>
                <c:pt idx="49">
                  <c:v>867951071508.93604</c:v>
                </c:pt>
                <c:pt idx="50">
                  <c:v>867951071508.93604</c:v>
                </c:pt>
                <c:pt idx="51">
                  <c:v>867951071508.93604</c:v>
                </c:pt>
                <c:pt idx="52">
                  <c:v>862642562832.45898</c:v>
                </c:pt>
                <c:pt idx="53">
                  <c:v>862642562832.45898</c:v>
                </c:pt>
                <c:pt idx="54">
                  <c:v>862642562832.45898</c:v>
                </c:pt>
                <c:pt idx="55">
                  <c:v>862642562832.45898</c:v>
                </c:pt>
                <c:pt idx="56">
                  <c:v>865283651280.50305</c:v>
                </c:pt>
                <c:pt idx="57">
                  <c:v>865283651280.50305</c:v>
                </c:pt>
                <c:pt idx="58">
                  <c:v>865283651280.50305</c:v>
                </c:pt>
                <c:pt idx="59">
                  <c:v>865283651280.50305</c:v>
                </c:pt>
                <c:pt idx="60">
                  <c:v>861190703554.85706</c:v>
                </c:pt>
                <c:pt idx="61">
                  <c:v>861190703554.85706</c:v>
                </c:pt>
                <c:pt idx="62">
                  <c:v>861190703554.85706</c:v>
                </c:pt>
                <c:pt idx="63">
                  <c:v>861190703554.85706</c:v>
                </c:pt>
                <c:pt idx="64">
                  <c:v>861190703554.85706</c:v>
                </c:pt>
                <c:pt idx="65">
                  <c:v>852751932022.53503</c:v>
                </c:pt>
                <c:pt idx="66">
                  <c:v>852751932022.53503</c:v>
                </c:pt>
                <c:pt idx="67">
                  <c:v>852751932022.53503</c:v>
                </c:pt>
                <c:pt idx="68">
                  <c:v>852751932022.53503</c:v>
                </c:pt>
                <c:pt idx="69">
                  <c:v>843407158052.96497</c:v>
                </c:pt>
                <c:pt idx="70">
                  <c:v>843407158052.96497</c:v>
                </c:pt>
                <c:pt idx="71">
                  <c:v>843407158052.96497</c:v>
                </c:pt>
                <c:pt idx="72">
                  <c:v>843407158052.96497</c:v>
                </c:pt>
                <c:pt idx="73">
                  <c:v>843407158052.96497</c:v>
                </c:pt>
                <c:pt idx="74">
                  <c:v>842987221871.99902</c:v>
                </c:pt>
                <c:pt idx="75">
                  <c:v>842987221871.99902</c:v>
                </c:pt>
                <c:pt idx="76">
                  <c:v>842987221871.99902</c:v>
                </c:pt>
                <c:pt idx="77">
                  <c:v>842987221871.99902</c:v>
                </c:pt>
                <c:pt idx="78">
                  <c:v>836042456950.479</c:v>
                </c:pt>
                <c:pt idx="79">
                  <c:v>836042456950.479</c:v>
                </c:pt>
                <c:pt idx="80">
                  <c:v>836042456950.479</c:v>
                </c:pt>
                <c:pt idx="81">
                  <c:v>836042456950.479</c:v>
                </c:pt>
                <c:pt idx="82">
                  <c:v>833663605862.28699</c:v>
                </c:pt>
                <c:pt idx="83">
                  <c:v>833663605862.28699</c:v>
                </c:pt>
                <c:pt idx="84">
                  <c:v>833663605862.28699</c:v>
                </c:pt>
                <c:pt idx="85">
                  <c:v>833663605862.28699</c:v>
                </c:pt>
                <c:pt idx="86">
                  <c:v>833663605862.28699</c:v>
                </c:pt>
                <c:pt idx="87">
                  <c:v>824158873560.92102</c:v>
                </c:pt>
                <c:pt idx="88">
                  <c:v>824158873560.92102</c:v>
                </c:pt>
                <c:pt idx="89">
                  <c:v>824158873560.92102</c:v>
                </c:pt>
                <c:pt idx="90">
                  <c:v>824158873560.92102</c:v>
                </c:pt>
                <c:pt idx="91">
                  <c:v>825116182205.41797</c:v>
                </c:pt>
                <c:pt idx="92">
                  <c:v>825116182205.41797</c:v>
                </c:pt>
                <c:pt idx="93">
                  <c:v>825116182205.41797</c:v>
                </c:pt>
                <c:pt idx="94">
                  <c:v>825116182205.41797</c:v>
                </c:pt>
                <c:pt idx="95">
                  <c:v>830648730002.45105</c:v>
                </c:pt>
                <c:pt idx="96">
                  <c:v>830648730002.45105</c:v>
                </c:pt>
                <c:pt idx="97">
                  <c:v>830648730002.45105</c:v>
                </c:pt>
                <c:pt idx="98">
                  <c:v>830648730002.45105</c:v>
                </c:pt>
                <c:pt idx="99">
                  <c:v>830648730002.45105</c:v>
                </c:pt>
                <c:pt idx="100">
                  <c:v>820270598245.922</c:v>
                </c:pt>
                <c:pt idx="101">
                  <c:v>820270598245.922</c:v>
                </c:pt>
                <c:pt idx="102">
                  <c:v>820270598245.922</c:v>
                </c:pt>
                <c:pt idx="103">
                  <c:v>820270598245.922</c:v>
                </c:pt>
                <c:pt idx="104">
                  <c:v>819156247294.42395</c:v>
                </c:pt>
                <c:pt idx="105">
                  <c:v>819156247294.42395</c:v>
                </c:pt>
                <c:pt idx="106">
                  <c:v>819156247294.42395</c:v>
                </c:pt>
                <c:pt idx="107">
                  <c:v>819156247294.42395</c:v>
                </c:pt>
                <c:pt idx="108">
                  <c:v>819156247294.42395</c:v>
                </c:pt>
                <c:pt idx="109">
                  <c:v>818129385045.38</c:v>
                </c:pt>
                <c:pt idx="110">
                  <c:v>818129385045.38</c:v>
                </c:pt>
                <c:pt idx="111">
                  <c:v>818129385045.38</c:v>
                </c:pt>
                <c:pt idx="112">
                  <c:v>818129385045.38</c:v>
                </c:pt>
                <c:pt idx="113">
                  <c:v>824157902540.86401</c:v>
                </c:pt>
                <c:pt idx="114">
                  <c:v>824157902540.86401</c:v>
                </c:pt>
                <c:pt idx="115">
                  <c:v>824157902540.86401</c:v>
                </c:pt>
                <c:pt idx="116">
                  <c:v>824157902540.86401</c:v>
                </c:pt>
                <c:pt idx="117">
                  <c:v>828249997663.94495</c:v>
                </c:pt>
                <c:pt idx="118">
                  <c:v>828249997663.94495</c:v>
                </c:pt>
                <c:pt idx="119">
                  <c:v>828249997663.94495</c:v>
                </c:pt>
                <c:pt idx="120">
                  <c:v>828249997663.94495</c:v>
                </c:pt>
                <c:pt idx="121">
                  <c:v>828002980341.57397</c:v>
                </c:pt>
                <c:pt idx="122">
                  <c:v>828002980341.57397</c:v>
                </c:pt>
                <c:pt idx="123">
                  <c:v>828002980341.57397</c:v>
                </c:pt>
                <c:pt idx="124">
                  <c:v>828002980341.57397</c:v>
                </c:pt>
                <c:pt idx="125">
                  <c:v>828002980341.57397</c:v>
                </c:pt>
                <c:pt idx="126">
                  <c:v>832667072231.375</c:v>
                </c:pt>
                <c:pt idx="127">
                  <c:v>832667072231.375</c:v>
                </c:pt>
                <c:pt idx="128">
                  <c:v>832667072231.375</c:v>
                </c:pt>
                <c:pt idx="129">
                  <c:v>832667072231.375</c:v>
                </c:pt>
                <c:pt idx="130">
                  <c:v>835315019877.84595</c:v>
                </c:pt>
                <c:pt idx="131">
                  <c:v>835315019877.84595</c:v>
                </c:pt>
                <c:pt idx="132">
                  <c:v>835315019877.84595</c:v>
                </c:pt>
                <c:pt idx="133">
                  <c:v>835315019877.84595</c:v>
                </c:pt>
                <c:pt idx="134">
                  <c:v>839371166981.099</c:v>
                </c:pt>
                <c:pt idx="135">
                  <c:v>839371166981.099</c:v>
                </c:pt>
                <c:pt idx="136">
                  <c:v>839371166981.099</c:v>
                </c:pt>
                <c:pt idx="137">
                  <c:v>839371166981.099</c:v>
                </c:pt>
                <c:pt idx="138">
                  <c:v>839371166981.099</c:v>
                </c:pt>
                <c:pt idx="139">
                  <c:v>840680455152.82996</c:v>
                </c:pt>
                <c:pt idx="140">
                  <c:v>840680455152.82996</c:v>
                </c:pt>
                <c:pt idx="141">
                  <c:v>840680455152.82996</c:v>
                </c:pt>
                <c:pt idx="142">
                  <c:v>840680455152.82996</c:v>
                </c:pt>
                <c:pt idx="143">
                  <c:v>842920617157.08203</c:v>
                </c:pt>
                <c:pt idx="144">
                  <c:v>842920617157.08203</c:v>
                </c:pt>
                <c:pt idx="145">
                  <c:v>842920617157.08203</c:v>
                </c:pt>
                <c:pt idx="146">
                  <c:v>842920617157.08203</c:v>
                </c:pt>
                <c:pt idx="147">
                  <c:v>842920617157.08203</c:v>
                </c:pt>
                <c:pt idx="148">
                  <c:v>847381000644.36804</c:v>
                </c:pt>
                <c:pt idx="149">
                  <c:v>847381000644.36804</c:v>
                </c:pt>
                <c:pt idx="150">
                  <c:v>847381000644.36804</c:v>
                </c:pt>
                <c:pt idx="151">
                  <c:v>847381000644.36804</c:v>
                </c:pt>
                <c:pt idx="152">
                  <c:v>852925884546.91199</c:v>
                </c:pt>
                <c:pt idx="153">
                  <c:v>852925884546.91199</c:v>
                </c:pt>
                <c:pt idx="154">
                  <c:v>852925884546.91199</c:v>
                </c:pt>
                <c:pt idx="155">
                  <c:v>852925884546.91199</c:v>
                </c:pt>
                <c:pt idx="156">
                  <c:v>856169152140.41296</c:v>
                </c:pt>
                <c:pt idx="157">
                  <c:v>856169152140.41296</c:v>
                </c:pt>
                <c:pt idx="158">
                  <c:v>856169152140.41296</c:v>
                </c:pt>
                <c:pt idx="159">
                  <c:v>856169152140.41296</c:v>
                </c:pt>
                <c:pt idx="160">
                  <c:v>856169152140.41296</c:v>
                </c:pt>
                <c:pt idx="161">
                  <c:v>860549250444.104</c:v>
                </c:pt>
                <c:pt idx="162">
                  <c:v>860549250444.104</c:v>
                </c:pt>
                <c:pt idx="163">
                  <c:v>860549250444.104</c:v>
                </c:pt>
                <c:pt idx="164">
                  <c:v>860549250444.104</c:v>
                </c:pt>
                <c:pt idx="165">
                  <c:v>862646925748.92102</c:v>
                </c:pt>
                <c:pt idx="166">
                  <c:v>862646925748.92102</c:v>
                </c:pt>
                <c:pt idx="167">
                  <c:v>862646925748.92102</c:v>
                </c:pt>
                <c:pt idx="168">
                  <c:v>862646925748.92102</c:v>
                </c:pt>
                <c:pt idx="169">
                  <c:v>865912452541.08801</c:v>
                </c:pt>
                <c:pt idx="170">
                  <c:v>865912452541.08801</c:v>
                </c:pt>
                <c:pt idx="171">
                  <c:v>865912452541.08801</c:v>
                </c:pt>
                <c:pt idx="172">
                  <c:v>865912452541.08801</c:v>
                </c:pt>
                <c:pt idx="173">
                  <c:v>869491021687.79004</c:v>
                </c:pt>
                <c:pt idx="174">
                  <c:v>869491021687.79004</c:v>
                </c:pt>
                <c:pt idx="175">
                  <c:v>869491021687.79004</c:v>
                </c:pt>
                <c:pt idx="176">
                  <c:v>869491021687.79004</c:v>
                </c:pt>
                <c:pt idx="177">
                  <c:v>869491021687.79004</c:v>
                </c:pt>
                <c:pt idx="178">
                  <c:v>874676225982.203</c:v>
                </c:pt>
                <c:pt idx="179">
                  <c:v>874676225982.203</c:v>
                </c:pt>
                <c:pt idx="180">
                  <c:v>874676225982.203</c:v>
                </c:pt>
                <c:pt idx="181">
                  <c:v>874676225982.203</c:v>
                </c:pt>
                <c:pt idx="182">
                  <c:v>879218074297.77698</c:v>
                </c:pt>
                <c:pt idx="183">
                  <c:v>879218074297.77698</c:v>
                </c:pt>
                <c:pt idx="184">
                  <c:v>879218074297.77698</c:v>
                </c:pt>
                <c:pt idx="185">
                  <c:v>879218074297.77698</c:v>
                </c:pt>
                <c:pt idx="186">
                  <c:v>879218074297.77698</c:v>
                </c:pt>
                <c:pt idx="187">
                  <c:v>889016211164.04895</c:v>
                </c:pt>
                <c:pt idx="188">
                  <c:v>889016211164.04895</c:v>
                </c:pt>
                <c:pt idx="189">
                  <c:v>889016211164.04895</c:v>
                </c:pt>
                <c:pt idx="190">
                  <c:v>889016211164.04895</c:v>
                </c:pt>
                <c:pt idx="191">
                  <c:v>896796715582.33606</c:v>
                </c:pt>
                <c:pt idx="192">
                  <c:v>896796715582.33606</c:v>
                </c:pt>
                <c:pt idx="193">
                  <c:v>896796715582.33606</c:v>
                </c:pt>
                <c:pt idx="194">
                  <c:v>896796715582.33606</c:v>
                </c:pt>
                <c:pt idx="195">
                  <c:v>904868755203.72498</c:v>
                </c:pt>
                <c:pt idx="196">
                  <c:v>904868755203.72498</c:v>
                </c:pt>
                <c:pt idx="197">
                  <c:v>904868755203.72498</c:v>
                </c:pt>
                <c:pt idx="198">
                  <c:v>904868755203.72498</c:v>
                </c:pt>
                <c:pt idx="199">
                  <c:v>904868755203.72498</c:v>
                </c:pt>
                <c:pt idx="200">
                  <c:v>911144707396.39795</c:v>
                </c:pt>
                <c:pt idx="201">
                  <c:v>911144707396.39795</c:v>
                </c:pt>
                <c:pt idx="202">
                  <c:v>911144707396.39795</c:v>
                </c:pt>
                <c:pt idx="203">
                  <c:v>911144707396.39795</c:v>
                </c:pt>
                <c:pt idx="204">
                  <c:v>915537820187.26404</c:v>
                </c:pt>
                <c:pt idx="205">
                  <c:v>915537820187.26404</c:v>
                </c:pt>
                <c:pt idx="206">
                  <c:v>915537820187.26404</c:v>
                </c:pt>
                <c:pt idx="207">
                  <c:v>915537820187.26404</c:v>
                </c:pt>
                <c:pt idx="208">
                  <c:v>915537820187.26404</c:v>
                </c:pt>
                <c:pt idx="209">
                  <c:v>919051298499.69104</c:v>
                </c:pt>
                <c:pt idx="210">
                  <c:v>919051298499.69104</c:v>
                </c:pt>
                <c:pt idx="211">
                  <c:v>919051298499.69104</c:v>
                </c:pt>
                <c:pt idx="212">
                  <c:v>919051298499.69104</c:v>
                </c:pt>
                <c:pt idx="213">
                  <c:v>929906802060.74402</c:v>
                </c:pt>
                <c:pt idx="214">
                  <c:v>929906802060.74402</c:v>
                </c:pt>
                <c:pt idx="215">
                  <c:v>929906802060.74402</c:v>
                </c:pt>
                <c:pt idx="216">
                  <c:v>929906802060.74402</c:v>
                </c:pt>
                <c:pt idx="217">
                  <c:v>931776684212.27002</c:v>
                </c:pt>
                <c:pt idx="218">
                  <c:v>931776684212.27002</c:v>
                </c:pt>
                <c:pt idx="219">
                  <c:v>931776684212.27002</c:v>
                </c:pt>
                <c:pt idx="220">
                  <c:v>931776684212.27002</c:v>
                </c:pt>
                <c:pt idx="221">
                  <c:v>936106192313.56702</c:v>
                </c:pt>
                <c:pt idx="222">
                  <c:v>936106192313.56702</c:v>
                </c:pt>
                <c:pt idx="223">
                  <c:v>936106192313.56702</c:v>
                </c:pt>
                <c:pt idx="224">
                  <c:v>936106192313.56702</c:v>
                </c:pt>
                <c:pt idx="225">
                  <c:v>936106192313.56702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447872"/>
        <c:axId val="353571968"/>
      </c:lineChart>
      <c:lineChart>
        <c:grouping val="standard"/>
        <c:varyColors val="0"/>
        <c:ser>
          <c:idx val="2"/>
          <c:order val="2"/>
          <c:tx>
            <c:strRef>
              <c:f>'HARPable Universe'!$M$2</c:f>
              <c:strCache>
                <c:ptCount val="1"/>
                <c:pt idx="0">
                  <c:v>Percentage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'HARPable Universe'!$I$3:$I$228</c:f>
              <c:numCache>
                <c:formatCode>m/d/yyyy</c:formatCode>
                <c:ptCount val="226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</c:numCache>
            </c:numRef>
          </c:cat>
          <c:val>
            <c:numRef>
              <c:f>'HARPable Universe'!$M$3:$M$228</c:f>
              <c:numCache>
                <c:formatCode>0%</c:formatCode>
                <c:ptCount val="226"/>
                <c:pt idx="0">
                  <c:v>0.57081400019802386</c:v>
                </c:pt>
                <c:pt idx="1">
                  <c:v>0.57081400019802386</c:v>
                </c:pt>
                <c:pt idx="2">
                  <c:v>0.57081400019802386</c:v>
                </c:pt>
                <c:pt idx="3">
                  <c:v>0.57081400019802386</c:v>
                </c:pt>
                <c:pt idx="4">
                  <c:v>0.55333901310596689</c:v>
                </c:pt>
                <c:pt idx="5">
                  <c:v>0.55333901310596689</c:v>
                </c:pt>
                <c:pt idx="6">
                  <c:v>0.55333901310596689</c:v>
                </c:pt>
                <c:pt idx="7">
                  <c:v>0.55333901310596689</c:v>
                </c:pt>
                <c:pt idx="8">
                  <c:v>0.54226501339435018</c:v>
                </c:pt>
                <c:pt idx="9">
                  <c:v>0.54226501339435018</c:v>
                </c:pt>
                <c:pt idx="10">
                  <c:v>0.54226501339435018</c:v>
                </c:pt>
                <c:pt idx="11">
                  <c:v>0.54226501339435018</c:v>
                </c:pt>
                <c:pt idx="12">
                  <c:v>0.54226501339435018</c:v>
                </c:pt>
                <c:pt idx="13">
                  <c:v>0.53234299328945656</c:v>
                </c:pt>
                <c:pt idx="14">
                  <c:v>0.53234299328945656</c:v>
                </c:pt>
                <c:pt idx="15">
                  <c:v>0.53234299328945656</c:v>
                </c:pt>
                <c:pt idx="16">
                  <c:v>0.53234299328945656</c:v>
                </c:pt>
                <c:pt idx="17">
                  <c:v>0.52357611844768503</c:v>
                </c:pt>
                <c:pt idx="18">
                  <c:v>0.52357611844768503</c:v>
                </c:pt>
                <c:pt idx="19">
                  <c:v>0.52357611844768503</c:v>
                </c:pt>
                <c:pt idx="20">
                  <c:v>0.52357611844768503</c:v>
                </c:pt>
                <c:pt idx="21">
                  <c:v>0.51448099202385933</c:v>
                </c:pt>
                <c:pt idx="22">
                  <c:v>0.51448099202385933</c:v>
                </c:pt>
                <c:pt idx="23">
                  <c:v>0.51448099202385933</c:v>
                </c:pt>
                <c:pt idx="24">
                  <c:v>0.51448099202385933</c:v>
                </c:pt>
                <c:pt idx="25">
                  <c:v>0.51448099202385933</c:v>
                </c:pt>
                <c:pt idx="26">
                  <c:v>0.50689648547957433</c:v>
                </c:pt>
                <c:pt idx="27">
                  <c:v>0.50689648547957433</c:v>
                </c:pt>
                <c:pt idx="28">
                  <c:v>0.50689648547957433</c:v>
                </c:pt>
                <c:pt idx="29">
                  <c:v>0.50689648547957433</c:v>
                </c:pt>
                <c:pt idx="30">
                  <c:v>0.49756393271702015</c:v>
                </c:pt>
                <c:pt idx="31">
                  <c:v>0.49756393271702015</c:v>
                </c:pt>
                <c:pt idx="32">
                  <c:v>0.49756393271702015</c:v>
                </c:pt>
                <c:pt idx="33">
                  <c:v>0.49756393271702015</c:v>
                </c:pt>
                <c:pt idx="34">
                  <c:v>0.48774299876083471</c:v>
                </c:pt>
                <c:pt idx="35">
                  <c:v>0.48774299876083471</c:v>
                </c:pt>
                <c:pt idx="36">
                  <c:v>0.48774299876083471</c:v>
                </c:pt>
                <c:pt idx="37">
                  <c:v>0.48774299876083471</c:v>
                </c:pt>
                <c:pt idx="38">
                  <c:v>0.48774299876083471</c:v>
                </c:pt>
                <c:pt idx="39">
                  <c:v>0.47818775028542876</c:v>
                </c:pt>
                <c:pt idx="40">
                  <c:v>0.47818775028542876</c:v>
                </c:pt>
                <c:pt idx="41">
                  <c:v>0.47818775028542876</c:v>
                </c:pt>
                <c:pt idx="42">
                  <c:v>0.47818775028542876</c:v>
                </c:pt>
                <c:pt idx="43">
                  <c:v>0.46872578528279868</c:v>
                </c:pt>
                <c:pt idx="44">
                  <c:v>0.46872578528279868</c:v>
                </c:pt>
                <c:pt idx="45">
                  <c:v>0.46872578528279868</c:v>
                </c:pt>
                <c:pt idx="46">
                  <c:v>0.46872578528279868</c:v>
                </c:pt>
                <c:pt idx="47">
                  <c:v>0.46078933803165695</c:v>
                </c:pt>
                <c:pt idx="48">
                  <c:v>0.46078933803165695</c:v>
                </c:pt>
                <c:pt idx="49">
                  <c:v>0.46078933803165695</c:v>
                </c:pt>
                <c:pt idx="50">
                  <c:v>0.46078933803165695</c:v>
                </c:pt>
                <c:pt idx="51">
                  <c:v>0.46078933803165695</c:v>
                </c:pt>
                <c:pt idx="52">
                  <c:v>0.44979102680569383</c:v>
                </c:pt>
                <c:pt idx="53">
                  <c:v>0.44979102680569383</c:v>
                </c:pt>
                <c:pt idx="54">
                  <c:v>0.44979102680569383</c:v>
                </c:pt>
                <c:pt idx="55">
                  <c:v>0.44979102680569383</c:v>
                </c:pt>
                <c:pt idx="56">
                  <c:v>0.43570686257754676</c:v>
                </c:pt>
                <c:pt idx="57">
                  <c:v>0.43570686257754676</c:v>
                </c:pt>
                <c:pt idx="58">
                  <c:v>0.43570686257754676</c:v>
                </c:pt>
                <c:pt idx="59">
                  <c:v>0.43570686257754676</c:v>
                </c:pt>
                <c:pt idx="60">
                  <c:v>0.42320746464144116</c:v>
                </c:pt>
                <c:pt idx="61">
                  <c:v>0.42320746464144116</c:v>
                </c:pt>
                <c:pt idx="62">
                  <c:v>0.42320746464144116</c:v>
                </c:pt>
                <c:pt idx="63">
                  <c:v>0.42320746464144116</c:v>
                </c:pt>
                <c:pt idx="64">
                  <c:v>0.42320746464144116</c:v>
                </c:pt>
                <c:pt idx="65">
                  <c:v>0.41148047375609265</c:v>
                </c:pt>
                <c:pt idx="66">
                  <c:v>0.41148047375609265</c:v>
                </c:pt>
                <c:pt idx="67">
                  <c:v>0.41148047375609265</c:v>
                </c:pt>
                <c:pt idx="68">
                  <c:v>0.41148047375609265</c:v>
                </c:pt>
                <c:pt idx="69">
                  <c:v>0.40081024383657665</c:v>
                </c:pt>
                <c:pt idx="70">
                  <c:v>0.40081024383657665</c:v>
                </c:pt>
                <c:pt idx="71">
                  <c:v>0.40081024383657665</c:v>
                </c:pt>
                <c:pt idx="72">
                  <c:v>0.40081024383657665</c:v>
                </c:pt>
                <c:pt idx="73">
                  <c:v>0.40081024383657665</c:v>
                </c:pt>
                <c:pt idx="74">
                  <c:v>0.38507237806178235</c:v>
                </c:pt>
                <c:pt idx="75">
                  <c:v>0.38507237806178235</c:v>
                </c:pt>
                <c:pt idx="76">
                  <c:v>0.38507237806178235</c:v>
                </c:pt>
                <c:pt idx="77">
                  <c:v>0.38507237806178235</c:v>
                </c:pt>
                <c:pt idx="78">
                  <c:v>0.37294614808842375</c:v>
                </c:pt>
                <c:pt idx="79">
                  <c:v>0.37294614808842375</c:v>
                </c:pt>
                <c:pt idx="80">
                  <c:v>0.37294614808842375</c:v>
                </c:pt>
                <c:pt idx="81">
                  <c:v>0.37294614808842375</c:v>
                </c:pt>
                <c:pt idx="82">
                  <c:v>0.35871199199825965</c:v>
                </c:pt>
                <c:pt idx="83">
                  <c:v>0.35871199199825965</c:v>
                </c:pt>
                <c:pt idx="84">
                  <c:v>0.35871199199825965</c:v>
                </c:pt>
                <c:pt idx="85">
                  <c:v>0.35871199199825965</c:v>
                </c:pt>
                <c:pt idx="86">
                  <c:v>0.35871199199825965</c:v>
                </c:pt>
                <c:pt idx="87">
                  <c:v>0.34649424436027532</c:v>
                </c:pt>
                <c:pt idx="88">
                  <c:v>0.34649424436027532</c:v>
                </c:pt>
                <c:pt idx="89">
                  <c:v>0.34649424436027532</c:v>
                </c:pt>
                <c:pt idx="90">
                  <c:v>0.34649424436027532</c:v>
                </c:pt>
                <c:pt idx="91">
                  <c:v>0.33184587601897486</c:v>
                </c:pt>
                <c:pt idx="92">
                  <c:v>0.33184587601897486</c:v>
                </c:pt>
                <c:pt idx="93">
                  <c:v>0.33184587601897486</c:v>
                </c:pt>
                <c:pt idx="94">
                  <c:v>0.33184587601897486</c:v>
                </c:pt>
                <c:pt idx="95">
                  <c:v>0.31456277294828944</c:v>
                </c:pt>
                <c:pt idx="96">
                  <c:v>0.31456277294828944</c:v>
                </c:pt>
                <c:pt idx="97">
                  <c:v>0.31456277294828944</c:v>
                </c:pt>
                <c:pt idx="98">
                  <c:v>0.31456277294828944</c:v>
                </c:pt>
                <c:pt idx="99">
                  <c:v>0.31456277294828944</c:v>
                </c:pt>
                <c:pt idx="100">
                  <c:v>0.30472539476777555</c:v>
                </c:pt>
                <c:pt idx="101">
                  <c:v>0.30472539476777555</c:v>
                </c:pt>
                <c:pt idx="102">
                  <c:v>0.30472539476777555</c:v>
                </c:pt>
                <c:pt idx="103">
                  <c:v>0.30472539476777555</c:v>
                </c:pt>
                <c:pt idx="104">
                  <c:v>0.29128451623904644</c:v>
                </c:pt>
                <c:pt idx="105">
                  <c:v>0.29128451623904644</c:v>
                </c:pt>
                <c:pt idx="106">
                  <c:v>0.29128451623904644</c:v>
                </c:pt>
                <c:pt idx="107">
                  <c:v>0.29128451623904644</c:v>
                </c:pt>
                <c:pt idx="108">
                  <c:v>0.29128451623904644</c:v>
                </c:pt>
                <c:pt idx="109">
                  <c:v>0.27807849695097897</c:v>
                </c:pt>
                <c:pt idx="110">
                  <c:v>0.27807849695097897</c:v>
                </c:pt>
                <c:pt idx="111">
                  <c:v>0.27807849695097897</c:v>
                </c:pt>
                <c:pt idx="112">
                  <c:v>0.27807849695097897</c:v>
                </c:pt>
                <c:pt idx="113">
                  <c:v>0.26292796013915876</c:v>
                </c:pt>
                <c:pt idx="114">
                  <c:v>0.26292796013915876</c:v>
                </c:pt>
                <c:pt idx="115">
                  <c:v>0.26292796013915876</c:v>
                </c:pt>
                <c:pt idx="116">
                  <c:v>0.26292796013915876</c:v>
                </c:pt>
                <c:pt idx="117">
                  <c:v>0.24848860116772839</c:v>
                </c:pt>
                <c:pt idx="118">
                  <c:v>0.24848860116772839</c:v>
                </c:pt>
                <c:pt idx="119">
                  <c:v>0.24848860116772839</c:v>
                </c:pt>
                <c:pt idx="120">
                  <c:v>0.24848860116772839</c:v>
                </c:pt>
                <c:pt idx="121">
                  <c:v>0.23577921258610923</c:v>
                </c:pt>
                <c:pt idx="122">
                  <c:v>0.23577921258610923</c:v>
                </c:pt>
                <c:pt idx="123">
                  <c:v>0.23577921258610923</c:v>
                </c:pt>
                <c:pt idx="124">
                  <c:v>0.23577921258610923</c:v>
                </c:pt>
                <c:pt idx="125">
                  <c:v>0.23577921258610923</c:v>
                </c:pt>
                <c:pt idx="126">
                  <c:v>0.22224142886571943</c:v>
                </c:pt>
                <c:pt idx="127">
                  <c:v>0.22224142886571943</c:v>
                </c:pt>
                <c:pt idx="128">
                  <c:v>0.22224142886571943</c:v>
                </c:pt>
                <c:pt idx="129">
                  <c:v>0.22224142886571943</c:v>
                </c:pt>
                <c:pt idx="130">
                  <c:v>0.210798858071544</c:v>
                </c:pt>
                <c:pt idx="131">
                  <c:v>0.210798858071544</c:v>
                </c:pt>
                <c:pt idx="132">
                  <c:v>0.210798858071544</c:v>
                </c:pt>
                <c:pt idx="133">
                  <c:v>0.210798858071544</c:v>
                </c:pt>
                <c:pt idx="134">
                  <c:v>0.19964672229879027</c:v>
                </c:pt>
                <c:pt idx="135">
                  <c:v>0.19964672229879027</c:v>
                </c:pt>
                <c:pt idx="136">
                  <c:v>0.19964672229879027</c:v>
                </c:pt>
                <c:pt idx="137">
                  <c:v>0.19964672229879027</c:v>
                </c:pt>
                <c:pt idx="138">
                  <c:v>0.19964672229879027</c:v>
                </c:pt>
                <c:pt idx="139">
                  <c:v>0.19125856762608923</c:v>
                </c:pt>
                <c:pt idx="140">
                  <c:v>0.19125856762608923</c:v>
                </c:pt>
                <c:pt idx="141">
                  <c:v>0.19125856762608923</c:v>
                </c:pt>
                <c:pt idx="142">
                  <c:v>0.19125856762608923</c:v>
                </c:pt>
                <c:pt idx="143">
                  <c:v>0.18465494663068971</c:v>
                </c:pt>
                <c:pt idx="144">
                  <c:v>0.18465494663068971</c:v>
                </c:pt>
                <c:pt idx="145">
                  <c:v>0.18465494663068971</c:v>
                </c:pt>
                <c:pt idx="146">
                  <c:v>0.18465494663068971</c:v>
                </c:pt>
                <c:pt idx="147">
                  <c:v>0.18465494663068971</c:v>
                </c:pt>
                <c:pt idx="148">
                  <c:v>0.17883453886377174</c:v>
                </c:pt>
                <c:pt idx="149">
                  <c:v>0.17883453886377174</c:v>
                </c:pt>
                <c:pt idx="150">
                  <c:v>0.17883453886377174</c:v>
                </c:pt>
                <c:pt idx="151">
                  <c:v>0.17883453886377174</c:v>
                </c:pt>
                <c:pt idx="152">
                  <c:v>0.17304694334456563</c:v>
                </c:pt>
                <c:pt idx="153">
                  <c:v>0.17304694334456563</c:v>
                </c:pt>
                <c:pt idx="154">
                  <c:v>0.17304694334456563</c:v>
                </c:pt>
                <c:pt idx="155">
                  <c:v>0.17304694334456563</c:v>
                </c:pt>
                <c:pt idx="156">
                  <c:v>0.16759693988889501</c:v>
                </c:pt>
                <c:pt idx="157">
                  <c:v>0.16759693988889501</c:v>
                </c:pt>
                <c:pt idx="158">
                  <c:v>0.16759693988889501</c:v>
                </c:pt>
                <c:pt idx="159">
                  <c:v>0.16759693988889501</c:v>
                </c:pt>
                <c:pt idx="160">
                  <c:v>0.16759693988889501</c:v>
                </c:pt>
                <c:pt idx="161">
                  <c:v>0.16289271949515696</c:v>
                </c:pt>
                <c:pt idx="162">
                  <c:v>0.16289271949515696</c:v>
                </c:pt>
                <c:pt idx="163">
                  <c:v>0.16289271949515696</c:v>
                </c:pt>
                <c:pt idx="164">
                  <c:v>0.16289271949515696</c:v>
                </c:pt>
                <c:pt idx="165">
                  <c:v>0.15916451584686789</c:v>
                </c:pt>
                <c:pt idx="166">
                  <c:v>0.15916451584686789</c:v>
                </c:pt>
                <c:pt idx="167">
                  <c:v>0.15916451584686789</c:v>
                </c:pt>
                <c:pt idx="168">
                  <c:v>0.15916451584686789</c:v>
                </c:pt>
                <c:pt idx="169">
                  <c:v>0.15484742317936076</c:v>
                </c:pt>
                <c:pt idx="170">
                  <c:v>0.15484742317936076</c:v>
                </c:pt>
                <c:pt idx="171">
                  <c:v>0.15484742317936076</c:v>
                </c:pt>
                <c:pt idx="172">
                  <c:v>0.15484742317936076</c:v>
                </c:pt>
                <c:pt idx="173">
                  <c:v>0.15068828465006784</c:v>
                </c:pt>
                <c:pt idx="174">
                  <c:v>0.15068828465006784</c:v>
                </c:pt>
                <c:pt idx="175">
                  <c:v>0.15068828465006784</c:v>
                </c:pt>
                <c:pt idx="176">
                  <c:v>0.15068828465006784</c:v>
                </c:pt>
                <c:pt idx="177">
                  <c:v>0.15068828465006784</c:v>
                </c:pt>
                <c:pt idx="178">
                  <c:v>0.14633606054432916</c:v>
                </c:pt>
                <c:pt idx="179">
                  <c:v>0.14633606054432916</c:v>
                </c:pt>
                <c:pt idx="180">
                  <c:v>0.14633606054432916</c:v>
                </c:pt>
                <c:pt idx="181">
                  <c:v>0.14633606054432916</c:v>
                </c:pt>
                <c:pt idx="182">
                  <c:v>0.14217128811914262</c:v>
                </c:pt>
                <c:pt idx="183">
                  <c:v>0.14217128811914262</c:v>
                </c:pt>
                <c:pt idx="184">
                  <c:v>0.14217128811914262</c:v>
                </c:pt>
                <c:pt idx="185">
                  <c:v>0.14217128811914262</c:v>
                </c:pt>
                <c:pt idx="186">
                  <c:v>0.14217128811914262</c:v>
                </c:pt>
                <c:pt idx="187">
                  <c:v>0.13726921649283416</c:v>
                </c:pt>
                <c:pt idx="188">
                  <c:v>0.13726921649283416</c:v>
                </c:pt>
                <c:pt idx="189">
                  <c:v>0.13726921649283416</c:v>
                </c:pt>
                <c:pt idx="190">
                  <c:v>0.13726921649283416</c:v>
                </c:pt>
                <c:pt idx="191">
                  <c:v>0.13290290240855962</c:v>
                </c:pt>
                <c:pt idx="192">
                  <c:v>0.13290290240855962</c:v>
                </c:pt>
                <c:pt idx="193">
                  <c:v>0.13290290240855962</c:v>
                </c:pt>
                <c:pt idx="194">
                  <c:v>0.13290290240855962</c:v>
                </c:pt>
                <c:pt idx="195">
                  <c:v>0.12860098490544827</c:v>
                </c:pt>
                <c:pt idx="196">
                  <c:v>0.12860098490544827</c:v>
                </c:pt>
                <c:pt idx="197">
                  <c:v>0.12860098490544827</c:v>
                </c:pt>
                <c:pt idx="198">
                  <c:v>0.12860098490544827</c:v>
                </c:pt>
                <c:pt idx="199">
                  <c:v>0.12860098490544827</c:v>
                </c:pt>
                <c:pt idx="200">
                  <c:v>0.12465486337646373</c:v>
                </c:pt>
                <c:pt idx="201">
                  <c:v>0.12465486337646373</c:v>
                </c:pt>
                <c:pt idx="202">
                  <c:v>0.12465486337646373</c:v>
                </c:pt>
                <c:pt idx="203">
                  <c:v>0.12465486337646373</c:v>
                </c:pt>
                <c:pt idx="204">
                  <c:v>0.12139425827709796</c:v>
                </c:pt>
                <c:pt idx="205">
                  <c:v>0.12139425827709796</c:v>
                </c:pt>
                <c:pt idx="206">
                  <c:v>0.12139425827709796</c:v>
                </c:pt>
                <c:pt idx="207">
                  <c:v>0.12139425827709796</c:v>
                </c:pt>
                <c:pt idx="208">
                  <c:v>0.12139425827709796</c:v>
                </c:pt>
                <c:pt idx="209">
                  <c:v>0.11801270464106903</c:v>
                </c:pt>
                <c:pt idx="210">
                  <c:v>0.11801270464106903</c:v>
                </c:pt>
                <c:pt idx="211">
                  <c:v>0.11801270464106903</c:v>
                </c:pt>
                <c:pt idx="212">
                  <c:v>0.11801270464106903</c:v>
                </c:pt>
                <c:pt idx="213">
                  <c:v>0.11418005242057283</c:v>
                </c:pt>
                <c:pt idx="214">
                  <c:v>0.11418005242057283</c:v>
                </c:pt>
                <c:pt idx="215">
                  <c:v>0.11418005242057283</c:v>
                </c:pt>
                <c:pt idx="216">
                  <c:v>0.11418005242057283</c:v>
                </c:pt>
                <c:pt idx="217">
                  <c:v>0.11138179926193666</c:v>
                </c:pt>
                <c:pt idx="218">
                  <c:v>0.11138179926193666</c:v>
                </c:pt>
                <c:pt idx="219">
                  <c:v>0.11138179926193666</c:v>
                </c:pt>
                <c:pt idx="220">
                  <c:v>0.11138179926193666</c:v>
                </c:pt>
                <c:pt idx="221">
                  <c:v>0.10752283550041125</c:v>
                </c:pt>
                <c:pt idx="222">
                  <c:v>0.10752283550041125</c:v>
                </c:pt>
                <c:pt idx="223">
                  <c:v>0.10752283550041125</c:v>
                </c:pt>
                <c:pt idx="224">
                  <c:v>0.10752283550041125</c:v>
                </c:pt>
                <c:pt idx="225">
                  <c:v>0.10752283550041125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96160"/>
        <c:axId val="353573888"/>
      </c:lineChart>
      <c:dateAx>
        <c:axId val="352447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53571968"/>
        <c:crosses val="autoZero"/>
        <c:auto val="1"/>
        <c:lblOffset val="100"/>
        <c:baseTimeUnit val="days"/>
      </c:dateAx>
      <c:valAx>
        <c:axId val="35357196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52447872"/>
        <c:crosses val="autoZero"/>
        <c:crossBetween val="between"/>
        <c:dispUnits>
          <c:builtInUnit val="billions"/>
          <c:dispUnitsLbl/>
        </c:dispUnits>
      </c:valAx>
      <c:valAx>
        <c:axId val="3535738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353596160"/>
        <c:crosses val="max"/>
        <c:crossBetween val="between"/>
      </c:valAx>
      <c:dateAx>
        <c:axId val="353596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53573888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405056"/>
        <c:axId val="361509248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513344"/>
        <c:axId val="361511168"/>
      </c:lineChart>
      <c:dateAx>
        <c:axId val="361405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1509248"/>
        <c:crosses val="autoZero"/>
        <c:auto val="1"/>
        <c:lblOffset val="100"/>
        <c:baseTimeUnit val="days"/>
        <c:majorUnit val="6"/>
        <c:majorTimeUnit val="months"/>
      </c:dateAx>
      <c:valAx>
        <c:axId val="36150924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61405056"/>
        <c:crosses val="autoZero"/>
        <c:crossBetween val="between"/>
        <c:majorUnit val="0.2"/>
      </c:valAx>
      <c:valAx>
        <c:axId val="36151116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1513344"/>
        <c:crosses val="max"/>
        <c:crossBetween val="between"/>
      </c:valAx>
      <c:dateAx>
        <c:axId val="3615133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6151116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628224"/>
        <c:axId val="362629760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658432"/>
        <c:axId val="362656512"/>
      </c:lineChart>
      <c:dateAx>
        <c:axId val="362628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2629760"/>
        <c:crosses val="autoZero"/>
        <c:auto val="1"/>
        <c:lblOffset val="100"/>
        <c:baseTimeUnit val="days"/>
        <c:majorUnit val="6"/>
        <c:majorTimeUnit val="months"/>
      </c:dateAx>
      <c:valAx>
        <c:axId val="36262976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62628224"/>
        <c:crosses val="autoZero"/>
        <c:crossBetween val="between"/>
        <c:majorUnit val="0.2"/>
      </c:valAx>
      <c:valAx>
        <c:axId val="3626565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2658432"/>
        <c:crosses val="max"/>
        <c:crossBetween val="between"/>
      </c:valAx>
      <c:dateAx>
        <c:axId val="362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6265651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965632"/>
        <c:axId val="362979712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000192"/>
        <c:axId val="362981632"/>
      </c:lineChart>
      <c:dateAx>
        <c:axId val="362965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2979712"/>
        <c:crosses val="autoZero"/>
        <c:auto val="1"/>
        <c:lblOffset val="100"/>
        <c:baseTimeUnit val="days"/>
        <c:majorUnit val="6"/>
        <c:majorTimeUnit val="months"/>
      </c:dateAx>
      <c:valAx>
        <c:axId val="36297971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62965632"/>
        <c:crosses val="autoZero"/>
        <c:crossBetween val="between"/>
        <c:majorUnit val="0.2"/>
      </c:valAx>
      <c:valAx>
        <c:axId val="3629816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3000192"/>
        <c:crosses val="max"/>
        <c:crossBetween val="between"/>
      </c:valAx>
      <c:dateAx>
        <c:axId val="3630001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6298163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545088"/>
        <c:axId val="361546880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550464"/>
        <c:axId val="361548800"/>
      </c:lineChart>
      <c:dateAx>
        <c:axId val="361545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1546880"/>
        <c:crosses val="autoZero"/>
        <c:auto val="1"/>
        <c:lblOffset val="100"/>
        <c:baseTimeUnit val="days"/>
        <c:majorUnit val="6"/>
        <c:majorTimeUnit val="months"/>
      </c:dateAx>
      <c:valAx>
        <c:axId val="36154688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61545088"/>
        <c:crosses val="autoZero"/>
        <c:crossBetween val="between"/>
        <c:majorUnit val="0.2"/>
      </c:valAx>
      <c:valAx>
        <c:axId val="36154880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9550464"/>
        <c:crosses val="max"/>
        <c:crossBetween val="between"/>
      </c:valAx>
      <c:dateAx>
        <c:axId val="369550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61548800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44416"/>
        <c:axId val="371258496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348608"/>
        <c:axId val="371260416"/>
      </c:lineChart>
      <c:dateAx>
        <c:axId val="371244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71258496"/>
        <c:crosses val="autoZero"/>
        <c:auto val="1"/>
        <c:lblOffset val="100"/>
        <c:baseTimeUnit val="days"/>
        <c:majorUnit val="6"/>
        <c:majorTimeUnit val="months"/>
      </c:dateAx>
      <c:valAx>
        <c:axId val="371258496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71244416"/>
        <c:crosses val="autoZero"/>
        <c:crossBetween val="between"/>
        <c:majorUnit val="0.2"/>
      </c:valAx>
      <c:valAx>
        <c:axId val="3712604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1348608"/>
        <c:crosses val="max"/>
        <c:crossBetween val="between"/>
      </c:valAx>
      <c:dateAx>
        <c:axId val="3713486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1260416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Sheet1!$F$2</c:f>
              <c:strCache>
                <c:ptCount val="1"/>
                <c:pt idx="0">
                  <c:v>Diff(New-HARP)</c:v>
                </c:pt>
              </c:strCache>
            </c:strRef>
          </c:tx>
          <c:invertIfNegative val="0"/>
          <c:cat>
            <c:numRef>
              <c:f>Sheet1!$B$3:$B$227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Sheet1!$F$3:$F$227</c:f>
              <c:numCache>
                <c:formatCode>0%</c:formatCode>
                <c:ptCount val="225"/>
                <c:pt idx="0">
                  <c:v>4.9681956069865973E-2</c:v>
                </c:pt>
                <c:pt idx="1">
                  <c:v>4.8660848703604986E-2</c:v>
                </c:pt>
                <c:pt idx="2">
                  <c:v>4.9665388139987998E-2</c:v>
                </c:pt>
                <c:pt idx="3">
                  <c:v>4.9687891859300004E-2</c:v>
                </c:pt>
                <c:pt idx="4">
                  <c:v>5.1522779675113983E-2</c:v>
                </c:pt>
                <c:pt idx="5">
                  <c:v>5.5942017761610008E-2</c:v>
                </c:pt>
                <c:pt idx="6">
                  <c:v>5.3742831672082991E-2</c:v>
                </c:pt>
                <c:pt idx="7">
                  <c:v>5.3229317811437027E-2</c:v>
                </c:pt>
                <c:pt idx="8">
                  <c:v>5.2254529605419986E-2</c:v>
                </c:pt>
                <c:pt idx="9">
                  <c:v>5.2266161726140015E-2</c:v>
                </c:pt>
                <c:pt idx="10">
                  <c:v>5.076051081566102E-2</c:v>
                </c:pt>
                <c:pt idx="11">
                  <c:v>5.1840271640716029E-2</c:v>
                </c:pt>
                <c:pt idx="12">
                  <c:v>5.2253841421740999E-2</c:v>
                </c:pt>
                <c:pt idx="13">
                  <c:v>5.3055423953806025E-2</c:v>
                </c:pt>
                <c:pt idx="14">
                  <c:v>5.3073531311389976E-2</c:v>
                </c:pt>
                <c:pt idx="15">
                  <c:v>5.2626544891899996E-2</c:v>
                </c:pt>
                <c:pt idx="16">
                  <c:v>5.2616785274462008E-2</c:v>
                </c:pt>
                <c:pt idx="17">
                  <c:v>5.2410307276545998E-2</c:v>
                </c:pt>
                <c:pt idx="18">
                  <c:v>5.0897996694234005E-2</c:v>
                </c:pt>
                <c:pt idx="19">
                  <c:v>5.0895735758964E-2</c:v>
                </c:pt>
                <c:pt idx="20">
                  <c:v>5.0836558812519972E-2</c:v>
                </c:pt>
                <c:pt idx="21">
                  <c:v>5.1449634205825046E-2</c:v>
                </c:pt>
                <c:pt idx="22">
                  <c:v>5.0596587132760995E-2</c:v>
                </c:pt>
                <c:pt idx="23">
                  <c:v>5.0597213247861039E-2</c:v>
                </c:pt>
                <c:pt idx="24">
                  <c:v>5.1449634205825046E-2</c:v>
                </c:pt>
                <c:pt idx="25">
                  <c:v>5.0599296152577022E-2</c:v>
                </c:pt>
                <c:pt idx="26">
                  <c:v>5.3388475571083005E-2</c:v>
                </c:pt>
                <c:pt idx="27">
                  <c:v>5.1845576376496005E-2</c:v>
                </c:pt>
                <c:pt idx="28">
                  <c:v>5.2679575258972933E-2</c:v>
                </c:pt>
                <c:pt idx="29">
                  <c:v>5.2785925753240037E-2</c:v>
                </c:pt>
                <c:pt idx="30">
                  <c:v>5.204892715568199E-2</c:v>
                </c:pt>
                <c:pt idx="31">
                  <c:v>4.8557759518373045E-2</c:v>
                </c:pt>
                <c:pt idx="32">
                  <c:v>4.3470774547205049E-2</c:v>
                </c:pt>
                <c:pt idx="33">
                  <c:v>4.5299246280715022E-2</c:v>
                </c:pt>
                <c:pt idx="34">
                  <c:v>4.6880234734432036E-2</c:v>
                </c:pt>
                <c:pt idx="35">
                  <c:v>4.3335763110829095E-2</c:v>
                </c:pt>
                <c:pt idx="36">
                  <c:v>4.212722522416501E-2</c:v>
                </c:pt>
                <c:pt idx="37">
                  <c:v>4.212722522416501E-2</c:v>
                </c:pt>
                <c:pt idx="38">
                  <c:v>3.9709611978290038E-2</c:v>
                </c:pt>
                <c:pt idx="39">
                  <c:v>4.0584634402153985E-2</c:v>
                </c:pt>
                <c:pt idx="40">
                  <c:v>4.6966171813505042E-2</c:v>
                </c:pt>
                <c:pt idx="41">
                  <c:v>4.5817546675279042E-2</c:v>
                </c:pt>
                <c:pt idx="42">
                  <c:v>4.5366069378486973E-2</c:v>
                </c:pt>
                <c:pt idx="43">
                  <c:v>4.3536352622293051E-2</c:v>
                </c:pt>
                <c:pt idx="44">
                  <c:v>4.3533583011687971E-2</c:v>
                </c:pt>
                <c:pt idx="45">
                  <c:v>4.3536352622293051E-2</c:v>
                </c:pt>
                <c:pt idx="46">
                  <c:v>4.2491166119224988E-2</c:v>
                </c:pt>
                <c:pt idx="47">
                  <c:v>4.4972673076295933E-2</c:v>
                </c:pt>
                <c:pt idx="48">
                  <c:v>4.4969749689974026E-2</c:v>
                </c:pt>
                <c:pt idx="49">
                  <c:v>4.3808514908793006E-2</c:v>
                </c:pt>
                <c:pt idx="50">
                  <c:v>4.2579497872953009E-2</c:v>
                </c:pt>
                <c:pt idx="51">
                  <c:v>4.3356540736460003E-2</c:v>
                </c:pt>
                <c:pt idx="52">
                  <c:v>4.5033347269854973E-2</c:v>
                </c:pt>
                <c:pt idx="53">
                  <c:v>4.4120124847241038E-2</c:v>
                </c:pt>
                <c:pt idx="54">
                  <c:v>4.4224808651309955E-2</c:v>
                </c:pt>
                <c:pt idx="55">
                  <c:v>4.5628594878543982E-2</c:v>
                </c:pt>
                <c:pt idx="56">
                  <c:v>4.5930080793434969E-2</c:v>
                </c:pt>
                <c:pt idx="57">
                  <c:v>4.5930080793434969E-2</c:v>
                </c:pt>
                <c:pt idx="58">
                  <c:v>4.5930080793434969E-2</c:v>
                </c:pt>
                <c:pt idx="59">
                  <c:v>4.7305104367195039E-2</c:v>
                </c:pt>
                <c:pt idx="60">
                  <c:v>4.849387073901601E-2</c:v>
                </c:pt>
                <c:pt idx="61">
                  <c:v>4.7727495975661949E-2</c:v>
                </c:pt>
                <c:pt idx="62">
                  <c:v>4.8504482962385964E-2</c:v>
                </c:pt>
                <c:pt idx="63">
                  <c:v>5.2316048521025005E-2</c:v>
                </c:pt>
                <c:pt idx="64">
                  <c:v>5.0002126026328031E-2</c:v>
                </c:pt>
                <c:pt idx="65">
                  <c:v>5.0536932626184972E-2</c:v>
                </c:pt>
                <c:pt idx="66">
                  <c:v>4.7142023384497023E-2</c:v>
                </c:pt>
                <c:pt idx="67">
                  <c:v>4.9827124625569041E-2</c:v>
                </c:pt>
                <c:pt idx="68">
                  <c:v>4.7142023384497023E-2</c:v>
                </c:pt>
                <c:pt idx="69">
                  <c:v>4.6513643893995038E-2</c:v>
                </c:pt>
                <c:pt idx="70">
                  <c:v>4.4962048997335913E-2</c:v>
                </c:pt>
                <c:pt idx="71">
                  <c:v>4.4049418264657025E-2</c:v>
                </c:pt>
                <c:pt idx="72">
                  <c:v>4.463988254888307E-2</c:v>
                </c:pt>
                <c:pt idx="73">
                  <c:v>4.3485193204071959E-2</c:v>
                </c:pt>
                <c:pt idx="74">
                  <c:v>4.0210186674963011E-2</c:v>
                </c:pt>
                <c:pt idx="75">
                  <c:v>4.119083451579697E-2</c:v>
                </c:pt>
                <c:pt idx="76">
                  <c:v>3.9415006624436977E-2</c:v>
                </c:pt>
                <c:pt idx="77">
                  <c:v>3.9415006624436977E-2</c:v>
                </c:pt>
                <c:pt idx="78">
                  <c:v>4.1386957775770949E-2</c:v>
                </c:pt>
                <c:pt idx="79">
                  <c:v>3.8313969867081021E-2</c:v>
                </c:pt>
                <c:pt idx="80">
                  <c:v>3.6602249854558955E-2</c:v>
                </c:pt>
                <c:pt idx="81">
                  <c:v>3.5465880668124061E-2</c:v>
                </c:pt>
                <c:pt idx="82">
                  <c:v>4.1884876870885934E-2</c:v>
                </c:pt>
                <c:pt idx="83">
                  <c:v>4.191259257431601E-2</c:v>
                </c:pt>
                <c:pt idx="84">
                  <c:v>4.2244079902605924E-2</c:v>
                </c:pt>
                <c:pt idx="85">
                  <c:v>4.5171992456946031E-2</c:v>
                </c:pt>
                <c:pt idx="86">
                  <c:v>4.191259257431601E-2</c:v>
                </c:pt>
                <c:pt idx="87">
                  <c:v>4.4481326001255983E-2</c:v>
                </c:pt>
                <c:pt idx="88">
                  <c:v>4.2729007195453028E-2</c:v>
                </c:pt>
                <c:pt idx="89">
                  <c:v>4.0397824553434991E-2</c:v>
                </c:pt>
                <c:pt idx="90">
                  <c:v>3.671793314546401E-2</c:v>
                </c:pt>
                <c:pt idx="91">
                  <c:v>4.0069189691301021E-2</c:v>
                </c:pt>
                <c:pt idx="92">
                  <c:v>4.2465977401286992E-2</c:v>
                </c:pt>
                <c:pt idx="93">
                  <c:v>4.1325455512144949E-2</c:v>
                </c:pt>
                <c:pt idx="94">
                  <c:v>4.2798572221068976E-2</c:v>
                </c:pt>
                <c:pt idx="95">
                  <c:v>4.7852691336546016E-2</c:v>
                </c:pt>
                <c:pt idx="96">
                  <c:v>4.8022190060210912E-2</c:v>
                </c:pt>
                <c:pt idx="97">
                  <c:v>4.5559123217848052E-2</c:v>
                </c:pt>
                <c:pt idx="98">
                  <c:v>4.5005134377127942E-2</c:v>
                </c:pt>
                <c:pt idx="99">
                  <c:v>4.5562969308011958E-2</c:v>
                </c:pt>
                <c:pt idx="100">
                  <c:v>4.8480990056891993E-2</c:v>
                </c:pt>
                <c:pt idx="101">
                  <c:v>4.7950043620263005E-2</c:v>
                </c:pt>
                <c:pt idx="102">
                  <c:v>4.9658330443559051E-2</c:v>
                </c:pt>
                <c:pt idx="103">
                  <c:v>4.8759460889514994E-2</c:v>
                </c:pt>
                <c:pt idx="104">
                  <c:v>5.167236310817902E-2</c:v>
                </c:pt>
                <c:pt idx="105">
                  <c:v>5.4023988578536963E-2</c:v>
                </c:pt>
                <c:pt idx="106">
                  <c:v>5.2826210591674028E-2</c:v>
                </c:pt>
                <c:pt idx="107">
                  <c:v>5.4922196166124926E-2</c:v>
                </c:pt>
                <c:pt idx="108">
                  <c:v>5.8480524051467975E-2</c:v>
                </c:pt>
                <c:pt idx="109">
                  <c:v>6.4069792538737014E-2</c:v>
                </c:pt>
                <c:pt idx="110">
                  <c:v>6.4069792538737014E-2</c:v>
                </c:pt>
                <c:pt idx="111">
                  <c:v>6.4589627652551052E-2</c:v>
                </c:pt>
                <c:pt idx="112">
                  <c:v>6.2808723737799999E-2</c:v>
                </c:pt>
                <c:pt idx="113">
                  <c:v>6.6119036917175911E-2</c:v>
                </c:pt>
                <c:pt idx="114">
                  <c:v>7.0202414852295059E-2</c:v>
                </c:pt>
                <c:pt idx="115">
                  <c:v>6.7607062022061015E-2</c:v>
                </c:pt>
                <c:pt idx="116">
                  <c:v>6.8147431444700035E-2</c:v>
                </c:pt>
                <c:pt idx="117">
                  <c:v>7.0366635884142936E-2</c:v>
                </c:pt>
                <c:pt idx="118">
                  <c:v>6.6939404421787918E-2</c:v>
                </c:pt>
                <c:pt idx="119">
                  <c:v>6.457017237993401E-2</c:v>
                </c:pt>
                <c:pt idx="120">
                  <c:v>6.5922609873589E-2</c:v>
                </c:pt>
                <c:pt idx="121">
                  <c:v>6.5020553468626008E-2</c:v>
                </c:pt>
                <c:pt idx="122">
                  <c:v>6.7542928607321917E-2</c:v>
                </c:pt>
                <c:pt idx="123">
                  <c:v>7.0251667692796005E-2</c:v>
                </c:pt>
                <c:pt idx="124">
                  <c:v>7.3784060733451007E-2</c:v>
                </c:pt>
                <c:pt idx="125">
                  <c:v>8.265601113059895E-2</c:v>
                </c:pt>
                <c:pt idx="126">
                  <c:v>8.8858118403525976E-2</c:v>
                </c:pt>
                <c:pt idx="127">
                  <c:v>9.1423313409527973E-2</c:v>
                </c:pt>
                <c:pt idx="128">
                  <c:v>9.1272572997163959E-2</c:v>
                </c:pt>
                <c:pt idx="129">
                  <c:v>0.10858146909287497</c:v>
                </c:pt>
                <c:pt idx="130">
                  <c:v>0.10591932116693303</c:v>
                </c:pt>
                <c:pt idx="131">
                  <c:v>0.11304471223312201</c:v>
                </c:pt>
                <c:pt idx="132">
                  <c:v>0.10860563082670499</c:v>
                </c:pt>
                <c:pt idx="133">
                  <c:v>0.10846939237572301</c:v>
                </c:pt>
                <c:pt idx="134">
                  <c:v>0.11428735406067903</c:v>
                </c:pt>
                <c:pt idx="135">
                  <c:v>0.11436459529991899</c:v>
                </c:pt>
                <c:pt idx="136">
                  <c:v>0.11436459529991899</c:v>
                </c:pt>
                <c:pt idx="137">
                  <c:v>0.11793513882251802</c:v>
                </c:pt>
                <c:pt idx="138">
                  <c:v>0.11606145999202302</c:v>
                </c:pt>
                <c:pt idx="139">
                  <c:v>0.12036813113654096</c:v>
                </c:pt>
                <c:pt idx="140">
                  <c:v>0.12106720924196002</c:v>
                </c:pt>
                <c:pt idx="141">
                  <c:v>0.11912245980973599</c:v>
                </c:pt>
                <c:pt idx="142">
                  <c:v>0.11331803434194804</c:v>
                </c:pt>
                <c:pt idx="143">
                  <c:v>0.11326918389790597</c:v>
                </c:pt>
                <c:pt idx="144">
                  <c:v>0.11338479306098298</c:v>
                </c:pt>
                <c:pt idx="145">
                  <c:v>0.11567318665679499</c:v>
                </c:pt>
                <c:pt idx="146">
                  <c:v>0.11083011454733699</c:v>
                </c:pt>
                <c:pt idx="147">
                  <c:v>0.10923001035334001</c:v>
                </c:pt>
                <c:pt idx="148">
                  <c:v>0.11489209899150399</c:v>
                </c:pt>
                <c:pt idx="149">
                  <c:v>0.121476275921925</c:v>
                </c:pt>
                <c:pt idx="150">
                  <c:v>0.116572236804385</c:v>
                </c:pt>
                <c:pt idx="151">
                  <c:v>0.11907962492922503</c:v>
                </c:pt>
                <c:pt idx="152">
                  <c:v>0.12665224498601899</c:v>
                </c:pt>
                <c:pt idx="153">
                  <c:v>0.12670462491107398</c:v>
                </c:pt>
                <c:pt idx="154">
                  <c:v>0.12868787506670498</c:v>
                </c:pt>
                <c:pt idx="155">
                  <c:v>0.12869822838356401</c:v>
                </c:pt>
                <c:pt idx="156">
                  <c:v>0.13235164261676</c:v>
                </c:pt>
                <c:pt idx="157">
                  <c:v>0.13052998310084499</c:v>
                </c:pt>
                <c:pt idx="158">
                  <c:v>0.129067230613571</c:v>
                </c:pt>
                <c:pt idx="159">
                  <c:v>0.128959458211717</c:v>
                </c:pt>
                <c:pt idx="160">
                  <c:v>0.12516176327866302</c:v>
                </c:pt>
                <c:pt idx="161">
                  <c:v>0.12498812825746303</c:v>
                </c:pt>
                <c:pt idx="162">
                  <c:v>0.12723741836596197</c:v>
                </c:pt>
                <c:pt idx="163">
                  <c:v>0.12940261076594201</c:v>
                </c:pt>
                <c:pt idx="164">
                  <c:v>0.12963743782098303</c:v>
                </c:pt>
                <c:pt idx="165">
                  <c:v>0.12915453306417901</c:v>
                </c:pt>
                <c:pt idx="166">
                  <c:v>0.13139674598219397</c:v>
                </c:pt>
                <c:pt idx="167">
                  <c:v>0.12955976056676</c:v>
                </c:pt>
                <c:pt idx="168">
                  <c:v>0.13149914839885302</c:v>
                </c:pt>
                <c:pt idx="169">
                  <c:v>0.13553098621107298</c:v>
                </c:pt>
                <c:pt idx="170">
                  <c:v>0.13335373893424096</c:v>
                </c:pt>
                <c:pt idx="171">
                  <c:v>0.13106221940475804</c:v>
                </c:pt>
                <c:pt idx="172">
                  <c:v>0.13147501699685998</c:v>
                </c:pt>
                <c:pt idx="173">
                  <c:v>0.13341732927557104</c:v>
                </c:pt>
                <c:pt idx="174">
                  <c:v>0.129074678830153</c:v>
                </c:pt>
                <c:pt idx="175">
                  <c:v>0.12907123991127301</c:v>
                </c:pt>
                <c:pt idx="176">
                  <c:v>0.12692637574172699</c:v>
                </c:pt>
                <c:pt idx="177">
                  <c:v>0.126688957908763</c:v>
                </c:pt>
                <c:pt idx="178">
                  <c:v>0.129357731190895</c:v>
                </c:pt>
                <c:pt idx="179">
                  <c:v>0.13174338866962304</c:v>
                </c:pt>
                <c:pt idx="180">
                  <c:v>0.13117540970414698</c:v>
                </c:pt>
                <c:pt idx="181">
                  <c:v>0.129357731190895</c:v>
                </c:pt>
                <c:pt idx="182">
                  <c:v>0.13206256951987799</c:v>
                </c:pt>
                <c:pt idx="183">
                  <c:v>0.13507876509500705</c:v>
                </c:pt>
                <c:pt idx="184">
                  <c:v>0.13336025888524</c:v>
                </c:pt>
                <c:pt idx="185">
                  <c:v>0.13336025888524</c:v>
                </c:pt>
                <c:pt idx="186">
                  <c:v>0.133248975840009</c:v>
                </c:pt>
                <c:pt idx="187">
                  <c:v>0.13869601439951795</c:v>
                </c:pt>
                <c:pt idx="188">
                  <c:v>0.13697829136067596</c:v>
                </c:pt>
                <c:pt idx="189">
                  <c:v>0.13573257975389896</c:v>
                </c:pt>
                <c:pt idx="190">
                  <c:v>0.13573257975389896</c:v>
                </c:pt>
                <c:pt idx="191">
                  <c:v>0.13940122502878999</c:v>
                </c:pt>
                <c:pt idx="192">
                  <c:v>0.139424419743299</c:v>
                </c:pt>
                <c:pt idx="193">
                  <c:v>0.143000232665905</c:v>
                </c:pt>
                <c:pt idx="194">
                  <c:v>0.142495036279146</c:v>
                </c:pt>
                <c:pt idx="195">
                  <c:v>0.14494921983651998</c:v>
                </c:pt>
                <c:pt idx="196">
                  <c:v>0.14351304250540303</c:v>
                </c:pt>
                <c:pt idx="197">
                  <c:v>0.139044264392162</c:v>
                </c:pt>
                <c:pt idx="198">
                  <c:v>0.13556287119251398</c:v>
                </c:pt>
                <c:pt idx="199">
                  <c:v>0.13904705172683901</c:v>
                </c:pt>
                <c:pt idx="200">
                  <c:v>0.14460378848361399</c:v>
                </c:pt>
                <c:pt idx="201">
                  <c:v>0.14458471964689901</c:v>
                </c:pt>
                <c:pt idx="202">
                  <c:v>0.14297271363370706</c:v>
                </c:pt>
                <c:pt idx="203">
                  <c:v>0.14296438407052303</c:v>
                </c:pt>
                <c:pt idx="204">
                  <c:v>0.14215413573701696</c:v>
                </c:pt>
                <c:pt idx="205">
                  <c:v>0.142496353399862</c:v>
                </c:pt>
                <c:pt idx="206">
                  <c:v>0.13884491721130904</c:v>
                </c:pt>
                <c:pt idx="207">
                  <c:v>0.14046537244677598</c:v>
                </c:pt>
                <c:pt idx="208">
                  <c:v>0.14215487269297394</c:v>
                </c:pt>
                <c:pt idx="209">
                  <c:v>0.137201969127423</c:v>
                </c:pt>
                <c:pt idx="210">
                  <c:v>0.13161890987067004</c:v>
                </c:pt>
                <c:pt idx="211">
                  <c:v>0.12958318624448695</c:v>
                </c:pt>
                <c:pt idx="212">
                  <c:v>0.13161890987067004</c:v>
                </c:pt>
                <c:pt idx="213">
                  <c:v>0.12998501576494204</c:v>
                </c:pt>
                <c:pt idx="214">
                  <c:v>0.13645933344849803</c:v>
                </c:pt>
                <c:pt idx="215">
                  <c:v>0.14025964003600594</c:v>
                </c:pt>
                <c:pt idx="216">
                  <c:v>0.14371582239505298</c:v>
                </c:pt>
                <c:pt idx="217">
                  <c:v>0.14212688776549898</c:v>
                </c:pt>
                <c:pt idx="218">
                  <c:v>0.14883475373922694</c:v>
                </c:pt>
                <c:pt idx="219">
                  <c:v>0.14265004103212298</c:v>
                </c:pt>
                <c:pt idx="220">
                  <c:v>0.13849107607925293</c:v>
                </c:pt>
                <c:pt idx="221">
                  <c:v>0.14349355854661294</c:v>
                </c:pt>
                <c:pt idx="222">
                  <c:v>0.139475386684352</c:v>
                </c:pt>
                <c:pt idx="223">
                  <c:v>0.14216269498466499</c:v>
                </c:pt>
                <c:pt idx="224">
                  <c:v>0.13754864317428006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310336"/>
        <c:axId val="389545984"/>
      </c:barChart>
      <c:dateAx>
        <c:axId val="389310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9545984"/>
        <c:crosses val="autoZero"/>
        <c:auto val="1"/>
        <c:lblOffset val="100"/>
        <c:baseTimeUnit val="days"/>
      </c:dateAx>
      <c:valAx>
        <c:axId val="3895459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89310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PoolRefinancible!$K$2</c:f>
              <c:strCache>
                <c:ptCount val="1"/>
                <c:pt idx="0">
                  <c:v>Currnet PMI</c:v>
                </c:pt>
              </c:strCache>
            </c:strRef>
          </c:tx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PoolRefinancible!$K$3:$K$227</c:f>
              <c:numCache>
                <c:formatCode>0%</c:formatCode>
                <c:ptCount val="225"/>
                <c:pt idx="0">
                  <c:v>0.46885641253034299</c:v>
                </c:pt>
                <c:pt idx="1">
                  <c:v>0.484880705000166</c:v>
                </c:pt>
                <c:pt idx="2">
                  <c:v>0.46911247375695397</c:v>
                </c:pt>
                <c:pt idx="3">
                  <c:v>0.46839804028281901</c:v>
                </c:pt>
                <c:pt idx="4">
                  <c:v>0.440398387253014</c:v>
                </c:pt>
                <c:pt idx="5">
                  <c:v>0.40695271820136403</c:v>
                </c:pt>
                <c:pt idx="6">
                  <c:v>0.41797156185356299</c:v>
                </c:pt>
                <c:pt idx="7">
                  <c:v>0.42749088486683401</c:v>
                </c:pt>
                <c:pt idx="8">
                  <c:v>0.43033160357153799</c:v>
                </c:pt>
                <c:pt idx="9">
                  <c:v>0.43030110657149201</c:v>
                </c:pt>
                <c:pt idx="10">
                  <c:v>0.45843967337938502</c:v>
                </c:pt>
                <c:pt idx="11">
                  <c:v>0.44338718423978701</c:v>
                </c:pt>
                <c:pt idx="12">
                  <c:v>0.43034776102532601</c:v>
                </c:pt>
                <c:pt idx="13">
                  <c:v>0.42302014893146</c:v>
                </c:pt>
                <c:pt idx="14">
                  <c:v>0.422913696043141</c:v>
                </c:pt>
                <c:pt idx="15">
                  <c:v>0.43647525585997698</c:v>
                </c:pt>
                <c:pt idx="16">
                  <c:v>0.43694753509709</c:v>
                </c:pt>
                <c:pt idx="17">
                  <c:v>0.447281712887248</c:v>
                </c:pt>
                <c:pt idx="18">
                  <c:v>0.48169103338999603</c:v>
                </c:pt>
                <c:pt idx="19">
                  <c:v>0.48179766411393099</c:v>
                </c:pt>
                <c:pt idx="20">
                  <c:v>0.48194723053828598</c:v>
                </c:pt>
                <c:pt idx="21">
                  <c:v>0.50487266986540702</c:v>
                </c:pt>
                <c:pt idx="22">
                  <c:v>0.52689216322250598</c:v>
                </c:pt>
                <c:pt idx="23">
                  <c:v>0.52686022379811903</c:v>
                </c:pt>
                <c:pt idx="24">
                  <c:v>0.50487266986540702</c:v>
                </c:pt>
                <c:pt idx="25">
                  <c:v>0.52593041582120903</c:v>
                </c:pt>
                <c:pt idx="26">
                  <c:v>0.47454621524908303</c:v>
                </c:pt>
                <c:pt idx="27">
                  <c:v>0.52190457919731803</c:v>
                </c:pt>
                <c:pt idx="28">
                  <c:v>0.50065707260663195</c:v>
                </c:pt>
                <c:pt idx="29">
                  <c:v>0.49688453784682102</c:v>
                </c:pt>
                <c:pt idx="30">
                  <c:v>0.56742832753757799</c:v>
                </c:pt>
                <c:pt idx="31">
                  <c:v>0.66600802275198501</c:v>
                </c:pt>
                <c:pt idx="32">
                  <c:v>0.75450188553023501</c:v>
                </c:pt>
                <c:pt idx="33">
                  <c:v>0.71265891972781104</c:v>
                </c:pt>
                <c:pt idx="34">
                  <c:v>0.70758341766817601</c:v>
                </c:pt>
                <c:pt idx="35">
                  <c:v>0.77195870739625605</c:v>
                </c:pt>
                <c:pt idx="36">
                  <c:v>0.77393677940889705</c:v>
                </c:pt>
                <c:pt idx="37">
                  <c:v>0.77393677940889705</c:v>
                </c:pt>
                <c:pt idx="38">
                  <c:v>0.82508471199231004</c:v>
                </c:pt>
                <c:pt idx="39">
                  <c:v>0.81259352846128097</c:v>
                </c:pt>
                <c:pt idx="40">
                  <c:v>0.73459198246487301</c:v>
                </c:pt>
                <c:pt idx="41">
                  <c:v>0.75489065999645399</c:v>
                </c:pt>
                <c:pt idx="42">
                  <c:v>0.75632978245354299</c:v>
                </c:pt>
                <c:pt idx="43">
                  <c:v>0.79566700230121001</c:v>
                </c:pt>
                <c:pt idx="44">
                  <c:v>0.79568702054103702</c:v>
                </c:pt>
                <c:pt idx="45">
                  <c:v>0.79566700230121001</c:v>
                </c:pt>
                <c:pt idx="46">
                  <c:v>0.79700998806971202</c:v>
                </c:pt>
                <c:pt idx="47">
                  <c:v>0.78198517813851298</c:v>
                </c:pt>
                <c:pt idx="48">
                  <c:v>0.78200436831299003</c:v>
                </c:pt>
                <c:pt idx="49">
                  <c:v>0.78386700001619203</c:v>
                </c:pt>
                <c:pt idx="50">
                  <c:v>0.81520432036593904</c:v>
                </c:pt>
                <c:pt idx="51">
                  <c:v>0.80688676728488795</c:v>
                </c:pt>
                <c:pt idx="52">
                  <c:v>0.79520781124912299</c:v>
                </c:pt>
                <c:pt idx="53">
                  <c:v>0.80606898228656498</c:v>
                </c:pt>
                <c:pt idx="54">
                  <c:v>0.80437633407850995</c:v>
                </c:pt>
                <c:pt idx="55">
                  <c:v>0.77101655382029799</c:v>
                </c:pt>
                <c:pt idx="56">
                  <c:v>0.78569858522023195</c:v>
                </c:pt>
                <c:pt idx="57">
                  <c:v>0.78569858522023195</c:v>
                </c:pt>
                <c:pt idx="58">
                  <c:v>0.78569858522023195</c:v>
                </c:pt>
                <c:pt idx="59">
                  <c:v>0.75212890691069101</c:v>
                </c:pt>
                <c:pt idx="60">
                  <c:v>0.76046432171719602</c:v>
                </c:pt>
                <c:pt idx="61">
                  <c:v>0.769583122656471</c:v>
                </c:pt>
                <c:pt idx="62">
                  <c:v>0.760354139396616</c:v>
                </c:pt>
                <c:pt idx="63">
                  <c:v>0.68235415299983104</c:v>
                </c:pt>
                <c:pt idx="64">
                  <c:v>0.73476761977876004</c:v>
                </c:pt>
                <c:pt idx="65">
                  <c:v>0.73755756512459603</c:v>
                </c:pt>
                <c:pt idx="66">
                  <c:v>0.79074299766476497</c:v>
                </c:pt>
                <c:pt idx="67">
                  <c:v>0.76301875675410702</c:v>
                </c:pt>
                <c:pt idx="68">
                  <c:v>0.79074299766476497</c:v>
                </c:pt>
                <c:pt idx="69">
                  <c:v>0.79110304591011105</c:v>
                </c:pt>
                <c:pt idx="70">
                  <c:v>0.79377197751957995</c:v>
                </c:pt>
                <c:pt idx="71">
                  <c:v>0.819382348373077</c:v>
                </c:pt>
                <c:pt idx="72">
                  <c:v>0.81716837750375204</c:v>
                </c:pt>
                <c:pt idx="73">
                  <c:v>0.82067742647539199</c:v>
                </c:pt>
                <c:pt idx="74">
                  <c:v>0.851826871264451</c:v>
                </c:pt>
                <c:pt idx="75">
                  <c:v>0.83440082254211201</c:v>
                </c:pt>
                <c:pt idx="76">
                  <c:v>0.852507202125939</c:v>
                </c:pt>
                <c:pt idx="77">
                  <c:v>0.852507202125939</c:v>
                </c:pt>
                <c:pt idx="78">
                  <c:v>0.84443285130548495</c:v>
                </c:pt>
                <c:pt idx="79">
                  <c:v>0.87307230305311201</c:v>
                </c:pt>
                <c:pt idx="80">
                  <c:v>0.87588131701956295</c:v>
                </c:pt>
                <c:pt idx="81">
                  <c:v>0.89130274249393204</c:v>
                </c:pt>
                <c:pt idx="82">
                  <c:v>0.85861085726029096</c:v>
                </c:pt>
                <c:pt idx="83">
                  <c:v>0.85851356171529003</c:v>
                </c:pt>
                <c:pt idx="84">
                  <c:v>0.84263939707257096</c:v>
                </c:pt>
                <c:pt idx="85">
                  <c:v>0.82803482113362603</c:v>
                </c:pt>
                <c:pt idx="86">
                  <c:v>0.85851356171529003</c:v>
                </c:pt>
                <c:pt idx="87">
                  <c:v>0.84451763496073995</c:v>
                </c:pt>
                <c:pt idx="88">
                  <c:v>0.84790364930397299</c:v>
                </c:pt>
                <c:pt idx="89">
                  <c:v>0.86619119046951298</c:v>
                </c:pt>
                <c:pt idx="90">
                  <c:v>0.910245503690152</c:v>
                </c:pt>
                <c:pt idx="91">
                  <c:v>0.89290914695732604</c:v>
                </c:pt>
                <c:pt idx="92">
                  <c:v>0.87226850902259401</c:v>
                </c:pt>
                <c:pt idx="93">
                  <c:v>0.89128952685596297</c:v>
                </c:pt>
                <c:pt idx="94">
                  <c:v>0.87104733311356397</c:v>
                </c:pt>
                <c:pt idx="95">
                  <c:v>0.84701078060636004</c:v>
                </c:pt>
                <c:pt idx="96">
                  <c:v>0.84675644186934695</c:v>
                </c:pt>
                <c:pt idx="97">
                  <c:v>0.86832868961091403</c:v>
                </c:pt>
                <c:pt idx="98">
                  <c:v>0.885671898426593</c:v>
                </c:pt>
                <c:pt idx="99">
                  <c:v>0.86831848418102098</c:v>
                </c:pt>
                <c:pt idx="100">
                  <c:v>0.85498076945371704</c:v>
                </c:pt>
                <c:pt idx="101">
                  <c:v>0.87213995657492904</c:v>
                </c:pt>
                <c:pt idx="102">
                  <c:v>0.85356056091635002</c:v>
                </c:pt>
                <c:pt idx="103">
                  <c:v>0.85467378378497705</c:v>
                </c:pt>
                <c:pt idx="104">
                  <c:v>0.836074004884102</c:v>
                </c:pt>
                <c:pt idx="105">
                  <c:v>0.81363065108031496</c:v>
                </c:pt>
                <c:pt idx="106">
                  <c:v>0.83425064960633499</c:v>
                </c:pt>
                <c:pt idx="107">
                  <c:v>0.81192425274368896</c:v>
                </c:pt>
                <c:pt idx="108">
                  <c:v>0.76624395820115998</c:v>
                </c:pt>
                <c:pt idx="109">
                  <c:v>0.74556803951524098</c:v>
                </c:pt>
                <c:pt idx="110">
                  <c:v>0.74556803951524098</c:v>
                </c:pt>
                <c:pt idx="111">
                  <c:v>0.72902118949627903</c:v>
                </c:pt>
                <c:pt idx="112">
                  <c:v>0.74754949703860096</c:v>
                </c:pt>
                <c:pt idx="113">
                  <c:v>0.72577244794763196</c:v>
                </c:pt>
                <c:pt idx="114">
                  <c:v>0.69274472587634806</c:v>
                </c:pt>
                <c:pt idx="115">
                  <c:v>0.72250975757212299</c:v>
                </c:pt>
                <c:pt idx="116">
                  <c:v>0.70629186250718001</c:v>
                </c:pt>
                <c:pt idx="117">
                  <c:v>0.70738390160501996</c:v>
                </c:pt>
                <c:pt idx="118">
                  <c:v>0.73166189405675097</c:v>
                </c:pt>
                <c:pt idx="119">
                  <c:v>0.75618746001711701</c:v>
                </c:pt>
                <c:pt idx="120">
                  <c:v>0.75486678604069102</c:v>
                </c:pt>
                <c:pt idx="121">
                  <c:v>0.771484788579061</c:v>
                </c:pt>
                <c:pt idx="122">
                  <c:v>0.74464419012176697</c:v>
                </c:pt>
                <c:pt idx="123">
                  <c:v>0.71633590828579896</c:v>
                </c:pt>
                <c:pt idx="124">
                  <c:v>0.67870748269177705</c:v>
                </c:pt>
                <c:pt idx="125">
                  <c:v>0.61251731306242996</c:v>
                </c:pt>
                <c:pt idx="126">
                  <c:v>0.57822132602668297</c:v>
                </c:pt>
                <c:pt idx="127">
                  <c:v>0.559460433785407</c:v>
                </c:pt>
                <c:pt idx="128">
                  <c:v>0.55969090716589698</c:v>
                </c:pt>
                <c:pt idx="129">
                  <c:v>0.367888732312324</c:v>
                </c:pt>
                <c:pt idx="130">
                  <c:v>0.44991679314134703</c:v>
                </c:pt>
                <c:pt idx="131">
                  <c:v>0.343565932630295</c:v>
                </c:pt>
                <c:pt idx="132">
                  <c:v>0.42213456893363699</c:v>
                </c:pt>
                <c:pt idx="133">
                  <c:v>0.42257495599278999</c:v>
                </c:pt>
                <c:pt idx="134">
                  <c:v>0.383004460274534</c:v>
                </c:pt>
                <c:pt idx="135">
                  <c:v>0.38279147275356301</c:v>
                </c:pt>
                <c:pt idx="136">
                  <c:v>0.38279147275356301</c:v>
                </c:pt>
                <c:pt idx="137">
                  <c:v>0.32338711550858601</c:v>
                </c:pt>
                <c:pt idx="138">
                  <c:v>0.35369890645833102</c:v>
                </c:pt>
                <c:pt idx="139">
                  <c:v>0.33186163023723098</c:v>
                </c:pt>
                <c:pt idx="140">
                  <c:v>0.31934207014088301</c:v>
                </c:pt>
                <c:pt idx="141">
                  <c:v>0.35010450976329799</c:v>
                </c:pt>
                <c:pt idx="142">
                  <c:v>0.43462730705216701</c:v>
                </c:pt>
                <c:pt idx="143">
                  <c:v>0.45701419816167999</c:v>
                </c:pt>
                <c:pt idx="144">
                  <c:v>0.45674725476883798</c:v>
                </c:pt>
                <c:pt idx="145">
                  <c:v>0.43002867204072798</c:v>
                </c:pt>
                <c:pt idx="146">
                  <c:v>0.473627443383146</c:v>
                </c:pt>
                <c:pt idx="147">
                  <c:v>0.48999705577596903</c:v>
                </c:pt>
                <c:pt idx="148">
                  <c:v>0.46893100954315098</c:v>
                </c:pt>
                <c:pt idx="149">
                  <c:v>0.39912661021989099</c:v>
                </c:pt>
                <c:pt idx="150">
                  <c:v>0.45277671098188799</c:v>
                </c:pt>
                <c:pt idx="151">
                  <c:v>0.42570300756113</c:v>
                </c:pt>
                <c:pt idx="152">
                  <c:v>0.36552450667219999</c:v>
                </c:pt>
                <c:pt idx="153">
                  <c:v>0.36539692843229499</c:v>
                </c:pt>
                <c:pt idx="154">
                  <c:v>0.33464433537542498</c:v>
                </c:pt>
                <c:pt idx="155">
                  <c:v>0.33458344922379002</c:v>
                </c:pt>
                <c:pt idx="156">
                  <c:v>0.31505205634612699</c:v>
                </c:pt>
                <c:pt idx="157">
                  <c:v>0.334027493112526</c:v>
                </c:pt>
                <c:pt idx="158">
                  <c:v>0.36192371081112201</c:v>
                </c:pt>
                <c:pt idx="159">
                  <c:v>0.36226743615738599</c:v>
                </c:pt>
                <c:pt idx="160">
                  <c:v>0.41605972221627302</c:v>
                </c:pt>
                <c:pt idx="161">
                  <c:v>0.439234845957858</c:v>
                </c:pt>
                <c:pt idx="162">
                  <c:v>0.41377930466343998</c:v>
                </c:pt>
                <c:pt idx="163">
                  <c:v>0.38763738178583501</c:v>
                </c:pt>
                <c:pt idx="164">
                  <c:v>0.38707778665425802</c:v>
                </c:pt>
                <c:pt idx="165">
                  <c:v>0.41131556149818799</c:v>
                </c:pt>
                <c:pt idx="166">
                  <c:v>0.38478710266298899</c:v>
                </c:pt>
                <c:pt idx="167">
                  <c:v>0.410587950533847</c:v>
                </c:pt>
                <c:pt idx="168">
                  <c:v>0.38449666572835101</c:v>
                </c:pt>
                <c:pt idx="169">
                  <c:v>0.35767470629269998</c:v>
                </c:pt>
                <c:pt idx="170">
                  <c:v>0.38504831317119298</c:v>
                </c:pt>
                <c:pt idx="171">
                  <c:v>0.41164243172086001</c:v>
                </c:pt>
                <c:pt idx="172">
                  <c:v>0.41092385739423598</c:v>
                </c:pt>
                <c:pt idx="173">
                  <c:v>0.41100158272746001</c:v>
                </c:pt>
                <c:pt idx="174">
                  <c:v>0.45457812646171702</c:v>
                </c:pt>
                <c:pt idx="175">
                  <c:v>0.45459535037724502</c:v>
                </c:pt>
                <c:pt idx="176">
                  <c:v>0.47441483161345099</c:v>
                </c:pt>
                <c:pt idx="177">
                  <c:v>0.47487286011146401</c:v>
                </c:pt>
                <c:pt idx="178">
                  <c:v>0.475595859590284</c:v>
                </c:pt>
                <c:pt idx="179">
                  <c:v>0.45449098513744102</c:v>
                </c:pt>
                <c:pt idx="180">
                  <c:v>0.45535981677361198</c:v>
                </c:pt>
                <c:pt idx="181">
                  <c:v>0.475595859590284</c:v>
                </c:pt>
                <c:pt idx="182">
                  <c:v>0.49785164828491202</c:v>
                </c:pt>
                <c:pt idx="183">
                  <c:v>0.45313476995693502</c:v>
                </c:pt>
                <c:pt idx="184">
                  <c:v>0.47345524330482502</c:v>
                </c:pt>
                <c:pt idx="185">
                  <c:v>0.47345524330482502</c:v>
                </c:pt>
                <c:pt idx="186">
                  <c:v>0.47367267081046699</c:v>
                </c:pt>
                <c:pt idx="187">
                  <c:v>0.44905662805025698</c:v>
                </c:pt>
                <c:pt idx="188">
                  <c:v>0.46961383574146598</c:v>
                </c:pt>
                <c:pt idx="189">
                  <c:v>0.49412020813719998</c:v>
                </c:pt>
                <c:pt idx="190">
                  <c:v>0.49412020813719998</c:v>
                </c:pt>
                <c:pt idx="191">
                  <c:v>0.490645181334884</c:v>
                </c:pt>
                <c:pt idx="192">
                  <c:v>0.490245807372506</c:v>
                </c:pt>
                <c:pt idx="193">
                  <c:v>0.44485844381328299</c:v>
                </c:pt>
                <c:pt idx="194">
                  <c:v>0.44562992385305</c:v>
                </c:pt>
                <c:pt idx="195">
                  <c:v>0.461630793166039</c:v>
                </c:pt>
                <c:pt idx="196">
                  <c:v>0.48583856044097401</c:v>
                </c:pt>
                <c:pt idx="197">
                  <c:v>0.54189899626716298</c:v>
                </c:pt>
                <c:pt idx="198">
                  <c:v>0.56780927639171197</c:v>
                </c:pt>
                <c:pt idx="199">
                  <c:v>0.541842357237176</c:v>
                </c:pt>
                <c:pt idx="200">
                  <c:v>0.508409072340408</c:v>
                </c:pt>
                <c:pt idx="201">
                  <c:v>0.50851555140808302</c:v>
                </c:pt>
                <c:pt idx="202">
                  <c:v>0.53761514525020104</c:v>
                </c:pt>
                <c:pt idx="203">
                  <c:v>0.53775096220647101</c:v>
                </c:pt>
                <c:pt idx="204">
                  <c:v>0.55994808522013495</c:v>
                </c:pt>
                <c:pt idx="205">
                  <c:v>0.55923798077262399</c:v>
                </c:pt>
                <c:pt idx="206">
                  <c:v>0.59158262628997005</c:v>
                </c:pt>
                <c:pt idx="207">
                  <c:v>0.59042721040695001</c:v>
                </c:pt>
                <c:pt idx="208">
                  <c:v>0.55990527677423996</c:v>
                </c:pt>
                <c:pt idx="209">
                  <c:v>0.614335309691869</c:v>
                </c:pt>
                <c:pt idx="210">
                  <c:v>0.66457945448095002</c:v>
                </c:pt>
                <c:pt idx="211">
                  <c:v>0.66484227327937295</c:v>
                </c:pt>
                <c:pt idx="212">
                  <c:v>0.66457945448095002</c:v>
                </c:pt>
                <c:pt idx="213">
                  <c:v>0.66194922130079104</c:v>
                </c:pt>
                <c:pt idx="214">
                  <c:v>0.63758870497027298</c:v>
                </c:pt>
                <c:pt idx="215">
                  <c:v>0.60813217145599097</c:v>
                </c:pt>
                <c:pt idx="216">
                  <c:v>0.58092112302735699</c:v>
                </c:pt>
                <c:pt idx="217">
                  <c:v>0.60172096268720499</c:v>
                </c:pt>
                <c:pt idx="218">
                  <c:v>0.54300415809967995</c:v>
                </c:pt>
                <c:pt idx="219">
                  <c:v>0.601158744048226</c:v>
                </c:pt>
                <c:pt idx="220">
                  <c:v>0.63113120835468395</c:v>
                </c:pt>
                <c:pt idx="221">
                  <c:v>0.62050008500155596</c:v>
                </c:pt>
                <c:pt idx="222">
                  <c:v>0.644780928204296</c:v>
                </c:pt>
                <c:pt idx="223">
                  <c:v>0.62101551120389098</c:v>
                </c:pt>
                <c:pt idx="224">
                  <c:v>0.64530537163066504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430080"/>
        <c:axId val="452608384"/>
      </c:lineChart>
      <c:dateAx>
        <c:axId val="45243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52608384"/>
        <c:crosses val="autoZero"/>
        <c:auto val="1"/>
        <c:lblOffset val="100"/>
        <c:baseTimeUnit val="days"/>
      </c:dateAx>
      <c:valAx>
        <c:axId val="4526083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52430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IQ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5</xdr:col>
      <xdr:colOff>1038225</xdr:colOff>
      <xdr:row>59</xdr:row>
      <xdr:rowOff>47625</xdr:rowOff>
    </xdr:to>
    <xdr:sp macro="" textlink="">
      <xdr:nvSpPr>
        <xdr:cNvPr id="7" name="TextBox 6"/>
        <xdr:cNvSpPr txBox="1"/>
      </xdr:nvSpPr>
      <xdr:spPr>
        <a:xfrm>
          <a:off x="3067050" y="9429749"/>
          <a:ext cx="2333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New data</a:t>
          </a:r>
          <a:r>
            <a:rPr lang="en-US" sz="900" baseline="0"/>
            <a:t> will be updated on the 4th business day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567358</xdr:colOff>
      <xdr:row>25</xdr:row>
      <xdr:rowOff>173312</xdr:rowOff>
    </xdr:from>
    <xdr:to>
      <xdr:col>31</xdr:col>
      <xdr:colOff>130865</xdr:colOff>
      <xdr:row>43</xdr:row>
      <xdr:rowOff>35200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604630</xdr:colOff>
      <xdr:row>45</xdr:row>
      <xdr:rowOff>140804</xdr:rowOff>
    </xdr:from>
    <xdr:to>
      <xdr:col>31</xdr:col>
      <xdr:colOff>231913</xdr:colOff>
      <xdr:row>60</xdr:row>
      <xdr:rowOff>26504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8284</xdr:colOff>
      <xdr:row>6</xdr:row>
      <xdr:rowOff>16565</xdr:rowOff>
    </xdr:from>
    <xdr:to>
      <xdr:col>30</xdr:col>
      <xdr:colOff>554936</xdr:colOff>
      <xdr:row>24</xdr:row>
      <xdr:rowOff>130865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612912</xdr:colOff>
      <xdr:row>63</xdr:row>
      <xdr:rowOff>0</xdr:rowOff>
    </xdr:from>
    <xdr:to>
      <xdr:col>31</xdr:col>
      <xdr:colOff>273326</xdr:colOff>
      <xdr:row>77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79</xdr:row>
      <xdr:rowOff>0</xdr:rowOff>
    </xdr:from>
    <xdr:to>
      <xdr:col>31</xdr:col>
      <xdr:colOff>157370</xdr:colOff>
      <xdr:row>93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8283</xdr:colOff>
      <xdr:row>93</xdr:row>
      <xdr:rowOff>173935</xdr:rowOff>
    </xdr:from>
    <xdr:to>
      <xdr:col>31</xdr:col>
      <xdr:colOff>184703</xdr:colOff>
      <xdr:row>111</xdr:row>
      <xdr:rowOff>35823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9525</xdr:colOff>
      <xdr:row>113</xdr:row>
      <xdr:rowOff>123825</xdr:rowOff>
    </xdr:from>
    <xdr:to>
      <xdr:col>31</xdr:col>
      <xdr:colOff>171450</xdr:colOff>
      <xdr:row>128</xdr:row>
      <xdr:rowOff>9525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130</xdr:row>
      <xdr:rowOff>0</xdr:rowOff>
    </xdr:from>
    <xdr:to>
      <xdr:col>31</xdr:col>
      <xdr:colOff>219075</xdr:colOff>
      <xdr:row>144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31</xdr:col>
      <xdr:colOff>285750</xdr:colOff>
      <xdr:row>160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162</xdr:row>
      <xdr:rowOff>0</xdr:rowOff>
    </xdr:from>
    <xdr:to>
      <xdr:col>31</xdr:col>
      <xdr:colOff>295275</xdr:colOff>
      <xdr:row>176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590550</xdr:colOff>
      <xdr:row>179</xdr:row>
      <xdr:rowOff>23812</xdr:rowOff>
    </xdr:from>
    <xdr:to>
      <xdr:col>31</xdr:col>
      <xdr:colOff>257175</xdr:colOff>
      <xdr:row>193</xdr:row>
      <xdr:rowOff>100012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219074</xdr:colOff>
      <xdr:row>197</xdr:row>
      <xdr:rowOff>80962</xdr:rowOff>
    </xdr:from>
    <xdr:to>
      <xdr:col>31</xdr:col>
      <xdr:colOff>285750</xdr:colOff>
      <xdr:row>211</xdr:row>
      <xdr:rowOff>157162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0.93673</cdr:x>
      <cdr:y>0.28763</cdr:y>
    </cdr:from>
    <cdr:to>
      <cdr:x>0.98148</cdr:x>
      <cdr:y>0.70968</cdr:y>
    </cdr:to>
    <cdr:sp macro="" textlink="">
      <cdr:nvSpPr>
        <cdr:cNvPr id="2" name="TextBox 1"/>
        <cdr:cNvSpPr txBox="1"/>
      </cdr:nvSpPr>
      <cdr:spPr>
        <a:xfrm xmlns:a="http://schemas.openxmlformats.org/drawingml/2006/main" rot="5400000">
          <a:off x="5172074" y="1628775"/>
          <a:ext cx="149542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Refinancible</a:t>
          </a:r>
          <a:r>
            <a:rPr lang="en-US" sz="1100" b="1" baseline="0"/>
            <a:t> Universe</a:t>
          </a:r>
          <a:endParaRPr lang="en-US" sz="11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37</xdr:row>
      <xdr:rowOff>0</xdr:rowOff>
    </xdr:from>
    <xdr:to>
      <xdr:col>22</xdr:col>
      <xdr:colOff>419100</xdr:colOff>
      <xdr:row>51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333375</xdr:colOff>
      <xdr:row>52</xdr:row>
      <xdr:rowOff>180975</xdr:rowOff>
    </xdr:from>
    <xdr:to>
      <xdr:col>22</xdr:col>
      <xdr:colOff>383045</xdr:colOff>
      <xdr:row>67</xdr:row>
      <xdr:rowOff>79106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81375" y="10086975"/>
          <a:ext cx="10412870" cy="27556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266699</xdr:colOff>
      <xdr:row>3</xdr:row>
      <xdr:rowOff>47625</xdr:rowOff>
    </xdr:from>
    <xdr:to>
      <xdr:col>35</xdr:col>
      <xdr:colOff>552449</xdr:colOff>
      <xdr:row>17</xdr:row>
      <xdr:rowOff>123825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285749</xdr:colOff>
      <xdr:row>19</xdr:row>
      <xdr:rowOff>142875</xdr:rowOff>
    </xdr:from>
    <xdr:to>
      <xdr:col>35</xdr:col>
      <xdr:colOff>590549</xdr:colOff>
      <xdr:row>34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16</xdr:col>
      <xdr:colOff>207264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21</xdr:row>
      <xdr:rowOff>52388</xdr:rowOff>
    </xdr:from>
    <xdr:to>
      <xdr:col>16</xdr:col>
      <xdr:colOff>216789</xdr:colOff>
      <xdr:row>35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16</xdr:col>
      <xdr:colOff>207264</xdr:colOff>
      <xdr:row>52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54</xdr:row>
      <xdr:rowOff>0</xdr:rowOff>
    </xdr:from>
    <xdr:to>
      <xdr:col>16</xdr:col>
      <xdr:colOff>207264</xdr:colOff>
      <xdr:row>68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73</xdr:row>
      <xdr:rowOff>0</xdr:rowOff>
    </xdr:from>
    <xdr:to>
      <xdr:col>16</xdr:col>
      <xdr:colOff>207264</xdr:colOff>
      <xdr:row>87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33</xdr:row>
      <xdr:rowOff>171450</xdr:rowOff>
    </xdr:from>
    <xdr:to>
      <xdr:col>25</xdr:col>
      <xdr:colOff>266700</xdr:colOff>
      <xdr:row>48</xdr:row>
      <xdr:rowOff>57150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25</xdr:col>
      <xdr:colOff>295275</xdr:colOff>
      <xdr:row>32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Lien\14.Portfolio%20Data%20Query\1.MBA%20Refi%20vs%20FNMA%20Refinancible%20Universe\MBA%20refi%20index%20vs%20FNMA%20refinancible%20universe%20April%2027%202015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all FNCL"/>
      <sheetName val="projection"/>
      <sheetName val="Bloomberg"/>
    </sheetNames>
    <sheetDataSet>
      <sheetData sheetId="0"/>
      <sheetData sheetId="1">
        <row r="180">
          <cell r="I180">
            <v>40550</v>
          </cell>
          <cell r="J180">
            <v>2344.3000000000002</v>
          </cell>
          <cell r="L180">
            <v>0.62402170072443097</v>
          </cell>
        </row>
        <row r="181">
          <cell r="I181">
            <v>40557</v>
          </cell>
          <cell r="J181">
            <v>2528.6999999999998</v>
          </cell>
          <cell r="L181">
            <v>0.62817294477626895</v>
          </cell>
        </row>
        <row r="182">
          <cell r="I182">
            <v>40564</v>
          </cell>
          <cell r="J182">
            <v>2129.6999999999998</v>
          </cell>
          <cell r="L182">
            <v>0.62597730951219799</v>
          </cell>
        </row>
        <row r="183">
          <cell r="I183">
            <v>40571</v>
          </cell>
          <cell r="J183">
            <v>2371.1</v>
          </cell>
          <cell r="L183">
            <v>0.62392159162868699</v>
          </cell>
        </row>
        <row r="184">
          <cell r="I184">
            <v>40578</v>
          </cell>
          <cell r="J184">
            <v>2190.4</v>
          </cell>
          <cell r="L184">
            <v>0.60653142223595202</v>
          </cell>
        </row>
        <row r="185">
          <cell r="I185">
            <v>40585</v>
          </cell>
          <cell r="J185">
            <v>1953.2</v>
          </cell>
          <cell r="L185">
            <v>0.50868797673712296</v>
          </cell>
        </row>
        <row r="186">
          <cell r="I186">
            <v>40592</v>
          </cell>
          <cell r="J186">
            <v>2325.3000000000002</v>
          </cell>
          <cell r="L186">
            <v>0.52965901814335503</v>
          </cell>
        </row>
        <row r="187">
          <cell r="I187">
            <v>40599</v>
          </cell>
          <cell r="J187">
            <v>2155.5</v>
          </cell>
          <cell r="L187">
            <v>0.57709503787578098</v>
          </cell>
        </row>
        <row r="188">
          <cell r="I188">
            <v>40606</v>
          </cell>
          <cell r="J188">
            <v>2539.4</v>
          </cell>
          <cell r="L188">
            <v>0.59224775585706502</v>
          </cell>
        </row>
        <row r="189">
          <cell r="I189">
            <v>40613</v>
          </cell>
          <cell r="J189">
            <v>2563.6</v>
          </cell>
          <cell r="L189">
            <v>0.590905707896624</v>
          </cell>
        </row>
        <row r="190">
          <cell r="I190">
            <v>40620</v>
          </cell>
          <cell r="J190">
            <v>2620.8000000000002</v>
          </cell>
          <cell r="L190">
            <v>0.60261779474869903</v>
          </cell>
        </row>
        <row r="191">
          <cell r="I191">
            <v>40627</v>
          </cell>
          <cell r="J191">
            <v>2350.6999999999998</v>
          </cell>
          <cell r="L191">
            <v>0.59950595681897501</v>
          </cell>
        </row>
        <row r="192">
          <cell r="I192">
            <v>40634</v>
          </cell>
          <cell r="J192">
            <v>2194.4</v>
          </cell>
          <cell r="L192">
            <v>0.59322570820163401</v>
          </cell>
        </row>
        <row r="193">
          <cell r="I193">
            <v>40641</v>
          </cell>
          <cell r="J193">
            <v>2010.6</v>
          </cell>
          <cell r="L193">
            <v>0.58542144661011897</v>
          </cell>
        </row>
        <row r="194">
          <cell r="I194">
            <v>40648</v>
          </cell>
          <cell r="J194">
            <v>2065.3000000000002</v>
          </cell>
          <cell r="L194">
            <v>0.58155199492979504</v>
          </cell>
        </row>
        <row r="195">
          <cell r="I195">
            <v>40654</v>
          </cell>
          <cell r="J195">
            <v>2091.4</v>
          </cell>
          <cell r="L195">
            <v>0.59356262313394503</v>
          </cell>
        </row>
        <row r="196">
          <cell r="I196">
            <v>40662</v>
          </cell>
          <cell r="J196">
            <v>2220.1</v>
          </cell>
          <cell r="L196">
            <v>0.59445921362542897</v>
          </cell>
        </row>
        <row r="197">
          <cell r="I197">
            <v>40669</v>
          </cell>
          <cell r="J197">
            <v>2414.9</v>
          </cell>
          <cell r="L197">
            <v>0.59391131067456004</v>
          </cell>
        </row>
        <row r="198">
          <cell r="I198">
            <v>40676</v>
          </cell>
          <cell r="J198">
            <v>2742.2</v>
          </cell>
          <cell r="L198">
            <v>0.60662155942019902</v>
          </cell>
        </row>
        <row r="199">
          <cell r="I199">
            <v>40683</v>
          </cell>
          <cell r="J199">
            <v>2764.6</v>
          </cell>
          <cell r="L199">
            <v>0.61264076908113696</v>
          </cell>
        </row>
        <row r="200">
          <cell r="I200">
            <v>40690</v>
          </cell>
          <cell r="J200">
            <v>2619.6999999999998</v>
          </cell>
          <cell r="L200">
            <v>0.615993636080996</v>
          </cell>
        </row>
        <row r="201">
          <cell r="I201">
            <v>40697</v>
          </cell>
          <cell r="J201">
            <v>2648</v>
          </cell>
          <cell r="L201">
            <v>0.66311590107349005</v>
          </cell>
        </row>
        <row r="202">
          <cell r="I202">
            <v>40704</v>
          </cell>
          <cell r="J202">
            <v>3101.7</v>
          </cell>
          <cell r="L202">
            <v>0.74517189360077896</v>
          </cell>
        </row>
        <row r="203">
          <cell r="I203">
            <v>40711</v>
          </cell>
          <cell r="J203">
            <v>2857.9</v>
          </cell>
          <cell r="L203">
            <v>0.72397022872334404</v>
          </cell>
        </row>
        <row r="204">
          <cell r="I204">
            <v>40718</v>
          </cell>
          <cell r="J204">
            <v>2809.5</v>
          </cell>
          <cell r="L204">
            <v>0.66311590107349005</v>
          </cell>
        </row>
        <row r="205">
          <cell r="I205">
            <v>40725</v>
          </cell>
          <cell r="J205">
            <v>2527.5</v>
          </cell>
          <cell r="L205">
            <v>0.69050447134038195</v>
          </cell>
        </row>
        <row r="206">
          <cell r="I206">
            <v>40732</v>
          </cell>
          <cell r="J206">
            <v>2362.6999999999998</v>
          </cell>
          <cell r="L206">
            <v>0.60410549631050603</v>
          </cell>
        </row>
        <row r="207">
          <cell r="I207">
            <v>40739</v>
          </cell>
          <cell r="J207">
            <v>2923.8</v>
          </cell>
          <cell r="L207">
            <v>0.684475421712614</v>
          </cell>
        </row>
        <row r="208">
          <cell r="I208">
            <v>40746</v>
          </cell>
          <cell r="J208">
            <v>2769.6</v>
          </cell>
          <cell r="L208">
            <v>0.66675683999516899</v>
          </cell>
        </row>
        <row r="209">
          <cell r="I209">
            <v>40753</v>
          </cell>
          <cell r="J209">
            <v>2974.1</v>
          </cell>
          <cell r="L209">
            <v>0.61660059317974703</v>
          </cell>
        </row>
        <row r="210">
          <cell r="I210">
            <v>40760</v>
          </cell>
          <cell r="J210">
            <v>3880.9</v>
          </cell>
          <cell r="L210">
            <v>0.81803711941746404</v>
          </cell>
        </row>
        <row r="211">
          <cell r="I211">
            <v>40767</v>
          </cell>
          <cell r="J211">
            <v>4184.3999999999996</v>
          </cell>
          <cell r="L211">
            <v>0.83404184296119299</v>
          </cell>
        </row>
        <row r="212">
          <cell r="I212">
            <v>40774</v>
          </cell>
          <cell r="J212">
            <v>4110.8</v>
          </cell>
          <cell r="L212">
            <v>0.86117434904403201</v>
          </cell>
        </row>
        <row r="213">
          <cell r="I213">
            <v>40781</v>
          </cell>
          <cell r="J213">
            <v>3601.3</v>
          </cell>
          <cell r="L213">
            <v>0.84714025108084801</v>
          </cell>
        </row>
        <row r="214">
          <cell r="I214">
            <v>40788</v>
          </cell>
          <cell r="J214">
            <v>3372</v>
          </cell>
          <cell r="L214">
            <v>0.84129278814437103</v>
          </cell>
        </row>
        <row r="215">
          <cell r="I215">
            <v>40795</v>
          </cell>
          <cell r="J215">
            <v>3571.7</v>
          </cell>
          <cell r="L215">
            <v>0.87859103936280603</v>
          </cell>
        </row>
        <row r="216">
          <cell r="I216">
            <v>40802</v>
          </cell>
          <cell r="J216">
            <v>4033.78</v>
          </cell>
          <cell r="L216">
            <v>0.90242289630358996</v>
          </cell>
        </row>
        <row r="217">
          <cell r="I217">
            <v>40809</v>
          </cell>
          <cell r="J217">
            <v>4512.13</v>
          </cell>
          <cell r="L217">
            <v>0.90242289630358996</v>
          </cell>
        </row>
        <row r="218">
          <cell r="I218">
            <v>40816</v>
          </cell>
          <cell r="J218">
            <v>4241.8</v>
          </cell>
          <cell r="L218">
            <v>0.94644262124543399</v>
          </cell>
        </row>
        <row r="219">
          <cell r="I219">
            <v>40823</v>
          </cell>
          <cell r="J219">
            <v>4251.1000000000004</v>
          </cell>
          <cell r="L219">
            <v>0.967252006042155</v>
          </cell>
        </row>
        <row r="220">
          <cell r="I220">
            <v>40830</v>
          </cell>
          <cell r="J220">
            <v>3553.2</v>
          </cell>
          <cell r="L220">
            <v>0.84917694017596201</v>
          </cell>
        </row>
        <row r="221">
          <cell r="I221">
            <v>40837</v>
          </cell>
          <cell r="J221">
            <v>3719.3</v>
          </cell>
          <cell r="L221">
            <v>0.85635864773186399</v>
          </cell>
        </row>
        <row r="222">
          <cell r="I222">
            <v>40844</v>
          </cell>
          <cell r="J222">
            <v>3695</v>
          </cell>
          <cell r="L222">
            <v>0.86512672485653097</v>
          </cell>
        </row>
        <row r="223">
          <cell r="I223">
            <v>40851</v>
          </cell>
          <cell r="J223">
            <v>4137.6000000000004</v>
          </cell>
          <cell r="L223">
            <v>0.93485323798856301</v>
          </cell>
        </row>
        <row r="224">
          <cell r="I224">
            <v>40858</v>
          </cell>
          <cell r="J224">
            <v>3664.5</v>
          </cell>
          <cell r="L224">
            <v>0.94404770550683104</v>
          </cell>
        </row>
        <row r="225">
          <cell r="I225">
            <v>40865</v>
          </cell>
          <cell r="J225">
            <v>3466.8</v>
          </cell>
          <cell r="L225">
            <v>0.93485323798856301</v>
          </cell>
        </row>
        <row r="226">
          <cell r="I226">
            <v>40872</v>
          </cell>
          <cell r="J226">
            <v>2941.3</v>
          </cell>
          <cell r="L226">
            <v>0.94997170807452402</v>
          </cell>
        </row>
        <row r="227">
          <cell r="I227">
            <v>40879</v>
          </cell>
          <cell r="J227">
            <v>3394.7</v>
          </cell>
          <cell r="L227">
            <v>0.91542628506626</v>
          </cell>
        </row>
        <row r="228">
          <cell r="I228">
            <v>40886</v>
          </cell>
          <cell r="J228">
            <v>3708.6</v>
          </cell>
          <cell r="L228">
            <v>0.92487460681698297</v>
          </cell>
        </row>
        <row r="229">
          <cell r="I229">
            <v>40893</v>
          </cell>
          <cell r="J229">
            <v>3676.1</v>
          </cell>
          <cell r="L229">
            <v>0.93969161247928701</v>
          </cell>
        </row>
        <row r="230">
          <cell r="I230">
            <v>40900</v>
          </cell>
          <cell r="J230">
            <v>3684.5</v>
          </cell>
          <cell r="L230">
            <v>0.96019586623642394</v>
          </cell>
        </row>
        <row r="231">
          <cell r="I231">
            <v>40907</v>
          </cell>
          <cell r="J231">
            <v>3608.1</v>
          </cell>
          <cell r="L231">
            <v>0.94762260030460199</v>
          </cell>
        </row>
        <row r="232">
          <cell r="I232">
            <v>40914</v>
          </cell>
          <cell r="J232">
            <v>3668.3</v>
          </cell>
          <cell r="L232">
            <v>0.94481773750585696</v>
          </cell>
        </row>
        <row r="233">
          <cell r="I233">
            <v>40921</v>
          </cell>
          <cell r="J233">
            <v>4626.5</v>
          </cell>
          <cell r="L233">
            <v>0.95320351892281396</v>
          </cell>
        </row>
        <row r="234">
          <cell r="I234">
            <v>40928</v>
          </cell>
          <cell r="J234">
            <v>4326.3999999999996</v>
          </cell>
          <cell r="L234">
            <v>0.95182771809710398</v>
          </cell>
        </row>
        <row r="235">
          <cell r="I235">
            <v>40935</v>
          </cell>
          <cell r="J235">
            <v>4184.3</v>
          </cell>
          <cell r="L235">
            <v>0.91861521434498905</v>
          </cell>
        </row>
        <row r="236">
          <cell r="I236">
            <v>40942</v>
          </cell>
          <cell r="J236">
            <v>4617.1000000000004</v>
          </cell>
          <cell r="L236">
            <v>0.94107838104995301</v>
          </cell>
        </row>
        <row r="237">
          <cell r="I237">
            <v>40949</v>
          </cell>
          <cell r="J237">
            <v>4716.1000000000004</v>
          </cell>
          <cell r="L237">
            <v>0.94107838104995301</v>
          </cell>
        </row>
        <row r="238">
          <cell r="I238">
            <v>40956</v>
          </cell>
          <cell r="J238">
            <v>4466.8999999999996</v>
          </cell>
          <cell r="L238">
            <v>0.94107838104995301</v>
          </cell>
        </row>
        <row r="239">
          <cell r="I239">
            <v>40963</v>
          </cell>
          <cell r="J239">
            <v>4379.1000000000004</v>
          </cell>
          <cell r="L239">
            <v>0.90921329115869698</v>
          </cell>
        </row>
        <row r="240">
          <cell r="I240">
            <v>40970</v>
          </cell>
          <cell r="J240">
            <v>4277.6000000000004</v>
          </cell>
          <cell r="L240">
            <v>0.91584710240533496</v>
          </cell>
        </row>
        <row r="241">
          <cell r="I241">
            <v>40977</v>
          </cell>
          <cell r="J241">
            <v>4063.4</v>
          </cell>
          <cell r="L241">
            <v>0.91902765125865904</v>
          </cell>
        </row>
        <row r="242">
          <cell r="I242">
            <v>40984</v>
          </cell>
          <cell r="J242">
            <v>3715.2</v>
          </cell>
          <cell r="L242">
            <v>0.90514599034862198</v>
          </cell>
        </row>
        <row r="243">
          <cell r="I243">
            <v>40991</v>
          </cell>
          <cell r="J243">
            <v>3588.4</v>
          </cell>
          <cell r="L243">
            <v>0.78959380464288298</v>
          </cell>
        </row>
        <row r="244">
          <cell r="I244">
            <v>40998</v>
          </cell>
          <cell r="J244">
            <v>3699.5</v>
          </cell>
          <cell r="L244">
            <v>0.87490910290764401</v>
          </cell>
        </row>
        <row r="245">
          <cell r="I245">
            <v>41005</v>
          </cell>
          <cell r="J245">
            <v>3549.3</v>
          </cell>
          <cell r="L245">
            <v>0.86928745494692705</v>
          </cell>
        </row>
        <row r="246">
          <cell r="I246">
            <v>41012</v>
          </cell>
          <cell r="J246">
            <v>4144.3</v>
          </cell>
          <cell r="L246">
            <v>0.90849340717481797</v>
          </cell>
        </row>
        <row r="247">
          <cell r="I247">
            <v>41019</v>
          </cell>
          <cell r="J247">
            <v>3892.2</v>
          </cell>
          <cell r="L247">
            <v>0.90349839031693802</v>
          </cell>
        </row>
        <row r="248">
          <cell r="I248">
            <v>41026</v>
          </cell>
          <cell r="J248">
            <v>3856</v>
          </cell>
          <cell r="L248">
            <v>0.90849340717481797</v>
          </cell>
        </row>
        <row r="249">
          <cell r="I249">
            <v>41033</v>
          </cell>
          <cell r="J249">
            <v>3924.4</v>
          </cell>
          <cell r="L249">
            <v>0.89225108632442696</v>
          </cell>
        </row>
        <row r="250">
          <cell r="I250">
            <v>41040</v>
          </cell>
          <cell r="J250">
            <v>4482</v>
          </cell>
          <cell r="L250">
            <v>0.89337268606647202</v>
          </cell>
        </row>
        <row r="251">
          <cell r="I251">
            <v>41047</v>
          </cell>
          <cell r="J251">
            <v>4732</v>
          </cell>
          <cell r="L251">
            <v>0.89489979671430897</v>
          </cell>
        </row>
        <row r="252">
          <cell r="I252">
            <v>41054</v>
          </cell>
          <cell r="J252">
            <v>4675.8999999999996</v>
          </cell>
          <cell r="L252">
            <v>0.89443957907281701</v>
          </cell>
        </row>
        <row r="253">
          <cell r="I253">
            <v>41061</v>
          </cell>
          <cell r="J253">
            <v>4736</v>
          </cell>
          <cell r="L253">
            <v>0.895121220846959</v>
          </cell>
        </row>
        <row r="254">
          <cell r="I254">
            <v>41068</v>
          </cell>
          <cell r="J254">
            <v>5590</v>
          </cell>
          <cell r="L254">
            <v>0.89201954495855595</v>
          </cell>
        </row>
        <row r="255">
          <cell r="I255">
            <v>41075</v>
          </cell>
          <cell r="J255">
            <v>4719.6000000000004</v>
          </cell>
          <cell r="L255">
            <v>0.886674497978159</v>
          </cell>
        </row>
        <row r="256">
          <cell r="I256">
            <v>41082</v>
          </cell>
          <cell r="J256">
            <v>4585.8</v>
          </cell>
          <cell r="L256">
            <v>0.89407594990163797</v>
          </cell>
        </row>
        <row r="257">
          <cell r="I257">
            <v>41089</v>
          </cell>
          <cell r="J257">
            <v>4372.2</v>
          </cell>
          <cell r="L257">
            <v>0.89407594990163797</v>
          </cell>
        </row>
        <row r="258">
          <cell r="I258">
            <v>41096</v>
          </cell>
          <cell r="J258">
            <v>4267.8999999999996</v>
          </cell>
          <cell r="L258">
            <v>0.88191141048608501</v>
          </cell>
        </row>
        <row r="259">
          <cell r="I259">
            <v>41103</v>
          </cell>
          <cell r="J259">
            <v>5246.8</v>
          </cell>
          <cell r="L259">
            <v>0.94551237246929398</v>
          </cell>
        </row>
        <row r="260">
          <cell r="I260">
            <v>41110</v>
          </cell>
          <cell r="J260">
            <v>5383.1</v>
          </cell>
          <cell r="L260">
            <v>0.97186924857157997</v>
          </cell>
        </row>
        <row r="261">
          <cell r="I261">
            <v>41117</v>
          </cell>
          <cell r="J261">
            <v>5492.1</v>
          </cell>
          <cell r="L261">
            <v>0.98451993370244095</v>
          </cell>
        </row>
        <row r="262">
          <cell r="I262">
            <v>41124</v>
          </cell>
          <cell r="J262">
            <v>5444.3</v>
          </cell>
          <cell r="L262">
            <v>0.93852225394978095</v>
          </cell>
        </row>
        <row r="263">
          <cell r="I263">
            <v>41131</v>
          </cell>
          <cell r="J263">
            <v>5172.2</v>
          </cell>
          <cell r="L263">
            <v>0.92408794393225502</v>
          </cell>
        </row>
        <row r="264">
          <cell r="I264">
            <v>41138</v>
          </cell>
          <cell r="J264">
            <v>4671.1000000000004</v>
          </cell>
          <cell r="L264">
            <v>0.88445471641937101</v>
          </cell>
        </row>
        <row r="265">
          <cell r="I265">
            <v>41145</v>
          </cell>
          <cell r="J265">
            <v>4423</v>
          </cell>
          <cell r="L265">
            <v>0.85694996797233802</v>
          </cell>
        </row>
        <row r="266">
          <cell r="I266">
            <v>41152</v>
          </cell>
          <cell r="J266">
            <v>4273.1000000000004</v>
          </cell>
          <cell r="L266">
            <v>0.92408794393225502</v>
          </cell>
        </row>
        <row r="267">
          <cell r="I267">
            <v>41159</v>
          </cell>
          <cell r="J267">
            <v>4779.1000000000004</v>
          </cell>
          <cell r="L267">
            <v>0.91761037893987496</v>
          </cell>
        </row>
        <row r="268">
          <cell r="I268">
            <v>41166</v>
          </cell>
          <cell r="J268">
            <v>4823.3</v>
          </cell>
          <cell r="L268">
            <v>0.940476462565773</v>
          </cell>
        </row>
        <row r="269">
          <cell r="I269">
            <v>41173</v>
          </cell>
          <cell r="J269">
            <v>4979</v>
          </cell>
          <cell r="L269">
            <v>0.95891425076544701</v>
          </cell>
        </row>
        <row r="270">
          <cell r="I270">
            <v>41180</v>
          </cell>
          <cell r="J270">
            <v>5965.5</v>
          </cell>
          <cell r="L270">
            <v>0.96459917415866603</v>
          </cell>
        </row>
        <row r="271">
          <cell r="I271">
            <v>41187</v>
          </cell>
          <cell r="J271">
            <v>5892.5</v>
          </cell>
          <cell r="L271">
            <v>0.95362908529618595</v>
          </cell>
        </row>
        <row r="272">
          <cell r="I272">
            <v>41194</v>
          </cell>
          <cell r="J272">
            <v>5572.2</v>
          </cell>
          <cell r="L272">
            <v>0.95159604304738399</v>
          </cell>
        </row>
        <row r="273">
          <cell r="I273">
            <v>41201</v>
          </cell>
          <cell r="J273">
            <v>4847.2</v>
          </cell>
          <cell r="L273">
            <v>0.95277295236812298</v>
          </cell>
        </row>
        <row r="274">
          <cell r="I274">
            <v>41208</v>
          </cell>
          <cell r="J274">
            <v>4550.7</v>
          </cell>
          <cell r="L274">
            <v>0.95079229345734495</v>
          </cell>
        </row>
        <row r="275">
          <cell r="I275">
            <v>41215</v>
          </cell>
          <cell r="J275">
            <v>4297.7</v>
          </cell>
          <cell r="L275">
            <v>0.92571311512973697</v>
          </cell>
        </row>
        <row r="276">
          <cell r="I276">
            <v>41222</v>
          </cell>
          <cell r="J276">
            <v>4856.1000000000004</v>
          </cell>
          <cell r="L276">
            <v>0.92529425270600996</v>
          </cell>
        </row>
        <row r="277">
          <cell r="I277">
            <v>41229</v>
          </cell>
          <cell r="J277">
            <v>4702.3999999999996</v>
          </cell>
          <cell r="L277">
            <v>0.92772026190850898</v>
          </cell>
        </row>
        <row r="278">
          <cell r="I278">
            <v>41236</v>
          </cell>
          <cell r="J278">
            <v>4666.8</v>
          </cell>
          <cell r="L278">
            <v>0.92993011952820803</v>
          </cell>
        </row>
        <row r="279">
          <cell r="I279">
            <v>41243</v>
          </cell>
          <cell r="J279">
            <v>4943</v>
          </cell>
          <cell r="L279">
            <v>0.92756020040727505</v>
          </cell>
        </row>
        <row r="280">
          <cell r="I280">
            <v>41250</v>
          </cell>
          <cell r="J280">
            <v>5368.1</v>
          </cell>
          <cell r="L280">
            <v>0.91054790878492298</v>
          </cell>
        </row>
        <row r="281">
          <cell r="I281">
            <v>41257</v>
          </cell>
          <cell r="J281">
            <v>4564.3999999999996</v>
          </cell>
          <cell r="L281">
            <v>0.91261368517922603</v>
          </cell>
        </row>
        <row r="282">
          <cell r="I282">
            <v>41264</v>
          </cell>
          <cell r="J282">
            <v>3983.2</v>
          </cell>
          <cell r="L282">
            <v>0.909651579188403</v>
          </cell>
        </row>
        <row r="283">
          <cell r="I283">
            <v>41271</v>
          </cell>
          <cell r="J283">
            <v>3488.9</v>
          </cell>
          <cell r="L283">
            <v>0.91018597538933199</v>
          </cell>
        </row>
        <row r="284">
          <cell r="I284">
            <v>41278</v>
          </cell>
          <cell r="J284">
            <v>3896.4</v>
          </cell>
          <cell r="L284">
            <v>0.88829814088555903</v>
          </cell>
        </row>
        <row r="285">
          <cell r="I285">
            <v>41285</v>
          </cell>
          <cell r="J285">
            <v>4554.3999999999996</v>
          </cell>
          <cell r="L285">
            <v>0.88507237465235999</v>
          </cell>
        </row>
        <row r="286">
          <cell r="I286">
            <v>41292</v>
          </cell>
          <cell r="J286">
            <v>4937.3999999999996</v>
          </cell>
          <cell r="L286">
            <v>0.88631407683414698</v>
          </cell>
        </row>
        <row r="287">
          <cell r="I287">
            <v>41299</v>
          </cell>
          <cell r="J287">
            <v>4433.6000000000004</v>
          </cell>
          <cell r="L287">
            <v>0.88379536104531298</v>
          </cell>
        </row>
        <row r="288">
          <cell r="I288">
            <v>41306</v>
          </cell>
          <cell r="J288">
            <v>4579</v>
          </cell>
          <cell r="L288">
            <v>0.84748759806752005</v>
          </cell>
        </row>
        <row r="289">
          <cell r="I289">
            <v>41313</v>
          </cell>
          <cell r="J289">
            <v>4284.3</v>
          </cell>
          <cell r="L289">
            <v>0.79744674672768501</v>
          </cell>
        </row>
        <row r="290">
          <cell r="I290">
            <v>41320</v>
          </cell>
          <cell r="J290">
            <v>4261.8</v>
          </cell>
          <cell r="L290">
            <v>0.79744674672768501</v>
          </cell>
        </row>
        <row r="291">
          <cell r="I291">
            <v>41327</v>
          </cell>
          <cell r="J291">
            <v>4136.3</v>
          </cell>
          <cell r="L291">
            <v>0.75767121274966998</v>
          </cell>
        </row>
        <row r="292">
          <cell r="I292">
            <v>41334</v>
          </cell>
          <cell r="J292">
            <v>4724.8999999999996</v>
          </cell>
          <cell r="L292">
            <v>0.81599621049204496</v>
          </cell>
        </row>
        <row r="293">
          <cell r="I293">
            <v>41341</v>
          </cell>
          <cell r="J293">
            <v>4485.2</v>
          </cell>
          <cell r="L293">
            <v>0.81254588826988305</v>
          </cell>
        </row>
        <row r="294">
          <cell r="I294">
            <v>41348</v>
          </cell>
          <cell r="J294">
            <v>4111.3</v>
          </cell>
          <cell r="L294">
            <v>0.70260073761186803</v>
          </cell>
        </row>
        <row r="295">
          <cell r="I295">
            <v>41355</v>
          </cell>
          <cell r="J295">
            <v>4412.8999999999996</v>
          </cell>
          <cell r="L295">
            <v>0.76832708554350604</v>
          </cell>
        </row>
        <row r="296">
          <cell r="I296">
            <v>41361</v>
          </cell>
          <cell r="J296">
            <v>4119.2</v>
          </cell>
          <cell r="L296">
            <v>0.73085022058809701</v>
          </cell>
        </row>
        <row r="297">
          <cell r="I297">
            <v>41369</v>
          </cell>
          <cell r="J297">
            <v>4528.8999999999996</v>
          </cell>
          <cell r="L297">
            <v>0.74812714109915801</v>
          </cell>
        </row>
        <row r="298">
          <cell r="I298">
            <v>41376</v>
          </cell>
          <cell r="J298">
            <v>4726.8999999999996</v>
          </cell>
          <cell r="L298">
            <v>0.81951890925716098</v>
          </cell>
        </row>
        <row r="299">
          <cell r="I299">
            <v>41383</v>
          </cell>
          <cell r="J299">
            <v>4672.1000000000004</v>
          </cell>
          <cell r="L299">
            <v>0.82637993200499604</v>
          </cell>
        </row>
        <row r="300">
          <cell r="I300">
            <v>41390</v>
          </cell>
          <cell r="J300">
            <v>4854.1000000000004</v>
          </cell>
          <cell r="L300">
            <v>0.82478602429419601</v>
          </cell>
        </row>
        <row r="301">
          <cell r="I301">
            <v>41397</v>
          </cell>
          <cell r="J301">
            <v>5279.9</v>
          </cell>
          <cell r="L301">
            <v>0.816862820958143</v>
          </cell>
        </row>
        <row r="302">
          <cell r="I302">
            <v>41404</v>
          </cell>
          <cell r="J302">
            <v>4797.2</v>
          </cell>
          <cell r="L302">
            <v>0.80807149473903706</v>
          </cell>
        </row>
        <row r="303">
          <cell r="I303">
            <v>41409</v>
          </cell>
          <cell r="J303">
            <v>4241.5</v>
          </cell>
          <cell r="L303">
            <v>0.77783403735744605</v>
          </cell>
        </row>
        <row r="304">
          <cell r="I304">
            <v>41418</v>
          </cell>
          <cell r="J304">
            <v>3709.4</v>
          </cell>
          <cell r="L304">
            <v>0.69528028144530996</v>
          </cell>
        </row>
        <row r="305">
          <cell r="I305">
            <v>41425</v>
          </cell>
          <cell r="J305">
            <v>3163.6</v>
          </cell>
          <cell r="L305">
            <v>0.63267241864898405</v>
          </cell>
        </row>
        <row r="306">
          <cell r="I306">
            <v>41432</v>
          </cell>
          <cell r="J306">
            <v>3339.8</v>
          </cell>
          <cell r="L306">
            <v>0.60569175356282701</v>
          </cell>
        </row>
        <row r="307">
          <cell r="I307">
            <v>41439</v>
          </cell>
          <cell r="J307">
            <v>3214.4</v>
          </cell>
          <cell r="L307">
            <v>0.57343184072471898</v>
          </cell>
        </row>
        <row r="308">
          <cell r="I308">
            <v>41446</v>
          </cell>
          <cell r="J308">
            <v>3040.1</v>
          </cell>
          <cell r="L308">
            <v>0.58795254732817603</v>
          </cell>
        </row>
        <row r="309">
          <cell r="I309">
            <v>41453</v>
          </cell>
          <cell r="J309">
            <v>2573.4</v>
          </cell>
          <cell r="L309">
            <v>0.39082116641682302</v>
          </cell>
        </row>
        <row r="310">
          <cell r="I310">
            <v>41460</v>
          </cell>
          <cell r="J310">
            <v>2417.8000000000002</v>
          </cell>
          <cell r="L310">
            <v>0.43308646421209301</v>
          </cell>
        </row>
        <row r="311">
          <cell r="I311">
            <v>41467</v>
          </cell>
          <cell r="J311">
            <v>2242.1999999999998</v>
          </cell>
          <cell r="L311">
            <v>0.31856955774356599</v>
          </cell>
        </row>
        <row r="312">
          <cell r="I312">
            <v>41474</v>
          </cell>
          <cell r="J312">
            <v>2288</v>
          </cell>
          <cell r="L312">
            <v>0.42624975952077698</v>
          </cell>
        </row>
        <row r="313">
          <cell r="I313">
            <v>41481</v>
          </cell>
          <cell r="J313">
            <v>2218.3000000000002</v>
          </cell>
          <cell r="L313">
            <v>0.42922629610906499</v>
          </cell>
        </row>
        <row r="314">
          <cell r="I314">
            <v>41488</v>
          </cell>
          <cell r="J314">
            <v>2228.9</v>
          </cell>
          <cell r="L314">
            <v>0.40917398895536999</v>
          </cell>
        </row>
        <row r="315">
          <cell r="I315">
            <v>41495</v>
          </cell>
          <cell r="J315">
            <v>2110.6</v>
          </cell>
          <cell r="L315">
            <v>0.40797811985401</v>
          </cell>
        </row>
        <row r="316">
          <cell r="I316">
            <v>41508</v>
          </cell>
          <cell r="J316">
            <v>1935.1</v>
          </cell>
          <cell r="L316">
            <v>0.28211495793674202</v>
          </cell>
        </row>
        <row r="317">
          <cell r="I317">
            <v>41509</v>
          </cell>
          <cell r="J317">
            <v>1842.6</v>
          </cell>
          <cell r="L317">
            <v>0.28211495793674202</v>
          </cell>
        </row>
        <row r="318">
          <cell r="I318">
            <v>41516</v>
          </cell>
          <cell r="J318">
            <v>1909</v>
          </cell>
          <cell r="L318">
            <v>0.32707732602530398</v>
          </cell>
        </row>
        <row r="319">
          <cell r="I319">
            <v>41523</v>
          </cell>
          <cell r="J319">
            <v>1512.9</v>
          </cell>
          <cell r="L319">
            <v>0.28186492560364501</v>
          </cell>
        </row>
        <row r="320">
          <cell r="I320">
            <v>41530</v>
          </cell>
          <cell r="J320">
            <v>1814</v>
          </cell>
          <cell r="L320">
            <v>0.27463010199382099</v>
          </cell>
        </row>
        <row r="321">
          <cell r="I321">
            <v>41537</v>
          </cell>
          <cell r="J321">
            <v>1922.9</v>
          </cell>
          <cell r="L321">
            <v>0.33277831045649597</v>
          </cell>
        </row>
        <row r="322">
          <cell r="I322">
            <v>41544</v>
          </cell>
          <cell r="J322">
            <v>1956.6</v>
          </cell>
          <cell r="L322">
            <v>0.40445747526612702</v>
          </cell>
        </row>
        <row r="323">
          <cell r="I323">
            <v>41551</v>
          </cell>
          <cell r="J323">
            <v>2025.3</v>
          </cell>
          <cell r="L323">
            <v>0.41528178559290602</v>
          </cell>
        </row>
        <row r="324">
          <cell r="I324">
            <v>41558</v>
          </cell>
          <cell r="J324">
            <v>2102.6999999999998</v>
          </cell>
          <cell r="L324">
            <v>0.41314719259777</v>
          </cell>
        </row>
        <row r="325">
          <cell r="I325">
            <v>41565</v>
          </cell>
          <cell r="J325">
            <v>2033.7</v>
          </cell>
          <cell r="L325">
            <v>0.402324815903361</v>
          </cell>
        </row>
        <row r="326">
          <cell r="I326">
            <v>41572</v>
          </cell>
          <cell r="J326">
            <v>2211.8000000000002</v>
          </cell>
          <cell r="L326">
            <v>0.431569129246685</v>
          </cell>
        </row>
        <row r="327">
          <cell r="I327">
            <v>41579</v>
          </cell>
          <cell r="J327">
            <v>2105.6</v>
          </cell>
          <cell r="L327">
            <v>0.46054051472194202</v>
          </cell>
        </row>
        <row r="328">
          <cell r="I328">
            <v>41586</v>
          </cell>
          <cell r="J328">
            <v>2056.9</v>
          </cell>
          <cell r="L328">
            <v>0.42159370418067099</v>
          </cell>
        </row>
        <row r="329">
          <cell r="I329">
            <v>41593</v>
          </cell>
          <cell r="J329">
            <v>1903.5</v>
          </cell>
          <cell r="L329">
            <v>0.38756459325455</v>
          </cell>
        </row>
        <row r="330">
          <cell r="I330">
            <v>41600</v>
          </cell>
          <cell r="J330">
            <v>1917.2</v>
          </cell>
          <cell r="L330">
            <v>0.41410653536495001</v>
          </cell>
        </row>
        <row r="331">
          <cell r="I331">
            <v>41605</v>
          </cell>
          <cell r="J331">
            <v>1561.6</v>
          </cell>
          <cell r="L331">
            <v>0.39699815933228</v>
          </cell>
        </row>
        <row r="332">
          <cell r="I332">
            <v>41614</v>
          </cell>
          <cell r="J332">
            <v>1599.4</v>
          </cell>
          <cell r="L332">
            <v>0.37338021104571001</v>
          </cell>
        </row>
        <row r="333">
          <cell r="I333">
            <v>41621</v>
          </cell>
          <cell r="J333">
            <v>1529.8</v>
          </cell>
          <cell r="L333">
            <v>0.37072062674784101</v>
          </cell>
        </row>
        <row r="334">
          <cell r="I334">
            <v>41628</v>
          </cell>
          <cell r="J334">
            <v>1426.7</v>
          </cell>
          <cell r="L334">
            <v>0.339745677776082</v>
          </cell>
        </row>
        <row r="335">
          <cell r="I335">
            <v>41635</v>
          </cell>
          <cell r="J335">
            <v>1277.8</v>
          </cell>
          <cell r="L335">
            <v>0.33029809597210902</v>
          </cell>
        </row>
        <row r="336">
          <cell r="I336">
            <v>41642</v>
          </cell>
          <cell r="J336">
            <v>1352.7</v>
          </cell>
          <cell r="L336">
            <v>0.26212623729092299</v>
          </cell>
        </row>
        <row r="337">
          <cell r="I337">
            <v>41649</v>
          </cell>
          <cell r="J337">
            <v>1507</v>
          </cell>
          <cell r="L337">
            <v>0.29022600492529399</v>
          </cell>
        </row>
        <row r="338">
          <cell r="I338">
            <v>41656</v>
          </cell>
          <cell r="J338">
            <v>1675.8</v>
          </cell>
          <cell r="L338">
            <v>0.36774882579493101</v>
          </cell>
        </row>
        <row r="339">
          <cell r="I339">
            <v>41663</v>
          </cell>
          <cell r="J339">
            <v>1601.2</v>
          </cell>
          <cell r="L339">
            <v>0.37084428304329597</v>
          </cell>
        </row>
        <row r="340">
          <cell r="I340">
            <v>41670</v>
          </cell>
          <cell r="J340">
            <v>1667.5</v>
          </cell>
          <cell r="L340">
            <v>0.38160196936392599</v>
          </cell>
        </row>
        <row r="341">
          <cell r="I341">
            <v>41677</v>
          </cell>
          <cell r="J341">
            <v>1674.2</v>
          </cell>
          <cell r="L341">
            <v>0.40068103493110202</v>
          </cell>
        </row>
        <row r="342">
          <cell r="I342">
            <v>41684</v>
          </cell>
          <cell r="J342">
            <v>1650.6</v>
          </cell>
          <cell r="L342">
            <v>0.38532630107915999</v>
          </cell>
        </row>
        <row r="343">
          <cell r="I343">
            <v>41691</v>
          </cell>
          <cell r="J343">
            <v>1442.3</v>
          </cell>
          <cell r="L343">
            <v>0.375571977518594</v>
          </cell>
        </row>
        <row r="344">
          <cell r="I344">
            <v>41698</v>
          </cell>
          <cell r="J344">
            <v>1600.6</v>
          </cell>
          <cell r="L344">
            <v>0.36967404481869198</v>
          </cell>
        </row>
        <row r="345">
          <cell r="I345">
            <v>41705</v>
          </cell>
          <cell r="J345">
            <v>1528</v>
          </cell>
          <cell r="L345">
            <v>0.383169637258365</v>
          </cell>
        </row>
        <row r="346">
          <cell r="I346">
            <v>41712</v>
          </cell>
          <cell r="J346">
            <v>1552.1</v>
          </cell>
          <cell r="L346">
            <v>0.36933430427665598</v>
          </cell>
        </row>
        <row r="347">
          <cell r="I347">
            <v>41719</v>
          </cell>
          <cell r="J347">
            <v>1426.3</v>
          </cell>
          <cell r="L347">
            <v>0.38030249532079302</v>
          </cell>
        </row>
        <row r="348">
          <cell r="I348">
            <v>41726</v>
          </cell>
          <cell r="J348">
            <v>1383.5</v>
          </cell>
          <cell r="L348">
            <v>0.36565400061255998</v>
          </cell>
        </row>
        <row r="349">
          <cell r="I349">
            <v>41733</v>
          </cell>
          <cell r="J349">
            <v>1324.7</v>
          </cell>
          <cell r="L349">
            <v>0.35521926568999201</v>
          </cell>
        </row>
        <row r="350">
          <cell r="I350">
            <v>41740</v>
          </cell>
          <cell r="J350">
            <v>1429.9</v>
          </cell>
          <cell r="L350">
            <v>0.36683376695248798</v>
          </cell>
        </row>
        <row r="351">
          <cell r="I351">
            <v>41746</v>
          </cell>
          <cell r="J351">
            <v>1370.9</v>
          </cell>
          <cell r="L351">
            <v>0.38166972699665502</v>
          </cell>
        </row>
        <row r="352">
          <cell r="I352">
            <v>41754</v>
          </cell>
          <cell r="J352">
            <v>1298.0999999999999</v>
          </cell>
          <cell r="L352">
            <v>0.37393962817107101</v>
          </cell>
        </row>
        <row r="353">
          <cell r="I353">
            <v>41761</v>
          </cell>
          <cell r="J353">
            <v>1323.9</v>
          </cell>
          <cell r="L353">
            <v>0.37360583835556399</v>
          </cell>
        </row>
        <row r="354">
          <cell r="I354">
            <v>41768</v>
          </cell>
          <cell r="J354">
            <v>1400.9</v>
          </cell>
          <cell r="L354">
            <v>0.409756747537739</v>
          </cell>
        </row>
        <row r="355">
          <cell r="I355">
            <v>41775</v>
          </cell>
          <cell r="J355">
            <v>1460.6</v>
          </cell>
          <cell r="L355">
            <v>0.41321534069517601</v>
          </cell>
        </row>
        <row r="356">
          <cell r="I356">
            <v>41782</v>
          </cell>
          <cell r="J356">
            <v>1453.4</v>
          </cell>
          <cell r="L356">
            <v>0.44799454346559803</v>
          </cell>
        </row>
        <row r="357">
          <cell r="I357">
            <v>41789</v>
          </cell>
          <cell r="J357">
            <v>1382.6</v>
          </cell>
          <cell r="L357">
            <v>0.463620204949516</v>
          </cell>
        </row>
        <row r="358">
          <cell r="I358">
            <v>41796</v>
          </cell>
          <cell r="J358">
            <v>1516.9</v>
          </cell>
          <cell r="L358">
            <v>0.46847875373528802</v>
          </cell>
        </row>
        <row r="359">
          <cell r="I359">
            <v>41803</v>
          </cell>
          <cell r="J359">
            <v>1321.3</v>
          </cell>
          <cell r="L359">
            <v>0.41096738430920399</v>
          </cell>
        </row>
        <row r="360">
          <cell r="I360">
            <v>41810</v>
          </cell>
          <cell r="J360">
            <v>1333.5</v>
          </cell>
          <cell r="L360">
            <v>0.426359386921487</v>
          </cell>
        </row>
        <row r="361">
          <cell r="I361">
            <v>41817</v>
          </cell>
          <cell r="J361">
            <v>1341.8</v>
          </cell>
          <cell r="L361">
            <v>0.46847875373528802</v>
          </cell>
        </row>
        <row r="362">
          <cell r="I362">
            <v>41823</v>
          </cell>
          <cell r="J362">
            <v>1346.8</v>
          </cell>
          <cell r="L362">
            <v>0.481783217502605</v>
          </cell>
        </row>
        <row r="363">
          <cell r="I363">
            <v>41831</v>
          </cell>
          <cell r="J363">
            <v>1329.7</v>
          </cell>
          <cell r="L363">
            <v>0.42147742037559999</v>
          </cell>
        </row>
        <row r="364">
          <cell r="I364">
            <v>41838</v>
          </cell>
          <cell r="J364">
            <v>1400.7</v>
          </cell>
          <cell r="L364">
            <v>0.451552968278365</v>
          </cell>
        </row>
        <row r="365">
          <cell r="I365">
            <v>41845</v>
          </cell>
          <cell r="J365">
            <v>1327.5</v>
          </cell>
          <cell r="L365">
            <v>0.451552968278365</v>
          </cell>
        </row>
        <row r="366">
          <cell r="I366">
            <v>41852</v>
          </cell>
          <cell r="J366">
            <v>1373.9</v>
          </cell>
          <cell r="L366">
            <v>0.45923072088835198</v>
          </cell>
        </row>
        <row r="367">
          <cell r="I367">
            <v>41859</v>
          </cell>
          <cell r="J367">
            <v>1342.6</v>
          </cell>
          <cell r="L367">
            <v>0.42413376349642801</v>
          </cell>
        </row>
        <row r="368">
          <cell r="I368">
            <v>41866</v>
          </cell>
          <cell r="J368">
            <v>1404.9</v>
          </cell>
          <cell r="L368">
            <v>0.45575254137027599</v>
          </cell>
        </row>
        <row r="369">
          <cell r="I369">
            <v>41873</v>
          </cell>
          <cell r="J369">
            <v>1439.4</v>
          </cell>
          <cell r="L369">
            <v>0.49084413664233301</v>
          </cell>
        </row>
        <row r="370">
          <cell r="I370">
            <v>41880</v>
          </cell>
          <cell r="J370">
            <v>1436</v>
          </cell>
          <cell r="L370">
            <v>0.49084413664233301</v>
          </cell>
        </row>
        <row r="371">
          <cell r="I371">
            <v>41887</v>
          </cell>
          <cell r="J371">
            <v>1275.8</v>
          </cell>
          <cell r="L371">
            <v>0.487326419100717</v>
          </cell>
        </row>
        <row r="372">
          <cell r="I372">
            <v>41894</v>
          </cell>
          <cell r="J372">
            <v>1398.4</v>
          </cell>
          <cell r="L372">
            <v>0.47415919522438099</v>
          </cell>
        </row>
        <row r="373">
          <cell r="I373">
            <v>41901</v>
          </cell>
          <cell r="J373">
            <v>1335.1</v>
          </cell>
          <cell r="L373">
            <v>0.39816728626756598</v>
          </cell>
        </row>
        <row r="374">
          <cell r="I374">
            <v>41908</v>
          </cell>
          <cell r="J374">
            <v>1326.2</v>
          </cell>
          <cell r="L374">
            <v>0.413732301706637</v>
          </cell>
        </row>
        <row r="375">
          <cell r="I375">
            <v>41915</v>
          </cell>
          <cell r="J375">
            <v>1387.1</v>
          </cell>
          <cell r="L375">
            <v>0.43232059685066698</v>
          </cell>
        </row>
        <row r="376">
          <cell r="I376">
            <v>41922</v>
          </cell>
          <cell r="J376">
            <v>1560.6</v>
          </cell>
          <cell r="L376">
            <v>0.47165449273347199</v>
          </cell>
        </row>
        <row r="377">
          <cell r="I377">
            <v>41929</v>
          </cell>
          <cell r="J377">
            <v>1898.2</v>
          </cell>
          <cell r="L377">
            <v>0.57517284737260699</v>
          </cell>
        </row>
        <row r="378">
          <cell r="I378">
            <v>41936</v>
          </cell>
          <cell r="J378">
            <v>1713.6</v>
          </cell>
          <cell r="L378">
            <v>0.58745733896979602</v>
          </cell>
        </row>
        <row r="379">
          <cell r="I379">
            <v>41943</v>
          </cell>
          <cell r="J379">
            <v>1604.8</v>
          </cell>
          <cell r="L379">
            <v>0.57181297396619601</v>
          </cell>
        </row>
        <row r="380">
          <cell r="I380">
            <v>41950</v>
          </cell>
          <cell r="J380">
            <v>1565.3</v>
          </cell>
          <cell r="L380">
            <v>0.548579829179903</v>
          </cell>
        </row>
        <row r="381">
          <cell r="I381">
            <v>41957</v>
          </cell>
          <cell r="J381">
            <v>1563.2</v>
          </cell>
          <cell r="L381">
            <v>0.55497671209744104</v>
          </cell>
        </row>
        <row r="382">
          <cell r="I382">
            <v>41964</v>
          </cell>
          <cell r="J382">
            <v>1547.9</v>
          </cell>
          <cell r="L382">
            <v>0.56606721089043699</v>
          </cell>
        </row>
        <row r="383">
          <cell r="I383">
            <v>41971</v>
          </cell>
          <cell r="J383">
            <v>1366.6</v>
          </cell>
          <cell r="L383">
            <v>0.57290983086857505</v>
          </cell>
        </row>
        <row r="384">
          <cell r="I384">
            <v>41978</v>
          </cell>
          <cell r="J384">
            <v>1548.6</v>
          </cell>
          <cell r="L384">
            <v>0.59279776197128298</v>
          </cell>
        </row>
        <row r="385">
          <cell r="I385">
            <v>41985</v>
          </cell>
          <cell r="J385">
            <v>1518.8</v>
          </cell>
          <cell r="L385">
            <v>0.57867105076839898</v>
          </cell>
        </row>
        <row r="386">
          <cell r="I386">
            <v>41992</v>
          </cell>
          <cell r="J386">
            <v>1538.7</v>
          </cell>
          <cell r="L386">
            <v>0.61554969638107904</v>
          </cell>
        </row>
        <row r="387">
          <cell r="I387">
            <v>41999</v>
          </cell>
          <cell r="J387">
            <v>1164.2</v>
          </cell>
          <cell r="L387">
            <v>0.605746362235419</v>
          </cell>
        </row>
        <row r="388">
          <cell r="I388">
            <v>42006</v>
          </cell>
          <cell r="J388">
            <v>1347.6</v>
          </cell>
          <cell r="L388">
            <v>0.59072795930158895</v>
          </cell>
        </row>
        <row r="389">
          <cell r="I389">
            <v>42013</v>
          </cell>
          <cell r="J389">
            <v>2308.6999999999998</v>
          </cell>
          <cell r="L389">
            <v>0.63580141506138299</v>
          </cell>
        </row>
        <row r="390">
          <cell r="I390">
            <v>42020</v>
          </cell>
          <cell r="J390">
            <v>2799.3</v>
          </cell>
          <cell r="L390">
            <v>0.66264885680248997</v>
          </cell>
        </row>
        <row r="391">
          <cell r="I391">
            <v>42027</v>
          </cell>
          <cell r="J391">
            <v>2572.3000000000002</v>
          </cell>
          <cell r="L391">
            <v>0.664741267487021</v>
          </cell>
        </row>
        <row r="392">
          <cell r="I392">
            <v>42034</v>
          </cell>
          <cell r="J392">
            <v>2584.8000000000002</v>
          </cell>
          <cell r="L392">
            <v>0.66264885680248997</v>
          </cell>
        </row>
        <row r="393">
          <cell r="I393">
            <v>42041</v>
          </cell>
          <cell r="J393">
            <v>2291.3000000000002</v>
          </cell>
          <cell r="L393">
            <v>0.68438167594716104</v>
          </cell>
        </row>
        <row r="394">
          <cell r="I394">
            <v>42048</v>
          </cell>
          <cell r="J394">
            <v>1904.2</v>
          </cell>
          <cell r="L394">
            <v>0.64890841265420796</v>
          </cell>
        </row>
        <row r="395">
          <cell r="I395">
            <v>42055</v>
          </cell>
          <cell r="J395">
            <v>1703.1</v>
          </cell>
          <cell r="L395">
            <v>0.62651628119673397</v>
          </cell>
        </row>
        <row r="396">
          <cell r="I396">
            <v>42062</v>
          </cell>
          <cell r="J396">
            <v>1740.3</v>
          </cell>
          <cell r="L396">
            <v>0.61098575112407705</v>
          </cell>
        </row>
        <row r="397">
          <cell r="I397">
            <v>42069</v>
          </cell>
          <cell r="J397">
            <v>1685.7</v>
          </cell>
          <cell r="L397">
            <v>0.61966926616186602</v>
          </cell>
        </row>
        <row r="398">
          <cell r="I398">
            <v>42076</v>
          </cell>
          <cell r="J398">
            <v>1623.6</v>
          </cell>
          <cell r="L398">
            <v>0.57559445438514301</v>
          </cell>
        </row>
        <row r="399">
          <cell r="I399">
            <v>42083</v>
          </cell>
          <cell r="J399">
            <v>1860.8</v>
          </cell>
          <cell r="L399">
            <v>0.609371962286406</v>
          </cell>
        </row>
        <row r="400">
          <cell r="I400">
            <v>42090</v>
          </cell>
          <cell r="J400">
            <v>1941.6</v>
          </cell>
          <cell r="L400">
            <v>0.64195316325793905</v>
          </cell>
        </row>
        <row r="401">
          <cell r="I401">
            <v>42097</v>
          </cell>
          <cell r="J401">
            <v>1854.7</v>
          </cell>
          <cell r="L401">
            <v>0.62812472062617597</v>
          </cell>
        </row>
        <row r="402">
          <cell r="I402">
            <v>42104</v>
          </cell>
          <cell r="J402">
            <v>1804.6</v>
          </cell>
          <cell r="L402">
            <v>0.64478767281568505</v>
          </cell>
        </row>
        <row r="403">
          <cell r="I403">
            <v>42111</v>
          </cell>
          <cell r="J403">
            <v>1817</v>
          </cell>
          <cell r="L403">
            <v>0.63088888629855699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5" autoFormatId="16" applyNumberFormats="0" applyBorderFormats="0" applyFontFormats="0" applyPatternFormats="0" applyAlignmentFormats="0" applyWidthHeightFormats="0">
  <queryTableRefresh nextId="74" unboundColumnsRight="7">
    <queryTableFields count="10">
      <queryTableField id="62" name="AsOfDate" tableColumnId="1"/>
      <queryTableField id="64" name="refinancible" tableColumnId="3"/>
      <queryTableField id="65" name="refinancible_satoAdj" tableColumnId="4"/>
      <queryTableField id="66" dataBound="0" tableColumnId="5"/>
      <queryTableField id="67" dataBound="0" tableColumnId="6"/>
      <queryTableField id="68" dataBound="0" tableColumnId="2"/>
      <queryTableField id="70" dataBound="0" tableColumnId="8"/>
      <queryTableField id="71" dataBound="0" tableColumnId="7"/>
      <queryTableField id="72" dataBound="0" tableColumnId="9"/>
      <queryTableField id="73" dataBound="0" tableColumnId="10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6" autoFormatId="16" applyNumberFormats="0" applyBorderFormats="0" applyFontFormats="0" applyPatternFormats="0" applyAlignmentFormats="0" applyWidthHeightFormats="0">
  <queryTableRefresh nextId="70" unboundColumnsRight="1">
    <queryTableFields count="3">
      <queryTableField id="62" name="AsOfDate" tableColumnId="1"/>
      <queryTableField id="67" name="refinanceible" tableColumnId="6"/>
      <queryTableField id="66" dataBound="0" tableColumnId="5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7" autoFormatId="16" applyNumberFormats="0" applyBorderFormats="0" applyFontFormats="0" applyPatternFormats="0" applyAlignmentFormats="0" applyWidthHeightFormats="0">
  <queryTableRefresh nextId="72">
    <queryTableFields count="2">
      <queryTableField id="62" name="AsOfDate" tableColumnId="1"/>
      <queryTableField id="67" name="refinanceible" tableColumnId="6"/>
    </queryTableFields>
  </queryTableRefresh>
</queryTable>
</file>

<file path=xl/queryTables/queryTable4.xml><?xml version="1.0" encoding="utf-8"?>
<queryTable xmlns="http://schemas.openxmlformats.org/spreadsheetml/2006/main" name="Query from Agency_10" backgroundRefresh="0" adjustColumnWidth="0" connectionId="9" autoFormatId="16" applyNumberFormats="0" applyBorderFormats="0" applyFontFormats="0" applyPatternFormats="0" applyAlignmentFormats="0" applyWidthHeightFormats="0">
  <queryTableRefresh nextId="72">
    <queryTableFields count="2">
      <queryTableField id="62" name="AsOfDate" tableColumnId="1"/>
      <queryTableField id="67" name="refinanceible" tableColumnId="6"/>
    </queryTableFields>
  </queryTableRefresh>
</queryTable>
</file>

<file path=xl/queryTables/queryTable5.xml><?xml version="1.0" encoding="utf-8"?>
<queryTable xmlns="http://schemas.openxmlformats.org/spreadsheetml/2006/main" name="temp_1" connectionId="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mp1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mp1_2" connectionId="1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emp1_1" connectionId="1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mp1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mp1_2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mp1_1" connectionId="18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CurrentMtgRatesDataTable825" displayName="CurrentMtgRatesDataTable825" ref="B2:K227" tableType="queryTable" totalsRowShown="0" headerRowDxfId="28" dataDxfId="27">
  <tableColumns count="10">
    <tableColumn id="1" uniqueName="1" name="asOfDate" queryTableFieldId="62" dataDxfId="26"/>
    <tableColumn id="3" uniqueName="3" name="Pool Level" queryTableFieldId="64" dataDxfId="25"/>
    <tableColumn id="4" uniqueName="4" name="refinancible_satoAdj" queryTableFieldId="65" dataDxfId="24"/>
    <tableColumn id="5" uniqueName="5" name="Conv Refi Index" queryTableFieldId="66" dataDxfId="23">
      <calculatedColumnFormula>VLOOKUP(CurrentMtgRatesDataTable825[[#This Row],[asOfDate]]+1,Bloomberg!B:C,2,0)</calculatedColumnFormula>
    </tableColumn>
    <tableColumn id="6" uniqueName="6" name="Loan Level" queryTableFieldId="67" dataDxfId="22" dataCellStyle="Percent">
      <calculatedColumnFormula>VLOOKUP(CurrentMtgRatesDataTable825[[#This Row],[asOfDate]],CurrentMtgRatesDataTable8256[#All],2,0)</calculatedColumnFormula>
    </tableColumn>
    <tableColumn id="2" uniqueName="2" name="Loan with LLPA" queryTableFieldId="68" dataDxfId="21" dataCellStyle="Percent">
      <calculatedColumnFormula>VLOOKUP(CurrentMtgRatesDataTable825[[#This Row],[asOfDate]],CurrentMtgRatesDataTable82562[],2,0)</calculatedColumnFormula>
    </tableColumn>
    <tableColumn id="8" uniqueName="8" name="Time-Dependent LLPA" queryTableFieldId="70" dataDxfId="20" dataCellStyle="Percent">
      <calculatedColumnFormula>VLOOKUP(CurrentMtgRatesDataTable825[[#This Row],[asOfDate]],T:U,2,0)</calculatedColumnFormula>
    </tableColumn>
    <tableColumn id="7" uniqueName="7" name="LLPA &amp; PMI" queryTableFieldId="71" dataDxfId="19" dataCellStyle="Percent">
      <calculatedColumnFormula>VLOOKUP(CurrentMtgRatesDataTable825[[#This Row],[asOfDate]],CurrentMtgRatesDataTable825623[#All],2,0)</calculatedColumnFormula>
    </tableColumn>
    <tableColumn id="9" uniqueName="9" name="HARP" queryTableFieldId="72" dataDxfId="18" dataCellStyle="Percent">
      <calculatedColumnFormula>VLOOKUP(CurrentMtgRatesDataTable825[[#This Row],[asOfDate]],AC:AD,2,0)</calculatedColumnFormula>
    </tableColumn>
    <tableColumn id="10" uniqueName="10" name="Currnet PMI" queryTableFieldId="73" dataDxfId="4" dataCellStyle="Percent">
      <calculatedColumnFormula>VLOOKUP(CurrentMtgRatesDataTable825[[#This Row],[asOfDate]],temp_1,2,0)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5" name="CurrentMtgRatesDataTable8256" displayName="CurrentMtgRatesDataTable8256" ref="M2:O227" tableType="queryTable" totalsRowShown="0" headerRowDxfId="17" dataDxfId="16">
  <tableColumns count="3">
    <tableColumn id="1" uniqueName="1" name="asOfDate" queryTableFieldId="62" dataDxfId="15"/>
    <tableColumn id="6" uniqueName="6" name="refinanceible" queryTableFieldId="67" dataDxfId="14"/>
    <tableColumn id="5" uniqueName="5" name="Conv Refi Index" queryTableFieldId="66" dataDxfId="13">
      <calculatedColumnFormula>VLOOKUP(CurrentMtgRatesDataTable8256[[#This Row],[asOfDate]]+1,Bloomberg!B:C,2,0)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CurrentMtgRatesDataTable82562" displayName="CurrentMtgRatesDataTable82562" ref="Q2:R228" tableType="queryTable" totalsRowShown="0" headerRowDxfId="12" dataDxfId="11">
  <tableColumns count="2">
    <tableColumn id="1" uniqueName="1" name="asOfDate" queryTableFieldId="62" dataDxfId="10"/>
    <tableColumn id="6" uniqueName="6" name="refinanceible" queryTableFieldId="67" dataDxfId="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623" displayName="CurrentMtgRatesDataTable825623" ref="W2:X228" tableType="queryTable" totalsRowShown="0" headerRowDxfId="8" dataDxfId="7">
  <tableColumns count="2">
    <tableColumn id="1" uniqueName="1" name="asOfDate" queryTableFieldId="62" dataDxfId="6"/>
    <tableColumn id="6" uniqueName="6" name="refinanceible" queryTableFieldId="67" dataDxfId="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3" Type="http://schemas.openxmlformats.org/officeDocument/2006/relationships/table" Target="../tables/table1.x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10" Type="http://schemas.openxmlformats.org/officeDocument/2006/relationships/queryTable" Target="../queryTables/queryTable8.xml"/><Relationship Id="rId4" Type="http://schemas.openxmlformats.org/officeDocument/2006/relationships/table" Target="../tables/table2.xml"/><Relationship Id="rId9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zoomScaleNormal="100" workbookViewId="0">
      <selection activeCell="K66" sqref="K66"/>
    </sheetView>
  </sheetViews>
  <sheetFormatPr defaultRowHeight="12.75"/>
  <cols>
    <col min="1" max="1" width="9.140625" style="6" customWidth="1"/>
    <col min="2" max="2" width="9.140625" style="6"/>
    <col min="3" max="11" width="15.7109375" style="6" customWidth="1"/>
    <col min="12" max="14" width="10.28515625" style="6" customWidth="1"/>
    <col min="15" max="15" width="13.140625" style="6" customWidth="1"/>
    <col min="16" max="16" width="15.85546875" style="6" bestFit="1" customWidth="1"/>
    <col min="17" max="17" width="7.5703125" style="6" customWidth="1"/>
    <col min="18" max="18" width="10.28515625" style="6" customWidth="1"/>
    <col min="19" max="19" width="9.140625" style="6"/>
    <col min="20" max="20" width="14.140625" style="6" customWidth="1"/>
    <col min="21" max="21" width="40.85546875" style="6" bestFit="1" customWidth="1"/>
    <col min="22" max="22" width="14.85546875" style="6" bestFit="1" customWidth="1"/>
    <col min="23" max="16384" width="9.140625" style="6"/>
  </cols>
  <sheetData>
    <row r="1" spans="3:23">
      <c r="T1" s="2" t="s">
        <v>1</v>
      </c>
      <c r="U1" s="3" t="s">
        <v>2</v>
      </c>
      <c r="V1" s="6" t="s">
        <v>3</v>
      </c>
      <c r="W1" s="3" t="s">
        <v>4</v>
      </c>
    </row>
    <row r="2" spans="3:23">
      <c r="T2" s="2" t="s">
        <v>5</v>
      </c>
      <c r="U2" s="4">
        <v>42095</v>
      </c>
    </row>
    <row r="3" spans="3:23">
      <c r="T3" s="2" t="s">
        <v>26</v>
      </c>
      <c r="U3" s="25" t="s">
        <v>29</v>
      </c>
    </row>
    <row r="4" spans="3:23">
      <c r="T4" s="2" t="s">
        <v>6</v>
      </c>
      <c r="U4" s="3" t="str">
        <f>PDFReportDir&amp;"Market Concentration " &amp; TEXT(CurrentCloseDate, "yyyy-mm-dd") &amp; ".pdf"</f>
        <v>S:\IT\Production\Daily Reports\Primary Market\tmp\Market Concentration 2015-04-01.pdf</v>
      </c>
    </row>
    <row r="5" spans="3:23">
      <c r="T5" s="11"/>
    </row>
    <row r="6" spans="3:23">
      <c r="T6" s="11"/>
    </row>
    <row r="9" spans="3:23" s="12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Q9" s="6"/>
      <c r="R9" s="6"/>
      <c r="T9" s="12" t="s">
        <v>21</v>
      </c>
      <c r="U9" s="18">
        <f>IF(DAY(CurrentCloseDate)&lt;5,(CurrentCloseDate-DAY(CurrentCloseDate))-DAY((CurrentCloseDate-DAY(CurrentCloseDate)))+1,CurrentCloseDate-DAY(CurrentCloseDate)+1)</f>
        <v>42064</v>
      </c>
    </row>
    <row r="10" spans="3:23" s="13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Q10" s="6"/>
      <c r="R10" s="6"/>
      <c r="T10" s="13" t="s">
        <v>22</v>
      </c>
      <c r="U10" s="19">
        <f>(U9-1)-DAY((U9-1))+1</f>
        <v>42036</v>
      </c>
    </row>
    <row r="11" spans="3:23" s="13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Q11" s="6"/>
      <c r="R11" s="6"/>
    </row>
    <row r="12" spans="3:23" s="13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Q12" s="6"/>
      <c r="R12" s="6"/>
      <c r="T12" s="13" t="s">
        <v>27</v>
      </c>
      <c r="U12" s="19">
        <v>40695</v>
      </c>
    </row>
    <row r="13" spans="3:23" s="13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Q13" s="6"/>
      <c r="R13" s="6"/>
    </row>
    <row r="14" spans="3:23" s="13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Q14" s="6"/>
      <c r="R14" s="6"/>
    </row>
    <row r="15" spans="3:23" s="13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Q15" s="6"/>
      <c r="R15" s="6"/>
    </row>
    <row r="16" spans="3:23" s="13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Q16" s="6"/>
      <c r="R16" s="6"/>
    </row>
    <row r="17" spans="3:18" s="13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Q17" s="6"/>
      <c r="R17" s="6"/>
    </row>
    <row r="18" spans="3:18" s="13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Q18" s="6"/>
      <c r="R18" s="6"/>
    </row>
    <row r="19" spans="3:18" s="13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Q19" s="6"/>
      <c r="R19" s="6"/>
    </row>
    <row r="20" spans="3:18" s="13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Q20" s="6"/>
      <c r="R20" s="6"/>
    </row>
    <row r="21" spans="3:18" s="13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Q21" s="6"/>
      <c r="R21" s="6"/>
    </row>
    <row r="40" spans="3:11">
      <c r="D40" s="7"/>
      <c r="E40" s="8" t="s">
        <v>15</v>
      </c>
      <c r="F40" s="9" t="s">
        <v>16</v>
      </c>
      <c r="G40" s="9" t="s">
        <v>17</v>
      </c>
      <c r="H40" s="9" t="s">
        <v>18</v>
      </c>
      <c r="I40" s="9" t="s">
        <v>19</v>
      </c>
    </row>
    <row r="41" spans="3:11">
      <c r="D41" s="10" t="s">
        <v>12</v>
      </c>
      <c r="E41" s="20" t="e">
        <f>#REF!</f>
        <v>#REF!</v>
      </c>
      <c r="F41" s="14" t="e">
        <f>#REF!-#REF!</f>
        <v>#REF!</v>
      </c>
      <c r="G41" s="14" t="e">
        <f>#REF!-#REF!</f>
        <v>#REF!</v>
      </c>
      <c r="H41" s="14" t="e">
        <f>#REF!-#REF!</f>
        <v>#REF!</v>
      </c>
      <c r="I41" s="14" t="e">
        <f>#REF!-#REF!</f>
        <v>#REF!</v>
      </c>
    </row>
    <row r="42" spans="3:11">
      <c r="D42" s="10" t="s">
        <v>13</v>
      </c>
      <c r="E42" s="20" t="e">
        <f>#REF!</f>
        <v>#REF!</v>
      </c>
      <c r="F42" s="14" t="e">
        <f>#REF!-#REF!</f>
        <v>#REF!</v>
      </c>
      <c r="G42" s="14" t="e">
        <f>#REF!-#REF!</f>
        <v>#REF!</v>
      </c>
      <c r="H42" s="14" t="e">
        <f>#REF!-#REF!</f>
        <v>#REF!</v>
      </c>
      <c r="I42" s="14" t="e">
        <f>#REF!-#REF!</f>
        <v>#REF!</v>
      </c>
    </row>
    <row r="43" spans="3:11">
      <c r="D43" s="10" t="s">
        <v>14</v>
      </c>
      <c r="E43" s="20" t="e">
        <f>#REF!</f>
        <v>#REF!</v>
      </c>
      <c r="F43" s="14" t="e">
        <f>#REF!-#REF!</f>
        <v>#REF!</v>
      </c>
      <c r="G43" s="14" t="e">
        <f>#REF!-#REF!</f>
        <v>#REF!</v>
      </c>
      <c r="H43" s="14" t="e">
        <f>#REF!-#REF!</f>
        <v>#REF!</v>
      </c>
      <c r="I43" s="14" t="e">
        <f>#REF!-#REF!</f>
        <v>#REF!</v>
      </c>
      <c r="J43" s="23"/>
    </row>
    <row r="44" spans="3:11">
      <c r="D44" s="21"/>
      <c r="E44" s="22"/>
      <c r="F44" s="22"/>
      <c r="G44" s="23"/>
      <c r="H44" s="23"/>
      <c r="I44" s="23"/>
      <c r="J44" s="23"/>
    </row>
    <row r="47" spans="3:11" ht="15">
      <c r="C47" s="5" t="s">
        <v>24</v>
      </c>
      <c r="E47" s="35" t="s">
        <v>30</v>
      </c>
      <c r="F47" s="36">
        <f>U9</f>
        <v>42064</v>
      </c>
      <c r="H47" s="5" t="s">
        <v>25</v>
      </c>
      <c r="J47" s="35" t="s">
        <v>30</v>
      </c>
      <c r="K47" s="36">
        <f>U10</f>
        <v>42036</v>
      </c>
    </row>
    <row r="48" spans="3:11">
      <c r="C48" s="28" t="s">
        <v>0</v>
      </c>
      <c r="D48" s="29" t="s">
        <v>23</v>
      </c>
      <c r="E48" s="29" t="s">
        <v>20</v>
      </c>
      <c r="F48" s="30" t="s">
        <v>28</v>
      </c>
      <c r="H48" s="28" t="s">
        <v>0</v>
      </c>
      <c r="I48" s="29" t="s">
        <v>23</v>
      </c>
      <c r="J48" s="29" t="s">
        <v>20</v>
      </c>
      <c r="K48" s="30" t="s">
        <v>28</v>
      </c>
    </row>
    <row r="49" spans="3:11">
      <c r="C49" s="28">
        <v>1</v>
      </c>
      <c r="D49" s="31" t="e">
        <f t="array" ref="D49">VLOOKUP(C49&amp;$U$9,IF({1,0},#REF!&amp;#REF!,#REF!),2,0)</f>
        <v>#N/A</v>
      </c>
      <c r="E49" s="32" t="e">
        <f t="array" ref="E49">VLOOKUP(C49&amp;$U$9,IF({1,0},#REF!&amp;#REF!,#REF!),2,0)/VLOOKUP($U$9,#REF!,2,0)</f>
        <v>#N/A</v>
      </c>
      <c r="F49" s="33" t="e">
        <f t="array" ref="F49">VLOOKUP(C49&amp;$U$9,IF({1,0},#REF!&amp;#REF!,#REF!),2,0)/1000000</f>
        <v>#N/A</v>
      </c>
      <c r="H49" s="28">
        <v>1</v>
      </c>
      <c r="I49" s="31" t="e">
        <f t="array" ref="I49">VLOOKUP(C49&amp;$U$10,IF({1,0},#REF!&amp;#REF!,#REF!),2,0)</f>
        <v>#N/A</v>
      </c>
      <c r="J49" s="32" t="e">
        <f t="array" ref="J49">VLOOKUP(C49&amp;$U$10,IF({1,0},#REF!&amp;#REF!,#REF!),2,0)/VLOOKUP($U$10,#REF!,2,0)</f>
        <v>#N/A</v>
      </c>
      <c r="K49" s="34" t="e">
        <f t="array" ref="K49">VLOOKUP(C49&amp;$U$10,IF({1,0},#REF!&amp;#REF!,#REF!),2,0)/1000000</f>
        <v>#N/A</v>
      </c>
    </row>
    <row r="50" spans="3:11">
      <c r="C50" s="28">
        <v>2</v>
      </c>
      <c r="D50" s="31" t="e">
        <f t="array" ref="D50">VLOOKUP(C50&amp;$U$9,IF({1,0},#REF!&amp;#REF!,#REF!),2,0)</f>
        <v>#N/A</v>
      </c>
      <c r="E50" s="32" t="e">
        <f t="array" ref="E50">VLOOKUP(C50&amp;$U$9,IF({1,0},#REF!&amp;#REF!,#REF!),2,0)/VLOOKUP($U$9,#REF!,2,0)</f>
        <v>#N/A</v>
      </c>
      <c r="F50" s="33" t="e">
        <f t="array" ref="F50">VLOOKUP(C50&amp;$U$9,IF({1,0},#REF!&amp;#REF!,#REF!),2,0)/1000000</f>
        <v>#N/A</v>
      </c>
      <c r="H50" s="28">
        <v>2</v>
      </c>
      <c r="I50" s="31" t="e">
        <f t="array" ref="I50">VLOOKUP(C50&amp;$U$10,IF({1,0},#REF!&amp;#REF!,#REF!),2,0)</f>
        <v>#N/A</v>
      </c>
      <c r="J50" s="32" t="e">
        <f t="array" ref="J50">VLOOKUP(C50&amp;$U$10,IF({1,0},#REF!&amp;#REF!,#REF!),2,0)/VLOOKUP($U$10,#REF!,2,0)</f>
        <v>#N/A</v>
      </c>
      <c r="K50" s="34" t="e">
        <f t="array" ref="K50">VLOOKUP(C50&amp;$U$10,IF({1,0},#REF!&amp;#REF!,#REF!),2,0)/1000000</f>
        <v>#N/A</v>
      </c>
    </row>
    <row r="51" spans="3:11">
      <c r="C51" s="28">
        <v>3</v>
      </c>
      <c r="D51" s="31" t="e">
        <f t="array" ref="D51">VLOOKUP(C51&amp;$U$9,IF({1,0},#REF!&amp;#REF!,#REF!),2,0)</f>
        <v>#N/A</v>
      </c>
      <c r="E51" s="32" t="e">
        <f t="array" ref="E51">VLOOKUP(C51&amp;$U$9,IF({1,0},#REF!&amp;#REF!,#REF!),2,0)/VLOOKUP($U$9,#REF!,2,0)</f>
        <v>#N/A</v>
      </c>
      <c r="F51" s="33" t="e">
        <f t="array" ref="F51">VLOOKUP(C51&amp;$U$9,IF({1,0},#REF!&amp;#REF!,#REF!),2,0)/1000000</f>
        <v>#N/A</v>
      </c>
      <c r="H51" s="28">
        <v>3</v>
      </c>
      <c r="I51" s="31" t="e">
        <f t="array" ref="I51">VLOOKUP(C51&amp;$U$10,IF({1,0},#REF!&amp;#REF!,#REF!),2,0)</f>
        <v>#N/A</v>
      </c>
      <c r="J51" s="32" t="e">
        <f t="array" ref="J51">VLOOKUP(C51&amp;$U$10,IF({1,0},#REF!&amp;#REF!,#REF!),2,0)/VLOOKUP($U$10,#REF!,2,0)</f>
        <v>#N/A</v>
      </c>
      <c r="K51" s="34" t="e">
        <f t="array" ref="K51">VLOOKUP(C51&amp;$U$10,IF({1,0},#REF!&amp;#REF!,#REF!),2,0)/1000000</f>
        <v>#N/A</v>
      </c>
    </row>
    <row r="52" spans="3:11">
      <c r="C52" s="28">
        <v>4</v>
      </c>
      <c r="D52" s="31" t="e">
        <f t="array" ref="D52">VLOOKUP(C52&amp;$U$9,IF({1,0},#REF!&amp;#REF!,#REF!),2,0)</f>
        <v>#N/A</v>
      </c>
      <c r="E52" s="32" t="e">
        <f t="array" ref="E52">VLOOKUP(C52&amp;$U$9,IF({1,0},#REF!&amp;#REF!,#REF!),2,0)/VLOOKUP($U$9,#REF!,2,0)</f>
        <v>#N/A</v>
      </c>
      <c r="F52" s="33" t="e">
        <f t="array" ref="F52">VLOOKUP(C52&amp;$U$9,IF({1,0},#REF!&amp;#REF!,#REF!),2,0)/1000000</f>
        <v>#N/A</v>
      </c>
      <c r="H52" s="28">
        <v>4</v>
      </c>
      <c r="I52" s="31" t="e">
        <f t="array" ref="I52">VLOOKUP(C52&amp;$U$10,IF({1,0},#REF!&amp;#REF!,#REF!),2,0)</f>
        <v>#N/A</v>
      </c>
      <c r="J52" s="32" t="e">
        <f t="array" ref="J52">VLOOKUP(C52&amp;$U$10,IF({1,0},#REF!&amp;#REF!,#REF!),2,0)/VLOOKUP($U$10,#REF!,2,0)</f>
        <v>#N/A</v>
      </c>
      <c r="K52" s="34" t="e">
        <f t="array" ref="K52">VLOOKUP(C52&amp;$U$10,IF({1,0},#REF!&amp;#REF!,#REF!),2,0)/1000000</f>
        <v>#N/A</v>
      </c>
    </row>
    <row r="53" spans="3:11">
      <c r="C53" s="28">
        <v>5</v>
      </c>
      <c r="D53" s="31" t="e">
        <f t="array" ref="D53">VLOOKUP(C53&amp;$U$9,IF({1,0},#REF!&amp;#REF!,#REF!),2,0)</f>
        <v>#N/A</v>
      </c>
      <c r="E53" s="32" t="e">
        <f t="array" ref="E53">VLOOKUP(C53&amp;$U$9,IF({1,0},#REF!&amp;#REF!,#REF!),2,0)/VLOOKUP($U$9,#REF!,2,0)</f>
        <v>#N/A</v>
      </c>
      <c r="F53" s="33" t="e">
        <f t="array" ref="F53">VLOOKUP(C53&amp;$U$9,IF({1,0},#REF!&amp;#REF!,#REF!),2,0)/1000000</f>
        <v>#N/A</v>
      </c>
      <c r="H53" s="28">
        <v>5</v>
      </c>
      <c r="I53" s="31" t="e">
        <f t="array" ref="I53">VLOOKUP(C53&amp;$U$10,IF({1,0},#REF!&amp;#REF!,#REF!),2,0)</f>
        <v>#N/A</v>
      </c>
      <c r="J53" s="32" t="e">
        <f t="array" ref="J53">VLOOKUP(C53&amp;$U$10,IF({1,0},#REF!&amp;#REF!,#REF!),2,0)/VLOOKUP($U$10,#REF!,2,0)</f>
        <v>#N/A</v>
      </c>
      <c r="K53" s="34" t="e">
        <f t="array" ref="K53">VLOOKUP(C53&amp;$U$10,IF({1,0},#REF!&amp;#REF!,#REF!),2,0)/1000000</f>
        <v>#N/A</v>
      </c>
    </row>
    <row r="54" spans="3:11">
      <c r="C54" s="28">
        <v>6</v>
      </c>
      <c r="D54" s="31" t="e">
        <f t="array" ref="D54">VLOOKUP(C54&amp;$U$9,IF({1,0},#REF!&amp;#REF!,#REF!),2,0)</f>
        <v>#N/A</v>
      </c>
      <c r="E54" s="32" t="e">
        <f t="array" ref="E54">VLOOKUP(C54&amp;$U$9,IF({1,0},#REF!&amp;#REF!,#REF!),2,0)/VLOOKUP($U$9,#REF!,2,0)</f>
        <v>#N/A</v>
      </c>
      <c r="F54" s="33" t="e">
        <f t="array" ref="F54">VLOOKUP(C54&amp;$U$9,IF({1,0},#REF!&amp;#REF!,#REF!),2,0)/1000000</f>
        <v>#N/A</v>
      </c>
      <c r="H54" s="28">
        <v>6</v>
      </c>
      <c r="I54" s="31" t="e">
        <f t="array" ref="I54">VLOOKUP(C54&amp;$U$10,IF({1,0},#REF!&amp;#REF!,#REF!),2,0)</f>
        <v>#N/A</v>
      </c>
      <c r="J54" s="32" t="e">
        <f t="array" ref="J54">VLOOKUP(C54&amp;$U$10,IF({1,0},#REF!&amp;#REF!,#REF!),2,0)/VLOOKUP($U$10,#REF!,2,0)</f>
        <v>#N/A</v>
      </c>
      <c r="K54" s="34" t="e">
        <f t="array" ref="K54">VLOOKUP(C54&amp;$U$10,IF({1,0},#REF!&amp;#REF!,#REF!),2,0)/1000000</f>
        <v>#N/A</v>
      </c>
    </row>
    <row r="55" spans="3:11">
      <c r="C55" s="28">
        <v>7</v>
      </c>
      <c r="D55" s="31" t="e">
        <f t="array" ref="D55">VLOOKUP(C55&amp;$U$9,IF({1,0},#REF!&amp;#REF!,#REF!),2,0)</f>
        <v>#N/A</v>
      </c>
      <c r="E55" s="32" t="e">
        <f t="array" ref="E55">VLOOKUP(C55&amp;$U$9,IF({1,0},#REF!&amp;#REF!,#REF!),2,0)/VLOOKUP($U$9,#REF!,2,0)</f>
        <v>#N/A</v>
      </c>
      <c r="F55" s="33" t="e">
        <f t="array" ref="F55">VLOOKUP(C55&amp;$U$9,IF({1,0},#REF!&amp;#REF!,#REF!),2,0)/1000000</f>
        <v>#N/A</v>
      </c>
      <c r="H55" s="28">
        <v>7</v>
      </c>
      <c r="I55" s="31" t="e">
        <f t="array" ref="I55">VLOOKUP(C55&amp;$U$10,IF({1,0},#REF!&amp;#REF!,#REF!),2,0)</f>
        <v>#N/A</v>
      </c>
      <c r="J55" s="32" t="e">
        <f t="array" ref="J55">VLOOKUP(C55&amp;$U$10,IF({1,0},#REF!&amp;#REF!,#REF!),2,0)/VLOOKUP($U$10,#REF!,2,0)</f>
        <v>#N/A</v>
      </c>
      <c r="K55" s="34" t="e">
        <f t="array" ref="K55">VLOOKUP(C55&amp;$U$10,IF({1,0},#REF!&amp;#REF!,#REF!),2,0)/1000000</f>
        <v>#N/A</v>
      </c>
    </row>
    <row r="56" spans="3:11">
      <c r="C56" s="28">
        <v>8</v>
      </c>
      <c r="D56" s="31" t="e">
        <f t="array" ref="D56">VLOOKUP(C56&amp;$U$9,IF({1,0},#REF!&amp;#REF!,#REF!),2,0)</f>
        <v>#N/A</v>
      </c>
      <c r="E56" s="32" t="e">
        <f t="array" ref="E56">VLOOKUP(C56&amp;$U$9,IF({1,0},#REF!&amp;#REF!,#REF!),2,0)/VLOOKUP($U$9,#REF!,2,0)</f>
        <v>#N/A</v>
      </c>
      <c r="F56" s="33" t="e">
        <f t="array" ref="F56">VLOOKUP(C56&amp;$U$9,IF({1,0},#REF!&amp;#REF!,#REF!),2,0)/1000000</f>
        <v>#N/A</v>
      </c>
      <c r="H56" s="28">
        <v>8</v>
      </c>
      <c r="I56" s="31" t="e">
        <f t="array" ref="I56">VLOOKUP(C56&amp;$U$10,IF({1,0},#REF!&amp;#REF!,#REF!),2,0)</f>
        <v>#N/A</v>
      </c>
      <c r="J56" s="32" t="e">
        <f t="array" ref="J56">VLOOKUP(C56&amp;$U$10,IF({1,0},#REF!&amp;#REF!,#REF!),2,0)/VLOOKUP($U$10,#REF!,2,0)</f>
        <v>#N/A</v>
      </c>
      <c r="K56" s="34" t="e">
        <f t="array" ref="K56">VLOOKUP(C56&amp;$U$10,IF({1,0},#REF!&amp;#REF!,#REF!),2,0)/1000000</f>
        <v>#N/A</v>
      </c>
    </row>
    <row r="57" spans="3:11">
      <c r="C57" s="28">
        <v>9</v>
      </c>
      <c r="D57" s="31" t="e">
        <f t="array" ref="D57">VLOOKUP(C57&amp;$U$9,IF({1,0},#REF!&amp;#REF!,#REF!),2,0)</f>
        <v>#N/A</v>
      </c>
      <c r="E57" s="32" t="e">
        <f t="array" ref="E57">VLOOKUP(C57&amp;$U$9,IF({1,0},#REF!&amp;#REF!,#REF!),2,0)/VLOOKUP($U$9,#REF!,2,0)</f>
        <v>#N/A</v>
      </c>
      <c r="F57" s="33" t="e">
        <f t="array" ref="F57">VLOOKUP(C57&amp;$U$9,IF({1,0},#REF!&amp;#REF!,#REF!),2,0)/1000000</f>
        <v>#N/A</v>
      </c>
      <c r="H57" s="28">
        <v>9</v>
      </c>
      <c r="I57" s="31" t="e">
        <f t="array" ref="I57">VLOOKUP(C57&amp;$U$10,IF({1,0},#REF!&amp;#REF!,#REF!),2,0)</f>
        <v>#N/A</v>
      </c>
      <c r="J57" s="32" t="e">
        <f t="array" ref="J57">VLOOKUP(C57&amp;$U$10,IF({1,0},#REF!&amp;#REF!,#REF!),2,0)/VLOOKUP($U$10,#REF!,2,0)</f>
        <v>#N/A</v>
      </c>
      <c r="K57" s="34" t="e">
        <f t="array" ref="K57">VLOOKUP(C57&amp;$U$10,IF({1,0},#REF!&amp;#REF!,#REF!),2,0)/1000000</f>
        <v>#N/A</v>
      </c>
    </row>
    <row r="58" spans="3:11">
      <c r="C58" s="28">
        <v>10</v>
      </c>
      <c r="D58" s="31" t="e">
        <f t="array" ref="D58">VLOOKUP(C58&amp;$U$9,IF({1,0},#REF!&amp;#REF!,#REF!),2,0)</f>
        <v>#N/A</v>
      </c>
      <c r="E58" s="32" t="e">
        <f t="array" ref="E58">VLOOKUP(C58&amp;$U$9,IF({1,0},#REF!&amp;#REF!,#REF!),2,0)/VLOOKUP($U$9,#REF!,2,0)</f>
        <v>#N/A</v>
      </c>
      <c r="F58" s="33" t="e">
        <f t="array" ref="F58">VLOOKUP(C58&amp;$U$9,IF({1,0},#REF!&amp;#REF!,#REF!),2,0)/1000000</f>
        <v>#N/A</v>
      </c>
      <c r="H58" s="28">
        <v>10</v>
      </c>
      <c r="I58" s="31" t="e">
        <f t="array" ref="I58">VLOOKUP(C58&amp;$U$10,IF({1,0},#REF!&amp;#REF!,#REF!),2,0)</f>
        <v>#N/A</v>
      </c>
      <c r="J58" s="32" t="e">
        <f t="array" ref="J58">VLOOKUP(C58&amp;$U$10,IF({1,0},#REF!&amp;#REF!,#REF!),2,0)/VLOOKUP($U$10,#REF!,2,0)</f>
        <v>#N/A</v>
      </c>
      <c r="K58" s="34" t="e">
        <f t="array" ref="K58">VLOOKUP(C58&amp;$U$10,IF({1,0},#REF!&amp;#REF!,#REF!),2,0)/1000000</f>
        <v>#N/A</v>
      </c>
    </row>
    <row r="84" spans="16:17">
      <c r="P84" s="15" t="s">
        <v>11</v>
      </c>
      <c r="Q84" s="16" t="s">
        <v>7</v>
      </c>
    </row>
    <row r="85" spans="16:17">
      <c r="Q85" s="16" t="s">
        <v>8</v>
      </c>
    </row>
    <row r="86" spans="16:17">
      <c r="Q86" s="16" t="s">
        <v>9</v>
      </c>
    </row>
    <row r="87" spans="16:17">
      <c r="Q87" s="17" t="s">
        <v>10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&amp;R&amp;"-,Bold"&amp;10&amp;K2E398A
As of 04/01/2015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G230"/>
  <sheetViews>
    <sheetView topLeftCell="A173" zoomScaleNormal="100" workbookViewId="0">
      <selection activeCell="K230" sqref="K230"/>
    </sheetView>
  </sheetViews>
  <sheetFormatPr defaultRowHeight="15"/>
  <cols>
    <col min="2" max="2" width="10.42578125" bestFit="1" customWidth="1"/>
    <col min="14" max="14" width="9.28515625" bestFit="1" customWidth="1"/>
    <col min="15" max="16" width="11.7109375" bestFit="1" customWidth="1"/>
    <col min="20" max="20" width="11.85546875" bestFit="1" customWidth="1"/>
    <col min="21" max="24" width="11.85546875" customWidth="1"/>
    <col min="25" max="25" width="13.42578125" bestFit="1" customWidth="1"/>
    <col min="26" max="26" width="10.7109375" bestFit="1" customWidth="1"/>
    <col min="27" max="27" width="12.85546875" bestFit="1" customWidth="1"/>
    <col min="29" max="29" width="10.7109375" bestFit="1" customWidth="1"/>
    <col min="30" max="30" width="12.85546875" bestFit="1" customWidth="1"/>
    <col min="32" max="32" width="10.7109375" bestFit="1" customWidth="1"/>
    <col min="33" max="33" width="12.85546875" bestFit="1" customWidth="1"/>
  </cols>
  <sheetData>
    <row r="1" spans="2:33">
      <c r="D1" t="s">
        <v>47</v>
      </c>
      <c r="M1" t="s">
        <v>48</v>
      </c>
      <c r="Q1" t="s">
        <v>45</v>
      </c>
      <c r="T1" t="s">
        <v>51</v>
      </c>
      <c r="W1" t="s">
        <v>58</v>
      </c>
      <c r="Z1" t="s">
        <v>60</v>
      </c>
      <c r="AF1" t="s">
        <v>93</v>
      </c>
    </row>
    <row r="2" spans="2:33">
      <c r="B2" s="6" t="s">
        <v>31</v>
      </c>
      <c r="C2" s="6" t="s">
        <v>92</v>
      </c>
      <c r="D2" s="6" t="s">
        <v>33</v>
      </c>
      <c r="E2" s="6" t="s">
        <v>34</v>
      </c>
      <c r="F2" s="6" t="s">
        <v>42</v>
      </c>
      <c r="G2" s="6" t="s">
        <v>45</v>
      </c>
      <c r="H2" s="6" t="s">
        <v>52</v>
      </c>
      <c r="I2" s="59" t="s">
        <v>59</v>
      </c>
      <c r="J2" s="6" t="s">
        <v>60</v>
      </c>
      <c r="K2" s="6" t="s">
        <v>94</v>
      </c>
      <c r="M2" s="6" t="s">
        <v>31</v>
      </c>
      <c r="N2" s="6" t="s">
        <v>37</v>
      </c>
      <c r="O2" s="6" t="s">
        <v>34</v>
      </c>
      <c r="Q2" s="6" t="s">
        <v>31</v>
      </c>
      <c r="R2" s="6" t="s">
        <v>37</v>
      </c>
      <c r="T2" s="6" t="s">
        <v>31</v>
      </c>
      <c r="U2" s="6" t="s">
        <v>37</v>
      </c>
      <c r="W2" s="6" t="s">
        <v>31</v>
      </c>
      <c r="X2" s="6" t="s">
        <v>37</v>
      </c>
      <c r="Z2" t="s">
        <v>31</v>
      </c>
      <c r="AA2" t="s">
        <v>37</v>
      </c>
      <c r="AC2" t="s">
        <v>31</v>
      </c>
      <c r="AD2" t="s">
        <v>37</v>
      </c>
      <c r="AF2" t="s">
        <v>31</v>
      </c>
      <c r="AG2" t="s">
        <v>37</v>
      </c>
    </row>
    <row r="3" spans="2:33">
      <c r="B3" s="24">
        <v>40549</v>
      </c>
      <c r="C3" s="27">
        <v>0.62402170072443153</v>
      </c>
      <c r="D3" s="27">
        <v>0.57596095925238433</v>
      </c>
      <c r="E3" s="6">
        <f ca="1">VLOOKUP(CurrentMtgRatesDataTable825[[#This Row],[asOfDate]]+1,Bloomberg!B:C,2,0)</f>
        <v>2344.3000000000002</v>
      </c>
      <c r="F3" s="27">
        <f>VLOOKUP(CurrentMtgRatesDataTable825[[#This Row],[asOfDate]],CurrentMtgRatesDataTable8256[#All],2,0)</f>
        <v>0.53095286512326811</v>
      </c>
      <c r="G3" s="27">
        <f>VLOOKUP(CurrentMtgRatesDataTable825[[#This Row],[asOfDate]],CurrentMtgRatesDataTable82562[],2,0)</f>
        <v>0.28463940721984343</v>
      </c>
      <c r="H3" s="27">
        <f>VLOOKUP(CurrentMtgRatesDataTable825[[#This Row],[asOfDate]],T:U,2,0)</f>
        <v>0.29339129549199244</v>
      </c>
      <c r="I3" s="58">
        <f>VLOOKUP(CurrentMtgRatesDataTable825[[#This Row],[asOfDate]],CurrentMtgRatesDataTable825623[#All],2,0)</f>
        <v>0.20951326762642539</v>
      </c>
      <c r="J3" s="27">
        <f>VLOOKUP(CurrentMtgRatesDataTable825[[#This Row],[asOfDate]],AC:AD,2,0)</f>
        <v>0.41917445646047702</v>
      </c>
      <c r="K3" s="27">
        <f>VLOOKUP(CurrentMtgRatesDataTable825[[#This Row],[asOfDate]],temp_1,2,0)</f>
        <v>0.46885641253034299</v>
      </c>
      <c r="M3" s="24">
        <v>40549</v>
      </c>
      <c r="N3" s="26">
        <v>0.53095286512326811</v>
      </c>
      <c r="O3" s="6">
        <f ca="1">VLOOKUP(CurrentMtgRatesDataTable8256[[#This Row],[asOfDate]]+1,Bloomberg!B:C,2,0)</f>
        <v>2344.3000000000002</v>
      </c>
      <c r="Q3" s="24">
        <v>40549</v>
      </c>
      <c r="R3" s="26">
        <v>0.28463940721984343</v>
      </c>
      <c r="T3" s="24">
        <v>40549</v>
      </c>
      <c r="U3" s="27">
        <v>0.29339129549199244</v>
      </c>
      <c r="W3" s="24">
        <v>40549</v>
      </c>
      <c r="X3" s="26">
        <v>0.20951326762642539</v>
      </c>
      <c r="Z3" s="1">
        <v>40549</v>
      </c>
      <c r="AA3">
        <v>0.236371868487981</v>
      </c>
      <c r="AC3" s="1">
        <v>40549</v>
      </c>
      <c r="AD3">
        <v>0.41917445646047702</v>
      </c>
      <c r="AF3" s="1">
        <v>40549</v>
      </c>
      <c r="AG3">
        <v>0.46885641253034299</v>
      </c>
    </row>
    <row r="4" spans="2:33">
      <c r="B4" s="24">
        <v>40556</v>
      </c>
      <c r="C4" s="27">
        <v>0.62817294477626939</v>
      </c>
      <c r="D4" s="27">
        <v>0.60211055226578758</v>
      </c>
      <c r="E4" s="6">
        <f ca="1">VLOOKUP(CurrentMtgRatesDataTable825[[#This Row],[asOfDate]]+1,Bloomberg!B:C,2,0)</f>
        <v>2528.6999999999998</v>
      </c>
      <c r="F4" s="27">
        <f>VLOOKUP(CurrentMtgRatesDataTable825[[#This Row],[asOfDate]],CurrentMtgRatesDataTable8256[#All],2,0)</f>
        <v>0.53151414802717445</v>
      </c>
      <c r="G4" s="27">
        <f>VLOOKUP(CurrentMtgRatesDataTable825[[#This Row],[asOfDate]],CurrentMtgRatesDataTable82562[],2,0)</f>
        <v>0.30326691494252433</v>
      </c>
      <c r="H4" s="27">
        <f>VLOOKUP(CurrentMtgRatesDataTable825[[#This Row],[asOfDate]],T:U,2,0)</f>
        <v>0.31216038149568309</v>
      </c>
      <c r="I4" s="58">
        <f>VLOOKUP(CurrentMtgRatesDataTable825[[#This Row],[asOfDate]],CurrentMtgRatesDataTable825623[#All],2,0)</f>
        <v>0.2286525724028925</v>
      </c>
      <c r="J4" s="27">
        <f>VLOOKUP(CurrentMtgRatesDataTable825[[#This Row],[asOfDate]],AC:AD,2,0)</f>
        <v>0.43621985629656101</v>
      </c>
      <c r="K4" s="27">
        <f>VLOOKUP(CurrentMtgRatesDataTable825[[#This Row],[asOfDate]],temp_1,2,0)</f>
        <v>0.484880705000166</v>
      </c>
      <c r="M4" s="24">
        <v>40556</v>
      </c>
      <c r="N4" s="26">
        <v>0.53151414802717445</v>
      </c>
      <c r="O4" s="6">
        <f ca="1">VLOOKUP(CurrentMtgRatesDataTable8256[[#This Row],[asOfDate]]+1,Bloomberg!B:C,2,0)</f>
        <v>2528.6999999999998</v>
      </c>
      <c r="Q4" s="24">
        <v>40556</v>
      </c>
      <c r="R4" s="26">
        <v>0.30326691494252433</v>
      </c>
      <c r="T4" s="24">
        <v>40556</v>
      </c>
      <c r="U4" s="27">
        <v>0.31216038149568309</v>
      </c>
      <c r="W4" s="24">
        <v>40556</v>
      </c>
      <c r="X4" s="26">
        <v>0.2286525724028925</v>
      </c>
      <c r="Z4" s="1">
        <v>40556</v>
      </c>
      <c r="AA4">
        <v>0.25612369572659199</v>
      </c>
      <c r="AC4" s="1">
        <v>40556</v>
      </c>
      <c r="AD4">
        <v>0.43621985629656101</v>
      </c>
      <c r="AF4" s="1">
        <v>40556</v>
      </c>
      <c r="AG4">
        <v>0.484880705000166</v>
      </c>
    </row>
    <row r="5" spans="2:33">
      <c r="B5" s="24">
        <v>40563</v>
      </c>
      <c r="C5" s="27">
        <v>0.62597730951219899</v>
      </c>
      <c r="D5" s="27">
        <v>0.58771291656274882</v>
      </c>
      <c r="E5" s="6">
        <f ca="1">VLOOKUP(CurrentMtgRatesDataTable825[[#This Row],[asOfDate]]+1,Bloomberg!B:C,2,0)</f>
        <v>2129.6999999999998</v>
      </c>
      <c r="F5" s="27">
        <f>VLOOKUP(CurrentMtgRatesDataTable825[[#This Row],[asOfDate]],CurrentMtgRatesDataTable8256[#All],2,0)</f>
        <v>0.53128369296391043</v>
      </c>
      <c r="G5" s="27">
        <f>VLOOKUP(CurrentMtgRatesDataTable825[[#This Row],[asOfDate]],CurrentMtgRatesDataTable82562[],2,0)</f>
        <v>0.28476877321432642</v>
      </c>
      <c r="H5" s="27">
        <f>VLOOKUP(CurrentMtgRatesDataTable825[[#This Row],[asOfDate]],T:U,2,0)</f>
        <v>0.29352345631455612</v>
      </c>
      <c r="I5" s="58">
        <f>VLOOKUP(CurrentMtgRatesDataTable825[[#This Row],[asOfDate]],CurrentMtgRatesDataTable825623[#All],2,0)</f>
        <v>0.2131179723271458</v>
      </c>
      <c r="J5" s="27">
        <f>VLOOKUP(CurrentMtgRatesDataTable825[[#This Row],[asOfDate]],AC:AD,2,0)</f>
        <v>0.41944708561696598</v>
      </c>
      <c r="K5" s="27">
        <f>VLOOKUP(CurrentMtgRatesDataTable825[[#This Row],[asOfDate]],temp_1,2,0)</f>
        <v>0.46911247375695397</v>
      </c>
      <c r="M5" s="24">
        <v>40563</v>
      </c>
      <c r="N5" s="26">
        <v>0.53128369296391043</v>
      </c>
      <c r="O5" s="6">
        <f ca="1">VLOOKUP(CurrentMtgRatesDataTable8256[[#This Row],[asOfDate]]+1,Bloomberg!B:C,2,0)</f>
        <v>2129.6999999999998</v>
      </c>
      <c r="Q5" s="24">
        <v>40563</v>
      </c>
      <c r="R5" s="26">
        <v>0.28476877321432642</v>
      </c>
      <c r="T5" s="24">
        <v>40563</v>
      </c>
      <c r="U5" s="27">
        <v>0.29352345631455612</v>
      </c>
      <c r="W5" s="24">
        <v>40563</v>
      </c>
      <c r="X5" s="26">
        <v>0.2131179723271458</v>
      </c>
      <c r="Z5" s="1">
        <v>40563</v>
      </c>
      <c r="AA5">
        <v>0.24051605852353899</v>
      </c>
      <c r="AC5" s="1">
        <v>40563</v>
      </c>
      <c r="AD5">
        <v>0.41944708561696598</v>
      </c>
      <c r="AF5" s="1">
        <v>40563</v>
      </c>
      <c r="AG5">
        <v>0.46911247375695397</v>
      </c>
    </row>
    <row r="6" spans="2:33">
      <c r="B6" s="24">
        <v>40570</v>
      </c>
      <c r="C6" s="27">
        <v>0.62392159162868732</v>
      </c>
      <c r="D6" s="27">
        <v>0.57596095925238433</v>
      </c>
      <c r="E6" s="6">
        <f ca="1">VLOOKUP(CurrentMtgRatesDataTable825[[#This Row],[asOfDate]]+1,Bloomberg!B:C,2,0)</f>
        <v>2371.1</v>
      </c>
      <c r="F6" s="27">
        <f>VLOOKUP(CurrentMtgRatesDataTable825[[#This Row],[asOfDate]],CurrentMtgRatesDataTable8256[#All],2,0)</f>
        <v>0.53088486817209324</v>
      </c>
      <c r="G6" s="27">
        <f>VLOOKUP(CurrentMtgRatesDataTable825[[#This Row],[asOfDate]],CurrentMtgRatesDataTable82562[],2,0)</f>
        <v>0.2846201863525834</v>
      </c>
      <c r="H6" s="27">
        <f>VLOOKUP(CurrentMtgRatesDataTable825[[#This Row],[asOfDate]],T:U,2,0)</f>
        <v>0.29337181673036272</v>
      </c>
      <c r="I6" s="58">
        <f>VLOOKUP(CurrentMtgRatesDataTable825[[#This Row],[asOfDate]],CurrentMtgRatesDataTable825623[#All],2,0)</f>
        <v>0.20810932608426305</v>
      </c>
      <c r="J6" s="27">
        <f>VLOOKUP(CurrentMtgRatesDataTable825[[#This Row],[asOfDate]],AC:AD,2,0)</f>
        <v>0.418710148423519</v>
      </c>
      <c r="K6" s="27">
        <f>VLOOKUP(CurrentMtgRatesDataTable825[[#This Row],[asOfDate]],temp_1,2,0)</f>
        <v>0.46839804028281901</v>
      </c>
      <c r="M6" s="24">
        <v>40570</v>
      </c>
      <c r="N6" s="26">
        <v>0.53088486817209324</v>
      </c>
      <c r="O6" s="6">
        <f ca="1">VLOOKUP(CurrentMtgRatesDataTable8256[[#This Row],[asOfDate]]+1,Bloomberg!B:C,2,0)</f>
        <v>2371.1</v>
      </c>
      <c r="Q6" s="24">
        <v>40570</v>
      </c>
      <c r="R6" s="26">
        <v>0.2846201863525834</v>
      </c>
      <c r="T6" s="24">
        <v>40570</v>
      </c>
      <c r="U6" s="27">
        <v>0.29337181673036272</v>
      </c>
      <c r="W6" s="24">
        <v>40570</v>
      </c>
      <c r="X6" s="26">
        <v>0.20810932608426305</v>
      </c>
      <c r="Z6" s="1">
        <v>40570</v>
      </c>
      <c r="AA6">
        <v>0.2349374641724</v>
      </c>
      <c r="AC6" s="1">
        <v>40570</v>
      </c>
      <c r="AD6">
        <v>0.418710148423519</v>
      </c>
      <c r="AF6" s="1">
        <v>40570</v>
      </c>
      <c r="AG6">
        <v>0.46839804028281901</v>
      </c>
    </row>
    <row r="7" spans="2:33">
      <c r="B7" s="24">
        <v>40577</v>
      </c>
      <c r="C7" s="27">
        <v>0.60653142223595213</v>
      </c>
      <c r="D7" s="27">
        <v>0.5527274379046524</v>
      </c>
      <c r="E7" s="6">
        <f ca="1">VLOOKUP(CurrentMtgRatesDataTable825[[#This Row],[asOfDate]]+1,Bloomberg!B:C,2,0)</f>
        <v>2190.4</v>
      </c>
      <c r="F7" s="27">
        <f>VLOOKUP(CurrentMtgRatesDataTable825[[#This Row],[asOfDate]],CurrentMtgRatesDataTable8256[#All],2,0)</f>
        <v>0.45470305131111477</v>
      </c>
      <c r="G7" s="27">
        <f>VLOOKUP(CurrentMtgRatesDataTable825[[#This Row],[asOfDate]],CurrentMtgRatesDataTable82562[],2,0)</f>
        <v>0.24193364534957326</v>
      </c>
      <c r="H7" s="27">
        <f>VLOOKUP(CurrentMtgRatesDataTable825[[#This Row],[asOfDate]],T:U,2,0)</f>
        <v>0.25001180569005516</v>
      </c>
      <c r="I7" s="58">
        <f>VLOOKUP(CurrentMtgRatesDataTable825[[#This Row],[asOfDate]],CurrentMtgRatesDataTable825623[#All],2,0)</f>
        <v>0.17891549814152402</v>
      </c>
      <c r="J7" s="27">
        <f>VLOOKUP(CurrentMtgRatesDataTable825[[#This Row],[asOfDate]],AC:AD,2,0)</f>
        <v>0.38887560757790002</v>
      </c>
      <c r="K7" s="27">
        <f>VLOOKUP(CurrentMtgRatesDataTable825[[#This Row],[asOfDate]],temp_1,2,0)</f>
        <v>0.440398387253014</v>
      </c>
      <c r="M7" s="24">
        <v>40577</v>
      </c>
      <c r="N7" s="26">
        <v>0.45470305131111477</v>
      </c>
      <c r="O7" s="6">
        <f ca="1">VLOOKUP(CurrentMtgRatesDataTable8256[[#This Row],[asOfDate]]+1,Bloomberg!B:C,2,0)</f>
        <v>2190.4</v>
      </c>
      <c r="Q7" s="24">
        <v>40577</v>
      </c>
      <c r="R7" s="26">
        <v>0.24193364534957326</v>
      </c>
      <c r="T7" s="24">
        <v>40577</v>
      </c>
      <c r="U7" s="27">
        <v>0.25001180569005516</v>
      </c>
      <c r="W7" s="24">
        <v>40577</v>
      </c>
      <c r="X7" s="26">
        <v>0.17891549814152402</v>
      </c>
      <c r="Z7" s="1">
        <v>40577</v>
      </c>
      <c r="AA7">
        <v>0.20445767824867001</v>
      </c>
      <c r="AC7" s="1">
        <v>40577</v>
      </c>
      <c r="AD7">
        <v>0.38887560757790002</v>
      </c>
      <c r="AF7" s="1">
        <v>40577</v>
      </c>
      <c r="AG7">
        <v>0.440398387253014</v>
      </c>
    </row>
    <row r="8" spans="2:33">
      <c r="B8" s="24">
        <v>40584</v>
      </c>
      <c r="C8" s="27">
        <v>0.50868797673712363</v>
      </c>
      <c r="D8" s="27">
        <v>0.53684731925134999</v>
      </c>
      <c r="E8" s="6">
        <f ca="1">VLOOKUP(CurrentMtgRatesDataTable825[[#This Row],[asOfDate]]+1,Bloomberg!B:C,2,0)</f>
        <v>1953.2</v>
      </c>
      <c r="F8" s="27">
        <f>VLOOKUP(CurrentMtgRatesDataTable825[[#This Row],[asOfDate]],CurrentMtgRatesDataTable8256[#All],2,0)</f>
        <v>0.40745494442377123</v>
      </c>
      <c r="G8" s="27">
        <f>VLOOKUP(CurrentMtgRatesDataTable825[[#This Row],[asOfDate]],CurrentMtgRatesDataTable82562[],2,0)</f>
        <v>0.20177712502015799</v>
      </c>
      <c r="H8" s="27">
        <f>VLOOKUP(CurrentMtgRatesDataTable825[[#This Row],[asOfDate]],T:U,2,0)</f>
        <v>0.20884941022700101</v>
      </c>
      <c r="I8" s="58">
        <f>VLOOKUP(CurrentMtgRatesDataTable825[[#This Row],[asOfDate]],CurrentMtgRatesDataTable825623[#All],2,0)</f>
        <v>0.13456022248425625</v>
      </c>
      <c r="J8" s="27">
        <f>VLOOKUP(CurrentMtgRatesDataTable825[[#This Row],[asOfDate]],AC:AD,2,0)</f>
        <v>0.35101070043975402</v>
      </c>
      <c r="K8" s="27">
        <f>VLOOKUP(CurrentMtgRatesDataTable825[[#This Row],[asOfDate]],temp_1,2,0)</f>
        <v>0.40695271820136403</v>
      </c>
      <c r="M8" s="24">
        <v>40584</v>
      </c>
      <c r="N8" s="26">
        <v>0.40745494442377123</v>
      </c>
      <c r="O8" s="6">
        <f ca="1">VLOOKUP(CurrentMtgRatesDataTable8256[[#This Row],[asOfDate]]+1,Bloomberg!B:C,2,0)</f>
        <v>1953.2</v>
      </c>
      <c r="Q8" s="24">
        <v>40584</v>
      </c>
      <c r="R8" s="26">
        <v>0.20177712502015799</v>
      </c>
      <c r="T8" s="24">
        <v>40584</v>
      </c>
      <c r="U8" s="27">
        <v>0.20884941022700101</v>
      </c>
      <c r="W8" s="56">
        <v>40584</v>
      </c>
      <c r="X8" s="57">
        <v>0.13456022248425625</v>
      </c>
      <c r="Z8" s="1">
        <v>40584</v>
      </c>
      <c r="AA8">
        <v>0.15917351792336501</v>
      </c>
      <c r="AC8" s="1">
        <v>40584</v>
      </c>
      <c r="AD8">
        <v>0.35101070043975402</v>
      </c>
      <c r="AF8" s="1">
        <v>40584</v>
      </c>
      <c r="AG8">
        <v>0.40695271820136403</v>
      </c>
    </row>
    <row r="9" spans="2:33">
      <c r="B9" s="24">
        <v>40591</v>
      </c>
      <c r="C9" s="27">
        <v>0.52965901814335548</v>
      </c>
      <c r="D9" s="27">
        <v>0.53684731925134999</v>
      </c>
      <c r="E9" s="6">
        <f ca="1">VLOOKUP(CurrentMtgRatesDataTable825[[#This Row],[asOfDate]]+1,Bloomberg!B:C,2,0)</f>
        <v>2325.3000000000002</v>
      </c>
      <c r="F9" s="27">
        <f>VLOOKUP(CurrentMtgRatesDataTable825[[#This Row],[asOfDate]],CurrentMtgRatesDataTable8256[#All],2,0)</f>
        <v>0.40754568633496746</v>
      </c>
      <c r="G9" s="27">
        <f>VLOOKUP(CurrentMtgRatesDataTable825[[#This Row],[asOfDate]],CurrentMtgRatesDataTable82562[],2,0)</f>
        <v>0.21194639619399513</v>
      </c>
      <c r="H9" s="27">
        <f>VLOOKUP(CurrentMtgRatesDataTable825[[#This Row],[asOfDate]],T:U,2,0)</f>
        <v>0.21937474831597803</v>
      </c>
      <c r="I9" s="58">
        <f>VLOOKUP(CurrentMtgRatesDataTable825[[#This Row],[asOfDate]],CurrentMtgRatesDataTable825623[#All],2,0)</f>
        <v>0.14775234916291591</v>
      </c>
      <c r="J9" s="27">
        <f>VLOOKUP(CurrentMtgRatesDataTable825[[#This Row],[asOfDate]],AC:AD,2,0)</f>
        <v>0.36422873018148</v>
      </c>
      <c r="K9" s="27">
        <f>VLOOKUP(CurrentMtgRatesDataTable825[[#This Row],[asOfDate]],temp_1,2,0)</f>
        <v>0.41797156185356299</v>
      </c>
      <c r="M9" s="24">
        <v>40591</v>
      </c>
      <c r="N9" s="26">
        <v>0.40754568633496746</v>
      </c>
      <c r="O9" s="6">
        <f ca="1">VLOOKUP(CurrentMtgRatesDataTable8256[[#This Row],[asOfDate]]+1,Bloomberg!B:C,2,0)</f>
        <v>2325.3000000000002</v>
      </c>
      <c r="Q9" s="24">
        <v>40591</v>
      </c>
      <c r="R9" s="26">
        <v>0.21194639619399513</v>
      </c>
      <c r="T9" s="24">
        <v>40591</v>
      </c>
      <c r="U9" s="27">
        <v>0.21937474831597803</v>
      </c>
      <c r="W9" s="56">
        <v>40591</v>
      </c>
      <c r="X9" s="57">
        <v>0.14775234916291591</v>
      </c>
      <c r="Z9" s="1">
        <v>40591</v>
      </c>
      <c r="AA9">
        <v>0.17268526897970701</v>
      </c>
      <c r="AC9" s="1">
        <v>40591</v>
      </c>
      <c r="AD9">
        <v>0.36422873018148</v>
      </c>
      <c r="AF9" s="1">
        <v>40591</v>
      </c>
      <c r="AG9">
        <v>0.41797156185356299</v>
      </c>
    </row>
    <row r="10" spans="2:33">
      <c r="B10" s="24">
        <v>40598</v>
      </c>
      <c r="C10" s="27">
        <v>0.57709503787578109</v>
      </c>
      <c r="D10" s="27">
        <v>0.5527274379046524</v>
      </c>
      <c r="E10" s="6">
        <f ca="1">VLOOKUP(CurrentMtgRatesDataTable825[[#This Row],[asOfDate]]+1,Bloomberg!B:C,2,0)</f>
        <v>2155.5</v>
      </c>
      <c r="F10" s="27">
        <f>VLOOKUP(CurrentMtgRatesDataTable825[[#This Row],[asOfDate]],CurrentMtgRatesDataTable8256[#All],2,0)</f>
        <v>0.45432862067371088</v>
      </c>
      <c r="G10" s="27">
        <f>VLOOKUP(CurrentMtgRatesDataTable825[[#This Row],[asOfDate]],CurrentMtgRatesDataTable82562[],2,0)</f>
        <v>0.2296622233105281</v>
      </c>
      <c r="H10" s="27">
        <f>VLOOKUP(CurrentMtgRatesDataTable825[[#This Row],[asOfDate]],T:U,2,0)</f>
        <v>0.23756924071282229</v>
      </c>
      <c r="I10" s="58">
        <f>VLOOKUP(CurrentMtgRatesDataTable825[[#This Row],[asOfDate]],CurrentMtgRatesDataTable825623[#All],2,0)</f>
        <v>0.16009478143712152</v>
      </c>
      <c r="J10" s="27">
        <f>VLOOKUP(CurrentMtgRatesDataTable825[[#This Row],[asOfDate]],AC:AD,2,0)</f>
        <v>0.37426156705539698</v>
      </c>
      <c r="K10" s="27">
        <f>VLOOKUP(CurrentMtgRatesDataTable825[[#This Row],[asOfDate]],temp_1,2,0)</f>
        <v>0.42749088486683401</v>
      </c>
      <c r="M10" s="24">
        <v>40598</v>
      </c>
      <c r="N10" s="26">
        <v>0.45432862067371088</v>
      </c>
      <c r="O10" s="6">
        <f ca="1">VLOOKUP(CurrentMtgRatesDataTable8256[[#This Row],[asOfDate]]+1,Bloomberg!B:C,2,0)</f>
        <v>2155.5</v>
      </c>
      <c r="Q10" s="24">
        <v>40598</v>
      </c>
      <c r="R10" s="26">
        <v>0.2296622233105281</v>
      </c>
      <c r="T10" s="24">
        <v>40598</v>
      </c>
      <c r="U10" s="27">
        <v>0.23756924071282229</v>
      </c>
      <c r="W10" s="56">
        <v>40598</v>
      </c>
      <c r="X10" s="57">
        <v>0.16009478143712152</v>
      </c>
      <c r="Z10" s="1">
        <v>40598</v>
      </c>
      <c r="AA10">
        <v>0.18461609501929199</v>
      </c>
      <c r="AC10" s="1">
        <v>40598</v>
      </c>
      <c r="AD10">
        <v>0.37426156705539698</v>
      </c>
      <c r="AF10" s="1">
        <v>40598</v>
      </c>
      <c r="AG10">
        <v>0.42749088486683401</v>
      </c>
    </row>
    <row r="11" spans="2:33">
      <c r="B11" s="24">
        <v>40605</v>
      </c>
      <c r="C11" s="27">
        <v>0.59224775585706535</v>
      </c>
      <c r="D11" s="27">
        <v>0.53959666161684006</v>
      </c>
      <c r="E11" s="6">
        <f ca="1">VLOOKUP(CurrentMtgRatesDataTable825[[#This Row],[asOfDate]]+1,Bloomberg!B:C,2,0)</f>
        <v>2539.4</v>
      </c>
      <c r="F11" s="27">
        <f>VLOOKUP(CurrentMtgRatesDataTable825[[#This Row],[asOfDate]],CurrentMtgRatesDataTable8256[#All],2,0)</f>
        <v>0.44537925133640238</v>
      </c>
      <c r="G11" s="27">
        <f>VLOOKUP(CurrentMtgRatesDataTable825[[#This Row],[asOfDate]],CurrentMtgRatesDataTable82562[],2,0)</f>
        <v>0.22805396368099012</v>
      </c>
      <c r="H11" s="27">
        <f>VLOOKUP(CurrentMtgRatesDataTable825[[#This Row],[asOfDate]],T:U,2,0)</f>
        <v>0.23580697378092402</v>
      </c>
      <c r="I11" s="58">
        <f>VLOOKUP(CurrentMtgRatesDataTable825[[#This Row],[asOfDate]],CurrentMtgRatesDataTable825623[#All],2,0)</f>
        <v>0.16418790753930707</v>
      </c>
      <c r="J11" s="27">
        <f>VLOOKUP(CurrentMtgRatesDataTable825[[#This Row],[asOfDate]],AC:AD,2,0)</f>
        <v>0.378077073966118</v>
      </c>
      <c r="K11" s="27">
        <f>VLOOKUP(CurrentMtgRatesDataTable825[[#This Row],[asOfDate]],temp_1,2,0)</f>
        <v>0.43033160357153799</v>
      </c>
      <c r="M11" s="24">
        <v>40605</v>
      </c>
      <c r="N11" s="26">
        <v>0.44537925133640238</v>
      </c>
      <c r="O11" s="26">
        <f ca="1">VLOOKUP(CurrentMtgRatesDataTable8256[[#This Row],[asOfDate]]+1,Bloomberg!B:C,2,0)</f>
        <v>2539.4</v>
      </c>
      <c r="Q11" s="24">
        <v>40605</v>
      </c>
      <c r="R11" s="26">
        <v>0.22805396368099012</v>
      </c>
      <c r="T11" s="24">
        <v>40605</v>
      </c>
      <c r="U11" s="27">
        <v>0.23580697378092402</v>
      </c>
      <c r="W11" s="56">
        <v>40605</v>
      </c>
      <c r="X11" s="57">
        <v>0.16418790753930707</v>
      </c>
      <c r="Z11" s="1">
        <v>40605</v>
      </c>
      <c r="AA11">
        <v>0.18861070227733101</v>
      </c>
      <c r="AC11" s="1">
        <v>40605</v>
      </c>
      <c r="AD11">
        <v>0.378077073966118</v>
      </c>
      <c r="AF11" s="1">
        <v>40605</v>
      </c>
      <c r="AG11">
        <v>0.43033160357153799</v>
      </c>
    </row>
    <row r="12" spans="2:33">
      <c r="B12" s="24">
        <v>40612</v>
      </c>
      <c r="C12" s="27">
        <v>0.59090570789662444</v>
      </c>
      <c r="D12" s="27">
        <v>0.53959666161684006</v>
      </c>
      <c r="E12" s="6">
        <f ca="1">VLOOKUP(CurrentMtgRatesDataTable825[[#This Row],[asOfDate]]+1,Bloomberg!B:C,2,0)</f>
        <v>2563.6</v>
      </c>
      <c r="F12" s="27">
        <f>VLOOKUP(CurrentMtgRatesDataTable825[[#This Row],[asOfDate]],CurrentMtgRatesDataTable8256[#All],2,0)</f>
        <v>0.44531343502837423</v>
      </c>
      <c r="G12" s="27">
        <f>VLOOKUP(CurrentMtgRatesDataTable825[[#This Row],[asOfDate]],CurrentMtgRatesDataTable82562[],2,0)</f>
        <v>0.22800497750165782</v>
      </c>
      <c r="H12" s="27">
        <f>VLOOKUP(CurrentMtgRatesDataTable825[[#This Row],[asOfDate]],T:U,2,0)</f>
        <v>0.23575738208426369</v>
      </c>
      <c r="I12" s="58">
        <f>VLOOKUP(CurrentMtgRatesDataTable825[[#This Row],[asOfDate]],CurrentMtgRatesDataTable825623[#All],2,0)</f>
        <v>0.16404066322029284</v>
      </c>
      <c r="J12" s="27">
        <f>VLOOKUP(CurrentMtgRatesDataTable825[[#This Row],[asOfDate]],AC:AD,2,0)</f>
        <v>0.37803494484535199</v>
      </c>
      <c r="K12" s="27">
        <f>VLOOKUP(CurrentMtgRatesDataTable825[[#This Row],[asOfDate]],temp_1,2,0)</f>
        <v>0.43030110657149201</v>
      </c>
      <c r="M12" s="24">
        <v>40612</v>
      </c>
      <c r="N12" s="26">
        <v>0.44531343502837423</v>
      </c>
      <c r="O12" s="26">
        <f ca="1">VLOOKUP(CurrentMtgRatesDataTable8256[[#This Row],[asOfDate]]+1,Bloomberg!B:C,2,0)</f>
        <v>2563.6</v>
      </c>
      <c r="Q12" s="24">
        <v>40612</v>
      </c>
      <c r="R12" s="26">
        <v>0.22800497750165782</v>
      </c>
      <c r="T12" s="24">
        <v>40612</v>
      </c>
      <c r="U12" s="27">
        <v>0.23575738208426369</v>
      </c>
      <c r="W12" s="56">
        <v>40612</v>
      </c>
      <c r="X12" s="57">
        <v>0.16404066322029284</v>
      </c>
      <c r="Z12" s="1">
        <v>40612</v>
      </c>
      <c r="AA12">
        <v>0.187798038085703</v>
      </c>
      <c r="AC12" s="1">
        <v>40612</v>
      </c>
      <c r="AD12">
        <v>0.37803494484535199</v>
      </c>
      <c r="AF12" s="1">
        <v>40612</v>
      </c>
      <c r="AG12">
        <v>0.43030110657149201</v>
      </c>
    </row>
    <row r="13" spans="2:33">
      <c r="B13" s="24">
        <v>40619</v>
      </c>
      <c r="C13" s="27">
        <v>0.60261779474869925</v>
      </c>
      <c r="D13" s="27">
        <v>0.57514662575669562</v>
      </c>
      <c r="E13" s="6">
        <f ca="1">VLOOKUP(CurrentMtgRatesDataTable825[[#This Row],[asOfDate]]+1,Bloomberg!B:C,2,0)</f>
        <v>2620.8000000000002</v>
      </c>
      <c r="F13" s="27">
        <f>VLOOKUP(CurrentMtgRatesDataTable825[[#This Row],[asOfDate]],CurrentMtgRatesDataTable8256[#All],2,0)</f>
        <v>0.50756853544493263</v>
      </c>
      <c r="G13" s="27">
        <f>VLOOKUP(CurrentMtgRatesDataTable825[[#This Row],[asOfDate]],CurrentMtgRatesDataTable82562[],2,0)</f>
        <v>0.26952651165647717</v>
      </c>
      <c r="H13" s="27">
        <f>VLOOKUP(CurrentMtgRatesDataTable825[[#This Row],[asOfDate]],T:U,2,0)</f>
        <v>0.27772990136821168</v>
      </c>
      <c r="I13" s="58">
        <f>VLOOKUP(CurrentMtgRatesDataTable825[[#This Row],[asOfDate]],CurrentMtgRatesDataTable825623[#All],2,0)</f>
        <v>0.1977947076697287</v>
      </c>
      <c r="J13" s="27">
        <f>VLOOKUP(CurrentMtgRatesDataTable825[[#This Row],[asOfDate]],AC:AD,2,0)</f>
        <v>0.407679162563724</v>
      </c>
      <c r="K13" s="27">
        <f>VLOOKUP(CurrentMtgRatesDataTable825[[#This Row],[asOfDate]],temp_1,2,0)</f>
        <v>0.45843967337938502</v>
      </c>
      <c r="M13" s="24">
        <v>40619</v>
      </c>
      <c r="N13" s="26">
        <v>0.50756853544493263</v>
      </c>
      <c r="O13" s="26">
        <f ca="1">VLOOKUP(CurrentMtgRatesDataTable8256[[#This Row],[asOfDate]]+1,Bloomberg!B:C,2,0)</f>
        <v>2620.8000000000002</v>
      </c>
      <c r="Q13" s="24">
        <v>40619</v>
      </c>
      <c r="R13" s="26">
        <v>0.26952651165647717</v>
      </c>
      <c r="T13" s="24">
        <v>40619</v>
      </c>
      <c r="U13" s="27">
        <v>0.27772990136821168</v>
      </c>
      <c r="W13" s="56">
        <v>40619</v>
      </c>
      <c r="X13" s="57">
        <v>0.1977947076697287</v>
      </c>
      <c r="Z13" s="1">
        <v>40619</v>
      </c>
      <c r="AA13">
        <v>0.22247103314798999</v>
      </c>
      <c r="AC13" s="1">
        <v>40619</v>
      </c>
      <c r="AD13">
        <v>0.407679162563724</v>
      </c>
      <c r="AF13" s="1">
        <v>40619</v>
      </c>
      <c r="AG13">
        <v>0.45843967337938502</v>
      </c>
    </row>
    <row r="14" spans="2:33">
      <c r="B14" s="24">
        <v>40626</v>
      </c>
      <c r="C14" s="27">
        <v>0.59950595681897523</v>
      </c>
      <c r="D14" s="27">
        <v>0.53959666161684006</v>
      </c>
      <c r="E14" s="6">
        <f ca="1">VLOOKUP(CurrentMtgRatesDataTable825[[#This Row],[asOfDate]]+1,Bloomberg!B:C,2,0)</f>
        <v>2350.6999999999998</v>
      </c>
      <c r="F14" s="27">
        <f>VLOOKUP(CurrentMtgRatesDataTable825[[#This Row],[asOfDate]],CurrentMtgRatesDataTable8256[#All],2,0)</f>
        <v>0.50709598627705932</v>
      </c>
      <c r="G14" s="27">
        <f>VLOOKUP(CurrentMtgRatesDataTable825[[#This Row],[asOfDate]],CurrentMtgRatesDataTable82562[],2,0)</f>
        <v>0.25273332689580402</v>
      </c>
      <c r="H14" s="27">
        <f>VLOOKUP(CurrentMtgRatesDataTable825[[#This Row],[asOfDate]],T:U,2,0)</f>
        <v>0.26081219543552103</v>
      </c>
      <c r="I14" s="58">
        <f>VLOOKUP(CurrentMtgRatesDataTable825[[#This Row],[asOfDate]],CurrentMtgRatesDataTable825623[#All],2,0)</f>
        <v>0.17977939874028584</v>
      </c>
      <c r="J14" s="27">
        <f>VLOOKUP(CurrentMtgRatesDataTable825[[#This Row],[asOfDate]],AC:AD,2,0)</f>
        <v>0.39154691259907098</v>
      </c>
      <c r="K14" s="27">
        <f>VLOOKUP(CurrentMtgRatesDataTable825[[#This Row],[asOfDate]],temp_1,2,0)</f>
        <v>0.44338718423978701</v>
      </c>
      <c r="M14" s="24">
        <v>40626</v>
      </c>
      <c r="N14" s="26">
        <v>0.50709598627705932</v>
      </c>
      <c r="O14" s="26">
        <f ca="1">VLOOKUP(CurrentMtgRatesDataTable8256[[#This Row],[asOfDate]]+1,Bloomberg!B:C,2,0)</f>
        <v>2350.6999999999998</v>
      </c>
      <c r="Q14" s="24">
        <v>40626</v>
      </c>
      <c r="R14" s="26">
        <v>0.25273332689580402</v>
      </c>
      <c r="T14" s="24">
        <v>40626</v>
      </c>
      <c r="U14" s="27">
        <v>0.26081219543552103</v>
      </c>
      <c r="W14" s="56">
        <v>40626</v>
      </c>
      <c r="X14" s="57">
        <v>0.17977939874028584</v>
      </c>
      <c r="Z14" s="1">
        <v>40626</v>
      </c>
      <c r="AA14">
        <v>0.20433412896911801</v>
      </c>
      <c r="AC14" s="1">
        <v>40626</v>
      </c>
      <c r="AD14">
        <v>0.39154691259907098</v>
      </c>
      <c r="AF14" s="1">
        <v>40626</v>
      </c>
      <c r="AG14">
        <v>0.44338718423978701</v>
      </c>
    </row>
    <row r="15" spans="2:33">
      <c r="B15" s="24">
        <v>40633</v>
      </c>
      <c r="C15" s="27">
        <v>0.593225708201635</v>
      </c>
      <c r="D15" s="27">
        <v>0.53959666161684006</v>
      </c>
      <c r="E15" s="6">
        <f ca="1">VLOOKUP(CurrentMtgRatesDataTable825[[#This Row],[asOfDate]]+1,Bloomberg!B:C,2,0)</f>
        <v>2194.4</v>
      </c>
      <c r="F15" s="27">
        <f>VLOOKUP(CurrentMtgRatesDataTable825[[#This Row],[asOfDate]],CurrentMtgRatesDataTable8256[#All],2,0)</f>
        <v>0.44540607652299313</v>
      </c>
      <c r="G15" s="27">
        <f>VLOOKUP(CurrentMtgRatesDataTable825[[#This Row],[asOfDate]],CurrentMtgRatesDataTable82562[],2,0)</f>
        <v>0.22807581848396768</v>
      </c>
      <c r="H15" s="27">
        <f>VLOOKUP(CurrentMtgRatesDataTable825[[#This Row],[asOfDate]],T:U,2,0)</f>
        <v>0.23582915359045858</v>
      </c>
      <c r="I15" s="58">
        <f>VLOOKUP(CurrentMtgRatesDataTable825[[#This Row],[asOfDate]],CurrentMtgRatesDataTable825623[#All],2,0)</f>
        <v>0.16421372267642936</v>
      </c>
      <c r="J15" s="27">
        <f>VLOOKUP(CurrentMtgRatesDataTable825[[#This Row],[asOfDate]],AC:AD,2,0)</f>
        <v>0.37809391960358502</v>
      </c>
      <c r="K15" s="27">
        <f>VLOOKUP(CurrentMtgRatesDataTable825[[#This Row],[asOfDate]],temp_1,2,0)</f>
        <v>0.43034776102532601</v>
      </c>
      <c r="M15" s="24">
        <v>40633</v>
      </c>
      <c r="N15" s="26">
        <v>0.44540607652299313</v>
      </c>
      <c r="O15" s="26">
        <f ca="1">VLOOKUP(CurrentMtgRatesDataTable8256[[#This Row],[asOfDate]]+1,Bloomberg!B:C,2,0)</f>
        <v>2194.4</v>
      </c>
      <c r="Q15" s="24">
        <v>40633</v>
      </c>
      <c r="R15" s="26">
        <v>0.22807581848396768</v>
      </c>
      <c r="T15" s="24">
        <v>40633</v>
      </c>
      <c r="U15" s="27">
        <v>0.23582915359045858</v>
      </c>
      <c r="W15" s="56">
        <v>40633</v>
      </c>
      <c r="X15" s="57">
        <v>0.16421372267642936</v>
      </c>
      <c r="Z15" s="1">
        <v>40633</v>
      </c>
      <c r="AA15">
        <v>0.188633191426026</v>
      </c>
      <c r="AC15" s="1">
        <v>40633</v>
      </c>
      <c r="AD15">
        <v>0.37809391960358502</v>
      </c>
      <c r="AF15" s="1">
        <v>40633</v>
      </c>
      <c r="AG15">
        <v>0.43034776102532601</v>
      </c>
    </row>
    <row r="16" spans="2:33">
      <c r="B16" s="24">
        <v>40640</v>
      </c>
      <c r="C16" s="27">
        <v>0.58542144661011908</v>
      </c>
      <c r="D16" s="27">
        <v>0.52974513410801005</v>
      </c>
      <c r="E16" s="6">
        <f ca="1">VLOOKUP(CurrentMtgRatesDataTable825[[#This Row],[asOfDate]]+1,Bloomberg!B:C,2,0)</f>
        <v>2010.6</v>
      </c>
      <c r="F16" s="27">
        <f>VLOOKUP(CurrentMtgRatesDataTable825[[#This Row],[asOfDate]],CurrentMtgRatesDataTable8256[#All],2,0)</f>
        <v>0.43752802947744701</v>
      </c>
      <c r="G16" s="27">
        <f>VLOOKUP(CurrentMtgRatesDataTable825[[#This Row],[asOfDate]],CurrentMtgRatesDataTable82562[],2,0)</f>
        <v>0.22629927187952814</v>
      </c>
      <c r="H16" s="27">
        <f>VLOOKUP(CurrentMtgRatesDataTable825[[#This Row],[asOfDate]],T:U,2,0)</f>
        <v>0.23398840657953646</v>
      </c>
      <c r="I16" s="58">
        <f>VLOOKUP(CurrentMtgRatesDataTable825[[#This Row],[asOfDate]],CurrentMtgRatesDataTable825623[#All],2,0)</f>
        <v>0.16406956784376403</v>
      </c>
      <c r="J16" s="27">
        <f>VLOOKUP(CurrentMtgRatesDataTable825[[#This Row],[asOfDate]],AC:AD,2,0)</f>
        <v>0.36996472497765398</v>
      </c>
      <c r="K16" s="27">
        <f>VLOOKUP(CurrentMtgRatesDataTable825[[#This Row],[asOfDate]],temp_1,2,0)</f>
        <v>0.42302014893146</v>
      </c>
      <c r="M16" s="24">
        <v>40640</v>
      </c>
      <c r="N16" s="26">
        <v>0.43752802947744701</v>
      </c>
      <c r="O16" s="26">
        <f ca="1">VLOOKUP(CurrentMtgRatesDataTable8256[[#This Row],[asOfDate]]+1,Bloomberg!B:C,2,0)</f>
        <v>2010.6</v>
      </c>
      <c r="Q16" s="24">
        <v>40640</v>
      </c>
      <c r="R16" s="26">
        <v>0.22629927187952814</v>
      </c>
      <c r="T16" s="24">
        <v>40640</v>
      </c>
      <c r="U16" s="27">
        <v>0.23398840657953646</v>
      </c>
      <c r="W16" s="56">
        <v>40640</v>
      </c>
      <c r="X16" s="57">
        <v>0.16406956784376403</v>
      </c>
      <c r="Z16" s="1">
        <v>40640</v>
      </c>
      <c r="AA16">
        <v>0.187943854940987</v>
      </c>
      <c r="AC16" s="1">
        <v>40640</v>
      </c>
      <c r="AD16">
        <v>0.36996472497765398</v>
      </c>
      <c r="AF16" s="1">
        <v>40640</v>
      </c>
      <c r="AG16">
        <v>0.42302014893146</v>
      </c>
    </row>
    <row r="17" spans="2:33">
      <c r="B17" s="24">
        <v>40647</v>
      </c>
      <c r="C17" s="27">
        <v>0.58155199492979581</v>
      </c>
      <c r="D17" s="27">
        <v>0.52974513410801005</v>
      </c>
      <c r="E17" s="6">
        <f ca="1">VLOOKUP(CurrentMtgRatesDataTable825[[#This Row],[asOfDate]]+1,Bloomberg!B:C,2,0)</f>
        <v>2065.3000000000002</v>
      </c>
      <c r="F17" s="27">
        <f>VLOOKUP(CurrentMtgRatesDataTable825[[#This Row],[asOfDate]],CurrentMtgRatesDataTable8256[#All],2,0)</f>
        <v>0.43743055763305833</v>
      </c>
      <c r="G17" s="27">
        <f>VLOOKUP(CurrentMtgRatesDataTable825[[#This Row],[asOfDate]],CurrentMtgRatesDataTable82562[],2,0)</f>
        <v>0.22624072096473111</v>
      </c>
      <c r="H17" s="27">
        <f>VLOOKUP(CurrentMtgRatesDataTable825[[#This Row],[asOfDate]],T:U,2,0)</f>
        <v>0.23392925226898756</v>
      </c>
      <c r="I17" s="58">
        <f>VLOOKUP(CurrentMtgRatesDataTable825[[#This Row],[asOfDate]],CurrentMtgRatesDataTable825623[#All],2,0)</f>
        <v>0.16188317261266852</v>
      </c>
      <c r="J17" s="27">
        <f>VLOOKUP(CurrentMtgRatesDataTable825[[#This Row],[asOfDate]],AC:AD,2,0)</f>
        <v>0.36984016473175102</v>
      </c>
      <c r="K17" s="27">
        <f>VLOOKUP(CurrentMtgRatesDataTable825[[#This Row],[asOfDate]],temp_1,2,0)</f>
        <v>0.422913696043141</v>
      </c>
      <c r="M17" s="24">
        <v>40647</v>
      </c>
      <c r="N17" s="26">
        <v>0.43743055763305833</v>
      </c>
      <c r="O17" s="26">
        <f ca="1">VLOOKUP(CurrentMtgRatesDataTable8256[[#This Row],[asOfDate]]+1,Bloomberg!B:C,2,0)</f>
        <v>2065.3000000000002</v>
      </c>
      <c r="Q17" s="24">
        <v>40647</v>
      </c>
      <c r="R17" s="26">
        <v>0.22624072096473111</v>
      </c>
      <c r="T17" s="24">
        <v>40647</v>
      </c>
      <c r="U17" s="27">
        <v>0.23392925226898756</v>
      </c>
      <c r="W17" s="56">
        <v>40647</v>
      </c>
      <c r="X17" s="57">
        <v>0.16188317261266852</v>
      </c>
      <c r="Z17" s="1">
        <v>40647</v>
      </c>
      <c r="AA17">
        <v>0.185483894307088</v>
      </c>
      <c r="AC17" s="1">
        <v>40647</v>
      </c>
      <c r="AD17">
        <v>0.36984016473175102</v>
      </c>
      <c r="AF17" s="1">
        <v>40647</v>
      </c>
      <c r="AG17">
        <v>0.422913696043141</v>
      </c>
    </row>
    <row r="18" spans="2:33">
      <c r="B18" s="24">
        <v>40654</v>
      </c>
      <c r="C18" s="27">
        <v>0.59356262313394537</v>
      </c>
      <c r="D18" s="27">
        <v>0.53944483941175059</v>
      </c>
      <c r="E18" s="6">
        <f ca="1">VLOOKUP(CurrentMtgRatesDataTable825[[#This Row],[asOfDate]]+1,Bloomberg!B:C,2,0)</f>
        <v>2091.4</v>
      </c>
      <c r="F18" s="27">
        <f>VLOOKUP(CurrentMtgRatesDataTable825[[#This Row],[asOfDate]],CurrentMtgRatesDataTable8256[#All],2,0)</f>
        <v>0.50071367537414391</v>
      </c>
      <c r="G18" s="27">
        <f>VLOOKUP(CurrentMtgRatesDataTable825[[#This Row],[asOfDate]],CurrentMtgRatesDataTable82562[],2,0)</f>
        <v>0.2512985264962686</v>
      </c>
      <c r="H18" s="27">
        <f>VLOOKUP(CurrentMtgRatesDataTable825[[#This Row],[asOfDate]],T:U,2,0)</f>
        <v>0.25931046586102646</v>
      </c>
      <c r="I18" s="58">
        <f>VLOOKUP(CurrentMtgRatesDataTable825[[#This Row],[asOfDate]],CurrentMtgRatesDataTable825623[#All],2,0)</f>
        <v>0.18010388926248624</v>
      </c>
      <c r="J18" s="27">
        <f>VLOOKUP(CurrentMtgRatesDataTable825[[#This Row],[asOfDate]],AC:AD,2,0)</f>
        <v>0.38384871096807699</v>
      </c>
      <c r="K18" s="27">
        <f>VLOOKUP(CurrentMtgRatesDataTable825[[#This Row],[asOfDate]],temp_1,2,0)</f>
        <v>0.43647525585997698</v>
      </c>
      <c r="M18" s="24">
        <v>40654</v>
      </c>
      <c r="N18" s="26">
        <v>0.50071367537414391</v>
      </c>
      <c r="O18" s="26">
        <f ca="1">VLOOKUP(CurrentMtgRatesDataTable8256[[#This Row],[asOfDate]]+1,Bloomberg!B:C,2,0)</f>
        <v>2091.4</v>
      </c>
      <c r="Q18" s="24">
        <v>40654</v>
      </c>
      <c r="R18" s="26">
        <v>0.2512985264962686</v>
      </c>
      <c r="T18" s="24">
        <v>40654</v>
      </c>
      <c r="U18" s="27">
        <v>0.25931046586102646</v>
      </c>
      <c r="W18" s="56">
        <v>40654</v>
      </c>
      <c r="X18" s="57">
        <v>0.18010388926248624</v>
      </c>
      <c r="Z18" s="1">
        <v>40654</v>
      </c>
      <c r="AA18">
        <v>0.20415630755773301</v>
      </c>
      <c r="AC18" s="1">
        <v>40654</v>
      </c>
      <c r="AD18">
        <v>0.38384871096807699</v>
      </c>
      <c r="AF18" s="1">
        <v>40654</v>
      </c>
      <c r="AG18">
        <v>0.43647525585997698</v>
      </c>
    </row>
    <row r="19" spans="2:33">
      <c r="B19" s="24">
        <v>40661</v>
      </c>
      <c r="C19" s="27">
        <v>0.59445921362542997</v>
      </c>
      <c r="D19" s="27">
        <v>0.53944483941175059</v>
      </c>
      <c r="E19" s="6">
        <f ca="1">VLOOKUP(CurrentMtgRatesDataTable825[[#This Row],[asOfDate]]+1,Bloomberg!B:C,2,0)</f>
        <v>2220.1</v>
      </c>
      <c r="F19" s="27">
        <f>VLOOKUP(CurrentMtgRatesDataTable825[[#This Row],[asOfDate]],CurrentMtgRatesDataTable8256[#All],2,0)</f>
        <v>0.50084038538064524</v>
      </c>
      <c r="G19" s="27">
        <f>VLOOKUP(CurrentMtgRatesDataTable825[[#This Row],[asOfDate]],CurrentMtgRatesDataTable82562[],2,0)</f>
        <v>0.25137722920486677</v>
      </c>
      <c r="H19" s="27">
        <f>VLOOKUP(CurrentMtgRatesDataTable825[[#This Row],[asOfDate]],T:U,2,0)</f>
        <v>0.25939108420754325</v>
      </c>
      <c r="I19" s="58">
        <f>VLOOKUP(CurrentMtgRatesDataTable825[[#This Row],[asOfDate]],CurrentMtgRatesDataTable825623[#All],2,0)</f>
        <v>0.18382677970033753</v>
      </c>
      <c r="J19" s="27">
        <f>VLOOKUP(CurrentMtgRatesDataTable825[[#This Row],[asOfDate]],AC:AD,2,0)</f>
        <v>0.38433074982262799</v>
      </c>
      <c r="K19" s="27">
        <f>VLOOKUP(CurrentMtgRatesDataTable825[[#This Row],[asOfDate]],temp_1,2,0)</f>
        <v>0.43694753509709</v>
      </c>
      <c r="M19" s="24">
        <v>40661</v>
      </c>
      <c r="N19" s="26">
        <v>0.50084038538064524</v>
      </c>
      <c r="O19" s="26">
        <f ca="1">VLOOKUP(CurrentMtgRatesDataTable8256[[#This Row],[asOfDate]]+1,Bloomberg!B:C,2,0)</f>
        <v>2220.1</v>
      </c>
      <c r="Q19" s="24">
        <v>40661</v>
      </c>
      <c r="R19" s="26">
        <v>0.25137722920486677</v>
      </c>
      <c r="T19" s="24">
        <v>40661</v>
      </c>
      <c r="U19" s="27">
        <v>0.25939108420754325</v>
      </c>
      <c r="W19" s="56">
        <v>40661</v>
      </c>
      <c r="X19" s="57">
        <v>0.18382677970033753</v>
      </c>
      <c r="Z19" s="1">
        <v>40661</v>
      </c>
      <c r="AA19">
        <v>0.208475933924608</v>
      </c>
      <c r="AC19" s="1">
        <v>40661</v>
      </c>
      <c r="AD19">
        <v>0.38433074982262799</v>
      </c>
      <c r="AF19" s="1">
        <v>40661</v>
      </c>
      <c r="AG19">
        <v>0.43694753509709</v>
      </c>
    </row>
    <row r="20" spans="2:33">
      <c r="B20" s="24">
        <v>40668</v>
      </c>
      <c r="C20" s="27">
        <v>0.59391131067456038</v>
      </c>
      <c r="D20" s="27">
        <v>0.56321713725117084</v>
      </c>
      <c r="E20" s="6">
        <f ca="1">VLOOKUP(CurrentMtgRatesDataTable825[[#This Row],[asOfDate]]+1,Bloomberg!B:C,2,0)</f>
        <v>2414.9</v>
      </c>
      <c r="F20" s="27">
        <f>VLOOKUP(CurrentMtgRatesDataTable825[[#This Row],[asOfDate]],CurrentMtgRatesDataTable8256[#All],2,0)</f>
        <v>0.49619981605913671</v>
      </c>
      <c r="G20" s="27">
        <f>VLOOKUP(CurrentMtgRatesDataTable825[[#This Row],[asOfDate]],CurrentMtgRatesDataTable82562[],2,0)</f>
        <v>0.26857330186118961</v>
      </c>
      <c r="H20" s="27">
        <f>VLOOKUP(CurrentMtgRatesDataTable825[[#This Row],[asOfDate]],T:U,2,0)</f>
        <v>0.2767705840929231</v>
      </c>
      <c r="I20" s="58">
        <f>VLOOKUP(CurrentMtgRatesDataTable825[[#This Row],[asOfDate]],CurrentMtgRatesDataTable825623[#All],2,0)</f>
        <v>0.20387133077641981</v>
      </c>
      <c r="J20" s="27">
        <f>VLOOKUP(CurrentMtgRatesDataTable825[[#This Row],[asOfDate]],AC:AD,2,0)</f>
        <v>0.394871405610702</v>
      </c>
      <c r="K20" s="27">
        <f>VLOOKUP(CurrentMtgRatesDataTable825[[#This Row],[asOfDate]],temp_1,2,0)</f>
        <v>0.447281712887248</v>
      </c>
      <c r="M20" s="24">
        <v>40668</v>
      </c>
      <c r="N20" s="26">
        <v>0.49619981605913671</v>
      </c>
      <c r="O20" s="26">
        <f ca="1">VLOOKUP(CurrentMtgRatesDataTable8256[[#This Row],[asOfDate]]+1,Bloomberg!B:C,2,0)</f>
        <v>2414.9</v>
      </c>
      <c r="Q20" s="24">
        <v>40668</v>
      </c>
      <c r="R20" s="26">
        <v>0.26857330186118961</v>
      </c>
      <c r="T20" s="24">
        <v>40668</v>
      </c>
      <c r="U20" s="27">
        <v>0.2767705840929231</v>
      </c>
      <c r="W20" s="56">
        <v>40668</v>
      </c>
      <c r="X20" s="57">
        <v>0.20387133077641981</v>
      </c>
      <c r="Z20" s="1">
        <v>40668</v>
      </c>
      <c r="AA20">
        <v>0.22796776820787201</v>
      </c>
      <c r="AC20" s="1">
        <v>40668</v>
      </c>
      <c r="AD20">
        <v>0.394871405610702</v>
      </c>
      <c r="AF20" s="1">
        <v>40668</v>
      </c>
      <c r="AG20">
        <v>0.447281712887248</v>
      </c>
    </row>
    <row r="21" spans="2:33">
      <c r="B21" s="24">
        <v>40675</v>
      </c>
      <c r="C21" s="27">
        <v>0.60662155942020002</v>
      </c>
      <c r="D21" s="27">
        <v>0.65730689383743934</v>
      </c>
      <c r="E21" s="6">
        <f ca="1">VLOOKUP(CurrentMtgRatesDataTable825[[#This Row],[asOfDate]]+1,Bloomberg!B:C,2,0)</f>
        <v>2742.2</v>
      </c>
      <c r="F21" s="27">
        <f>VLOOKUP(CurrentMtgRatesDataTable825[[#This Row],[asOfDate]],CurrentMtgRatesDataTable8256[#All],2,0)</f>
        <v>0.54734510927234215</v>
      </c>
      <c r="G21" s="27">
        <f>VLOOKUP(CurrentMtgRatesDataTable825[[#This Row],[asOfDate]],CurrentMtgRatesDataTable82562[],2,0)</f>
        <v>0.32233793721061016</v>
      </c>
      <c r="H21" s="27">
        <f>VLOOKUP(CurrentMtgRatesDataTable825[[#This Row],[asOfDate]],T:U,2,0)</f>
        <v>0.33101736528723608</v>
      </c>
      <c r="I21" s="58">
        <f>VLOOKUP(CurrentMtgRatesDataTable825[[#This Row],[asOfDate]],CurrentMtgRatesDataTable825623[#All],2,0)</f>
        <v>0.2408135217586809</v>
      </c>
      <c r="J21" s="27">
        <f>VLOOKUP(CurrentMtgRatesDataTable825[[#This Row],[asOfDate]],AC:AD,2,0)</f>
        <v>0.43079303669576202</v>
      </c>
      <c r="K21" s="27">
        <f>VLOOKUP(CurrentMtgRatesDataTable825[[#This Row],[asOfDate]],temp_1,2,0)</f>
        <v>0.48169103338999603</v>
      </c>
      <c r="M21" s="24">
        <v>40675</v>
      </c>
      <c r="N21" s="26">
        <v>0.54734510927234215</v>
      </c>
      <c r="O21" s="26">
        <f ca="1">VLOOKUP(CurrentMtgRatesDataTable8256[[#This Row],[asOfDate]]+1,Bloomberg!B:C,2,0)</f>
        <v>2742.2</v>
      </c>
      <c r="Q21" s="24">
        <v>40675</v>
      </c>
      <c r="R21" s="26">
        <v>0.32233793721061016</v>
      </c>
      <c r="T21" s="24">
        <v>40675</v>
      </c>
      <c r="U21" s="27">
        <v>0.33101736528723608</v>
      </c>
      <c r="W21" s="56">
        <v>40675</v>
      </c>
      <c r="X21" s="57">
        <v>0.2408135217586809</v>
      </c>
      <c r="Z21" s="1">
        <v>40675</v>
      </c>
      <c r="AA21">
        <v>0.2647138960139</v>
      </c>
      <c r="AC21" s="1">
        <v>40675</v>
      </c>
      <c r="AD21">
        <v>0.43079303669576202</v>
      </c>
      <c r="AF21" s="1">
        <v>40675</v>
      </c>
      <c r="AG21">
        <v>0.48169103338999603</v>
      </c>
    </row>
    <row r="22" spans="2:33">
      <c r="B22" s="24">
        <v>40682</v>
      </c>
      <c r="C22" s="27">
        <v>0.61264076908113763</v>
      </c>
      <c r="D22" s="27">
        <v>0.66267947259057558</v>
      </c>
      <c r="E22" s="6">
        <f ca="1">VLOOKUP(CurrentMtgRatesDataTable825[[#This Row],[asOfDate]]+1,Bloomberg!B:C,2,0)</f>
        <v>2764.6</v>
      </c>
      <c r="F22" s="27">
        <f>VLOOKUP(CurrentMtgRatesDataTable825[[#This Row],[asOfDate]],CurrentMtgRatesDataTable8256[#All],2,0)</f>
        <v>0.54747259610785104</v>
      </c>
      <c r="G22" s="27">
        <f>VLOOKUP(CurrentMtgRatesDataTable825[[#This Row],[asOfDate]],CurrentMtgRatesDataTable82562[],2,0)</f>
        <v>0.32249985215715632</v>
      </c>
      <c r="H22" s="27">
        <f>VLOOKUP(CurrentMtgRatesDataTable825[[#This Row],[asOfDate]],T:U,2,0)</f>
        <v>0.33118276104512157</v>
      </c>
      <c r="I22" s="58">
        <f>VLOOKUP(CurrentMtgRatesDataTable825[[#This Row],[asOfDate]],CurrentMtgRatesDataTable825623[#All],2,0)</f>
        <v>0.24117986251785034</v>
      </c>
      <c r="J22" s="27">
        <f>VLOOKUP(CurrentMtgRatesDataTable825[[#This Row],[asOfDate]],AC:AD,2,0)</f>
        <v>0.43090192835496699</v>
      </c>
      <c r="K22" s="27">
        <f>VLOOKUP(CurrentMtgRatesDataTable825[[#This Row],[asOfDate]],temp_1,2,0)</f>
        <v>0.48179766411393099</v>
      </c>
      <c r="M22" s="24">
        <v>40682</v>
      </c>
      <c r="N22" s="26">
        <v>0.54747259610785104</v>
      </c>
      <c r="O22" s="26">
        <f ca="1">VLOOKUP(CurrentMtgRatesDataTable8256[[#This Row],[asOfDate]]+1,Bloomberg!B:C,2,0)</f>
        <v>2764.6</v>
      </c>
      <c r="Q22" s="24">
        <v>40682</v>
      </c>
      <c r="R22" s="26">
        <v>0.32249985215715632</v>
      </c>
      <c r="T22" s="24">
        <v>40682</v>
      </c>
      <c r="U22" s="27">
        <v>0.33118276104512157</v>
      </c>
      <c r="W22" s="56">
        <v>40682</v>
      </c>
      <c r="X22" s="57">
        <v>0.24117986251785034</v>
      </c>
      <c r="Z22" s="1">
        <v>40682</v>
      </c>
      <c r="AA22">
        <v>0.26569391317337399</v>
      </c>
      <c r="AC22" s="1">
        <v>40682</v>
      </c>
      <c r="AD22">
        <v>0.43090192835496699</v>
      </c>
      <c r="AF22" s="1">
        <v>40682</v>
      </c>
      <c r="AG22">
        <v>0.48179766411393099</v>
      </c>
    </row>
    <row r="23" spans="2:33">
      <c r="B23" s="24">
        <v>40689</v>
      </c>
      <c r="C23" s="27">
        <v>0.61599363608099678</v>
      </c>
      <c r="D23" s="27">
        <v>0.66267947259057558</v>
      </c>
      <c r="E23" s="6">
        <f ca="1">VLOOKUP(CurrentMtgRatesDataTable825[[#This Row],[asOfDate]]+1,Bloomberg!B:C,2,0)</f>
        <v>2619.6999999999998</v>
      </c>
      <c r="F23" s="27">
        <f>VLOOKUP(CurrentMtgRatesDataTable825[[#This Row],[asOfDate]],CurrentMtgRatesDataTable8256[#All],2,0)</f>
        <v>0.54749050352200102</v>
      </c>
      <c r="G23" s="27">
        <f>VLOOKUP(CurrentMtgRatesDataTable825[[#This Row],[asOfDate]],CurrentMtgRatesDataTable82562[],2,0)</f>
        <v>0.32256622584809336</v>
      </c>
      <c r="H23" s="27">
        <f>VLOOKUP(CurrentMtgRatesDataTable825[[#This Row],[asOfDate]],T:U,2,0)</f>
        <v>0.33125092721379307</v>
      </c>
      <c r="I23" s="58">
        <f>VLOOKUP(CurrentMtgRatesDataTable825[[#This Row],[asOfDate]],CurrentMtgRatesDataTable825623[#All],2,0)</f>
        <v>0.24355361553325378</v>
      </c>
      <c r="J23" s="27">
        <f>VLOOKUP(CurrentMtgRatesDataTable825[[#This Row],[asOfDate]],AC:AD,2,0)</f>
        <v>0.431110671725766</v>
      </c>
      <c r="K23" s="27">
        <f>VLOOKUP(CurrentMtgRatesDataTable825[[#This Row],[asOfDate]],temp_1,2,0)</f>
        <v>0.48194723053828598</v>
      </c>
      <c r="M23" s="24">
        <v>40689</v>
      </c>
      <c r="N23" s="26">
        <v>0.54749050352200102</v>
      </c>
      <c r="O23" s="26">
        <f ca="1">VLOOKUP(CurrentMtgRatesDataTable8256[[#This Row],[asOfDate]]+1,Bloomberg!B:C,2,0)</f>
        <v>2619.6999999999998</v>
      </c>
      <c r="Q23" s="24">
        <v>40689</v>
      </c>
      <c r="R23" s="26">
        <v>0.32256622584809336</v>
      </c>
      <c r="T23" s="24">
        <v>40689</v>
      </c>
      <c r="U23" s="27">
        <v>0.33125092721379307</v>
      </c>
      <c r="W23" s="56">
        <v>40689</v>
      </c>
      <c r="X23" s="57">
        <v>0.24355361553325378</v>
      </c>
      <c r="Z23" s="1">
        <v>40689</v>
      </c>
      <c r="AA23">
        <v>0.26738268195555598</v>
      </c>
      <c r="AC23" s="1">
        <v>40689</v>
      </c>
      <c r="AD23">
        <v>0.431110671725766</v>
      </c>
      <c r="AF23" s="1">
        <v>40689</v>
      </c>
      <c r="AG23">
        <v>0.48194723053828598</v>
      </c>
    </row>
    <row r="24" spans="2:33">
      <c r="B24" s="24">
        <v>40696</v>
      </c>
      <c r="C24" s="27">
        <v>0.66311590107349083</v>
      </c>
      <c r="D24" s="27">
        <v>0.7347059091300473</v>
      </c>
      <c r="E24" s="6">
        <f ca="1">VLOOKUP(CurrentMtgRatesDataTable825[[#This Row],[asOfDate]]+1,Bloomberg!B:C,2,0)</f>
        <v>2648</v>
      </c>
      <c r="F24" s="27">
        <f>VLOOKUP(CurrentMtgRatesDataTable825[[#This Row],[asOfDate]],CurrentMtgRatesDataTable8256[#All],2,0)</f>
        <v>0.61801719649367404</v>
      </c>
      <c r="G24" s="27">
        <f>VLOOKUP(CurrentMtgRatesDataTable825[[#This Row],[asOfDate]],CurrentMtgRatesDataTable82562[],2,0)</f>
        <v>0.36014914447868307</v>
      </c>
      <c r="H24" s="27">
        <f>VLOOKUP(CurrentMtgRatesDataTable825[[#This Row],[asOfDate]],T:U,2,0)</f>
        <v>0.3691835869311077</v>
      </c>
      <c r="I24" s="58">
        <f>VLOOKUP(CurrentMtgRatesDataTable825[[#This Row],[asOfDate]],CurrentMtgRatesDataTable825623[#All],2,0)</f>
        <v>0.27670038879120418</v>
      </c>
      <c r="J24" s="27">
        <f>VLOOKUP(CurrentMtgRatesDataTable825[[#This Row],[asOfDate]],AC:AD,2,0)</f>
        <v>0.45342303565958197</v>
      </c>
      <c r="K24" s="27">
        <f>VLOOKUP(CurrentMtgRatesDataTable825[[#This Row],[asOfDate]],temp_1,2,0)</f>
        <v>0.50487266986540702</v>
      </c>
      <c r="M24" s="24">
        <v>40696</v>
      </c>
      <c r="N24" s="26">
        <v>0.61801719649367404</v>
      </c>
      <c r="O24" s="26">
        <f ca="1">VLOOKUP(CurrentMtgRatesDataTable8256[[#This Row],[asOfDate]]+1,Bloomberg!B:C,2,0)</f>
        <v>2648</v>
      </c>
      <c r="Q24" s="24">
        <v>40696</v>
      </c>
      <c r="R24" s="26">
        <v>0.36014914447868307</v>
      </c>
      <c r="T24" s="24">
        <v>40696</v>
      </c>
      <c r="U24" s="27">
        <v>0.3691835869311077</v>
      </c>
      <c r="W24" s="56">
        <v>40696</v>
      </c>
      <c r="X24" s="57">
        <v>0.27670038879120418</v>
      </c>
      <c r="Z24" s="1">
        <v>40696</v>
      </c>
      <c r="AA24">
        <v>0.30082048244992798</v>
      </c>
      <c r="AC24" s="1">
        <v>40696</v>
      </c>
      <c r="AD24">
        <v>0.45342303565958197</v>
      </c>
      <c r="AF24" s="1">
        <v>40696</v>
      </c>
      <c r="AG24">
        <v>0.50487266986540702</v>
      </c>
    </row>
    <row r="25" spans="2:33">
      <c r="B25" s="24">
        <v>40703</v>
      </c>
      <c r="C25" s="27">
        <v>0.74517189360077984</v>
      </c>
      <c r="D25" s="27">
        <v>0.76041153985573084</v>
      </c>
      <c r="E25" s="6">
        <f ca="1">VLOOKUP(CurrentMtgRatesDataTable825[[#This Row],[asOfDate]]+1,Bloomberg!B:C,2,0)</f>
        <v>3101.7</v>
      </c>
      <c r="F25" s="27">
        <f>VLOOKUP(CurrentMtgRatesDataTable825[[#This Row],[asOfDate]],CurrentMtgRatesDataTable8256[#All],2,0)</f>
        <v>0.61814735042604474</v>
      </c>
      <c r="G25" s="27">
        <f>VLOOKUP(CurrentMtgRatesDataTable825[[#This Row],[asOfDate]],CurrentMtgRatesDataTable82562[],2,0)</f>
        <v>0.38598811063501398</v>
      </c>
      <c r="H25" s="27">
        <f>VLOOKUP(CurrentMtgRatesDataTable825[[#This Row],[asOfDate]],T:U,2,0)</f>
        <v>0.39508524505835663</v>
      </c>
      <c r="I25" s="58">
        <f>VLOOKUP(CurrentMtgRatesDataTable825[[#This Row],[asOfDate]],CurrentMtgRatesDataTable825623[#All],2,0)</f>
        <v>0.29931986389681725</v>
      </c>
      <c r="J25" s="27">
        <f>VLOOKUP(CurrentMtgRatesDataTable825[[#This Row],[asOfDate]],AC:AD,2,0)</f>
        <v>0.47629557608974499</v>
      </c>
      <c r="K25" s="27">
        <f>VLOOKUP(CurrentMtgRatesDataTable825[[#This Row],[asOfDate]],temp_1,2,0)</f>
        <v>0.52689216322250598</v>
      </c>
      <c r="M25" s="24">
        <v>40703</v>
      </c>
      <c r="N25" s="26">
        <v>0.61814735042604474</v>
      </c>
      <c r="O25" s="26">
        <f ca="1">VLOOKUP(CurrentMtgRatesDataTable8256[[#This Row],[asOfDate]]+1,Bloomberg!B:C,2,0)</f>
        <v>3101.7</v>
      </c>
      <c r="Q25" s="24">
        <v>40703</v>
      </c>
      <c r="R25" s="26">
        <v>0.38598811063501398</v>
      </c>
      <c r="T25" s="24">
        <v>40703</v>
      </c>
      <c r="U25" s="27">
        <v>0.39508524505835663</v>
      </c>
      <c r="W25" s="56">
        <v>40703</v>
      </c>
      <c r="X25" s="57">
        <v>0.29931986389681725</v>
      </c>
      <c r="Z25" s="1">
        <v>40703</v>
      </c>
      <c r="AA25">
        <v>0.323009664483068</v>
      </c>
      <c r="AC25" s="1">
        <v>40703</v>
      </c>
      <c r="AD25">
        <v>0.47629557608974499</v>
      </c>
      <c r="AF25" s="1">
        <v>40703</v>
      </c>
      <c r="AG25">
        <v>0.52689216322250598</v>
      </c>
    </row>
    <row r="26" spans="2:33">
      <c r="B26" s="24">
        <v>40710</v>
      </c>
      <c r="C26" s="27">
        <v>0.72397022872334449</v>
      </c>
      <c r="D26" s="27">
        <v>0.7347059091300473</v>
      </c>
      <c r="E26" s="6">
        <f ca="1">VLOOKUP(CurrentMtgRatesDataTable825[[#This Row],[asOfDate]]+1,Bloomberg!B:C,2,0)</f>
        <v>2857.9</v>
      </c>
      <c r="F26" s="27">
        <f>VLOOKUP(CurrentMtgRatesDataTable825[[#This Row],[asOfDate]],CurrentMtgRatesDataTable8256[#All],2,0)</f>
        <v>0.61809095300776584</v>
      </c>
      <c r="G26" s="27">
        <f>VLOOKUP(CurrentMtgRatesDataTable825[[#This Row],[asOfDate]],CurrentMtgRatesDataTable82562[],2,0)</f>
        <v>0.38593747737545009</v>
      </c>
      <c r="H26" s="27">
        <f>VLOOKUP(CurrentMtgRatesDataTable825[[#This Row],[asOfDate]],T:U,2,0)</f>
        <v>0.39503378326956207</v>
      </c>
      <c r="I26" s="58">
        <f>VLOOKUP(CurrentMtgRatesDataTable825[[#This Row],[asOfDate]],CurrentMtgRatesDataTable825623[#All],2,0)</f>
        <v>0.29927890586033978</v>
      </c>
      <c r="J26" s="27">
        <f>VLOOKUP(CurrentMtgRatesDataTable825[[#This Row],[asOfDate]],AC:AD,2,0)</f>
        <v>0.47626301055025799</v>
      </c>
      <c r="K26" s="27">
        <f>VLOOKUP(CurrentMtgRatesDataTable825[[#This Row],[asOfDate]],temp_1,2,0)</f>
        <v>0.52686022379811903</v>
      </c>
      <c r="M26" s="24">
        <v>40710</v>
      </c>
      <c r="N26" s="26">
        <v>0.61809095300776584</v>
      </c>
      <c r="O26" s="26">
        <f ca="1">VLOOKUP(CurrentMtgRatesDataTable8256[[#This Row],[asOfDate]]+1,Bloomberg!B:C,2,0)</f>
        <v>2857.9</v>
      </c>
      <c r="Q26" s="24">
        <v>40710</v>
      </c>
      <c r="R26" s="26">
        <v>0.38593747737545009</v>
      </c>
      <c r="T26" s="24">
        <v>40710</v>
      </c>
      <c r="U26" s="27">
        <v>0.39503378326956207</v>
      </c>
      <c r="W26" s="56">
        <v>40710</v>
      </c>
      <c r="X26" s="57">
        <v>0.29927890586033978</v>
      </c>
      <c r="Z26" s="1">
        <v>40710</v>
      </c>
      <c r="AA26">
        <v>0.32297408610994599</v>
      </c>
      <c r="AC26" s="1">
        <v>40710</v>
      </c>
      <c r="AD26">
        <v>0.47626301055025799</v>
      </c>
      <c r="AF26" s="1">
        <v>40710</v>
      </c>
      <c r="AG26">
        <v>0.52686022379811903</v>
      </c>
    </row>
    <row r="27" spans="2:33">
      <c r="B27" s="24">
        <v>40717</v>
      </c>
      <c r="C27" s="27">
        <v>0.66311590107349083</v>
      </c>
      <c r="D27" s="27">
        <v>0.7347059091300473</v>
      </c>
      <c r="E27" s="6">
        <f ca="1">VLOOKUP(CurrentMtgRatesDataTable825[[#This Row],[asOfDate]]+1,Bloomberg!B:C,2,0)</f>
        <v>2809.5</v>
      </c>
      <c r="F27" s="27">
        <f>VLOOKUP(CurrentMtgRatesDataTable825[[#This Row],[asOfDate]],CurrentMtgRatesDataTable8256[#All],2,0)</f>
        <v>0.61801719649367404</v>
      </c>
      <c r="G27" s="27">
        <f>VLOOKUP(CurrentMtgRatesDataTable825[[#This Row],[asOfDate]],CurrentMtgRatesDataTable82562[],2,0)</f>
        <v>0.36014914447868307</v>
      </c>
      <c r="H27" s="27">
        <f>VLOOKUP(CurrentMtgRatesDataTable825[[#This Row],[asOfDate]],T:U,2,0)</f>
        <v>0.3691835869311077</v>
      </c>
      <c r="I27" s="58">
        <f>VLOOKUP(CurrentMtgRatesDataTable825[[#This Row],[asOfDate]],CurrentMtgRatesDataTable825623[#All],2,0)</f>
        <v>0.27670038879120418</v>
      </c>
      <c r="J27" s="27">
        <f>VLOOKUP(CurrentMtgRatesDataTable825[[#This Row],[asOfDate]],AC:AD,2,0)</f>
        <v>0.45342303565958197</v>
      </c>
      <c r="K27" s="27">
        <f>VLOOKUP(CurrentMtgRatesDataTable825[[#This Row],[asOfDate]],temp_1,2,0)</f>
        <v>0.50487266986540702</v>
      </c>
      <c r="M27" s="24">
        <v>40717</v>
      </c>
      <c r="N27" s="26">
        <v>0.61801719649367404</v>
      </c>
      <c r="O27" s="26">
        <f ca="1">VLOOKUP(CurrentMtgRatesDataTable8256[[#This Row],[asOfDate]]+1,Bloomberg!B:C,2,0)</f>
        <v>2809.5</v>
      </c>
      <c r="Q27" s="24">
        <v>40717</v>
      </c>
      <c r="R27" s="26">
        <v>0.36014914447868307</v>
      </c>
      <c r="T27" s="24">
        <v>40717</v>
      </c>
      <c r="U27" s="27">
        <v>0.3691835869311077</v>
      </c>
      <c r="W27" s="56">
        <v>40717</v>
      </c>
      <c r="X27" s="57">
        <v>0.27670038879120418</v>
      </c>
      <c r="Z27" s="1">
        <v>40717</v>
      </c>
      <c r="AA27">
        <v>0.30082048244992798</v>
      </c>
      <c r="AC27" s="1">
        <v>40717</v>
      </c>
      <c r="AD27">
        <v>0.45342303565958197</v>
      </c>
      <c r="AF27" s="1">
        <v>40717</v>
      </c>
      <c r="AG27">
        <v>0.50487266986540702</v>
      </c>
    </row>
    <row r="28" spans="2:33">
      <c r="B28" s="24">
        <v>40724</v>
      </c>
      <c r="C28" s="27">
        <v>0.69050447134038251</v>
      </c>
      <c r="D28" s="27">
        <v>0.7347059091300473</v>
      </c>
      <c r="E28" s="6">
        <f ca="1">VLOOKUP(CurrentMtgRatesDataTable825[[#This Row],[asOfDate]]+1,Bloomberg!B:C,2,0)</f>
        <v>2527.5</v>
      </c>
      <c r="F28" s="27">
        <f>VLOOKUP(CurrentMtgRatesDataTable825[[#This Row],[asOfDate]],CurrentMtgRatesDataTable8256[#All],2,0)</f>
        <v>0.61807450623887938</v>
      </c>
      <c r="G28" s="27">
        <f>VLOOKUP(CurrentMtgRatesDataTable825[[#This Row],[asOfDate]],CurrentMtgRatesDataTable82562[],2,0)</f>
        <v>0.38497887844636058</v>
      </c>
      <c r="H28" s="27">
        <f>VLOOKUP(CurrentMtgRatesDataTable825[[#This Row],[asOfDate]],T:U,2,0)</f>
        <v>0.39407405863936062</v>
      </c>
      <c r="I28" s="58">
        <f>VLOOKUP(CurrentMtgRatesDataTable825[[#This Row],[asOfDate]],CurrentMtgRatesDataTable825623[#All],2,0)</f>
        <v>0.29803164102095814</v>
      </c>
      <c r="J28" s="27">
        <f>VLOOKUP(CurrentMtgRatesDataTable825[[#This Row],[asOfDate]],AC:AD,2,0)</f>
        <v>0.47533111966863201</v>
      </c>
      <c r="K28" s="27">
        <f>VLOOKUP(CurrentMtgRatesDataTable825[[#This Row],[asOfDate]],temp_1,2,0)</f>
        <v>0.52593041582120903</v>
      </c>
      <c r="M28" s="24">
        <v>40724</v>
      </c>
      <c r="N28" s="26">
        <v>0.61807450623887938</v>
      </c>
      <c r="O28" s="26">
        <f ca="1">VLOOKUP(CurrentMtgRatesDataTable8256[[#This Row],[asOfDate]]+1,Bloomberg!B:C,2,0)</f>
        <v>2527.5</v>
      </c>
      <c r="Q28" s="24">
        <v>40724</v>
      </c>
      <c r="R28" s="26">
        <v>0.38497887844636058</v>
      </c>
      <c r="T28" s="24">
        <v>40724</v>
      </c>
      <c r="U28" s="27">
        <v>0.39407405863936062</v>
      </c>
      <c r="W28" s="56">
        <v>40724</v>
      </c>
      <c r="X28" s="57">
        <v>0.29803164102095814</v>
      </c>
      <c r="Z28" s="1">
        <v>40724</v>
      </c>
      <c r="AA28">
        <v>0.32154747841998998</v>
      </c>
      <c r="AC28" s="1">
        <v>40724</v>
      </c>
      <c r="AD28">
        <v>0.47533111966863201</v>
      </c>
      <c r="AF28" s="1">
        <v>40724</v>
      </c>
      <c r="AG28">
        <v>0.52593041582120903</v>
      </c>
    </row>
    <row r="29" spans="2:33">
      <c r="B29" s="24">
        <v>40731</v>
      </c>
      <c r="C29" s="27">
        <v>0.60410549631050647</v>
      </c>
      <c r="D29" s="27">
        <v>0.64909255345717498</v>
      </c>
      <c r="E29" s="6">
        <f ca="1">VLOOKUP(CurrentMtgRatesDataTable825[[#This Row],[asOfDate]]+1,Bloomberg!B:C,2,0)</f>
        <v>2362.6999999999998</v>
      </c>
      <c r="F29" s="27">
        <f>VLOOKUP(CurrentMtgRatesDataTable825[[#This Row],[asOfDate]],CurrentMtgRatesDataTable8256[#All],2,0)</f>
        <v>0.5369732812748057</v>
      </c>
      <c r="G29" s="27">
        <f>VLOOKUP(CurrentMtgRatesDataTable825[[#This Row],[asOfDate]],CurrentMtgRatesDataTable82562[],2,0)</f>
        <v>0.32091685059597075</v>
      </c>
      <c r="H29" s="27">
        <f>VLOOKUP(CurrentMtgRatesDataTable825[[#This Row],[asOfDate]],T:U,2,0)</f>
        <v>0.32953309642129813</v>
      </c>
      <c r="I29" s="58">
        <f>VLOOKUP(CurrentMtgRatesDataTable825[[#This Row],[asOfDate]],CurrentMtgRatesDataTable825623[#All],2,0)</f>
        <v>0.24635975140985969</v>
      </c>
      <c r="J29" s="27">
        <f>VLOOKUP(CurrentMtgRatesDataTable825[[#This Row],[asOfDate]],AC:AD,2,0)</f>
        <v>0.42115773967800002</v>
      </c>
      <c r="K29" s="27">
        <f>VLOOKUP(CurrentMtgRatesDataTable825[[#This Row],[asOfDate]],temp_1,2,0)</f>
        <v>0.47454621524908303</v>
      </c>
      <c r="M29" s="24">
        <v>40731</v>
      </c>
      <c r="N29" s="26">
        <v>0.5369732812748057</v>
      </c>
      <c r="O29" s="26">
        <f ca="1">VLOOKUP(CurrentMtgRatesDataTable8256[[#This Row],[asOfDate]]+1,Bloomberg!B:C,2,0)</f>
        <v>2362.6999999999998</v>
      </c>
      <c r="Q29" s="24">
        <v>40731</v>
      </c>
      <c r="R29" s="26">
        <v>0.32091685059597075</v>
      </c>
      <c r="T29" s="24">
        <v>40731</v>
      </c>
      <c r="U29" s="27">
        <v>0.32953309642129813</v>
      </c>
      <c r="W29" s="56">
        <v>40731</v>
      </c>
      <c r="X29" s="57">
        <v>0.24635975140985969</v>
      </c>
      <c r="Z29" s="1">
        <v>40731</v>
      </c>
      <c r="AA29">
        <v>0.26933730408457301</v>
      </c>
      <c r="AC29" s="1">
        <v>40731</v>
      </c>
      <c r="AD29">
        <v>0.42115773967800002</v>
      </c>
      <c r="AF29" s="1">
        <v>40731</v>
      </c>
      <c r="AG29">
        <v>0.47454621524908303</v>
      </c>
    </row>
    <row r="30" spans="2:33">
      <c r="B30" s="24">
        <v>40738</v>
      </c>
      <c r="C30" s="27">
        <v>0.684475421712615</v>
      </c>
      <c r="D30" s="27">
        <v>0.7284188578245433</v>
      </c>
      <c r="E30" s="6">
        <f ca="1">VLOOKUP(CurrentMtgRatesDataTable825[[#This Row],[asOfDate]]+1,Bloomberg!B:C,2,0)</f>
        <v>2923.8</v>
      </c>
      <c r="F30" s="27">
        <f>VLOOKUP(CurrentMtgRatesDataTable825[[#This Row],[asOfDate]],CurrentMtgRatesDataTable8256[#All],2,0)</f>
        <v>0.61264472977114681</v>
      </c>
      <c r="G30" s="27">
        <f>VLOOKUP(CurrentMtgRatesDataTable825[[#This Row],[asOfDate]],CurrentMtgRatesDataTable82562[],2,0)</f>
        <v>0.383025601933284</v>
      </c>
      <c r="H30" s="27">
        <f>VLOOKUP(CurrentMtgRatesDataTable825[[#This Row],[asOfDate]],T:U,2,0)</f>
        <v>0.39198068984469925</v>
      </c>
      <c r="I30" s="58">
        <f>VLOOKUP(CurrentMtgRatesDataTable825[[#This Row],[asOfDate]],CurrentMtgRatesDataTable825623[#All],2,0)</f>
        <v>0.29801285071746725</v>
      </c>
      <c r="J30" s="27">
        <f>VLOOKUP(CurrentMtgRatesDataTable825[[#This Row],[asOfDate]],AC:AD,2,0)</f>
        <v>0.47005900282082203</v>
      </c>
      <c r="K30" s="27">
        <f>VLOOKUP(CurrentMtgRatesDataTable825[[#This Row],[asOfDate]],temp_1,2,0)</f>
        <v>0.52190457919731803</v>
      </c>
      <c r="M30" s="24">
        <v>40738</v>
      </c>
      <c r="N30" s="26">
        <v>0.61264472977114681</v>
      </c>
      <c r="O30" s="26">
        <f ca="1">VLOOKUP(CurrentMtgRatesDataTable8256[[#This Row],[asOfDate]]+1,Bloomberg!B:C,2,0)</f>
        <v>2923.8</v>
      </c>
      <c r="Q30" s="24">
        <v>40738</v>
      </c>
      <c r="R30" s="26">
        <v>0.383025601933284</v>
      </c>
      <c r="T30" s="24">
        <v>40738</v>
      </c>
      <c r="U30" s="27">
        <v>0.39198068984469925</v>
      </c>
      <c r="W30" s="56">
        <v>40738</v>
      </c>
      <c r="X30" s="57">
        <v>0.29801285071746725</v>
      </c>
      <c r="Z30" s="1">
        <v>40738</v>
      </c>
      <c r="AA30">
        <v>0.32104478244934098</v>
      </c>
      <c r="AC30" s="1">
        <v>40738</v>
      </c>
      <c r="AD30">
        <v>0.47005900282082203</v>
      </c>
      <c r="AF30" s="1">
        <v>40738</v>
      </c>
      <c r="AG30">
        <v>0.52190457919731803</v>
      </c>
    </row>
    <row r="31" spans="2:33">
      <c r="B31" s="24">
        <v>40745</v>
      </c>
      <c r="C31" s="27">
        <v>0.66675683999516944</v>
      </c>
      <c r="D31" s="27">
        <v>0.7284188578245433</v>
      </c>
      <c r="E31" s="6">
        <f ca="1">VLOOKUP(CurrentMtgRatesDataTable825[[#This Row],[asOfDate]]+1,Bloomberg!B:C,2,0)</f>
        <v>2769.6</v>
      </c>
      <c r="F31" s="27">
        <f>VLOOKUP(CurrentMtgRatesDataTable825[[#This Row],[asOfDate]],CurrentMtgRatesDataTable8256[#All],2,0)</f>
        <v>0.61259676686406817</v>
      </c>
      <c r="G31" s="27">
        <f>VLOOKUP(CurrentMtgRatesDataTable825[[#This Row],[asOfDate]],CurrentMtgRatesDataTable82562[],2,0)</f>
        <v>0.35799853895589562</v>
      </c>
      <c r="H31" s="27">
        <f>VLOOKUP(CurrentMtgRatesDataTable825[[#This Row],[asOfDate]],T:U,2,0)</f>
        <v>0.36688328154710265</v>
      </c>
      <c r="I31" s="58">
        <f>VLOOKUP(CurrentMtgRatesDataTable825[[#This Row],[asOfDate]],CurrentMtgRatesDataTable825623[#All],2,0)</f>
        <v>0.27647176144055741</v>
      </c>
      <c r="J31" s="27">
        <f>VLOOKUP(CurrentMtgRatesDataTable825[[#This Row],[asOfDate]],AC:AD,2,0)</f>
        <v>0.44797749734765901</v>
      </c>
      <c r="K31" s="27">
        <f>VLOOKUP(CurrentMtgRatesDataTable825[[#This Row],[asOfDate]],temp_1,2,0)</f>
        <v>0.50065707260663195</v>
      </c>
      <c r="M31" s="24">
        <v>40745</v>
      </c>
      <c r="N31" s="26">
        <v>0.61259676686406817</v>
      </c>
      <c r="O31" s="26">
        <f ca="1">VLOOKUP(CurrentMtgRatesDataTable8256[[#This Row],[asOfDate]]+1,Bloomberg!B:C,2,0)</f>
        <v>2769.6</v>
      </c>
      <c r="Q31" s="24">
        <v>40745</v>
      </c>
      <c r="R31" s="26">
        <v>0.35799853895589562</v>
      </c>
      <c r="T31" s="24">
        <v>40745</v>
      </c>
      <c r="U31" s="27">
        <v>0.36688328154710265</v>
      </c>
      <c r="W31" s="56">
        <v>40745</v>
      </c>
      <c r="X31" s="57">
        <v>0.27647176144055741</v>
      </c>
      <c r="Z31" s="1">
        <v>40745</v>
      </c>
      <c r="AA31">
        <v>0.30008440864216102</v>
      </c>
      <c r="AC31" s="1">
        <v>40745</v>
      </c>
      <c r="AD31">
        <v>0.44797749734765901</v>
      </c>
      <c r="AF31" s="1">
        <v>40745</v>
      </c>
      <c r="AG31">
        <v>0.50065707260663195</v>
      </c>
    </row>
    <row r="32" spans="2:33">
      <c r="B32" s="24">
        <v>40752</v>
      </c>
      <c r="C32" s="27">
        <v>0.61660059317974736</v>
      </c>
      <c r="D32" s="27">
        <v>0.69852231146178889</v>
      </c>
      <c r="E32" s="6">
        <f ca="1">VLOOKUP(CurrentMtgRatesDataTable825[[#This Row],[asOfDate]]+1,Bloomberg!B:C,2,0)</f>
        <v>2974.1</v>
      </c>
      <c r="F32" s="27">
        <f>VLOOKUP(CurrentMtgRatesDataTable825[[#This Row],[asOfDate]],CurrentMtgRatesDataTable8256[#All],2,0)</f>
        <v>0.60542736860140534</v>
      </c>
      <c r="G32" s="27">
        <f>VLOOKUP(CurrentMtgRatesDataTable825[[#This Row],[asOfDate]],CurrentMtgRatesDataTable82562[],2,0)</f>
        <v>0.35662695643050035</v>
      </c>
      <c r="H32" s="27">
        <f>VLOOKUP(CurrentMtgRatesDataTable825[[#This Row],[asOfDate]],T:U,2,0)</f>
        <v>0.36550585923079215</v>
      </c>
      <c r="I32" s="58">
        <f>VLOOKUP(CurrentMtgRatesDataTable825[[#This Row],[asOfDate]],CurrentMtgRatesDataTable825623[#All],2,0)</f>
        <v>0.26886674922653592</v>
      </c>
      <c r="J32" s="27">
        <f>VLOOKUP(CurrentMtgRatesDataTable825[[#This Row],[asOfDate]],AC:AD,2,0)</f>
        <v>0.44409861209358098</v>
      </c>
      <c r="K32" s="27">
        <f>VLOOKUP(CurrentMtgRatesDataTable825[[#This Row],[asOfDate]],temp_1,2,0)</f>
        <v>0.49688453784682102</v>
      </c>
      <c r="M32" s="24">
        <v>40752</v>
      </c>
      <c r="N32" s="26">
        <v>0.60542736860140534</v>
      </c>
      <c r="O32" s="26">
        <f ca="1">VLOOKUP(CurrentMtgRatesDataTable8256[[#This Row],[asOfDate]]+1,Bloomberg!B:C,2,0)</f>
        <v>2974.1</v>
      </c>
      <c r="Q32" s="24">
        <v>40752</v>
      </c>
      <c r="R32" s="26">
        <v>0.35662695643050035</v>
      </c>
      <c r="T32" s="24">
        <v>40752</v>
      </c>
      <c r="U32" s="27">
        <v>0.36550585923079215</v>
      </c>
      <c r="W32" s="56">
        <v>40752</v>
      </c>
      <c r="X32" s="57">
        <v>0.26886674922653592</v>
      </c>
      <c r="Z32" s="1">
        <v>40752</v>
      </c>
      <c r="AA32">
        <v>0.291512643636192</v>
      </c>
      <c r="AC32" s="1">
        <v>40752</v>
      </c>
      <c r="AD32">
        <v>0.44409861209358098</v>
      </c>
      <c r="AF32" s="1">
        <v>40752</v>
      </c>
      <c r="AG32">
        <v>0.49688453784682102</v>
      </c>
    </row>
    <row r="33" spans="2:33">
      <c r="B33" s="24">
        <v>40759</v>
      </c>
      <c r="C33" s="27">
        <v>0.81803711941746404</v>
      </c>
      <c r="D33" s="27">
        <v>0.83492534711256061</v>
      </c>
      <c r="E33" s="6">
        <f ca="1">VLOOKUP(CurrentMtgRatesDataTable825[[#This Row],[asOfDate]]+1,Bloomberg!B:C,2,0)</f>
        <v>3880.9</v>
      </c>
      <c r="F33" s="27">
        <f>VLOOKUP(CurrentMtgRatesDataTable825[[#This Row],[asOfDate]],CurrentMtgRatesDataTable8256[#All],2,0)</f>
        <v>0.74150202177436741</v>
      </c>
      <c r="G33" s="27">
        <f>VLOOKUP(CurrentMtgRatesDataTable825[[#This Row],[asOfDate]],CurrentMtgRatesDataTable82562[],2,0)</f>
        <v>0.44152388004450221</v>
      </c>
      <c r="H33" s="27">
        <f>VLOOKUP(CurrentMtgRatesDataTable825[[#This Row],[asOfDate]],T:U,2,0)</f>
        <v>0.45050394711351643</v>
      </c>
      <c r="I33" s="58">
        <f>VLOOKUP(CurrentMtgRatesDataTable825[[#This Row],[asOfDate]],CurrentMtgRatesDataTable825623[#All],2,0)</f>
        <v>0.35055994389214357</v>
      </c>
      <c r="J33" s="27">
        <f>VLOOKUP(CurrentMtgRatesDataTable825[[#This Row],[asOfDate]],AC:AD,2,0)</f>
        <v>0.515379400381896</v>
      </c>
      <c r="K33" s="27">
        <f>VLOOKUP(CurrentMtgRatesDataTable825[[#This Row],[asOfDate]],temp_1,2,0)</f>
        <v>0.56742832753757799</v>
      </c>
      <c r="M33" s="24">
        <v>40759</v>
      </c>
      <c r="N33" s="26">
        <v>0.74150202177436741</v>
      </c>
      <c r="O33" s="26">
        <f ca="1">VLOOKUP(CurrentMtgRatesDataTable8256[[#This Row],[asOfDate]]+1,Bloomberg!B:C,2,0)</f>
        <v>3880.9</v>
      </c>
      <c r="Q33" s="24">
        <v>40759</v>
      </c>
      <c r="R33" s="26">
        <v>0.44152388004450221</v>
      </c>
      <c r="T33" s="24">
        <v>40759</v>
      </c>
      <c r="U33" s="27">
        <v>0.45050394711351643</v>
      </c>
      <c r="W33" s="56">
        <v>40759</v>
      </c>
      <c r="X33" s="57">
        <v>0.35055994389214357</v>
      </c>
      <c r="Z33" s="1">
        <v>40759</v>
      </c>
      <c r="AA33">
        <v>0.37317012727027599</v>
      </c>
      <c r="AC33" s="1">
        <v>40759</v>
      </c>
      <c r="AD33">
        <v>0.515379400381896</v>
      </c>
      <c r="AF33" s="1">
        <v>40759</v>
      </c>
      <c r="AG33">
        <v>0.56742832753757799</v>
      </c>
    </row>
    <row r="34" spans="2:33">
      <c r="B34" s="24">
        <v>40766</v>
      </c>
      <c r="C34" s="27">
        <v>0.83404184296119399</v>
      </c>
      <c r="D34" s="27">
        <v>0.88875019752941409</v>
      </c>
      <c r="E34" s="6">
        <f ca="1">VLOOKUP(CurrentMtgRatesDataTable825[[#This Row],[asOfDate]]+1,Bloomberg!B:C,2,0)</f>
        <v>4184.3999999999996</v>
      </c>
      <c r="F34" s="27">
        <f>VLOOKUP(CurrentMtgRatesDataTable825[[#This Row],[asOfDate]],CurrentMtgRatesDataTable8256[#All],2,0)</f>
        <v>0.84590073793359044</v>
      </c>
      <c r="G34" s="27">
        <f>VLOOKUP(CurrentMtgRatesDataTable825[[#This Row],[asOfDate]],CurrentMtgRatesDataTable82562[],2,0)</f>
        <v>0.56283322937311075</v>
      </c>
      <c r="H34" s="27">
        <f>VLOOKUP(CurrentMtgRatesDataTable825[[#This Row],[asOfDate]],T:U,2,0)</f>
        <v>0.57202234451964995</v>
      </c>
      <c r="I34" s="58">
        <f>VLOOKUP(CurrentMtgRatesDataTable825[[#This Row],[asOfDate]],CurrentMtgRatesDataTable825623[#All],2,0)</f>
        <v>0.44640823318837386</v>
      </c>
      <c r="J34" s="27">
        <f>VLOOKUP(CurrentMtgRatesDataTable825[[#This Row],[asOfDate]],AC:AD,2,0)</f>
        <v>0.61745026323361196</v>
      </c>
      <c r="K34" s="27">
        <f>VLOOKUP(CurrentMtgRatesDataTable825[[#This Row],[asOfDate]],temp_1,2,0)</f>
        <v>0.66600802275198501</v>
      </c>
      <c r="M34" s="24">
        <v>40766</v>
      </c>
      <c r="N34" s="26">
        <v>0.84590073793359044</v>
      </c>
      <c r="O34" s="26">
        <f ca="1">VLOOKUP(CurrentMtgRatesDataTable8256[[#This Row],[asOfDate]]+1,Bloomberg!B:C,2,0)</f>
        <v>4184.3999999999996</v>
      </c>
      <c r="Q34" s="24">
        <v>40766</v>
      </c>
      <c r="R34" s="26">
        <v>0.56283322937311075</v>
      </c>
      <c r="T34" s="24">
        <v>40766</v>
      </c>
      <c r="U34" s="27">
        <v>0.57202234451964995</v>
      </c>
      <c r="W34" s="56">
        <v>40766</v>
      </c>
      <c r="X34" s="57">
        <v>0.44640823318837386</v>
      </c>
      <c r="Z34" s="1">
        <v>40766</v>
      </c>
      <c r="AA34">
        <v>0.467959525189241</v>
      </c>
      <c r="AC34" s="1">
        <v>40766</v>
      </c>
      <c r="AD34">
        <v>0.61745026323361196</v>
      </c>
      <c r="AF34" s="1">
        <v>40766</v>
      </c>
      <c r="AG34">
        <v>0.66600802275198501</v>
      </c>
    </row>
    <row r="35" spans="2:33">
      <c r="B35" s="24">
        <v>40773</v>
      </c>
      <c r="C35" s="27">
        <v>0.86117434904403212</v>
      </c>
      <c r="D35" s="27">
        <v>0.91199672693643297</v>
      </c>
      <c r="E35" s="6">
        <f ca="1">VLOOKUP(CurrentMtgRatesDataTable825[[#This Row],[asOfDate]]+1,Bloomberg!B:C,2,0)</f>
        <v>4110.8</v>
      </c>
      <c r="F35" s="27">
        <f>VLOOKUP(CurrentMtgRatesDataTable825[[#This Row],[asOfDate]],CurrentMtgRatesDataTable8256[#All],2,0)</f>
        <v>0.88586751140233078</v>
      </c>
      <c r="G35" s="27">
        <f>VLOOKUP(CurrentMtgRatesDataTable825[[#This Row],[asOfDate]],CurrentMtgRatesDataTable82562[],2,0)</f>
        <v>0.65725120433713646</v>
      </c>
      <c r="H35" s="27">
        <f>VLOOKUP(CurrentMtgRatesDataTable825[[#This Row],[asOfDate]],T:U,2,0)</f>
        <v>0.66665601955240716</v>
      </c>
      <c r="I35" s="58">
        <f>VLOOKUP(CurrentMtgRatesDataTable825[[#This Row],[asOfDate]],CurrentMtgRatesDataTable825623[#All],2,0)</f>
        <v>0.53965388848865747</v>
      </c>
      <c r="J35" s="27">
        <f>VLOOKUP(CurrentMtgRatesDataTable825[[#This Row],[asOfDate]],AC:AD,2,0)</f>
        <v>0.71103111098302996</v>
      </c>
      <c r="K35" s="27">
        <f>VLOOKUP(CurrentMtgRatesDataTable825[[#This Row],[asOfDate]],temp_1,2,0)</f>
        <v>0.75450188553023501</v>
      </c>
      <c r="M35" s="24">
        <v>40773</v>
      </c>
      <c r="N35" s="26">
        <v>0.88586751140233078</v>
      </c>
      <c r="O35" s="26">
        <f ca="1">VLOOKUP(CurrentMtgRatesDataTable8256[[#This Row],[asOfDate]]+1,Bloomberg!B:C,2,0)</f>
        <v>4110.8</v>
      </c>
      <c r="Q35" s="24">
        <v>40773</v>
      </c>
      <c r="R35" s="26">
        <v>0.65725120433713646</v>
      </c>
      <c r="T35" s="24">
        <v>40773</v>
      </c>
      <c r="U35" s="27">
        <v>0.66665601955240716</v>
      </c>
      <c r="W35" s="56">
        <v>40773</v>
      </c>
      <c r="X35" s="57">
        <v>0.53965388848865747</v>
      </c>
      <c r="Z35" s="1">
        <v>40773</v>
      </c>
      <c r="AA35">
        <v>0.56158832424932603</v>
      </c>
      <c r="AC35" s="1">
        <v>40773</v>
      </c>
      <c r="AD35">
        <v>0.71103111098302996</v>
      </c>
      <c r="AF35" s="1">
        <v>40773</v>
      </c>
      <c r="AG35">
        <v>0.75450188553023501</v>
      </c>
    </row>
    <row r="36" spans="2:33">
      <c r="B36" s="24">
        <v>40780</v>
      </c>
      <c r="C36" s="27">
        <v>0.84714025108084823</v>
      </c>
      <c r="D36" s="27">
        <v>0.91191601669342437</v>
      </c>
      <c r="E36" s="6">
        <f ca="1">VLOOKUP(CurrentMtgRatesDataTable825[[#This Row],[asOfDate]]+1,Bloomberg!B:C,2,0)</f>
        <v>3601.3</v>
      </c>
      <c r="F36" s="27">
        <f>VLOOKUP(CurrentMtgRatesDataTable825[[#This Row],[asOfDate]],CurrentMtgRatesDataTable8256[#All],2,0)</f>
        <v>0.8463192849236576</v>
      </c>
      <c r="G36" s="27">
        <f>VLOOKUP(CurrentMtgRatesDataTable825[[#This Row],[asOfDate]],CurrentMtgRatesDataTable82562[],2,0)</f>
        <v>0.60423363209899439</v>
      </c>
      <c r="H36" s="27">
        <f>VLOOKUP(CurrentMtgRatesDataTable825[[#This Row],[asOfDate]],T:U,2,0)</f>
        <v>0.61340669597098385</v>
      </c>
      <c r="I36" s="58">
        <f>VLOOKUP(CurrentMtgRatesDataTable825[[#This Row],[asOfDate]],CurrentMtgRatesDataTable825623[#All],2,0)</f>
        <v>0.49732012063845815</v>
      </c>
      <c r="J36" s="27">
        <f>VLOOKUP(CurrentMtgRatesDataTable825[[#This Row],[asOfDate]],AC:AD,2,0)</f>
        <v>0.66735967344709601</v>
      </c>
      <c r="K36" s="27">
        <f>VLOOKUP(CurrentMtgRatesDataTable825[[#This Row],[asOfDate]],temp_1,2,0)</f>
        <v>0.71265891972781104</v>
      </c>
      <c r="M36" s="24">
        <v>40780</v>
      </c>
      <c r="N36" s="26">
        <v>0.8463192849236576</v>
      </c>
      <c r="O36" s="26">
        <f ca="1">VLOOKUP(CurrentMtgRatesDataTable8256[[#This Row],[asOfDate]]+1,Bloomberg!B:C,2,0)</f>
        <v>3601.3</v>
      </c>
      <c r="Q36" s="24">
        <v>40780</v>
      </c>
      <c r="R36" s="26">
        <v>0.60423363209899439</v>
      </c>
      <c r="T36" s="24">
        <v>40780</v>
      </c>
      <c r="U36" s="27">
        <v>0.61340669597098385</v>
      </c>
      <c r="W36" s="56">
        <v>40780</v>
      </c>
      <c r="X36" s="57">
        <v>0.49732012063845815</v>
      </c>
      <c r="Z36" s="1">
        <v>40780</v>
      </c>
      <c r="AA36">
        <v>0.51977779568103499</v>
      </c>
      <c r="AC36" s="1">
        <v>40780</v>
      </c>
      <c r="AD36">
        <v>0.66735967344709601</v>
      </c>
      <c r="AF36" s="1">
        <v>40780</v>
      </c>
      <c r="AG36">
        <v>0.71265891972781104</v>
      </c>
    </row>
    <row r="37" spans="2:33">
      <c r="B37" s="24">
        <v>40787</v>
      </c>
      <c r="C37" s="27">
        <v>0.84129278814437181</v>
      </c>
      <c r="D37" s="27">
        <v>0.90450950912657213</v>
      </c>
      <c r="E37" s="6">
        <f ca="1">VLOOKUP(CurrentMtgRatesDataTable825[[#This Row],[asOfDate]]+1,Bloomberg!B:C,2,0)</f>
        <v>3372</v>
      </c>
      <c r="F37" s="27">
        <f>VLOOKUP(CurrentMtgRatesDataTable825[[#This Row],[asOfDate]],CurrentMtgRatesDataTable8256[#All],2,0)</f>
        <v>0.84045690434216458</v>
      </c>
      <c r="G37" s="27">
        <f>VLOOKUP(CurrentMtgRatesDataTable825[[#This Row],[asOfDate]],CurrentMtgRatesDataTable82562[],2,0)</f>
        <v>0.60140715225984098</v>
      </c>
      <c r="H37" s="27">
        <f>VLOOKUP(CurrentMtgRatesDataTable825[[#This Row],[asOfDate]],T:U,2,0)</f>
        <v>0.61043584134215234</v>
      </c>
      <c r="I37" s="58">
        <f>VLOOKUP(CurrentMtgRatesDataTable825[[#This Row],[asOfDate]],CurrentMtgRatesDataTable825623[#All],2,0)</f>
        <v>0.49621049424249691</v>
      </c>
      <c r="J37" s="27">
        <f>VLOOKUP(CurrentMtgRatesDataTable825[[#This Row],[asOfDate]],AC:AD,2,0)</f>
        <v>0.66070318293374397</v>
      </c>
      <c r="K37" s="27">
        <f>VLOOKUP(CurrentMtgRatesDataTable825[[#This Row],[asOfDate]],temp_1,2,0)</f>
        <v>0.70758341766817601</v>
      </c>
      <c r="M37" s="24">
        <v>40787</v>
      </c>
      <c r="N37" s="26">
        <v>0.84045690434216458</v>
      </c>
      <c r="O37" s="26">
        <f ca="1">VLOOKUP(CurrentMtgRatesDataTable8256[[#This Row],[asOfDate]]+1,Bloomberg!B:C,2,0)</f>
        <v>3372</v>
      </c>
      <c r="Q37" s="24">
        <v>40787</v>
      </c>
      <c r="R37" s="26">
        <v>0.60140715225984098</v>
      </c>
      <c r="T37" s="24">
        <v>40787</v>
      </c>
      <c r="U37" s="27">
        <v>0.61043584134215234</v>
      </c>
      <c r="W37" s="56">
        <v>40787</v>
      </c>
      <c r="X37" s="57">
        <v>0.49621049424249691</v>
      </c>
      <c r="Z37" s="1">
        <v>40787</v>
      </c>
      <c r="AA37">
        <v>0.51816342975775198</v>
      </c>
      <c r="AC37" s="1">
        <v>40787</v>
      </c>
      <c r="AD37">
        <v>0.66070318293374397</v>
      </c>
      <c r="AF37" s="1">
        <v>40787</v>
      </c>
      <c r="AG37">
        <v>0.70758341766817601</v>
      </c>
    </row>
    <row r="38" spans="2:33">
      <c r="B38" s="24">
        <v>40794</v>
      </c>
      <c r="C38" s="27">
        <v>0.87859103936280614</v>
      </c>
      <c r="D38" s="27">
        <v>0.93360184365154009</v>
      </c>
      <c r="E38" s="6">
        <f ca="1">VLOOKUP(CurrentMtgRatesDataTable825[[#This Row],[asOfDate]]+1,Bloomberg!B:C,2,0)</f>
        <v>3571.7</v>
      </c>
      <c r="F38" s="27">
        <f>VLOOKUP(CurrentMtgRatesDataTable825[[#This Row],[asOfDate]],CurrentMtgRatesDataTable8256[#All],2,0)</f>
        <v>0.88186934327029209</v>
      </c>
      <c r="G38" s="27">
        <f>VLOOKUP(CurrentMtgRatesDataTable825[[#This Row],[asOfDate]],CurrentMtgRatesDataTable82562[],2,0)</f>
        <v>0.67983551896838756</v>
      </c>
      <c r="H38" s="27">
        <f>VLOOKUP(CurrentMtgRatesDataTable825[[#This Row],[asOfDate]],T:U,2,0)</f>
        <v>0.68911896233120773</v>
      </c>
      <c r="I38" s="58">
        <f>VLOOKUP(CurrentMtgRatesDataTable825[[#This Row],[asOfDate]],CurrentMtgRatesDataTable825623[#All],2,0)</f>
        <v>0.56188763696413691</v>
      </c>
      <c r="J38" s="27">
        <f>VLOOKUP(CurrentMtgRatesDataTable825[[#This Row],[asOfDate]],AC:AD,2,0)</f>
        <v>0.72862294428542695</v>
      </c>
      <c r="K38" s="27">
        <f>VLOOKUP(CurrentMtgRatesDataTable825[[#This Row],[asOfDate]],temp_1,2,0)</f>
        <v>0.77195870739625605</v>
      </c>
      <c r="M38" s="24">
        <v>40794</v>
      </c>
      <c r="N38" s="26">
        <v>0.88186934327029209</v>
      </c>
      <c r="O38" s="26">
        <f ca="1">VLOOKUP(CurrentMtgRatesDataTable8256[[#This Row],[asOfDate]]+1,Bloomberg!B:C,2,0)</f>
        <v>3571.7</v>
      </c>
      <c r="Q38" s="24">
        <v>40794</v>
      </c>
      <c r="R38" s="26">
        <v>0.67983551896838756</v>
      </c>
      <c r="T38" s="24">
        <v>40794</v>
      </c>
      <c r="U38" s="27">
        <v>0.68911896233120773</v>
      </c>
      <c r="W38" s="56">
        <v>40794</v>
      </c>
      <c r="X38" s="57">
        <v>0.56188763696413691</v>
      </c>
      <c r="Z38" s="1">
        <v>40794</v>
      </c>
      <c r="AA38">
        <v>0.58267989940902998</v>
      </c>
      <c r="AC38" s="1">
        <v>40794</v>
      </c>
      <c r="AD38">
        <v>0.72862294428542695</v>
      </c>
      <c r="AF38" s="1">
        <v>40794</v>
      </c>
      <c r="AG38">
        <v>0.77195870739625605</v>
      </c>
    </row>
    <row r="39" spans="2:33">
      <c r="B39" s="24">
        <v>40801</v>
      </c>
      <c r="C39" s="27">
        <v>0.90242289630359074</v>
      </c>
      <c r="D39" s="27">
        <v>0.93360184365154009</v>
      </c>
      <c r="E39" s="6">
        <f ca="1">VLOOKUP(CurrentMtgRatesDataTable825[[#This Row],[asOfDate]]+1,Bloomberg!B:C,2,0)</f>
        <v>4033.8</v>
      </c>
      <c r="F39" s="27">
        <f>VLOOKUP(CurrentMtgRatesDataTable825[[#This Row],[asOfDate]],CurrentMtgRatesDataTable8256[#All],2,0)</f>
        <v>0.88191978475653932</v>
      </c>
      <c r="G39" s="27">
        <f>VLOOKUP(CurrentMtgRatesDataTable825[[#This Row],[asOfDate]],CurrentMtgRatesDataTable82562[],2,0)</f>
        <v>0.67993486944126125</v>
      </c>
      <c r="H39" s="27">
        <f>VLOOKUP(CurrentMtgRatesDataTable825[[#This Row],[asOfDate]],T:U,2,0)</f>
        <v>0.68921930805544263</v>
      </c>
      <c r="I39" s="58">
        <f>VLOOKUP(CurrentMtgRatesDataTable825[[#This Row],[asOfDate]],CurrentMtgRatesDataTable825623[#All],2,0)</f>
        <v>0.56666393386789538</v>
      </c>
      <c r="J39" s="27">
        <f>VLOOKUP(CurrentMtgRatesDataTable825[[#This Row],[asOfDate]],AC:AD,2,0)</f>
        <v>0.73180955418473204</v>
      </c>
      <c r="K39" s="27">
        <f>VLOOKUP(CurrentMtgRatesDataTable825[[#This Row],[asOfDate]],temp_1,2,0)</f>
        <v>0.77393677940889705</v>
      </c>
      <c r="M39" s="24">
        <v>40801</v>
      </c>
      <c r="N39" s="26">
        <v>0.88191978475653932</v>
      </c>
      <c r="O39" s="26">
        <f ca="1">VLOOKUP(CurrentMtgRatesDataTable8256[[#This Row],[asOfDate]]+1,Bloomberg!B:C,2,0)</f>
        <v>4033.8</v>
      </c>
      <c r="Q39" s="24">
        <v>40801</v>
      </c>
      <c r="R39" s="26">
        <v>0.67993486944126125</v>
      </c>
      <c r="T39" s="24">
        <v>40801</v>
      </c>
      <c r="U39" s="27">
        <v>0.68921930805544263</v>
      </c>
      <c r="W39" s="56">
        <v>40801</v>
      </c>
      <c r="X39" s="57">
        <v>0.56666393386789538</v>
      </c>
      <c r="Z39" s="1">
        <v>40801</v>
      </c>
      <c r="AA39">
        <v>0.58712702699993002</v>
      </c>
      <c r="AC39" s="1">
        <v>40801</v>
      </c>
      <c r="AD39">
        <v>0.73180955418473204</v>
      </c>
      <c r="AF39" s="1">
        <v>40801</v>
      </c>
      <c r="AG39">
        <v>0.77393677940889705</v>
      </c>
    </row>
    <row r="40" spans="2:33">
      <c r="B40" s="24">
        <v>40808</v>
      </c>
      <c r="C40" s="27">
        <v>0.90242289630359074</v>
      </c>
      <c r="D40" s="27">
        <v>0.93360184365154009</v>
      </c>
      <c r="E40" s="6">
        <f ca="1">VLOOKUP(CurrentMtgRatesDataTable825[[#This Row],[asOfDate]]+1,Bloomberg!B:C,2,0)</f>
        <v>4512.1000000000004</v>
      </c>
      <c r="F40" s="27">
        <f>VLOOKUP(CurrentMtgRatesDataTable825[[#This Row],[asOfDate]],CurrentMtgRatesDataTable8256[#All],2,0)</f>
        <v>0.88191978475653932</v>
      </c>
      <c r="G40" s="27">
        <f>VLOOKUP(CurrentMtgRatesDataTable825[[#This Row],[asOfDate]],CurrentMtgRatesDataTable82562[],2,0)</f>
        <v>0.67993486944126125</v>
      </c>
      <c r="H40" s="27">
        <f>VLOOKUP(CurrentMtgRatesDataTable825[[#This Row],[asOfDate]],T:U,2,0)</f>
        <v>0.68921930805544263</v>
      </c>
      <c r="I40" s="58">
        <f>VLOOKUP(CurrentMtgRatesDataTable825[[#This Row],[asOfDate]],CurrentMtgRatesDataTable825623[#All],2,0)</f>
        <v>0.56666393386789538</v>
      </c>
      <c r="J40" s="27">
        <f>VLOOKUP(CurrentMtgRatesDataTable825[[#This Row],[asOfDate]],AC:AD,2,0)</f>
        <v>0.73180955418473204</v>
      </c>
      <c r="K40" s="27">
        <f>VLOOKUP(CurrentMtgRatesDataTable825[[#This Row],[asOfDate]],temp_1,2,0)</f>
        <v>0.77393677940889705</v>
      </c>
      <c r="M40" s="24">
        <v>40808</v>
      </c>
      <c r="N40" s="26">
        <v>0.88191978475653932</v>
      </c>
      <c r="O40" s="26">
        <f ca="1">VLOOKUP(CurrentMtgRatesDataTable8256[[#This Row],[asOfDate]]+1,Bloomberg!B:C,2,0)</f>
        <v>4512.1000000000004</v>
      </c>
      <c r="Q40" s="24">
        <v>40808</v>
      </c>
      <c r="R40" s="26">
        <v>0.67993486944126125</v>
      </c>
      <c r="T40" s="24">
        <v>40808</v>
      </c>
      <c r="U40" s="27">
        <v>0.68921930805544263</v>
      </c>
      <c r="W40" s="56">
        <v>40808</v>
      </c>
      <c r="X40" s="57">
        <v>0.56666393386789538</v>
      </c>
      <c r="Z40" s="1">
        <v>40808</v>
      </c>
      <c r="AA40">
        <v>0.58712702699993002</v>
      </c>
      <c r="AC40" s="1">
        <v>40808</v>
      </c>
      <c r="AD40">
        <v>0.73180955418473204</v>
      </c>
      <c r="AF40" s="1">
        <v>40808</v>
      </c>
      <c r="AG40">
        <v>0.77393677940889705</v>
      </c>
    </row>
    <row r="41" spans="2:33">
      <c r="B41" s="24">
        <v>40815</v>
      </c>
      <c r="C41" s="27">
        <v>0.94644262124543443</v>
      </c>
      <c r="D41" s="27">
        <v>0.97670030100241489</v>
      </c>
      <c r="E41" s="6">
        <f ca="1">VLOOKUP(CurrentMtgRatesDataTable825[[#This Row],[asOfDate]]+1,Bloomberg!B:C,2,0)</f>
        <v>4241.8</v>
      </c>
      <c r="F41" s="27">
        <f>VLOOKUP(CurrentMtgRatesDataTable825[[#This Row],[asOfDate]],CurrentMtgRatesDataTable8256[#All],2,0)</f>
        <v>0.92481236623397145</v>
      </c>
      <c r="G41" s="27">
        <f>VLOOKUP(CurrentMtgRatesDataTable825[[#This Row],[asOfDate]],CurrentMtgRatesDataTable82562[],2,0)</f>
        <v>0.73138364057558247</v>
      </c>
      <c r="H41" s="27">
        <f>VLOOKUP(CurrentMtgRatesDataTable825[[#This Row],[asOfDate]],T:U,2,0)</f>
        <v>0.74085165408919718</v>
      </c>
      <c r="I41" s="58">
        <f>VLOOKUP(CurrentMtgRatesDataTable825[[#This Row],[asOfDate]],CurrentMtgRatesDataTable825623[#All],2,0)</f>
        <v>0.6263817731067115</v>
      </c>
      <c r="J41" s="27">
        <f>VLOOKUP(CurrentMtgRatesDataTable825[[#This Row],[asOfDate]],AC:AD,2,0)</f>
        <v>0.78537510001402</v>
      </c>
      <c r="K41" s="27">
        <f>VLOOKUP(CurrentMtgRatesDataTable825[[#This Row],[asOfDate]],temp_1,2,0)</f>
        <v>0.82508471199231004</v>
      </c>
      <c r="M41" s="24">
        <v>40815</v>
      </c>
      <c r="N41" s="26">
        <v>0.92481236623397145</v>
      </c>
      <c r="O41" s="26">
        <f ca="1">VLOOKUP(CurrentMtgRatesDataTable8256[[#This Row],[asOfDate]]+1,Bloomberg!B:C,2,0)</f>
        <v>4241.8</v>
      </c>
      <c r="Q41" s="24">
        <v>40815</v>
      </c>
      <c r="R41" s="26">
        <v>0.73138364057558247</v>
      </c>
      <c r="T41" s="24">
        <v>40815</v>
      </c>
      <c r="U41" s="27">
        <v>0.74085165408919718</v>
      </c>
      <c r="W41" s="56">
        <v>40815</v>
      </c>
      <c r="X41" s="57">
        <v>0.6263817731067115</v>
      </c>
      <c r="Z41" s="1">
        <v>40815</v>
      </c>
      <c r="AA41">
        <v>0.64502890683438796</v>
      </c>
      <c r="AC41" s="1">
        <v>40815</v>
      </c>
      <c r="AD41">
        <v>0.78537510001402</v>
      </c>
      <c r="AF41" s="1">
        <v>40815</v>
      </c>
      <c r="AG41">
        <v>0.82508471199231004</v>
      </c>
    </row>
    <row r="42" spans="2:33">
      <c r="B42" s="24">
        <v>40822</v>
      </c>
      <c r="C42" s="27">
        <v>0.96725200604215567</v>
      </c>
      <c r="D42" s="27">
        <v>0.99979065637593989</v>
      </c>
      <c r="E42" s="6">
        <f ca="1">VLOOKUP(CurrentMtgRatesDataTable825[[#This Row],[asOfDate]]+1,Bloomberg!B:C,2,0)</f>
        <v>4251.1000000000004</v>
      </c>
      <c r="F42" s="27">
        <f>VLOOKUP(CurrentMtgRatesDataTable825[[#This Row],[asOfDate]],CurrentMtgRatesDataTable8256[#All],2,0)</f>
        <v>0.91682101113682013</v>
      </c>
      <c r="G42" s="27">
        <f>VLOOKUP(CurrentMtgRatesDataTable825[[#This Row],[asOfDate]],CurrentMtgRatesDataTable82562[],2,0)</f>
        <v>0.71899866001218793</v>
      </c>
      <c r="H42" s="27">
        <f>VLOOKUP(CurrentMtgRatesDataTable825[[#This Row],[asOfDate]],T:U,2,0)</f>
        <v>0.7283352335565505</v>
      </c>
      <c r="I42" s="58">
        <f>VLOOKUP(CurrentMtgRatesDataTable825[[#This Row],[asOfDate]],CurrentMtgRatesDataTable825623[#All],2,0)</f>
        <v>0.61506978972280768</v>
      </c>
      <c r="J42" s="27">
        <f>VLOOKUP(CurrentMtgRatesDataTable825[[#This Row],[asOfDate]],AC:AD,2,0)</f>
        <v>0.77200889405912698</v>
      </c>
      <c r="K42" s="27">
        <f>VLOOKUP(CurrentMtgRatesDataTable825[[#This Row],[asOfDate]],temp_1,2,0)</f>
        <v>0.81259352846128097</v>
      </c>
      <c r="M42" s="24">
        <v>40822</v>
      </c>
      <c r="N42" s="26">
        <v>0.91682101113682013</v>
      </c>
      <c r="O42" s="26">
        <f ca="1">VLOOKUP(CurrentMtgRatesDataTable8256[[#This Row],[asOfDate]]+1,Bloomberg!B:C,2,0)</f>
        <v>4251.1000000000004</v>
      </c>
      <c r="Q42" s="24">
        <v>40822</v>
      </c>
      <c r="R42" s="26">
        <v>0.71899866001218793</v>
      </c>
      <c r="T42" s="24">
        <v>40822</v>
      </c>
      <c r="U42" s="27">
        <v>0.7283352335565505</v>
      </c>
      <c r="W42" s="56">
        <v>40822</v>
      </c>
      <c r="X42" s="57">
        <v>0.61506978972280768</v>
      </c>
      <c r="Z42" s="1">
        <v>40822</v>
      </c>
      <c r="AA42">
        <v>0.63292140172586497</v>
      </c>
      <c r="AC42" s="1">
        <v>40822</v>
      </c>
      <c r="AD42">
        <v>0.77200889405912698</v>
      </c>
      <c r="AF42" s="1">
        <v>40822</v>
      </c>
      <c r="AG42">
        <v>0.81259352846128097</v>
      </c>
    </row>
    <row r="43" spans="2:33">
      <c r="B43" s="24">
        <v>40829</v>
      </c>
      <c r="C43" s="27">
        <v>0.84917694017596268</v>
      </c>
      <c r="D43" s="27">
        <v>0.92382582368575217</v>
      </c>
      <c r="E43" s="6">
        <f ca="1">VLOOKUP(CurrentMtgRatesDataTable825[[#This Row],[asOfDate]]+1,Bloomberg!B:C,2,0)</f>
        <v>3553.2</v>
      </c>
      <c r="F43" s="27">
        <f>VLOOKUP(CurrentMtgRatesDataTable825[[#This Row],[asOfDate]],CurrentMtgRatesDataTable8256[#All],2,0)</f>
        <v>0.87184341688215217</v>
      </c>
      <c r="G43" s="27">
        <f>VLOOKUP(CurrentMtgRatesDataTable825[[#This Row],[asOfDate]],CurrentMtgRatesDataTable82562[],2,0)</f>
        <v>0.6410959583633683</v>
      </c>
      <c r="H43" s="27">
        <f>VLOOKUP(CurrentMtgRatesDataTable825[[#This Row],[asOfDate]],T:U,2,0)</f>
        <v>0.65022815919416987</v>
      </c>
      <c r="I43" s="58">
        <f>VLOOKUP(CurrentMtgRatesDataTable825[[#This Row],[asOfDate]],CurrentMtgRatesDataTable825623[#All],2,0)</f>
        <v>0.52200302676770738</v>
      </c>
      <c r="J43" s="27">
        <f>VLOOKUP(CurrentMtgRatesDataTable825[[#This Row],[asOfDate]],AC:AD,2,0)</f>
        <v>0.68762581065136796</v>
      </c>
      <c r="K43" s="27">
        <f>VLOOKUP(CurrentMtgRatesDataTable825[[#This Row],[asOfDate]],temp_1,2,0)</f>
        <v>0.73459198246487301</v>
      </c>
      <c r="M43" s="24">
        <v>40829</v>
      </c>
      <c r="N43" s="26">
        <v>0.87184341688215217</v>
      </c>
      <c r="O43" s="26">
        <f ca="1">VLOOKUP(CurrentMtgRatesDataTable8256[[#This Row],[asOfDate]]+1,Bloomberg!B:C,2,0)</f>
        <v>3553.2</v>
      </c>
      <c r="Q43" s="24">
        <v>40829</v>
      </c>
      <c r="R43" s="26">
        <v>0.6410959583633683</v>
      </c>
      <c r="T43" s="24">
        <v>40829</v>
      </c>
      <c r="U43" s="27">
        <v>0.65022815919416987</v>
      </c>
      <c r="W43" s="56">
        <v>40829</v>
      </c>
      <c r="X43" s="57">
        <v>0.52200302676770738</v>
      </c>
      <c r="Z43" s="1">
        <v>40829</v>
      </c>
      <c r="AA43">
        <v>0.54334881836562599</v>
      </c>
      <c r="AC43" s="1">
        <v>40829</v>
      </c>
      <c r="AD43">
        <v>0.68762581065136796</v>
      </c>
      <c r="AF43" s="1">
        <v>40829</v>
      </c>
      <c r="AG43">
        <v>0.73459198246487301</v>
      </c>
    </row>
    <row r="44" spans="2:33">
      <c r="B44" s="24">
        <v>40836</v>
      </c>
      <c r="C44" s="27">
        <v>0.85635864773186432</v>
      </c>
      <c r="D44" s="27">
        <v>0.92382582368575217</v>
      </c>
      <c r="E44" s="6">
        <f ca="1">VLOOKUP(CurrentMtgRatesDataTable825[[#This Row],[asOfDate]]+1,Bloomberg!B:C,2,0)</f>
        <v>3719.3</v>
      </c>
      <c r="F44" s="27">
        <f>VLOOKUP(CurrentMtgRatesDataTable825[[#This Row],[asOfDate]],CurrentMtgRatesDataTable8256[#All],2,0)</f>
        <v>0.87184733410546966</v>
      </c>
      <c r="G44" s="27">
        <f>VLOOKUP(CurrentMtgRatesDataTable825[[#This Row],[asOfDate]],CurrentMtgRatesDataTable82562[],2,0)</f>
        <v>0.66581224062715683</v>
      </c>
      <c r="H44" s="27">
        <f>VLOOKUP(CurrentMtgRatesDataTable825[[#This Row],[asOfDate]],T:U,2,0)</f>
        <v>0.67496554048719415</v>
      </c>
      <c r="I44" s="58">
        <f>VLOOKUP(CurrentMtgRatesDataTable825[[#This Row],[asOfDate]],CurrentMtgRatesDataTable825623[#All],2,0)</f>
        <v>0.54092116244187771</v>
      </c>
      <c r="J44" s="27">
        <f>VLOOKUP(CurrentMtgRatesDataTable825[[#This Row],[asOfDate]],AC:AD,2,0)</f>
        <v>0.70907311332117495</v>
      </c>
      <c r="K44" s="27">
        <f>VLOOKUP(CurrentMtgRatesDataTable825[[#This Row],[asOfDate]],temp_1,2,0)</f>
        <v>0.75489065999645399</v>
      </c>
      <c r="M44" s="24">
        <v>40836</v>
      </c>
      <c r="N44" s="26">
        <v>0.87184733410546966</v>
      </c>
      <c r="O44" s="26">
        <f ca="1">VLOOKUP(CurrentMtgRatesDataTable8256[[#This Row],[asOfDate]]+1,Bloomberg!B:C,2,0)</f>
        <v>3719.3</v>
      </c>
      <c r="Q44" s="24">
        <v>40836</v>
      </c>
      <c r="R44" s="26">
        <v>0.66581224062715683</v>
      </c>
      <c r="T44" s="24">
        <v>40836</v>
      </c>
      <c r="U44" s="27">
        <v>0.67496554048719415</v>
      </c>
      <c r="W44" s="56">
        <v>40836</v>
      </c>
      <c r="X44" s="57">
        <v>0.54092116244187771</v>
      </c>
      <c r="Z44" s="1">
        <v>40836</v>
      </c>
      <c r="AA44">
        <v>0.56246435693305497</v>
      </c>
      <c r="AC44" s="1">
        <v>40836</v>
      </c>
      <c r="AD44">
        <v>0.70907311332117495</v>
      </c>
      <c r="AF44" s="1">
        <v>40836</v>
      </c>
      <c r="AG44">
        <v>0.75489065999645399</v>
      </c>
    </row>
    <row r="45" spans="2:33">
      <c r="B45" s="24">
        <v>40843</v>
      </c>
      <c r="C45" s="27">
        <v>0.86512672485653175</v>
      </c>
      <c r="D45" s="27">
        <v>0.92382582368575217</v>
      </c>
      <c r="E45" s="6">
        <f ca="1">VLOOKUP(CurrentMtgRatesDataTable825[[#This Row],[asOfDate]]+1,Bloomberg!B:C,2,0)</f>
        <v>3695</v>
      </c>
      <c r="F45" s="27">
        <f>VLOOKUP(CurrentMtgRatesDataTable825[[#This Row],[asOfDate]],CurrentMtgRatesDataTable8256[#All],2,0)</f>
        <v>0.87190767917521173</v>
      </c>
      <c r="G45" s="27">
        <f>VLOOKUP(CurrentMtgRatesDataTable825[[#This Row],[asOfDate]],CurrentMtgRatesDataTable82562[],2,0)</f>
        <v>0.66595295657278242</v>
      </c>
      <c r="H45" s="27">
        <f>VLOOKUP(CurrentMtgRatesDataTable825[[#This Row],[asOfDate]],T:U,2,0)</f>
        <v>0.67510900125173667</v>
      </c>
      <c r="I45" s="58">
        <f>VLOOKUP(CurrentMtgRatesDataTable825[[#This Row],[asOfDate]],CurrentMtgRatesDataTable825623[#All],2,0)</f>
        <v>0.54427813909906164</v>
      </c>
      <c r="J45" s="27">
        <f>VLOOKUP(CurrentMtgRatesDataTable825[[#This Row],[asOfDate]],AC:AD,2,0)</f>
        <v>0.71096371307505601</v>
      </c>
      <c r="K45" s="27">
        <f>VLOOKUP(CurrentMtgRatesDataTable825[[#This Row],[asOfDate]],temp_1,2,0)</f>
        <v>0.75632978245354299</v>
      </c>
      <c r="M45" s="24">
        <v>40843</v>
      </c>
      <c r="N45" s="26">
        <v>0.87190767917521173</v>
      </c>
      <c r="O45" s="26">
        <f ca="1">VLOOKUP(CurrentMtgRatesDataTable8256[[#This Row],[asOfDate]]+1,Bloomberg!B:C,2,0)</f>
        <v>3695</v>
      </c>
      <c r="Q45" s="24">
        <v>40843</v>
      </c>
      <c r="R45" s="26">
        <v>0.66595295657278242</v>
      </c>
      <c r="T45" s="24">
        <v>40843</v>
      </c>
      <c r="U45" s="27">
        <v>0.67510900125173667</v>
      </c>
      <c r="W45" s="56">
        <v>40843</v>
      </c>
      <c r="X45" s="57">
        <v>0.54427813909906164</v>
      </c>
      <c r="Z45" s="1">
        <v>40843</v>
      </c>
      <c r="AA45">
        <v>0.56500210214528801</v>
      </c>
      <c r="AC45" s="1">
        <v>40843</v>
      </c>
      <c r="AD45">
        <v>0.71096371307505601</v>
      </c>
      <c r="AF45" s="1">
        <v>40843</v>
      </c>
      <c r="AG45">
        <v>0.75632978245354299</v>
      </c>
    </row>
    <row r="46" spans="2:33">
      <c r="B46" s="24">
        <v>40850</v>
      </c>
      <c r="C46" s="27">
        <v>0.93485323798856346</v>
      </c>
      <c r="D46" s="27">
        <v>0.94896087986943234</v>
      </c>
      <c r="E46" s="6">
        <f ca="1">VLOOKUP(CurrentMtgRatesDataTable825[[#This Row],[asOfDate]]+1,Bloomberg!B:C,2,0)</f>
        <v>4137.6000000000004</v>
      </c>
      <c r="F46" s="27">
        <f>VLOOKUP(CurrentMtgRatesDataTable825[[#This Row],[asOfDate]],CurrentMtgRatesDataTable8256[#All],2,0)</f>
        <v>0.90632973266278982</v>
      </c>
      <c r="G46" s="27">
        <f>VLOOKUP(CurrentMtgRatesDataTable825[[#This Row],[asOfDate]],CurrentMtgRatesDataTable82562[],2,0)</f>
        <v>0.70392552647182693</v>
      </c>
      <c r="H46" s="27">
        <f>VLOOKUP(CurrentMtgRatesDataTable825[[#This Row],[asOfDate]],T:U,2,0)</f>
        <v>0.71321272785210488</v>
      </c>
      <c r="I46" s="58">
        <f>VLOOKUP(CurrentMtgRatesDataTable825[[#This Row],[asOfDate]],CurrentMtgRatesDataTable825623[#All],2,0)</f>
        <v>0.5930585678824033</v>
      </c>
      <c r="J46" s="27">
        <f>VLOOKUP(CurrentMtgRatesDataTable825[[#This Row],[asOfDate]],AC:AD,2,0)</f>
        <v>0.75213064967891696</v>
      </c>
      <c r="K46" s="27">
        <f>VLOOKUP(CurrentMtgRatesDataTable825[[#This Row],[asOfDate]],temp_1,2,0)</f>
        <v>0.79566700230121001</v>
      </c>
      <c r="M46" s="24">
        <v>40850</v>
      </c>
      <c r="N46" s="26">
        <v>0.90632973266278982</v>
      </c>
      <c r="O46" s="26">
        <f ca="1">VLOOKUP(CurrentMtgRatesDataTable8256[[#This Row],[asOfDate]]+1,Bloomberg!B:C,2,0)</f>
        <v>4137.6000000000004</v>
      </c>
      <c r="Q46" s="24">
        <v>40850</v>
      </c>
      <c r="R46" s="26">
        <v>0.70392552647182693</v>
      </c>
      <c r="T46" s="24">
        <v>40850</v>
      </c>
      <c r="U46" s="27">
        <v>0.71321272785210488</v>
      </c>
      <c r="W46" s="56">
        <v>40850</v>
      </c>
      <c r="X46" s="57">
        <v>0.5930585678824033</v>
      </c>
      <c r="Z46" s="1">
        <v>40850</v>
      </c>
      <c r="AA46">
        <v>0.61108389475403901</v>
      </c>
      <c r="AC46" s="1">
        <v>40850</v>
      </c>
      <c r="AD46">
        <v>0.75213064967891696</v>
      </c>
      <c r="AF46" s="1">
        <v>40850</v>
      </c>
      <c r="AG46">
        <v>0.79566700230121001</v>
      </c>
    </row>
    <row r="47" spans="2:33">
      <c r="B47" s="24">
        <v>40857</v>
      </c>
      <c r="C47" s="27">
        <v>0.94404770550683115</v>
      </c>
      <c r="D47" s="27">
        <v>0.97193701769959251</v>
      </c>
      <c r="E47" s="6">
        <f ca="1">VLOOKUP(CurrentMtgRatesDataTable825[[#This Row],[asOfDate]]+1,Bloomberg!B:C,2,0)</f>
        <v>3664.5</v>
      </c>
      <c r="F47" s="27">
        <f>VLOOKUP(CurrentMtgRatesDataTable825[[#This Row],[asOfDate]],CurrentMtgRatesDataTable8256[#All],2,0)</f>
        <v>0.9063475730739603</v>
      </c>
      <c r="G47" s="27">
        <f>VLOOKUP(CurrentMtgRatesDataTable825[[#This Row],[asOfDate]],CurrentMtgRatesDataTable82562[],2,0)</f>
        <v>0.70394618436594358</v>
      </c>
      <c r="H47" s="27">
        <f>VLOOKUP(CurrentMtgRatesDataTable825[[#This Row],[asOfDate]],T:U,2,0)</f>
        <v>0.71323324235131957</v>
      </c>
      <c r="I47" s="58">
        <f>VLOOKUP(CurrentMtgRatesDataTable825[[#This Row],[asOfDate]],CurrentMtgRatesDataTable825623[#All],2,0)</f>
        <v>0.59308702713551809</v>
      </c>
      <c r="J47" s="27">
        <f>VLOOKUP(CurrentMtgRatesDataTable825[[#This Row],[asOfDate]],AC:AD,2,0)</f>
        <v>0.75215343752934904</v>
      </c>
      <c r="K47" s="27">
        <f>VLOOKUP(CurrentMtgRatesDataTable825[[#This Row],[asOfDate]],temp_1,2,0)</f>
        <v>0.79568702054103702</v>
      </c>
      <c r="M47" s="24">
        <v>40857</v>
      </c>
      <c r="N47" s="26">
        <v>0.9063475730739603</v>
      </c>
      <c r="O47" s="26">
        <f ca="1">VLOOKUP(CurrentMtgRatesDataTable8256[[#This Row],[asOfDate]]+1,Bloomberg!B:C,2,0)</f>
        <v>3664.5</v>
      </c>
      <c r="Q47" s="24">
        <v>40857</v>
      </c>
      <c r="R47" s="26">
        <v>0.70394618436594358</v>
      </c>
      <c r="T47" s="24">
        <v>40857</v>
      </c>
      <c r="U47" s="27">
        <v>0.71323324235131957</v>
      </c>
      <c r="W47" s="56">
        <v>40857</v>
      </c>
      <c r="X47" s="57">
        <v>0.59308702713551809</v>
      </c>
      <c r="Z47" s="1">
        <v>40857</v>
      </c>
      <c r="AA47">
        <v>0.61111047806911201</v>
      </c>
      <c r="AC47" s="1">
        <v>40857</v>
      </c>
      <c r="AD47">
        <v>0.75215343752934904</v>
      </c>
      <c r="AF47" s="1">
        <v>40857</v>
      </c>
      <c r="AG47">
        <v>0.79568702054103702</v>
      </c>
    </row>
    <row r="48" spans="2:33">
      <c r="B48" s="24">
        <v>40864</v>
      </c>
      <c r="C48" s="27">
        <v>0.93485323798856346</v>
      </c>
      <c r="D48" s="27">
        <v>0.94896087986943234</v>
      </c>
      <c r="E48" s="6">
        <f ca="1">VLOOKUP(CurrentMtgRatesDataTable825[[#This Row],[asOfDate]]+1,Bloomberg!B:C,2,0)</f>
        <v>3466.8</v>
      </c>
      <c r="F48" s="27">
        <f>VLOOKUP(CurrentMtgRatesDataTable825[[#This Row],[asOfDate]],CurrentMtgRatesDataTable8256[#All],2,0)</f>
        <v>0.90632973266278982</v>
      </c>
      <c r="G48" s="27">
        <f>VLOOKUP(CurrentMtgRatesDataTable825[[#This Row],[asOfDate]],CurrentMtgRatesDataTable82562[],2,0)</f>
        <v>0.70392552647182693</v>
      </c>
      <c r="H48" s="27">
        <f>VLOOKUP(CurrentMtgRatesDataTable825[[#This Row],[asOfDate]],T:U,2,0)</f>
        <v>0.71321272785210488</v>
      </c>
      <c r="I48" s="58">
        <f>VLOOKUP(CurrentMtgRatesDataTable825[[#This Row],[asOfDate]],CurrentMtgRatesDataTable825623[#All],2,0)</f>
        <v>0.5930585678824033</v>
      </c>
      <c r="J48" s="27">
        <f>VLOOKUP(CurrentMtgRatesDataTable825[[#This Row],[asOfDate]],AC:AD,2,0)</f>
        <v>0.75213064967891696</v>
      </c>
      <c r="K48" s="27">
        <f>VLOOKUP(CurrentMtgRatesDataTable825[[#This Row],[asOfDate]],temp_1,2,0)</f>
        <v>0.79566700230121001</v>
      </c>
      <c r="M48" s="24">
        <v>40864</v>
      </c>
      <c r="N48" s="26">
        <v>0.90632973266278982</v>
      </c>
      <c r="O48" s="26">
        <f ca="1">VLOOKUP(CurrentMtgRatesDataTable8256[[#This Row],[asOfDate]]+1,Bloomberg!B:C,2,0)</f>
        <v>3466.8</v>
      </c>
      <c r="Q48" s="24">
        <v>40864</v>
      </c>
      <c r="R48" s="26">
        <v>0.70392552647182693</v>
      </c>
      <c r="T48" s="24">
        <v>40864</v>
      </c>
      <c r="U48" s="27">
        <v>0.71321272785210488</v>
      </c>
      <c r="W48" s="56">
        <v>40864</v>
      </c>
      <c r="X48" s="57">
        <v>0.5930585678824033</v>
      </c>
      <c r="Z48" s="1">
        <v>40864</v>
      </c>
      <c r="AA48">
        <v>0.61108389475403901</v>
      </c>
      <c r="AC48" s="1">
        <v>40864</v>
      </c>
      <c r="AD48">
        <v>0.75213064967891696</v>
      </c>
      <c r="AF48" s="1">
        <v>40864</v>
      </c>
      <c r="AG48">
        <v>0.79566700230121001</v>
      </c>
    </row>
    <row r="49" spans="2:33">
      <c r="B49" s="24">
        <v>40870</v>
      </c>
      <c r="C49" s="27">
        <v>0.94997170807452469</v>
      </c>
      <c r="D49" s="27">
        <v>0.97193701769959251</v>
      </c>
      <c r="E49" s="6" t="e">
        <f ca="1">VLOOKUP(CurrentMtgRatesDataTable825[[#This Row],[asOfDate]]+1,Bloomberg!B:C,2,0)</f>
        <v>#N/A</v>
      </c>
      <c r="F49" s="27">
        <f>VLOOKUP(CurrentMtgRatesDataTable825[[#This Row],[asOfDate]],CurrentMtgRatesDataTable8256[#All],2,0)</f>
        <v>0.90635487345396593</v>
      </c>
      <c r="G49" s="27">
        <f>VLOOKUP(CurrentMtgRatesDataTable825[[#This Row],[asOfDate]],CurrentMtgRatesDataTable82562[],2,0)</f>
        <v>0.70396661640219049</v>
      </c>
      <c r="H49" s="27">
        <f>VLOOKUP(CurrentMtgRatesDataTable825[[#This Row],[asOfDate]],T:U,2,0)</f>
        <v>0.71325364250112233</v>
      </c>
      <c r="I49" s="58">
        <f>VLOOKUP(CurrentMtgRatesDataTable825[[#This Row],[asOfDate]],CurrentMtgRatesDataTable825623[#All],2,0)</f>
        <v>0.59609102497578137</v>
      </c>
      <c r="J49" s="27">
        <f>VLOOKUP(CurrentMtgRatesDataTable825[[#This Row],[asOfDate]],AC:AD,2,0)</f>
        <v>0.75451882195048703</v>
      </c>
      <c r="K49" s="27">
        <f>VLOOKUP(CurrentMtgRatesDataTable825[[#This Row],[asOfDate]],temp_1,2,0)</f>
        <v>0.79700998806971202</v>
      </c>
      <c r="M49" s="24">
        <v>40870</v>
      </c>
      <c r="N49" s="26">
        <v>0.90635487345396593</v>
      </c>
      <c r="O49" s="26" t="e">
        <f ca="1">VLOOKUP(CurrentMtgRatesDataTable8256[[#This Row],[asOfDate]]+1,Bloomberg!B:C,2,0)</f>
        <v>#N/A</v>
      </c>
      <c r="Q49" s="24">
        <v>40870</v>
      </c>
      <c r="R49" s="26">
        <v>0.70396661640219049</v>
      </c>
      <c r="T49" s="24">
        <v>40870</v>
      </c>
      <c r="U49" s="27">
        <v>0.71325364250112233</v>
      </c>
      <c r="W49" s="56">
        <v>40870</v>
      </c>
      <c r="X49" s="57">
        <v>0.59609102497578137</v>
      </c>
      <c r="Z49" s="1">
        <v>40870</v>
      </c>
      <c r="AA49">
        <v>0.61421348298588097</v>
      </c>
      <c r="AC49" s="1">
        <v>40870</v>
      </c>
      <c r="AD49">
        <v>0.75451882195048703</v>
      </c>
      <c r="AF49" s="1">
        <v>40870</v>
      </c>
      <c r="AG49">
        <v>0.79700998806971202</v>
      </c>
    </row>
    <row r="50" spans="2:33">
      <c r="B50" s="24">
        <v>40878</v>
      </c>
      <c r="C50" s="27">
        <v>0.91542628506626045</v>
      </c>
      <c r="D50" s="27">
        <v>0.92419999876805836</v>
      </c>
      <c r="E50" s="6">
        <f ca="1">VLOOKUP(CurrentMtgRatesDataTable825[[#This Row],[asOfDate]]+1,Bloomberg!B:C,2,0)</f>
        <v>3394.7</v>
      </c>
      <c r="F50" s="27">
        <f>VLOOKUP(CurrentMtgRatesDataTable825[[#This Row],[asOfDate]],CurrentMtgRatesDataTable8256[#All],2,0)</f>
        <v>0.89703139526962428</v>
      </c>
      <c r="G50" s="27">
        <f>VLOOKUP(CurrentMtgRatesDataTable825[[#This Row],[asOfDate]],CurrentMtgRatesDataTable82562[],2,0)</f>
        <v>0.69000379241839993</v>
      </c>
      <c r="H50" s="27">
        <f>VLOOKUP(CurrentMtgRatesDataTable825[[#This Row],[asOfDate]],T:U,2,0)</f>
        <v>0.69921469866784125</v>
      </c>
      <c r="I50" s="58">
        <f>VLOOKUP(CurrentMtgRatesDataTable825[[#This Row],[asOfDate]],CurrentMtgRatesDataTable825623[#All],2,0)</f>
        <v>0.57637470870076846</v>
      </c>
      <c r="J50" s="27">
        <f>VLOOKUP(CurrentMtgRatesDataTable825[[#This Row],[asOfDate]],AC:AD,2,0)</f>
        <v>0.73701250506221705</v>
      </c>
      <c r="K50" s="27">
        <f>VLOOKUP(CurrentMtgRatesDataTable825[[#This Row],[asOfDate]],temp_1,2,0)</f>
        <v>0.78198517813851298</v>
      </c>
      <c r="M50" s="24">
        <v>40878</v>
      </c>
      <c r="N50" s="26">
        <v>0.89703139526962428</v>
      </c>
      <c r="O50" s="26">
        <f ca="1">VLOOKUP(CurrentMtgRatesDataTable8256[[#This Row],[asOfDate]]+1,Bloomberg!B:C,2,0)</f>
        <v>3394.7</v>
      </c>
      <c r="Q50" s="24">
        <v>40878</v>
      </c>
      <c r="R50" s="26">
        <v>0.69000379241839993</v>
      </c>
      <c r="T50" s="24">
        <v>40878</v>
      </c>
      <c r="U50" s="27">
        <v>0.69921469866784125</v>
      </c>
      <c r="W50" s="56">
        <v>40878</v>
      </c>
      <c r="X50" s="57">
        <v>0.57637470870076846</v>
      </c>
      <c r="Z50" s="1">
        <v>40878</v>
      </c>
      <c r="AA50">
        <v>0.59439049539354405</v>
      </c>
      <c r="AC50" s="1">
        <v>40878</v>
      </c>
      <c r="AD50">
        <v>0.73701250506221705</v>
      </c>
      <c r="AF50" s="1">
        <v>40878</v>
      </c>
      <c r="AG50">
        <v>0.78198517813851298</v>
      </c>
    </row>
    <row r="51" spans="2:33">
      <c r="B51" s="24">
        <v>40885</v>
      </c>
      <c r="C51" s="27">
        <v>0.9248746068169833</v>
      </c>
      <c r="D51" s="27">
        <v>0.94688538908647324</v>
      </c>
      <c r="E51" s="6">
        <f ca="1">VLOOKUP(CurrentMtgRatesDataTable825[[#This Row],[asOfDate]]+1,Bloomberg!B:C,2,0)</f>
        <v>3708.6</v>
      </c>
      <c r="F51" s="27">
        <f>VLOOKUP(CurrentMtgRatesDataTable825[[#This Row],[asOfDate]],CurrentMtgRatesDataTable8256[#All],2,0)</f>
        <v>0.89704903447944062</v>
      </c>
      <c r="G51" s="27">
        <f>VLOOKUP(CurrentMtgRatesDataTable825[[#This Row],[asOfDate]],CurrentMtgRatesDataTable82562[],2,0)</f>
        <v>0.69002399417324023</v>
      </c>
      <c r="H51" s="27">
        <f>VLOOKUP(CurrentMtgRatesDataTable825[[#This Row],[asOfDate]],T:U,2,0)</f>
        <v>0.69923497192416595</v>
      </c>
      <c r="I51" s="58">
        <f>VLOOKUP(CurrentMtgRatesDataTable825[[#This Row],[asOfDate]],CurrentMtgRatesDataTable825623[#All],2,0)</f>
        <v>0.57640199098694489</v>
      </c>
      <c r="J51" s="27">
        <f>VLOOKUP(CurrentMtgRatesDataTable825[[#This Row],[asOfDate]],AC:AD,2,0)</f>
        <v>0.737034618623016</v>
      </c>
      <c r="K51" s="27">
        <f>VLOOKUP(CurrentMtgRatesDataTable825[[#This Row],[asOfDate]],temp_1,2,0)</f>
        <v>0.78200436831299003</v>
      </c>
      <c r="M51" s="24">
        <v>40885</v>
      </c>
      <c r="N51" s="26">
        <v>0.89704903447944062</v>
      </c>
      <c r="O51" s="26">
        <f ca="1">VLOOKUP(CurrentMtgRatesDataTable8256[[#This Row],[asOfDate]]+1,Bloomberg!B:C,2,0)</f>
        <v>3708.6</v>
      </c>
      <c r="Q51" s="24">
        <v>40885</v>
      </c>
      <c r="R51" s="26">
        <v>0.69002399417324023</v>
      </c>
      <c r="T51" s="24">
        <v>40885</v>
      </c>
      <c r="U51" s="27">
        <v>0.69923497192416595</v>
      </c>
      <c r="W51" s="56">
        <v>40885</v>
      </c>
      <c r="X51" s="57">
        <v>0.57640199098694489</v>
      </c>
      <c r="Z51" s="1">
        <v>40885</v>
      </c>
      <c r="AA51">
        <v>0.59441609204797496</v>
      </c>
      <c r="AC51" s="1">
        <v>40885</v>
      </c>
      <c r="AD51">
        <v>0.737034618623016</v>
      </c>
      <c r="AF51" s="1">
        <v>40885</v>
      </c>
      <c r="AG51">
        <v>0.78200436831299003</v>
      </c>
    </row>
    <row r="52" spans="2:33">
      <c r="B52" s="24">
        <v>40892</v>
      </c>
      <c r="C52" s="27">
        <v>0.93969161247928745</v>
      </c>
      <c r="D52" s="27">
        <v>0.9637001459402228</v>
      </c>
      <c r="E52" s="6">
        <f ca="1">VLOOKUP(CurrentMtgRatesDataTable825[[#This Row],[asOfDate]]+1,Bloomberg!B:C,2,0)</f>
        <v>3676.1</v>
      </c>
      <c r="F52" s="27">
        <f>VLOOKUP(CurrentMtgRatesDataTable825[[#This Row],[asOfDate]],CurrentMtgRatesDataTable8256[#All],2,0)</f>
        <v>0.89709375429273885</v>
      </c>
      <c r="G52" s="27">
        <f>VLOOKUP(CurrentMtgRatesDataTable825[[#This Row],[asOfDate]],CurrentMtgRatesDataTable82562[],2,0)</f>
        <v>0.69007408458163666</v>
      </c>
      <c r="H52" s="27">
        <f>VLOOKUP(CurrentMtgRatesDataTable825[[#This Row],[asOfDate]],T:U,2,0)</f>
        <v>0.69928350198009037</v>
      </c>
      <c r="I52" s="58">
        <f>VLOOKUP(CurrentMtgRatesDataTable825[[#This Row],[asOfDate]],CurrentMtgRatesDataTable825623[#All],2,0)</f>
        <v>0.58069452065626503</v>
      </c>
      <c r="J52" s="27">
        <f>VLOOKUP(CurrentMtgRatesDataTable825[[#This Row],[asOfDate]],AC:AD,2,0)</f>
        <v>0.74005848510739902</v>
      </c>
      <c r="K52" s="27">
        <f>VLOOKUP(CurrentMtgRatesDataTable825[[#This Row],[asOfDate]],temp_1,2,0)</f>
        <v>0.78386700001619203</v>
      </c>
      <c r="M52" s="24">
        <v>40892</v>
      </c>
      <c r="N52" s="26">
        <v>0.89709375429273885</v>
      </c>
      <c r="O52" s="26">
        <f ca="1">VLOOKUP(CurrentMtgRatesDataTable8256[[#This Row],[asOfDate]]+1,Bloomberg!B:C,2,0)</f>
        <v>3676.1</v>
      </c>
      <c r="Q52" s="24">
        <v>40892</v>
      </c>
      <c r="R52" s="26">
        <v>0.69007408458163666</v>
      </c>
      <c r="T52" s="24">
        <v>40892</v>
      </c>
      <c r="U52" s="27">
        <v>0.69928350198009037</v>
      </c>
      <c r="W52" s="56">
        <v>40892</v>
      </c>
      <c r="X52" s="57">
        <v>0.58069452065626503</v>
      </c>
      <c r="Z52" s="1">
        <v>40892</v>
      </c>
      <c r="AA52">
        <v>0.59862012705429901</v>
      </c>
      <c r="AC52" s="1">
        <v>40892</v>
      </c>
      <c r="AD52">
        <v>0.74005848510739902</v>
      </c>
      <c r="AF52" s="1">
        <v>40892</v>
      </c>
      <c r="AG52">
        <v>0.78386700001619203</v>
      </c>
    </row>
    <row r="53" spans="2:33">
      <c r="B53" s="24">
        <v>40899</v>
      </c>
      <c r="C53" s="27">
        <v>0.9601958662364245</v>
      </c>
      <c r="D53" s="27">
        <v>0.9637001459402228</v>
      </c>
      <c r="E53" s="6">
        <f ca="1">VLOOKUP(CurrentMtgRatesDataTable825[[#This Row],[asOfDate]]+1,Bloomberg!B:C,2,0)</f>
        <v>3684.5</v>
      </c>
      <c r="F53" s="27">
        <f>VLOOKUP(CurrentMtgRatesDataTable825[[#This Row],[asOfDate]],CurrentMtgRatesDataTable8256[#All],2,0)</f>
        <v>0.94137030351529016</v>
      </c>
      <c r="G53" s="27">
        <f>VLOOKUP(CurrentMtgRatesDataTable825[[#This Row],[asOfDate]],CurrentMtgRatesDataTable82562[],2,0)</f>
        <v>0.72186451896875248</v>
      </c>
      <c r="H53" s="27">
        <f>VLOOKUP(CurrentMtgRatesDataTable825[[#This Row],[asOfDate]],T:U,2,0)</f>
        <v>0.73130536310420036</v>
      </c>
      <c r="I53" s="58">
        <f>VLOOKUP(CurrentMtgRatesDataTable825[[#This Row],[asOfDate]],CurrentMtgRatesDataTable825623[#All],2,0)</f>
        <v>0.61774760876460955</v>
      </c>
      <c r="J53" s="27">
        <f>VLOOKUP(CurrentMtgRatesDataTable825[[#This Row],[asOfDate]],AC:AD,2,0)</f>
        <v>0.77262482249298603</v>
      </c>
      <c r="K53" s="27">
        <f>VLOOKUP(CurrentMtgRatesDataTable825[[#This Row],[asOfDate]],temp_1,2,0)</f>
        <v>0.81520432036593904</v>
      </c>
      <c r="M53" s="24">
        <v>40899</v>
      </c>
      <c r="N53" s="26">
        <v>0.94137030351529016</v>
      </c>
      <c r="O53" s="26">
        <f ca="1">VLOOKUP(CurrentMtgRatesDataTable8256[[#This Row],[asOfDate]]+1,Bloomberg!B:C,2,0)</f>
        <v>3684.5</v>
      </c>
      <c r="Q53" s="24">
        <v>40899</v>
      </c>
      <c r="R53" s="26">
        <v>0.72186451896875248</v>
      </c>
      <c r="T53" s="24">
        <v>40899</v>
      </c>
      <c r="U53" s="27">
        <v>0.73130536310420036</v>
      </c>
      <c r="W53" s="56">
        <v>40899</v>
      </c>
      <c r="X53" s="57">
        <v>0.61774760876460955</v>
      </c>
      <c r="Z53" s="1">
        <v>40899</v>
      </c>
      <c r="AA53">
        <v>0.63492455166062101</v>
      </c>
      <c r="AC53" s="1">
        <v>40899</v>
      </c>
      <c r="AD53">
        <v>0.77262482249298603</v>
      </c>
      <c r="AF53" s="1">
        <v>40899</v>
      </c>
      <c r="AG53">
        <v>0.81520432036593904</v>
      </c>
    </row>
    <row r="54" spans="2:33">
      <c r="B54" s="24">
        <v>40906</v>
      </c>
      <c r="C54" s="27">
        <v>0.94762260030460288</v>
      </c>
      <c r="D54" s="27">
        <v>0.9637001459402228</v>
      </c>
      <c r="E54" s="6">
        <f ca="1">VLOOKUP(CurrentMtgRatesDataTable825[[#This Row],[asOfDate]]+1,Bloomberg!B:C,2,0)</f>
        <v>3608.1</v>
      </c>
      <c r="F54" s="27">
        <f>VLOOKUP(CurrentMtgRatesDataTable825[[#This Row],[asOfDate]],CurrentMtgRatesDataTable8256[#All],2,0)</f>
        <v>0.94128842871061857</v>
      </c>
      <c r="G54" s="27">
        <f>VLOOKUP(CurrentMtgRatesDataTable825[[#This Row],[asOfDate]],CurrentMtgRatesDataTable82562[],2,0)</f>
        <v>0.72167534304727499</v>
      </c>
      <c r="H54" s="27">
        <f>VLOOKUP(CurrentMtgRatesDataTable825[[#This Row],[asOfDate]],T:U,2,0)</f>
        <v>0.7311164441815301</v>
      </c>
      <c r="I54" s="58">
        <f>VLOOKUP(CurrentMtgRatesDataTable825[[#This Row],[asOfDate]],CurrentMtgRatesDataTable825623[#All],2,0)</f>
        <v>0.60388415088067371</v>
      </c>
      <c r="J54" s="27">
        <f>VLOOKUP(CurrentMtgRatesDataTable825[[#This Row],[asOfDate]],AC:AD,2,0)</f>
        <v>0.76353022654842795</v>
      </c>
      <c r="K54" s="27">
        <f>VLOOKUP(CurrentMtgRatesDataTable825[[#This Row],[asOfDate]],temp_1,2,0)</f>
        <v>0.80688676728488795</v>
      </c>
      <c r="M54" s="24">
        <v>40906</v>
      </c>
      <c r="N54" s="26">
        <v>0.94128842871061857</v>
      </c>
      <c r="O54" s="26">
        <f ca="1">VLOOKUP(CurrentMtgRatesDataTable8256[[#This Row],[asOfDate]]+1,Bloomberg!B:C,2,0)</f>
        <v>3608.1</v>
      </c>
      <c r="Q54" s="24">
        <v>40906</v>
      </c>
      <c r="R54" s="26">
        <v>0.72167534304727499</v>
      </c>
      <c r="T54" s="24">
        <v>40906</v>
      </c>
      <c r="U54" s="27">
        <v>0.7311164441815301</v>
      </c>
      <c r="W54" s="56">
        <v>40906</v>
      </c>
      <c r="X54" s="57">
        <v>0.60388415088067371</v>
      </c>
      <c r="Z54" s="1">
        <v>40906</v>
      </c>
      <c r="AA54">
        <v>0.62123912089799704</v>
      </c>
      <c r="AC54" s="1">
        <v>40906</v>
      </c>
      <c r="AD54">
        <v>0.76353022654842795</v>
      </c>
      <c r="AF54" s="1">
        <v>40906</v>
      </c>
      <c r="AG54">
        <v>0.80688676728488795</v>
      </c>
    </row>
    <row r="55" spans="2:33">
      <c r="B55" s="24">
        <v>40913</v>
      </c>
      <c r="C55" s="27">
        <v>0.94481773750585774</v>
      </c>
      <c r="D55" s="27">
        <v>0.94521629687954278</v>
      </c>
      <c r="E55" s="6">
        <f ca="1">VLOOKUP(CurrentMtgRatesDataTable825[[#This Row],[asOfDate]]+1,Bloomberg!B:C,2,0)</f>
        <v>3668.3</v>
      </c>
      <c r="F55" s="27">
        <f>VLOOKUP(CurrentMtgRatesDataTable825[[#This Row],[asOfDate]],CurrentMtgRatesDataTable8256[#All],2,0)</f>
        <v>0.93080329806075279</v>
      </c>
      <c r="G55" s="27">
        <f>VLOOKUP(CurrentMtgRatesDataTable825[[#This Row],[asOfDate]],CurrentMtgRatesDataTable82562[],2,0)</f>
        <v>0.70942160362842166</v>
      </c>
      <c r="H55" s="27">
        <f>VLOOKUP(CurrentMtgRatesDataTable825[[#This Row],[asOfDate]],T:U,2,0)</f>
        <v>0.71872246623497638</v>
      </c>
      <c r="I55" s="58">
        <f>VLOOKUP(CurrentMtgRatesDataTable825[[#This Row],[asOfDate]],CurrentMtgRatesDataTable825623[#All],2,0)</f>
        <v>0.59330115968578845</v>
      </c>
      <c r="J55" s="27">
        <f>VLOOKUP(CurrentMtgRatesDataTable825[[#This Row],[asOfDate]],AC:AD,2,0)</f>
        <v>0.75017446397926801</v>
      </c>
      <c r="K55" s="27">
        <f>VLOOKUP(CurrentMtgRatesDataTable825[[#This Row],[asOfDate]],temp_1,2,0)</f>
        <v>0.79520781124912299</v>
      </c>
      <c r="M55" s="24">
        <v>40913</v>
      </c>
      <c r="N55" s="26">
        <v>0.93080329806075279</v>
      </c>
      <c r="O55" s="26">
        <f ca="1">VLOOKUP(CurrentMtgRatesDataTable8256[[#This Row],[asOfDate]]+1,Bloomberg!B:C,2,0)</f>
        <v>3668.3</v>
      </c>
      <c r="Q55" s="24">
        <v>40913</v>
      </c>
      <c r="R55" s="26">
        <v>0.70942160362842166</v>
      </c>
      <c r="T55" s="24">
        <v>40913</v>
      </c>
      <c r="U55" s="27">
        <v>0.71872246623497638</v>
      </c>
      <c r="W55" s="56">
        <v>40913</v>
      </c>
      <c r="X55" s="57">
        <v>0.59330115968578845</v>
      </c>
      <c r="Z55" s="1">
        <v>40913</v>
      </c>
      <c r="AA55">
        <v>0.610477145868213</v>
      </c>
      <c r="AC55" s="1">
        <v>40913</v>
      </c>
      <c r="AD55">
        <v>0.75017446397926801</v>
      </c>
      <c r="AF55" s="1">
        <v>40913</v>
      </c>
      <c r="AG55">
        <v>0.79520781124912299</v>
      </c>
    </row>
    <row r="56" spans="2:33">
      <c r="B56" s="24">
        <v>40920</v>
      </c>
      <c r="C56" s="27">
        <v>0.95320351892281485</v>
      </c>
      <c r="D56" s="27">
        <v>0.94521629687954278</v>
      </c>
      <c r="E56" s="6">
        <f ca="1">VLOOKUP(CurrentMtgRatesDataTable825[[#This Row],[asOfDate]]+1,Bloomberg!B:C,2,0)</f>
        <v>4626.5</v>
      </c>
      <c r="F56" s="27">
        <f>VLOOKUP(CurrentMtgRatesDataTable825[[#This Row],[asOfDate]],CurrentMtgRatesDataTable8256[#All],2,0)</f>
        <v>0.93090646498108043</v>
      </c>
      <c r="G56" s="27">
        <f>VLOOKUP(CurrentMtgRatesDataTable825[[#This Row],[asOfDate]],CurrentMtgRatesDataTable82562[],2,0)</f>
        <v>0.71029190543434573</v>
      </c>
      <c r="H56" s="27">
        <f>VLOOKUP(CurrentMtgRatesDataTable825[[#This Row],[asOfDate]],T:U,2,0)</f>
        <v>0.71892720085282324</v>
      </c>
      <c r="I56" s="58">
        <f>VLOOKUP(CurrentMtgRatesDataTable825[[#This Row],[asOfDate]],CurrentMtgRatesDataTable825623[#All],2,0)</f>
        <v>0.61007610137748614</v>
      </c>
      <c r="J56" s="27">
        <f>VLOOKUP(CurrentMtgRatesDataTable825[[#This Row],[asOfDate]],AC:AD,2,0)</f>
        <v>0.76194885743932395</v>
      </c>
      <c r="K56" s="27">
        <f>VLOOKUP(CurrentMtgRatesDataTable825[[#This Row],[asOfDate]],temp_1,2,0)</f>
        <v>0.80606898228656498</v>
      </c>
      <c r="M56" s="24">
        <v>40920</v>
      </c>
      <c r="N56" s="26">
        <v>0.93090646498108043</v>
      </c>
      <c r="O56" s="26">
        <f ca="1">VLOOKUP(CurrentMtgRatesDataTable8256[[#This Row],[asOfDate]]+1,Bloomberg!B:C,2,0)</f>
        <v>4626.5</v>
      </c>
      <c r="Q56" s="24">
        <v>40920</v>
      </c>
      <c r="R56" s="26">
        <v>0.71029190543434573</v>
      </c>
      <c r="T56" s="24">
        <v>40920</v>
      </c>
      <c r="U56" s="27">
        <v>0.71892720085282324</v>
      </c>
      <c r="W56" s="56">
        <v>40920</v>
      </c>
      <c r="X56" s="57">
        <v>0.61007610137748614</v>
      </c>
      <c r="Z56" s="1">
        <v>40920</v>
      </c>
      <c r="AA56">
        <v>0.62716866511220104</v>
      </c>
      <c r="AC56" s="1">
        <v>40920</v>
      </c>
      <c r="AD56">
        <v>0.76194885743932395</v>
      </c>
      <c r="AF56" s="1">
        <v>40920</v>
      </c>
      <c r="AG56">
        <v>0.80606898228656498</v>
      </c>
    </row>
    <row r="57" spans="2:33">
      <c r="B57" s="24">
        <v>40927</v>
      </c>
      <c r="C57" s="27">
        <v>0.95182771809710431</v>
      </c>
      <c r="D57" s="27">
        <v>0.94521629687954278</v>
      </c>
      <c r="E57" s="6">
        <f ca="1">VLOOKUP(CurrentMtgRatesDataTable825[[#This Row],[asOfDate]]+1,Bloomberg!B:C,2,0)</f>
        <v>4326.3999999999996</v>
      </c>
      <c r="F57" s="27">
        <f>VLOOKUP(CurrentMtgRatesDataTable825[[#This Row],[asOfDate]],CurrentMtgRatesDataTable8256[#All],2,0)</f>
        <v>0.93088678298606131</v>
      </c>
      <c r="G57" s="27">
        <f>VLOOKUP(CurrentMtgRatesDataTable825[[#This Row],[asOfDate]],CurrentMtgRatesDataTable82562[],2,0)</f>
        <v>0.70950341028365815</v>
      </c>
      <c r="H57" s="27">
        <f>VLOOKUP(CurrentMtgRatesDataTable825[[#This Row],[asOfDate]],T:U,2,0)</f>
        <v>0.71880362926806407</v>
      </c>
      <c r="I57" s="58">
        <f>VLOOKUP(CurrentMtgRatesDataTable825[[#This Row],[asOfDate]],CurrentMtgRatesDataTable825623[#All],2,0)</f>
        <v>0.6075488171158312</v>
      </c>
      <c r="J57" s="27">
        <f>VLOOKUP(CurrentMtgRatesDataTable825[[#This Row],[asOfDate]],AC:AD,2,0)</f>
        <v>0.76015152542719999</v>
      </c>
      <c r="K57" s="27">
        <f>VLOOKUP(CurrentMtgRatesDataTable825[[#This Row],[asOfDate]],temp_1,2,0)</f>
        <v>0.80437633407850995</v>
      </c>
      <c r="M57" s="24">
        <v>40927</v>
      </c>
      <c r="N57" s="26">
        <v>0.93088678298606131</v>
      </c>
      <c r="O57" s="26">
        <f ca="1">VLOOKUP(CurrentMtgRatesDataTable8256[[#This Row],[asOfDate]]+1,Bloomberg!B:C,2,0)</f>
        <v>4326.3999999999996</v>
      </c>
      <c r="Q57" s="24">
        <v>40927</v>
      </c>
      <c r="R57" s="26">
        <v>0.70950341028365815</v>
      </c>
      <c r="T57" s="24">
        <v>40927</v>
      </c>
      <c r="U57" s="27">
        <v>0.71880362926806407</v>
      </c>
      <c r="W57" s="56">
        <v>40927</v>
      </c>
      <c r="X57" s="57">
        <v>0.6075488171158312</v>
      </c>
      <c r="Z57" s="1">
        <v>40927</v>
      </c>
      <c r="AA57">
        <v>0.62463697336878699</v>
      </c>
      <c r="AC57" s="1">
        <v>40927</v>
      </c>
      <c r="AD57">
        <v>0.76015152542719999</v>
      </c>
      <c r="AF57" s="1">
        <v>40927</v>
      </c>
      <c r="AG57">
        <v>0.80437633407850995</v>
      </c>
    </row>
    <row r="58" spans="2:33">
      <c r="B58" s="24">
        <v>40934</v>
      </c>
      <c r="C58" s="27">
        <v>0.91861521434498927</v>
      </c>
      <c r="D58" s="27">
        <v>0.92836813009332531</v>
      </c>
      <c r="E58" s="6">
        <f ca="1">VLOOKUP(CurrentMtgRatesDataTable825[[#This Row],[asOfDate]]+1,Bloomberg!B:C,2,0)</f>
        <v>4184.3</v>
      </c>
      <c r="F58" s="27">
        <f>VLOOKUP(CurrentMtgRatesDataTable825[[#This Row],[asOfDate]],CurrentMtgRatesDataTable8256[#All],2,0)</f>
        <v>0.88426645621178879</v>
      </c>
      <c r="G58" s="27">
        <f>VLOOKUP(CurrentMtgRatesDataTable825[[#This Row],[asOfDate]],CurrentMtgRatesDataTable82562[],2,0)</f>
        <v>0.6768466690798014</v>
      </c>
      <c r="H58" s="27">
        <f>VLOOKUP(CurrentMtgRatesDataTable825[[#This Row],[asOfDate]],T:U,2,0)</f>
        <v>0.68591641414675153</v>
      </c>
      <c r="I58" s="58">
        <f>VLOOKUP(CurrentMtgRatesDataTable825[[#This Row],[asOfDate]],CurrentMtgRatesDataTable825623[#All],2,0)</f>
        <v>0.56757815274844003</v>
      </c>
      <c r="J58" s="27">
        <f>VLOOKUP(CurrentMtgRatesDataTable825[[#This Row],[asOfDate]],AC:AD,2,0)</f>
        <v>0.72538795894175401</v>
      </c>
      <c r="K58" s="27">
        <f>VLOOKUP(CurrentMtgRatesDataTable825[[#This Row],[asOfDate]],temp_1,2,0)</f>
        <v>0.77101655382029799</v>
      </c>
      <c r="M58" s="24">
        <v>40934</v>
      </c>
      <c r="N58" s="26">
        <v>0.88426645621178879</v>
      </c>
      <c r="O58" s="26">
        <f ca="1">VLOOKUP(CurrentMtgRatesDataTable8256[[#This Row],[asOfDate]]+1,Bloomberg!B:C,2,0)</f>
        <v>4184.3</v>
      </c>
      <c r="Q58" s="24">
        <v>40934</v>
      </c>
      <c r="R58" s="26">
        <v>0.6768466690798014</v>
      </c>
      <c r="T58" s="24">
        <v>40934</v>
      </c>
      <c r="U58" s="27">
        <v>0.68591641414675153</v>
      </c>
      <c r="W58" s="56">
        <v>40934</v>
      </c>
      <c r="X58" s="57">
        <v>0.56757815274844003</v>
      </c>
      <c r="Z58" s="1">
        <v>40934</v>
      </c>
      <c r="AA58">
        <v>0.58551436601988804</v>
      </c>
      <c r="AC58" s="1">
        <v>40934</v>
      </c>
      <c r="AD58">
        <v>0.72538795894175401</v>
      </c>
      <c r="AF58" s="1">
        <v>40934</v>
      </c>
      <c r="AG58">
        <v>0.77101655382029799</v>
      </c>
    </row>
    <row r="59" spans="2:33">
      <c r="B59" s="24">
        <v>40941</v>
      </c>
      <c r="C59" s="27">
        <v>0.94107838104995334</v>
      </c>
      <c r="D59" s="27">
        <v>0.92614028462655573</v>
      </c>
      <c r="E59" s="6">
        <f ca="1">VLOOKUP(CurrentMtgRatesDataTable825[[#This Row],[asOfDate]]+1,Bloomberg!B:C,2,0)</f>
        <v>4617.1000000000004</v>
      </c>
      <c r="F59" s="27">
        <f>VLOOKUP(CurrentMtgRatesDataTable825[[#This Row],[asOfDate]],CurrentMtgRatesDataTable8256[#All],2,0)</f>
        <v>0.91360112522716286</v>
      </c>
      <c r="G59" s="27">
        <f>VLOOKUP(CurrentMtgRatesDataTable825[[#This Row],[asOfDate]],CurrentMtgRatesDataTable82562[],2,0)</f>
        <v>0.691794492463359</v>
      </c>
      <c r="H59" s="27">
        <f>VLOOKUP(CurrentMtgRatesDataTable825[[#This Row],[asOfDate]],T:U,2,0)</f>
        <v>0.70090674609623727</v>
      </c>
      <c r="I59" s="58">
        <f>VLOOKUP(CurrentMtgRatesDataTable825[[#This Row],[asOfDate]],CurrentMtgRatesDataTable825623[#All],2,0)</f>
        <v>0.59021628278930161</v>
      </c>
      <c r="J59" s="27">
        <f>VLOOKUP(CurrentMtgRatesDataTable825[[#This Row],[asOfDate]],AC:AD,2,0)</f>
        <v>0.73976850442679698</v>
      </c>
      <c r="K59" s="27">
        <f>VLOOKUP(CurrentMtgRatesDataTable825[[#This Row],[asOfDate]],temp_1,2,0)</f>
        <v>0.78569858522023195</v>
      </c>
      <c r="M59" s="24">
        <v>40941</v>
      </c>
      <c r="N59" s="26">
        <v>0.91360112522716286</v>
      </c>
      <c r="O59" s="26">
        <f ca="1">VLOOKUP(CurrentMtgRatesDataTable8256[[#This Row],[asOfDate]]+1,Bloomberg!B:C,2,0)</f>
        <v>4617.1000000000004</v>
      </c>
      <c r="Q59" s="24">
        <v>40941</v>
      </c>
      <c r="R59" s="26">
        <v>0.691794492463359</v>
      </c>
      <c r="T59" s="24">
        <v>40941</v>
      </c>
      <c r="U59" s="27">
        <v>0.70090674609623727</v>
      </c>
      <c r="W59" s="56">
        <v>40941</v>
      </c>
      <c r="X59" s="57">
        <v>0.59021628278930161</v>
      </c>
      <c r="Z59" s="1">
        <v>40941</v>
      </c>
      <c r="AA59">
        <v>0.60694127442694001</v>
      </c>
      <c r="AC59" s="1">
        <v>40941</v>
      </c>
      <c r="AD59">
        <v>0.73976850442679698</v>
      </c>
      <c r="AF59" s="1">
        <v>40941</v>
      </c>
      <c r="AG59">
        <v>0.78569858522023195</v>
      </c>
    </row>
    <row r="60" spans="2:33">
      <c r="B60" s="24">
        <v>40948</v>
      </c>
      <c r="C60" s="27">
        <v>0.94107838104995334</v>
      </c>
      <c r="D60" s="27">
        <v>0.92614028462655573</v>
      </c>
      <c r="E60" s="6">
        <f ca="1">VLOOKUP(CurrentMtgRatesDataTable825[[#This Row],[asOfDate]]+1,Bloomberg!B:C,2,0)</f>
        <v>4716.1000000000004</v>
      </c>
      <c r="F60" s="27">
        <f>VLOOKUP(CurrentMtgRatesDataTable825[[#This Row],[asOfDate]],CurrentMtgRatesDataTable8256[#All],2,0)</f>
        <v>0.91360112522716286</v>
      </c>
      <c r="G60" s="27">
        <f>VLOOKUP(CurrentMtgRatesDataTable825[[#This Row],[asOfDate]],CurrentMtgRatesDataTable82562[],2,0)</f>
        <v>0.691794492463359</v>
      </c>
      <c r="H60" s="27">
        <f>VLOOKUP(CurrentMtgRatesDataTable825[[#This Row],[asOfDate]],T:U,2,0)</f>
        <v>0.70090674609623727</v>
      </c>
      <c r="I60" s="58">
        <f>VLOOKUP(CurrentMtgRatesDataTable825[[#This Row],[asOfDate]],CurrentMtgRatesDataTable825623[#All],2,0)</f>
        <v>0.59021628278930161</v>
      </c>
      <c r="J60" s="27">
        <f>VLOOKUP(CurrentMtgRatesDataTable825[[#This Row],[asOfDate]],AC:AD,2,0)</f>
        <v>0.73976850442679698</v>
      </c>
      <c r="K60" s="27">
        <f>VLOOKUP(CurrentMtgRatesDataTable825[[#This Row],[asOfDate]],temp_1,2,0)</f>
        <v>0.78569858522023195</v>
      </c>
      <c r="M60" s="24">
        <v>40948</v>
      </c>
      <c r="N60" s="26">
        <v>0.91360112522716286</v>
      </c>
      <c r="O60" s="26">
        <f ca="1">VLOOKUP(CurrentMtgRatesDataTable8256[[#This Row],[asOfDate]]+1,Bloomberg!B:C,2,0)</f>
        <v>4716.1000000000004</v>
      </c>
      <c r="Q60" s="24">
        <v>40948</v>
      </c>
      <c r="R60" s="26">
        <v>0.691794492463359</v>
      </c>
      <c r="T60" s="24">
        <v>40948</v>
      </c>
      <c r="U60" s="27">
        <v>0.70090674609623727</v>
      </c>
      <c r="W60" s="56">
        <v>40948</v>
      </c>
      <c r="X60" s="57">
        <v>0.59021628278930161</v>
      </c>
      <c r="Z60" s="1">
        <v>40948</v>
      </c>
      <c r="AA60">
        <v>0.60694127442694001</v>
      </c>
      <c r="AC60" s="1">
        <v>40948</v>
      </c>
      <c r="AD60">
        <v>0.73976850442679698</v>
      </c>
      <c r="AF60" s="1">
        <v>40948</v>
      </c>
      <c r="AG60">
        <v>0.78569858522023195</v>
      </c>
    </row>
    <row r="61" spans="2:33">
      <c r="B61" s="24">
        <v>40955</v>
      </c>
      <c r="C61" s="27">
        <v>0.94107838104995334</v>
      </c>
      <c r="D61" s="27">
        <v>0.92614028462655573</v>
      </c>
      <c r="E61" s="6">
        <f ca="1">VLOOKUP(CurrentMtgRatesDataTable825[[#This Row],[asOfDate]]+1,Bloomberg!B:C,2,0)</f>
        <v>4466.8999999999996</v>
      </c>
      <c r="F61" s="27">
        <f>VLOOKUP(CurrentMtgRatesDataTable825[[#This Row],[asOfDate]],CurrentMtgRatesDataTable8256[#All],2,0)</f>
        <v>0.91360112522716286</v>
      </c>
      <c r="G61" s="27">
        <f>VLOOKUP(CurrentMtgRatesDataTable825[[#This Row],[asOfDate]],CurrentMtgRatesDataTable82562[],2,0)</f>
        <v>0.691794492463359</v>
      </c>
      <c r="H61" s="27">
        <f>VLOOKUP(CurrentMtgRatesDataTable825[[#This Row],[asOfDate]],T:U,2,0)</f>
        <v>0.70090674609623727</v>
      </c>
      <c r="I61" s="58">
        <f>VLOOKUP(CurrentMtgRatesDataTable825[[#This Row],[asOfDate]],CurrentMtgRatesDataTable825623[#All],2,0)</f>
        <v>0.59021628278930161</v>
      </c>
      <c r="J61" s="27">
        <f>VLOOKUP(CurrentMtgRatesDataTable825[[#This Row],[asOfDate]],AC:AD,2,0)</f>
        <v>0.73976850442679698</v>
      </c>
      <c r="K61" s="27">
        <f>VLOOKUP(CurrentMtgRatesDataTable825[[#This Row],[asOfDate]],temp_1,2,0)</f>
        <v>0.78569858522023195</v>
      </c>
      <c r="M61" s="24">
        <v>40955</v>
      </c>
      <c r="N61" s="26">
        <v>0.91360112522716286</v>
      </c>
      <c r="O61" s="26">
        <f ca="1">VLOOKUP(CurrentMtgRatesDataTable8256[[#This Row],[asOfDate]]+1,Bloomberg!B:C,2,0)</f>
        <v>4466.8999999999996</v>
      </c>
      <c r="Q61" s="24">
        <v>40955</v>
      </c>
      <c r="R61" s="26">
        <v>0.691794492463359</v>
      </c>
      <c r="T61" s="24">
        <v>40955</v>
      </c>
      <c r="U61" s="27">
        <v>0.70090674609623727</v>
      </c>
      <c r="W61" s="56">
        <v>40955</v>
      </c>
      <c r="X61" s="57">
        <v>0.59021628278930161</v>
      </c>
      <c r="Z61" s="1">
        <v>40955</v>
      </c>
      <c r="AA61">
        <v>0.60694127442694001</v>
      </c>
      <c r="AC61" s="1">
        <v>40955</v>
      </c>
      <c r="AD61">
        <v>0.73976850442679698</v>
      </c>
      <c r="AF61" s="1">
        <v>40955</v>
      </c>
      <c r="AG61">
        <v>0.78569858522023195</v>
      </c>
    </row>
    <row r="62" spans="2:33">
      <c r="B62" s="24">
        <v>40962</v>
      </c>
      <c r="C62" s="27">
        <v>0.90921329115869776</v>
      </c>
      <c r="D62" s="27">
        <v>0.90939509439675226</v>
      </c>
      <c r="E62" s="6">
        <f ca="1">VLOOKUP(CurrentMtgRatesDataTable825[[#This Row],[asOfDate]]+1,Bloomberg!B:C,2,0)</f>
        <v>4379.1000000000004</v>
      </c>
      <c r="F62" s="27">
        <f>VLOOKUP(CurrentMtgRatesDataTable825[[#This Row],[asOfDate]],CurrentMtgRatesDataTable8256[#All],2,0)</f>
        <v>0.86453426929410926</v>
      </c>
      <c r="G62" s="27">
        <f>VLOOKUP(CurrentMtgRatesDataTable825[[#This Row],[asOfDate]],CurrentMtgRatesDataTable82562[],2,0)</f>
        <v>0.65880324187098283</v>
      </c>
      <c r="H62" s="27">
        <f>VLOOKUP(CurrentMtgRatesDataTable825[[#This Row],[asOfDate]],T:U,2,0)</f>
        <v>0.66768685957234042</v>
      </c>
      <c r="I62" s="58">
        <f>VLOOKUP(CurrentMtgRatesDataTable825[[#This Row],[asOfDate]],CurrentMtgRatesDataTable825623[#All],2,0)</f>
        <v>0.55038966954359403</v>
      </c>
      <c r="J62" s="27">
        <f>VLOOKUP(CurrentMtgRatesDataTable825[[#This Row],[asOfDate]],AC:AD,2,0)</f>
        <v>0.70482380254349597</v>
      </c>
      <c r="K62" s="27">
        <f>VLOOKUP(CurrentMtgRatesDataTable825[[#This Row],[asOfDate]],temp_1,2,0)</f>
        <v>0.75212890691069101</v>
      </c>
      <c r="M62" s="24">
        <v>40962</v>
      </c>
      <c r="N62" s="26">
        <v>0.86453426929410926</v>
      </c>
      <c r="O62" s="26">
        <f ca="1">VLOOKUP(CurrentMtgRatesDataTable8256[[#This Row],[asOfDate]]+1,Bloomberg!B:C,2,0)</f>
        <v>4379.1000000000004</v>
      </c>
      <c r="Q62" s="24">
        <v>40962</v>
      </c>
      <c r="R62" s="26">
        <v>0.65880324187098283</v>
      </c>
      <c r="T62" s="24">
        <v>40962</v>
      </c>
      <c r="U62" s="27">
        <v>0.66768685957234042</v>
      </c>
      <c r="W62" s="56">
        <v>40962</v>
      </c>
      <c r="X62" s="57">
        <v>0.55038966954359403</v>
      </c>
      <c r="Z62" s="1">
        <v>40962</v>
      </c>
      <c r="AA62">
        <v>0.56792528642142004</v>
      </c>
      <c r="AC62" s="1">
        <v>40962</v>
      </c>
      <c r="AD62">
        <v>0.70482380254349597</v>
      </c>
      <c r="AF62" s="1">
        <v>40962</v>
      </c>
      <c r="AG62">
        <v>0.75212890691069101</v>
      </c>
    </row>
    <row r="63" spans="2:33">
      <c r="B63" s="24">
        <v>40969</v>
      </c>
      <c r="C63" s="27">
        <v>0.91584710240533518</v>
      </c>
      <c r="D63" s="27">
        <v>0.89500065288885389</v>
      </c>
      <c r="E63" s="6">
        <f ca="1">VLOOKUP(CurrentMtgRatesDataTable825[[#This Row],[asOfDate]]+1,Bloomberg!B:C,2,0)</f>
        <v>4277.6000000000004</v>
      </c>
      <c r="F63" s="27">
        <f>VLOOKUP(CurrentMtgRatesDataTable825[[#This Row],[asOfDate]],CurrentMtgRatesDataTable8256[#All],2,0)</f>
        <v>0.8998965016430206</v>
      </c>
      <c r="G63" s="27">
        <f>VLOOKUP(CurrentMtgRatesDataTable825[[#This Row],[asOfDate]],CurrentMtgRatesDataTable82562[],2,0)</f>
        <v>0.6768042748029276</v>
      </c>
      <c r="H63" s="27">
        <f>VLOOKUP(CurrentMtgRatesDataTable825[[#This Row],[asOfDate]],T:U,2,0)</f>
        <v>0.68578772853860537</v>
      </c>
      <c r="I63" s="58">
        <f>VLOOKUP(CurrentMtgRatesDataTable825[[#This Row],[asOfDate]],CurrentMtgRatesDataTable825623[#All],2,0)</f>
        <v>0.56168586846910651</v>
      </c>
      <c r="J63" s="27">
        <f>VLOOKUP(CurrentMtgRatesDataTable825[[#This Row],[asOfDate]],AC:AD,2,0)</f>
        <v>0.71197045097818001</v>
      </c>
      <c r="K63" s="27">
        <f>VLOOKUP(CurrentMtgRatesDataTable825[[#This Row],[asOfDate]],temp_1,2,0)</f>
        <v>0.76046432171719602</v>
      </c>
      <c r="M63" s="24">
        <v>40969</v>
      </c>
      <c r="N63" s="26">
        <v>0.8998965016430206</v>
      </c>
      <c r="O63" s="26">
        <f ca="1">VLOOKUP(CurrentMtgRatesDataTable8256[[#This Row],[asOfDate]]+1,Bloomberg!B:C,2,0)</f>
        <v>4277.6000000000004</v>
      </c>
      <c r="Q63" s="24">
        <v>40969</v>
      </c>
      <c r="R63" s="26">
        <v>0.6768042748029276</v>
      </c>
      <c r="T63" s="24">
        <v>40969</v>
      </c>
      <c r="U63" s="27">
        <v>0.68578772853860537</v>
      </c>
      <c r="W63" s="56">
        <v>40969</v>
      </c>
      <c r="X63" s="57">
        <v>0.56168586846910651</v>
      </c>
      <c r="Z63" s="1">
        <v>40969</v>
      </c>
      <c r="AA63">
        <v>0.57803081125714095</v>
      </c>
      <c r="AC63" s="1">
        <v>40969</v>
      </c>
      <c r="AD63">
        <v>0.71197045097818001</v>
      </c>
      <c r="AF63" s="1">
        <v>40969</v>
      </c>
      <c r="AG63">
        <v>0.76046432171719602</v>
      </c>
    </row>
    <row r="64" spans="2:33">
      <c r="B64" s="24">
        <v>40976</v>
      </c>
      <c r="C64" s="27">
        <v>0.91902765125865959</v>
      </c>
      <c r="D64" s="27">
        <v>0.89500065288885389</v>
      </c>
      <c r="E64" s="6">
        <f ca="1">VLOOKUP(CurrentMtgRatesDataTable825[[#This Row],[asOfDate]]+1,Bloomberg!B:C,2,0)</f>
        <v>4063.4</v>
      </c>
      <c r="F64" s="27">
        <f>VLOOKUP(CurrentMtgRatesDataTable825[[#This Row],[asOfDate]],CurrentMtgRatesDataTable8256[#All],2,0)</f>
        <v>0.89998685767725373</v>
      </c>
      <c r="G64" s="27">
        <f>VLOOKUP(CurrentMtgRatesDataTable825[[#This Row],[asOfDate]],CurrentMtgRatesDataTable82562[],2,0)</f>
        <v>0.67687616474817947</v>
      </c>
      <c r="H64" s="27">
        <f>VLOOKUP(CurrentMtgRatesDataTable825[[#This Row],[asOfDate]],T:U,2,0)</f>
        <v>0.68585905113025258</v>
      </c>
      <c r="I64" s="58">
        <f>VLOOKUP(CurrentMtgRatesDataTable825[[#This Row],[asOfDate]],CurrentMtgRatesDataTable825623[#All],2,0)</f>
        <v>0.57507010563023941</v>
      </c>
      <c r="J64" s="27">
        <f>VLOOKUP(CurrentMtgRatesDataTable825[[#This Row],[asOfDate]],AC:AD,2,0)</f>
        <v>0.72185562668080905</v>
      </c>
      <c r="K64" s="27">
        <f>VLOOKUP(CurrentMtgRatesDataTable825[[#This Row],[asOfDate]],temp_1,2,0)</f>
        <v>0.769583122656471</v>
      </c>
      <c r="M64" s="24">
        <v>40976</v>
      </c>
      <c r="N64" s="26">
        <v>0.89998685767725373</v>
      </c>
      <c r="O64" s="26">
        <f ca="1">VLOOKUP(CurrentMtgRatesDataTable8256[[#This Row],[asOfDate]]+1,Bloomberg!B:C,2,0)</f>
        <v>4063.4</v>
      </c>
      <c r="Q64" s="24">
        <v>40976</v>
      </c>
      <c r="R64" s="26">
        <v>0.67687616474817947</v>
      </c>
      <c r="T64" s="24">
        <v>40976</v>
      </c>
      <c r="U64" s="27">
        <v>0.68585905113025258</v>
      </c>
      <c r="W64" s="56">
        <v>40976</v>
      </c>
      <c r="X64" s="57">
        <v>0.57507010563023941</v>
      </c>
      <c r="Z64" s="1">
        <v>40976</v>
      </c>
      <c r="AA64">
        <v>0.59143229740486702</v>
      </c>
      <c r="AC64" s="1">
        <v>40976</v>
      </c>
      <c r="AD64">
        <v>0.72185562668080905</v>
      </c>
      <c r="AF64" s="1">
        <v>40976</v>
      </c>
      <c r="AG64">
        <v>0.769583122656471</v>
      </c>
    </row>
    <row r="65" spans="2:33">
      <c r="B65" s="24">
        <v>40983</v>
      </c>
      <c r="C65" s="27">
        <v>0.90514599034862198</v>
      </c>
      <c r="D65" s="27">
        <v>0.89500065288885389</v>
      </c>
      <c r="E65" s="6">
        <f ca="1">VLOOKUP(CurrentMtgRatesDataTable825[[#This Row],[asOfDate]]+1,Bloomberg!B:C,2,0)</f>
        <v>3715.2</v>
      </c>
      <c r="F65" s="27">
        <f>VLOOKUP(CurrentMtgRatesDataTable825[[#This Row],[asOfDate]],CurrentMtgRatesDataTable8256[#All],2,0)</f>
        <v>0.89987035776157298</v>
      </c>
      <c r="G65" s="27">
        <f>VLOOKUP(CurrentMtgRatesDataTable825[[#This Row],[asOfDate]],CurrentMtgRatesDataTable82562[],2,0)</f>
        <v>0.67666690882866454</v>
      </c>
      <c r="H65" s="27">
        <f>VLOOKUP(CurrentMtgRatesDataTable825[[#This Row],[asOfDate]],T:U,2,0)</f>
        <v>0.68564931358979331</v>
      </c>
      <c r="I65" s="58">
        <f>VLOOKUP(CurrentMtgRatesDataTable825[[#This Row],[asOfDate]],CurrentMtgRatesDataTable825623[#All],2,0)</f>
        <v>0.56062904678556613</v>
      </c>
      <c r="J65" s="27">
        <f>VLOOKUP(CurrentMtgRatesDataTable825[[#This Row],[asOfDate]],AC:AD,2,0)</f>
        <v>0.71184965643423004</v>
      </c>
      <c r="K65" s="27">
        <f>VLOOKUP(CurrentMtgRatesDataTable825[[#This Row],[asOfDate]],temp_1,2,0)</f>
        <v>0.760354139396616</v>
      </c>
      <c r="M65" s="24">
        <v>40983</v>
      </c>
      <c r="N65" s="26">
        <v>0.89987035776157298</v>
      </c>
      <c r="O65" s="26">
        <f ca="1">VLOOKUP(CurrentMtgRatesDataTable8256[[#This Row],[asOfDate]]+1,Bloomberg!B:C,2,0)</f>
        <v>3715.2</v>
      </c>
      <c r="Q65" s="24">
        <v>40983</v>
      </c>
      <c r="R65" s="26">
        <v>0.67666690882866454</v>
      </c>
      <c r="T65" s="24">
        <v>40983</v>
      </c>
      <c r="U65" s="27">
        <v>0.68564931358979331</v>
      </c>
      <c r="W65" s="56">
        <v>40983</v>
      </c>
      <c r="X65" s="57">
        <v>0.56062904678556613</v>
      </c>
      <c r="Z65" s="1">
        <v>40983</v>
      </c>
      <c r="AA65">
        <v>0.57713624097697003</v>
      </c>
      <c r="AC65" s="1">
        <v>40983</v>
      </c>
      <c r="AD65">
        <v>0.71184965643423004</v>
      </c>
      <c r="AF65" s="1">
        <v>40983</v>
      </c>
      <c r="AG65">
        <v>0.760354139396616</v>
      </c>
    </row>
    <row r="66" spans="2:33">
      <c r="B66" s="24">
        <v>40990</v>
      </c>
      <c r="C66" s="27">
        <v>0.78959380464288376</v>
      </c>
      <c r="D66" s="27">
        <v>0.81610794501974793</v>
      </c>
      <c r="E66" s="6">
        <f ca="1">VLOOKUP(CurrentMtgRatesDataTable825[[#This Row],[asOfDate]]+1,Bloomberg!B:C,2,0)</f>
        <v>3588.4</v>
      </c>
      <c r="F66" s="27">
        <f>VLOOKUP(CurrentMtgRatesDataTable825[[#This Row],[asOfDate]],CurrentMtgRatesDataTable8256[#All],2,0)</f>
        <v>0.79963025534966692</v>
      </c>
      <c r="G66" s="27">
        <f>VLOOKUP(CurrentMtgRatesDataTable825[[#This Row],[asOfDate]],CurrentMtgRatesDataTable82562[],2,0)</f>
        <v>0.59032138856351324</v>
      </c>
      <c r="H66" s="27">
        <f>VLOOKUP(CurrentMtgRatesDataTable825[[#This Row],[asOfDate]],T:U,2,0)</f>
        <v>0.59885812506806924</v>
      </c>
      <c r="I66" s="58">
        <f>VLOOKUP(CurrentMtgRatesDataTable825[[#This Row],[asOfDate]],CurrentMtgRatesDataTable825623[#All],2,0)</f>
        <v>0.4708307878948611</v>
      </c>
      <c r="J66" s="27">
        <f>VLOOKUP(CurrentMtgRatesDataTable825[[#This Row],[asOfDate]],AC:AD,2,0)</f>
        <v>0.63003810447880604</v>
      </c>
      <c r="K66" s="27">
        <f>VLOOKUP(CurrentMtgRatesDataTable825[[#This Row],[asOfDate]],temp_1,2,0)</f>
        <v>0.68235415299983104</v>
      </c>
      <c r="M66" s="24">
        <v>40990</v>
      </c>
      <c r="N66" s="26">
        <v>0.79963025534966692</v>
      </c>
      <c r="O66" s="26">
        <f ca="1">VLOOKUP(CurrentMtgRatesDataTable8256[[#This Row],[asOfDate]]+1,Bloomberg!B:C,2,0)</f>
        <v>3588.4</v>
      </c>
      <c r="Q66" s="24">
        <v>40990</v>
      </c>
      <c r="R66" s="26">
        <v>0.59032138856351324</v>
      </c>
      <c r="T66" s="24">
        <v>40990</v>
      </c>
      <c r="U66" s="27">
        <v>0.59885812506806924</v>
      </c>
      <c r="W66" s="56">
        <v>40990</v>
      </c>
      <c r="X66" s="57">
        <v>0.4708307878948611</v>
      </c>
      <c r="Z66" s="1">
        <v>40990</v>
      </c>
      <c r="AA66">
        <v>0.49049181145255799</v>
      </c>
      <c r="AC66" s="1">
        <v>40990</v>
      </c>
      <c r="AD66">
        <v>0.63003810447880604</v>
      </c>
      <c r="AF66" s="1">
        <v>40990</v>
      </c>
      <c r="AG66">
        <v>0.68235415299983104</v>
      </c>
    </row>
    <row r="67" spans="2:33">
      <c r="B67" s="24">
        <v>40997</v>
      </c>
      <c r="C67" s="27">
        <v>0.87490910290764468</v>
      </c>
      <c r="D67" s="27">
        <v>0.87861592060091576</v>
      </c>
      <c r="E67" s="6">
        <f ca="1">VLOOKUP(CurrentMtgRatesDataTable825[[#This Row],[asOfDate]]+1,Bloomberg!B:C,2,0)</f>
        <v>3699.5</v>
      </c>
      <c r="F67" s="27">
        <f>VLOOKUP(CurrentMtgRatesDataTable825[[#This Row],[asOfDate]],CurrentMtgRatesDataTable8256[#All],2,0)</f>
        <v>0.84935496597160542</v>
      </c>
      <c r="G67" s="27">
        <f>VLOOKUP(CurrentMtgRatesDataTable825[[#This Row],[asOfDate]],CurrentMtgRatesDataTable82562[],2,0)</f>
        <v>0.64352631185007236</v>
      </c>
      <c r="H67" s="27">
        <f>VLOOKUP(CurrentMtgRatesDataTable825[[#This Row],[asOfDate]],T:U,2,0)</f>
        <v>0.65228379705075934</v>
      </c>
      <c r="I67" s="58">
        <f>VLOOKUP(CurrentMtgRatesDataTable825[[#This Row],[asOfDate]],CurrentMtgRatesDataTable825623[#All],2,0)</f>
        <v>0.53275480546964971</v>
      </c>
      <c r="J67" s="27">
        <f>VLOOKUP(CurrentMtgRatesDataTable825[[#This Row],[asOfDate]],AC:AD,2,0)</f>
        <v>0.68476549375243201</v>
      </c>
      <c r="K67" s="27">
        <f>VLOOKUP(CurrentMtgRatesDataTable825[[#This Row],[asOfDate]],temp_1,2,0)</f>
        <v>0.73476761977876004</v>
      </c>
      <c r="M67" s="24">
        <v>40997</v>
      </c>
      <c r="N67" s="26">
        <v>0.84935496597160542</v>
      </c>
      <c r="O67" s="26">
        <f ca="1">VLOOKUP(CurrentMtgRatesDataTable8256[[#This Row],[asOfDate]]+1,Bloomberg!B:C,2,0)</f>
        <v>3699.5</v>
      </c>
      <c r="Q67" s="24">
        <v>40997</v>
      </c>
      <c r="R67" s="26">
        <v>0.64352631185007236</v>
      </c>
      <c r="T67" s="24">
        <v>40997</v>
      </c>
      <c r="U67" s="27">
        <v>0.65228379705075934</v>
      </c>
      <c r="W67" s="56">
        <v>40997</v>
      </c>
      <c r="X67" s="57">
        <v>0.53275480546964971</v>
      </c>
      <c r="Z67" s="1">
        <v>40997</v>
      </c>
      <c r="AA67">
        <v>0.54981654187899498</v>
      </c>
      <c r="AC67" s="1">
        <v>40997</v>
      </c>
      <c r="AD67">
        <v>0.68476549375243201</v>
      </c>
      <c r="AF67" s="1">
        <v>40997</v>
      </c>
      <c r="AG67">
        <v>0.73476761977876004</v>
      </c>
    </row>
    <row r="68" spans="2:33">
      <c r="B68" s="24">
        <v>41004</v>
      </c>
      <c r="C68" s="27">
        <v>0.86928745494692716</v>
      </c>
      <c r="D68" s="27">
        <v>0.86207936315662148</v>
      </c>
      <c r="E68" s="6">
        <f ca="1">VLOOKUP(CurrentMtgRatesDataTable825[[#This Row],[asOfDate]]+1,Bloomberg!B:C,2,0)</f>
        <v>3549.3</v>
      </c>
      <c r="F68" s="27">
        <f>VLOOKUP(CurrentMtgRatesDataTable825[[#This Row],[asOfDate]],CurrentMtgRatesDataTable8256[#All],2,0)</f>
        <v>0.83420792590434467</v>
      </c>
      <c r="G68" s="27">
        <f>VLOOKUP(CurrentMtgRatesDataTable825[[#This Row],[asOfDate]],CurrentMtgRatesDataTable82562[],2,0)</f>
        <v>0.64723923967041441</v>
      </c>
      <c r="H68" s="27">
        <f>VLOOKUP(CurrentMtgRatesDataTable825[[#This Row],[asOfDate]],T:U,2,0)</f>
        <v>0.65610516867504221</v>
      </c>
      <c r="I68" s="58">
        <f>VLOOKUP(CurrentMtgRatesDataTable825[[#This Row],[asOfDate]],CurrentMtgRatesDataTable825623[#All],2,0)</f>
        <v>0.55204144089130647</v>
      </c>
      <c r="J68" s="27">
        <f>VLOOKUP(CurrentMtgRatesDataTable825[[#This Row],[asOfDate]],AC:AD,2,0)</f>
        <v>0.68702063249841105</v>
      </c>
      <c r="K68" s="27">
        <f>VLOOKUP(CurrentMtgRatesDataTable825[[#This Row],[asOfDate]],temp_1,2,0)</f>
        <v>0.73755756512459603</v>
      </c>
      <c r="M68" s="24">
        <v>41004</v>
      </c>
      <c r="N68" s="26">
        <v>0.83420792590434467</v>
      </c>
      <c r="O68" s="26">
        <f ca="1">VLOOKUP(CurrentMtgRatesDataTable8256[[#This Row],[asOfDate]]+1,Bloomberg!B:C,2,0)</f>
        <v>3549.3</v>
      </c>
      <c r="Q68" s="24">
        <v>41004</v>
      </c>
      <c r="R68" s="26">
        <v>0.64723923967041441</v>
      </c>
      <c r="T68" s="24">
        <v>41004</v>
      </c>
      <c r="U68" s="27">
        <v>0.65610516867504221</v>
      </c>
      <c r="W68" s="56">
        <v>41004</v>
      </c>
      <c r="X68" s="57">
        <v>0.55204144089130647</v>
      </c>
      <c r="Z68" s="1">
        <v>41004</v>
      </c>
      <c r="AA68">
        <v>0.56842744331591599</v>
      </c>
      <c r="AC68" s="1">
        <v>41004</v>
      </c>
      <c r="AD68">
        <v>0.68702063249841105</v>
      </c>
      <c r="AF68" s="1">
        <v>41004</v>
      </c>
      <c r="AG68">
        <v>0.73755756512459603</v>
      </c>
    </row>
    <row r="69" spans="2:33">
      <c r="B69" s="24">
        <v>41011</v>
      </c>
      <c r="C69" s="27">
        <v>0.90849340717481886</v>
      </c>
      <c r="D69" s="27">
        <v>0.87832051991835292</v>
      </c>
      <c r="E69" s="6">
        <f ca="1">VLOOKUP(CurrentMtgRatesDataTable825[[#This Row],[asOfDate]]+1,Bloomberg!B:C,2,0)</f>
        <v>4144.3</v>
      </c>
      <c r="F69" s="27">
        <f>VLOOKUP(CurrentMtgRatesDataTable825[[#This Row],[asOfDate]],CurrentMtgRatesDataTable8256[#All],2,0)</f>
        <v>0.88546928546811865</v>
      </c>
      <c r="G69" s="27">
        <f>VLOOKUP(CurrentMtgRatesDataTable825[[#This Row],[asOfDate]],CurrentMtgRatesDataTable82562[],2,0)</f>
        <v>0.70114627754493941</v>
      </c>
      <c r="H69" s="27">
        <f>VLOOKUP(CurrentMtgRatesDataTable825[[#This Row],[asOfDate]],T:U,2,0)</f>
        <v>0.70976914085945686</v>
      </c>
      <c r="I69" s="58">
        <f>VLOOKUP(CurrentMtgRatesDataTable825[[#This Row],[asOfDate]],CurrentMtgRatesDataTable825623[#All],2,0)</f>
        <v>0.61520517788323992</v>
      </c>
      <c r="J69" s="27">
        <f>VLOOKUP(CurrentMtgRatesDataTable825[[#This Row],[asOfDate]],AC:AD,2,0)</f>
        <v>0.74360097428026795</v>
      </c>
      <c r="K69" s="27">
        <f>VLOOKUP(CurrentMtgRatesDataTable825[[#This Row],[asOfDate]],temp_1,2,0)</f>
        <v>0.79074299766476497</v>
      </c>
      <c r="M69" s="24">
        <v>41011</v>
      </c>
      <c r="N69" s="26">
        <v>0.88546928546811865</v>
      </c>
      <c r="O69" s="26">
        <f ca="1">VLOOKUP(CurrentMtgRatesDataTable8256[[#This Row],[asOfDate]]+1,Bloomberg!B:C,2,0)</f>
        <v>4144.3</v>
      </c>
      <c r="Q69" s="24">
        <v>41011</v>
      </c>
      <c r="R69" s="26">
        <v>0.70114627754493941</v>
      </c>
      <c r="T69" s="24">
        <v>41011</v>
      </c>
      <c r="U69" s="27">
        <v>0.70976914085945686</v>
      </c>
      <c r="W69" s="56">
        <v>41011</v>
      </c>
      <c r="X69" s="57">
        <v>0.61520517788323992</v>
      </c>
      <c r="Z69" s="1">
        <v>41011</v>
      </c>
      <c r="AA69">
        <v>0.63040932783689696</v>
      </c>
      <c r="AC69" s="1">
        <v>41011</v>
      </c>
      <c r="AD69">
        <v>0.74360097428026795</v>
      </c>
      <c r="AF69" s="1">
        <v>41011</v>
      </c>
      <c r="AG69">
        <v>0.79074299766476497</v>
      </c>
    </row>
    <row r="70" spans="2:33">
      <c r="B70" s="24">
        <v>41018</v>
      </c>
      <c r="C70" s="27">
        <v>0.9034983903169389</v>
      </c>
      <c r="D70" s="27">
        <v>0.87832051991835292</v>
      </c>
      <c r="E70" s="6">
        <f ca="1">VLOOKUP(CurrentMtgRatesDataTable825[[#This Row],[asOfDate]]+1,Bloomberg!B:C,2,0)</f>
        <v>3892.2</v>
      </c>
      <c r="F70" s="27">
        <f>VLOOKUP(CurrentMtgRatesDataTable825[[#This Row],[asOfDate]],CurrentMtgRatesDataTable8256[#All],2,0)</f>
        <v>0.88532092394225137</v>
      </c>
      <c r="G70" s="27">
        <f>VLOOKUP(CurrentMtgRatesDataTable825[[#This Row],[asOfDate]],CurrentMtgRatesDataTable82562[],2,0)</f>
        <v>0.68067991850220211</v>
      </c>
      <c r="H70" s="27">
        <f>VLOOKUP(CurrentMtgRatesDataTable825[[#This Row],[asOfDate]],T:U,2,0)</f>
        <v>0.68977407029497229</v>
      </c>
      <c r="I70" s="58">
        <f>VLOOKUP(CurrentMtgRatesDataTable825[[#This Row],[asOfDate]],CurrentMtgRatesDataTable825623[#All],2,0)</f>
        <v>0.57950169097067328</v>
      </c>
      <c r="J70" s="27">
        <f>VLOOKUP(CurrentMtgRatesDataTable825[[#This Row],[asOfDate]],AC:AD,2,0)</f>
        <v>0.71319163212853798</v>
      </c>
      <c r="K70" s="27">
        <f>VLOOKUP(CurrentMtgRatesDataTable825[[#This Row],[asOfDate]],temp_1,2,0)</f>
        <v>0.76301875675410702</v>
      </c>
      <c r="M70" s="24">
        <v>41018</v>
      </c>
      <c r="N70" s="26">
        <v>0.88532092394225137</v>
      </c>
      <c r="O70" s="26">
        <f ca="1">VLOOKUP(CurrentMtgRatesDataTable8256[[#This Row],[asOfDate]]+1,Bloomberg!B:C,2,0)</f>
        <v>3892.2</v>
      </c>
      <c r="Q70" s="24">
        <v>41018</v>
      </c>
      <c r="R70" s="26">
        <v>0.68067991850220211</v>
      </c>
      <c r="T70" s="24">
        <v>41018</v>
      </c>
      <c r="U70" s="27">
        <v>0.68977407029497229</v>
      </c>
      <c r="W70" s="56">
        <v>41018</v>
      </c>
      <c r="X70" s="57">
        <v>0.57950169097067328</v>
      </c>
      <c r="Z70" s="1">
        <v>41018</v>
      </c>
      <c r="AA70">
        <v>0.59508953698551004</v>
      </c>
      <c r="AC70" s="1">
        <v>41018</v>
      </c>
      <c r="AD70">
        <v>0.71319163212853798</v>
      </c>
      <c r="AF70" s="1">
        <v>41018</v>
      </c>
      <c r="AG70">
        <v>0.76301875675410702</v>
      </c>
    </row>
    <row r="71" spans="2:33">
      <c r="B71" s="24">
        <v>41025</v>
      </c>
      <c r="C71" s="27">
        <v>0.90849340717481886</v>
      </c>
      <c r="D71" s="27">
        <v>0.87832051991835292</v>
      </c>
      <c r="E71" s="6">
        <f ca="1">VLOOKUP(CurrentMtgRatesDataTable825[[#This Row],[asOfDate]]+1,Bloomberg!B:C,2,0)</f>
        <v>3856</v>
      </c>
      <c r="F71" s="27">
        <f>VLOOKUP(CurrentMtgRatesDataTable825[[#This Row],[asOfDate]],CurrentMtgRatesDataTable8256[#All],2,0)</f>
        <v>0.88546928546811865</v>
      </c>
      <c r="G71" s="27">
        <f>VLOOKUP(CurrentMtgRatesDataTable825[[#This Row],[asOfDate]],CurrentMtgRatesDataTable82562[],2,0)</f>
        <v>0.70114627754493941</v>
      </c>
      <c r="H71" s="27">
        <f>VLOOKUP(CurrentMtgRatesDataTable825[[#This Row],[asOfDate]],T:U,2,0)</f>
        <v>0.70976914085945686</v>
      </c>
      <c r="I71" s="58">
        <f>VLOOKUP(CurrentMtgRatesDataTable825[[#This Row],[asOfDate]],CurrentMtgRatesDataTable825623[#All],2,0)</f>
        <v>0.61520517788323992</v>
      </c>
      <c r="J71" s="27">
        <f>VLOOKUP(CurrentMtgRatesDataTable825[[#This Row],[asOfDate]],AC:AD,2,0)</f>
        <v>0.74360097428026795</v>
      </c>
      <c r="K71" s="27">
        <f>VLOOKUP(CurrentMtgRatesDataTable825[[#This Row],[asOfDate]],temp_1,2,0)</f>
        <v>0.79074299766476497</v>
      </c>
      <c r="M71" s="24">
        <v>41025</v>
      </c>
      <c r="N71" s="26">
        <v>0.88546928546811865</v>
      </c>
      <c r="O71" s="26">
        <f ca="1">VLOOKUP(CurrentMtgRatesDataTable8256[[#This Row],[asOfDate]]+1,Bloomberg!B:C,2,0)</f>
        <v>3856</v>
      </c>
      <c r="Q71" s="24">
        <v>41025</v>
      </c>
      <c r="R71" s="26">
        <v>0.70114627754493941</v>
      </c>
      <c r="T71" s="24">
        <v>41025</v>
      </c>
      <c r="U71" s="27">
        <v>0.70976914085945686</v>
      </c>
      <c r="W71" s="56">
        <v>41025</v>
      </c>
      <c r="X71" s="57">
        <v>0.61520517788323992</v>
      </c>
      <c r="Z71" s="1">
        <v>41025</v>
      </c>
      <c r="AA71">
        <v>0.63040932783689696</v>
      </c>
      <c r="AC71" s="1">
        <v>41025</v>
      </c>
      <c r="AD71">
        <v>0.74360097428026795</v>
      </c>
      <c r="AF71" s="1">
        <v>41025</v>
      </c>
      <c r="AG71">
        <v>0.79074299766476497</v>
      </c>
    </row>
    <row r="72" spans="2:33">
      <c r="B72" s="24">
        <v>41032</v>
      </c>
      <c r="C72" s="27">
        <v>0.89225108632442729</v>
      </c>
      <c r="D72" s="27">
        <v>0.85500521260680606</v>
      </c>
      <c r="E72" s="6">
        <f ca="1">VLOOKUP(CurrentMtgRatesDataTable825[[#This Row],[asOfDate]]+1,Bloomberg!B:C,2,0)</f>
        <v>3924.4</v>
      </c>
      <c r="F72" s="27">
        <f>VLOOKUP(CurrentMtgRatesDataTable825[[#This Row],[asOfDate]],CurrentMtgRatesDataTable8256[#All],2,0)</f>
        <v>0.875279554781354</v>
      </c>
      <c r="G72" s="27">
        <f>VLOOKUP(CurrentMtgRatesDataTable825[[#This Row],[asOfDate]],CurrentMtgRatesDataTable82562[],2,0)</f>
        <v>0.70888791690843067</v>
      </c>
      <c r="H72" s="27">
        <f>VLOOKUP(CurrentMtgRatesDataTable825[[#This Row],[asOfDate]],T:U,2,0)</f>
        <v>0.71778894613505184</v>
      </c>
      <c r="I72" s="58">
        <f>VLOOKUP(CurrentMtgRatesDataTable825[[#This Row],[asOfDate]],CurrentMtgRatesDataTable825623[#All],2,0)</f>
        <v>0.6317239856588488</v>
      </c>
      <c r="J72" s="27">
        <f>VLOOKUP(CurrentMtgRatesDataTable825[[#This Row],[asOfDate]],AC:AD,2,0)</f>
        <v>0.74458940201611601</v>
      </c>
      <c r="K72" s="27">
        <f>VLOOKUP(CurrentMtgRatesDataTable825[[#This Row],[asOfDate]],temp_1,2,0)</f>
        <v>0.79110304591011105</v>
      </c>
      <c r="M72" s="24">
        <v>41032</v>
      </c>
      <c r="N72" s="26">
        <v>0.875279554781354</v>
      </c>
      <c r="O72" s="26">
        <f ca="1">VLOOKUP(CurrentMtgRatesDataTable8256[[#This Row],[asOfDate]]+1,Bloomberg!B:C,2,0)</f>
        <v>3924.4</v>
      </c>
      <c r="Q72" s="24">
        <v>41032</v>
      </c>
      <c r="R72" s="26">
        <v>0.70888791690843067</v>
      </c>
      <c r="T72" s="24">
        <v>41032</v>
      </c>
      <c r="U72" s="27">
        <v>0.71778894613505184</v>
      </c>
      <c r="W72" s="56">
        <v>41032</v>
      </c>
      <c r="X72" s="57">
        <v>0.6317239856588488</v>
      </c>
      <c r="Z72" s="1">
        <v>41032</v>
      </c>
      <c r="AA72">
        <v>0.64559823748966705</v>
      </c>
      <c r="AC72" s="1">
        <v>41032</v>
      </c>
      <c r="AD72">
        <v>0.74458940201611601</v>
      </c>
      <c r="AF72" s="1">
        <v>41032</v>
      </c>
      <c r="AG72">
        <v>0.79110304591011105</v>
      </c>
    </row>
    <row r="73" spans="2:33">
      <c r="B73" s="24">
        <v>41039</v>
      </c>
      <c r="C73" s="27">
        <v>0.89337268606647302</v>
      </c>
      <c r="D73" s="27">
        <v>0.87637065206662057</v>
      </c>
      <c r="E73" s="6">
        <f ca="1">VLOOKUP(CurrentMtgRatesDataTable825[[#This Row],[asOfDate]]+1,Bloomberg!B:C,2,0)</f>
        <v>4482</v>
      </c>
      <c r="F73" s="27">
        <f>VLOOKUP(CurrentMtgRatesDataTable825[[#This Row],[asOfDate]],CurrentMtgRatesDataTable8256[#All],2,0)</f>
        <v>0.87534475648983412</v>
      </c>
      <c r="G73" s="27">
        <f>VLOOKUP(CurrentMtgRatesDataTable825[[#This Row],[asOfDate]],CurrentMtgRatesDataTable82562[],2,0)</f>
        <v>0.70900581341869928</v>
      </c>
      <c r="H73" s="27">
        <f>VLOOKUP(CurrentMtgRatesDataTable825[[#This Row],[asOfDate]],T:U,2,0)</f>
        <v>0.71790603687606236</v>
      </c>
      <c r="I73" s="58">
        <f>VLOOKUP(CurrentMtgRatesDataTable825[[#This Row],[asOfDate]],CurrentMtgRatesDataTable825623[#All],2,0)</f>
        <v>0.63749716402095913</v>
      </c>
      <c r="J73" s="27">
        <f>VLOOKUP(CurrentMtgRatesDataTable825[[#This Row],[asOfDate]],AC:AD,2,0)</f>
        <v>0.74880992852224404</v>
      </c>
      <c r="K73" s="27">
        <f>VLOOKUP(CurrentMtgRatesDataTable825[[#This Row],[asOfDate]],temp_1,2,0)</f>
        <v>0.79377197751957995</v>
      </c>
      <c r="M73" s="24">
        <v>41039</v>
      </c>
      <c r="N73" s="26">
        <v>0.87534475648983412</v>
      </c>
      <c r="O73" s="26">
        <f ca="1">VLOOKUP(CurrentMtgRatesDataTable8256[[#This Row],[asOfDate]]+1,Bloomberg!B:C,2,0)</f>
        <v>4482</v>
      </c>
      <c r="Q73" s="24">
        <v>41039</v>
      </c>
      <c r="R73" s="26">
        <v>0.70900581341869928</v>
      </c>
      <c r="T73" s="24">
        <v>41039</v>
      </c>
      <c r="U73" s="27">
        <v>0.71790603687606236</v>
      </c>
      <c r="W73" s="56">
        <v>41039</v>
      </c>
      <c r="X73" s="57">
        <v>0.63749716402095913</v>
      </c>
      <c r="Z73" s="1">
        <v>41039</v>
      </c>
      <c r="AA73">
        <v>0.65138430961623695</v>
      </c>
      <c r="AC73" s="1">
        <v>41039</v>
      </c>
      <c r="AD73">
        <v>0.74880992852224404</v>
      </c>
      <c r="AF73" s="1">
        <v>41039</v>
      </c>
      <c r="AG73">
        <v>0.79377197751957995</v>
      </c>
    </row>
    <row r="74" spans="2:33">
      <c r="B74" s="24">
        <v>41046</v>
      </c>
      <c r="C74" s="27">
        <v>0.8948997967143093</v>
      </c>
      <c r="D74" s="27">
        <v>0.89867761026928339</v>
      </c>
      <c r="E74" s="6">
        <f ca="1">VLOOKUP(CurrentMtgRatesDataTable825[[#This Row],[asOfDate]]+1,Bloomberg!B:C,2,0)</f>
        <v>4732</v>
      </c>
      <c r="F74" s="27">
        <f>VLOOKUP(CurrentMtgRatesDataTable825[[#This Row],[asOfDate]],CurrentMtgRatesDataTable8256[#All],2,0)</f>
        <v>0.91993589788714725</v>
      </c>
      <c r="G74" s="27">
        <f>VLOOKUP(CurrentMtgRatesDataTable825[[#This Row],[asOfDate]],CurrentMtgRatesDataTable82562[],2,0)</f>
        <v>0.74206222053219018</v>
      </c>
      <c r="H74" s="27">
        <f>VLOOKUP(CurrentMtgRatesDataTable825[[#This Row],[asOfDate]],T:U,2,0)</f>
        <v>0.7511226293764568</v>
      </c>
      <c r="I74" s="58">
        <f>VLOOKUP(CurrentMtgRatesDataTable825[[#This Row],[asOfDate]],CurrentMtgRatesDataTable825623[#All],2,0)</f>
        <v>0.6654941916397813</v>
      </c>
      <c r="J74" s="27">
        <f>VLOOKUP(CurrentMtgRatesDataTable825[[#This Row],[asOfDate]],AC:AD,2,0)</f>
        <v>0.77533293010841997</v>
      </c>
      <c r="K74" s="27">
        <f>VLOOKUP(CurrentMtgRatesDataTable825[[#This Row],[asOfDate]],temp_1,2,0)</f>
        <v>0.819382348373077</v>
      </c>
      <c r="M74" s="24">
        <v>41046</v>
      </c>
      <c r="N74" s="26">
        <v>0.91993589788714725</v>
      </c>
      <c r="O74" s="26">
        <f ca="1">VLOOKUP(CurrentMtgRatesDataTable8256[[#This Row],[asOfDate]]+1,Bloomberg!B:C,2,0)</f>
        <v>4732</v>
      </c>
      <c r="Q74" s="24">
        <v>41046</v>
      </c>
      <c r="R74" s="26">
        <v>0.74206222053219018</v>
      </c>
      <c r="T74" s="24">
        <v>41046</v>
      </c>
      <c r="U74" s="27">
        <v>0.7511226293764568</v>
      </c>
      <c r="W74" s="56">
        <v>41046</v>
      </c>
      <c r="X74" s="57">
        <v>0.6654941916397813</v>
      </c>
      <c r="Z74" s="1">
        <v>41046</v>
      </c>
      <c r="AA74">
        <v>0.67896847917221803</v>
      </c>
      <c r="AC74" s="1">
        <v>41046</v>
      </c>
      <c r="AD74">
        <v>0.77533293010841997</v>
      </c>
      <c r="AF74" s="1">
        <v>41046</v>
      </c>
      <c r="AG74">
        <v>0.819382348373077</v>
      </c>
    </row>
    <row r="75" spans="2:33">
      <c r="B75" s="24">
        <v>41053</v>
      </c>
      <c r="C75" s="27">
        <v>0.89443957907281746</v>
      </c>
      <c r="D75" s="27">
        <v>0.89867761026928339</v>
      </c>
      <c r="E75" s="6">
        <f ca="1">VLOOKUP(CurrentMtgRatesDataTable825[[#This Row],[asOfDate]]+1,Bloomberg!B:C,2,0)</f>
        <v>4675.8999999999996</v>
      </c>
      <c r="F75" s="27">
        <f>VLOOKUP(CurrentMtgRatesDataTable825[[#This Row],[asOfDate]],CurrentMtgRatesDataTable8256[#All],2,0)</f>
        <v>0.91989879371783623</v>
      </c>
      <c r="G75" s="27">
        <f>VLOOKUP(CurrentMtgRatesDataTable825[[#This Row],[asOfDate]],CurrentMtgRatesDataTable82562[],2,0)</f>
        <v>0.74198992424051435</v>
      </c>
      <c r="H75" s="27">
        <f>VLOOKUP(CurrentMtgRatesDataTable825[[#This Row],[asOfDate]],T:U,2,0)</f>
        <v>0.75105035429874611</v>
      </c>
      <c r="I75" s="58">
        <f>VLOOKUP(CurrentMtgRatesDataTable825[[#This Row],[asOfDate]],CurrentMtgRatesDataTable825623[#All],2,0)</f>
        <v>0.66148107330138128</v>
      </c>
      <c r="J75" s="27">
        <f>VLOOKUP(CurrentMtgRatesDataTable825[[#This Row],[asOfDate]],AC:AD,2,0)</f>
        <v>0.77252849495486897</v>
      </c>
      <c r="K75" s="27">
        <f>VLOOKUP(CurrentMtgRatesDataTable825[[#This Row],[asOfDate]],temp_1,2,0)</f>
        <v>0.81716837750375204</v>
      </c>
      <c r="M75" s="24">
        <v>41053</v>
      </c>
      <c r="N75" s="26">
        <v>0.91989879371783623</v>
      </c>
      <c r="O75" s="26">
        <f ca="1">VLOOKUP(CurrentMtgRatesDataTable8256[[#This Row],[asOfDate]]+1,Bloomberg!B:C,2,0)</f>
        <v>4675.8999999999996</v>
      </c>
      <c r="Q75" s="24">
        <v>41053</v>
      </c>
      <c r="R75" s="26">
        <v>0.74198992424051435</v>
      </c>
      <c r="T75" s="24">
        <v>41053</v>
      </c>
      <c r="U75" s="27">
        <v>0.75105035429874611</v>
      </c>
      <c r="W75" s="56">
        <v>41053</v>
      </c>
      <c r="X75" s="57">
        <v>0.66148107330138128</v>
      </c>
      <c r="Z75" s="1">
        <v>41053</v>
      </c>
      <c r="AA75">
        <v>0.67504222682150905</v>
      </c>
      <c r="AC75" s="1">
        <v>41053</v>
      </c>
      <c r="AD75">
        <v>0.77252849495486897</v>
      </c>
      <c r="AF75" s="1">
        <v>41053</v>
      </c>
      <c r="AG75">
        <v>0.81716837750375204</v>
      </c>
    </row>
    <row r="76" spans="2:33">
      <c r="B76" s="24">
        <v>41060</v>
      </c>
      <c r="C76" s="27">
        <v>0.89512122084695944</v>
      </c>
      <c r="D76" s="27">
        <v>0.89867761026928339</v>
      </c>
      <c r="E76" s="6">
        <f ca="1">VLOOKUP(CurrentMtgRatesDataTable825[[#This Row],[asOfDate]]+1,Bloomberg!B:C,2,0)</f>
        <v>4736</v>
      </c>
      <c r="F76" s="27">
        <f>VLOOKUP(CurrentMtgRatesDataTable825[[#This Row],[asOfDate]],CurrentMtgRatesDataTable8256[#All],2,0)</f>
        <v>0.92005776451854027</v>
      </c>
      <c r="G76" s="27">
        <f>VLOOKUP(CurrentMtgRatesDataTable825[[#This Row],[asOfDate]],CurrentMtgRatesDataTable82562[],2,0)</f>
        <v>0.74214259096899848</v>
      </c>
      <c r="H76" s="27">
        <f>VLOOKUP(CurrentMtgRatesDataTable825[[#This Row],[asOfDate]],T:U,2,0)</f>
        <v>0.7512041517176814</v>
      </c>
      <c r="I76" s="58">
        <f>VLOOKUP(CurrentMtgRatesDataTable825[[#This Row],[asOfDate]],CurrentMtgRatesDataTable825623[#All],2,0)</f>
        <v>0.66816368917970947</v>
      </c>
      <c r="J76" s="27">
        <f>VLOOKUP(CurrentMtgRatesDataTable825[[#This Row],[asOfDate]],AC:AD,2,0)</f>
        <v>0.77719223327132003</v>
      </c>
      <c r="K76" s="27">
        <f>VLOOKUP(CurrentMtgRatesDataTable825[[#This Row],[asOfDate]],temp_1,2,0)</f>
        <v>0.82067742647539199</v>
      </c>
      <c r="M76" s="24">
        <v>41060</v>
      </c>
      <c r="N76" s="26">
        <v>0.92005776451854027</v>
      </c>
      <c r="O76" s="26">
        <f ca="1">VLOOKUP(CurrentMtgRatesDataTable8256[[#This Row],[asOfDate]]+1,Bloomberg!B:C,2,0)</f>
        <v>4736</v>
      </c>
      <c r="Q76" s="24">
        <v>41060</v>
      </c>
      <c r="R76" s="26">
        <v>0.74214259096899848</v>
      </c>
      <c r="T76" s="24">
        <v>41060</v>
      </c>
      <c r="U76" s="27">
        <v>0.7512041517176814</v>
      </c>
      <c r="W76" s="56">
        <v>41060</v>
      </c>
      <c r="X76" s="57">
        <v>0.66816368917970947</v>
      </c>
      <c r="Z76" s="1">
        <v>41060</v>
      </c>
      <c r="AA76">
        <v>0.68184117694774304</v>
      </c>
      <c r="AC76" s="1">
        <v>41060</v>
      </c>
      <c r="AD76">
        <v>0.77719223327132003</v>
      </c>
      <c r="AF76" s="1">
        <v>41060</v>
      </c>
      <c r="AG76">
        <v>0.82067742647539199</v>
      </c>
    </row>
    <row r="77" spans="2:33">
      <c r="B77" s="24">
        <v>41067</v>
      </c>
      <c r="C77" s="27">
        <v>0.8920195449585564</v>
      </c>
      <c r="D77" s="27">
        <v>0.99958558352539784</v>
      </c>
      <c r="E77" s="6">
        <f ca="1">VLOOKUP(CurrentMtgRatesDataTable825[[#This Row],[asOfDate]]+1,Bloomberg!B:C,2,0)</f>
        <v>5590</v>
      </c>
      <c r="F77" s="27">
        <f>VLOOKUP(CurrentMtgRatesDataTable825[[#This Row],[asOfDate]],CurrentMtgRatesDataTable8256[#All],2,0)</f>
        <v>0.92441254418745433</v>
      </c>
      <c r="G77" s="27">
        <f>VLOOKUP(CurrentMtgRatesDataTable825[[#This Row],[asOfDate]],CurrentMtgRatesDataTable82562[],2,0)</f>
        <v>0.78454877297076475</v>
      </c>
      <c r="H77" s="27">
        <f>VLOOKUP(CurrentMtgRatesDataTable825[[#This Row],[asOfDate]],T:U,2,0)</f>
        <v>0.79329641551681107</v>
      </c>
      <c r="I77" s="58">
        <f>VLOOKUP(CurrentMtgRatesDataTable825[[#This Row],[asOfDate]],CurrentMtgRatesDataTable825623[#All],2,0)</f>
        <v>0.72131165820460841</v>
      </c>
      <c r="J77" s="27">
        <f>VLOOKUP(CurrentMtgRatesDataTable825[[#This Row],[asOfDate]],AC:AD,2,0)</f>
        <v>0.81161668458948799</v>
      </c>
      <c r="K77" s="27">
        <f>VLOOKUP(CurrentMtgRatesDataTable825[[#This Row],[asOfDate]],temp_1,2,0)</f>
        <v>0.851826871264451</v>
      </c>
      <c r="M77" s="24">
        <v>41067</v>
      </c>
      <c r="N77" s="26">
        <v>0.92441254418745433</v>
      </c>
      <c r="O77" s="26">
        <f ca="1">VLOOKUP(CurrentMtgRatesDataTable8256[[#This Row],[asOfDate]]+1,Bloomberg!B:C,2,0)</f>
        <v>5590</v>
      </c>
      <c r="Q77" s="24">
        <v>41067</v>
      </c>
      <c r="R77" s="26">
        <v>0.78454877297076475</v>
      </c>
      <c r="T77" s="24">
        <v>41067</v>
      </c>
      <c r="U77" s="27">
        <v>0.79329641551681107</v>
      </c>
      <c r="W77" s="56">
        <v>41067</v>
      </c>
      <c r="X77" s="57">
        <v>0.72131165820460841</v>
      </c>
      <c r="Z77" s="1">
        <v>41067</v>
      </c>
      <c r="AA77">
        <v>0.73234191340249</v>
      </c>
      <c r="AC77" s="1">
        <v>41067</v>
      </c>
      <c r="AD77">
        <v>0.81161668458948799</v>
      </c>
      <c r="AF77" s="1">
        <v>41067</v>
      </c>
      <c r="AG77">
        <v>0.851826871264451</v>
      </c>
    </row>
    <row r="78" spans="2:33">
      <c r="B78" s="24">
        <v>41074</v>
      </c>
      <c r="C78" s="27">
        <v>0.88667449797815956</v>
      </c>
      <c r="D78" s="27">
        <v>0.93682363320593387</v>
      </c>
      <c r="E78" s="6">
        <f ca="1">VLOOKUP(CurrentMtgRatesDataTable825[[#This Row],[asOfDate]]+1,Bloomberg!B:C,2,0)</f>
        <v>4719.6000000000004</v>
      </c>
      <c r="F78" s="27">
        <f>VLOOKUP(CurrentMtgRatesDataTable825[[#This Row],[asOfDate]],CurrentMtgRatesDataTable8256[#All],2,0)</f>
        <v>0.90289735225778367</v>
      </c>
      <c r="G78" s="27">
        <f>VLOOKUP(CurrentMtgRatesDataTable825[[#This Row],[asOfDate]],CurrentMtgRatesDataTable82562[],2,0)</f>
        <v>0.76165437928870827</v>
      </c>
      <c r="H78" s="27">
        <f>VLOOKUP(CurrentMtgRatesDataTable825[[#This Row],[asOfDate]],T:U,2,0)</f>
        <v>0.77022399573729294</v>
      </c>
      <c r="I78" s="58">
        <f>VLOOKUP(CurrentMtgRatesDataTable825[[#This Row],[asOfDate]],CurrentMtgRatesDataTable825623[#All],2,0)</f>
        <v>0.7016393157738251</v>
      </c>
      <c r="J78" s="27">
        <f>VLOOKUP(CurrentMtgRatesDataTable825[[#This Row],[asOfDate]],AC:AD,2,0)</f>
        <v>0.79320998802631504</v>
      </c>
      <c r="K78" s="27">
        <f>VLOOKUP(CurrentMtgRatesDataTable825[[#This Row],[asOfDate]],temp_1,2,0)</f>
        <v>0.83440082254211201</v>
      </c>
      <c r="M78" s="24">
        <v>41074</v>
      </c>
      <c r="N78" s="26">
        <v>0.90289735225778367</v>
      </c>
      <c r="O78" s="26">
        <f ca="1">VLOOKUP(CurrentMtgRatesDataTable8256[[#This Row],[asOfDate]]+1,Bloomberg!B:C,2,0)</f>
        <v>4719.6000000000004</v>
      </c>
      <c r="Q78" s="24">
        <v>41074</v>
      </c>
      <c r="R78" s="26">
        <v>0.76165437928870827</v>
      </c>
      <c r="T78" s="24">
        <v>41074</v>
      </c>
      <c r="U78" s="27">
        <v>0.77022399573729294</v>
      </c>
      <c r="W78" s="56">
        <v>41074</v>
      </c>
      <c r="X78" s="57">
        <v>0.7016393157738251</v>
      </c>
      <c r="Z78" s="1">
        <v>41074</v>
      </c>
      <c r="AA78">
        <v>0.71310176203625297</v>
      </c>
      <c r="AC78" s="1">
        <v>41074</v>
      </c>
      <c r="AD78">
        <v>0.79320998802631504</v>
      </c>
      <c r="AF78" s="1">
        <v>41074</v>
      </c>
      <c r="AG78">
        <v>0.83440082254211201</v>
      </c>
    </row>
    <row r="79" spans="2:33">
      <c r="B79" s="24">
        <v>41081</v>
      </c>
      <c r="C79" s="27">
        <v>0.89407594990163874</v>
      </c>
      <c r="D79" s="27">
        <v>0.99958558352539784</v>
      </c>
      <c r="E79" s="6">
        <f ca="1">VLOOKUP(CurrentMtgRatesDataTable825[[#This Row],[asOfDate]]+1,Bloomberg!B:C,2,0)</f>
        <v>4585.8</v>
      </c>
      <c r="F79" s="27">
        <f>VLOOKUP(CurrentMtgRatesDataTable825[[#This Row],[asOfDate]],CurrentMtgRatesDataTable8256[#All],2,0)</f>
        <v>0.9244242433615838</v>
      </c>
      <c r="G79" s="27">
        <f>VLOOKUP(CurrentMtgRatesDataTable825[[#This Row],[asOfDate]],CurrentMtgRatesDataTable82562[],2,0)</f>
        <v>0.78458904121756523</v>
      </c>
      <c r="H79" s="27">
        <f>VLOOKUP(CurrentMtgRatesDataTable825[[#This Row],[asOfDate]],T:U,2,0)</f>
        <v>0.79333577564121049</v>
      </c>
      <c r="I79" s="58">
        <f>VLOOKUP(CurrentMtgRatesDataTable825[[#This Row],[asOfDate]],CurrentMtgRatesDataTable825623[#All],2,0)</f>
        <v>0.72329670850827033</v>
      </c>
      <c r="J79" s="27">
        <f>VLOOKUP(CurrentMtgRatesDataTable825[[#This Row],[asOfDate]],AC:AD,2,0)</f>
        <v>0.81309219550150202</v>
      </c>
      <c r="K79" s="27">
        <f>VLOOKUP(CurrentMtgRatesDataTable825[[#This Row],[asOfDate]],temp_1,2,0)</f>
        <v>0.852507202125939</v>
      </c>
      <c r="M79" s="24">
        <v>41081</v>
      </c>
      <c r="N79" s="26">
        <v>0.9244242433615838</v>
      </c>
      <c r="O79" s="26">
        <f ca="1">VLOOKUP(CurrentMtgRatesDataTable8256[[#This Row],[asOfDate]]+1,Bloomberg!B:C,2,0)</f>
        <v>4585.8</v>
      </c>
      <c r="Q79" s="24">
        <v>41081</v>
      </c>
      <c r="R79" s="26">
        <v>0.78458904121756523</v>
      </c>
      <c r="T79" s="24">
        <v>41081</v>
      </c>
      <c r="U79" s="27">
        <v>0.79333577564121049</v>
      </c>
      <c r="W79" s="56">
        <v>41081</v>
      </c>
      <c r="X79" s="57">
        <v>0.72329670850827033</v>
      </c>
      <c r="Z79" s="1">
        <v>41081</v>
      </c>
      <c r="AA79">
        <v>0.73436759398613805</v>
      </c>
      <c r="AC79" s="1">
        <v>41081</v>
      </c>
      <c r="AD79">
        <v>0.81309219550150202</v>
      </c>
      <c r="AF79" s="1">
        <v>41081</v>
      </c>
      <c r="AG79">
        <v>0.852507202125939</v>
      </c>
    </row>
    <row r="80" spans="2:33">
      <c r="B80" s="24">
        <v>41088</v>
      </c>
      <c r="C80" s="27">
        <v>0.89407594990163874</v>
      </c>
      <c r="D80" s="27">
        <v>0.99958558352539784</v>
      </c>
      <c r="E80" s="6">
        <f ca="1">VLOOKUP(CurrentMtgRatesDataTable825[[#This Row],[asOfDate]]+1,Bloomberg!B:C,2,0)</f>
        <v>4372.2</v>
      </c>
      <c r="F80" s="27">
        <f>VLOOKUP(CurrentMtgRatesDataTable825[[#This Row],[asOfDate]],CurrentMtgRatesDataTable8256[#All],2,0)</f>
        <v>0.9244242433615838</v>
      </c>
      <c r="G80" s="27">
        <f>VLOOKUP(CurrentMtgRatesDataTable825[[#This Row],[asOfDate]],CurrentMtgRatesDataTable82562[],2,0)</f>
        <v>0.78458904121756523</v>
      </c>
      <c r="H80" s="27">
        <f>VLOOKUP(CurrentMtgRatesDataTable825[[#This Row],[asOfDate]],T:U,2,0)</f>
        <v>0.79333577564121049</v>
      </c>
      <c r="I80" s="58">
        <f>VLOOKUP(CurrentMtgRatesDataTable825[[#This Row],[asOfDate]],CurrentMtgRatesDataTable825623[#All],2,0)</f>
        <v>0.72329670850827033</v>
      </c>
      <c r="J80" s="27">
        <f>VLOOKUP(CurrentMtgRatesDataTable825[[#This Row],[asOfDate]],AC:AD,2,0)</f>
        <v>0.81309219550150202</v>
      </c>
      <c r="K80" s="27">
        <f>VLOOKUP(CurrentMtgRatesDataTable825[[#This Row],[asOfDate]],temp_1,2,0)</f>
        <v>0.852507202125939</v>
      </c>
      <c r="M80" s="24">
        <v>41088</v>
      </c>
      <c r="N80" s="26">
        <v>0.9244242433615838</v>
      </c>
      <c r="O80" s="26">
        <f ca="1">VLOOKUP(CurrentMtgRatesDataTable8256[[#This Row],[asOfDate]]+1,Bloomberg!B:C,2,0)</f>
        <v>4372.2</v>
      </c>
      <c r="Q80" s="24">
        <v>41088</v>
      </c>
      <c r="R80" s="26">
        <v>0.78458904121756523</v>
      </c>
      <c r="T80" s="24">
        <v>41088</v>
      </c>
      <c r="U80" s="27">
        <v>0.79333577564121049</v>
      </c>
      <c r="W80" s="56">
        <v>41088</v>
      </c>
      <c r="X80" s="57">
        <v>0.72329670850827033</v>
      </c>
      <c r="Z80" s="1">
        <v>41088</v>
      </c>
      <c r="AA80">
        <v>0.73436759398613805</v>
      </c>
      <c r="AC80" s="1">
        <v>41088</v>
      </c>
      <c r="AD80">
        <v>0.81309219550150202</v>
      </c>
      <c r="AF80" s="1">
        <v>41088</v>
      </c>
      <c r="AG80">
        <v>0.852507202125939</v>
      </c>
    </row>
    <row r="81" spans="2:33">
      <c r="B81" s="24">
        <v>41095</v>
      </c>
      <c r="C81" s="27">
        <v>0.8819114104860859</v>
      </c>
      <c r="D81" s="27">
        <v>0.98422936854987308</v>
      </c>
      <c r="E81" s="6">
        <f ca="1">VLOOKUP(CurrentMtgRatesDataTable825[[#This Row],[asOfDate]]+1,Bloomberg!B:C,2,0)</f>
        <v>4267.8999999999996</v>
      </c>
      <c r="F81" s="27">
        <f>VLOOKUP(CurrentMtgRatesDataTable825[[#This Row],[asOfDate]],CurrentMtgRatesDataTable8256[#All],2,0)</f>
        <v>0.91386483587378442</v>
      </c>
      <c r="G81" s="27">
        <f>VLOOKUP(CurrentMtgRatesDataTable825[[#This Row],[asOfDate]],CurrentMtgRatesDataTable82562[],2,0)</f>
        <v>0.7787052272593904</v>
      </c>
      <c r="H81" s="27">
        <f>VLOOKUP(CurrentMtgRatesDataTable825[[#This Row],[asOfDate]],T:U,2,0)</f>
        <v>0.78742350246505088</v>
      </c>
      <c r="I81" s="58">
        <f>VLOOKUP(CurrentMtgRatesDataTable825[[#This Row],[asOfDate]],CurrentMtgRatesDataTable825623[#All],2,0)</f>
        <v>0.72001119292013993</v>
      </c>
      <c r="J81" s="27">
        <f>VLOOKUP(CurrentMtgRatesDataTable825[[#This Row],[asOfDate]],AC:AD,2,0)</f>
        <v>0.80304589352971401</v>
      </c>
      <c r="K81" s="27">
        <f>VLOOKUP(CurrentMtgRatesDataTable825[[#This Row],[asOfDate]],temp_1,2,0)</f>
        <v>0.84443285130548495</v>
      </c>
      <c r="M81" s="24">
        <v>41095</v>
      </c>
      <c r="N81" s="26">
        <v>0.91386483587378442</v>
      </c>
      <c r="O81" s="26">
        <f ca="1">VLOOKUP(CurrentMtgRatesDataTable8256[[#This Row],[asOfDate]]+1,Bloomberg!B:C,2,0)</f>
        <v>4267.8999999999996</v>
      </c>
      <c r="Q81" s="24">
        <v>41095</v>
      </c>
      <c r="R81" s="26">
        <v>0.7787052272593904</v>
      </c>
      <c r="T81" s="24">
        <v>41095</v>
      </c>
      <c r="U81" s="27">
        <v>0.78742350246505088</v>
      </c>
      <c r="W81" s="56">
        <v>41095</v>
      </c>
      <c r="X81" s="57">
        <v>0.72001119292013993</v>
      </c>
      <c r="Z81" s="1">
        <v>41095</v>
      </c>
      <c r="AA81">
        <v>0.73043866214544695</v>
      </c>
      <c r="AC81" s="1">
        <v>41095</v>
      </c>
      <c r="AD81">
        <v>0.80304589352971401</v>
      </c>
      <c r="AF81" s="1">
        <v>41095</v>
      </c>
      <c r="AG81">
        <v>0.84443285130548495</v>
      </c>
    </row>
    <row r="82" spans="2:33">
      <c r="B82" s="24">
        <v>41102</v>
      </c>
      <c r="C82" s="27">
        <v>0.94551237246929465</v>
      </c>
      <c r="D82" s="27">
        <v>0.98422936854987308</v>
      </c>
      <c r="E82" s="6">
        <f ca="1">VLOOKUP(CurrentMtgRatesDataTable825[[#This Row],[asOfDate]]+1,Bloomberg!B:C,2,0)</f>
        <v>5246.8</v>
      </c>
      <c r="F82" s="27">
        <f>VLOOKUP(CurrentMtgRatesDataTable825[[#This Row],[asOfDate]],CurrentMtgRatesDataTable8256[#All],2,0)</f>
        <v>0.94968585268042571</v>
      </c>
      <c r="G82" s="27">
        <f>VLOOKUP(CurrentMtgRatesDataTable825[[#This Row],[asOfDate]],CurrentMtgRatesDataTable82562[],2,0)</f>
        <v>0.81145553697323414</v>
      </c>
      <c r="H82" s="27">
        <f>VLOOKUP(CurrentMtgRatesDataTable825[[#This Row],[asOfDate]],T:U,2,0)</f>
        <v>0.81997698463178614</v>
      </c>
      <c r="I82" s="58">
        <f>VLOOKUP(CurrentMtgRatesDataTable825[[#This Row],[asOfDate]],CurrentMtgRatesDataTable825623[#All],2,0)</f>
        <v>0.75407044900013098</v>
      </c>
      <c r="J82" s="27">
        <f>VLOOKUP(CurrentMtgRatesDataTable825[[#This Row],[asOfDate]],AC:AD,2,0)</f>
        <v>0.83475833318603099</v>
      </c>
      <c r="K82" s="27">
        <f>VLOOKUP(CurrentMtgRatesDataTable825[[#This Row],[asOfDate]],temp_1,2,0)</f>
        <v>0.87307230305311201</v>
      </c>
      <c r="M82" s="24">
        <v>41102</v>
      </c>
      <c r="N82" s="26">
        <v>0.94968585268042571</v>
      </c>
      <c r="O82" s="26">
        <f ca="1">VLOOKUP(CurrentMtgRatesDataTable8256[[#This Row],[asOfDate]]+1,Bloomberg!B:C,2,0)</f>
        <v>5246.8</v>
      </c>
      <c r="Q82" s="24">
        <v>41102</v>
      </c>
      <c r="R82" s="26">
        <v>0.81145553697323414</v>
      </c>
      <c r="T82" s="24">
        <v>41102</v>
      </c>
      <c r="U82" s="27">
        <v>0.81997698463178614</v>
      </c>
      <c r="W82" s="56">
        <v>41102</v>
      </c>
      <c r="X82" s="57">
        <v>0.75407044900013098</v>
      </c>
      <c r="Z82" s="1">
        <v>41102</v>
      </c>
      <c r="AA82">
        <v>0.76354932961009103</v>
      </c>
      <c r="AC82" s="1">
        <v>41102</v>
      </c>
      <c r="AD82">
        <v>0.83475833318603099</v>
      </c>
      <c r="AF82" s="1">
        <v>41102</v>
      </c>
      <c r="AG82">
        <v>0.87307230305311201</v>
      </c>
    </row>
    <row r="83" spans="2:33">
      <c r="B83" s="24">
        <v>41109</v>
      </c>
      <c r="C83" s="27">
        <v>0.97186924857158052</v>
      </c>
      <c r="D83" s="27">
        <v>0.99946935696259642</v>
      </c>
      <c r="E83" s="6">
        <f ca="1">VLOOKUP(CurrentMtgRatesDataTable825[[#This Row],[asOfDate]]+1,Bloomberg!B:C,2,0)</f>
        <v>5383.1</v>
      </c>
      <c r="F83" s="27">
        <f>VLOOKUP(CurrentMtgRatesDataTable825[[#This Row],[asOfDate]],CurrentMtgRatesDataTable8256[#All],2,0)</f>
        <v>0.94974571127352658</v>
      </c>
      <c r="G83" s="27">
        <f>VLOOKUP(CurrentMtgRatesDataTable825[[#This Row],[asOfDate]],CurrentMtgRatesDataTable82562[],2,0)</f>
        <v>0.81152752487539104</v>
      </c>
      <c r="H83" s="27">
        <f>VLOOKUP(CurrentMtgRatesDataTable825[[#This Row],[asOfDate]],T:U,2,0)</f>
        <v>0.82005106161314656</v>
      </c>
      <c r="I83" s="58">
        <f>VLOOKUP(CurrentMtgRatesDataTable825[[#This Row],[asOfDate]],CurrentMtgRatesDataTable825623[#All],2,0)</f>
        <v>0.75979626670465439</v>
      </c>
      <c r="J83" s="27">
        <f>VLOOKUP(CurrentMtgRatesDataTable825[[#This Row],[asOfDate]],AC:AD,2,0)</f>
        <v>0.839279067165004</v>
      </c>
      <c r="K83" s="27">
        <f>VLOOKUP(CurrentMtgRatesDataTable825[[#This Row],[asOfDate]],temp_1,2,0)</f>
        <v>0.87588131701956295</v>
      </c>
      <c r="M83" s="24">
        <v>41109</v>
      </c>
      <c r="N83" s="26">
        <v>0.94974571127352658</v>
      </c>
      <c r="O83" s="26">
        <f ca="1">VLOOKUP(CurrentMtgRatesDataTable8256[[#This Row],[asOfDate]]+1,Bloomberg!B:C,2,0)</f>
        <v>5383.1</v>
      </c>
      <c r="Q83" s="24">
        <v>41109</v>
      </c>
      <c r="R83" s="26">
        <v>0.81152752487539104</v>
      </c>
      <c r="T83" s="24">
        <v>41109</v>
      </c>
      <c r="U83" s="27">
        <v>0.82005106161314656</v>
      </c>
      <c r="W83" s="56">
        <v>41109</v>
      </c>
      <c r="X83" s="57">
        <v>0.75979626670465439</v>
      </c>
      <c r="Z83" s="1">
        <v>41109</v>
      </c>
      <c r="AA83">
        <v>0.768866704661886</v>
      </c>
      <c r="AC83" s="1">
        <v>41109</v>
      </c>
      <c r="AD83">
        <v>0.839279067165004</v>
      </c>
      <c r="AF83" s="1">
        <v>41109</v>
      </c>
      <c r="AG83">
        <v>0.87588131701956295</v>
      </c>
    </row>
    <row r="84" spans="2:33">
      <c r="B84" s="24">
        <v>41116</v>
      </c>
      <c r="C84" s="27">
        <v>0.98451993370244106</v>
      </c>
      <c r="D84" s="27">
        <v>0.99946935696259642</v>
      </c>
      <c r="E84" s="6">
        <f ca="1">VLOOKUP(CurrentMtgRatesDataTable825[[#This Row],[asOfDate]]+1,Bloomberg!B:C,2,0)</f>
        <v>5492.1</v>
      </c>
      <c r="F84" s="27">
        <f>VLOOKUP(CurrentMtgRatesDataTable825[[#This Row],[asOfDate]],CurrentMtgRatesDataTable8256[#All],2,0)</f>
        <v>0.95271926668027695</v>
      </c>
      <c r="G84" s="27">
        <f>VLOOKUP(CurrentMtgRatesDataTable825[[#This Row],[asOfDate]],CurrentMtgRatesDataTable82562[],2,0)</f>
        <v>0.8279869924203217</v>
      </c>
      <c r="H84" s="27">
        <f>VLOOKUP(CurrentMtgRatesDataTable825[[#This Row],[asOfDate]],T:U,2,0)</f>
        <v>0.83574642345813432</v>
      </c>
      <c r="I84" s="58">
        <f>VLOOKUP(CurrentMtgRatesDataTable825[[#This Row],[asOfDate]],CurrentMtgRatesDataTable825623[#All],2,0)</f>
        <v>0.7772659421579855</v>
      </c>
      <c r="J84" s="27">
        <f>VLOOKUP(CurrentMtgRatesDataTable825[[#This Row],[asOfDate]],AC:AD,2,0)</f>
        <v>0.85583686182580798</v>
      </c>
      <c r="K84" s="27">
        <f>VLOOKUP(CurrentMtgRatesDataTable825[[#This Row],[asOfDate]],temp_1,2,0)</f>
        <v>0.89130274249393204</v>
      </c>
      <c r="M84" s="24">
        <v>41116</v>
      </c>
      <c r="N84" s="26">
        <v>0.95271926668027695</v>
      </c>
      <c r="O84" s="26">
        <f ca="1">VLOOKUP(CurrentMtgRatesDataTable8256[[#This Row],[asOfDate]]+1,Bloomberg!B:C,2,0)</f>
        <v>5492.1</v>
      </c>
      <c r="Q84" s="24">
        <v>41116</v>
      </c>
      <c r="R84" s="26">
        <v>0.8279869924203217</v>
      </c>
      <c r="T84" s="24">
        <v>41116</v>
      </c>
      <c r="U84" s="27">
        <v>0.83574642345813432</v>
      </c>
      <c r="W84" s="56">
        <v>41116</v>
      </c>
      <c r="X84" s="57">
        <v>0.7772659421579855</v>
      </c>
      <c r="Z84" s="1">
        <v>41116</v>
      </c>
      <c r="AA84">
        <v>0.78572902055143101</v>
      </c>
      <c r="AC84" s="1">
        <v>41116</v>
      </c>
      <c r="AD84">
        <v>0.85583686182580798</v>
      </c>
      <c r="AF84" s="1">
        <v>41116</v>
      </c>
      <c r="AG84">
        <v>0.89130274249393204</v>
      </c>
    </row>
    <row r="85" spans="2:33">
      <c r="B85" s="24">
        <v>41123</v>
      </c>
      <c r="C85" s="27">
        <v>0.9385222539497815</v>
      </c>
      <c r="D85" s="27">
        <v>0.95794218428734701</v>
      </c>
      <c r="E85" s="6">
        <f ca="1">VLOOKUP(CurrentMtgRatesDataTable825[[#This Row],[asOfDate]]+1,Bloomberg!B:C,2,0)</f>
        <v>5444.3</v>
      </c>
      <c r="F85" s="27">
        <f>VLOOKUP(CurrentMtgRatesDataTable825[[#This Row],[asOfDate]],CurrentMtgRatesDataTable8256[#All],2,0)</f>
        <v>0.93570894150236794</v>
      </c>
      <c r="G85" s="27">
        <f>VLOOKUP(CurrentMtgRatesDataTable825[[#This Row],[asOfDate]],CurrentMtgRatesDataTable82562[],2,0)</f>
        <v>0.79821644612468112</v>
      </c>
      <c r="H85" s="27">
        <f>VLOOKUP(CurrentMtgRatesDataTable825[[#This Row],[asOfDate]],T:U,2,0)</f>
        <v>0.80667448116643814</v>
      </c>
      <c r="I85" s="58">
        <f>VLOOKUP(CurrentMtgRatesDataTable825[[#This Row],[asOfDate]],CurrentMtgRatesDataTable825623[#All],2,0)</f>
        <v>0.74202188782112288</v>
      </c>
      <c r="J85" s="27">
        <f>VLOOKUP(CurrentMtgRatesDataTable825[[#This Row],[asOfDate]],AC:AD,2,0)</f>
        <v>0.81672598038940503</v>
      </c>
      <c r="K85" s="27">
        <f>VLOOKUP(CurrentMtgRatesDataTable825[[#This Row],[asOfDate]],temp_1,2,0)</f>
        <v>0.85861085726029096</v>
      </c>
      <c r="M85" s="24">
        <v>41123</v>
      </c>
      <c r="N85" s="26">
        <v>0.93570894150236794</v>
      </c>
      <c r="O85" s="26">
        <f ca="1">VLOOKUP(CurrentMtgRatesDataTable8256[[#This Row],[asOfDate]]+1,Bloomberg!B:C,2,0)</f>
        <v>5444.3</v>
      </c>
      <c r="Q85" s="24">
        <v>41123</v>
      </c>
      <c r="R85" s="26">
        <v>0.79821644612468112</v>
      </c>
      <c r="T85" s="24">
        <v>41123</v>
      </c>
      <c r="U85" s="27">
        <v>0.80667448116643814</v>
      </c>
      <c r="W85" s="56">
        <v>41123</v>
      </c>
      <c r="X85" s="57">
        <v>0.74202188782112288</v>
      </c>
      <c r="Z85" s="1">
        <v>41123</v>
      </c>
      <c r="AA85">
        <v>0.75086551441354799</v>
      </c>
      <c r="AC85" s="1">
        <v>41123</v>
      </c>
      <c r="AD85">
        <v>0.81672598038940503</v>
      </c>
      <c r="AF85" s="1">
        <v>41123</v>
      </c>
      <c r="AG85">
        <v>0.85861085726029096</v>
      </c>
    </row>
    <row r="86" spans="2:33">
      <c r="B86" s="24">
        <v>41130</v>
      </c>
      <c r="C86" s="27">
        <v>0.92408794393225557</v>
      </c>
      <c r="D86" s="27">
        <v>0.95794218428734701</v>
      </c>
      <c r="E86" s="6">
        <f ca="1">VLOOKUP(CurrentMtgRatesDataTable825[[#This Row],[asOfDate]]+1,Bloomberg!B:C,2,0)</f>
        <v>5172.2</v>
      </c>
      <c r="F86" s="27">
        <f>VLOOKUP(CurrentMtgRatesDataTable825[[#This Row],[asOfDate]],CurrentMtgRatesDataTable8256[#All],2,0)</f>
        <v>0.9356798644507448</v>
      </c>
      <c r="G86" s="27">
        <f>VLOOKUP(CurrentMtgRatesDataTable825[[#This Row],[asOfDate]],CurrentMtgRatesDataTable82562[],2,0)</f>
        <v>0.79815390760264004</v>
      </c>
      <c r="H86" s="27">
        <f>VLOOKUP(CurrentMtgRatesDataTable825[[#This Row],[asOfDate]],T:U,2,0)</f>
        <v>0.80661010872786376</v>
      </c>
      <c r="I86" s="58">
        <f>VLOOKUP(CurrentMtgRatesDataTable825[[#This Row],[asOfDate]],CurrentMtgRatesDataTable825623[#All],2,0)</f>
        <v>0.74172452642125275</v>
      </c>
      <c r="J86" s="27">
        <f>VLOOKUP(CurrentMtgRatesDataTable825[[#This Row],[asOfDate]],AC:AD,2,0)</f>
        <v>0.81660096914097402</v>
      </c>
      <c r="K86" s="27">
        <f>VLOOKUP(CurrentMtgRatesDataTable825[[#This Row],[asOfDate]],temp_1,2,0)</f>
        <v>0.85851356171529003</v>
      </c>
      <c r="M86" s="24">
        <v>41130</v>
      </c>
      <c r="N86" s="26">
        <v>0.9356798644507448</v>
      </c>
      <c r="O86" s="26">
        <f ca="1">VLOOKUP(CurrentMtgRatesDataTable8256[[#This Row],[asOfDate]]+1,Bloomberg!B:C,2,0)</f>
        <v>5172.2</v>
      </c>
      <c r="Q86" s="24">
        <v>41130</v>
      </c>
      <c r="R86" s="26">
        <v>0.79815390760264004</v>
      </c>
      <c r="T86" s="24">
        <v>41130</v>
      </c>
      <c r="U86" s="27">
        <v>0.80661010872786376</v>
      </c>
      <c r="W86" s="56">
        <v>41130</v>
      </c>
      <c r="X86" s="57">
        <v>0.74172452642125275</v>
      </c>
      <c r="Z86" s="1">
        <v>41130</v>
      </c>
      <c r="AA86">
        <v>0.750585022608945</v>
      </c>
      <c r="AC86" s="1">
        <v>41130</v>
      </c>
      <c r="AD86">
        <v>0.81660096914097402</v>
      </c>
      <c r="AF86" s="1">
        <v>41130</v>
      </c>
      <c r="AG86">
        <v>0.85851356171529003</v>
      </c>
    </row>
    <row r="87" spans="2:33">
      <c r="B87" s="24">
        <v>41137</v>
      </c>
      <c r="C87" s="27">
        <v>0.88445471641937157</v>
      </c>
      <c r="D87" s="27">
        <v>0.95794218428734701</v>
      </c>
      <c r="E87" s="6">
        <f ca="1">VLOOKUP(CurrentMtgRatesDataTable825[[#This Row],[asOfDate]]+1,Bloomberg!B:C,2,0)</f>
        <v>4671.1000000000004</v>
      </c>
      <c r="F87" s="27">
        <f>VLOOKUP(CurrentMtgRatesDataTable825[[#This Row],[asOfDate]],CurrentMtgRatesDataTable8256[#All],2,0)</f>
        <v>0.89511007451891311</v>
      </c>
      <c r="G87" s="27">
        <f>VLOOKUP(CurrentMtgRatesDataTable825[[#This Row],[asOfDate]],CurrentMtgRatesDataTable82562[],2,0)</f>
        <v>0.77767208811206812</v>
      </c>
      <c r="H87" s="27">
        <f>VLOOKUP(CurrentMtgRatesDataTable825[[#This Row],[asOfDate]],T:U,2,0)</f>
        <v>0.7859411996742075</v>
      </c>
      <c r="I87" s="58">
        <f>VLOOKUP(CurrentMtgRatesDataTable825[[#This Row],[asOfDate]],CurrentMtgRatesDataTable825623[#All],2,0)</f>
        <v>0.72502948633550401</v>
      </c>
      <c r="J87" s="27">
        <f>VLOOKUP(CurrentMtgRatesDataTable825[[#This Row],[asOfDate]],AC:AD,2,0)</f>
        <v>0.80039531716996504</v>
      </c>
      <c r="K87" s="27">
        <f>VLOOKUP(CurrentMtgRatesDataTable825[[#This Row],[asOfDate]],temp_1,2,0)</f>
        <v>0.84263939707257096</v>
      </c>
      <c r="M87" s="24">
        <v>41137</v>
      </c>
      <c r="N87" s="26">
        <v>0.89511007451891311</v>
      </c>
      <c r="O87" s="26">
        <f ca="1">VLOOKUP(CurrentMtgRatesDataTable8256[[#This Row],[asOfDate]]+1,Bloomberg!B:C,2,0)</f>
        <v>4671.1000000000004</v>
      </c>
      <c r="Q87" s="24">
        <v>41137</v>
      </c>
      <c r="R87" s="26">
        <v>0.77767208811206812</v>
      </c>
      <c r="T87" s="24">
        <v>41137</v>
      </c>
      <c r="U87" s="27">
        <v>0.7859411996742075</v>
      </c>
      <c r="W87" s="56">
        <v>41137</v>
      </c>
      <c r="X87" s="57">
        <v>0.72502948633550401</v>
      </c>
      <c r="Z87" s="1">
        <v>41137</v>
      </c>
      <c r="AA87">
        <v>0.73415953674152901</v>
      </c>
      <c r="AC87" s="1">
        <v>41137</v>
      </c>
      <c r="AD87">
        <v>0.80039531716996504</v>
      </c>
      <c r="AF87" s="1">
        <v>41137</v>
      </c>
      <c r="AG87">
        <v>0.84263939707257096</v>
      </c>
    </row>
    <row r="88" spans="2:33">
      <c r="B88" s="24">
        <v>41144</v>
      </c>
      <c r="C88" s="27">
        <v>0.85694996797233836</v>
      </c>
      <c r="D88" s="27">
        <v>0.95794218428734701</v>
      </c>
      <c r="E88" s="6">
        <f ca="1">VLOOKUP(CurrentMtgRatesDataTable825[[#This Row],[asOfDate]]+1,Bloomberg!B:C,2,0)</f>
        <v>4414.6000000000004</v>
      </c>
      <c r="F88" s="27">
        <f>VLOOKUP(CurrentMtgRatesDataTable825[[#This Row],[asOfDate]],CurrentMtgRatesDataTable8256[#All],2,0)</f>
        <v>0.89495866041217464</v>
      </c>
      <c r="G88" s="27">
        <f>VLOOKUP(CurrentMtgRatesDataTable825[[#This Row],[asOfDate]],CurrentMtgRatesDataTable82562[],2,0)</f>
        <v>0.76370064895501943</v>
      </c>
      <c r="H88" s="27">
        <f>VLOOKUP(CurrentMtgRatesDataTable825[[#This Row],[asOfDate]],T:U,2,0)</f>
        <v>0.77233085778339827</v>
      </c>
      <c r="I88" s="58">
        <f>VLOOKUP(CurrentMtgRatesDataTable825[[#This Row],[asOfDate]],CurrentMtgRatesDataTable825623[#All],2,0)</f>
        <v>0.70545980617085735</v>
      </c>
      <c r="J88" s="27">
        <f>VLOOKUP(CurrentMtgRatesDataTable825[[#This Row],[asOfDate]],AC:AD,2,0)</f>
        <v>0.78286282867668</v>
      </c>
      <c r="K88" s="27">
        <f>VLOOKUP(CurrentMtgRatesDataTable825[[#This Row],[asOfDate]],temp_1,2,0)</f>
        <v>0.82803482113362603</v>
      </c>
      <c r="M88" s="24">
        <v>41144</v>
      </c>
      <c r="N88" s="26">
        <v>0.89495866041217464</v>
      </c>
      <c r="O88" s="26">
        <f ca="1">VLOOKUP(CurrentMtgRatesDataTable8256[[#This Row],[asOfDate]]+1,Bloomberg!B:C,2,0)</f>
        <v>4414.6000000000004</v>
      </c>
      <c r="Q88" s="24">
        <v>41144</v>
      </c>
      <c r="R88" s="26">
        <v>0.76370064895501943</v>
      </c>
      <c r="T88" s="24">
        <v>41144</v>
      </c>
      <c r="U88" s="27">
        <v>0.77233085778339827</v>
      </c>
      <c r="W88" s="56">
        <v>41144</v>
      </c>
      <c r="X88" s="57">
        <v>0.70545980617085735</v>
      </c>
      <c r="Z88" s="1">
        <v>41144</v>
      </c>
      <c r="AA88">
        <v>0.71547683131804896</v>
      </c>
      <c r="AC88" s="1">
        <v>41144</v>
      </c>
      <c r="AD88">
        <v>0.78286282867668</v>
      </c>
      <c r="AF88" s="1">
        <v>41144</v>
      </c>
      <c r="AG88">
        <v>0.82803482113362603</v>
      </c>
    </row>
    <row r="89" spans="2:33">
      <c r="B89" s="24">
        <v>41151</v>
      </c>
      <c r="C89" s="27">
        <v>0.92408794393225557</v>
      </c>
      <c r="D89" s="27">
        <v>0.95794218428734701</v>
      </c>
      <c r="E89" s="6">
        <f ca="1">VLOOKUP(CurrentMtgRatesDataTable825[[#This Row],[asOfDate]]+1,Bloomberg!B:C,2,0)</f>
        <v>4274.8</v>
      </c>
      <c r="F89" s="27">
        <f>VLOOKUP(CurrentMtgRatesDataTable825[[#This Row],[asOfDate]],CurrentMtgRatesDataTable8256[#All],2,0)</f>
        <v>0.9356798644507448</v>
      </c>
      <c r="G89" s="27">
        <f>VLOOKUP(CurrentMtgRatesDataTable825[[#This Row],[asOfDate]],CurrentMtgRatesDataTable82562[],2,0)</f>
        <v>0.79815390760264004</v>
      </c>
      <c r="H89" s="27">
        <f>VLOOKUP(CurrentMtgRatesDataTable825[[#This Row],[asOfDate]],T:U,2,0)</f>
        <v>0.80661010872786376</v>
      </c>
      <c r="I89" s="58">
        <f>VLOOKUP(CurrentMtgRatesDataTable825[[#This Row],[asOfDate]],CurrentMtgRatesDataTable825623[#All],2,0)</f>
        <v>0.74172452642125275</v>
      </c>
      <c r="J89" s="27">
        <f>VLOOKUP(CurrentMtgRatesDataTable825[[#This Row],[asOfDate]],AC:AD,2,0)</f>
        <v>0.81660096914097402</v>
      </c>
      <c r="K89" s="27">
        <f>VLOOKUP(CurrentMtgRatesDataTable825[[#This Row],[asOfDate]],temp_1,2,0)</f>
        <v>0.85851356171529003</v>
      </c>
      <c r="M89" s="24">
        <v>41151</v>
      </c>
      <c r="N89" s="26">
        <v>0.9356798644507448</v>
      </c>
      <c r="O89" s="26">
        <f ca="1">VLOOKUP(CurrentMtgRatesDataTable8256[[#This Row],[asOfDate]]+1,Bloomberg!B:C,2,0)</f>
        <v>4274.8</v>
      </c>
      <c r="Q89" s="24">
        <v>41151</v>
      </c>
      <c r="R89" s="26">
        <v>0.79815390760264004</v>
      </c>
      <c r="T89" s="24">
        <v>41151</v>
      </c>
      <c r="U89" s="27">
        <v>0.80661010872786376</v>
      </c>
      <c r="W89" s="56">
        <v>41151</v>
      </c>
      <c r="X89" s="57">
        <v>0.74172452642125275</v>
      </c>
      <c r="Z89" s="1">
        <v>41151</v>
      </c>
      <c r="AA89">
        <v>0.750585022608945</v>
      </c>
      <c r="AC89" s="1">
        <v>41151</v>
      </c>
      <c r="AD89">
        <v>0.81660096914097402</v>
      </c>
      <c r="AF89" s="1">
        <v>41151</v>
      </c>
      <c r="AG89">
        <v>0.85851356171529003</v>
      </c>
    </row>
    <row r="90" spans="2:33">
      <c r="B90" s="24">
        <v>41158</v>
      </c>
      <c r="C90" s="27">
        <v>0.91761037893987563</v>
      </c>
      <c r="D90" s="27">
        <v>0.9298312103237808</v>
      </c>
      <c r="E90" s="6">
        <f ca="1">VLOOKUP(CurrentMtgRatesDataTable825[[#This Row],[asOfDate]]+1,Bloomberg!B:C,2,0)</f>
        <v>4779.1000000000004</v>
      </c>
      <c r="F90" s="27">
        <f>VLOOKUP(CurrentMtgRatesDataTable825[[#This Row],[asOfDate]],CurrentMtgRatesDataTable8256[#All],2,0)</f>
        <v>0.921376249797624</v>
      </c>
      <c r="G90" s="27">
        <f>VLOOKUP(CurrentMtgRatesDataTable825[[#This Row],[asOfDate]],CurrentMtgRatesDataTable82562[],2,0)</f>
        <v>0.78544987095574126</v>
      </c>
      <c r="H90" s="27">
        <f>VLOOKUP(CurrentMtgRatesDataTable825[[#This Row],[asOfDate]],T:U,2,0)</f>
        <v>0.79385522628191763</v>
      </c>
      <c r="I90" s="58">
        <f>VLOOKUP(CurrentMtgRatesDataTable825[[#This Row],[asOfDate]],CurrentMtgRatesDataTable825623[#All],2,0)</f>
        <v>0.73031006659475117</v>
      </c>
      <c r="J90" s="27">
        <f>VLOOKUP(CurrentMtgRatesDataTable825[[#This Row],[asOfDate]],AC:AD,2,0)</f>
        <v>0.80003630895948397</v>
      </c>
      <c r="K90" s="27">
        <f>VLOOKUP(CurrentMtgRatesDataTable825[[#This Row],[asOfDate]],temp_1,2,0)</f>
        <v>0.84451763496073995</v>
      </c>
      <c r="M90" s="24">
        <v>41158</v>
      </c>
      <c r="N90" s="26">
        <v>0.921376249797624</v>
      </c>
      <c r="O90" s="26">
        <f ca="1">VLOOKUP(CurrentMtgRatesDataTable8256[[#This Row],[asOfDate]]+1,Bloomberg!B:C,2,0)</f>
        <v>4779.1000000000004</v>
      </c>
      <c r="Q90" s="24">
        <v>41158</v>
      </c>
      <c r="R90" s="26">
        <v>0.78544987095574126</v>
      </c>
      <c r="T90" s="24">
        <v>41158</v>
      </c>
      <c r="U90" s="27">
        <v>0.79385522628191763</v>
      </c>
      <c r="W90" s="56">
        <v>41158</v>
      </c>
      <c r="X90" s="57">
        <v>0.73031006659475117</v>
      </c>
      <c r="Z90" s="1">
        <v>41158</v>
      </c>
      <c r="AA90">
        <v>0.73869553312661196</v>
      </c>
      <c r="AC90" s="1">
        <v>41158</v>
      </c>
      <c r="AD90">
        <v>0.80003630895948397</v>
      </c>
      <c r="AF90" s="1">
        <v>41158</v>
      </c>
      <c r="AG90">
        <v>0.84451763496073995</v>
      </c>
    </row>
    <row r="91" spans="2:33">
      <c r="B91" s="24">
        <v>41165</v>
      </c>
      <c r="C91" s="27">
        <v>0.94047646256577366</v>
      </c>
      <c r="D91" s="27">
        <v>0.95393620317385996</v>
      </c>
      <c r="E91" s="6">
        <f ca="1">VLOOKUP(CurrentMtgRatesDataTable825[[#This Row],[asOfDate]]+1,Bloomberg!B:C,2,0)</f>
        <v>4823.3</v>
      </c>
      <c r="F91" s="27">
        <f>VLOOKUP(CurrentMtgRatesDataTable825[[#This Row],[asOfDate]],CurrentMtgRatesDataTable8256[#All],2,0)</f>
        <v>0.9248916494900683</v>
      </c>
      <c r="G91" s="27">
        <f>VLOOKUP(CurrentMtgRatesDataTable825[[#This Row],[asOfDate]],CurrentMtgRatesDataTable82562[],2,0)</f>
        <v>0.78635808843680277</v>
      </c>
      <c r="H91" s="27">
        <f>VLOOKUP(CurrentMtgRatesDataTable825[[#This Row],[asOfDate]],T:U,2,0)</f>
        <v>0.79476488314048044</v>
      </c>
      <c r="I91" s="58">
        <f>VLOOKUP(CurrentMtgRatesDataTable825[[#This Row],[asOfDate]],CurrentMtgRatesDataTable825623[#All],2,0)</f>
        <v>0.73633520756526005</v>
      </c>
      <c r="J91" s="27">
        <f>VLOOKUP(CurrentMtgRatesDataTable825[[#This Row],[asOfDate]],AC:AD,2,0)</f>
        <v>0.80517464210851997</v>
      </c>
      <c r="K91" s="27">
        <f>VLOOKUP(CurrentMtgRatesDataTable825[[#This Row],[asOfDate]],temp_1,2,0)</f>
        <v>0.84790364930397299</v>
      </c>
      <c r="M91" s="24">
        <v>41165</v>
      </c>
      <c r="N91" s="26">
        <v>0.9248916494900683</v>
      </c>
      <c r="O91" s="26">
        <f ca="1">VLOOKUP(CurrentMtgRatesDataTable8256[[#This Row],[asOfDate]]+1,Bloomberg!B:C,2,0)</f>
        <v>4823.3</v>
      </c>
      <c r="Q91" s="24">
        <v>41165</v>
      </c>
      <c r="R91" s="26">
        <v>0.78635808843680277</v>
      </c>
      <c r="T91" s="24">
        <v>41165</v>
      </c>
      <c r="U91" s="27">
        <v>0.79476488314048044</v>
      </c>
      <c r="W91" s="56">
        <v>41165</v>
      </c>
      <c r="X91" s="57">
        <v>0.73633520756526005</v>
      </c>
      <c r="Z91" s="1">
        <v>41165</v>
      </c>
      <c r="AA91">
        <v>0.74447404386570404</v>
      </c>
      <c r="AC91" s="1">
        <v>41165</v>
      </c>
      <c r="AD91">
        <v>0.80517464210851997</v>
      </c>
      <c r="AF91" s="1">
        <v>41165</v>
      </c>
      <c r="AG91">
        <v>0.84790364930397299</v>
      </c>
    </row>
    <row r="92" spans="2:33">
      <c r="B92" s="24">
        <v>41172</v>
      </c>
      <c r="C92" s="27">
        <v>0.95891425076544745</v>
      </c>
      <c r="D92" s="27">
        <v>0.95393620317385996</v>
      </c>
      <c r="E92" s="6">
        <f ca="1">VLOOKUP(CurrentMtgRatesDataTable825[[#This Row],[asOfDate]]+1,Bloomberg!B:C,2,0)</f>
        <v>4979</v>
      </c>
      <c r="F92" s="27">
        <f>VLOOKUP(CurrentMtgRatesDataTable825[[#This Row],[asOfDate]],CurrentMtgRatesDataTable8256[#All],2,0)</f>
        <v>0.92514591669223734</v>
      </c>
      <c r="G92" s="27">
        <f>VLOOKUP(CurrentMtgRatesDataTable825[[#This Row],[asOfDate]],CurrentMtgRatesDataTable82562[],2,0)</f>
        <v>0.80445044367527219</v>
      </c>
      <c r="H92" s="27">
        <f>VLOOKUP(CurrentMtgRatesDataTable825[[#This Row],[asOfDate]],T:U,2,0)</f>
        <v>0.81215273598629645</v>
      </c>
      <c r="I92" s="58">
        <f>VLOOKUP(CurrentMtgRatesDataTable825[[#This Row],[asOfDate]],CurrentMtgRatesDataTable825623[#All],2,0)</f>
        <v>0.75820018205964568</v>
      </c>
      <c r="J92" s="27">
        <f>VLOOKUP(CurrentMtgRatesDataTable825[[#This Row],[asOfDate]],AC:AD,2,0)</f>
        <v>0.82579336591607799</v>
      </c>
      <c r="K92" s="27">
        <f>VLOOKUP(CurrentMtgRatesDataTable825[[#This Row],[asOfDate]],temp_1,2,0)</f>
        <v>0.86619119046951298</v>
      </c>
      <c r="M92" s="24">
        <v>41172</v>
      </c>
      <c r="N92" s="26">
        <v>0.92514591669223734</v>
      </c>
      <c r="O92" s="26">
        <f ca="1">VLOOKUP(CurrentMtgRatesDataTable8256[[#This Row],[asOfDate]]+1,Bloomberg!B:C,2,0)</f>
        <v>4979</v>
      </c>
      <c r="Q92" s="24">
        <v>41172</v>
      </c>
      <c r="R92" s="26">
        <v>0.80445044367527219</v>
      </c>
      <c r="T92" s="24">
        <v>41172</v>
      </c>
      <c r="U92" s="27">
        <v>0.81215273598629645</v>
      </c>
      <c r="W92" s="56">
        <v>41172</v>
      </c>
      <c r="X92" s="57">
        <v>0.75820018205964568</v>
      </c>
      <c r="Z92" s="1">
        <v>41172</v>
      </c>
      <c r="AA92">
        <v>0.76567154137860305</v>
      </c>
      <c r="AC92" s="1">
        <v>41172</v>
      </c>
      <c r="AD92">
        <v>0.82579336591607799</v>
      </c>
      <c r="AF92" s="1">
        <v>41172</v>
      </c>
      <c r="AG92">
        <v>0.86619119046951298</v>
      </c>
    </row>
    <row r="93" spans="2:33">
      <c r="B93" s="24">
        <v>41179</v>
      </c>
      <c r="C93" s="27">
        <v>0.96459917415866681</v>
      </c>
      <c r="D93" s="27">
        <v>0.97816944988478083</v>
      </c>
      <c r="E93" s="6">
        <f ca="1">VLOOKUP(CurrentMtgRatesDataTable825[[#This Row],[asOfDate]]+1,Bloomberg!B:C,2,0)</f>
        <v>5965.5</v>
      </c>
      <c r="F93" s="27">
        <f>VLOOKUP(CurrentMtgRatesDataTable825[[#This Row],[asOfDate]],CurrentMtgRatesDataTable8256[#All],2,0)</f>
        <v>0.96960771050923455</v>
      </c>
      <c r="G93" s="27">
        <f>VLOOKUP(CurrentMtgRatesDataTable825[[#This Row],[asOfDate]],CurrentMtgRatesDataTable82562[],2,0)</f>
        <v>0.85572735211332496</v>
      </c>
      <c r="H93" s="27">
        <f>VLOOKUP(CurrentMtgRatesDataTable825[[#This Row],[asOfDate]],T:U,2,0)</f>
        <v>0.86283075587771796</v>
      </c>
      <c r="I93" s="58">
        <f>VLOOKUP(CurrentMtgRatesDataTable825[[#This Row],[asOfDate]],CurrentMtgRatesDataTable825623[#All],2,0)</f>
        <v>0.80745235876438604</v>
      </c>
      <c r="J93" s="27">
        <f>VLOOKUP(CurrentMtgRatesDataTable825[[#This Row],[asOfDate]],AC:AD,2,0)</f>
        <v>0.87352757054468799</v>
      </c>
      <c r="K93" s="27">
        <f>VLOOKUP(CurrentMtgRatesDataTable825[[#This Row],[asOfDate]],temp_1,2,0)</f>
        <v>0.910245503690152</v>
      </c>
      <c r="M93" s="24">
        <v>41179</v>
      </c>
      <c r="N93" s="26">
        <v>0.96960771050923455</v>
      </c>
      <c r="O93" s="26">
        <f ca="1">VLOOKUP(CurrentMtgRatesDataTable8256[[#This Row],[asOfDate]]+1,Bloomberg!B:C,2,0)</f>
        <v>5965.5</v>
      </c>
      <c r="Q93" s="24">
        <v>41179</v>
      </c>
      <c r="R93" s="26">
        <v>0.85572735211332496</v>
      </c>
      <c r="T93" s="24">
        <v>41179</v>
      </c>
      <c r="U93" s="27">
        <v>0.86283075587771796</v>
      </c>
      <c r="W93" s="56">
        <v>41179</v>
      </c>
      <c r="X93" s="57">
        <v>0.80745235876438604</v>
      </c>
      <c r="Z93" s="1">
        <v>41179</v>
      </c>
      <c r="AA93">
        <v>0.81412068874043197</v>
      </c>
      <c r="AC93" s="1">
        <v>41179</v>
      </c>
      <c r="AD93">
        <v>0.87352757054468799</v>
      </c>
      <c r="AF93" s="1">
        <v>41179</v>
      </c>
      <c r="AG93">
        <v>0.910245503690152</v>
      </c>
    </row>
    <row r="94" spans="2:33">
      <c r="B94" s="24">
        <v>41186</v>
      </c>
      <c r="C94" s="27">
        <v>0.95362908529618629</v>
      </c>
      <c r="D94" s="27">
        <v>0.98629620260036188</v>
      </c>
      <c r="E94" s="6">
        <f ca="1">VLOOKUP(CurrentMtgRatesDataTable825[[#This Row],[asOfDate]]+1,Bloomberg!B:C,2,0)</f>
        <v>5892.5</v>
      </c>
      <c r="F94" s="27">
        <f>VLOOKUP(CurrentMtgRatesDataTable825[[#This Row],[asOfDate]],CurrentMtgRatesDataTable8256[#All],2,0)</f>
        <v>0.95173821154236116</v>
      </c>
      <c r="G94" s="27">
        <f>VLOOKUP(CurrentMtgRatesDataTable825[[#This Row],[asOfDate]],CurrentMtgRatesDataTable82562[],2,0)</f>
        <v>0.8367994340061099</v>
      </c>
      <c r="H94" s="27">
        <f>VLOOKUP(CurrentMtgRatesDataTable825[[#This Row],[asOfDate]],T:U,2,0)</f>
        <v>0.84379634926171598</v>
      </c>
      <c r="I94" s="58">
        <f>VLOOKUP(CurrentMtgRatesDataTable825[[#This Row],[asOfDate]],CurrentMtgRatesDataTable825623[#All],2,0)</f>
        <v>0.79075164893065863</v>
      </c>
      <c r="J94" s="27">
        <f>VLOOKUP(CurrentMtgRatesDataTable825[[#This Row],[asOfDate]],AC:AD,2,0)</f>
        <v>0.85283995726602502</v>
      </c>
      <c r="K94" s="27">
        <f>VLOOKUP(CurrentMtgRatesDataTable825[[#This Row],[asOfDate]],temp_1,2,0)</f>
        <v>0.89290914695732604</v>
      </c>
      <c r="M94" s="24">
        <v>41186</v>
      </c>
      <c r="N94" s="26">
        <v>0.95173821154236116</v>
      </c>
      <c r="O94" s="26">
        <f ca="1">VLOOKUP(CurrentMtgRatesDataTable8256[[#This Row],[asOfDate]]+1,Bloomberg!B:C,2,0)</f>
        <v>5892.5</v>
      </c>
      <c r="Q94" s="24">
        <v>41186</v>
      </c>
      <c r="R94" s="26">
        <v>0.8367994340061099</v>
      </c>
      <c r="T94" s="24">
        <v>41186</v>
      </c>
      <c r="U94" s="27">
        <v>0.84379634926171598</v>
      </c>
      <c r="W94" s="56">
        <v>41186</v>
      </c>
      <c r="X94" s="57">
        <v>0.79075164893065863</v>
      </c>
      <c r="Z94" s="1">
        <v>41186</v>
      </c>
      <c r="AA94">
        <v>0.79703955922115</v>
      </c>
      <c r="AC94" s="1">
        <v>41186</v>
      </c>
      <c r="AD94">
        <v>0.85283995726602502</v>
      </c>
      <c r="AF94" s="1">
        <v>41186</v>
      </c>
      <c r="AG94">
        <v>0.89290914695732604</v>
      </c>
    </row>
    <row r="95" spans="2:33">
      <c r="B95" s="24">
        <v>41193</v>
      </c>
      <c r="C95" s="27">
        <v>0.95159604304738465</v>
      </c>
      <c r="D95" s="27">
        <v>0.95825995770483319</v>
      </c>
      <c r="E95" s="6">
        <f ca="1">VLOOKUP(CurrentMtgRatesDataTable825[[#This Row],[asOfDate]]+1,Bloomberg!B:C,2,0)</f>
        <v>5572.2</v>
      </c>
      <c r="F95" s="27">
        <f>VLOOKUP(CurrentMtgRatesDataTable825[[#This Row],[asOfDate]],CurrentMtgRatesDataTable8256[#All],2,0)</f>
        <v>0.9516214910186106</v>
      </c>
      <c r="G95" s="27">
        <f>VLOOKUP(CurrentMtgRatesDataTable825[[#This Row],[asOfDate]],CurrentMtgRatesDataTable82562[],2,0)</f>
        <v>0.81647343463882882</v>
      </c>
      <c r="H95" s="27">
        <f>VLOOKUP(CurrentMtgRatesDataTable825[[#This Row],[asOfDate]],T:U,2,0)</f>
        <v>0.82335914163118795</v>
      </c>
      <c r="I95" s="58">
        <f>VLOOKUP(CurrentMtgRatesDataTable825[[#This Row],[asOfDate]],CurrentMtgRatesDataTable825623[#All],2,0)</f>
        <v>0.7668489280555747</v>
      </c>
      <c r="J95" s="27">
        <f>VLOOKUP(CurrentMtgRatesDataTable825[[#This Row],[asOfDate]],AC:AD,2,0)</f>
        <v>0.82980253162130702</v>
      </c>
      <c r="K95" s="27">
        <f>VLOOKUP(CurrentMtgRatesDataTable825[[#This Row],[asOfDate]],temp_1,2,0)</f>
        <v>0.87226850902259401</v>
      </c>
      <c r="M95" s="24">
        <v>41193</v>
      </c>
      <c r="N95" s="26">
        <v>0.9516214910186106</v>
      </c>
      <c r="O95" s="26">
        <f ca="1">VLOOKUP(CurrentMtgRatesDataTable8256[[#This Row],[asOfDate]]+1,Bloomberg!B:C,2,0)</f>
        <v>5572.2</v>
      </c>
      <c r="Q95" s="24">
        <v>41193</v>
      </c>
      <c r="R95" s="26">
        <v>0.81647343463882882</v>
      </c>
      <c r="T95" s="24">
        <v>41193</v>
      </c>
      <c r="U95" s="27">
        <v>0.82335914163118795</v>
      </c>
      <c r="W95" s="56">
        <v>41193</v>
      </c>
      <c r="X95" s="57">
        <v>0.7668489280555747</v>
      </c>
      <c r="Z95" s="1">
        <v>41193</v>
      </c>
      <c r="AA95">
        <v>0.77369349947497801</v>
      </c>
      <c r="AC95" s="1">
        <v>41193</v>
      </c>
      <c r="AD95">
        <v>0.82980253162130702</v>
      </c>
      <c r="AF95" s="1">
        <v>41193</v>
      </c>
      <c r="AG95">
        <v>0.87226850902259401</v>
      </c>
    </row>
    <row r="96" spans="2:33">
      <c r="B96" s="24">
        <v>41200</v>
      </c>
      <c r="C96" s="27">
        <v>0.95277295236812309</v>
      </c>
      <c r="D96" s="27">
        <v>0.95825995770483319</v>
      </c>
      <c r="E96" s="6">
        <f ca="1">VLOOKUP(CurrentMtgRatesDataTable825[[#This Row],[asOfDate]]+1,Bloomberg!B:C,2,0)</f>
        <v>4847.2</v>
      </c>
      <c r="F96" s="27">
        <f>VLOOKUP(CurrentMtgRatesDataTable825[[#This Row],[asOfDate]],CurrentMtgRatesDataTable8256[#All],2,0)</f>
        <v>0.95171433528773408</v>
      </c>
      <c r="G96" s="27">
        <f>VLOOKUP(CurrentMtgRatesDataTable825[[#This Row],[asOfDate]],CurrentMtgRatesDataTable82562[],2,0)</f>
        <v>0.8364537448796312</v>
      </c>
      <c r="H96" s="27">
        <f>VLOOKUP(CurrentMtgRatesDataTable825[[#This Row],[asOfDate]],T:U,2,0)</f>
        <v>0.84345556360039442</v>
      </c>
      <c r="I96" s="58">
        <f>VLOOKUP(CurrentMtgRatesDataTable825[[#This Row],[asOfDate]],CurrentMtgRatesDataTable825623[#All],2,0)</f>
        <v>0.78750763693586801</v>
      </c>
      <c r="J96" s="27">
        <f>VLOOKUP(CurrentMtgRatesDataTable825[[#This Row],[asOfDate]],AC:AD,2,0)</f>
        <v>0.84996407134381802</v>
      </c>
      <c r="K96" s="27">
        <f>VLOOKUP(CurrentMtgRatesDataTable825[[#This Row],[asOfDate]],temp_1,2,0)</f>
        <v>0.89128952685596297</v>
      </c>
      <c r="M96" s="24">
        <v>41200</v>
      </c>
      <c r="N96" s="26">
        <v>0.95171433528773408</v>
      </c>
      <c r="O96" s="26">
        <f ca="1">VLOOKUP(CurrentMtgRatesDataTable8256[[#This Row],[asOfDate]]+1,Bloomberg!B:C,2,0)</f>
        <v>4847.2</v>
      </c>
      <c r="Q96" s="24">
        <v>41200</v>
      </c>
      <c r="R96" s="26">
        <v>0.8364537448796312</v>
      </c>
      <c r="T96" s="24">
        <v>41200</v>
      </c>
      <c r="U96" s="27">
        <v>0.84345556360039442</v>
      </c>
      <c r="W96" s="56">
        <v>41200</v>
      </c>
      <c r="X96" s="57">
        <v>0.78750763693586801</v>
      </c>
      <c r="Z96" s="1">
        <v>41200</v>
      </c>
      <c r="AA96">
        <v>0.79391991676221796</v>
      </c>
      <c r="AC96" s="1">
        <v>41200</v>
      </c>
      <c r="AD96">
        <v>0.84996407134381802</v>
      </c>
      <c r="AF96" s="1">
        <v>41200</v>
      </c>
      <c r="AG96">
        <v>0.89128952685596297</v>
      </c>
    </row>
    <row r="97" spans="2:33">
      <c r="B97" s="24">
        <v>41207</v>
      </c>
      <c r="C97" s="27">
        <v>0.95079229345734595</v>
      </c>
      <c r="D97" s="27">
        <v>0.95825995770483319</v>
      </c>
      <c r="E97" s="6">
        <f ca="1">VLOOKUP(CurrentMtgRatesDataTable825[[#This Row],[asOfDate]]+1,Bloomberg!B:C,2,0)</f>
        <v>4550.7</v>
      </c>
      <c r="F97" s="27">
        <f>VLOOKUP(CurrentMtgRatesDataTable825[[#This Row],[asOfDate]],CurrentMtgRatesDataTable8256[#All],2,0)</f>
        <v>0.95160314091355924</v>
      </c>
      <c r="G97" s="27">
        <f>VLOOKUP(CurrentMtgRatesDataTable825[[#This Row],[asOfDate]],CurrentMtgRatesDataTable82562[],2,0)</f>
        <v>0.8143557568992531</v>
      </c>
      <c r="H97" s="27">
        <f>VLOOKUP(CurrentMtgRatesDataTable825[[#This Row],[asOfDate]],T:U,2,0)</f>
        <v>0.82205123015040049</v>
      </c>
      <c r="I97" s="58">
        <f>VLOOKUP(CurrentMtgRatesDataTable825[[#This Row],[asOfDate]],CurrentMtgRatesDataTable825623[#All],2,0)</f>
        <v>0.76516434563272751</v>
      </c>
      <c r="J97" s="27">
        <f>VLOOKUP(CurrentMtgRatesDataTable825[[#This Row],[asOfDate]],AC:AD,2,0)</f>
        <v>0.828248760892495</v>
      </c>
      <c r="K97" s="27">
        <f>VLOOKUP(CurrentMtgRatesDataTable825[[#This Row],[asOfDate]],temp_1,2,0)</f>
        <v>0.87104733311356397</v>
      </c>
      <c r="M97" s="24">
        <v>41207</v>
      </c>
      <c r="N97" s="26">
        <v>0.95160314091355924</v>
      </c>
      <c r="O97" s="26">
        <f ca="1">VLOOKUP(CurrentMtgRatesDataTable8256[[#This Row],[asOfDate]]+1,Bloomberg!B:C,2,0)</f>
        <v>4550.7</v>
      </c>
      <c r="Q97" s="24">
        <v>41207</v>
      </c>
      <c r="R97" s="26">
        <v>0.8143557568992531</v>
      </c>
      <c r="T97" s="24">
        <v>41207</v>
      </c>
      <c r="U97" s="27">
        <v>0.82205123015040049</v>
      </c>
      <c r="W97" s="56">
        <v>41207</v>
      </c>
      <c r="X97" s="57">
        <v>0.76516434563272751</v>
      </c>
      <c r="Z97" s="1">
        <v>41207</v>
      </c>
      <c r="AA97">
        <v>0.77207058815551899</v>
      </c>
      <c r="AC97" s="1">
        <v>41207</v>
      </c>
      <c r="AD97">
        <v>0.828248760892495</v>
      </c>
      <c r="AF97" s="1">
        <v>41207</v>
      </c>
      <c r="AG97">
        <v>0.87104733311356397</v>
      </c>
    </row>
    <row r="98" spans="2:33">
      <c r="B98" s="24">
        <v>41214</v>
      </c>
      <c r="C98" s="27">
        <v>0.92571311512973709</v>
      </c>
      <c r="D98" s="27">
        <v>0.92056571627750461</v>
      </c>
      <c r="E98" s="6">
        <f ca="1">VLOOKUP(CurrentMtgRatesDataTable825[[#This Row],[asOfDate]]+1,Bloomberg!B:C,2,0)</f>
        <v>4297.7</v>
      </c>
      <c r="F98" s="27">
        <f>VLOOKUP(CurrentMtgRatesDataTable825[[#This Row],[asOfDate]],CurrentMtgRatesDataTable8256[#All],2,0)</f>
        <v>0.92867980817147811</v>
      </c>
      <c r="G98" s="27">
        <f>VLOOKUP(CurrentMtgRatesDataTable825[[#This Row],[asOfDate]],CurrentMtgRatesDataTable82562[],2,0)</f>
        <v>0.7903315811871281</v>
      </c>
      <c r="H98" s="27">
        <f>VLOOKUP(CurrentMtgRatesDataTable825[[#This Row],[asOfDate]],T:U,2,0)</f>
        <v>0.79712077418900507</v>
      </c>
      <c r="I98" s="58">
        <f>VLOOKUP(CurrentMtgRatesDataTable825[[#This Row],[asOfDate]],CurrentMtgRatesDataTable825623[#All],2,0)</f>
        <v>0.74037235734233853</v>
      </c>
      <c r="J98" s="27">
        <f>VLOOKUP(CurrentMtgRatesDataTable825[[#This Row],[asOfDate]],AC:AD,2,0)</f>
        <v>0.79915808926981402</v>
      </c>
      <c r="K98" s="27">
        <f>VLOOKUP(CurrentMtgRatesDataTable825[[#This Row],[asOfDate]],temp_1,2,0)</f>
        <v>0.84701078060636004</v>
      </c>
      <c r="M98" s="24">
        <v>41214</v>
      </c>
      <c r="N98" s="26">
        <v>0.92867980817147811</v>
      </c>
      <c r="O98" s="26">
        <f ca="1">VLOOKUP(CurrentMtgRatesDataTable8256[[#This Row],[asOfDate]]+1,Bloomberg!B:C,2,0)</f>
        <v>4297.7</v>
      </c>
      <c r="Q98" s="24">
        <v>41214</v>
      </c>
      <c r="R98" s="26">
        <v>0.7903315811871281</v>
      </c>
      <c r="T98" s="24">
        <v>41214</v>
      </c>
      <c r="U98" s="27">
        <v>0.79712077418900507</v>
      </c>
      <c r="W98" s="56">
        <v>41214</v>
      </c>
      <c r="X98" s="57">
        <v>0.74037235734233853</v>
      </c>
      <c r="Z98" s="1">
        <v>41214</v>
      </c>
      <c r="AA98">
        <v>0.74688385141217795</v>
      </c>
      <c r="AC98" s="1">
        <v>41214</v>
      </c>
      <c r="AD98">
        <v>0.79915808926981402</v>
      </c>
      <c r="AF98" s="1">
        <v>41214</v>
      </c>
      <c r="AG98">
        <v>0.84701078060636004</v>
      </c>
    </row>
    <row r="99" spans="2:33">
      <c r="B99" s="24">
        <v>41221</v>
      </c>
      <c r="C99" s="27">
        <v>0.9252942527060104</v>
      </c>
      <c r="D99" s="27">
        <v>0.92056571627750461</v>
      </c>
      <c r="E99" s="6">
        <f ca="1">VLOOKUP(CurrentMtgRatesDataTable825[[#This Row],[asOfDate]]+1,Bloomberg!B:C,2,0)</f>
        <v>4856.1000000000004</v>
      </c>
      <c r="F99" s="27">
        <f>VLOOKUP(CurrentMtgRatesDataTable825[[#This Row],[asOfDate]],CurrentMtgRatesDataTable8256[#All],2,0)</f>
        <v>0.92867016836240179</v>
      </c>
      <c r="G99" s="27">
        <f>VLOOKUP(CurrentMtgRatesDataTable825[[#This Row],[asOfDate]],CurrentMtgRatesDataTable82562[],2,0)</f>
        <v>0.78941596065900443</v>
      </c>
      <c r="H99" s="27">
        <f>VLOOKUP(CurrentMtgRatesDataTable825[[#This Row],[asOfDate]],T:U,2,0)</f>
        <v>0.79698536593342428</v>
      </c>
      <c r="I99" s="58">
        <f>VLOOKUP(CurrentMtgRatesDataTable825[[#This Row],[asOfDate]],CurrentMtgRatesDataTable825623[#All],2,0)</f>
        <v>0.73991276487142854</v>
      </c>
      <c r="J99" s="27">
        <f>VLOOKUP(CurrentMtgRatesDataTable825[[#This Row],[asOfDate]],AC:AD,2,0)</f>
        <v>0.79873425180913604</v>
      </c>
      <c r="K99" s="27">
        <f>VLOOKUP(CurrentMtgRatesDataTable825[[#This Row],[asOfDate]],temp_1,2,0)</f>
        <v>0.84675644186934695</v>
      </c>
      <c r="M99" s="24">
        <v>41221</v>
      </c>
      <c r="N99" s="26">
        <v>0.92867016836240179</v>
      </c>
      <c r="O99" s="26">
        <f ca="1">VLOOKUP(CurrentMtgRatesDataTable8256[[#This Row],[asOfDate]]+1,Bloomberg!B:C,2,0)</f>
        <v>4856.1000000000004</v>
      </c>
      <c r="Q99" s="24">
        <v>41221</v>
      </c>
      <c r="R99" s="26">
        <v>0.78941596065900443</v>
      </c>
      <c r="T99" s="24">
        <v>41221</v>
      </c>
      <c r="U99" s="27">
        <v>0.79698536593342428</v>
      </c>
      <c r="W99" s="56">
        <v>41221</v>
      </c>
      <c r="X99" s="57">
        <v>0.73991276487142854</v>
      </c>
      <c r="Z99" s="1">
        <v>41221</v>
      </c>
      <c r="AA99">
        <v>0.74643455787814805</v>
      </c>
      <c r="AC99" s="1">
        <v>41221</v>
      </c>
      <c r="AD99">
        <v>0.79873425180913604</v>
      </c>
      <c r="AF99" s="1">
        <v>41221</v>
      </c>
      <c r="AG99">
        <v>0.84675644186934695</v>
      </c>
    </row>
    <row r="100" spans="2:33">
      <c r="B100" s="24">
        <v>41228</v>
      </c>
      <c r="C100" s="27">
        <v>0.92772026190850965</v>
      </c>
      <c r="D100" s="27">
        <v>0.94844051510610683</v>
      </c>
      <c r="E100" s="6">
        <f ca="1">VLOOKUP(CurrentMtgRatesDataTable825[[#This Row],[asOfDate]]+1,Bloomberg!B:C,2,0)</f>
        <v>4702.3999999999996</v>
      </c>
      <c r="F100" s="27">
        <f>VLOOKUP(CurrentMtgRatesDataTable825[[#This Row],[asOfDate]],CurrentMtgRatesDataTable8256[#All],2,0)</f>
        <v>0.92880125520801771</v>
      </c>
      <c r="G100" s="27">
        <f>VLOOKUP(CurrentMtgRatesDataTable825[[#This Row],[asOfDate]],CurrentMtgRatesDataTable82562[],2,0)</f>
        <v>0.81158702805411931</v>
      </c>
      <c r="H100" s="27">
        <f>VLOOKUP(CurrentMtgRatesDataTable825[[#This Row],[asOfDate]],T:U,2,0)</f>
        <v>0.81850077597759319</v>
      </c>
      <c r="I100" s="58">
        <f>VLOOKUP(CurrentMtgRatesDataTable825[[#This Row],[asOfDate]],CurrentMtgRatesDataTable825623[#All],2,0)</f>
        <v>0.76480419869010208</v>
      </c>
      <c r="J100" s="27">
        <f>VLOOKUP(CurrentMtgRatesDataTable825[[#This Row],[asOfDate]],AC:AD,2,0)</f>
        <v>0.82276956639306598</v>
      </c>
      <c r="K100" s="27">
        <f>VLOOKUP(CurrentMtgRatesDataTable825[[#This Row],[asOfDate]],temp_1,2,0)</f>
        <v>0.86832868961091403</v>
      </c>
      <c r="M100" s="24">
        <v>41228</v>
      </c>
      <c r="N100" s="26">
        <v>0.92880125520801771</v>
      </c>
      <c r="O100" s="26">
        <f ca="1">VLOOKUP(CurrentMtgRatesDataTable8256[[#This Row],[asOfDate]]+1,Bloomberg!B:C,2,0)</f>
        <v>4702.3999999999996</v>
      </c>
      <c r="Q100" s="24">
        <v>41228</v>
      </c>
      <c r="R100" s="26">
        <v>0.81158702805411931</v>
      </c>
      <c r="T100" s="24">
        <v>41228</v>
      </c>
      <c r="U100" s="27">
        <v>0.81850077597759319</v>
      </c>
      <c r="W100" s="56">
        <v>41228</v>
      </c>
      <c r="X100" s="57">
        <v>0.76480419869010208</v>
      </c>
      <c r="Z100" s="1">
        <v>41228</v>
      </c>
      <c r="AA100">
        <v>0.77078227356485196</v>
      </c>
      <c r="AC100" s="1">
        <v>41228</v>
      </c>
      <c r="AD100">
        <v>0.82276956639306598</v>
      </c>
      <c r="AF100" s="1">
        <v>41228</v>
      </c>
      <c r="AG100">
        <v>0.86832868961091403</v>
      </c>
    </row>
    <row r="101" spans="2:33">
      <c r="B101" s="24">
        <v>41234</v>
      </c>
      <c r="C101" s="27">
        <v>0.9299301195282087</v>
      </c>
      <c r="D101" s="27">
        <v>0.97623387233301817</v>
      </c>
      <c r="E101" s="6" t="e">
        <f ca="1">VLOOKUP(CurrentMtgRatesDataTable825[[#This Row],[asOfDate]]+1,Bloomberg!B:C,2,0)</f>
        <v>#N/A</v>
      </c>
      <c r="F101" s="27">
        <f>VLOOKUP(CurrentMtgRatesDataTable825[[#This Row],[asOfDate]],CurrentMtgRatesDataTable8256[#All],2,0)</f>
        <v>0.95306397070735893</v>
      </c>
      <c r="G101" s="27">
        <f>VLOOKUP(CurrentMtgRatesDataTable825[[#This Row],[asOfDate]],CurrentMtgRatesDataTable82562[],2,0)</f>
        <v>0.83732764249868441</v>
      </c>
      <c r="H101" s="27">
        <f>VLOOKUP(CurrentMtgRatesDataTable825[[#This Row],[asOfDate]],T:U,2,0)</f>
        <v>0.84439089185574212</v>
      </c>
      <c r="I101" s="58">
        <f>VLOOKUP(CurrentMtgRatesDataTable825[[#This Row],[asOfDate]],CurrentMtgRatesDataTable825623[#All],2,0)</f>
        <v>0.78285539257517112</v>
      </c>
      <c r="J101" s="27">
        <f>VLOOKUP(CurrentMtgRatesDataTable825[[#This Row],[asOfDate]],AC:AD,2,0)</f>
        <v>0.84066676404946505</v>
      </c>
      <c r="K101" s="27">
        <f>VLOOKUP(CurrentMtgRatesDataTable825[[#This Row],[asOfDate]],temp_1,2,0)</f>
        <v>0.885671898426593</v>
      </c>
      <c r="M101" s="24">
        <v>41234</v>
      </c>
      <c r="N101" s="26">
        <v>0.95306397070735893</v>
      </c>
      <c r="O101" s="26" t="e">
        <f ca="1">VLOOKUP(CurrentMtgRatesDataTable8256[[#This Row],[asOfDate]]+1,Bloomberg!B:C,2,0)</f>
        <v>#N/A</v>
      </c>
      <c r="Q101" s="24">
        <v>41234</v>
      </c>
      <c r="R101" s="26">
        <v>0.83732764249868441</v>
      </c>
      <c r="T101" s="24">
        <v>41234</v>
      </c>
      <c r="U101" s="27">
        <v>0.84439089185574212</v>
      </c>
      <c r="W101" s="56">
        <v>41234</v>
      </c>
      <c r="X101" s="57">
        <v>0.78285539257517112</v>
      </c>
      <c r="Z101" s="1">
        <v>41234</v>
      </c>
      <c r="AA101">
        <v>0.78875816570701696</v>
      </c>
      <c r="AC101" s="1">
        <v>41234</v>
      </c>
      <c r="AD101">
        <v>0.84066676404946505</v>
      </c>
      <c r="AF101" s="1">
        <v>41234</v>
      </c>
      <c r="AG101">
        <v>0.885671898426593</v>
      </c>
    </row>
    <row r="102" spans="2:33">
      <c r="B102" s="24">
        <v>41242</v>
      </c>
      <c r="C102" s="27">
        <v>0.92756020040727527</v>
      </c>
      <c r="D102" s="27">
        <v>0.94844051510610683</v>
      </c>
      <c r="E102" s="6">
        <f ca="1">VLOOKUP(CurrentMtgRatesDataTable825[[#This Row],[asOfDate]]+1,Bloomberg!B:C,2,0)</f>
        <v>4943</v>
      </c>
      <c r="F102" s="27">
        <f>VLOOKUP(CurrentMtgRatesDataTable825[[#This Row],[asOfDate]],CurrentMtgRatesDataTable8256[#All],2,0)</f>
        <v>0.92879920649220771</v>
      </c>
      <c r="G102" s="27">
        <f>VLOOKUP(CurrentMtgRatesDataTable825[[#This Row],[asOfDate]],CurrentMtgRatesDataTable82562[],2,0)</f>
        <v>0.81158050245553093</v>
      </c>
      <c r="H102" s="27">
        <f>VLOOKUP(CurrentMtgRatesDataTable825[[#This Row],[asOfDate]],T:U,2,0)</f>
        <v>0.81849486720040165</v>
      </c>
      <c r="I102" s="58">
        <f>VLOOKUP(CurrentMtgRatesDataTable825[[#This Row],[asOfDate]],CurrentMtgRatesDataTable825623[#All],2,0)</f>
        <v>0.76478774162966701</v>
      </c>
      <c r="J102" s="27">
        <f>VLOOKUP(CurrentMtgRatesDataTable825[[#This Row],[asOfDate]],AC:AD,2,0)</f>
        <v>0.82275551487300902</v>
      </c>
      <c r="K102" s="27">
        <f>VLOOKUP(CurrentMtgRatesDataTable825[[#This Row],[asOfDate]],temp_1,2,0)</f>
        <v>0.86831848418102098</v>
      </c>
      <c r="M102" s="24">
        <v>41242</v>
      </c>
      <c r="N102" s="26">
        <v>0.92879920649220771</v>
      </c>
      <c r="O102" s="26">
        <f ca="1">VLOOKUP(CurrentMtgRatesDataTable8256[[#This Row],[asOfDate]]+1,Bloomberg!B:C,2,0)</f>
        <v>4943</v>
      </c>
      <c r="Q102" s="24">
        <v>41242</v>
      </c>
      <c r="R102" s="26">
        <v>0.81158050245553093</v>
      </c>
      <c r="T102" s="24">
        <v>41242</v>
      </c>
      <c r="U102" s="27">
        <v>0.81849486720040165</v>
      </c>
      <c r="W102" s="56">
        <v>41242</v>
      </c>
      <c r="X102" s="57">
        <v>0.76478774162966701</v>
      </c>
      <c r="Z102" s="1">
        <v>41242</v>
      </c>
      <c r="AA102">
        <v>0.770768222044795</v>
      </c>
      <c r="AC102" s="1">
        <v>41242</v>
      </c>
      <c r="AD102">
        <v>0.82275551487300902</v>
      </c>
      <c r="AF102" s="1">
        <v>41242</v>
      </c>
      <c r="AG102">
        <v>0.86831848418102098</v>
      </c>
    </row>
    <row r="103" spans="2:33">
      <c r="B103" s="24">
        <v>41249</v>
      </c>
      <c r="C103" s="27">
        <v>0.9105479087849232</v>
      </c>
      <c r="D103" s="27">
        <v>0.92580210181792555</v>
      </c>
      <c r="E103" s="6">
        <f ca="1">VLOOKUP(CurrentMtgRatesDataTable825[[#This Row],[asOfDate]]+1,Bloomberg!B:C,2,0)</f>
        <v>5368.1</v>
      </c>
      <c r="F103" s="27">
        <f>VLOOKUP(CurrentMtgRatesDataTable825[[#This Row],[asOfDate]],CurrentMtgRatesDataTable8256[#All],2,0)</f>
        <v>0.91462867250042379</v>
      </c>
      <c r="G103" s="27">
        <f>VLOOKUP(CurrentMtgRatesDataTable825[[#This Row],[asOfDate]],CurrentMtgRatesDataTable82562[],2,0)</f>
        <v>0.79819422857128408</v>
      </c>
      <c r="H103" s="27">
        <f>VLOOKUP(CurrentMtgRatesDataTable825[[#This Row],[asOfDate]],T:U,2,0)</f>
        <v>0.80509322996926413</v>
      </c>
      <c r="I103" s="58">
        <f>VLOOKUP(CurrentMtgRatesDataTable825[[#This Row],[asOfDate]],CurrentMtgRatesDataTable825623[#All],2,0)</f>
        <v>0.75100707648100773</v>
      </c>
      <c r="J103" s="27">
        <f>VLOOKUP(CurrentMtgRatesDataTable825[[#This Row],[asOfDate]],AC:AD,2,0)</f>
        <v>0.80649977939682505</v>
      </c>
      <c r="K103" s="27">
        <f>VLOOKUP(CurrentMtgRatesDataTable825[[#This Row],[asOfDate]],temp_1,2,0)</f>
        <v>0.85498076945371704</v>
      </c>
      <c r="M103" s="24">
        <v>41249</v>
      </c>
      <c r="N103" s="26">
        <v>0.91462867250042379</v>
      </c>
      <c r="O103" s="26">
        <f ca="1">VLOOKUP(CurrentMtgRatesDataTable8256[[#This Row],[asOfDate]]+1,Bloomberg!B:C,2,0)</f>
        <v>5368.1</v>
      </c>
      <c r="Q103" s="24">
        <v>41249</v>
      </c>
      <c r="R103" s="26">
        <v>0.79819422857128408</v>
      </c>
      <c r="T103" s="24">
        <v>41249</v>
      </c>
      <c r="U103" s="27">
        <v>0.80509322996926413</v>
      </c>
      <c r="W103" s="56">
        <v>41249</v>
      </c>
      <c r="X103" s="57">
        <v>0.75100707648100773</v>
      </c>
      <c r="Z103" s="1">
        <v>41249</v>
      </c>
      <c r="AA103">
        <v>0.75684291963105699</v>
      </c>
      <c r="AC103" s="1">
        <v>41249</v>
      </c>
      <c r="AD103">
        <v>0.80649977939682505</v>
      </c>
      <c r="AF103" s="1">
        <v>41249</v>
      </c>
      <c r="AG103">
        <v>0.85498076945371704</v>
      </c>
    </row>
    <row r="104" spans="2:33">
      <c r="B104" s="24">
        <v>41256</v>
      </c>
      <c r="C104" s="27">
        <v>0.9126136851792267</v>
      </c>
      <c r="D104" s="27">
        <v>0.95384496957531795</v>
      </c>
      <c r="E104" s="6">
        <f ca="1">VLOOKUP(CurrentMtgRatesDataTable825[[#This Row],[asOfDate]]+1,Bloomberg!B:C,2,0)</f>
        <v>4564.3999999999996</v>
      </c>
      <c r="F104" s="27">
        <f>VLOOKUP(CurrentMtgRatesDataTable825[[#This Row],[asOfDate]],CurrentMtgRatesDataTable8256[#All],2,0)</f>
        <v>0.94167657117439885</v>
      </c>
      <c r="G104" s="27">
        <f>VLOOKUP(CurrentMtgRatesDataTable825[[#This Row],[asOfDate]],CurrentMtgRatesDataTable82562[],2,0)</f>
        <v>0.82430398544770933</v>
      </c>
      <c r="H104" s="27">
        <f>VLOOKUP(CurrentMtgRatesDataTable825[[#This Row],[asOfDate]],T:U,2,0)</f>
        <v>0.83135770301903678</v>
      </c>
      <c r="I104" s="58">
        <f>VLOOKUP(CurrentMtgRatesDataTable825[[#This Row],[asOfDate]],CurrentMtgRatesDataTable825623[#All],2,0)</f>
        <v>0.7687818046324969</v>
      </c>
      <c r="J104" s="27">
        <f>VLOOKUP(CurrentMtgRatesDataTable825[[#This Row],[asOfDate]],AC:AD,2,0)</f>
        <v>0.82418991295466604</v>
      </c>
      <c r="K104" s="27">
        <f>VLOOKUP(CurrentMtgRatesDataTable825[[#This Row],[asOfDate]],temp_1,2,0)</f>
        <v>0.87213995657492904</v>
      </c>
      <c r="M104" s="24">
        <v>41256</v>
      </c>
      <c r="N104" s="26">
        <v>0.94167657117439885</v>
      </c>
      <c r="O104" s="26">
        <f ca="1">VLOOKUP(CurrentMtgRatesDataTable8256[[#This Row],[asOfDate]]+1,Bloomberg!B:C,2,0)</f>
        <v>4564.3999999999996</v>
      </c>
      <c r="Q104" s="24">
        <v>41256</v>
      </c>
      <c r="R104" s="26">
        <v>0.82430398544770933</v>
      </c>
      <c r="T104" s="24">
        <v>41256</v>
      </c>
      <c r="U104" s="27">
        <v>0.83135770301903678</v>
      </c>
      <c r="W104" s="56">
        <v>41256</v>
      </c>
      <c r="X104" s="57">
        <v>0.7687818046324969</v>
      </c>
      <c r="Z104" s="1">
        <v>41256</v>
      </c>
      <c r="AA104">
        <v>0.77457134947831496</v>
      </c>
      <c r="AC104" s="1">
        <v>41256</v>
      </c>
      <c r="AD104">
        <v>0.82418991295466604</v>
      </c>
      <c r="AF104" s="1">
        <v>41256</v>
      </c>
      <c r="AG104">
        <v>0.87213995657492904</v>
      </c>
    </row>
    <row r="105" spans="2:33">
      <c r="B105" s="24">
        <v>41263</v>
      </c>
      <c r="C105" s="27">
        <v>0.90965157918840345</v>
      </c>
      <c r="D105" s="27">
        <v>0.89780697954618993</v>
      </c>
      <c r="E105" s="6">
        <f ca="1">VLOOKUP(CurrentMtgRatesDataTable825[[#This Row],[asOfDate]]+1,Bloomberg!B:C,2,0)</f>
        <v>3983.2</v>
      </c>
      <c r="F105" s="27">
        <f>VLOOKUP(CurrentMtgRatesDataTable825[[#This Row],[asOfDate]],CurrentMtgRatesDataTable8256[#All],2,0)</f>
        <v>0.91459695563417198</v>
      </c>
      <c r="G105" s="27">
        <f>VLOOKUP(CurrentMtgRatesDataTable825[[#This Row],[asOfDate]],CurrentMtgRatesDataTable82562[],2,0)</f>
        <v>0.79805276253561475</v>
      </c>
      <c r="H105" s="27">
        <f>VLOOKUP(CurrentMtgRatesDataTable825[[#This Row],[asOfDate]],T:U,2,0)</f>
        <v>0.80495713977092143</v>
      </c>
      <c r="I105" s="58">
        <f>VLOOKUP(CurrentMtgRatesDataTable825[[#This Row],[asOfDate]],CurrentMtgRatesDataTable825623[#All],2,0)</f>
        <v>0.74807230422736604</v>
      </c>
      <c r="J105" s="27">
        <f>VLOOKUP(CurrentMtgRatesDataTable825[[#This Row],[asOfDate]],AC:AD,2,0)</f>
        <v>0.80390223047279097</v>
      </c>
      <c r="K105" s="27">
        <f>VLOOKUP(CurrentMtgRatesDataTable825[[#This Row],[asOfDate]],temp_1,2,0)</f>
        <v>0.85356056091635002</v>
      </c>
      <c r="M105" s="24">
        <v>41263</v>
      </c>
      <c r="N105" s="26">
        <v>0.91459695563417198</v>
      </c>
      <c r="O105" s="26">
        <f ca="1">VLOOKUP(CurrentMtgRatesDataTable8256[[#This Row],[asOfDate]]+1,Bloomberg!B:C,2,0)</f>
        <v>3983.2</v>
      </c>
      <c r="Q105" s="24">
        <v>41263</v>
      </c>
      <c r="R105" s="26">
        <v>0.79805276253561475</v>
      </c>
      <c r="T105" s="24">
        <v>41263</v>
      </c>
      <c r="U105" s="27">
        <v>0.80495713977092143</v>
      </c>
      <c r="W105" s="56">
        <v>41263</v>
      </c>
      <c r="X105" s="57">
        <v>0.74807230422736604</v>
      </c>
      <c r="Z105" s="1">
        <v>41263</v>
      </c>
      <c r="AA105">
        <v>0.75403279107777299</v>
      </c>
      <c r="AC105" s="1">
        <v>41263</v>
      </c>
      <c r="AD105">
        <v>0.80390223047279097</v>
      </c>
      <c r="AF105" s="1">
        <v>41263</v>
      </c>
      <c r="AG105">
        <v>0.85356056091635002</v>
      </c>
    </row>
    <row r="106" spans="2:33">
      <c r="B106" s="24">
        <v>41270</v>
      </c>
      <c r="C106" s="27">
        <v>0.91018597538933266</v>
      </c>
      <c r="D106" s="27">
        <v>0.92580210181792555</v>
      </c>
      <c r="E106" s="6">
        <f ca="1">VLOOKUP(CurrentMtgRatesDataTable825[[#This Row],[asOfDate]]+1,Bloomberg!B:C,2,0)</f>
        <v>3488.9</v>
      </c>
      <c r="F106" s="27">
        <f>VLOOKUP(CurrentMtgRatesDataTable825[[#This Row],[asOfDate]],CurrentMtgRatesDataTable8256[#All],2,0)</f>
        <v>0.91462311468400781</v>
      </c>
      <c r="G106" s="27">
        <f>VLOOKUP(CurrentMtgRatesDataTable825[[#This Row],[asOfDate]],CurrentMtgRatesDataTable82562[],2,0)</f>
        <v>0.79817901661119839</v>
      </c>
      <c r="H106" s="27">
        <f>VLOOKUP(CurrentMtgRatesDataTable825[[#This Row],[asOfDate]],T:U,2,0)</f>
        <v>0.80507982737116601</v>
      </c>
      <c r="I106" s="58">
        <f>VLOOKUP(CurrentMtgRatesDataTable825[[#This Row],[asOfDate]],CurrentMtgRatesDataTable825623[#All],2,0)</f>
        <v>0.75035821746947151</v>
      </c>
      <c r="J106" s="27">
        <f>VLOOKUP(CurrentMtgRatesDataTable825[[#This Row],[asOfDate]],AC:AD,2,0)</f>
        <v>0.80591432289546205</v>
      </c>
      <c r="K106" s="27">
        <f>VLOOKUP(CurrentMtgRatesDataTable825[[#This Row],[asOfDate]],temp_1,2,0)</f>
        <v>0.85467378378497705</v>
      </c>
      <c r="M106" s="24">
        <v>41270</v>
      </c>
      <c r="N106" s="26">
        <v>0.91462311468400781</v>
      </c>
      <c r="O106" s="26">
        <f ca="1">VLOOKUP(CurrentMtgRatesDataTable8256[[#This Row],[asOfDate]]+1,Bloomberg!B:C,2,0)</f>
        <v>3488.9</v>
      </c>
      <c r="Q106" s="24">
        <v>41270</v>
      </c>
      <c r="R106" s="26">
        <v>0.79817901661119839</v>
      </c>
      <c r="T106" s="24">
        <v>41270</v>
      </c>
      <c r="U106" s="27">
        <v>0.80507982737116601</v>
      </c>
      <c r="W106" s="56">
        <v>41270</v>
      </c>
      <c r="X106" s="57">
        <v>0.75035821746947151</v>
      </c>
      <c r="Z106" s="1">
        <v>41270</v>
      </c>
      <c r="AA106">
        <v>0.75615949589787801</v>
      </c>
      <c r="AC106" s="1">
        <v>41270</v>
      </c>
      <c r="AD106">
        <v>0.80591432289546205</v>
      </c>
      <c r="AF106" s="1">
        <v>41270</v>
      </c>
      <c r="AG106">
        <v>0.85467378378497705</v>
      </c>
    </row>
    <row r="107" spans="2:33">
      <c r="B107" s="24">
        <v>41277</v>
      </c>
      <c r="C107" s="27">
        <v>0.88829814088555981</v>
      </c>
      <c r="D107" s="27">
        <v>0.89631993228766282</v>
      </c>
      <c r="E107" s="6">
        <f ca="1">VLOOKUP(CurrentMtgRatesDataTable825[[#This Row],[asOfDate]]+1,Bloomberg!B:C,2,0)</f>
        <v>3896.4</v>
      </c>
      <c r="F107" s="27">
        <f>VLOOKUP(CurrentMtgRatesDataTable825[[#This Row],[asOfDate]],CurrentMtgRatesDataTable8256[#All],2,0)</f>
        <v>0.89326181251225278</v>
      </c>
      <c r="G107" s="27">
        <f>VLOOKUP(CurrentMtgRatesDataTable825[[#This Row],[asOfDate]],CurrentMtgRatesDataTable82562[],2,0)</f>
        <v>0.77903280650246454</v>
      </c>
      <c r="H107" s="27">
        <f>VLOOKUP(CurrentMtgRatesDataTable825[[#This Row],[asOfDate]],T:U,2,0)</f>
        <v>0.78587704060014518</v>
      </c>
      <c r="I107" s="58">
        <f>VLOOKUP(CurrentMtgRatesDataTable825[[#This Row],[asOfDate]],CurrentMtgRatesDataTable825623[#All],2,0)</f>
        <v>0.73297781488807146</v>
      </c>
      <c r="J107" s="27">
        <f>VLOOKUP(CurrentMtgRatesDataTable825[[#This Row],[asOfDate]],AC:AD,2,0)</f>
        <v>0.78440164177592298</v>
      </c>
      <c r="K107" s="27">
        <f>VLOOKUP(CurrentMtgRatesDataTable825[[#This Row],[asOfDate]],temp_1,2,0)</f>
        <v>0.836074004884102</v>
      </c>
      <c r="M107" s="24">
        <v>41277</v>
      </c>
      <c r="N107" s="26">
        <v>0.89326181251225278</v>
      </c>
      <c r="O107" s="26">
        <f ca="1">VLOOKUP(CurrentMtgRatesDataTable8256[[#This Row],[asOfDate]]+1,Bloomberg!B:C,2,0)</f>
        <v>3896.4</v>
      </c>
      <c r="Q107" s="24">
        <v>41277</v>
      </c>
      <c r="R107" s="26">
        <v>0.77903280650246454</v>
      </c>
      <c r="T107" s="24">
        <v>41277</v>
      </c>
      <c r="U107" s="27">
        <v>0.78587704060014518</v>
      </c>
      <c r="W107" s="56">
        <v>41277</v>
      </c>
      <c r="X107" s="57">
        <v>0.73297781488807146</v>
      </c>
      <c r="Z107" s="1">
        <v>41277</v>
      </c>
      <c r="AA107">
        <v>0.73841094748036995</v>
      </c>
      <c r="AC107" s="1">
        <v>41277</v>
      </c>
      <c r="AD107">
        <v>0.78440164177592298</v>
      </c>
      <c r="AF107" s="1">
        <v>41277</v>
      </c>
      <c r="AG107">
        <v>0.836074004884102</v>
      </c>
    </row>
    <row r="108" spans="2:33">
      <c r="B108" s="24">
        <v>41284</v>
      </c>
      <c r="C108" s="27">
        <v>0.88507237465236011</v>
      </c>
      <c r="D108" s="27">
        <v>0.86829940875669753</v>
      </c>
      <c r="E108" s="6">
        <f ca="1">VLOOKUP(CurrentMtgRatesDataTable825[[#This Row],[asOfDate]]+1,Bloomberg!B:C,2,0)</f>
        <v>4554.3999999999996</v>
      </c>
      <c r="F108" s="27">
        <f>VLOOKUP(CurrentMtgRatesDataTable825[[#This Row],[asOfDate]],CurrentMtgRatesDataTable8256[#All],2,0)</f>
        <v>0.89311387348630478</v>
      </c>
      <c r="G108" s="27">
        <f>VLOOKUP(CurrentMtgRatesDataTable825[[#This Row],[asOfDate]],CurrentMtgRatesDataTable82562[],2,0)</f>
        <v>0.75573593713546339</v>
      </c>
      <c r="H108" s="27">
        <f>VLOOKUP(CurrentMtgRatesDataTable825[[#This Row],[asOfDate]],T:U,2,0)</f>
        <v>0.76318717011624149</v>
      </c>
      <c r="I108" s="58">
        <f>VLOOKUP(CurrentMtgRatesDataTable825[[#This Row],[asOfDate]],CurrentMtgRatesDataTable825623[#All],2,0)</f>
        <v>0.70742761689353828</v>
      </c>
      <c r="J108" s="27">
        <f>VLOOKUP(CurrentMtgRatesDataTable825[[#This Row],[asOfDate]],AC:AD,2,0)</f>
        <v>0.759606662501778</v>
      </c>
      <c r="K108" s="27">
        <f>VLOOKUP(CurrentMtgRatesDataTable825[[#This Row],[asOfDate]],temp_1,2,0)</f>
        <v>0.81363065108031496</v>
      </c>
      <c r="M108" s="24">
        <v>41284</v>
      </c>
      <c r="N108" s="26">
        <v>0.89311387348630478</v>
      </c>
      <c r="O108" s="26">
        <f ca="1">VLOOKUP(CurrentMtgRatesDataTable8256[[#This Row],[asOfDate]]+1,Bloomberg!B:C,2,0)</f>
        <v>4554.3999999999996</v>
      </c>
      <c r="Q108" s="24">
        <v>41284</v>
      </c>
      <c r="R108" s="26">
        <v>0.75573593713546339</v>
      </c>
      <c r="T108" s="24">
        <v>41284</v>
      </c>
      <c r="U108" s="27">
        <v>0.76318717011624149</v>
      </c>
      <c r="W108" s="56">
        <v>41284</v>
      </c>
      <c r="X108" s="57">
        <v>0.70742761689353828</v>
      </c>
      <c r="Z108" s="1">
        <v>41284</v>
      </c>
      <c r="AA108">
        <v>0.71334765708304704</v>
      </c>
      <c r="AC108" s="1">
        <v>41284</v>
      </c>
      <c r="AD108">
        <v>0.759606662501778</v>
      </c>
      <c r="AF108" s="1">
        <v>41284</v>
      </c>
      <c r="AG108">
        <v>0.81363065108031496</v>
      </c>
    </row>
    <row r="109" spans="2:33">
      <c r="B109" s="24">
        <v>41291</v>
      </c>
      <c r="C109" s="27">
        <v>0.88631407683414742</v>
      </c>
      <c r="D109" s="27">
        <v>0.86829940875669753</v>
      </c>
      <c r="E109" s="6">
        <f ca="1">VLOOKUP(CurrentMtgRatesDataTable825[[#This Row],[asOfDate]]+1,Bloomberg!B:C,2,0)</f>
        <v>4937.3999999999996</v>
      </c>
      <c r="F109" s="27">
        <f>VLOOKUP(CurrentMtgRatesDataTable825[[#This Row],[asOfDate]],CurrentMtgRatesDataTable8256[#All],2,0)</f>
        <v>0.89313594354940329</v>
      </c>
      <c r="G109" s="27">
        <f>VLOOKUP(CurrentMtgRatesDataTable825[[#This Row],[asOfDate]],CurrentMtgRatesDataTable82562[],2,0)</f>
        <v>0.7782961731296214</v>
      </c>
      <c r="H109" s="27">
        <f>VLOOKUP(CurrentMtgRatesDataTable825[[#This Row],[asOfDate]],T:U,2,0)</f>
        <v>0.785144217858876</v>
      </c>
      <c r="I109" s="58">
        <f>VLOOKUP(CurrentMtgRatesDataTable825[[#This Row],[asOfDate]],CurrentMtgRatesDataTable825623[#All],2,0)</f>
        <v>0.72944046146990393</v>
      </c>
      <c r="J109" s="27">
        <f>VLOOKUP(CurrentMtgRatesDataTable825[[#This Row],[asOfDate]],AC:AD,2,0)</f>
        <v>0.78142443901466097</v>
      </c>
      <c r="K109" s="27">
        <f>VLOOKUP(CurrentMtgRatesDataTable825[[#This Row],[asOfDate]],temp_1,2,0)</f>
        <v>0.83425064960633499</v>
      </c>
      <c r="M109" s="24">
        <v>41291</v>
      </c>
      <c r="N109" s="26">
        <v>0.89313594354940329</v>
      </c>
      <c r="O109" s="26">
        <f ca="1">VLOOKUP(CurrentMtgRatesDataTable8256[[#This Row],[asOfDate]]+1,Bloomberg!B:C,2,0)</f>
        <v>4937.3999999999996</v>
      </c>
      <c r="Q109" s="24">
        <v>41291</v>
      </c>
      <c r="R109" s="26">
        <v>0.7782961731296214</v>
      </c>
      <c r="T109" s="24">
        <v>41291</v>
      </c>
      <c r="U109" s="27">
        <v>0.785144217858876</v>
      </c>
      <c r="W109" s="56">
        <v>41291</v>
      </c>
      <c r="X109" s="57">
        <v>0.72944046146990393</v>
      </c>
      <c r="Z109" s="1">
        <v>41291</v>
      </c>
      <c r="AA109">
        <v>0.73522055926059904</v>
      </c>
      <c r="AC109" s="1">
        <v>41291</v>
      </c>
      <c r="AD109">
        <v>0.78142443901466097</v>
      </c>
      <c r="AF109" s="1">
        <v>41291</v>
      </c>
      <c r="AG109">
        <v>0.83425064960633499</v>
      </c>
    </row>
    <row r="110" spans="2:33">
      <c r="B110" s="24">
        <v>41298</v>
      </c>
      <c r="C110" s="27">
        <v>0.88379536104531342</v>
      </c>
      <c r="D110" s="27">
        <v>0.86829940875669753</v>
      </c>
      <c r="E110" s="6">
        <f ca="1">VLOOKUP(CurrentMtgRatesDataTable825[[#This Row],[asOfDate]]+1,Bloomberg!B:C,2,0)</f>
        <v>4433.6000000000004</v>
      </c>
      <c r="F110" s="27">
        <f>VLOOKUP(CurrentMtgRatesDataTable825[[#This Row],[asOfDate]],CurrentMtgRatesDataTable8256[#All],2,0)</f>
        <v>0.89309005512837913</v>
      </c>
      <c r="G110" s="27">
        <f>VLOOKUP(CurrentMtgRatesDataTable825[[#This Row],[asOfDate]],CurrentMtgRatesDataTable82562[],2,0)</f>
        <v>0.75445743013165401</v>
      </c>
      <c r="H110" s="27">
        <f>VLOOKUP(CurrentMtgRatesDataTable825[[#This Row],[asOfDate]],T:U,2,0)</f>
        <v>0.76190943399436351</v>
      </c>
      <c r="I110" s="58">
        <f>VLOOKUP(CurrentMtgRatesDataTable825[[#This Row],[asOfDate]],CurrentMtgRatesDataTable825623[#All],2,0)</f>
        <v>0.70454946765433357</v>
      </c>
      <c r="J110" s="27">
        <f>VLOOKUP(CurrentMtgRatesDataTable825[[#This Row],[asOfDate]],AC:AD,2,0)</f>
        <v>0.75700205657756403</v>
      </c>
      <c r="K110" s="27">
        <f>VLOOKUP(CurrentMtgRatesDataTable825[[#This Row],[asOfDate]],temp_1,2,0)</f>
        <v>0.81192425274368896</v>
      </c>
      <c r="M110" s="24">
        <v>41298</v>
      </c>
      <c r="N110" s="26">
        <v>0.89309005512837913</v>
      </c>
      <c r="O110" s="26">
        <f ca="1">VLOOKUP(CurrentMtgRatesDataTable8256[[#This Row],[asOfDate]]+1,Bloomberg!B:C,2,0)</f>
        <v>4433.6000000000004</v>
      </c>
      <c r="Q110" s="24">
        <v>41298</v>
      </c>
      <c r="R110" s="26">
        <v>0.75445743013165401</v>
      </c>
      <c r="T110" s="24">
        <v>41298</v>
      </c>
      <c r="U110" s="27">
        <v>0.76190943399436351</v>
      </c>
      <c r="W110" s="56">
        <v>41298</v>
      </c>
      <c r="X110" s="57">
        <v>0.70454946765433357</v>
      </c>
      <c r="Z110" s="1">
        <v>41298</v>
      </c>
      <c r="AA110">
        <v>0.71054258834271899</v>
      </c>
      <c r="AC110" s="1">
        <v>41298</v>
      </c>
      <c r="AD110">
        <v>0.75700205657756403</v>
      </c>
      <c r="AF110" s="1">
        <v>41298</v>
      </c>
      <c r="AG110">
        <v>0.81192425274368896</v>
      </c>
    </row>
    <row r="111" spans="2:33">
      <c r="B111" s="24">
        <v>41305</v>
      </c>
      <c r="C111" s="27">
        <v>0.84748759806752005</v>
      </c>
      <c r="D111" s="27">
        <v>0.84429162931833102</v>
      </c>
      <c r="E111" s="6">
        <f ca="1">VLOOKUP(CurrentMtgRatesDataTable825[[#This Row],[asOfDate]]+1,Bloomberg!B:C,2,0)</f>
        <v>4579</v>
      </c>
      <c r="F111" s="27">
        <f>VLOOKUP(CurrentMtgRatesDataTable825[[#This Row],[asOfDate]],CurrentMtgRatesDataTable8256[#All],2,0)</f>
        <v>0.8331952647990043</v>
      </c>
      <c r="G111" s="27">
        <f>VLOOKUP(CurrentMtgRatesDataTable825[[#This Row],[asOfDate]],CurrentMtgRatesDataTable82562[],2,0)</f>
        <v>0.70069200359610684</v>
      </c>
      <c r="H111" s="27">
        <f>VLOOKUP(CurrentMtgRatesDataTable825[[#This Row],[asOfDate]],T:U,2,0)</f>
        <v>0.70861609938717229</v>
      </c>
      <c r="I111" s="58">
        <f>VLOOKUP(CurrentMtgRatesDataTable825[[#This Row],[asOfDate]],CurrentMtgRatesDataTable825623[#All],2,0)</f>
        <v>0.65383764183083803</v>
      </c>
      <c r="J111" s="27">
        <f>VLOOKUP(CurrentMtgRatesDataTable825[[#This Row],[asOfDate]],AC:AD,2,0)</f>
        <v>0.70776343414969201</v>
      </c>
      <c r="K111" s="27">
        <f>VLOOKUP(CurrentMtgRatesDataTable825[[#This Row],[asOfDate]],temp_1,2,0)</f>
        <v>0.76624395820115998</v>
      </c>
      <c r="M111" s="24">
        <v>41305</v>
      </c>
      <c r="N111" s="26">
        <v>0.8331952647990043</v>
      </c>
      <c r="O111" s="26">
        <f ca="1">VLOOKUP(CurrentMtgRatesDataTable8256[[#This Row],[asOfDate]]+1,Bloomberg!B:C,2,0)</f>
        <v>4579</v>
      </c>
      <c r="Q111" s="24">
        <v>41305</v>
      </c>
      <c r="R111" s="26">
        <v>0.70069200359610684</v>
      </c>
      <c r="T111" s="24">
        <v>41305</v>
      </c>
      <c r="U111" s="27">
        <v>0.70861609938717229</v>
      </c>
      <c r="W111" s="56">
        <v>41305</v>
      </c>
      <c r="X111" s="57">
        <v>0.65383764183083803</v>
      </c>
      <c r="Z111" s="1">
        <v>41305</v>
      </c>
      <c r="AA111">
        <v>0.660601886091016</v>
      </c>
      <c r="AC111" s="1">
        <v>41305</v>
      </c>
      <c r="AD111">
        <v>0.70776343414969201</v>
      </c>
      <c r="AF111" s="1">
        <v>41305</v>
      </c>
      <c r="AG111">
        <v>0.76624395820115998</v>
      </c>
    </row>
    <row r="112" spans="2:33">
      <c r="B112" s="24">
        <v>41312</v>
      </c>
      <c r="C112" s="27">
        <v>0.79744674672768578</v>
      </c>
      <c r="D112" s="27">
        <v>0.79280272472703261</v>
      </c>
      <c r="E112" s="6">
        <f ca="1">VLOOKUP(CurrentMtgRatesDataTable825[[#This Row],[asOfDate]]+1,Bloomberg!B:C,2,0)</f>
        <v>4284.3</v>
      </c>
      <c r="F112" s="27">
        <f>VLOOKUP(CurrentMtgRatesDataTable825[[#This Row],[asOfDate]],CurrentMtgRatesDataTable8256[#All],2,0)</f>
        <v>0.81023525759205761</v>
      </c>
      <c r="G112" s="27">
        <f>VLOOKUP(CurrentMtgRatesDataTable825[[#This Row],[asOfDate]],CurrentMtgRatesDataTable82562[],2,0)</f>
        <v>0.68066390920056685</v>
      </c>
      <c r="H112" s="27">
        <f>VLOOKUP(CurrentMtgRatesDataTable825[[#This Row],[asOfDate]],T:U,2,0)</f>
        <v>0.6884953726397457</v>
      </c>
      <c r="I112" s="58">
        <f>VLOOKUP(CurrentMtgRatesDataTable825[[#This Row],[asOfDate]],CurrentMtgRatesDataTable825623[#All],2,0)</f>
        <v>0.63114301374580217</v>
      </c>
      <c r="J112" s="27">
        <f>VLOOKUP(CurrentMtgRatesDataTable825[[#This Row],[asOfDate]],AC:AD,2,0)</f>
        <v>0.68149824697650396</v>
      </c>
      <c r="K112" s="27">
        <f>VLOOKUP(CurrentMtgRatesDataTable825[[#This Row],[asOfDate]],temp_1,2,0)</f>
        <v>0.74556803951524098</v>
      </c>
      <c r="M112" s="24">
        <v>41312</v>
      </c>
      <c r="N112" s="26">
        <v>0.81023525759205761</v>
      </c>
      <c r="O112" s="26">
        <f ca="1">VLOOKUP(CurrentMtgRatesDataTable8256[[#This Row],[asOfDate]]+1,Bloomberg!B:C,2,0)</f>
        <v>4284.3</v>
      </c>
      <c r="Q112" s="24">
        <v>41312</v>
      </c>
      <c r="R112" s="26">
        <v>0.68066390920056685</v>
      </c>
      <c r="T112" s="24">
        <v>41312</v>
      </c>
      <c r="U112" s="27">
        <v>0.6884953726397457</v>
      </c>
      <c r="W112" s="56">
        <v>41312</v>
      </c>
      <c r="X112" s="57">
        <v>0.63114301374580217</v>
      </c>
      <c r="Z112" s="1">
        <v>41312</v>
      </c>
      <c r="AA112">
        <v>0.63767160679092805</v>
      </c>
      <c r="AC112" s="1">
        <v>41312</v>
      </c>
      <c r="AD112">
        <v>0.68149824697650396</v>
      </c>
      <c r="AF112" s="1">
        <v>41312</v>
      </c>
      <c r="AG112">
        <v>0.74556803951524098</v>
      </c>
    </row>
    <row r="113" spans="2:33">
      <c r="B113" s="24">
        <v>41319</v>
      </c>
      <c r="C113" s="27">
        <v>0.79744674672768578</v>
      </c>
      <c r="D113" s="27">
        <v>0.79280272472703261</v>
      </c>
      <c r="E113" s="6">
        <f ca="1">VLOOKUP(CurrentMtgRatesDataTable825[[#This Row],[asOfDate]]+1,Bloomberg!B:C,2,0)</f>
        <v>4261.8</v>
      </c>
      <c r="F113" s="27">
        <f>VLOOKUP(CurrentMtgRatesDataTable825[[#This Row],[asOfDate]],CurrentMtgRatesDataTable8256[#All],2,0)</f>
        <v>0.81023525759205761</v>
      </c>
      <c r="G113" s="27">
        <f>VLOOKUP(CurrentMtgRatesDataTable825[[#This Row],[asOfDate]],CurrentMtgRatesDataTable82562[],2,0)</f>
        <v>0.68066390920056685</v>
      </c>
      <c r="H113" s="27">
        <f>VLOOKUP(CurrentMtgRatesDataTable825[[#This Row],[asOfDate]],T:U,2,0)</f>
        <v>0.6884953726397457</v>
      </c>
      <c r="I113" s="58">
        <f>VLOOKUP(CurrentMtgRatesDataTable825[[#This Row],[asOfDate]],CurrentMtgRatesDataTable825623[#All],2,0)</f>
        <v>0.63114301374580217</v>
      </c>
      <c r="J113" s="27">
        <f>VLOOKUP(CurrentMtgRatesDataTable825[[#This Row],[asOfDate]],AC:AD,2,0)</f>
        <v>0.68149824697650396</v>
      </c>
      <c r="K113" s="27">
        <f>VLOOKUP(CurrentMtgRatesDataTable825[[#This Row],[asOfDate]],temp_1,2,0)</f>
        <v>0.74556803951524098</v>
      </c>
      <c r="M113" s="24">
        <v>41319</v>
      </c>
      <c r="N113" s="26">
        <v>0.81023525759205761</v>
      </c>
      <c r="O113" s="26">
        <f ca="1">VLOOKUP(CurrentMtgRatesDataTable8256[[#This Row],[asOfDate]]+1,Bloomberg!B:C,2,0)</f>
        <v>4261.8</v>
      </c>
      <c r="Q113" s="24">
        <v>41319</v>
      </c>
      <c r="R113" s="26">
        <v>0.68066390920056685</v>
      </c>
      <c r="T113" s="24">
        <v>41319</v>
      </c>
      <c r="U113" s="27">
        <v>0.6884953726397457</v>
      </c>
      <c r="W113" s="56">
        <v>41319</v>
      </c>
      <c r="X113" s="57">
        <v>0.63114301374580217</v>
      </c>
      <c r="Z113" s="1">
        <v>41319</v>
      </c>
      <c r="AA113">
        <v>0.63767160679092805</v>
      </c>
      <c r="AC113" s="1">
        <v>41319</v>
      </c>
      <c r="AD113">
        <v>0.68149824697650396</v>
      </c>
      <c r="AF113" s="1">
        <v>41319</v>
      </c>
      <c r="AG113">
        <v>0.74556803951524098</v>
      </c>
    </row>
    <row r="114" spans="2:33">
      <c r="B114" s="24">
        <v>41326</v>
      </c>
      <c r="C114" s="27">
        <v>0.75767121274967097</v>
      </c>
      <c r="D114" s="27">
        <v>0.79280272472703261</v>
      </c>
      <c r="E114" s="6">
        <f ca="1">VLOOKUP(CurrentMtgRatesDataTable825[[#This Row],[asOfDate]]+1,Bloomberg!B:C,2,0)</f>
        <v>4136.3</v>
      </c>
      <c r="F114" s="27">
        <f>VLOOKUP(CurrentMtgRatesDataTable825[[#This Row],[asOfDate]],CurrentMtgRatesDataTable8256[#All],2,0)</f>
        <v>0.75933345466765345</v>
      </c>
      <c r="G114" s="27">
        <f>VLOOKUP(CurrentMtgRatesDataTable825[[#This Row],[asOfDate]],CurrentMtgRatesDataTable82562[],2,0)</f>
        <v>0.65848868988278741</v>
      </c>
      <c r="H114" s="27">
        <f>VLOOKUP(CurrentMtgRatesDataTable825[[#This Row],[asOfDate]],T:U,2,0)</f>
        <v>0.66613472475485569</v>
      </c>
      <c r="I114" s="58">
        <f>VLOOKUP(CurrentMtgRatesDataTable825[[#This Row],[asOfDate]],CurrentMtgRatesDataTable825623[#All],2,0)</f>
        <v>0.61369684310791517</v>
      </c>
      <c r="J114" s="27">
        <f>VLOOKUP(CurrentMtgRatesDataTable825[[#This Row],[asOfDate]],AC:AD,2,0)</f>
        <v>0.66443156184372798</v>
      </c>
      <c r="K114" s="27">
        <f>VLOOKUP(CurrentMtgRatesDataTable825[[#This Row],[asOfDate]],temp_1,2,0)</f>
        <v>0.72902118949627903</v>
      </c>
      <c r="M114" s="24">
        <v>41326</v>
      </c>
      <c r="N114" s="26">
        <v>0.75933345466765345</v>
      </c>
      <c r="O114" s="26">
        <f ca="1">VLOOKUP(CurrentMtgRatesDataTable8256[[#This Row],[asOfDate]]+1,Bloomberg!B:C,2,0)</f>
        <v>4136.3</v>
      </c>
      <c r="Q114" s="24">
        <v>41326</v>
      </c>
      <c r="R114" s="26">
        <v>0.65848868988278741</v>
      </c>
      <c r="T114" s="24">
        <v>41326</v>
      </c>
      <c r="U114" s="27">
        <v>0.66613472475485569</v>
      </c>
      <c r="W114" s="56">
        <v>41326</v>
      </c>
      <c r="X114" s="57">
        <v>0.61369684310791517</v>
      </c>
      <c r="Z114" s="1">
        <v>41326</v>
      </c>
      <c r="AA114">
        <v>0.62038295660610898</v>
      </c>
      <c r="AC114" s="1">
        <v>41326</v>
      </c>
      <c r="AD114">
        <v>0.66443156184372798</v>
      </c>
      <c r="AF114" s="1">
        <v>41326</v>
      </c>
      <c r="AG114">
        <v>0.72902118949627903</v>
      </c>
    </row>
    <row r="115" spans="2:33">
      <c r="B115" s="24">
        <v>41333</v>
      </c>
      <c r="C115" s="27">
        <v>0.81599621049204552</v>
      </c>
      <c r="D115" s="27">
        <v>0.81605505896187003</v>
      </c>
      <c r="E115" s="6">
        <f ca="1">VLOOKUP(CurrentMtgRatesDataTable825[[#This Row],[asOfDate]]+1,Bloomberg!B:C,2,0)</f>
        <v>4724.8999999999996</v>
      </c>
      <c r="F115" s="27">
        <f>VLOOKUP(CurrentMtgRatesDataTable825[[#This Row],[asOfDate]],CurrentMtgRatesDataTable8256[#All],2,0)</f>
        <v>0.81029528984572785</v>
      </c>
      <c r="G115" s="27">
        <f>VLOOKUP(CurrentMtgRatesDataTable825[[#This Row],[asOfDate]],CurrentMtgRatesDataTable82562[],2,0)</f>
        <v>0.68073059983518691</v>
      </c>
      <c r="H115" s="27">
        <f>VLOOKUP(CurrentMtgRatesDataTable825[[#This Row],[asOfDate]],T:U,2,0)</f>
        <v>0.68856460743428471</v>
      </c>
      <c r="I115" s="58">
        <f>VLOOKUP(CurrentMtgRatesDataTable825[[#This Row],[asOfDate]],CurrentMtgRatesDataTable825623[#All],2,0)</f>
        <v>0.63491676312975698</v>
      </c>
      <c r="J115" s="27">
        <f>VLOOKUP(CurrentMtgRatesDataTable825[[#This Row],[asOfDate]],AC:AD,2,0)</f>
        <v>0.68474077330080096</v>
      </c>
      <c r="K115" s="27">
        <f>VLOOKUP(CurrentMtgRatesDataTable825[[#This Row],[asOfDate]],temp_1,2,0)</f>
        <v>0.74754949703860096</v>
      </c>
      <c r="M115" s="24">
        <v>41333</v>
      </c>
      <c r="N115" s="26">
        <v>0.81029528984572785</v>
      </c>
      <c r="O115" s="26">
        <f ca="1">VLOOKUP(CurrentMtgRatesDataTable8256[[#This Row],[asOfDate]]+1,Bloomberg!B:C,2,0)</f>
        <v>4724.8999999999996</v>
      </c>
      <c r="Q115" s="24">
        <v>41333</v>
      </c>
      <c r="R115" s="26">
        <v>0.68073059983518691</v>
      </c>
      <c r="T115" s="24">
        <v>41333</v>
      </c>
      <c r="U115" s="27">
        <v>0.68856460743428471</v>
      </c>
      <c r="W115" s="56">
        <v>41333</v>
      </c>
      <c r="X115" s="57">
        <v>0.63491676312975698</v>
      </c>
      <c r="Z115" s="1">
        <v>41333</v>
      </c>
      <c r="AA115">
        <v>0.641347168442431</v>
      </c>
      <c r="AC115" s="1">
        <v>41333</v>
      </c>
      <c r="AD115">
        <v>0.68474077330080096</v>
      </c>
      <c r="AF115" s="1">
        <v>41333</v>
      </c>
      <c r="AG115">
        <v>0.74754949703860096</v>
      </c>
    </row>
    <row r="116" spans="2:33">
      <c r="B116" s="24">
        <v>41340</v>
      </c>
      <c r="C116" s="27">
        <v>0.81254588826988361</v>
      </c>
      <c r="D116" s="27">
        <v>0.7933657220903958</v>
      </c>
      <c r="E116" s="6">
        <f ca="1">VLOOKUP(CurrentMtgRatesDataTable825[[#This Row],[asOfDate]]+1,Bloomberg!B:C,2,0)</f>
        <v>4485.2</v>
      </c>
      <c r="F116" s="27">
        <f>VLOOKUP(CurrentMtgRatesDataTable825[[#This Row],[asOfDate]],CurrentMtgRatesDataTable8256[#All],2,0)</f>
        <v>0.78624166702839782</v>
      </c>
      <c r="G116" s="27">
        <f>VLOOKUP(CurrentMtgRatesDataTable825[[#This Row],[asOfDate]],CurrentMtgRatesDataTable82562[],2,0)</f>
        <v>0.65724986454914325</v>
      </c>
      <c r="H116" s="27">
        <f>VLOOKUP(CurrentMtgRatesDataTable825[[#This Row],[asOfDate]],T:U,2,0)</f>
        <v>0.66492754235269635</v>
      </c>
      <c r="I116" s="58">
        <f>VLOOKUP(CurrentMtgRatesDataTable825[[#This Row],[asOfDate]],CurrentMtgRatesDataTable825623[#All],2,0)</f>
        <v>0.61458591818107544</v>
      </c>
      <c r="J116" s="27">
        <f>VLOOKUP(CurrentMtgRatesDataTable825[[#This Row],[asOfDate]],AC:AD,2,0)</f>
        <v>0.65965341103045605</v>
      </c>
      <c r="K116" s="27">
        <f>VLOOKUP(CurrentMtgRatesDataTable825[[#This Row],[asOfDate]],temp_1,2,0)</f>
        <v>0.72577244794763196</v>
      </c>
      <c r="M116" s="24">
        <v>41340</v>
      </c>
      <c r="N116" s="26">
        <v>0.78624166702839782</v>
      </c>
      <c r="O116" s="26">
        <f ca="1">VLOOKUP(CurrentMtgRatesDataTable8256[[#This Row],[asOfDate]]+1,Bloomberg!B:C,2,0)</f>
        <v>4485.2</v>
      </c>
      <c r="Q116" s="24">
        <v>41340</v>
      </c>
      <c r="R116" s="26">
        <v>0.65724986454914325</v>
      </c>
      <c r="T116" s="24">
        <v>41340</v>
      </c>
      <c r="U116" s="27">
        <v>0.66492754235269635</v>
      </c>
      <c r="W116" s="56">
        <v>41340</v>
      </c>
      <c r="X116" s="57">
        <v>0.61458591818107544</v>
      </c>
      <c r="Z116" s="1">
        <v>41340</v>
      </c>
      <c r="AA116">
        <v>0.62037921637133797</v>
      </c>
      <c r="AC116" s="1">
        <v>41340</v>
      </c>
      <c r="AD116">
        <v>0.65965341103045605</v>
      </c>
      <c r="AF116" s="1">
        <v>41340</v>
      </c>
      <c r="AG116">
        <v>0.72577244794763196</v>
      </c>
    </row>
    <row r="117" spans="2:33">
      <c r="B117" s="24">
        <v>41347</v>
      </c>
      <c r="C117" s="27">
        <v>0.70260073761186825</v>
      </c>
      <c r="D117" s="27">
        <v>0.7703005838019461</v>
      </c>
      <c r="E117" s="6">
        <f ca="1">VLOOKUP(CurrentMtgRatesDataTable825[[#This Row],[asOfDate]]+1,Bloomberg!B:C,2,0)</f>
        <v>4111.3</v>
      </c>
      <c r="F117" s="27">
        <f>VLOOKUP(CurrentMtgRatesDataTable825[[#This Row],[asOfDate]],CurrentMtgRatesDataTable8256[#All],2,0)</f>
        <v>0.73111655922691299</v>
      </c>
      <c r="G117" s="27">
        <f>VLOOKUP(CurrentMtgRatesDataTable825[[#This Row],[asOfDate]],CurrentMtgRatesDataTable82562[],2,0)</f>
        <v>0.62014045099909187</v>
      </c>
      <c r="H117" s="27">
        <f>VLOOKUP(CurrentMtgRatesDataTable825[[#This Row],[asOfDate]],T:U,2,0)</f>
        <v>0.62785527997640145</v>
      </c>
      <c r="I117" s="58">
        <f>VLOOKUP(CurrentMtgRatesDataTable825[[#This Row],[asOfDate]],CurrentMtgRatesDataTable825623[#All],2,0)</f>
        <v>0.57544552260540727</v>
      </c>
      <c r="J117" s="27">
        <f>VLOOKUP(CurrentMtgRatesDataTable825[[#This Row],[asOfDate]],AC:AD,2,0)</f>
        <v>0.622542311024053</v>
      </c>
      <c r="K117" s="27">
        <f>VLOOKUP(CurrentMtgRatesDataTable825[[#This Row],[asOfDate]],temp_1,2,0)</f>
        <v>0.69274472587634806</v>
      </c>
      <c r="M117" s="24">
        <v>41347</v>
      </c>
      <c r="N117" s="26">
        <v>0.73111655922691299</v>
      </c>
      <c r="O117" s="26">
        <f ca="1">VLOOKUP(CurrentMtgRatesDataTable8256[[#This Row],[asOfDate]]+1,Bloomberg!B:C,2,0)</f>
        <v>4111.3</v>
      </c>
      <c r="Q117" s="24">
        <v>41347</v>
      </c>
      <c r="R117" s="26">
        <v>0.62014045099909187</v>
      </c>
      <c r="T117" s="24">
        <v>41347</v>
      </c>
      <c r="U117" s="27">
        <v>0.62785527997640145</v>
      </c>
      <c r="W117" s="56">
        <v>41347</v>
      </c>
      <c r="X117" s="57">
        <v>0.57544552260540727</v>
      </c>
      <c r="Z117" s="1">
        <v>41347</v>
      </c>
      <c r="AA117">
        <v>0.58212855722770496</v>
      </c>
      <c r="AC117" s="1">
        <v>41347</v>
      </c>
      <c r="AD117">
        <v>0.622542311024053</v>
      </c>
      <c r="AF117" s="1">
        <v>41347</v>
      </c>
      <c r="AG117">
        <v>0.69274472587634806</v>
      </c>
    </row>
    <row r="118" spans="2:33">
      <c r="B118" s="24">
        <v>41354</v>
      </c>
      <c r="C118" s="27">
        <v>0.76832708554350626</v>
      </c>
      <c r="D118" s="27">
        <v>0.7703005838019461</v>
      </c>
      <c r="E118" s="6">
        <f ca="1">VLOOKUP(CurrentMtgRatesDataTable825[[#This Row],[asOfDate]]+1,Bloomberg!B:C,2,0)</f>
        <v>4412.8999999999996</v>
      </c>
      <c r="F118" s="27">
        <f>VLOOKUP(CurrentMtgRatesDataTable825[[#This Row],[asOfDate]],CurrentMtgRatesDataTable8256[#All],2,0)</f>
        <v>0.78232504101034894</v>
      </c>
      <c r="G118" s="27">
        <f>VLOOKUP(CurrentMtgRatesDataTable825[[#This Row],[asOfDate]],CurrentMtgRatesDataTable82562[],2,0)</f>
        <v>0.6562686953452237</v>
      </c>
      <c r="H118" s="27">
        <f>VLOOKUP(CurrentMtgRatesDataTable825[[#This Row],[asOfDate]],T:U,2,0)</f>
        <v>0.66394223169170952</v>
      </c>
      <c r="I118" s="58">
        <f>VLOOKUP(CurrentMtgRatesDataTable825[[#This Row],[asOfDate]],CurrentMtgRatesDataTable825623[#All],2,0)</f>
        <v>0.60905555004469225</v>
      </c>
      <c r="J118" s="27">
        <f>VLOOKUP(CurrentMtgRatesDataTable825[[#This Row],[asOfDate]],AC:AD,2,0)</f>
        <v>0.65490269555006198</v>
      </c>
      <c r="K118" s="27">
        <f>VLOOKUP(CurrentMtgRatesDataTable825[[#This Row],[asOfDate]],temp_1,2,0)</f>
        <v>0.72250975757212299</v>
      </c>
      <c r="M118" s="24">
        <v>41354</v>
      </c>
      <c r="N118" s="26">
        <v>0.78232504101034894</v>
      </c>
      <c r="O118" s="26">
        <f ca="1">VLOOKUP(CurrentMtgRatesDataTable8256[[#This Row],[asOfDate]]+1,Bloomberg!B:C,2,0)</f>
        <v>4412.8999999999996</v>
      </c>
      <c r="Q118" s="24">
        <v>41354</v>
      </c>
      <c r="R118" s="26">
        <v>0.6562686953452237</v>
      </c>
      <c r="T118" s="24">
        <v>41354</v>
      </c>
      <c r="U118" s="27">
        <v>0.66394223169170952</v>
      </c>
      <c r="W118" s="56">
        <v>41354</v>
      </c>
      <c r="X118" s="57">
        <v>0.60905555004469225</v>
      </c>
      <c r="Z118" s="1">
        <v>41354</v>
      </c>
      <c r="AA118">
        <v>0.61514628767993795</v>
      </c>
      <c r="AC118" s="1">
        <v>41354</v>
      </c>
      <c r="AD118">
        <v>0.65490269555006198</v>
      </c>
      <c r="AF118" s="1">
        <v>41354</v>
      </c>
      <c r="AG118">
        <v>0.72250975757212299</v>
      </c>
    </row>
    <row r="119" spans="2:33">
      <c r="B119" s="24">
        <v>41361</v>
      </c>
      <c r="C119" s="27">
        <v>0.73085022058809757</v>
      </c>
      <c r="D119" s="27">
        <v>0.7703005838019461</v>
      </c>
      <c r="E119" s="6">
        <f ca="1">VLOOKUP(CurrentMtgRatesDataTable825[[#This Row],[asOfDate]]+1,Bloomberg!B:C,2,0)</f>
        <v>4119.2</v>
      </c>
      <c r="F119" s="27">
        <f>VLOOKUP(CurrentMtgRatesDataTable825[[#This Row],[asOfDate]],CurrentMtgRatesDataTable8256[#All],2,0)</f>
        <v>0.73126322983221848</v>
      </c>
      <c r="G119" s="27">
        <f>VLOOKUP(CurrentMtgRatesDataTable825[[#This Row],[asOfDate]],CurrentMtgRatesDataTable82562[],2,0)</f>
        <v>0.63433556022178206</v>
      </c>
      <c r="H119" s="27">
        <f>VLOOKUP(CurrentMtgRatesDataTable825[[#This Row],[asOfDate]],T:U,2,0)</f>
        <v>0.64182776636199401</v>
      </c>
      <c r="I119" s="58">
        <f>VLOOKUP(CurrentMtgRatesDataTable825[[#This Row],[asOfDate]],CurrentMtgRatesDataTable825623[#All],2,0)</f>
        <v>0.59208663893880442</v>
      </c>
      <c r="J119" s="27">
        <f>VLOOKUP(CurrentMtgRatesDataTable825[[#This Row],[asOfDate]],AC:AD,2,0)</f>
        <v>0.63814443106247998</v>
      </c>
      <c r="K119" s="27">
        <f>VLOOKUP(CurrentMtgRatesDataTable825[[#This Row],[asOfDate]],temp_1,2,0)</f>
        <v>0.70629186250718001</v>
      </c>
      <c r="M119" s="24">
        <v>41361</v>
      </c>
      <c r="N119" s="26">
        <v>0.73126322983221848</v>
      </c>
      <c r="O119" s="26">
        <f ca="1">VLOOKUP(CurrentMtgRatesDataTable8256[[#This Row],[asOfDate]]+1,Bloomberg!B:C,2,0)</f>
        <v>4119.2</v>
      </c>
      <c r="Q119" s="24">
        <v>41361</v>
      </c>
      <c r="R119" s="26">
        <v>0.63433556022178206</v>
      </c>
      <c r="T119" s="24">
        <v>41361</v>
      </c>
      <c r="U119" s="27">
        <v>0.64182776636199401</v>
      </c>
      <c r="W119" s="56">
        <v>41361</v>
      </c>
      <c r="X119" s="57">
        <v>0.59208663893880442</v>
      </c>
      <c r="Z119" s="1">
        <v>41361</v>
      </c>
      <c r="AA119">
        <v>0.59825460111802897</v>
      </c>
      <c r="AC119" s="1">
        <v>41361</v>
      </c>
      <c r="AD119">
        <v>0.63814443106247998</v>
      </c>
      <c r="AF119" s="1">
        <v>41361</v>
      </c>
      <c r="AG119">
        <v>0.70629186250718001</v>
      </c>
    </row>
    <row r="120" spans="2:33">
      <c r="B120" s="24">
        <v>41368</v>
      </c>
      <c r="C120" s="27">
        <v>0.74812714109915845</v>
      </c>
      <c r="D120" s="27">
        <v>0.74540194436003504</v>
      </c>
      <c r="E120" s="6">
        <f ca="1">VLOOKUP(CurrentMtgRatesDataTable825[[#This Row],[asOfDate]]+1,Bloomberg!B:C,2,0)</f>
        <v>4528.8999999999996</v>
      </c>
      <c r="F120" s="27">
        <f>VLOOKUP(CurrentMtgRatesDataTable825[[#This Row],[asOfDate]],CurrentMtgRatesDataTable8256[#All],2,0)</f>
        <v>0.75888961446246717</v>
      </c>
      <c r="G120" s="27">
        <f>VLOOKUP(CurrentMtgRatesDataTable825[[#This Row],[asOfDate]],CurrentMtgRatesDataTable82562[],2,0)</f>
        <v>0.64025888760919014</v>
      </c>
      <c r="H120" s="27">
        <f>VLOOKUP(CurrentMtgRatesDataTable825[[#This Row],[asOfDate]],T:U,2,0)</f>
        <v>0.64790815234902699</v>
      </c>
      <c r="I120" s="58">
        <f>VLOOKUP(CurrentMtgRatesDataTable825[[#This Row],[asOfDate]],CurrentMtgRatesDataTable825623[#All],2,0)</f>
        <v>0.59809945210751836</v>
      </c>
      <c r="J120" s="27">
        <f>VLOOKUP(CurrentMtgRatesDataTable825[[#This Row],[asOfDate]],AC:AD,2,0)</f>
        <v>0.63701726572087702</v>
      </c>
      <c r="K120" s="27">
        <f>VLOOKUP(CurrentMtgRatesDataTable825[[#This Row],[asOfDate]],temp_1,2,0)</f>
        <v>0.70738390160501996</v>
      </c>
      <c r="M120" s="24">
        <v>41368</v>
      </c>
      <c r="N120" s="26">
        <v>0.75888961446246717</v>
      </c>
      <c r="O120" s="26">
        <f ca="1">VLOOKUP(CurrentMtgRatesDataTable8256[[#This Row],[asOfDate]]+1,Bloomberg!B:C,2,0)</f>
        <v>4528.8999999999996</v>
      </c>
      <c r="Q120" s="24">
        <v>41368</v>
      </c>
      <c r="R120" s="26">
        <v>0.64025888760919014</v>
      </c>
      <c r="T120" s="24">
        <v>41368</v>
      </c>
      <c r="U120" s="27">
        <v>0.64790815234902699</v>
      </c>
      <c r="W120" s="56">
        <v>41368</v>
      </c>
      <c r="X120" s="57">
        <v>0.59809945210751836</v>
      </c>
      <c r="Z120" s="1">
        <v>41368</v>
      </c>
      <c r="AA120">
        <v>0.60335526195177902</v>
      </c>
      <c r="AC120" s="1">
        <v>41368</v>
      </c>
      <c r="AD120">
        <v>0.63701726572087702</v>
      </c>
      <c r="AF120" s="1">
        <v>41368</v>
      </c>
      <c r="AG120">
        <v>0.70738390160501996</v>
      </c>
    </row>
    <row r="121" spans="2:33">
      <c r="B121" s="24">
        <v>41375</v>
      </c>
      <c r="C121" s="27">
        <v>0.81951890925716175</v>
      </c>
      <c r="D121" s="27">
        <v>0.7916439665927314</v>
      </c>
      <c r="E121" s="6">
        <f ca="1">VLOOKUP(CurrentMtgRatesDataTable825[[#This Row],[asOfDate]]+1,Bloomberg!B:C,2,0)</f>
        <v>4726.8999999999996</v>
      </c>
      <c r="F121" s="27">
        <f>VLOOKUP(CurrentMtgRatesDataTable825[[#This Row],[asOfDate]],CurrentMtgRatesDataTable8256[#All],2,0)</f>
        <v>0.76309932434523087</v>
      </c>
      <c r="G121" s="27">
        <f>VLOOKUP(CurrentMtgRatesDataTable825[[#This Row],[asOfDate]],CurrentMtgRatesDataTable82562[],2,0)</f>
        <v>0.6637730812462096</v>
      </c>
      <c r="H121" s="27">
        <f>VLOOKUP(CurrentMtgRatesDataTable825[[#This Row],[asOfDate]],T:U,2,0)</f>
        <v>0.67093986203227984</v>
      </c>
      <c r="I121" s="58">
        <f>VLOOKUP(CurrentMtgRatesDataTable825[[#This Row],[asOfDate]],CurrentMtgRatesDataTable825623[#All],2,0)</f>
        <v>0.62716608193306933</v>
      </c>
      <c r="J121" s="27">
        <f>VLOOKUP(CurrentMtgRatesDataTable825[[#This Row],[asOfDate]],AC:AD,2,0)</f>
        <v>0.66472248963496305</v>
      </c>
      <c r="K121" s="27">
        <f>VLOOKUP(CurrentMtgRatesDataTable825[[#This Row],[asOfDate]],temp_1,2,0)</f>
        <v>0.73166189405675097</v>
      </c>
      <c r="M121" s="24">
        <v>41375</v>
      </c>
      <c r="N121" s="26">
        <v>0.76309932434523087</v>
      </c>
      <c r="O121" s="26">
        <f ca="1">VLOOKUP(CurrentMtgRatesDataTable8256[[#This Row],[asOfDate]]+1,Bloomberg!B:C,2,0)</f>
        <v>4726.8999999999996</v>
      </c>
      <c r="Q121" s="24">
        <v>41375</v>
      </c>
      <c r="R121" s="26">
        <v>0.6637730812462096</v>
      </c>
      <c r="T121" s="24">
        <v>41375</v>
      </c>
      <c r="U121" s="27">
        <v>0.67093986203227984</v>
      </c>
      <c r="W121" s="56">
        <v>41375</v>
      </c>
      <c r="X121" s="57">
        <v>0.62716608193306933</v>
      </c>
      <c r="Z121" s="1">
        <v>41375</v>
      </c>
      <c r="AA121">
        <v>0.631756033416912</v>
      </c>
      <c r="AC121" s="1">
        <v>41375</v>
      </c>
      <c r="AD121">
        <v>0.66472248963496305</v>
      </c>
      <c r="AF121" s="1">
        <v>41375</v>
      </c>
      <c r="AG121">
        <v>0.73166189405675097</v>
      </c>
    </row>
    <row r="122" spans="2:33">
      <c r="B122" s="24">
        <v>41382</v>
      </c>
      <c r="C122" s="27">
        <v>0.8263799320049966</v>
      </c>
      <c r="D122" s="27">
        <v>0.7916439665927314</v>
      </c>
      <c r="E122" s="6">
        <f ca="1">VLOOKUP(CurrentMtgRatesDataTable825[[#This Row],[asOfDate]]+1,Bloomberg!B:C,2,0)</f>
        <v>4672.1000000000004</v>
      </c>
      <c r="F122" s="27">
        <f>VLOOKUP(CurrentMtgRatesDataTable825[[#This Row],[asOfDate]],CurrentMtgRatesDataTable8256[#All],2,0)</f>
        <v>0.82449537522534488</v>
      </c>
      <c r="G122" s="27">
        <f>VLOOKUP(CurrentMtgRatesDataTable825[[#This Row],[asOfDate]],CurrentMtgRatesDataTable82562[],2,0)</f>
        <v>0.695622626584674</v>
      </c>
      <c r="H122" s="27">
        <f>VLOOKUP(CurrentMtgRatesDataTable825[[#This Row],[asOfDate]],T:U,2,0)</f>
        <v>0.70290697718981421</v>
      </c>
      <c r="I122" s="58">
        <f>VLOOKUP(CurrentMtgRatesDataTable825[[#This Row],[asOfDate]],CurrentMtgRatesDataTable825623[#All],2,0)</f>
        <v>0.65452696598777205</v>
      </c>
      <c r="J122" s="27">
        <f>VLOOKUP(CurrentMtgRatesDataTable825[[#This Row],[asOfDate]],AC:AD,2,0)</f>
        <v>0.691617287637183</v>
      </c>
      <c r="K122" s="27">
        <f>VLOOKUP(CurrentMtgRatesDataTable825[[#This Row],[asOfDate]],temp_1,2,0)</f>
        <v>0.75618746001711701</v>
      </c>
      <c r="M122" s="24">
        <v>41382</v>
      </c>
      <c r="N122" s="26">
        <v>0.82449537522534488</v>
      </c>
      <c r="O122" s="26">
        <f ca="1">VLOOKUP(CurrentMtgRatesDataTable8256[[#This Row],[asOfDate]]+1,Bloomberg!B:C,2,0)</f>
        <v>4672.1000000000004</v>
      </c>
      <c r="Q122" s="24">
        <v>41382</v>
      </c>
      <c r="R122" s="26">
        <v>0.695622626584674</v>
      </c>
      <c r="T122" s="24">
        <v>41382</v>
      </c>
      <c r="U122" s="27">
        <v>0.70290697718981421</v>
      </c>
      <c r="W122" s="56">
        <v>41382</v>
      </c>
      <c r="X122" s="57">
        <v>0.65452696598777205</v>
      </c>
      <c r="Z122" s="1">
        <v>41382</v>
      </c>
      <c r="AA122">
        <v>0.65891124498231801</v>
      </c>
      <c r="AC122" s="1">
        <v>41382</v>
      </c>
      <c r="AD122">
        <v>0.691617287637183</v>
      </c>
      <c r="AF122" s="1">
        <v>41382</v>
      </c>
      <c r="AG122">
        <v>0.75618746001711701</v>
      </c>
    </row>
    <row r="123" spans="2:33">
      <c r="B123" s="24">
        <v>41389</v>
      </c>
      <c r="C123" s="27">
        <v>0.82478602429419701</v>
      </c>
      <c r="D123" s="27">
        <v>0.7916439665927314</v>
      </c>
      <c r="E123" s="6">
        <f ca="1">VLOOKUP(CurrentMtgRatesDataTable825[[#This Row],[asOfDate]]+1,Bloomberg!B:C,2,0)</f>
        <v>4854.1000000000004</v>
      </c>
      <c r="F123" s="27">
        <f>VLOOKUP(CurrentMtgRatesDataTable825[[#This Row],[asOfDate]],CurrentMtgRatesDataTable8256[#All],2,0)</f>
        <v>0.82447540826292098</v>
      </c>
      <c r="G123" s="27">
        <f>VLOOKUP(CurrentMtgRatesDataTable825[[#This Row],[asOfDate]],CurrentMtgRatesDataTable82562[],2,0)</f>
        <v>0.69553149400315528</v>
      </c>
      <c r="H123" s="27">
        <f>VLOOKUP(CurrentMtgRatesDataTable825[[#This Row],[asOfDate]],T:U,2,0)</f>
        <v>0.70281611264171606</v>
      </c>
      <c r="I123" s="58">
        <f>VLOOKUP(CurrentMtgRatesDataTable825[[#This Row],[asOfDate]],CurrentMtgRatesDataTable825623[#All],2,0)</f>
        <v>0.65157246412580749</v>
      </c>
      <c r="J123" s="27">
        <f>VLOOKUP(CurrentMtgRatesDataTable825[[#This Row],[asOfDate]],AC:AD,2,0)</f>
        <v>0.68894417616710202</v>
      </c>
      <c r="K123" s="27">
        <f>VLOOKUP(CurrentMtgRatesDataTable825[[#This Row],[asOfDate]],temp_1,2,0)</f>
        <v>0.75486678604069102</v>
      </c>
      <c r="M123" s="24">
        <v>41389</v>
      </c>
      <c r="N123" s="26">
        <v>0.82447540826292098</v>
      </c>
      <c r="O123" s="26">
        <f ca="1">VLOOKUP(CurrentMtgRatesDataTable8256[[#This Row],[asOfDate]]+1,Bloomberg!B:C,2,0)</f>
        <v>4854.1000000000004</v>
      </c>
      <c r="Q123" s="24">
        <v>41389</v>
      </c>
      <c r="R123" s="26">
        <v>0.69553149400315528</v>
      </c>
      <c r="T123" s="24">
        <v>41389</v>
      </c>
      <c r="U123" s="27">
        <v>0.70281611264171606</v>
      </c>
      <c r="W123" s="56">
        <v>41389</v>
      </c>
      <c r="X123" s="57">
        <v>0.65157246412580749</v>
      </c>
      <c r="Z123" s="1">
        <v>41389</v>
      </c>
      <c r="AA123">
        <v>0.65607814964228905</v>
      </c>
      <c r="AC123" s="1">
        <v>41389</v>
      </c>
      <c r="AD123">
        <v>0.68894417616710202</v>
      </c>
      <c r="AF123" s="1">
        <v>41389</v>
      </c>
      <c r="AG123">
        <v>0.75486678604069102</v>
      </c>
    </row>
    <row r="124" spans="2:33">
      <c r="B124" s="24">
        <v>41396</v>
      </c>
      <c r="C124" s="27">
        <v>0.81686282095814366</v>
      </c>
      <c r="D124" s="27">
        <v>0.83940764810845248</v>
      </c>
      <c r="E124" s="6">
        <f ca="1">VLOOKUP(CurrentMtgRatesDataTable825[[#This Row],[asOfDate]]+1,Bloomberg!B:C,2,0)</f>
        <v>5279.9</v>
      </c>
      <c r="F124" s="27">
        <f>VLOOKUP(CurrentMtgRatesDataTable825[[#This Row],[asOfDate]],CurrentMtgRatesDataTable8256[#All],2,0)</f>
        <v>0.81093209114269571</v>
      </c>
      <c r="G124" s="27">
        <f>VLOOKUP(CurrentMtgRatesDataTable825[[#This Row],[asOfDate]],CurrentMtgRatesDataTable82562[],2,0)</f>
        <v>0.71409535481591846</v>
      </c>
      <c r="H124" s="27">
        <f>VLOOKUP(CurrentMtgRatesDataTable825[[#This Row],[asOfDate]],T:U,2,0)</f>
        <v>0.72094528388633183</v>
      </c>
      <c r="I124" s="58">
        <f>VLOOKUP(CurrentMtgRatesDataTable825[[#This Row],[asOfDate]],CurrentMtgRatesDataTable825623[#All],2,0)</f>
        <v>0.67537337584507506</v>
      </c>
      <c r="J124" s="27">
        <f>VLOOKUP(CurrentMtgRatesDataTable825[[#This Row],[asOfDate]],AC:AD,2,0)</f>
        <v>0.70646423511043499</v>
      </c>
      <c r="K124" s="27">
        <f>VLOOKUP(CurrentMtgRatesDataTable825[[#This Row],[asOfDate]],temp_1,2,0)</f>
        <v>0.771484788579061</v>
      </c>
      <c r="M124" s="24">
        <v>41396</v>
      </c>
      <c r="N124" s="26">
        <v>0.81093209114269571</v>
      </c>
      <c r="O124" s="26">
        <f ca="1">VLOOKUP(CurrentMtgRatesDataTable8256[[#This Row],[asOfDate]]+1,Bloomberg!B:C,2,0)</f>
        <v>5279.9</v>
      </c>
      <c r="Q124" s="24">
        <v>41396</v>
      </c>
      <c r="R124" s="26">
        <v>0.71409535481591846</v>
      </c>
      <c r="T124" s="24">
        <v>41396</v>
      </c>
      <c r="U124" s="27">
        <v>0.72094528388633183</v>
      </c>
      <c r="W124" s="56">
        <v>41396</v>
      </c>
      <c r="X124" s="57">
        <v>0.67537337584507506</v>
      </c>
      <c r="Z124" s="1">
        <v>41396</v>
      </c>
      <c r="AA124">
        <v>0.67877644527472603</v>
      </c>
      <c r="AC124" s="1">
        <v>41396</v>
      </c>
      <c r="AD124">
        <v>0.70646423511043499</v>
      </c>
      <c r="AF124" s="1">
        <v>41396</v>
      </c>
      <c r="AG124">
        <v>0.771484788579061</v>
      </c>
    </row>
    <row r="125" spans="2:33">
      <c r="B125" s="24">
        <v>41403</v>
      </c>
      <c r="C125" s="27">
        <v>0.80807149473903783</v>
      </c>
      <c r="D125" s="27">
        <v>0.76613803294782268</v>
      </c>
      <c r="E125" s="6">
        <f ca="1">VLOOKUP(CurrentMtgRatesDataTable825[[#This Row],[asOfDate]]+1,Bloomberg!B:C,2,0)</f>
        <v>4797.2</v>
      </c>
      <c r="F125" s="27">
        <f>VLOOKUP(CurrentMtgRatesDataTable825[[#This Row],[asOfDate]],CurrentMtgRatesDataTable8256[#All],2,0)</f>
        <v>0.81067760043559867</v>
      </c>
      <c r="G125" s="27">
        <f>VLOOKUP(CurrentMtgRatesDataTable825[[#This Row],[asOfDate]],CurrentMtgRatesDataTable82562[],2,0)</f>
        <v>0.68515952942868741</v>
      </c>
      <c r="H125" s="27">
        <f>VLOOKUP(CurrentMtgRatesDataTable825[[#This Row],[asOfDate]],T:U,2,0)</f>
        <v>0.69246979917415841</v>
      </c>
      <c r="I125" s="58">
        <f>VLOOKUP(CurrentMtgRatesDataTable825[[#This Row],[asOfDate]],CurrentMtgRatesDataTable825623[#All],2,0)</f>
        <v>0.64540614198338686</v>
      </c>
      <c r="J125" s="27">
        <f>VLOOKUP(CurrentMtgRatesDataTable825[[#This Row],[asOfDate]],AC:AD,2,0)</f>
        <v>0.67710126151444505</v>
      </c>
      <c r="K125" s="27">
        <f>VLOOKUP(CurrentMtgRatesDataTable825[[#This Row],[asOfDate]],temp_1,2,0)</f>
        <v>0.74464419012176697</v>
      </c>
      <c r="M125" s="24">
        <v>41403</v>
      </c>
      <c r="N125" s="26">
        <v>0.81067760043559867</v>
      </c>
      <c r="O125" s="26">
        <f ca="1">VLOOKUP(CurrentMtgRatesDataTable8256[[#This Row],[asOfDate]]+1,Bloomberg!B:C,2,0)</f>
        <v>4797.2</v>
      </c>
      <c r="Q125" s="24">
        <v>41403</v>
      </c>
      <c r="R125" s="26">
        <v>0.68515952942868741</v>
      </c>
      <c r="T125" s="24">
        <v>41403</v>
      </c>
      <c r="U125" s="27">
        <v>0.69246979917415841</v>
      </c>
      <c r="W125" s="56">
        <v>41403</v>
      </c>
      <c r="X125" s="57">
        <v>0.64540614198338686</v>
      </c>
      <c r="Z125" s="1">
        <v>41403</v>
      </c>
      <c r="AA125">
        <v>0.64919648492136195</v>
      </c>
      <c r="AC125" s="1">
        <v>41403</v>
      </c>
      <c r="AD125">
        <v>0.67710126151444505</v>
      </c>
      <c r="AF125" s="1">
        <v>41403</v>
      </c>
      <c r="AG125">
        <v>0.74464419012176697</v>
      </c>
    </row>
    <row r="126" spans="2:33">
      <c r="B126" s="24">
        <v>41410</v>
      </c>
      <c r="C126" s="27">
        <v>0.77783403735744605</v>
      </c>
      <c r="D126" s="27">
        <v>0.7429853496983293</v>
      </c>
      <c r="E126" s="6">
        <f ca="1">VLOOKUP(CurrentMtgRatesDataTable825[[#This Row],[asOfDate]]+1,Bloomberg!B:C,2,0)</f>
        <v>4241.5</v>
      </c>
      <c r="F126" s="27">
        <f>VLOOKUP(CurrentMtgRatesDataTable825[[#This Row],[asOfDate]],CurrentMtgRatesDataTable8256[#All],2,0)</f>
        <v>0.74620755103308722</v>
      </c>
      <c r="G126" s="27">
        <f>VLOOKUP(CurrentMtgRatesDataTable825[[#This Row],[asOfDate]],CurrentMtgRatesDataTable82562[],2,0)</f>
        <v>0.6494790290250736</v>
      </c>
      <c r="H126" s="27">
        <f>VLOOKUP(CurrentMtgRatesDataTable825[[#This Row],[asOfDate]],T:U,2,0)</f>
        <v>0.65667808288144003</v>
      </c>
      <c r="I126" s="58">
        <f>VLOOKUP(CurrentMtgRatesDataTable825[[#This Row],[asOfDate]],CurrentMtgRatesDataTable825623[#All],2,0)</f>
        <v>0.61371644626137789</v>
      </c>
      <c r="J126" s="27">
        <f>VLOOKUP(CurrentMtgRatesDataTable825[[#This Row],[asOfDate]],AC:AD,2,0)</f>
        <v>0.64608424059300296</v>
      </c>
      <c r="K126" s="27">
        <f>VLOOKUP(CurrentMtgRatesDataTable825[[#This Row],[asOfDate]],temp_1,2,0)</f>
        <v>0.71633590828579896</v>
      </c>
      <c r="M126" s="24">
        <v>41410</v>
      </c>
      <c r="N126" s="26">
        <v>0.74620755103308722</v>
      </c>
      <c r="O126" s="26">
        <f ca="1">VLOOKUP(CurrentMtgRatesDataTable8256[[#This Row],[asOfDate]]+1,Bloomberg!B:C,2,0)</f>
        <v>4241.5</v>
      </c>
      <c r="Q126" s="24">
        <v>41410</v>
      </c>
      <c r="R126" s="26">
        <v>0.6494790290250736</v>
      </c>
      <c r="T126" s="24">
        <v>41410</v>
      </c>
      <c r="U126" s="27">
        <v>0.65667808288144003</v>
      </c>
      <c r="W126" s="56">
        <v>41410</v>
      </c>
      <c r="X126" s="57">
        <v>0.61371644626137789</v>
      </c>
      <c r="Z126" s="1">
        <v>41410</v>
      </c>
      <c r="AA126">
        <v>0.61789930294269302</v>
      </c>
      <c r="AC126" s="1">
        <v>41410</v>
      </c>
      <c r="AD126">
        <v>0.64608424059300296</v>
      </c>
      <c r="AF126" s="1">
        <v>41410</v>
      </c>
      <c r="AG126">
        <v>0.71633590828579896</v>
      </c>
    </row>
    <row r="127" spans="2:33">
      <c r="B127" s="24">
        <v>41417</v>
      </c>
      <c r="C127" s="27">
        <v>0.69528028144531095</v>
      </c>
      <c r="D127" s="27">
        <v>0.72025605083465527</v>
      </c>
      <c r="E127" s="6">
        <f ca="1">VLOOKUP(CurrentMtgRatesDataTable825[[#This Row],[asOfDate]]+1,Bloomberg!B:C,2,0)</f>
        <v>3709.4</v>
      </c>
      <c r="F127" s="27">
        <f>VLOOKUP(CurrentMtgRatesDataTable825[[#This Row],[asOfDate]],CurrentMtgRatesDataTable8256[#All],2,0)</f>
        <v>0.68879869829190365</v>
      </c>
      <c r="G127" s="27">
        <f>VLOOKUP(CurrentMtgRatesDataTable825[[#This Row],[asOfDate]],CurrentMtgRatesDataTable82562[],2,0)</f>
        <v>0.6051404208222666</v>
      </c>
      <c r="H127" s="27">
        <f>VLOOKUP(CurrentMtgRatesDataTable825[[#This Row],[asOfDate]],T:U,2,0)</f>
        <v>0.61265051606608523</v>
      </c>
      <c r="I127" s="58">
        <f>VLOOKUP(CurrentMtgRatesDataTable825[[#This Row],[asOfDate]],CurrentMtgRatesDataTable825623[#All],2,0)</f>
        <v>0.57161053072002388</v>
      </c>
      <c r="J127" s="27">
        <f>VLOOKUP(CurrentMtgRatesDataTable825[[#This Row],[asOfDate]],AC:AD,2,0)</f>
        <v>0.60492342195832605</v>
      </c>
      <c r="K127" s="27">
        <f>VLOOKUP(CurrentMtgRatesDataTable825[[#This Row],[asOfDate]],temp_1,2,0)</f>
        <v>0.67870748269177705</v>
      </c>
      <c r="M127" s="24">
        <v>41417</v>
      </c>
      <c r="N127" s="26">
        <v>0.68879869829190365</v>
      </c>
      <c r="O127" s="26">
        <f ca="1">VLOOKUP(CurrentMtgRatesDataTable8256[[#This Row],[asOfDate]]+1,Bloomberg!B:C,2,0)</f>
        <v>3709.4</v>
      </c>
      <c r="Q127" s="24">
        <v>41417</v>
      </c>
      <c r="R127" s="26">
        <v>0.6051404208222666</v>
      </c>
      <c r="T127" s="24">
        <v>41417</v>
      </c>
      <c r="U127" s="27">
        <v>0.61265051606608523</v>
      </c>
      <c r="W127" s="56">
        <v>41417</v>
      </c>
      <c r="X127" s="57">
        <v>0.57161053072002388</v>
      </c>
      <c r="Z127" s="1">
        <v>41417</v>
      </c>
      <c r="AA127">
        <v>0.57624856200420604</v>
      </c>
      <c r="AC127" s="1">
        <v>41417</v>
      </c>
      <c r="AD127">
        <v>0.60492342195832605</v>
      </c>
      <c r="AF127" s="1">
        <v>41417</v>
      </c>
      <c r="AG127">
        <v>0.67870748269177705</v>
      </c>
    </row>
    <row r="128" spans="2:33">
      <c r="B128" s="24">
        <v>41424</v>
      </c>
      <c r="C128" s="27">
        <v>0.63267241864898449</v>
      </c>
      <c r="D128" s="27">
        <v>0.59179617087919623</v>
      </c>
      <c r="E128" s="6">
        <f ca="1">VLOOKUP(CurrentMtgRatesDataTable825[[#This Row],[asOfDate]]+1,Bloomberg!B:C,2,0)</f>
        <v>3163.6</v>
      </c>
      <c r="F128" s="27">
        <f>VLOOKUP(CurrentMtgRatesDataTable825[[#This Row],[asOfDate]],CurrentMtgRatesDataTable8256[#All],2,0)</f>
        <v>0.60503526915664596</v>
      </c>
      <c r="G128" s="27">
        <f>VLOOKUP(CurrentMtgRatesDataTable825[[#This Row],[asOfDate]],CurrentMtgRatesDataTable82562[],2,0)</f>
        <v>0.52721345464386349</v>
      </c>
      <c r="H128" s="27">
        <f>VLOOKUP(CurrentMtgRatesDataTable825[[#This Row],[asOfDate]],T:U,2,0)</f>
        <v>0.53483965838657976</v>
      </c>
      <c r="I128" s="58">
        <f>VLOOKUP(CurrentMtgRatesDataTable825[[#This Row],[asOfDate]],CurrentMtgRatesDataTable825623[#All],2,0)</f>
        <v>0.49281389771726519</v>
      </c>
      <c r="J128" s="27">
        <f>VLOOKUP(CurrentMtgRatesDataTable825[[#This Row],[asOfDate]],AC:AD,2,0)</f>
        <v>0.52986130193183101</v>
      </c>
      <c r="K128" s="27">
        <f>VLOOKUP(CurrentMtgRatesDataTable825[[#This Row],[asOfDate]],temp_1,2,0)</f>
        <v>0.61251731306242996</v>
      </c>
      <c r="M128" s="24">
        <v>41424</v>
      </c>
      <c r="N128" s="26">
        <v>0.60503526915664596</v>
      </c>
      <c r="O128" s="26">
        <f ca="1">VLOOKUP(CurrentMtgRatesDataTable8256[[#This Row],[asOfDate]]+1,Bloomberg!B:C,2,0)</f>
        <v>3163.6</v>
      </c>
      <c r="Q128" s="24">
        <v>41424</v>
      </c>
      <c r="R128" s="26">
        <v>0.52721345464386349</v>
      </c>
      <c r="T128" s="24">
        <v>41424</v>
      </c>
      <c r="U128" s="27">
        <v>0.53483965838657976</v>
      </c>
      <c r="W128" s="56">
        <v>41424</v>
      </c>
      <c r="X128" s="57">
        <v>0.49281389771726519</v>
      </c>
      <c r="Z128" s="1">
        <v>41424</v>
      </c>
      <c r="AA128">
        <v>0.49900003894999101</v>
      </c>
      <c r="AC128" s="1">
        <v>41424</v>
      </c>
      <c r="AD128">
        <v>0.52986130193183101</v>
      </c>
      <c r="AF128" s="1">
        <v>41424</v>
      </c>
      <c r="AG128">
        <v>0.61251731306242996</v>
      </c>
    </row>
    <row r="129" spans="2:33">
      <c r="B129" s="24">
        <v>41431</v>
      </c>
      <c r="C129" s="27">
        <v>0.60569175356282723</v>
      </c>
      <c r="D129" s="27">
        <v>0.55408508468166706</v>
      </c>
      <c r="E129" s="6">
        <f ca="1">VLOOKUP(CurrentMtgRatesDataTable825[[#This Row],[asOfDate]]+1,Bloomberg!B:C,2,0)</f>
        <v>3339.8</v>
      </c>
      <c r="F129" s="27">
        <f>VLOOKUP(CurrentMtgRatesDataTable825[[#This Row],[asOfDate]],CurrentMtgRatesDataTable8256[#All],2,0)</f>
        <v>0.58039665812793095</v>
      </c>
      <c r="G129" s="27">
        <f>VLOOKUP(CurrentMtgRatesDataTable825[[#This Row],[asOfDate]],CurrentMtgRatesDataTable82562[],2,0)</f>
        <v>0.4891944540160782</v>
      </c>
      <c r="H129" s="27">
        <f>VLOOKUP(CurrentMtgRatesDataTable825[[#This Row],[asOfDate]],T:U,2,0)</f>
        <v>0.49694449948610975</v>
      </c>
      <c r="I129" s="58">
        <f>VLOOKUP(CurrentMtgRatesDataTable825[[#This Row],[asOfDate]],CurrentMtgRatesDataTable825623[#All],2,0)</f>
        <v>0.45700453068812052</v>
      </c>
      <c r="J129" s="27">
        <f>VLOOKUP(CurrentMtgRatesDataTable825[[#This Row],[asOfDate]],AC:AD,2,0)</f>
        <v>0.48936320762315699</v>
      </c>
      <c r="K129" s="27">
        <f>VLOOKUP(CurrentMtgRatesDataTable825[[#This Row],[asOfDate]],temp_1,2,0)</f>
        <v>0.57822132602668297</v>
      </c>
      <c r="M129" s="24">
        <v>41431</v>
      </c>
      <c r="N129" s="26">
        <v>0.58039665812793095</v>
      </c>
      <c r="O129" s="26">
        <f ca="1">VLOOKUP(CurrentMtgRatesDataTable8256[[#This Row],[asOfDate]]+1,Bloomberg!B:C,2,0)</f>
        <v>3339.8</v>
      </c>
      <c r="Q129" s="24">
        <v>41431</v>
      </c>
      <c r="R129" s="26">
        <v>0.4891944540160782</v>
      </c>
      <c r="T129" s="24">
        <v>41431</v>
      </c>
      <c r="U129" s="27">
        <v>0.49694449948610975</v>
      </c>
      <c r="W129" s="56">
        <v>41431</v>
      </c>
      <c r="X129" s="57">
        <v>0.45700453068812052</v>
      </c>
      <c r="Z129" s="1">
        <v>41431</v>
      </c>
      <c r="AA129">
        <v>0.46273323671411698</v>
      </c>
      <c r="AC129" s="1">
        <v>41431</v>
      </c>
      <c r="AD129">
        <v>0.48936320762315699</v>
      </c>
      <c r="AF129" s="1">
        <v>41431</v>
      </c>
      <c r="AG129">
        <v>0.57822132602668297</v>
      </c>
    </row>
    <row r="130" spans="2:33">
      <c r="B130" s="24">
        <v>41438</v>
      </c>
      <c r="C130" s="27">
        <v>0.57343184072471942</v>
      </c>
      <c r="D130" s="27">
        <v>0.5423764184565868</v>
      </c>
      <c r="E130" s="6">
        <f ca="1">VLOOKUP(CurrentMtgRatesDataTable825[[#This Row],[asOfDate]]+1,Bloomberg!B:C,2,0)</f>
        <v>3214.4</v>
      </c>
      <c r="F130" s="27">
        <f>VLOOKUP(CurrentMtgRatesDataTable825[[#This Row],[asOfDate]],CurrentMtgRatesDataTable8256[#All],2,0)</f>
        <v>0.53516783439685534</v>
      </c>
      <c r="G130" s="27">
        <f>VLOOKUP(CurrentMtgRatesDataTable825[[#This Row],[asOfDate]],CurrentMtgRatesDataTable82562[],2,0)</f>
        <v>0.46639665698988902</v>
      </c>
      <c r="H130" s="27">
        <f>VLOOKUP(CurrentMtgRatesDataTable825[[#This Row],[asOfDate]],T:U,2,0)</f>
        <v>0.47397924667640279</v>
      </c>
      <c r="I130" s="58">
        <f>VLOOKUP(CurrentMtgRatesDataTable825[[#This Row],[asOfDate]],CurrentMtgRatesDataTable825623[#All],2,0)</f>
        <v>0.4344487152177407</v>
      </c>
      <c r="J130" s="27">
        <f>VLOOKUP(CurrentMtgRatesDataTable825[[#This Row],[asOfDate]],AC:AD,2,0)</f>
        <v>0.46803712037587902</v>
      </c>
      <c r="K130" s="27">
        <f>VLOOKUP(CurrentMtgRatesDataTable825[[#This Row],[asOfDate]],temp_1,2,0)</f>
        <v>0.559460433785407</v>
      </c>
      <c r="M130" s="24">
        <v>41438</v>
      </c>
      <c r="N130" s="26">
        <v>0.53516783439685534</v>
      </c>
      <c r="O130" s="26">
        <f ca="1">VLOOKUP(CurrentMtgRatesDataTable8256[[#This Row],[asOfDate]]+1,Bloomberg!B:C,2,0)</f>
        <v>3214.4</v>
      </c>
      <c r="Q130" s="24">
        <v>41438</v>
      </c>
      <c r="R130" s="26">
        <v>0.46639665698988902</v>
      </c>
      <c r="T130" s="24">
        <v>41438</v>
      </c>
      <c r="U130" s="27">
        <v>0.47397924667640279</v>
      </c>
      <c r="W130" s="56">
        <v>41438</v>
      </c>
      <c r="X130" s="57">
        <v>0.4344487152177407</v>
      </c>
      <c r="Z130" s="1">
        <v>41438</v>
      </c>
      <c r="AA130">
        <v>0.44072380110037201</v>
      </c>
      <c r="AC130" s="1">
        <v>41438</v>
      </c>
      <c r="AD130">
        <v>0.46803712037587902</v>
      </c>
      <c r="AF130" s="1">
        <v>41438</v>
      </c>
      <c r="AG130">
        <v>0.559460433785407</v>
      </c>
    </row>
    <row r="131" spans="2:33">
      <c r="B131" s="24">
        <v>41445</v>
      </c>
      <c r="C131" s="27">
        <v>0.58795254732817659</v>
      </c>
      <c r="D131" s="27">
        <v>0.55408508468166706</v>
      </c>
      <c r="E131" s="6">
        <f ca="1">VLOOKUP(CurrentMtgRatesDataTable825[[#This Row],[asOfDate]]+1,Bloomberg!B:C,2,0)</f>
        <v>3040.1</v>
      </c>
      <c r="F131" s="27">
        <f>VLOOKUP(CurrentMtgRatesDataTable825[[#This Row],[asOfDate]],CurrentMtgRatesDataTable8256[#All],2,0)</f>
        <v>0.5352370883375368</v>
      </c>
      <c r="G131" s="27">
        <f>VLOOKUP(CurrentMtgRatesDataTable825[[#This Row],[asOfDate]],CurrentMtgRatesDataTable82562[],2,0)</f>
        <v>0.46645564331496181</v>
      </c>
      <c r="H131" s="27">
        <f>VLOOKUP(CurrentMtgRatesDataTable825[[#This Row],[asOfDate]],T:U,2,0)</f>
        <v>0.47403756846371675</v>
      </c>
      <c r="I131" s="58">
        <f>VLOOKUP(CurrentMtgRatesDataTable825[[#This Row],[asOfDate]],CurrentMtgRatesDataTable825623[#All],2,0)</f>
        <v>0.43496628993259662</v>
      </c>
      <c r="J131" s="27">
        <f>VLOOKUP(CurrentMtgRatesDataTable825[[#This Row],[asOfDate]],AC:AD,2,0)</f>
        <v>0.46841833416873302</v>
      </c>
      <c r="K131" s="27">
        <f>VLOOKUP(CurrentMtgRatesDataTable825[[#This Row],[asOfDate]],temp_1,2,0)</f>
        <v>0.55969090716589698</v>
      </c>
      <c r="M131" s="24">
        <v>41445</v>
      </c>
      <c r="N131" s="26">
        <v>0.5352370883375368</v>
      </c>
      <c r="O131" s="26">
        <f ca="1">VLOOKUP(CurrentMtgRatesDataTable8256[[#This Row],[asOfDate]]+1,Bloomberg!B:C,2,0)</f>
        <v>3040.1</v>
      </c>
      <c r="Q131" s="24">
        <v>41445</v>
      </c>
      <c r="R131" s="26">
        <v>0.46645564331496181</v>
      </c>
      <c r="T131" s="24">
        <v>41445</v>
      </c>
      <c r="U131" s="27">
        <v>0.47403756846371675</v>
      </c>
      <c r="W131" s="56">
        <v>41445</v>
      </c>
      <c r="X131" s="57">
        <v>0.43496628993259662</v>
      </c>
      <c r="Z131" s="1">
        <v>41445</v>
      </c>
      <c r="AA131">
        <v>0.441195770169867</v>
      </c>
      <c r="AC131" s="1">
        <v>41445</v>
      </c>
      <c r="AD131">
        <v>0.46841833416873302</v>
      </c>
      <c r="AF131" s="1">
        <v>41445</v>
      </c>
      <c r="AG131">
        <v>0.55969090716589698</v>
      </c>
    </row>
    <row r="132" spans="2:33">
      <c r="B132" s="24">
        <v>41452</v>
      </c>
      <c r="C132" s="27">
        <v>0.39082116641682313</v>
      </c>
      <c r="D132" s="27">
        <v>0.38650251809514186</v>
      </c>
      <c r="E132" s="6">
        <f ca="1">VLOOKUP(CurrentMtgRatesDataTable825[[#This Row],[asOfDate]]+1,Bloomberg!B:C,2,0)</f>
        <v>2573.4</v>
      </c>
      <c r="F132" s="27">
        <f>VLOOKUP(CurrentMtgRatesDataTable825[[#This Row],[asOfDate]],CurrentMtgRatesDataTable8256[#All],2,0)</f>
        <v>0.31802392696495574</v>
      </c>
      <c r="G132" s="27">
        <f>VLOOKUP(CurrentMtgRatesDataTable825[[#This Row],[asOfDate]],CurrentMtgRatesDataTable82562[],2,0)</f>
        <v>0.24762221189085226</v>
      </c>
      <c r="H132" s="27">
        <f>VLOOKUP(CurrentMtgRatesDataTable825[[#This Row],[asOfDate]],T:U,2,0)</f>
        <v>0.25403206756592833</v>
      </c>
      <c r="I132" s="58">
        <f>VLOOKUP(CurrentMtgRatesDataTable825[[#This Row],[asOfDate]],CurrentMtgRatesDataTable825623[#All],2,0)</f>
        <v>0.2199872648895852</v>
      </c>
      <c r="J132" s="27">
        <f>VLOOKUP(CurrentMtgRatesDataTable825[[#This Row],[asOfDate]],AC:AD,2,0)</f>
        <v>0.25930726321944902</v>
      </c>
      <c r="K132" s="27">
        <f>VLOOKUP(CurrentMtgRatesDataTable825[[#This Row],[asOfDate]],temp_1,2,0)</f>
        <v>0.367888732312324</v>
      </c>
      <c r="M132" s="24">
        <v>41452</v>
      </c>
      <c r="N132" s="26">
        <v>0.31802392696495574</v>
      </c>
      <c r="O132" s="26">
        <f ca="1">VLOOKUP(CurrentMtgRatesDataTable8256[[#This Row],[asOfDate]]+1,Bloomberg!B:C,2,0)</f>
        <v>2573.4</v>
      </c>
      <c r="Q132" s="24">
        <v>41452</v>
      </c>
      <c r="R132" s="26">
        <v>0.24762221189085226</v>
      </c>
      <c r="T132" s="24">
        <v>41452</v>
      </c>
      <c r="U132" s="27">
        <v>0.25403206756592833</v>
      </c>
      <c r="W132" s="56">
        <v>41452</v>
      </c>
      <c r="X132" s="57">
        <v>0.2199872648895852</v>
      </c>
      <c r="Z132" s="1">
        <v>41452</v>
      </c>
      <c r="AA132">
        <v>0.229374556333794</v>
      </c>
      <c r="AC132" s="1">
        <v>41452</v>
      </c>
      <c r="AD132">
        <v>0.25930726321944902</v>
      </c>
      <c r="AF132" s="1">
        <v>41452</v>
      </c>
      <c r="AG132">
        <v>0.367888732312324</v>
      </c>
    </row>
    <row r="133" spans="2:33">
      <c r="B133" s="24">
        <v>41458</v>
      </c>
      <c r="C133" s="27">
        <v>0.4330864642120939</v>
      </c>
      <c r="D133" s="27">
        <v>0.4413483888067033</v>
      </c>
      <c r="E133" s="6" t="e">
        <f ca="1">VLOOKUP(CurrentMtgRatesDataTable825[[#This Row],[asOfDate]]+1,Bloomberg!B:C,2,0)</f>
        <v>#N/A</v>
      </c>
      <c r="F133" s="27">
        <f>VLOOKUP(CurrentMtgRatesDataTable825[[#This Row],[asOfDate]],CurrentMtgRatesDataTable8256[#All],2,0)</f>
        <v>0.44137433773261886</v>
      </c>
      <c r="G133" s="27">
        <f>VLOOKUP(CurrentMtgRatesDataTable825[[#This Row],[asOfDate]],CurrentMtgRatesDataTable82562[],2,0)</f>
        <v>0.34116092459322267</v>
      </c>
      <c r="H133" s="27">
        <f>VLOOKUP(CurrentMtgRatesDataTable825[[#This Row],[asOfDate]],T:U,2,0)</f>
        <v>0.34777149804179863</v>
      </c>
      <c r="I133" s="58">
        <f>VLOOKUP(CurrentMtgRatesDataTable825[[#This Row],[asOfDate]],CurrentMtgRatesDataTable825623[#All],2,0)</f>
        <v>0.31059723114058108</v>
      </c>
      <c r="J133" s="27">
        <f>VLOOKUP(CurrentMtgRatesDataTable825[[#This Row],[asOfDate]],AC:AD,2,0)</f>
        <v>0.34399747197441399</v>
      </c>
      <c r="K133" s="27">
        <f>VLOOKUP(CurrentMtgRatesDataTable825[[#This Row],[asOfDate]],temp_1,2,0)</f>
        <v>0.44991679314134703</v>
      </c>
      <c r="M133" s="24">
        <v>41458</v>
      </c>
      <c r="N133" s="26">
        <v>0.44137433773261886</v>
      </c>
      <c r="O133" s="26" t="e">
        <f ca="1">VLOOKUP(CurrentMtgRatesDataTable8256[[#This Row],[asOfDate]]+1,Bloomberg!B:C,2,0)</f>
        <v>#N/A</v>
      </c>
      <c r="Q133" s="24">
        <v>41458</v>
      </c>
      <c r="R133" s="26">
        <v>0.34116092459322267</v>
      </c>
      <c r="T133" s="24">
        <v>41458</v>
      </c>
      <c r="U133" s="27">
        <v>0.34777149804179863</v>
      </c>
      <c r="W133" s="56">
        <v>41458</v>
      </c>
      <c r="X133" s="57">
        <v>0.31059723114058108</v>
      </c>
      <c r="Z133" s="1">
        <v>41458</v>
      </c>
      <c r="AA133">
        <v>0.318238763217012</v>
      </c>
      <c r="AC133" s="1">
        <v>41458</v>
      </c>
      <c r="AD133">
        <v>0.34399747197441399</v>
      </c>
      <c r="AF133" s="1">
        <v>41458</v>
      </c>
      <c r="AG133">
        <v>0.44991679314134703</v>
      </c>
    </row>
    <row r="134" spans="2:33">
      <c r="B134" s="24">
        <v>41466</v>
      </c>
      <c r="C134" s="27">
        <v>0.31856955774356621</v>
      </c>
      <c r="D134" s="27">
        <v>0.33963235301832578</v>
      </c>
      <c r="E134" s="6">
        <f ca="1">VLOOKUP(CurrentMtgRatesDataTable825[[#This Row],[asOfDate]]+1,Bloomberg!B:C,2,0)</f>
        <v>2242.1999999999998</v>
      </c>
      <c r="F134" s="27">
        <f>VLOOKUP(CurrentMtgRatesDataTable825[[#This Row],[asOfDate]],CurrentMtgRatesDataTable8256[#All],2,0)</f>
        <v>0.30323693087397197</v>
      </c>
      <c r="G134" s="27">
        <f>VLOOKUP(CurrentMtgRatesDataTable825[[#This Row],[asOfDate]],CurrentMtgRatesDataTable82562[],2,0)</f>
        <v>0.21925196921871176</v>
      </c>
      <c r="H134" s="27">
        <f>VLOOKUP(CurrentMtgRatesDataTable825[[#This Row],[asOfDate]],T:U,2,0)</f>
        <v>0.22534397246731291</v>
      </c>
      <c r="I134" s="58">
        <f>VLOOKUP(CurrentMtgRatesDataTable825[[#This Row],[asOfDate]],CurrentMtgRatesDataTable825623[#All],2,0)</f>
        <v>0.19429609707083362</v>
      </c>
      <c r="J134" s="27">
        <f>VLOOKUP(CurrentMtgRatesDataTable825[[#This Row],[asOfDate]],AC:AD,2,0)</f>
        <v>0.23052122039717299</v>
      </c>
      <c r="K134" s="27">
        <f>VLOOKUP(CurrentMtgRatesDataTable825[[#This Row],[asOfDate]],temp_1,2,0)</f>
        <v>0.343565932630295</v>
      </c>
      <c r="M134" s="24">
        <v>41466</v>
      </c>
      <c r="N134" s="26">
        <v>0.30323693087397197</v>
      </c>
      <c r="O134" s="26">
        <f ca="1">VLOOKUP(CurrentMtgRatesDataTable8256[[#This Row],[asOfDate]]+1,Bloomberg!B:C,2,0)</f>
        <v>2242.1999999999998</v>
      </c>
      <c r="Q134" s="24">
        <v>41466</v>
      </c>
      <c r="R134" s="26">
        <v>0.21925196921871176</v>
      </c>
      <c r="T134" s="24">
        <v>41466</v>
      </c>
      <c r="U134" s="27">
        <v>0.22534397246731291</v>
      </c>
      <c r="W134" s="56">
        <v>41466</v>
      </c>
      <c r="X134" s="57">
        <v>0.19429609707083362</v>
      </c>
      <c r="Z134" s="1">
        <v>41466</v>
      </c>
      <c r="AA134">
        <v>0.20346214895969</v>
      </c>
      <c r="AC134" s="1">
        <v>41466</v>
      </c>
      <c r="AD134">
        <v>0.23052122039717299</v>
      </c>
      <c r="AF134" s="1">
        <v>41466</v>
      </c>
      <c r="AG134">
        <v>0.343565932630295</v>
      </c>
    </row>
    <row r="135" spans="2:33">
      <c r="B135" s="24">
        <v>41473</v>
      </c>
      <c r="C135" s="27">
        <v>0.42624975952077765</v>
      </c>
      <c r="D135" s="27">
        <v>0.42258876241454896</v>
      </c>
      <c r="E135" s="6">
        <f ca="1">VLOOKUP(CurrentMtgRatesDataTable825[[#This Row],[asOfDate]]+1,Bloomberg!B:C,2,0)</f>
        <v>2288</v>
      </c>
      <c r="F135" s="27">
        <f>VLOOKUP(CurrentMtgRatesDataTable825[[#This Row],[asOfDate]],CurrentMtgRatesDataTable8256[#All],2,0)</f>
        <v>0.38224036528758815</v>
      </c>
      <c r="G135" s="27">
        <f>VLOOKUP(CurrentMtgRatesDataTable825[[#This Row],[asOfDate]],CurrentMtgRatesDataTable82562[],2,0)</f>
        <v>0.30618919991705607</v>
      </c>
      <c r="H135" s="27">
        <f>VLOOKUP(CurrentMtgRatesDataTable825[[#This Row],[asOfDate]],T:U,2,0)</f>
        <v>0.31268318581252624</v>
      </c>
      <c r="I135" s="58">
        <f>VLOOKUP(CurrentMtgRatesDataTable825[[#This Row],[asOfDate]],CurrentMtgRatesDataTable825623[#All],2,0)</f>
        <v>0.2794842470602576</v>
      </c>
      <c r="J135" s="27">
        <f>VLOOKUP(CurrentMtgRatesDataTable825[[#This Row],[asOfDate]],AC:AD,2,0)</f>
        <v>0.313528938106932</v>
      </c>
      <c r="K135" s="27">
        <f>VLOOKUP(CurrentMtgRatesDataTable825[[#This Row],[asOfDate]],temp_1,2,0)</f>
        <v>0.42213456893363699</v>
      </c>
      <c r="M135" s="24">
        <v>41473</v>
      </c>
      <c r="N135" s="26">
        <v>0.38224036528758815</v>
      </c>
      <c r="O135" s="26">
        <f ca="1">VLOOKUP(CurrentMtgRatesDataTable8256[[#This Row],[asOfDate]]+1,Bloomberg!B:C,2,0)</f>
        <v>2288</v>
      </c>
      <c r="Q135" s="24">
        <v>41473</v>
      </c>
      <c r="R135" s="26">
        <v>0.30618919991705607</v>
      </c>
      <c r="T135" s="24">
        <v>41473</v>
      </c>
      <c r="U135" s="27">
        <v>0.31268318581252624</v>
      </c>
      <c r="W135" s="56">
        <v>41473</v>
      </c>
      <c r="X135" s="57">
        <v>0.2794842470602576</v>
      </c>
      <c r="Z135" s="1">
        <v>41473</v>
      </c>
      <c r="AA135">
        <v>0.28759038829307199</v>
      </c>
      <c r="AC135" s="1">
        <v>41473</v>
      </c>
      <c r="AD135">
        <v>0.313528938106932</v>
      </c>
      <c r="AF135" s="1">
        <v>41473</v>
      </c>
      <c r="AG135">
        <v>0.42213456893363699</v>
      </c>
    </row>
    <row r="136" spans="2:33">
      <c r="B136" s="24">
        <v>41480</v>
      </c>
      <c r="C136" s="27">
        <v>0.42922629610906576</v>
      </c>
      <c r="D136" s="27">
        <v>0.43288655726990638</v>
      </c>
      <c r="E136" s="6">
        <f ca="1">VLOOKUP(CurrentMtgRatesDataTable825[[#This Row],[asOfDate]]+1,Bloomberg!B:C,2,0)</f>
        <v>2218.3000000000002</v>
      </c>
      <c r="F136" s="27">
        <f>VLOOKUP(CurrentMtgRatesDataTable825[[#This Row],[asOfDate]],CurrentMtgRatesDataTable8256[#All],2,0)</f>
        <v>0.38235673657078234</v>
      </c>
      <c r="G136" s="27">
        <f>VLOOKUP(CurrentMtgRatesDataTable825[[#This Row],[asOfDate]],CurrentMtgRatesDataTable82562[],2,0)</f>
        <v>0.30641559236172644</v>
      </c>
      <c r="H136" s="27">
        <f>VLOOKUP(CurrentMtgRatesDataTable825[[#This Row],[asOfDate]],T:U,2,0)</f>
        <v>0.312913492244701</v>
      </c>
      <c r="I136" s="58">
        <f>VLOOKUP(CurrentMtgRatesDataTable825[[#This Row],[asOfDate]],CurrentMtgRatesDataTable825623[#All],2,0)</f>
        <v>0.28045144255790144</v>
      </c>
      <c r="J136" s="27">
        <f>VLOOKUP(CurrentMtgRatesDataTable825[[#This Row],[asOfDate]],AC:AD,2,0)</f>
        <v>0.31410556361706699</v>
      </c>
      <c r="K136" s="27">
        <f>VLOOKUP(CurrentMtgRatesDataTable825[[#This Row],[asOfDate]],temp_1,2,0)</f>
        <v>0.42257495599278999</v>
      </c>
      <c r="M136" s="24">
        <v>41480</v>
      </c>
      <c r="N136" s="26">
        <v>0.38235673657078234</v>
      </c>
      <c r="O136" s="26">
        <f ca="1">VLOOKUP(CurrentMtgRatesDataTable8256[[#This Row],[asOfDate]]+1,Bloomberg!B:C,2,0)</f>
        <v>2218.3000000000002</v>
      </c>
      <c r="Q136" s="24">
        <v>41480</v>
      </c>
      <c r="R136" s="26">
        <v>0.30641559236172644</v>
      </c>
      <c r="T136" s="24">
        <v>41480</v>
      </c>
      <c r="U136" s="27">
        <v>0.312913492244701</v>
      </c>
      <c r="W136" s="56">
        <v>41480</v>
      </c>
      <c r="X136" s="57">
        <v>0.28045144255790144</v>
      </c>
      <c r="Z136" s="1">
        <v>41480</v>
      </c>
      <c r="AA136">
        <v>0.28853044568249298</v>
      </c>
      <c r="AC136" s="1">
        <v>41480</v>
      </c>
      <c r="AD136">
        <v>0.31410556361706699</v>
      </c>
      <c r="AF136" s="1">
        <v>41480</v>
      </c>
      <c r="AG136">
        <v>0.42257495599278999</v>
      </c>
    </row>
    <row r="137" spans="2:33">
      <c r="B137" s="24">
        <v>41487</v>
      </c>
      <c r="C137" s="27">
        <v>0.40917398895537016</v>
      </c>
      <c r="D137" s="27">
        <v>0.40514213578765113</v>
      </c>
      <c r="E137" s="6">
        <f ca="1">VLOOKUP(CurrentMtgRatesDataTable825[[#This Row],[asOfDate]]+1,Bloomberg!B:C,2,0)</f>
        <v>2228.9</v>
      </c>
      <c r="F137" s="27">
        <f>VLOOKUP(CurrentMtgRatesDataTable825[[#This Row],[asOfDate]],CurrentMtgRatesDataTable8256[#All],2,0)</f>
        <v>0.366090471734486</v>
      </c>
      <c r="G137" s="27">
        <f>VLOOKUP(CurrentMtgRatesDataTable825[[#This Row],[asOfDate]],CurrentMtgRatesDataTable82562[],2,0)</f>
        <v>0.26247242102513602</v>
      </c>
      <c r="H137" s="27">
        <f>VLOOKUP(CurrentMtgRatesDataTable825[[#This Row],[asOfDate]],T:U,2,0)</f>
        <v>0.26851632698808114</v>
      </c>
      <c r="I137" s="58">
        <f>VLOOKUP(CurrentMtgRatesDataTable825[[#This Row],[asOfDate]],CurrentMtgRatesDataTable825623[#All],2,0)</f>
        <v>0.23838945674236522</v>
      </c>
      <c r="J137" s="27">
        <f>VLOOKUP(CurrentMtgRatesDataTable825[[#This Row],[asOfDate]],AC:AD,2,0)</f>
        <v>0.26871710621385497</v>
      </c>
      <c r="K137" s="27">
        <f>VLOOKUP(CurrentMtgRatesDataTable825[[#This Row],[asOfDate]],temp_1,2,0)</f>
        <v>0.383004460274534</v>
      </c>
      <c r="M137" s="24">
        <v>41487</v>
      </c>
      <c r="N137" s="26">
        <v>0.366090471734486</v>
      </c>
      <c r="O137" s="26">
        <f ca="1">VLOOKUP(CurrentMtgRatesDataTable8256[[#This Row],[asOfDate]]+1,Bloomberg!B:C,2,0)</f>
        <v>2228.9</v>
      </c>
      <c r="Q137" s="24">
        <v>41487</v>
      </c>
      <c r="R137" s="26">
        <v>0.26247242102513602</v>
      </c>
      <c r="T137" s="24">
        <v>41487</v>
      </c>
      <c r="U137" s="27">
        <v>0.26851632698808114</v>
      </c>
      <c r="W137" s="56">
        <v>41487</v>
      </c>
      <c r="X137" s="57">
        <v>0.23838945674236522</v>
      </c>
      <c r="Z137" s="1">
        <v>41487</v>
      </c>
      <c r="AA137">
        <v>0.24583842295687</v>
      </c>
      <c r="AC137" s="1">
        <v>41487</v>
      </c>
      <c r="AD137">
        <v>0.26871710621385497</v>
      </c>
      <c r="AF137" s="1">
        <v>41487</v>
      </c>
      <c r="AG137">
        <v>0.383004460274534</v>
      </c>
    </row>
    <row r="138" spans="2:33">
      <c r="B138" s="24">
        <v>41494</v>
      </c>
      <c r="C138" s="27">
        <v>0.40797811985401045</v>
      </c>
      <c r="D138" s="27">
        <v>0.38923445313101573</v>
      </c>
      <c r="E138" s="6">
        <f ca="1">VLOOKUP(CurrentMtgRatesDataTable825[[#This Row],[asOfDate]]+1,Bloomberg!B:C,2,0)</f>
        <v>2110.6</v>
      </c>
      <c r="F138" s="27">
        <f>VLOOKUP(CurrentMtgRatesDataTable825[[#This Row],[asOfDate]],CurrentMtgRatesDataTable8256[#All],2,0)</f>
        <v>0.36607182581429965</v>
      </c>
      <c r="G138" s="27">
        <f>VLOOKUP(CurrentMtgRatesDataTable825[[#This Row],[asOfDate]],CurrentMtgRatesDataTable82562[],2,0)</f>
        <v>0.26232322891763199</v>
      </c>
      <c r="H138" s="27">
        <f>VLOOKUP(CurrentMtgRatesDataTable825[[#This Row],[asOfDate]],T:U,2,0)</f>
        <v>0.26848961945490407</v>
      </c>
      <c r="I138" s="58">
        <f>VLOOKUP(CurrentMtgRatesDataTable825[[#This Row],[asOfDate]],CurrentMtgRatesDataTable825623[#All],2,0)</f>
        <v>0.23805160399751818</v>
      </c>
      <c r="J138" s="27">
        <f>VLOOKUP(CurrentMtgRatesDataTable825[[#This Row],[asOfDate]],AC:AD,2,0)</f>
        <v>0.26842687745364402</v>
      </c>
      <c r="K138" s="27">
        <f>VLOOKUP(CurrentMtgRatesDataTable825[[#This Row],[asOfDate]],temp_1,2,0)</f>
        <v>0.38279147275356301</v>
      </c>
      <c r="M138" s="24">
        <v>41494</v>
      </c>
      <c r="N138" s="26">
        <v>0.36607182581429965</v>
      </c>
      <c r="O138" s="26">
        <f ca="1">VLOOKUP(CurrentMtgRatesDataTable8256[[#This Row],[asOfDate]]+1,Bloomberg!B:C,2,0)</f>
        <v>2110.6</v>
      </c>
      <c r="Q138" s="24">
        <v>41494</v>
      </c>
      <c r="R138" s="26">
        <v>0.26232322891763199</v>
      </c>
      <c r="T138" s="24">
        <v>41494</v>
      </c>
      <c r="U138" s="27">
        <v>0.26848961945490407</v>
      </c>
      <c r="W138" s="56">
        <v>41494</v>
      </c>
      <c r="X138" s="57">
        <v>0.23805160399751818</v>
      </c>
      <c r="Z138" s="1">
        <v>41494</v>
      </c>
      <c r="AA138">
        <v>0.245506258292609</v>
      </c>
      <c r="AC138" s="1">
        <v>41494</v>
      </c>
      <c r="AD138">
        <v>0.26842687745364402</v>
      </c>
      <c r="AF138" s="1">
        <v>41494</v>
      </c>
      <c r="AG138">
        <v>0.38279147275356301</v>
      </c>
    </row>
    <row r="139" spans="2:33">
      <c r="B139" s="24">
        <v>41501</v>
      </c>
      <c r="C139" s="27">
        <v>0.40797811985401045</v>
      </c>
      <c r="D139" s="27">
        <v>0.38923445313101573</v>
      </c>
      <c r="E139" s="6">
        <f ca="1">VLOOKUP(CurrentMtgRatesDataTable825[[#This Row],[asOfDate]]+1,Bloomberg!B:C,2,0)</f>
        <v>1935.1</v>
      </c>
      <c r="F139" s="27">
        <f>VLOOKUP(CurrentMtgRatesDataTable825[[#This Row],[asOfDate]],CurrentMtgRatesDataTable8256[#All],2,0)</f>
        <v>0.36607182581429965</v>
      </c>
      <c r="G139" s="27">
        <f>VLOOKUP(CurrentMtgRatesDataTable825[[#This Row],[asOfDate]],CurrentMtgRatesDataTable82562[],2,0)</f>
        <v>0.26232322891763199</v>
      </c>
      <c r="H139" s="27">
        <f>VLOOKUP(CurrentMtgRatesDataTable825[[#This Row],[asOfDate]],T:U,2,0)</f>
        <v>0.26848961945490407</v>
      </c>
      <c r="I139" s="58">
        <f>VLOOKUP(CurrentMtgRatesDataTable825[[#This Row],[asOfDate]],CurrentMtgRatesDataTable825623[#All],2,0)</f>
        <v>0.23805160399751818</v>
      </c>
      <c r="J139" s="27">
        <f>VLOOKUP(CurrentMtgRatesDataTable825[[#This Row],[asOfDate]],AC:AD,2,0)</f>
        <v>0.26842687745364402</v>
      </c>
      <c r="K139" s="27">
        <f>VLOOKUP(CurrentMtgRatesDataTable825[[#This Row],[asOfDate]],temp_1,2,0)</f>
        <v>0.38279147275356301</v>
      </c>
      <c r="M139" s="24">
        <v>41501</v>
      </c>
      <c r="N139" s="26">
        <v>0.36607182581429965</v>
      </c>
      <c r="O139" s="26">
        <f ca="1">VLOOKUP(CurrentMtgRatesDataTable8256[[#This Row],[asOfDate]]+1,Bloomberg!B:C,2,0)</f>
        <v>1935.1</v>
      </c>
      <c r="Q139" s="24">
        <v>41501</v>
      </c>
      <c r="R139" s="26">
        <v>0.26232322891763199</v>
      </c>
      <c r="T139" s="24">
        <v>41501</v>
      </c>
      <c r="U139" s="27">
        <v>0.26848961945490407</v>
      </c>
      <c r="W139" s="56">
        <v>41501</v>
      </c>
      <c r="X139" s="57">
        <v>0.23805160399751818</v>
      </c>
      <c r="Z139" s="1">
        <v>41501</v>
      </c>
      <c r="AA139">
        <v>0.245506258292609</v>
      </c>
      <c r="AC139" s="1">
        <v>41501</v>
      </c>
      <c r="AD139">
        <v>0.26842687745364402</v>
      </c>
      <c r="AF139" s="1">
        <v>41501</v>
      </c>
      <c r="AG139">
        <v>0.38279147275356301</v>
      </c>
    </row>
    <row r="140" spans="2:33">
      <c r="B140" s="24">
        <v>41508</v>
      </c>
      <c r="C140" s="27">
        <v>0.28211495793674252</v>
      </c>
      <c r="D140" s="27">
        <v>0.29693315237834977</v>
      </c>
      <c r="E140" s="6">
        <f ca="1">VLOOKUP(CurrentMtgRatesDataTable825[[#This Row],[asOfDate]]+1,Bloomberg!B:C,2,0)</f>
        <v>1842.6</v>
      </c>
      <c r="F140" s="27">
        <f>VLOOKUP(CurrentMtgRatesDataTable825[[#This Row],[asOfDate]],CurrentMtgRatesDataTable8256[#All],2,0)</f>
        <v>0.25066720783636109</v>
      </c>
      <c r="G140" s="27">
        <f>VLOOKUP(CurrentMtgRatesDataTable825[[#This Row],[asOfDate]],CurrentMtgRatesDataTable82562[],2,0)</f>
        <v>0.1931798913236967</v>
      </c>
      <c r="H140" s="27">
        <f>VLOOKUP(CurrentMtgRatesDataTable825[[#This Row],[asOfDate]],T:U,2,0)</f>
        <v>0.19897551419907808</v>
      </c>
      <c r="I140" s="58">
        <f>VLOOKUP(CurrentMtgRatesDataTable825[[#This Row],[asOfDate]],CurrentMtgRatesDataTable825623[#All],2,0)</f>
        <v>0.17139837278320391</v>
      </c>
      <c r="J140" s="27">
        <f>VLOOKUP(CurrentMtgRatesDataTable825[[#This Row],[asOfDate]],AC:AD,2,0)</f>
        <v>0.20545197668606799</v>
      </c>
      <c r="K140" s="27">
        <f>VLOOKUP(CurrentMtgRatesDataTable825[[#This Row],[asOfDate]],temp_1,2,0)</f>
        <v>0.32338711550858601</v>
      </c>
      <c r="M140" s="24">
        <v>41508</v>
      </c>
      <c r="N140" s="26">
        <v>0.25066720783636109</v>
      </c>
      <c r="O140" s="26">
        <f ca="1">VLOOKUP(CurrentMtgRatesDataTable8256[[#This Row],[asOfDate]]+1,Bloomberg!B:C,2,0)</f>
        <v>1842.6</v>
      </c>
      <c r="Q140" s="24">
        <v>41508</v>
      </c>
      <c r="R140" s="26">
        <v>0.1931798913236967</v>
      </c>
      <c r="T140" s="24">
        <v>41508</v>
      </c>
      <c r="U140" s="27">
        <v>0.19897551419907808</v>
      </c>
      <c r="W140" s="56">
        <v>41508</v>
      </c>
      <c r="X140" s="57">
        <v>0.17139837278320391</v>
      </c>
      <c r="Z140" s="1">
        <v>41508</v>
      </c>
      <c r="AA140">
        <v>0.18018540137539299</v>
      </c>
      <c r="AC140" s="1">
        <v>41508</v>
      </c>
      <c r="AD140">
        <v>0.20545197668606799</v>
      </c>
      <c r="AF140" s="1">
        <v>41508</v>
      </c>
      <c r="AG140">
        <v>0.32338711550858601</v>
      </c>
    </row>
    <row r="141" spans="2:33">
      <c r="B141" s="24">
        <v>41515</v>
      </c>
      <c r="C141" s="27">
        <v>0.32707732602530493</v>
      </c>
      <c r="D141" s="27">
        <v>0.33208289269783886</v>
      </c>
      <c r="E141" s="6">
        <f ca="1">VLOOKUP(CurrentMtgRatesDataTable825[[#This Row],[asOfDate]]+1,Bloomberg!B:C,2,0)</f>
        <v>1909</v>
      </c>
      <c r="F141" s="27">
        <f>VLOOKUP(CurrentMtgRatesDataTable825[[#This Row],[asOfDate]],CurrentMtgRatesDataTable8256[#All],2,0)</f>
        <v>0.29050117748807303</v>
      </c>
      <c r="G141" s="27">
        <f>VLOOKUP(CurrentMtgRatesDataTable825[[#This Row],[asOfDate]],CurrentMtgRatesDataTable82562[],2,0)</f>
        <v>0.22914742259420434</v>
      </c>
      <c r="H141" s="27">
        <f>VLOOKUP(CurrentMtgRatesDataTable825[[#This Row],[asOfDate]],T:U,2,0)</f>
        <v>0.2352153173287943</v>
      </c>
      <c r="I141" s="58">
        <f>VLOOKUP(CurrentMtgRatesDataTable825[[#This Row],[asOfDate]],CurrentMtgRatesDataTable825623[#All],2,0)</f>
        <v>0.20573773224038241</v>
      </c>
      <c r="J141" s="27">
        <f>VLOOKUP(CurrentMtgRatesDataTable825[[#This Row],[asOfDate]],AC:AD,2,0)</f>
        <v>0.23763744646630799</v>
      </c>
      <c r="K141" s="27">
        <f>VLOOKUP(CurrentMtgRatesDataTable825[[#This Row],[asOfDate]],temp_1,2,0)</f>
        <v>0.35369890645833102</v>
      </c>
      <c r="M141" s="24">
        <v>41515</v>
      </c>
      <c r="N141" s="26">
        <v>0.29050117748807303</v>
      </c>
      <c r="O141" s="26">
        <f ca="1">VLOOKUP(CurrentMtgRatesDataTable8256[[#This Row],[asOfDate]]+1,Bloomberg!B:C,2,0)</f>
        <v>1909</v>
      </c>
      <c r="Q141" s="24">
        <v>41515</v>
      </c>
      <c r="R141" s="26">
        <v>0.22914742259420434</v>
      </c>
      <c r="T141" s="24">
        <v>41515</v>
      </c>
      <c r="U141" s="27">
        <v>0.2352153173287943</v>
      </c>
      <c r="W141" s="56">
        <v>41515</v>
      </c>
      <c r="X141" s="57">
        <v>0.20573773224038241</v>
      </c>
      <c r="Z141" s="1">
        <v>41515</v>
      </c>
      <c r="AA141">
        <v>0.21361840043373101</v>
      </c>
      <c r="AC141" s="1">
        <v>41515</v>
      </c>
      <c r="AD141">
        <v>0.23763744646630799</v>
      </c>
      <c r="AF141" s="1">
        <v>41515</v>
      </c>
      <c r="AG141">
        <v>0.35369890645833102</v>
      </c>
    </row>
    <row r="142" spans="2:33">
      <c r="B142" s="24">
        <v>41522</v>
      </c>
      <c r="C142" s="27">
        <v>0.2818649256036454</v>
      </c>
      <c r="D142" s="27">
        <v>0.30651467832121571</v>
      </c>
      <c r="E142" s="6">
        <f ca="1">VLOOKUP(CurrentMtgRatesDataTable825[[#This Row],[asOfDate]]+1,Bloomberg!B:C,2,0)</f>
        <v>1512.9</v>
      </c>
      <c r="F142" s="27">
        <f>VLOOKUP(CurrentMtgRatesDataTable825[[#This Row],[asOfDate]],CurrentMtgRatesDataTable8256[#All],2,0)</f>
        <v>0.27649551668926681</v>
      </c>
      <c r="G142" s="27">
        <f>VLOOKUP(CurrentMtgRatesDataTable825[[#This Row],[asOfDate]],CurrentMtgRatesDataTable82562[],2,0)</f>
        <v>0.20407660990880219</v>
      </c>
      <c r="H142" s="27">
        <f>VLOOKUP(CurrentMtgRatesDataTable825[[#This Row],[asOfDate]],T:U,2,0)</f>
        <v>0.20985102278531986</v>
      </c>
      <c r="I142" s="58">
        <f>VLOOKUP(CurrentMtgRatesDataTable825[[#This Row],[asOfDate]],CurrentMtgRatesDataTable825623[#All],2,0)</f>
        <v>0.18142824317266582</v>
      </c>
      <c r="J142" s="27">
        <f>VLOOKUP(CurrentMtgRatesDataTable825[[#This Row],[asOfDate]],AC:AD,2,0)</f>
        <v>0.21149349910069001</v>
      </c>
      <c r="K142" s="27">
        <f>VLOOKUP(CurrentMtgRatesDataTable825[[#This Row],[asOfDate]],temp_1,2,0)</f>
        <v>0.33186163023723098</v>
      </c>
      <c r="M142" s="24">
        <v>41522</v>
      </c>
      <c r="N142" s="26">
        <v>0.27649551668926681</v>
      </c>
      <c r="O142" s="26">
        <f ca="1">VLOOKUP(CurrentMtgRatesDataTable8256[[#This Row],[asOfDate]]+1,Bloomberg!B:C,2,0)</f>
        <v>1512.9</v>
      </c>
      <c r="Q142" s="24">
        <v>41522</v>
      </c>
      <c r="R142" s="26">
        <v>0.20407660990880219</v>
      </c>
      <c r="T142" s="24">
        <v>41522</v>
      </c>
      <c r="U142" s="27">
        <v>0.20985102278531986</v>
      </c>
      <c r="W142" s="56">
        <v>41522</v>
      </c>
      <c r="X142" s="57">
        <v>0.18142824317266582</v>
      </c>
      <c r="Z142" s="1">
        <v>41522</v>
      </c>
      <c r="AA142">
        <v>0.189194931548887</v>
      </c>
      <c r="AC142" s="1">
        <v>41522</v>
      </c>
      <c r="AD142">
        <v>0.21149349910069001</v>
      </c>
      <c r="AF142" s="1">
        <v>41522</v>
      </c>
      <c r="AG142">
        <v>0.33186163023723098</v>
      </c>
    </row>
    <row r="143" spans="2:33">
      <c r="B143" s="24">
        <v>41529</v>
      </c>
      <c r="C143" s="27">
        <v>0.27463010199382165</v>
      </c>
      <c r="D143" s="27">
        <v>0.28526437258549869</v>
      </c>
      <c r="E143" s="6">
        <f ca="1">VLOOKUP(CurrentMtgRatesDataTable825[[#This Row],[asOfDate]]+1,Bloomberg!B:C,2,0)</f>
        <v>1814</v>
      </c>
      <c r="F143" s="27">
        <f>VLOOKUP(CurrentMtgRatesDataTable825[[#This Row],[asOfDate]],CurrentMtgRatesDataTable8256[#All],2,0)</f>
        <v>0.24165122804318193</v>
      </c>
      <c r="G143" s="27">
        <f>VLOOKUP(CurrentMtgRatesDataTable825[[#This Row],[asOfDate]],CurrentMtgRatesDataTable82562[],2,0)</f>
        <v>0.18764355995817586</v>
      </c>
      <c r="H143" s="27">
        <f>VLOOKUP(CurrentMtgRatesDataTable825[[#This Row],[asOfDate]],T:U,2,0)</f>
        <v>0.1933013159773479</v>
      </c>
      <c r="I143" s="58">
        <f>VLOOKUP(CurrentMtgRatesDataTable825[[#This Row],[asOfDate]],CurrentMtgRatesDataTable825623[#All],2,0)</f>
        <v>0.16781950534512624</v>
      </c>
      <c r="J143" s="27">
        <f>VLOOKUP(CurrentMtgRatesDataTable825[[#This Row],[asOfDate]],AC:AD,2,0)</f>
        <v>0.19827486089892299</v>
      </c>
      <c r="K143" s="27">
        <f>VLOOKUP(CurrentMtgRatesDataTable825[[#This Row],[asOfDate]],temp_1,2,0)</f>
        <v>0.31934207014088301</v>
      </c>
      <c r="M143" s="24">
        <v>41529</v>
      </c>
      <c r="N143" s="26">
        <v>0.24165122804318193</v>
      </c>
      <c r="O143" s="26">
        <f ca="1">VLOOKUP(CurrentMtgRatesDataTable8256[[#This Row],[asOfDate]]+1,Bloomberg!B:C,2,0)</f>
        <v>1814</v>
      </c>
      <c r="Q143" s="24">
        <v>41529</v>
      </c>
      <c r="R143" s="26">
        <v>0.18764355995817586</v>
      </c>
      <c r="T143" s="24">
        <v>41529</v>
      </c>
      <c r="U143" s="27">
        <v>0.1933013159773479</v>
      </c>
      <c r="W143" s="56">
        <v>41529</v>
      </c>
      <c r="X143" s="57">
        <v>0.16781950534512624</v>
      </c>
      <c r="Z143" s="1">
        <v>41529</v>
      </c>
      <c r="AA143">
        <v>0.17589546572752501</v>
      </c>
      <c r="AC143" s="1">
        <v>41529</v>
      </c>
      <c r="AD143">
        <v>0.19827486089892299</v>
      </c>
      <c r="AF143" s="1">
        <v>41529</v>
      </c>
      <c r="AG143">
        <v>0.31934207014088301</v>
      </c>
    </row>
    <row r="144" spans="2:33">
      <c r="B144" s="24">
        <v>41536</v>
      </c>
      <c r="C144" s="27">
        <v>0.33277831045649614</v>
      </c>
      <c r="D144" s="27">
        <v>0.3196034646266166</v>
      </c>
      <c r="E144" s="6">
        <f ca="1">VLOOKUP(CurrentMtgRatesDataTable825[[#This Row],[asOfDate]]+1,Bloomberg!B:C,2,0)</f>
        <v>1922.9</v>
      </c>
      <c r="F144" s="27">
        <f>VLOOKUP(CurrentMtgRatesDataTable825[[#This Row],[asOfDate]],CurrentMtgRatesDataTable8256[#All],2,0)</f>
        <v>0.28087782506985004</v>
      </c>
      <c r="G144" s="27">
        <f>VLOOKUP(CurrentMtgRatesDataTable825[[#This Row],[asOfDate]],CurrentMtgRatesDataTable82562[],2,0)</f>
        <v>0.2238872135619516</v>
      </c>
      <c r="H144" s="27">
        <f>VLOOKUP(CurrentMtgRatesDataTable825[[#This Row],[asOfDate]],T:U,2,0)</f>
        <v>0.22981537322953327</v>
      </c>
      <c r="I144" s="58">
        <f>VLOOKUP(CurrentMtgRatesDataTable825[[#This Row],[asOfDate]],CurrentMtgRatesDataTable825623[#All],2,0)</f>
        <v>0.20224886083981533</v>
      </c>
      <c r="J144" s="27">
        <f>VLOOKUP(CurrentMtgRatesDataTable825[[#This Row],[asOfDate]],AC:AD,2,0)</f>
        <v>0.230982049953562</v>
      </c>
      <c r="K144" s="27">
        <f>VLOOKUP(CurrentMtgRatesDataTable825[[#This Row],[asOfDate]],temp_1,2,0)</f>
        <v>0.35010450976329799</v>
      </c>
      <c r="M144" s="24">
        <v>41536</v>
      </c>
      <c r="N144" s="26">
        <v>0.28087782506985004</v>
      </c>
      <c r="O144" s="26">
        <f ca="1">VLOOKUP(CurrentMtgRatesDataTable8256[[#This Row],[asOfDate]]+1,Bloomberg!B:C,2,0)</f>
        <v>1922.9</v>
      </c>
      <c r="Q144" s="24">
        <v>41536</v>
      </c>
      <c r="R144" s="26">
        <v>0.2238872135619516</v>
      </c>
      <c r="T144" s="24">
        <v>41536</v>
      </c>
      <c r="U144" s="27">
        <v>0.22981537322953327</v>
      </c>
      <c r="W144" s="56">
        <v>41536</v>
      </c>
      <c r="X144" s="57">
        <v>0.20224886083981533</v>
      </c>
      <c r="Z144" s="1">
        <v>41536</v>
      </c>
      <c r="AA144">
        <v>0.20959656864387999</v>
      </c>
      <c r="AC144" s="1">
        <v>41536</v>
      </c>
      <c r="AD144">
        <v>0.230982049953562</v>
      </c>
      <c r="AF144" s="1">
        <v>41536</v>
      </c>
      <c r="AG144">
        <v>0.35010450976329799</v>
      </c>
    </row>
    <row r="145" spans="2:33">
      <c r="B145" s="24">
        <v>41543</v>
      </c>
      <c r="C145" s="27">
        <v>0.40445747526612724</v>
      </c>
      <c r="D145" s="27">
        <v>0.40900622841362555</v>
      </c>
      <c r="E145" s="6">
        <f ca="1">VLOOKUP(CurrentMtgRatesDataTable825[[#This Row],[asOfDate]]+1,Bloomberg!B:C,2,0)</f>
        <v>1956.6</v>
      </c>
      <c r="F145" s="27">
        <f>VLOOKUP(CurrentMtgRatesDataTable825[[#This Row],[asOfDate]],CurrentMtgRatesDataTable8256[#All],2,0)</f>
        <v>0.41495307542117416</v>
      </c>
      <c r="G145" s="27">
        <f>VLOOKUP(CurrentMtgRatesDataTable825[[#This Row],[asOfDate]],CurrentMtgRatesDataTable82562[],2,0)</f>
        <v>0.32122402612001461</v>
      </c>
      <c r="H145" s="27">
        <f>VLOOKUP(CurrentMtgRatesDataTable825[[#This Row],[asOfDate]],T:U,2,0)</f>
        <v>0.32752583432106064</v>
      </c>
      <c r="I145" s="58">
        <f>VLOOKUP(CurrentMtgRatesDataTable825[[#This Row],[asOfDate]],CurrentMtgRatesDataTable825623[#All],2,0)</f>
        <v>0.2938332535347441</v>
      </c>
      <c r="J145" s="27">
        <f>VLOOKUP(CurrentMtgRatesDataTable825[[#This Row],[asOfDate]],AC:AD,2,0)</f>
        <v>0.32130927271021897</v>
      </c>
      <c r="K145" s="27">
        <f>VLOOKUP(CurrentMtgRatesDataTable825[[#This Row],[asOfDate]],temp_1,2,0)</f>
        <v>0.43462730705216701</v>
      </c>
      <c r="M145" s="24">
        <v>41543</v>
      </c>
      <c r="N145" s="26">
        <v>0.41495307542117416</v>
      </c>
      <c r="O145" s="26">
        <f ca="1">VLOOKUP(CurrentMtgRatesDataTable8256[[#This Row],[asOfDate]]+1,Bloomberg!B:C,2,0)</f>
        <v>1956.6</v>
      </c>
      <c r="Q145" s="24">
        <v>41543</v>
      </c>
      <c r="R145" s="26">
        <v>0.32122402612001461</v>
      </c>
      <c r="T145" s="24">
        <v>41543</v>
      </c>
      <c r="U145" s="27">
        <v>0.32752583432106064</v>
      </c>
      <c r="W145" s="56">
        <v>41543</v>
      </c>
      <c r="X145" s="57">
        <v>0.2938332535347441</v>
      </c>
      <c r="Z145" s="1">
        <v>41543</v>
      </c>
      <c r="AA145">
        <v>0.30034825473791299</v>
      </c>
      <c r="AC145" s="1">
        <v>41543</v>
      </c>
      <c r="AD145">
        <v>0.32130927271021897</v>
      </c>
      <c r="AF145" s="1">
        <v>41543</v>
      </c>
      <c r="AG145">
        <v>0.43462730705216701</v>
      </c>
    </row>
    <row r="146" spans="2:33">
      <c r="B146" s="24">
        <v>41550</v>
      </c>
      <c r="C146" s="27">
        <v>0.41528178559290679</v>
      </c>
      <c r="D146" s="27">
        <v>0.42830267803114297</v>
      </c>
      <c r="E146" s="6">
        <f ca="1">VLOOKUP(CurrentMtgRatesDataTable825[[#This Row],[asOfDate]]+1,Bloomberg!B:C,2,0)</f>
        <v>2025.3</v>
      </c>
      <c r="F146" s="27">
        <f>VLOOKUP(CurrentMtgRatesDataTable825[[#This Row],[asOfDate]],CurrentMtgRatesDataTable8256[#All],2,0)</f>
        <v>0.40987337416034908</v>
      </c>
      <c r="G146" s="27">
        <f>VLOOKUP(CurrentMtgRatesDataTable825[[#This Row],[asOfDate]],CurrentMtgRatesDataTable82562[],2,0)</f>
        <v>0.34307700444970379</v>
      </c>
      <c r="H146" s="27">
        <f>VLOOKUP(CurrentMtgRatesDataTable825[[#This Row],[asOfDate]],T:U,2,0)</f>
        <v>0.34934694100582447</v>
      </c>
      <c r="I146" s="58">
        <f>VLOOKUP(CurrentMtgRatesDataTable825[[#This Row],[asOfDate]],CurrentMtgRatesDataTable825623[#All],2,0)</f>
        <v>0.31777500213957705</v>
      </c>
      <c r="J146" s="27">
        <f>VLOOKUP(CurrentMtgRatesDataTable825[[#This Row],[asOfDate]],AC:AD,2,0)</f>
        <v>0.34374501426377402</v>
      </c>
      <c r="K146" s="27">
        <f>VLOOKUP(CurrentMtgRatesDataTable825[[#This Row],[asOfDate]],temp_1,2,0)</f>
        <v>0.45701419816167999</v>
      </c>
      <c r="M146" s="24">
        <v>41550</v>
      </c>
      <c r="N146" s="26">
        <v>0.40987337416034908</v>
      </c>
      <c r="O146" s="26">
        <f ca="1">VLOOKUP(CurrentMtgRatesDataTable8256[[#This Row],[asOfDate]]+1,Bloomberg!B:C,2,0)</f>
        <v>2025.3</v>
      </c>
      <c r="Q146" s="24">
        <v>41550</v>
      </c>
      <c r="R146" s="26">
        <v>0.34307700444970379</v>
      </c>
      <c r="T146" s="24">
        <v>41550</v>
      </c>
      <c r="U146" s="27">
        <v>0.34934694100582447</v>
      </c>
      <c r="W146" s="56">
        <v>41550</v>
      </c>
      <c r="X146" s="57">
        <v>0.31777500213957705</v>
      </c>
      <c r="Z146" s="1">
        <v>41550</v>
      </c>
      <c r="AA146">
        <v>0.324368079116095</v>
      </c>
      <c r="AC146" s="1">
        <v>41550</v>
      </c>
      <c r="AD146">
        <v>0.34374501426377402</v>
      </c>
      <c r="AF146" s="1">
        <v>41550</v>
      </c>
      <c r="AG146">
        <v>0.45701419816167999</v>
      </c>
    </row>
    <row r="147" spans="2:33">
      <c r="B147" s="24">
        <v>41557</v>
      </c>
      <c r="C147" s="27">
        <v>0.41314719259777027</v>
      </c>
      <c r="D147" s="27">
        <v>0.42096435905073254</v>
      </c>
      <c r="E147" s="6">
        <f ca="1">VLOOKUP(CurrentMtgRatesDataTable825[[#This Row],[asOfDate]]+1,Bloomberg!B:C,2,0)</f>
        <v>2102.6999999999998</v>
      </c>
      <c r="F147" s="27">
        <f>VLOOKUP(CurrentMtgRatesDataTable825[[#This Row],[asOfDate]],CurrentMtgRatesDataTable8256[#All],2,0)</f>
        <v>0.40982657529658695</v>
      </c>
      <c r="G147" s="27">
        <f>VLOOKUP(CurrentMtgRatesDataTable825[[#This Row],[asOfDate]],CurrentMtgRatesDataTable82562[],2,0)</f>
        <v>0.34303969168913079</v>
      </c>
      <c r="H147" s="27">
        <f>VLOOKUP(CurrentMtgRatesDataTable825[[#This Row],[asOfDate]],T:U,2,0)</f>
        <v>0.34930953319751107</v>
      </c>
      <c r="I147" s="58">
        <f>VLOOKUP(CurrentMtgRatesDataTable825[[#This Row],[asOfDate]],CurrentMtgRatesDataTable825623[#All],2,0)</f>
        <v>0.31720208476376438</v>
      </c>
      <c r="J147" s="27">
        <f>VLOOKUP(CurrentMtgRatesDataTable825[[#This Row],[asOfDate]],AC:AD,2,0)</f>
        <v>0.343362461707855</v>
      </c>
      <c r="K147" s="27">
        <f>VLOOKUP(CurrentMtgRatesDataTable825[[#This Row],[asOfDate]],temp_1,2,0)</f>
        <v>0.45674725476883798</v>
      </c>
      <c r="M147" s="24">
        <v>41557</v>
      </c>
      <c r="N147" s="26">
        <v>0.40982657529658695</v>
      </c>
      <c r="O147" s="26">
        <f ca="1">VLOOKUP(CurrentMtgRatesDataTable8256[[#This Row],[asOfDate]]+1,Bloomberg!B:C,2,0)</f>
        <v>2102.6999999999998</v>
      </c>
      <c r="Q147" s="24">
        <v>41557</v>
      </c>
      <c r="R147" s="26">
        <v>0.34303969168913079</v>
      </c>
      <c r="T147" s="24">
        <v>41557</v>
      </c>
      <c r="U147" s="27">
        <v>0.34930953319751107</v>
      </c>
      <c r="W147" s="56">
        <v>41557</v>
      </c>
      <c r="X147" s="57">
        <v>0.31720208476376438</v>
      </c>
      <c r="Z147" s="1">
        <v>41557</v>
      </c>
      <c r="AA147">
        <v>0.32381439715593102</v>
      </c>
      <c r="AC147" s="1">
        <v>41557</v>
      </c>
      <c r="AD147">
        <v>0.343362461707855</v>
      </c>
      <c r="AF147" s="1">
        <v>41557</v>
      </c>
      <c r="AG147">
        <v>0.45674725476883798</v>
      </c>
    </row>
    <row r="148" spans="2:33">
      <c r="B148" s="24">
        <v>41564</v>
      </c>
      <c r="C148" s="27">
        <v>0.40232481590336117</v>
      </c>
      <c r="D148" s="27">
        <v>0.39699178515137024</v>
      </c>
      <c r="E148" s="6">
        <f ca="1">VLOOKUP(CurrentMtgRatesDataTable825[[#This Row],[asOfDate]]+1,Bloomberg!B:C,2,0)</f>
        <v>2033.7</v>
      </c>
      <c r="F148" s="27">
        <f>VLOOKUP(CurrentMtgRatesDataTable825[[#This Row],[asOfDate]],CurrentMtgRatesDataTable8256[#All],2,0)</f>
        <v>0.40960480873930216</v>
      </c>
      <c r="G148" s="27">
        <f>VLOOKUP(CurrentMtgRatesDataTable825[[#This Row],[asOfDate]],CurrentMtgRatesDataTable82562[],2,0)</f>
        <v>0.31440034261436189</v>
      </c>
      <c r="H148" s="27">
        <f>VLOOKUP(CurrentMtgRatesDataTable825[[#This Row],[asOfDate]],T:U,2,0)</f>
        <v>0.32051900820894169</v>
      </c>
      <c r="I148" s="58">
        <f>VLOOKUP(CurrentMtgRatesDataTable825[[#This Row],[asOfDate]],CurrentMtgRatesDataTable825623[#All],2,0)</f>
        <v>0.28885302300705301</v>
      </c>
      <c r="J148" s="27">
        <f>VLOOKUP(CurrentMtgRatesDataTable825[[#This Row],[asOfDate]],AC:AD,2,0)</f>
        <v>0.31435548538393299</v>
      </c>
      <c r="K148" s="27">
        <f>VLOOKUP(CurrentMtgRatesDataTable825[[#This Row],[asOfDate]],temp_1,2,0)</f>
        <v>0.43002867204072798</v>
      </c>
      <c r="M148" s="24">
        <v>41564</v>
      </c>
      <c r="N148" s="26">
        <v>0.40960480873930216</v>
      </c>
      <c r="O148" s="26">
        <f ca="1">VLOOKUP(CurrentMtgRatesDataTable8256[[#This Row],[asOfDate]]+1,Bloomberg!B:C,2,0)</f>
        <v>2033.7</v>
      </c>
      <c r="Q148" s="24">
        <v>41564</v>
      </c>
      <c r="R148" s="26">
        <v>0.31440034261436189</v>
      </c>
      <c r="T148" s="24">
        <v>41564</v>
      </c>
      <c r="U148" s="27">
        <v>0.32051900820894169</v>
      </c>
      <c r="W148" s="56">
        <v>41564</v>
      </c>
      <c r="X148" s="57">
        <v>0.28885302300705301</v>
      </c>
      <c r="Z148" s="1">
        <v>41564</v>
      </c>
      <c r="AA148">
        <v>0.29503134837906198</v>
      </c>
      <c r="AC148" s="1">
        <v>41564</v>
      </c>
      <c r="AD148">
        <v>0.31435548538393299</v>
      </c>
      <c r="AF148" s="1">
        <v>41564</v>
      </c>
      <c r="AG148">
        <v>0.43002867204072798</v>
      </c>
    </row>
    <row r="149" spans="2:33">
      <c r="B149" s="24">
        <v>41571</v>
      </c>
      <c r="C149" s="27">
        <v>0.43156912924668556</v>
      </c>
      <c r="D149" s="27">
        <v>0.44669826910791532</v>
      </c>
      <c r="E149" s="6">
        <f ca="1">VLOOKUP(CurrentMtgRatesDataTable825[[#This Row],[asOfDate]]+1,Bloomberg!B:C,2,0)</f>
        <v>2211.8000000000002</v>
      </c>
      <c r="F149" s="27">
        <f>VLOOKUP(CurrentMtgRatesDataTable825[[#This Row],[asOfDate]],CurrentMtgRatesDataTable8256[#All],2,0)</f>
        <v>0.44702204362509623</v>
      </c>
      <c r="G149" s="27">
        <f>VLOOKUP(CurrentMtgRatesDataTable825[[#This Row],[asOfDate]],CurrentMtgRatesDataTable82562[],2,0)</f>
        <v>0.36543320460755224</v>
      </c>
      <c r="H149" s="27">
        <f>VLOOKUP(CurrentMtgRatesDataTable825[[#This Row],[asOfDate]],T:U,2,0)</f>
        <v>0.37185328450087929</v>
      </c>
      <c r="I149" s="58">
        <f>VLOOKUP(CurrentMtgRatesDataTable825[[#This Row],[asOfDate]],CurrentMtgRatesDataTable825623[#All],2,0)</f>
        <v>0.33766312973364548</v>
      </c>
      <c r="J149" s="27">
        <f>VLOOKUP(CurrentMtgRatesDataTable825[[#This Row],[asOfDate]],AC:AD,2,0)</f>
        <v>0.36279732883580901</v>
      </c>
      <c r="K149" s="27">
        <f>VLOOKUP(CurrentMtgRatesDataTable825[[#This Row],[asOfDate]],temp_1,2,0)</f>
        <v>0.473627443383146</v>
      </c>
      <c r="M149" s="24">
        <v>41571</v>
      </c>
      <c r="N149" s="26">
        <v>0.44702204362509623</v>
      </c>
      <c r="O149" s="26">
        <f ca="1">VLOOKUP(CurrentMtgRatesDataTable8256[[#This Row],[asOfDate]]+1,Bloomberg!B:C,2,0)</f>
        <v>2211.8000000000002</v>
      </c>
      <c r="Q149" s="24">
        <v>41571</v>
      </c>
      <c r="R149" s="26">
        <v>0.36543320460755224</v>
      </c>
      <c r="T149" s="24">
        <v>41571</v>
      </c>
      <c r="U149" s="27">
        <v>0.37185328450087929</v>
      </c>
      <c r="W149" s="56">
        <v>41571</v>
      </c>
      <c r="X149" s="57">
        <v>0.33766312973364548</v>
      </c>
      <c r="Z149" s="1">
        <v>41571</v>
      </c>
      <c r="AA149">
        <v>0.34367260795232402</v>
      </c>
      <c r="AC149" s="1">
        <v>41571</v>
      </c>
      <c r="AD149">
        <v>0.36279732883580901</v>
      </c>
      <c r="AF149" s="1">
        <v>41571</v>
      </c>
      <c r="AG149">
        <v>0.473627443383146</v>
      </c>
    </row>
    <row r="150" spans="2:33">
      <c r="B150" s="24">
        <v>41578</v>
      </c>
      <c r="C150" s="27">
        <v>0.4605405147219428</v>
      </c>
      <c r="D150" s="27">
        <v>0.45964385308807565</v>
      </c>
      <c r="E150" s="6">
        <f ca="1">VLOOKUP(CurrentMtgRatesDataTable825[[#This Row],[asOfDate]]+1,Bloomberg!B:C,2,0)</f>
        <v>2105.6</v>
      </c>
      <c r="F150" s="27">
        <f>VLOOKUP(CurrentMtgRatesDataTable825[[#This Row],[asOfDate]],CurrentMtgRatesDataTable8256[#All],2,0)</f>
        <v>0.44722315120204531</v>
      </c>
      <c r="G150" s="27">
        <f>VLOOKUP(CurrentMtgRatesDataTable825[[#This Row],[asOfDate]],CurrentMtgRatesDataTable82562[],2,0)</f>
        <v>0.38400936708573585</v>
      </c>
      <c r="H150" s="27">
        <f>VLOOKUP(CurrentMtgRatesDataTable825[[#This Row],[asOfDate]],T:U,2,0)</f>
        <v>0.39063551189178952</v>
      </c>
      <c r="I150" s="58">
        <f>VLOOKUP(CurrentMtgRatesDataTable825[[#This Row],[asOfDate]],CurrentMtgRatesDataTable825623[#All],2,0)</f>
        <v>0.35586088249893616</v>
      </c>
      <c r="J150" s="27">
        <f>VLOOKUP(CurrentMtgRatesDataTable825[[#This Row],[asOfDate]],AC:AD,2,0)</f>
        <v>0.38076704542262901</v>
      </c>
      <c r="K150" s="27">
        <f>VLOOKUP(CurrentMtgRatesDataTable825[[#This Row],[asOfDate]],temp_1,2,0)</f>
        <v>0.48999705577596903</v>
      </c>
      <c r="M150" s="24">
        <v>41578</v>
      </c>
      <c r="N150" s="26">
        <v>0.44722315120204531</v>
      </c>
      <c r="O150" s="26">
        <f ca="1">VLOOKUP(CurrentMtgRatesDataTable8256[[#This Row],[asOfDate]]+1,Bloomberg!B:C,2,0)</f>
        <v>2105.6</v>
      </c>
      <c r="Q150" s="24">
        <v>41578</v>
      </c>
      <c r="R150" s="26">
        <v>0.38400936708573585</v>
      </c>
      <c r="T150" s="24">
        <v>41578</v>
      </c>
      <c r="U150" s="27">
        <v>0.39063551189178952</v>
      </c>
      <c r="W150" s="56">
        <v>41578</v>
      </c>
      <c r="X150" s="57">
        <v>0.35586088249893616</v>
      </c>
      <c r="Z150" s="1">
        <v>41578</v>
      </c>
      <c r="AA150">
        <v>0.36165175488048201</v>
      </c>
      <c r="AC150" s="1">
        <v>41578</v>
      </c>
      <c r="AD150">
        <v>0.38076704542262901</v>
      </c>
      <c r="AF150" s="1">
        <v>41578</v>
      </c>
      <c r="AG150">
        <v>0.48999705577596903</v>
      </c>
    </row>
    <row r="151" spans="2:33">
      <c r="B151" s="24">
        <v>41585</v>
      </c>
      <c r="C151" s="27">
        <v>0.42159370418067171</v>
      </c>
      <c r="D151" s="27">
        <v>0.43261391338339328</v>
      </c>
      <c r="E151" s="6">
        <f ca="1">VLOOKUP(CurrentMtgRatesDataTable825[[#This Row],[asOfDate]]+1,Bloomberg!B:C,2,0)</f>
        <v>2056.9</v>
      </c>
      <c r="F151" s="27">
        <f>VLOOKUP(CurrentMtgRatesDataTable825[[#This Row],[asOfDate]],CurrentMtgRatesDataTable8256[#All],2,0)</f>
        <v>0.44656189112559813</v>
      </c>
      <c r="G151" s="27">
        <f>VLOOKUP(CurrentMtgRatesDataTable825[[#This Row],[asOfDate]],CurrentMtgRatesDataTable82562[],2,0)</f>
        <v>0.36033789770283325</v>
      </c>
      <c r="H151" s="27">
        <f>VLOOKUP(CurrentMtgRatesDataTable825[[#This Row],[asOfDate]],T:U,2,0)</f>
        <v>0.36662430427029247</v>
      </c>
      <c r="I151" s="58">
        <f>VLOOKUP(CurrentMtgRatesDataTable825[[#This Row],[asOfDate]],CurrentMtgRatesDataTable825623[#All],2,0)</f>
        <v>0.32955790309451866</v>
      </c>
      <c r="J151" s="27">
        <f>VLOOKUP(CurrentMtgRatesDataTable825[[#This Row],[asOfDate]],AC:AD,2,0)</f>
        <v>0.35403891055164699</v>
      </c>
      <c r="K151" s="27">
        <f>VLOOKUP(CurrentMtgRatesDataTable825[[#This Row],[asOfDate]],temp_1,2,0)</f>
        <v>0.46893100954315098</v>
      </c>
      <c r="M151" s="24">
        <v>41585</v>
      </c>
      <c r="N151" s="26">
        <v>0.44656189112559813</v>
      </c>
      <c r="O151" s="26">
        <f ca="1">VLOOKUP(CurrentMtgRatesDataTable8256[[#This Row],[asOfDate]]+1,Bloomberg!B:C,2,0)</f>
        <v>2056.9</v>
      </c>
      <c r="Q151" s="24">
        <v>41585</v>
      </c>
      <c r="R151" s="26">
        <v>0.36033789770283325</v>
      </c>
      <c r="T151" s="24">
        <v>41585</v>
      </c>
      <c r="U151" s="27">
        <v>0.36662430427029247</v>
      </c>
      <c r="W151" s="56">
        <v>41585</v>
      </c>
      <c r="X151" s="57">
        <v>0.32955790309451866</v>
      </c>
      <c r="Z151" s="1">
        <v>41585</v>
      </c>
      <c r="AA151">
        <v>0.33537906936994799</v>
      </c>
      <c r="AC151" s="1">
        <v>41585</v>
      </c>
      <c r="AD151">
        <v>0.35403891055164699</v>
      </c>
      <c r="AF151" s="1">
        <v>41585</v>
      </c>
      <c r="AG151">
        <v>0.46893100954315098</v>
      </c>
    </row>
    <row r="152" spans="2:33">
      <c r="B152" s="24">
        <v>41592</v>
      </c>
      <c r="C152" s="27">
        <v>0.38756459325455095</v>
      </c>
      <c r="D152" s="27">
        <v>0.37880317277622449</v>
      </c>
      <c r="E152" s="6">
        <f ca="1">VLOOKUP(CurrentMtgRatesDataTable825[[#This Row],[asOfDate]]+1,Bloomberg!B:C,2,0)</f>
        <v>1903.5</v>
      </c>
      <c r="F152" s="27">
        <f>VLOOKUP(CurrentMtgRatesDataTable825[[#This Row],[asOfDate]],CurrentMtgRatesDataTable8256[#All],2,0)</f>
        <v>0.34376188323838874</v>
      </c>
      <c r="G152" s="27">
        <f>VLOOKUP(CurrentMtgRatesDataTable825[[#This Row],[asOfDate]],CurrentMtgRatesDataTable82562[],2,0)</f>
        <v>0.27485742228516102</v>
      </c>
      <c r="H152" s="27">
        <f>VLOOKUP(CurrentMtgRatesDataTable825[[#This Row],[asOfDate]],T:U,2,0)</f>
        <v>0.28071881128362103</v>
      </c>
      <c r="I152" s="58">
        <f>VLOOKUP(CurrentMtgRatesDataTable825[[#This Row],[asOfDate]],CurrentMtgRatesDataTable825623[#All],2,0)</f>
        <v>0.25277848591280316</v>
      </c>
      <c r="J152" s="27">
        <f>VLOOKUP(CurrentMtgRatesDataTable825[[#This Row],[asOfDate]],AC:AD,2,0)</f>
        <v>0.27765033429796598</v>
      </c>
      <c r="K152" s="27">
        <f>VLOOKUP(CurrentMtgRatesDataTable825[[#This Row],[asOfDate]],temp_1,2,0)</f>
        <v>0.39912661021989099</v>
      </c>
      <c r="M152" s="24">
        <v>41592</v>
      </c>
      <c r="N152" s="26">
        <v>0.34376188323838874</v>
      </c>
      <c r="O152" s="26">
        <f ca="1">VLOOKUP(CurrentMtgRatesDataTable8256[[#This Row],[asOfDate]]+1,Bloomberg!B:C,2,0)</f>
        <v>1903.5</v>
      </c>
      <c r="Q152" s="24">
        <v>41592</v>
      </c>
      <c r="R152" s="26">
        <v>0.27485742228516102</v>
      </c>
      <c r="T152" s="24">
        <v>41592</v>
      </c>
      <c r="U152" s="27">
        <v>0.28071881128362103</v>
      </c>
      <c r="W152" s="56">
        <v>41592</v>
      </c>
      <c r="X152" s="57">
        <v>0.25277848591280316</v>
      </c>
      <c r="Z152" s="1">
        <v>41592</v>
      </c>
      <c r="AA152">
        <v>0.25910666482190398</v>
      </c>
      <c r="AC152" s="1">
        <v>41592</v>
      </c>
      <c r="AD152">
        <v>0.27765033429796598</v>
      </c>
      <c r="AF152" s="1">
        <v>41592</v>
      </c>
      <c r="AG152">
        <v>0.39912661021989099</v>
      </c>
    </row>
    <row r="153" spans="2:33">
      <c r="B153" s="24">
        <v>41599</v>
      </c>
      <c r="C153" s="27">
        <v>0.41410653536495057</v>
      </c>
      <c r="D153" s="27">
        <v>0.43261391338339328</v>
      </c>
      <c r="E153" s="6">
        <f ca="1">VLOOKUP(CurrentMtgRatesDataTable825[[#This Row],[asOfDate]]+1,Bloomberg!B:C,2,0)</f>
        <v>1917.2</v>
      </c>
      <c r="F153" s="27">
        <f>VLOOKUP(CurrentMtgRatesDataTable825[[#This Row],[asOfDate]],CurrentMtgRatesDataTable8256[#All],2,0)</f>
        <v>0.40633426574889947</v>
      </c>
      <c r="G153" s="27">
        <f>VLOOKUP(CurrentMtgRatesDataTable825[[#This Row],[asOfDate]],CurrentMtgRatesDataTable82562[],2,0)</f>
        <v>0.33691055631393624</v>
      </c>
      <c r="H153" s="27">
        <f>VLOOKUP(CurrentMtgRatesDataTable825[[#This Row],[asOfDate]],T:U,2,0)</f>
        <v>0.34304694481314357</v>
      </c>
      <c r="I153" s="58">
        <f>VLOOKUP(CurrentMtgRatesDataTable825[[#This Row],[asOfDate]],CurrentMtgRatesDataTable825623[#All],2,0)</f>
        <v>0.31131333173074666</v>
      </c>
      <c r="J153" s="27">
        <f>VLOOKUP(CurrentMtgRatesDataTable825[[#This Row],[asOfDate]],AC:AD,2,0)</f>
        <v>0.33620447417750299</v>
      </c>
      <c r="K153" s="27">
        <f>VLOOKUP(CurrentMtgRatesDataTable825[[#This Row],[asOfDate]],temp_1,2,0)</f>
        <v>0.45277671098188799</v>
      </c>
      <c r="M153" s="24">
        <v>41599</v>
      </c>
      <c r="N153" s="26">
        <v>0.40633426574889947</v>
      </c>
      <c r="O153" s="26">
        <f ca="1">VLOOKUP(CurrentMtgRatesDataTable8256[[#This Row],[asOfDate]]+1,Bloomberg!B:C,2,0)</f>
        <v>1917.2</v>
      </c>
      <c r="Q153" s="24">
        <v>41599</v>
      </c>
      <c r="R153" s="26">
        <v>0.33691055631393624</v>
      </c>
      <c r="T153" s="24">
        <v>41599</v>
      </c>
      <c r="U153" s="27">
        <v>0.34304694481314357</v>
      </c>
      <c r="W153" s="56">
        <v>41599</v>
      </c>
      <c r="X153" s="57">
        <v>0.31131333173074666</v>
      </c>
      <c r="Z153" s="1">
        <v>41599</v>
      </c>
      <c r="AA153">
        <v>0.31768885989301698</v>
      </c>
      <c r="AC153" s="1">
        <v>41599</v>
      </c>
      <c r="AD153">
        <v>0.33620447417750299</v>
      </c>
      <c r="AF153" s="1">
        <v>41599</v>
      </c>
      <c r="AG153">
        <v>0.45277671098188799</v>
      </c>
    </row>
    <row r="154" spans="2:33">
      <c r="B154" s="24">
        <v>41605</v>
      </c>
      <c r="C154" s="27">
        <v>0.3969981593322805</v>
      </c>
      <c r="D154" s="27">
        <v>0.38673083730274427</v>
      </c>
      <c r="E154" s="6" t="e">
        <f ca="1">VLOOKUP(CurrentMtgRatesDataTable825[[#This Row],[asOfDate]]+1,Bloomberg!B:C,2,0)</f>
        <v>#N/A</v>
      </c>
      <c r="F154" s="27">
        <f>VLOOKUP(CurrentMtgRatesDataTable825[[#This Row],[asOfDate]],CurrentMtgRatesDataTable8256[#All],2,0)</f>
        <v>0.40599486098742238</v>
      </c>
      <c r="G154" s="27">
        <f>VLOOKUP(CurrentMtgRatesDataTable825[[#This Row],[asOfDate]],CurrentMtgRatesDataTable82562[],2,0)</f>
        <v>0.30831604608005586</v>
      </c>
      <c r="H154" s="27">
        <f>VLOOKUP(CurrentMtgRatesDataTable825[[#This Row],[asOfDate]],T:U,2,0)</f>
        <v>0.31428622705242126</v>
      </c>
      <c r="I154" s="58">
        <f>VLOOKUP(CurrentMtgRatesDataTable825[[#This Row],[asOfDate]],CurrentMtgRatesDataTable825623[#All],2,0)</f>
        <v>0.28206150012278947</v>
      </c>
      <c r="J154" s="27">
        <f>VLOOKUP(CurrentMtgRatesDataTable825[[#This Row],[asOfDate]],AC:AD,2,0)</f>
        <v>0.30662338263190497</v>
      </c>
      <c r="K154" s="27">
        <f>VLOOKUP(CurrentMtgRatesDataTable825[[#This Row],[asOfDate]],temp_1,2,0)</f>
        <v>0.42570300756113</v>
      </c>
      <c r="M154" s="24">
        <v>41605</v>
      </c>
      <c r="N154" s="26">
        <v>0.40599486098742238</v>
      </c>
      <c r="O154" s="26" t="e">
        <f ca="1">VLOOKUP(CurrentMtgRatesDataTable8256[[#This Row],[asOfDate]]+1,Bloomberg!B:C,2,0)</f>
        <v>#N/A</v>
      </c>
      <c r="Q154" s="24">
        <v>41605</v>
      </c>
      <c r="R154" s="26">
        <v>0.30831604608005586</v>
      </c>
      <c r="T154" s="24">
        <v>41605</v>
      </c>
      <c r="U154" s="27">
        <v>0.31428622705242126</v>
      </c>
      <c r="W154" s="56">
        <v>41605</v>
      </c>
      <c r="X154" s="57">
        <v>0.28206150012278947</v>
      </c>
      <c r="Z154" s="1">
        <v>41605</v>
      </c>
      <c r="AA154">
        <v>0.28807463231820801</v>
      </c>
      <c r="AC154" s="1">
        <v>41605</v>
      </c>
      <c r="AD154">
        <v>0.30662338263190497</v>
      </c>
      <c r="AF154" s="1">
        <v>41605</v>
      </c>
      <c r="AG154">
        <v>0.42570300756113</v>
      </c>
    </row>
    <row r="155" spans="2:33">
      <c r="B155" s="24">
        <v>41613</v>
      </c>
      <c r="C155" s="27">
        <v>0.37338021104571051</v>
      </c>
      <c r="D155" s="27">
        <v>0.34590013117591406</v>
      </c>
      <c r="E155" s="6">
        <f ca="1">VLOOKUP(CurrentMtgRatesDataTable825[[#This Row],[asOfDate]]+1,Bloomberg!B:C,2,0)</f>
        <v>1599.4</v>
      </c>
      <c r="F155" s="27">
        <f>VLOOKUP(CurrentMtgRatesDataTable825[[#This Row],[asOfDate]],CurrentMtgRatesDataTable8256[#All],2,0)</f>
        <v>0.33663336734019467</v>
      </c>
      <c r="G155" s="27">
        <f>VLOOKUP(CurrentMtgRatesDataTable825[[#This Row],[asOfDate]],CurrentMtgRatesDataTable82562[],2,0)</f>
        <v>0.23676117392553889</v>
      </c>
      <c r="H155" s="27">
        <f>VLOOKUP(CurrentMtgRatesDataTable825[[#This Row],[asOfDate]],T:U,2,0)</f>
        <v>0.24226678471994609</v>
      </c>
      <c r="I155" s="58">
        <f>VLOOKUP(CurrentMtgRatesDataTable825[[#This Row],[asOfDate]],CurrentMtgRatesDataTable825623[#All],2,0)</f>
        <v>0.21485389589079185</v>
      </c>
      <c r="J155" s="27">
        <f>VLOOKUP(CurrentMtgRatesDataTable825[[#This Row],[asOfDate]],AC:AD,2,0)</f>
        <v>0.238872261686181</v>
      </c>
      <c r="K155" s="27">
        <f>VLOOKUP(CurrentMtgRatesDataTable825[[#This Row],[asOfDate]],temp_1,2,0)</f>
        <v>0.36552450667219999</v>
      </c>
      <c r="M155" s="24">
        <v>41613</v>
      </c>
      <c r="N155" s="26">
        <v>0.33663336734019467</v>
      </c>
      <c r="O155" s="26">
        <f ca="1">VLOOKUP(CurrentMtgRatesDataTable8256[[#This Row],[asOfDate]]+1,Bloomberg!B:C,2,0)</f>
        <v>1599.4</v>
      </c>
      <c r="Q155" s="24">
        <v>41613</v>
      </c>
      <c r="R155" s="26">
        <v>0.23676117392553889</v>
      </c>
      <c r="T155" s="24">
        <v>41613</v>
      </c>
      <c r="U155" s="27">
        <v>0.24226678471994609</v>
      </c>
      <c r="W155" s="56">
        <v>41613</v>
      </c>
      <c r="X155" s="57">
        <v>0.21485389589079185</v>
      </c>
      <c r="Z155" s="1">
        <v>41613</v>
      </c>
      <c r="AA155">
        <v>0.221072096993749</v>
      </c>
      <c r="AC155" s="1">
        <v>41613</v>
      </c>
      <c r="AD155">
        <v>0.238872261686181</v>
      </c>
      <c r="AF155" s="1">
        <v>41613</v>
      </c>
      <c r="AG155">
        <v>0.36552450667219999</v>
      </c>
    </row>
    <row r="156" spans="2:33">
      <c r="B156" s="24">
        <v>41620</v>
      </c>
      <c r="C156" s="27">
        <v>0.3707206267478419</v>
      </c>
      <c r="D156" s="27">
        <v>0.334440948803849</v>
      </c>
      <c r="E156" s="6">
        <f ca="1">VLOOKUP(CurrentMtgRatesDataTable825[[#This Row],[asOfDate]]+1,Bloomberg!B:C,2,0)</f>
        <v>1529.8</v>
      </c>
      <c r="F156" s="27">
        <f>VLOOKUP(CurrentMtgRatesDataTable825[[#This Row],[asOfDate]],CurrentMtgRatesDataTable8256[#All],2,0)</f>
        <v>0.33659925585033085</v>
      </c>
      <c r="G156" s="27">
        <f>VLOOKUP(CurrentMtgRatesDataTable825[[#This Row],[asOfDate]],CurrentMtgRatesDataTable82562[],2,0)</f>
        <v>0.23671874324760347</v>
      </c>
      <c r="H156" s="27">
        <f>VLOOKUP(CurrentMtgRatesDataTable825[[#This Row],[asOfDate]],T:U,2,0)</f>
        <v>0.24222415354324153</v>
      </c>
      <c r="I156" s="58">
        <f>VLOOKUP(CurrentMtgRatesDataTable825[[#This Row],[asOfDate]],CurrentMtgRatesDataTable825623[#All],2,0)</f>
        <v>0.21443883052881366</v>
      </c>
      <c r="J156" s="27">
        <f>VLOOKUP(CurrentMtgRatesDataTable825[[#This Row],[asOfDate]],AC:AD,2,0)</f>
        <v>0.23869230352122101</v>
      </c>
      <c r="K156" s="27">
        <f>VLOOKUP(CurrentMtgRatesDataTable825[[#This Row],[asOfDate]],temp_1,2,0)</f>
        <v>0.36539692843229499</v>
      </c>
      <c r="M156" s="24">
        <v>41620</v>
      </c>
      <c r="N156" s="26">
        <v>0.33659925585033085</v>
      </c>
      <c r="O156" s="26">
        <f ca="1">VLOOKUP(CurrentMtgRatesDataTable8256[[#This Row],[asOfDate]]+1,Bloomberg!B:C,2,0)</f>
        <v>1529.8</v>
      </c>
      <c r="Q156" s="24">
        <v>41620</v>
      </c>
      <c r="R156" s="26">
        <v>0.23671874324760347</v>
      </c>
      <c r="T156" s="24">
        <v>41620</v>
      </c>
      <c r="U156" s="27">
        <v>0.24222415354324153</v>
      </c>
      <c r="W156" s="56">
        <v>41620</v>
      </c>
      <c r="X156" s="57">
        <v>0.21443883052881366</v>
      </c>
      <c r="Z156" s="1">
        <v>41620</v>
      </c>
      <c r="AA156">
        <v>0.22067684071629601</v>
      </c>
      <c r="AC156" s="1">
        <v>41620</v>
      </c>
      <c r="AD156">
        <v>0.23869230352122101</v>
      </c>
      <c r="AF156" s="1">
        <v>41620</v>
      </c>
      <c r="AG156">
        <v>0.36539692843229499</v>
      </c>
    </row>
    <row r="157" spans="2:33">
      <c r="B157" s="24">
        <v>41627</v>
      </c>
      <c r="C157" s="27">
        <v>0.33974567777608206</v>
      </c>
      <c r="D157" s="27">
        <v>0.3194569274159329</v>
      </c>
      <c r="E157" s="6">
        <f ca="1">VLOOKUP(CurrentMtgRatesDataTable825[[#This Row],[asOfDate]]+1,Bloomberg!B:C,2,0)</f>
        <v>1426.7</v>
      </c>
      <c r="F157" s="27">
        <f>VLOOKUP(CurrentMtgRatesDataTable825[[#This Row],[asOfDate]],CurrentMtgRatesDataTable8256[#All],2,0)</f>
        <v>0.26251314123023178</v>
      </c>
      <c r="G157" s="27">
        <f>VLOOKUP(CurrentMtgRatesDataTable825[[#This Row],[asOfDate]],CurrentMtgRatesDataTable82562[],2,0)</f>
        <v>0.20585084911050922</v>
      </c>
      <c r="H157" s="27">
        <f>VLOOKUP(CurrentMtgRatesDataTable825[[#This Row],[asOfDate]],T:U,2,0)</f>
        <v>0.20141162346005181</v>
      </c>
      <c r="I157" s="58">
        <f>VLOOKUP(CurrentMtgRatesDataTable825[[#This Row],[asOfDate]],CurrentMtgRatesDataTable825623[#All],2,0)</f>
        <v>0.17874887754348148</v>
      </c>
      <c r="J157" s="27">
        <f>VLOOKUP(CurrentMtgRatesDataTable825[[#This Row],[asOfDate]],AC:AD,2,0)</f>
        <v>0.20595646030872</v>
      </c>
      <c r="K157" s="27">
        <f>VLOOKUP(CurrentMtgRatesDataTable825[[#This Row],[asOfDate]],temp_1,2,0)</f>
        <v>0.33464433537542498</v>
      </c>
      <c r="M157" s="24">
        <v>41627</v>
      </c>
      <c r="N157" s="26">
        <v>0.26251314123023178</v>
      </c>
      <c r="O157" s="26">
        <f ca="1">VLOOKUP(CurrentMtgRatesDataTable8256[[#This Row],[asOfDate]]+1,Bloomberg!B:C,2,0)</f>
        <v>1426.7</v>
      </c>
      <c r="Q157" s="24">
        <v>41627</v>
      </c>
      <c r="R157" s="26">
        <v>0.20585084911050922</v>
      </c>
      <c r="T157" s="24">
        <v>41627</v>
      </c>
      <c r="U157" s="27">
        <v>0.20141162346005181</v>
      </c>
      <c r="W157" s="56">
        <v>41627</v>
      </c>
      <c r="X157" s="57">
        <v>0.17874887754348148</v>
      </c>
      <c r="Z157" s="1">
        <v>41627</v>
      </c>
      <c r="AA157">
        <v>0.18761251328260201</v>
      </c>
      <c r="AC157" s="1">
        <v>41627</v>
      </c>
      <c r="AD157">
        <v>0.20595646030872</v>
      </c>
      <c r="AF157" s="1">
        <v>41627</v>
      </c>
      <c r="AG157">
        <v>0.33464433537542498</v>
      </c>
    </row>
    <row r="158" spans="2:33">
      <c r="B158" s="24">
        <v>41634</v>
      </c>
      <c r="C158" s="27">
        <v>0.33029809597210952</v>
      </c>
      <c r="D158" s="27">
        <v>0.31270972005474035</v>
      </c>
      <c r="E158" s="6">
        <f ca="1">VLOOKUP(CurrentMtgRatesDataTable825[[#This Row],[asOfDate]]+1,Bloomberg!B:C,2,0)</f>
        <v>1277.8</v>
      </c>
      <c r="F158" s="27">
        <f>VLOOKUP(CurrentMtgRatesDataTable825[[#This Row],[asOfDate]],CurrentMtgRatesDataTable8256[#All],2,0)</f>
        <v>0.2624253850951212</v>
      </c>
      <c r="G158" s="27">
        <f>VLOOKUP(CurrentMtgRatesDataTable825[[#This Row],[asOfDate]],CurrentMtgRatesDataTable82562[],2,0)</f>
        <v>0.20580376248650398</v>
      </c>
      <c r="H158" s="27">
        <f>VLOOKUP(CurrentMtgRatesDataTable825[[#This Row],[asOfDate]],T:U,2,0)</f>
        <v>0.2013640996379655</v>
      </c>
      <c r="I158" s="58">
        <f>VLOOKUP(CurrentMtgRatesDataTable825[[#This Row],[asOfDate]],CurrentMtgRatesDataTable825623[#All],2,0)</f>
        <v>0.17806894310932117</v>
      </c>
      <c r="J158" s="27">
        <f>VLOOKUP(CurrentMtgRatesDataTable825[[#This Row],[asOfDate]],AC:AD,2,0)</f>
        <v>0.20588522084022601</v>
      </c>
      <c r="K158" s="27">
        <f>VLOOKUP(CurrentMtgRatesDataTable825[[#This Row],[asOfDate]],temp_1,2,0)</f>
        <v>0.33458344922379002</v>
      </c>
      <c r="M158" s="24">
        <v>41634</v>
      </c>
      <c r="N158" s="26">
        <v>0.2624253850951212</v>
      </c>
      <c r="O158" s="26">
        <f ca="1">VLOOKUP(CurrentMtgRatesDataTable8256[[#This Row],[asOfDate]]+1,Bloomberg!B:C,2,0)</f>
        <v>1277.8</v>
      </c>
      <c r="Q158" s="24">
        <v>41634</v>
      </c>
      <c r="R158" s="26">
        <v>0.20580376248650398</v>
      </c>
      <c r="T158" s="24">
        <v>41634</v>
      </c>
      <c r="U158" s="27">
        <v>0.2013640996379655</v>
      </c>
      <c r="W158" s="56">
        <v>41634</v>
      </c>
      <c r="X158" s="57">
        <v>0.17806894310932117</v>
      </c>
      <c r="Z158" s="1">
        <v>41634</v>
      </c>
      <c r="AA158">
        <v>0.18735458500638699</v>
      </c>
      <c r="AC158" s="1">
        <v>41634</v>
      </c>
      <c r="AD158">
        <v>0.20588522084022601</v>
      </c>
      <c r="AF158" s="1">
        <v>41634</v>
      </c>
      <c r="AG158">
        <v>0.33458344922379002</v>
      </c>
    </row>
    <row r="159" spans="2:33">
      <c r="B159" s="24">
        <v>41641</v>
      </c>
      <c r="C159" s="27">
        <v>0.26212623729092371</v>
      </c>
      <c r="D159" s="27">
        <v>0.28003425204115806</v>
      </c>
      <c r="E159" s="6">
        <f ca="1">VLOOKUP(CurrentMtgRatesDataTable825[[#This Row],[asOfDate]]+1,Bloomberg!B:C,2,0)</f>
        <v>1352.7</v>
      </c>
      <c r="F159" s="27">
        <f>VLOOKUP(CurrentMtgRatesDataTable825[[#This Row],[asOfDate]],CurrentMtgRatesDataTable8256[#All],2,0)</f>
        <v>0.25542920246734474</v>
      </c>
      <c r="G159" s="27">
        <f>VLOOKUP(CurrentMtgRatesDataTable825[[#This Row],[asOfDate]],CurrentMtgRatesDataTable82562[],2,0)</f>
        <v>0.18277167291557561</v>
      </c>
      <c r="H159" s="27">
        <f>VLOOKUP(CurrentMtgRatesDataTable825[[#This Row],[asOfDate]],T:U,2,0)</f>
        <v>0.17802959709068786</v>
      </c>
      <c r="I159" s="58">
        <f>VLOOKUP(CurrentMtgRatesDataTable825[[#This Row],[asOfDate]],CurrentMtgRatesDataTable825623[#All],2,0)</f>
        <v>0.15577799845188453</v>
      </c>
      <c r="J159" s="27">
        <f>VLOOKUP(CurrentMtgRatesDataTable825[[#This Row],[asOfDate]],AC:AD,2,0)</f>
        <v>0.18270041372936699</v>
      </c>
      <c r="K159" s="27">
        <f>VLOOKUP(CurrentMtgRatesDataTable825[[#This Row],[asOfDate]],temp_1,2,0)</f>
        <v>0.31505205634612699</v>
      </c>
      <c r="M159" s="24">
        <v>41641</v>
      </c>
      <c r="N159" s="26">
        <v>0.25542920246734474</v>
      </c>
      <c r="O159" s="26">
        <f ca="1">VLOOKUP(CurrentMtgRatesDataTable8256[[#This Row],[asOfDate]]+1,Bloomberg!B:C,2,0)</f>
        <v>1352.7</v>
      </c>
      <c r="Q159" s="24">
        <v>41641</v>
      </c>
      <c r="R159" s="26">
        <v>0.18277167291557561</v>
      </c>
      <c r="T159" s="24">
        <v>41641</v>
      </c>
      <c r="U159" s="27">
        <v>0.17802959709068786</v>
      </c>
      <c r="W159" s="56">
        <v>41641</v>
      </c>
      <c r="X159" s="57">
        <v>0.15577799845188453</v>
      </c>
      <c r="Z159" s="1">
        <v>41641</v>
      </c>
      <c r="AA159">
        <v>0.16465999692605299</v>
      </c>
      <c r="AC159" s="1">
        <v>41641</v>
      </c>
      <c r="AD159">
        <v>0.18270041372936699</v>
      </c>
      <c r="AF159" s="1">
        <v>41641</v>
      </c>
      <c r="AG159">
        <v>0.31505205634612699</v>
      </c>
    </row>
    <row r="160" spans="2:33">
      <c r="B160" s="24">
        <v>41648</v>
      </c>
      <c r="C160" s="27">
        <v>0.2902260049252946</v>
      </c>
      <c r="D160" s="27">
        <v>0.28637334307655832</v>
      </c>
      <c r="E160" s="6">
        <f ca="1">VLOOKUP(CurrentMtgRatesDataTable825[[#This Row],[asOfDate]]+1,Bloomberg!B:C,2,0)</f>
        <v>1507</v>
      </c>
      <c r="F160" s="27">
        <f>VLOOKUP(CurrentMtgRatesDataTable825[[#This Row],[asOfDate]],CurrentMtgRatesDataTable8256[#All],2,0)</f>
        <v>0.25657721618559615</v>
      </c>
      <c r="G160" s="27">
        <f>VLOOKUP(CurrentMtgRatesDataTable825[[#This Row],[asOfDate]],CurrentMtgRatesDataTable82562[],2,0)</f>
        <v>0.1995598708648329</v>
      </c>
      <c r="H160" s="27">
        <f>VLOOKUP(CurrentMtgRatesDataTable825[[#This Row],[asOfDate]],T:U,2,0)</f>
        <v>0.19750176495775237</v>
      </c>
      <c r="I160" s="58">
        <f>VLOOKUP(CurrentMtgRatesDataTable825[[#This Row],[asOfDate]],CurrentMtgRatesDataTable825623[#All],2,0)</f>
        <v>0.17930576521621211</v>
      </c>
      <c r="J160" s="27">
        <f>VLOOKUP(CurrentMtgRatesDataTable825[[#This Row],[asOfDate]],AC:AD,2,0)</f>
        <v>0.20349751001168101</v>
      </c>
      <c r="K160" s="27">
        <f>VLOOKUP(CurrentMtgRatesDataTable825[[#This Row],[asOfDate]],temp_1,2,0)</f>
        <v>0.334027493112526</v>
      </c>
      <c r="M160" s="24">
        <v>41648</v>
      </c>
      <c r="N160" s="26">
        <v>0.25657721618559615</v>
      </c>
      <c r="O160" s="26">
        <f ca="1">VLOOKUP(CurrentMtgRatesDataTable8256[[#This Row],[asOfDate]]+1,Bloomberg!B:C,2,0)</f>
        <v>1507</v>
      </c>
      <c r="Q160" s="24">
        <v>41648</v>
      </c>
      <c r="R160" s="26">
        <v>0.1995598708648329</v>
      </c>
      <c r="T160" s="24">
        <v>41648</v>
      </c>
      <c r="U160" s="27">
        <v>0.19750176495775237</v>
      </c>
      <c r="W160" s="56">
        <v>41648</v>
      </c>
      <c r="X160" s="57">
        <v>0.17930576521621211</v>
      </c>
      <c r="Z160" s="1">
        <v>41648</v>
      </c>
      <c r="AA160">
        <v>0.185921978942027</v>
      </c>
      <c r="AC160" s="1">
        <v>41648</v>
      </c>
      <c r="AD160">
        <v>0.20349751001168101</v>
      </c>
      <c r="AF160" s="1">
        <v>41648</v>
      </c>
      <c r="AG160">
        <v>0.334027493112526</v>
      </c>
    </row>
    <row r="161" spans="2:33">
      <c r="B161" s="24">
        <v>41655</v>
      </c>
      <c r="C161" s="27">
        <v>0.36774882579493112</v>
      </c>
      <c r="D161" s="27">
        <v>0.33866034155246999</v>
      </c>
      <c r="E161" s="6">
        <f ca="1">VLOOKUP(CurrentMtgRatesDataTable825[[#This Row],[asOfDate]]+1,Bloomberg!B:C,2,0)</f>
        <v>1675.8</v>
      </c>
      <c r="F161" s="27">
        <f>VLOOKUP(CurrentMtgRatesDataTable825[[#This Row],[asOfDate]],CurrentMtgRatesDataTable8256[#All],2,0)</f>
        <v>0.3304592378060357</v>
      </c>
      <c r="G161" s="27">
        <f>VLOOKUP(CurrentMtgRatesDataTable825[[#This Row],[asOfDate]],CurrentMtgRatesDataTable82562[],2,0)</f>
        <v>0.23136337362836862</v>
      </c>
      <c r="H161" s="27">
        <f>VLOOKUP(CurrentMtgRatesDataTable825[[#This Row],[asOfDate]],T:U,2,0)</f>
        <v>0.22917295307652799</v>
      </c>
      <c r="I161" s="58">
        <f>VLOOKUP(CurrentMtgRatesDataTable825[[#This Row],[asOfDate]],CurrentMtgRatesDataTable825623[#All],2,0)</f>
        <v>0.20959300534444442</v>
      </c>
      <c r="J161" s="27">
        <f>VLOOKUP(CurrentMtgRatesDataTable825[[#This Row],[asOfDate]],AC:AD,2,0)</f>
        <v>0.23285648019755101</v>
      </c>
      <c r="K161" s="27">
        <f>VLOOKUP(CurrentMtgRatesDataTable825[[#This Row],[asOfDate]],temp_1,2,0)</f>
        <v>0.36192371081112201</v>
      </c>
      <c r="M161" s="24">
        <v>41655</v>
      </c>
      <c r="N161" s="26">
        <v>0.3304592378060357</v>
      </c>
      <c r="O161" s="26">
        <f ca="1">VLOOKUP(CurrentMtgRatesDataTable8256[[#This Row],[asOfDate]]+1,Bloomberg!B:C,2,0)</f>
        <v>1675.8</v>
      </c>
      <c r="Q161" s="24">
        <v>41655</v>
      </c>
      <c r="R161" s="26">
        <v>0.23136337362836862</v>
      </c>
      <c r="T161" s="24">
        <v>41655</v>
      </c>
      <c r="U161" s="27">
        <v>0.22917295307652799</v>
      </c>
      <c r="W161" s="56">
        <v>41655</v>
      </c>
      <c r="X161" s="57">
        <v>0.20959300534444442</v>
      </c>
      <c r="Z161" s="1">
        <v>41655</v>
      </c>
      <c r="AA161">
        <v>0.216042930815323</v>
      </c>
      <c r="AC161" s="1">
        <v>41655</v>
      </c>
      <c r="AD161">
        <v>0.23285648019755101</v>
      </c>
      <c r="AF161" s="1">
        <v>41655</v>
      </c>
      <c r="AG161">
        <v>0.36192371081112201</v>
      </c>
    </row>
    <row r="162" spans="2:33">
      <c r="B162" s="24">
        <v>41662</v>
      </c>
      <c r="C162" s="27">
        <v>0.37084428304329614</v>
      </c>
      <c r="D162" s="27">
        <v>0.35314898703532416</v>
      </c>
      <c r="E162" s="6">
        <f ca="1">VLOOKUP(CurrentMtgRatesDataTable825[[#This Row],[asOfDate]]+1,Bloomberg!B:C,2,0)</f>
        <v>1601.2</v>
      </c>
      <c r="F162" s="27">
        <f>VLOOKUP(CurrentMtgRatesDataTable825[[#This Row],[asOfDate]],CurrentMtgRatesDataTable8256[#All],2,0)</f>
        <v>0.33051418127812865</v>
      </c>
      <c r="G162" s="27">
        <f>VLOOKUP(CurrentMtgRatesDataTable825[[#This Row],[asOfDate]],CurrentMtgRatesDataTable82562[],2,0)</f>
        <v>0.23169665097660838</v>
      </c>
      <c r="H162" s="27">
        <f>VLOOKUP(CurrentMtgRatesDataTable825[[#This Row],[asOfDate]],T:U,2,0)</f>
        <v>0.22951003472904788</v>
      </c>
      <c r="I162" s="58">
        <f>VLOOKUP(CurrentMtgRatesDataTable825[[#This Row],[asOfDate]],CurrentMtgRatesDataTable825623[#All],2,0)</f>
        <v>0.21019143531749254</v>
      </c>
      <c r="J162" s="27">
        <f>VLOOKUP(CurrentMtgRatesDataTable825[[#This Row],[asOfDate]],AC:AD,2,0)</f>
        <v>0.23330797794566899</v>
      </c>
      <c r="K162" s="27">
        <f>VLOOKUP(CurrentMtgRatesDataTable825[[#This Row],[asOfDate]],temp_1,2,0)</f>
        <v>0.36226743615738599</v>
      </c>
      <c r="M162" s="24">
        <v>41662</v>
      </c>
      <c r="N162" s="26">
        <v>0.33051418127812865</v>
      </c>
      <c r="O162" s="26">
        <f ca="1">VLOOKUP(CurrentMtgRatesDataTable8256[[#This Row],[asOfDate]]+1,Bloomberg!B:C,2,0)</f>
        <v>1601.2</v>
      </c>
      <c r="Q162" s="24">
        <v>41662</v>
      </c>
      <c r="R162" s="26">
        <v>0.23169665097660838</v>
      </c>
      <c r="T162" s="24">
        <v>41662</v>
      </c>
      <c r="U162" s="27">
        <v>0.22951003472904788</v>
      </c>
      <c r="W162" s="56">
        <v>41662</v>
      </c>
      <c r="X162" s="57">
        <v>0.21019143531749254</v>
      </c>
      <c r="Z162" s="1">
        <v>41662</v>
      </c>
      <c r="AA162">
        <v>0.216603413639506</v>
      </c>
      <c r="AC162" s="1">
        <v>41662</v>
      </c>
      <c r="AD162">
        <v>0.23330797794566899</v>
      </c>
      <c r="AF162" s="1">
        <v>41662</v>
      </c>
      <c r="AG162">
        <v>0.36226743615738599</v>
      </c>
    </row>
    <row r="163" spans="2:33">
      <c r="B163" s="24">
        <v>41669</v>
      </c>
      <c r="C163" s="27">
        <v>0.38160196936392621</v>
      </c>
      <c r="D163" s="27">
        <v>0.37036145413835853</v>
      </c>
      <c r="E163" s="6">
        <f ca="1">VLOOKUP(CurrentMtgRatesDataTable825[[#This Row],[asOfDate]]+1,Bloomberg!B:C,2,0)</f>
        <v>1667.5</v>
      </c>
      <c r="F163" s="27">
        <f>VLOOKUP(CurrentMtgRatesDataTable825[[#This Row],[asOfDate]],CurrentMtgRatesDataTable8256[#All],2,0)</f>
        <v>0.39423204709456816</v>
      </c>
      <c r="G163" s="27">
        <f>VLOOKUP(CurrentMtgRatesDataTable825[[#This Row],[asOfDate]],CurrentMtgRatesDataTable82562[],2,0)</f>
        <v>0.29474577349870773</v>
      </c>
      <c r="H163" s="27">
        <f>VLOOKUP(CurrentMtgRatesDataTable825[[#This Row],[asOfDate]],T:U,2,0)</f>
        <v>0.29231353005395816</v>
      </c>
      <c r="I163" s="58">
        <f>VLOOKUP(CurrentMtgRatesDataTable825[[#This Row],[asOfDate]],CurrentMtgRatesDataTable825623[#All],2,0)</f>
        <v>0.26753407065163864</v>
      </c>
      <c r="J163" s="27">
        <f>VLOOKUP(CurrentMtgRatesDataTable825[[#This Row],[asOfDate]],AC:AD,2,0)</f>
        <v>0.29089795893761</v>
      </c>
      <c r="K163" s="27">
        <f>VLOOKUP(CurrentMtgRatesDataTable825[[#This Row],[asOfDate]],temp_1,2,0)</f>
        <v>0.41605972221627302</v>
      </c>
      <c r="M163" s="24">
        <v>41669</v>
      </c>
      <c r="N163" s="26">
        <v>0.39423204709456816</v>
      </c>
      <c r="O163" s="26">
        <f ca="1">VLOOKUP(CurrentMtgRatesDataTable8256[[#This Row],[asOfDate]]+1,Bloomberg!B:C,2,0)</f>
        <v>1667.5</v>
      </c>
      <c r="Q163" s="24">
        <v>41669</v>
      </c>
      <c r="R163" s="26">
        <v>0.29474577349870773</v>
      </c>
      <c r="T163" s="24">
        <v>41669</v>
      </c>
      <c r="U163" s="27">
        <v>0.29231353005395816</v>
      </c>
      <c r="W163" s="56">
        <v>41669</v>
      </c>
      <c r="X163" s="57">
        <v>0.26753407065163864</v>
      </c>
      <c r="Z163" s="1">
        <v>41669</v>
      </c>
      <c r="AA163">
        <v>0.27368472968670898</v>
      </c>
      <c r="AC163" s="1">
        <v>41669</v>
      </c>
      <c r="AD163">
        <v>0.29089795893761</v>
      </c>
      <c r="AF163" s="1">
        <v>41669</v>
      </c>
      <c r="AG163">
        <v>0.41605972221627302</v>
      </c>
    </row>
    <row r="164" spans="2:33">
      <c r="B164" s="24">
        <v>41676</v>
      </c>
      <c r="C164" s="27">
        <v>0.40068103493110224</v>
      </c>
      <c r="D164" s="27">
        <v>0.4115978073311492</v>
      </c>
      <c r="E164" s="6">
        <f ca="1">VLOOKUP(CurrentMtgRatesDataTable825[[#This Row],[asOfDate]]+1,Bloomberg!B:C,2,0)</f>
        <v>1674.2</v>
      </c>
      <c r="F164" s="27">
        <f>VLOOKUP(CurrentMtgRatesDataTable825[[#This Row],[asOfDate]],CurrentMtgRatesDataTable8256[#All],2,0)</f>
        <v>0.39101792197108992</v>
      </c>
      <c r="G164" s="27">
        <f>VLOOKUP(CurrentMtgRatesDataTable825[[#This Row],[asOfDate]],CurrentMtgRatesDataTable82562[],2,0)</f>
        <v>0.31761815233915819</v>
      </c>
      <c r="H164" s="27">
        <f>VLOOKUP(CurrentMtgRatesDataTable825[[#This Row],[asOfDate]],T:U,2,0)</f>
        <v>0.31520979957393219</v>
      </c>
      <c r="I164" s="58">
        <f>VLOOKUP(CurrentMtgRatesDataTable825[[#This Row],[asOfDate]],CurrentMtgRatesDataTable825623[#All],2,0)</f>
        <v>0.29181927799860874</v>
      </c>
      <c r="J164" s="27">
        <f>VLOOKUP(CurrentMtgRatesDataTable825[[#This Row],[asOfDate]],AC:AD,2,0)</f>
        <v>0.31424671770039497</v>
      </c>
      <c r="K164" s="27">
        <f>VLOOKUP(CurrentMtgRatesDataTable825[[#This Row],[asOfDate]],temp_1,2,0)</f>
        <v>0.439234845957858</v>
      </c>
      <c r="M164" s="24">
        <v>41676</v>
      </c>
      <c r="N164" s="26">
        <v>0.39101792197108992</v>
      </c>
      <c r="O164" s="26">
        <f ca="1">VLOOKUP(CurrentMtgRatesDataTable8256[[#This Row],[asOfDate]]+1,Bloomberg!B:C,2,0)</f>
        <v>1674.2</v>
      </c>
      <c r="Q164" s="24">
        <v>41676</v>
      </c>
      <c r="R164" s="26">
        <v>0.31761815233915819</v>
      </c>
      <c r="T164" s="24">
        <v>41676</v>
      </c>
      <c r="U164" s="27">
        <v>0.31520979957393219</v>
      </c>
      <c r="W164" s="56">
        <v>41676</v>
      </c>
      <c r="X164" s="57">
        <v>0.29181927799860874</v>
      </c>
      <c r="Z164" s="1">
        <v>41676</v>
      </c>
      <c r="AA164">
        <v>0.29812871914502598</v>
      </c>
      <c r="AC164" s="1">
        <v>41676</v>
      </c>
      <c r="AD164">
        <v>0.31424671770039497</v>
      </c>
      <c r="AF164" s="1">
        <v>41676</v>
      </c>
      <c r="AG164">
        <v>0.439234845957858</v>
      </c>
    </row>
    <row r="165" spans="2:33">
      <c r="B165" s="24">
        <v>41683</v>
      </c>
      <c r="C165" s="27">
        <v>0.38532630107916044</v>
      </c>
      <c r="D165" s="27">
        <v>0.36940979825988263</v>
      </c>
      <c r="E165" s="6">
        <f ca="1">VLOOKUP(CurrentMtgRatesDataTable825[[#This Row],[asOfDate]]+1,Bloomberg!B:C,2,0)</f>
        <v>1650.6</v>
      </c>
      <c r="F165" s="27">
        <f>VLOOKUP(CurrentMtgRatesDataTable825[[#This Row],[asOfDate]],CurrentMtgRatesDataTable8256[#All],2,0)</f>
        <v>0.39068366290434636</v>
      </c>
      <c r="G165" s="27">
        <f>VLOOKUP(CurrentMtgRatesDataTable825[[#This Row],[asOfDate]],CurrentMtgRatesDataTable82562[],2,0)</f>
        <v>0.28995938501376983</v>
      </c>
      <c r="H165" s="27">
        <f>VLOOKUP(CurrentMtgRatesDataTable825[[#This Row],[asOfDate]],T:U,2,0)</f>
        <v>0.28764958142832198</v>
      </c>
      <c r="I165" s="58">
        <f>VLOOKUP(CurrentMtgRatesDataTable825[[#This Row],[asOfDate]],CurrentMtgRatesDataTable825623[#All],2,0)</f>
        <v>0.26481047273119829</v>
      </c>
      <c r="J165" s="27">
        <f>VLOOKUP(CurrentMtgRatesDataTable825[[#This Row],[asOfDate]],AC:AD,2,0)</f>
        <v>0.28654188629747801</v>
      </c>
      <c r="K165" s="27">
        <f>VLOOKUP(CurrentMtgRatesDataTable825[[#This Row],[asOfDate]],temp_1,2,0)</f>
        <v>0.41377930466343998</v>
      </c>
      <c r="M165" s="24">
        <v>41683</v>
      </c>
      <c r="N165" s="26">
        <v>0.39068366290434636</v>
      </c>
      <c r="O165" s="26">
        <f ca="1">VLOOKUP(CurrentMtgRatesDataTable8256[[#This Row],[asOfDate]]+1,Bloomberg!B:C,2,0)</f>
        <v>1650.6</v>
      </c>
      <c r="Q165" s="24">
        <v>41683</v>
      </c>
      <c r="R165" s="26">
        <v>0.28995938501376983</v>
      </c>
      <c r="T165" s="24">
        <v>41683</v>
      </c>
      <c r="U165" s="27">
        <v>0.28764958142832198</v>
      </c>
      <c r="W165" s="56">
        <v>41683</v>
      </c>
      <c r="X165" s="57">
        <v>0.26481047273119829</v>
      </c>
      <c r="Z165" s="1">
        <v>41683</v>
      </c>
      <c r="AA165">
        <v>0.27065341449398</v>
      </c>
      <c r="AC165" s="1">
        <v>41683</v>
      </c>
      <c r="AD165">
        <v>0.28654188629747801</v>
      </c>
      <c r="AF165" s="1">
        <v>41683</v>
      </c>
      <c r="AG165">
        <v>0.41377930466343998</v>
      </c>
    </row>
    <row r="166" spans="2:33">
      <c r="B166" s="24">
        <v>41690</v>
      </c>
      <c r="C166" s="27">
        <v>0.3755719775185945</v>
      </c>
      <c r="D166" s="27">
        <v>0.35582170567845778</v>
      </c>
      <c r="E166" s="6">
        <f ca="1">VLOOKUP(CurrentMtgRatesDataTable825[[#This Row],[asOfDate]]+1,Bloomberg!B:C,2,0)</f>
        <v>1442.3</v>
      </c>
      <c r="F166" s="27">
        <f>VLOOKUP(CurrentMtgRatesDataTable825[[#This Row],[asOfDate]],CurrentMtgRatesDataTable8256[#All],2,0)</f>
        <v>0.32596209420558231</v>
      </c>
      <c r="G166" s="27">
        <f>VLOOKUP(CurrentMtgRatesDataTable825[[#This Row],[asOfDate]],CurrentMtgRatesDataTable82562[],2,0)</f>
        <v>0.25704564753531173</v>
      </c>
      <c r="H166" s="27">
        <f>VLOOKUP(CurrentMtgRatesDataTable825[[#This Row],[asOfDate]],T:U,2,0)</f>
        <v>0.25489738506230836</v>
      </c>
      <c r="I166" s="58">
        <f>VLOOKUP(CurrentMtgRatesDataTable825[[#This Row],[asOfDate]],CurrentMtgRatesDataTable825623[#All],2,0)</f>
        <v>0.23629264624582719</v>
      </c>
      <c r="J166" s="27">
        <f>VLOOKUP(CurrentMtgRatesDataTable825[[#This Row],[asOfDate]],AC:AD,2,0)</f>
        <v>0.25823477101989301</v>
      </c>
      <c r="K166" s="27">
        <f>VLOOKUP(CurrentMtgRatesDataTable825[[#This Row],[asOfDate]],temp_1,2,0)</f>
        <v>0.38763738178583501</v>
      </c>
      <c r="M166" s="24">
        <v>41690</v>
      </c>
      <c r="N166" s="26">
        <v>0.32596209420558231</v>
      </c>
      <c r="O166" s="26">
        <f ca="1">VLOOKUP(CurrentMtgRatesDataTable8256[[#This Row],[asOfDate]]+1,Bloomberg!B:C,2,0)</f>
        <v>1442.3</v>
      </c>
      <c r="Q166" s="24">
        <v>41690</v>
      </c>
      <c r="R166" s="26">
        <v>0.25704564753531173</v>
      </c>
      <c r="T166" s="24">
        <v>41690</v>
      </c>
      <c r="U166" s="27">
        <v>0.25489738506230836</v>
      </c>
      <c r="W166" s="56">
        <v>41690</v>
      </c>
      <c r="X166" s="57">
        <v>0.23629264624582719</v>
      </c>
      <c r="Z166" s="1">
        <v>41690</v>
      </c>
      <c r="AA166">
        <v>0.24244901885890699</v>
      </c>
      <c r="AC166" s="1">
        <v>41690</v>
      </c>
      <c r="AD166">
        <v>0.25823477101989301</v>
      </c>
      <c r="AF166" s="1">
        <v>41690</v>
      </c>
      <c r="AG166">
        <v>0.38763738178583501</v>
      </c>
    </row>
    <row r="167" spans="2:33">
      <c r="B167" s="24">
        <v>41697</v>
      </c>
      <c r="C167" s="27">
        <v>0.36967404481869215</v>
      </c>
      <c r="D167" s="27">
        <v>0.34649297693691988</v>
      </c>
      <c r="E167" s="6">
        <f ca="1">VLOOKUP(CurrentMtgRatesDataTable825[[#This Row],[asOfDate]]+1,Bloomberg!B:C,2,0)</f>
        <v>1600.6</v>
      </c>
      <c r="F167" s="27">
        <f>VLOOKUP(CurrentMtgRatesDataTable825[[#This Row],[asOfDate]],CurrentMtgRatesDataTable8256[#All],2,0)</f>
        <v>0.32584125763891397</v>
      </c>
      <c r="G167" s="27">
        <f>VLOOKUP(CurrentMtgRatesDataTable825[[#This Row],[asOfDate]],CurrentMtgRatesDataTable82562[],2,0)</f>
        <v>0.25682661220400127</v>
      </c>
      <c r="H167" s="27">
        <f>VLOOKUP(CurrentMtgRatesDataTable825[[#This Row],[asOfDate]],T:U,2,0)</f>
        <v>0.25467923398674452</v>
      </c>
      <c r="I167" s="58">
        <f>VLOOKUP(CurrentMtgRatesDataTable825[[#This Row],[asOfDate]],CurrentMtgRatesDataTable825623[#All],2,0)</f>
        <v>0.23523336613531681</v>
      </c>
      <c r="J167" s="27">
        <f>VLOOKUP(CurrentMtgRatesDataTable825[[#This Row],[asOfDate]],AC:AD,2,0)</f>
        <v>0.25744034883327499</v>
      </c>
      <c r="K167" s="27">
        <f>VLOOKUP(CurrentMtgRatesDataTable825[[#This Row],[asOfDate]],temp_1,2,0)</f>
        <v>0.38707778665425802</v>
      </c>
      <c r="M167" s="24">
        <v>41697</v>
      </c>
      <c r="N167" s="26">
        <v>0.32584125763891397</v>
      </c>
      <c r="O167" s="26">
        <f ca="1">VLOOKUP(CurrentMtgRatesDataTable8256[[#This Row],[asOfDate]]+1,Bloomberg!B:C,2,0)</f>
        <v>1600.6</v>
      </c>
      <c r="Q167" s="24">
        <v>41697</v>
      </c>
      <c r="R167" s="26">
        <v>0.25682661220400127</v>
      </c>
      <c r="T167" s="24">
        <v>41697</v>
      </c>
      <c r="U167" s="27">
        <v>0.25467923398674452</v>
      </c>
      <c r="W167" s="56">
        <v>41697</v>
      </c>
      <c r="X167" s="57">
        <v>0.23523336613531681</v>
      </c>
      <c r="Z167" s="1">
        <v>41697</v>
      </c>
      <c r="AA167">
        <v>0.241396467571595</v>
      </c>
      <c r="AC167" s="1">
        <v>41697</v>
      </c>
      <c r="AD167">
        <v>0.25744034883327499</v>
      </c>
      <c r="AF167" s="1">
        <v>41697</v>
      </c>
      <c r="AG167">
        <v>0.38707778665425802</v>
      </c>
    </row>
    <row r="168" spans="2:33">
      <c r="B168" s="24">
        <v>41704</v>
      </c>
      <c r="C168" s="27">
        <v>0.38316963725836589</v>
      </c>
      <c r="D168" s="27">
        <v>0.36594725304775116</v>
      </c>
      <c r="E168" s="6">
        <f ca="1">VLOOKUP(CurrentMtgRatesDataTable825[[#This Row],[asOfDate]]+1,Bloomberg!B:C,2,0)</f>
        <v>1528</v>
      </c>
      <c r="F168" s="27">
        <f>VLOOKUP(CurrentMtgRatesDataTable825[[#This Row],[asOfDate]],CurrentMtgRatesDataTable8256[#All],2,0)</f>
        <v>0.3880906059489676</v>
      </c>
      <c r="G168" s="27">
        <f>VLOOKUP(CurrentMtgRatesDataTable825[[#This Row],[asOfDate]],CurrentMtgRatesDataTable82562[],2,0)</f>
        <v>0.2862432263746571</v>
      </c>
      <c r="H168" s="27">
        <f>VLOOKUP(CurrentMtgRatesDataTable825[[#This Row],[asOfDate]],T:U,2,0)</f>
        <v>0.28397099180873842</v>
      </c>
      <c r="I168" s="58">
        <f>VLOOKUP(CurrentMtgRatesDataTable825[[#This Row],[asOfDate]],CurrentMtgRatesDataTable825623[#All],2,0)</f>
        <v>0.26131289645907729</v>
      </c>
      <c r="J168" s="27">
        <f>VLOOKUP(CurrentMtgRatesDataTable825[[#This Row],[asOfDate]],AC:AD,2,0)</f>
        <v>0.28216102843400898</v>
      </c>
      <c r="K168" s="27">
        <f>VLOOKUP(CurrentMtgRatesDataTable825[[#This Row],[asOfDate]],temp_1,2,0)</f>
        <v>0.41131556149818799</v>
      </c>
      <c r="M168" s="24">
        <v>41704</v>
      </c>
      <c r="N168" s="26">
        <v>0.3880906059489676</v>
      </c>
      <c r="O168" s="26">
        <f ca="1">VLOOKUP(CurrentMtgRatesDataTable8256[[#This Row],[asOfDate]]+1,Bloomberg!B:C,2,0)</f>
        <v>1528</v>
      </c>
      <c r="Q168" s="24">
        <v>41704</v>
      </c>
      <c r="R168" s="26">
        <v>0.2862432263746571</v>
      </c>
      <c r="T168" s="24">
        <v>41704</v>
      </c>
      <c r="U168" s="27">
        <v>0.28397099180873842</v>
      </c>
      <c r="W168" s="56">
        <v>41704</v>
      </c>
      <c r="X168" s="57">
        <v>0.26131289645907729</v>
      </c>
      <c r="Z168" s="1">
        <v>41704</v>
      </c>
      <c r="AA168">
        <v>0.26694203162482799</v>
      </c>
      <c r="AC168" s="1">
        <v>41704</v>
      </c>
      <c r="AD168">
        <v>0.28216102843400898</v>
      </c>
      <c r="AF168" s="1">
        <v>41704</v>
      </c>
      <c r="AG168">
        <v>0.41131556149818799</v>
      </c>
    </row>
    <row r="169" spans="2:33">
      <c r="B169" s="24">
        <v>41711</v>
      </c>
      <c r="C169" s="27">
        <v>0.36933430427665681</v>
      </c>
      <c r="D169" s="27">
        <v>0.34988680837895592</v>
      </c>
      <c r="E169" s="6">
        <f ca="1">VLOOKUP(CurrentMtgRatesDataTable825[[#This Row],[asOfDate]]+1,Bloomberg!B:C,2,0)</f>
        <v>1552.1</v>
      </c>
      <c r="F169" s="27">
        <f>VLOOKUP(CurrentMtgRatesDataTable825[[#This Row],[asOfDate]],CurrentMtgRatesDataTable8256[#All],2,0)</f>
        <v>0.32243239988824457</v>
      </c>
      <c r="G169" s="27">
        <f>VLOOKUP(CurrentMtgRatesDataTable825[[#This Row],[asOfDate]],CurrentMtgRatesDataTable82562[],2,0)</f>
        <v>0.25311362033574425</v>
      </c>
      <c r="H169" s="27">
        <f>VLOOKUP(CurrentMtgRatesDataTable825[[#This Row],[asOfDate]],T:U,2,0)</f>
        <v>0.25100221815672541</v>
      </c>
      <c r="I169" s="58">
        <f>VLOOKUP(CurrentMtgRatesDataTable825[[#This Row],[asOfDate]],CurrentMtgRatesDataTable825623[#All],2,0)</f>
        <v>0.23229463907320802</v>
      </c>
      <c r="J169" s="27">
        <f>VLOOKUP(CurrentMtgRatesDataTable825[[#This Row],[asOfDate]],AC:AD,2,0)</f>
        <v>0.25339035668079501</v>
      </c>
      <c r="K169" s="27">
        <f>VLOOKUP(CurrentMtgRatesDataTable825[[#This Row],[asOfDate]],temp_1,2,0)</f>
        <v>0.38478710266298899</v>
      </c>
      <c r="M169" s="24">
        <v>41711</v>
      </c>
      <c r="N169" s="26">
        <v>0.32243239988824457</v>
      </c>
      <c r="O169" s="26">
        <f ca="1">VLOOKUP(CurrentMtgRatesDataTable8256[[#This Row],[asOfDate]]+1,Bloomberg!B:C,2,0)</f>
        <v>1552.1</v>
      </c>
      <c r="Q169" s="24">
        <v>41711</v>
      </c>
      <c r="R169" s="26">
        <v>0.25311362033574425</v>
      </c>
      <c r="T169" s="24">
        <v>41711</v>
      </c>
      <c r="U169" s="27">
        <v>0.25100221815672541</v>
      </c>
      <c r="W169" s="56">
        <v>41711</v>
      </c>
      <c r="X169" s="57">
        <v>0.23229463907320802</v>
      </c>
      <c r="Z169" s="1">
        <v>41711</v>
      </c>
      <c r="AA169">
        <v>0.23824719785874199</v>
      </c>
      <c r="AC169" s="1">
        <v>41711</v>
      </c>
      <c r="AD169">
        <v>0.25339035668079501</v>
      </c>
      <c r="AF169" s="1">
        <v>41711</v>
      </c>
      <c r="AG169">
        <v>0.38478710266298899</v>
      </c>
    </row>
    <row r="170" spans="2:33">
      <c r="B170" s="24">
        <v>41718</v>
      </c>
      <c r="C170" s="27">
        <v>0.38030249532079374</v>
      </c>
      <c r="D170" s="27">
        <v>0.3574673638560138</v>
      </c>
      <c r="E170" s="6">
        <f ca="1">VLOOKUP(CurrentMtgRatesDataTable825[[#This Row],[asOfDate]]+1,Bloomberg!B:C,2,0)</f>
        <v>1426.3</v>
      </c>
      <c r="F170" s="27">
        <f>VLOOKUP(CurrentMtgRatesDataTable825[[#This Row],[asOfDate]],CurrentMtgRatesDataTable8256[#All],2,0)</f>
        <v>0.38803155963126795</v>
      </c>
      <c r="G170" s="27">
        <f>VLOOKUP(CurrentMtgRatesDataTable825[[#This Row],[asOfDate]],CurrentMtgRatesDataTable82562[],2,0)</f>
        <v>0.28618346079129836</v>
      </c>
      <c r="H170" s="27">
        <f>VLOOKUP(CurrentMtgRatesDataTable825[[#This Row],[asOfDate]],T:U,2,0)</f>
        <v>0.28391182536273768</v>
      </c>
      <c r="I170" s="58">
        <f>VLOOKUP(CurrentMtgRatesDataTable825[[#This Row],[asOfDate]],CurrentMtgRatesDataTable825623[#All],2,0)</f>
        <v>0.25991121759857438</v>
      </c>
      <c r="J170" s="27">
        <f>VLOOKUP(CurrentMtgRatesDataTable825[[#This Row],[asOfDate]],AC:AD,2,0)</f>
        <v>0.28102818996708701</v>
      </c>
      <c r="K170" s="27">
        <f>VLOOKUP(CurrentMtgRatesDataTable825[[#This Row],[asOfDate]],temp_1,2,0)</f>
        <v>0.410587950533847</v>
      </c>
      <c r="M170" s="24">
        <v>41718</v>
      </c>
      <c r="N170" s="26">
        <v>0.38803155963126795</v>
      </c>
      <c r="O170" s="26">
        <f ca="1">VLOOKUP(CurrentMtgRatesDataTable8256[[#This Row],[asOfDate]]+1,Bloomberg!B:C,2,0)</f>
        <v>1426.3</v>
      </c>
      <c r="Q170" s="24">
        <v>41718</v>
      </c>
      <c r="R170" s="26">
        <v>0.28618346079129836</v>
      </c>
      <c r="T170" s="24">
        <v>41718</v>
      </c>
      <c r="U170" s="27">
        <v>0.28391182536273768</v>
      </c>
      <c r="W170" s="56">
        <v>41718</v>
      </c>
      <c r="X170" s="57">
        <v>0.25991121759857438</v>
      </c>
      <c r="Z170" s="1">
        <v>41718</v>
      </c>
      <c r="AA170">
        <v>0.265586453209053</v>
      </c>
      <c r="AC170" s="1">
        <v>41718</v>
      </c>
      <c r="AD170">
        <v>0.28102818996708701</v>
      </c>
      <c r="AF170" s="1">
        <v>41718</v>
      </c>
      <c r="AG170">
        <v>0.410587950533847</v>
      </c>
    </row>
    <row r="171" spans="2:33">
      <c r="B171" s="24">
        <v>41725</v>
      </c>
      <c r="C171" s="27">
        <v>0.36565400061256043</v>
      </c>
      <c r="D171" s="27">
        <v>0.34076202088993646</v>
      </c>
      <c r="E171" s="6">
        <f ca="1">VLOOKUP(CurrentMtgRatesDataTable825[[#This Row],[asOfDate]]+1,Bloomberg!B:C,2,0)</f>
        <v>1383.5</v>
      </c>
      <c r="F171" s="27">
        <f>VLOOKUP(CurrentMtgRatesDataTable825[[#This Row],[asOfDate]],CurrentMtgRatesDataTable8256[#All],2,0)</f>
        <v>0.32225376577204623</v>
      </c>
      <c r="G171" s="27">
        <f>VLOOKUP(CurrentMtgRatesDataTable825[[#This Row],[asOfDate]],CurrentMtgRatesDataTable82562[],2,0)</f>
        <v>0.2529912660652664</v>
      </c>
      <c r="H171" s="27">
        <f>VLOOKUP(CurrentMtgRatesDataTable825[[#This Row],[asOfDate]],T:U,2,0)</f>
        <v>0.25088103362043407</v>
      </c>
      <c r="I171" s="58">
        <f>VLOOKUP(CurrentMtgRatesDataTable825[[#This Row],[asOfDate]],CurrentMtgRatesDataTable825623[#All],2,0)</f>
        <v>0.23160663701689185</v>
      </c>
      <c r="J171" s="27">
        <f>VLOOKUP(CurrentMtgRatesDataTable825[[#This Row],[asOfDate]],AC:AD,2,0)</f>
        <v>0.25299751732949799</v>
      </c>
      <c r="K171" s="27">
        <f>VLOOKUP(CurrentMtgRatesDataTable825[[#This Row],[asOfDate]],temp_1,2,0)</f>
        <v>0.38449666572835101</v>
      </c>
      <c r="M171" s="24">
        <v>41725</v>
      </c>
      <c r="N171" s="26">
        <v>0.32225376577204623</v>
      </c>
      <c r="O171" s="26">
        <f ca="1">VLOOKUP(CurrentMtgRatesDataTable8256[[#This Row],[asOfDate]]+1,Bloomberg!B:C,2,0)</f>
        <v>1383.5</v>
      </c>
      <c r="Q171" s="24">
        <v>41725</v>
      </c>
      <c r="R171" s="26">
        <v>0.2529912660652664</v>
      </c>
      <c r="T171" s="24">
        <v>41725</v>
      </c>
      <c r="U171" s="27">
        <v>0.25088103362043407</v>
      </c>
      <c r="W171" s="56">
        <v>41725</v>
      </c>
      <c r="X171" s="57">
        <v>0.23160663701689185</v>
      </c>
      <c r="Z171" s="1">
        <v>41725</v>
      </c>
      <c r="AA171">
        <v>0.23763543332293</v>
      </c>
      <c r="AC171" s="1">
        <v>41725</v>
      </c>
      <c r="AD171">
        <v>0.25299751732949799</v>
      </c>
      <c r="AF171" s="1">
        <v>41725</v>
      </c>
      <c r="AG171">
        <v>0.38449666572835101</v>
      </c>
    </row>
    <row r="172" spans="2:33">
      <c r="B172" s="24">
        <v>41732</v>
      </c>
      <c r="C172" s="27">
        <v>0.35521926568999218</v>
      </c>
      <c r="D172" s="27">
        <v>0.32045868201101552</v>
      </c>
      <c r="E172" s="6">
        <f ca="1">VLOOKUP(CurrentMtgRatesDataTable825[[#This Row],[asOfDate]]+1,Bloomberg!B:C,2,0)</f>
        <v>1324.7</v>
      </c>
      <c r="F172" s="27">
        <f>VLOOKUP(CurrentMtgRatesDataTable825[[#This Row],[asOfDate]],CurrentMtgRatesDataTable8256[#All],2,0)</f>
        <v>0.31763867857518779</v>
      </c>
      <c r="G172" s="27">
        <f>VLOOKUP(CurrentMtgRatesDataTable825[[#This Row],[asOfDate]],CurrentMtgRatesDataTable82562[],2,0)</f>
        <v>0.22226173892798851</v>
      </c>
      <c r="H172" s="27">
        <f>VLOOKUP(CurrentMtgRatesDataTable825[[#This Row],[asOfDate]],T:U,2,0)</f>
        <v>0.22052709973522447</v>
      </c>
      <c r="I172" s="58">
        <f>VLOOKUP(CurrentMtgRatesDataTable825[[#This Row],[asOfDate]],CurrentMtgRatesDataTable825623[#All],2,0)</f>
        <v>0.20321387799468149</v>
      </c>
      <c r="J172" s="27">
        <f>VLOOKUP(CurrentMtgRatesDataTable825[[#This Row],[asOfDate]],AC:AD,2,0)</f>
        <v>0.222143720081627</v>
      </c>
      <c r="K172" s="27">
        <f>VLOOKUP(CurrentMtgRatesDataTable825[[#This Row],[asOfDate]],temp_1,2,0)</f>
        <v>0.35767470629269998</v>
      </c>
      <c r="M172" s="24">
        <v>41732</v>
      </c>
      <c r="N172" s="26">
        <v>0.31763867857518779</v>
      </c>
      <c r="O172" s="26">
        <f ca="1">VLOOKUP(CurrentMtgRatesDataTable8256[[#This Row],[asOfDate]]+1,Bloomberg!B:C,2,0)</f>
        <v>1324.7</v>
      </c>
      <c r="Q172" s="24">
        <v>41732</v>
      </c>
      <c r="R172" s="26">
        <v>0.22226173892798851</v>
      </c>
      <c r="T172" s="24">
        <v>41732</v>
      </c>
      <c r="U172" s="27">
        <v>0.22052709973522447</v>
      </c>
      <c r="W172" s="56">
        <v>41732</v>
      </c>
      <c r="X172" s="57">
        <v>0.20321387799468149</v>
      </c>
      <c r="Z172" s="1">
        <v>41732</v>
      </c>
      <c r="AA172">
        <v>0.208631033089789</v>
      </c>
      <c r="AC172" s="1">
        <v>41732</v>
      </c>
      <c r="AD172">
        <v>0.222143720081627</v>
      </c>
      <c r="AF172" s="1">
        <v>41732</v>
      </c>
      <c r="AG172">
        <v>0.35767470629269998</v>
      </c>
    </row>
    <row r="173" spans="2:33">
      <c r="B173" s="24">
        <v>41739</v>
      </c>
      <c r="C173" s="27">
        <v>0.36683376695248865</v>
      </c>
      <c r="D173" s="27">
        <v>0.34341616068980968</v>
      </c>
      <c r="E173" s="6">
        <f ca="1">VLOOKUP(CurrentMtgRatesDataTable825[[#This Row],[asOfDate]]+1,Bloomberg!B:C,2,0)</f>
        <v>1429.9</v>
      </c>
      <c r="F173" s="27">
        <f>VLOOKUP(CurrentMtgRatesDataTable825[[#This Row],[asOfDate]],CurrentMtgRatesDataTable8256[#All],2,0)</f>
        <v>0.3179400498756681</v>
      </c>
      <c r="G173" s="27">
        <f>VLOOKUP(CurrentMtgRatesDataTable825[[#This Row],[asOfDate]],CurrentMtgRatesDataTable82562[],2,0)</f>
        <v>0.25193488777281597</v>
      </c>
      <c r="H173" s="27">
        <f>VLOOKUP(CurrentMtgRatesDataTable825[[#This Row],[asOfDate]],T:U,2,0)</f>
        <v>0.25015107339443698</v>
      </c>
      <c r="I173" s="58">
        <f>VLOOKUP(CurrentMtgRatesDataTable825[[#This Row],[asOfDate]],CurrentMtgRatesDataTable825623[#All],2,0)</f>
        <v>0.23288461809893268</v>
      </c>
      <c r="J173" s="27">
        <f>VLOOKUP(CurrentMtgRatesDataTable825[[#This Row],[asOfDate]],AC:AD,2,0)</f>
        <v>0.25169457423695202</v>
      </c>
      <c r="K173" s="27">
        <f>VLOOKUP(CurrentMtgRatesDataTable825[[#This Row],[asOfDate]],temp_1,2,0)</f>
        <v>0.38504831317119298</v>
      </c>
      <c r="M173" s="24">
        <v>41739</v>
      </c>
      <c r="N173" s="26">
        <v>0.3179400498756681</v>
      </c>
      <c r="O173" s="26">
        <f ca="1">VLOOKUP(CurrentMtgRatesDataTable8256[[#This Row],[asOfDate]]+1,Bloomberg!B:C,2,0)</f>
        <v>1429.9</v>
      </c>
      <c r="Q173" s="24">
        <v>41739</v>
      </c>
      <c r="R173" s="26">
        <v>0.25193488777281597</v>
      </c>
      <c r="T173" s="24">
        <v>41739</v>
      </c>
      <c r="U173" s="27">
        <v>0.25015107339443698</v>
      </c>
      <c r="W173" s="56">
        <v>41739</v>
      </c>
      <c r="X173" s="57">
        <v>0.23288461809893268</v>
      </c>
      <c r="Z173" s="1">
        <v>41739</v>
      </c>
      <c r="AA173">
        <v>0.23833106587035599</v>
      </c>
      <c r="AC173" s="1">
        <v>41739</v>
      </c>
      <c r="AD173">
        <v>0.25169457423695202</v>
      </c>
      <c r="AF173" s="1">
        <v>41739</v>
      </c>
      <c r="AG173">
        <v>0.38504831317119298</v>
      </c>
    </row>
    <row r="174" spans="2:33">
      <c r="B174" s="24">
        <v>41746</v>
      </c>
      <c r="C174" s="27">
        <v>0.38166972699665563</v>
      </c>
      <c r="D174" s="27">
        <v>0.35961933021833942</v>
      </c>
      <c r="E174" s="6">
        <f ca="1">VLOOKUP(CurrentMtgRatesDataTable825[[#This Row],[asOfDate]]+1,Bloomberg!B:C,2,0)</f>
        <v>1370.9</v>
      </c>
      <c r="F174" s="27">
        <f>VLOOKUP(CurrentMtgRatesDataTable825[[#This Row],[asOfDate]],CurrentMtgRatesDataTable8256[#All],2,0)</f>
        <v>0.38470598100767872</v>
      </c>
      <c r="G174" s="27">
        <f>VLOOKUP(CurrentMtgRatesDataTable825[[#This Row],[asOfDate]],CurrentMtgRatesDataTable82562[],2,0)</f>
        <v>0.28486963190417852</v>
      </c>
      <c r="H174" s="27">
        <f>VLOOKUP(CurrentMtgRatesDataTable825[[#This Row],[asOfDate]],T:U,2,0)</f>
        <v>0.28299748708911909</v>
      </c>
      <c r="I174" s="58">
        <f>VLOOKUP(CurrentMtgRatesDataTable825[[#This Row],[asOfDate]],CurrentMtgRatesDataTable825623[#All],2,0)</f>
        <v>0.26202204782205368</v>
      </c>
      <c r="J174" s="27">
        <f>VLOOKUP(CurrentMtgRatesDataTable825[[#This Row],[asOfDate]],AC:AD,2,0)</f>
        <v>0.28058021231610197</v>
      </c>
      <c r="K174" s="27">
        <f>VLOOKUP(CurrentMtgRatesDataTable825[[#This Row],[asOfDate]],temp_1,2,0)</f>
        <v>0.41164243172086001</v>
      </c>
      <c r="M174" s="24">
        <v>41746</v>
      </c>
      <c r="N174" s="26">
        <v>0.38470598100767872</v>
      </c>
      <c r="O174" s="26">
        <f ca="1">VLOOKUP(CurrentMtgRatesDataTable8256[[#This Row],[asOfDate]]+1,Bloomberg!B:C,2,0)</f>
        <v>1370.9</v>
      </c>
      <c r="Q174" s="24">
        <v>41746</v>
      </c>
      <c r="R174" s="26">
        <v>0.28486963190417852</v>
      </c>
      <c r="T174" s="24">
        <v>41746</v>
      </c>
      <c r="U174" s="27">
        <v>0.28299748708911909</v>
      </c>
      <c r="W174" s="56">
        <v>41746</v>
      </c>
      <c r="X174" s="57">
        <v>0.26202204782205368</v>
      </c>
      <c r="Z174" s="1">
        <v>41746</v>
      </c>
      <c r="AA174">
        <v>0.26720272525041899</v>
      </c>
      <c r="AC174" s="1">
        <v>41746</v>
      </c>
      <c r="AD174">
        <v>0.28058021231610197</v>
      </c>
      <c r="AF174" s="1">
        <v>41746</v>
      </c>
      <c r="AG174">
        <v>0.41164243172086001</v>
      </c>
    </row>
    <row r="175" spans="2:33">
      <c r="B175" s="24">
        <v>41753</v>
      </c>
      <c r="C175" s="27">
        <v>0.37393962817107157</v>
      </c>
      <c r="D175" s="27">
        <v>0.35091869592461744</v>
      </c>
      <c r="E175" s="6">
        <f ca="1">VLOOKUP(CurrentMtgRatesDataTable825[[#This Row],[asOfDate]]+1,Bloomberg!B:C,2,0)</f>
        <v>1298.0999999999999</v>
      </c>
      <c r="F175" s="27">
        <f>VLOOKUP(CurrentMtgRatesDataTable825[[#This Row],[asOfDate]],CurrentMtgRatesDataTable8256[#All],2,0)</f>
        <v>0.38440732841326453</v>
      </c>
      <c r="G175" s="27">
        <f>VLOOKUP(CurrentMtgRatesDataTable825[[#This Row],[asOfDate]],CurrentMtgRatesDataTable82562[],2,0)</f>
        <v>0.2847162826216843</v>
      </c>
      <c r="H175" s="27">
        <f>VLOOKUP(CurrentMtgRatesDataTable825[[#This Row],[asOfDate]],T:U,2,0)</f>
        <v>0.28284593551814341</v>
      </c>
      <c r="I175" s="58">
        <f>VLOOKUP(CurrentMtgRatesDataTable825[[#This Row],[asOfDate]],CurrentMtgRatesDataTable825623[#All],2,0)</f>
        <v>0.26064759544975269</v>
      </c>
      <c r="J175" s="27">
        <f>VLOOKUP(CurrentMtgRatesDataTable825[[#This Row],[asOfDate]],AC:AD,2,0)</f>
        <v>0.279448840397376</v>
      </c>
      <c r="K175" s="27">
        <f>VLOOKUP(CurrentMtgRatesDataTable825[[#This Row],[asOfDate]],temp_1,2,0)</f>
        <v>0.41092385739423598</v>
      </c>
      <c r="M175" s="24">
        <v>41753</v>
      </c>
      <c r="N175" s="26">
        <v>0.38440732841326453</v>
      </c>
      <c r="O175" s="26">
        <f ca="1">VLOOKUP(CurrentMtgRatesDataTable8256[[#This Row],[asOfDate]]+1,Bloomberg!B:C,2,0)</f>
        <v>1298.0999999999999</v>
      </c>
      <c r="Q175" s="24">
        <v>41753</v>
      </c>
      <c r="R175" s="26">
        <v>0.2847162826216843</v>
      </c>
      <c r="T175" s="24">
        <v>41753</v>
      </c>
      <c r="U175" s="27">
        <v>0.28284593551814341</v>
      </c>
      <c r="W175" s="56">
        <v>41753</v>
      </c>
      <c r="X175" s="57">
        <v>0.26064759544975269</v>
      </c>
      <c r="Z175" s="1">
        <v>41753</v>
      </c>
      <c r="AA175">
        <v>0.26582404892400002</v>
      </c>
      <c r="AC175" s="1">
        <v>41753</v>
      </c>
      <c r="AD175">
        <v>0.279448840397376</v>
      </c>
      <c r="AF175" s="1">
        <v>41753</v>
      </c>
      <c r="AG175">
        <v>0.41092385739423598</v>
      </c>
    </row>
    <row r="176" spans="2:33">
      <c r="B176" s="24">
        <v>41760</v>
      </c>
      <c r="C176" s="27">
        <v>0.37360583835556432</v>
      </c>
      <c r="D176" s="27">
        <v>0.35322598118738113</v>
      </c>
      <c r="E176" s="6">
        <f ca="1">VLOOKUP(CurrentMtgRatesDataTable825[[#This Row],[asOfDate]]+1,Bloomberg!B:C,2,0)</f>
        <v>1323.9</v>
      </c>
      <c r="F176" s="27">
        <f>VLOOKUP(CurrentMtgRatesDataTable825[[#This Row],[asOfDate]],CurrentMtgRatesDataTable8256[#All],2,0)</f>
        <v>0.38059841454921201</v>
      </c>
      <c r="G176" s="27">
        <f>VLOOKUP(CurrentMtgRatesDataTable825[[#This Row],[asOfDate]],CurrentMtgRatesDataTable82562[],2,0)</f>
        <v>0.28231972736522121</v>
      </c>
      <c r="H176" s="27">
        <f>VLOOKUP(CurrentMtgRatesDataTable825[[#This Row],[asOfDate]],T:U,2,0)</f>
        <v>0.28069096324496473</v>
      </c>
      <c r="I176" s="58">
        <f>VLOOKUP(CurrentMtgRatesDataTable825[[#This Row],[asOfDate]],CurrentMtgRatesDataTable825623[#All],2,0)</f>
        <v>0.26096797184396925</v>
      </c>
      <c r="J176" s="27">
        <f>VLOOKUP(CurrentMtgRatesDataTable825[[#This Row],[asOfDate]],AC:AD,2,0)</f>
        <v>0.27758425345188897</v>
      </c>
      <c r="K176" s="27">
        <f>VLOOKUP(CurrentMtgRatesDataTable825[[#This Row],[asOfDate]],temp_1,2,0)</f>
        <v>0.41100158272746001</v>
      </c>
      <c r="M176" s="24">
        <v>41760</v>
      </c>
      <c r="N176" s="26">
        <v>0.38059841454921201</v>
      </c>
      <c r="O176" s="26">
        <f ca="1">VLOOKUP(CurrentMtgRatesDataTable8256[[#This Row],[asOfDate]]+1,Bloomberg!B:C,2,0)</f>
        <v>1323.9</v>
      </c>
      <c r="Q176" s="24">
        <v>41760</v>
      </c>
      <c r="R176" s="26">
        <v>0.28231972736522121</v>
      </c>
      <c r="T176" s="24">
        <v>41760</v>
      </c>
      <c r="U176" s="27">
        <v>0.28069096324496473</v>
      </c>
      <c r="W176" s="56">
        <v>41760</v>
      </c>
      <c r="X176" s="57">
        <v>0.26096797184396925</v>
      </c>
      <c r="Z176" s="1">
        <v>41760</v>
      </c>
      <c r="AA176">
        <v>0.265739765141083</v>
      </c>
      <c r="AC176" s="1">
        <v>41760</v>
      </c>
      <c r="AD176">
        <v>0.27758425345188897</v>
      </c>
      <c r="AF176" s="1">
        <v>41760</v>
      </c>
      <c r="AG176">
        <v>0.41100158272746001</v>
      </c>
    </row>
    <row r="177" spans="2:33">
      <c r="B177" s="24">
        <v>41767</v>
      </c>
      <c r="C177" s="27">
        <v>0.40975674753773905</v>
      </c>
      <c r="D177" s="27">
        <v>0.4177195327389831</v>
      </c>
      <c r="E177" s="6">
        <f ca="1">VLOOKUP(CurrentMtgRatesDataTable825[[#This Row],[asOfDate]]+1,Bloomberg!B:C,2,0)</f>
        <v>1400.9</v>
      </c>
      <c r="F177" s="27">
        <f>VLOOKUP(CurrentMtgRatesDataTable825[[#This Row],[asOfDate]],CurrentMtgRatesDataTable8256[#All],2,0)</f>
        <v>0.43450609291099734</v>
      </c>
      <c r="G177" s="27">
        <f>VLOOKUP(CurrentMtgRatesDataTable825[[#This Row],[asOfDate]],CurrentMtgRatesDataTable82562[],2,0)</f>
        <v>0.33562728951290161</v>
      </c>
      <c r="H177" s="27">
        <f>VLOOKUP(CurrentMtgRatesDataTable825[[#This Row],[asOfDate]],T:U,2,0)</f>
        <v>0.33387849823041243</v>
      </c>
      <c r="I177" s="58">
        <f>VLOOKUP(CurrentMtgRatesDataTable825[[#This Row],[asOfDate]],CurrentMtgRatesDataTable825623[#All],2,0)</f>
        <v>0.30889383306981971</v>
      </c>
      <c r="J177" s="27">
        <f>VLOOKUP(CurrentMtgRatesDataTable825[[#This Row],[asOfDate]],AC:AD,2,0)</f>
        <v>0.32550344763156402</v>
      </c>
      <c r="K177" s="27">
        <f>VLOOKUP(CurrentMtgRatesDataTable825[[#This Row],[asOfDate]],temp_1,2,0)</f>
        <v>0.45457812646171702</v>
      </c>
      <c r="M177" s="24">
        <v>41767</v>
      </c>
      <c r="N177" s="26">
        <v>0.43450609291099734</v>
      </c>
      <c r="O177" s="26">
        <f ca="1">VLOOKUP(CurrentMtgRatesDataTable8256[[#This Row],[asOfDate]]+1,Bloomberg!B:C,2,0)</f>
        <v>1400.9</v>
      </c>
      <c r="Q177" s="24">
        <v>41767</v>
      </c>
      <c r="R177" s="26">
        <v>0.33562728951290161</v>
      </c>
      <c r="T177" s="24">
        <v>41767</v>
      </c>
      <c r="U177" s="27">
        <v>0.33387849823041243</v>
      </c>
      <c r="W177" s="56">
        <v>41767</v>
      </c>
      <c r="X177" s="57">
        <v>0.30889383306981971</v>
      </c>
      <c r="Z177" s="1">
        <v>41767</v>
      </c>
      <c r="AA177">
        <v>0.313610826062592</v>
      </c>
      <c r="AC177" s="1">
        <v>41767</v>
      </c>
      <c r="AD177">
        <v>0.32550344763156402</v>
      </c>
      <c r="AF177" s="1">
        <v>41767</v>
      </c>
      <c r="AG177">
        <v>0.45457812646171702</v>
      </c>
    </row>
    <row r="178" spans="2:33">
      <c r="B178" s="24">
        <v>41774</v>
      </c>
      <c r="C178" s="27">
        <v>0.4132153406951769</v>
      </c>
      <c r="D178" s="27">
        <v>0.4285818825724782</v>
      </c>
      <c r="E178" s="6">
        <f ca="1">VLOOKUP(CurrentMtgRatesDataTable825[[#This Row],[asOfDate]]+1,Bloomberg!B:C,2,0)</f>
        <v>1460.6</v>
      </c>
      <c r="F178" s="27">
        <f>VLOOKUP(CurrentMtgRatesDataTable825[[#This Row],[asOfDate]],CurrentMtgRatesDataTable8256[#All],2,0)</f>
        <v>0.43452030184865936</v>
      </c>
      <c r="G178" s="27">
        <f>VLOOKUP(CurrentMtgRatesDataTable825[[#This Row],[asOfDate]],CurrentMtgRatesDataTable82562[],2,0)</f>
        <v>0.33564994150270799</v>
      </c>
      <c r="H178" s="27">
        <f>VLOOKUP(CurrentMtgRatesDataTable825[[#This Row],[asOfDate]],T:U,2,0)</f>
        <v>0.33390062435369622</v>
      </c>
      <c r="I178" s="58">
        <f>VLOOKUP(CurrentMtgRatesDataTable825[[#This Row],[asOfDate]],CurrentMtgRatesDataTable825623[#All],2,0)</f>
        <v>0.30891479778446918</v>
      </c>
      <c r="J178" s="27">
        <f>VLOOKUP(CurrentMtgRatesDataTable825[[#This Row],[asOfDate]],AC:AD,2,0)</f>
        <v>0.32552411046597202</v>
      </c>
      <c r="K178" s="27">
        <f>VLOOKUP(CurrentMtgRatesDataTable825[[#This Row],[asOfDate]],temp_1,2,0)</f>
        <v>0.45459535037724502</v>
      </c>
      <c r="M178" s="24">
        <v>41774</v>
      </c>
      <c r="N178" s="26">
        <v>0.43452030184865936</v>
      </c>
      <c r="O178" s="26">
        <f ca="1">VLOOKUP(CurrentMtgRatesDataTable8256[[#This Row],[asOfDate]]+1,Bloomberg!B:C,2,0)</f>
        <v>1460.6</v>
      </c>
      <c r="Q178" s="24">
        <v>41774</v>
      </c>
      <c r="R178" s="26">
        <v>0.33564994150270799</v>
      </c>
      <c r="T178" s="24">
        <v>41774</v>
      </c>
      <c r="U178" s="27">
        <v>0.33390062435369622</v>
      </c>
      <c r="W178" s="56">
        <v>41774</v>
      </c>
      <c r="X178" s="57">
        <v>0.30891479778446918</v>
      </c>
      <c r="Z178" s="1">
        <v>41774</v>
      </c>
      <c r="AA178">
        <v>0.31367479572658302</v>
      </c>
      <c r="AC178" s="1">
        <v>41774</v>
      </c>
      <c r="AD178">
        <v>0.32552411046597202</v>
      </c>
      <c r="AF178" s="1">
        <v>41774</v>
      </c>
      <c r="AG178">
        <v>0.45459535037724502</v>
      </c>
    </row>
    <row r="179" spans="2:33">
      <c r="B179" s="24">
        <v>41781</v>
      </c>
      <c r="C179" s="27">
        <v>0.44799454346559853</v>
      </c>
      <c r="D179" s="27">
        <v>0.47209485247367544</v>
      </c>
      <c r="E179" s="6">
        <f ca="1">VLOOKUP(CurrentMtgRatesDataTable825[[#This Row],[asOfDate]]+1,Bloomberg!B:C,2,0)</f>
        <v>1453.4</v>
      </c>
      <c r="F179" s="27">
        <f>VLOOKUP(CurrentMtgRatesDataTable825[[#This Row],[asOfDate]],CurrentMtgRatesDataTable8256[#All],2,0)</f>
        <v>0.43535189728112444</v>
      </c>
      <c r="G179" s="27">
        <f>VLOOKUP(CurrentMtgRatesDataTable825[[#This Row],[asOfDate]],CurrentMtgRatesDataTable82562[],2,0)</f>
        <v>0.35800907395487891</v>
      </c>
      <c r="H179" s="27">
        <f>VLOOKUP(CurrentMtgRatesDataTable825[[#This Row],[asOfDate]],T:U,2,0)</f>
        <v>0.35622497076114035</v>
      </c>
      <c r="I179" s="58">
        <f>VLOOKUP(CurrentMtgRatesDataTable825[[#This Row],[asOfDate]],CurrentMtgRatesDataTable825623[#All],2,0)</f>
        <v>0.33114270527414602</v>
      </c>
      <c r="J179" s="27">
        <f>VLOOKUP(CurrentMtgRatesDataTable825[[#This Row],[asOfDate]],AC:AD,2,0)</f>
        <v>0.347488455871724</v>
      </c>
      <c r="K179" s="27">
        <f>VLOOKUP(CurrentMtgRatesDataTable825[[#This Row],[asOfDate]],temp_1,2,0)</f>
        <v>0.47441483161345099</v>
      </c>
      <c r="M179" s="24">
        <v>41781</v>
      </c>
      <c r="N179" s="26">
        <v>0.43535189728112444</v>
      </c>
      <c r="O179" s="26">
        <f ca="1">VLOOKUP(CurrentMtgRatesDataTable8256[[#This Row],[asOfDate]]+1,Bloomberg!B:C,2,0)</f>
        <v>1453.4</v>
      </c>
      <c r="Q179" s="24">
        <v>41781</v>
      </c>
      <c r="R179" s="26">
        <v>0.35800907395487891</v>
      </c>
      <c r="T179" s="24">
        <v>41781</v>
      </c>
      <c r="U179" s="27">
        <v>0.35622497076114035</v>
      </c>
      <c r="W179" s="56">
        <v>41781</v>
      </c>
      <c r="X179" s="57">
        <v>0.33114270527414602</v>
      </c>
      <c r="Z179" s="1">
        <v>41781</v>
      </c>
      <c r="AA179">
        <v>0.33579532790854399</v>
      </c>
      <c r="AC179" s="1">
        <v>41781</v>
      </c>
      <c r="AD179">
        <v>0.347488455871724</v>
      </c>
      <c r="AF179" s="1">
        <v>41781</v>
      </c>
      <c r="AG179">
        <v>0.47441483161345099</v>
      </c>
    </row>
    <row r="180" spans="2:33">
      <c r="B180" s="24">
        <v>41788</v>
      </c>
      <c r="C180" s="27">
        <v>0.46362020494951672</v>
      </c>
      <c r="D180" s="27">
        <v>0.47209485247367544</v>
      </c>
      <c r="E180" s="6">
        <f ca="1">VLOOKUP(CurrentMtgRatesDataTable825[[#This Row],[asOfDate]]+1,Bloomberg!B:C,2,0)</f>
        <v>1382.6</v>
      </c>
      <c r="F180" s="27">
        <f>VLOOKUP(CurrentMtgRatesDataTable825[[#This Row],[asOfDate]],CurrentMtgRatesDataTable8256[#All],2,0)</f>
        <v>0.43540610404364999</v>
      </c>
      <c r="G180" s="27">
        <f>VLOOKUP(CurrentMtgRatesDataTable825[[#This Row],[asOfDate]],CurrentMtgRatesDataTable82562[],2,0)</f>
        <v>0.35811856180138385</v>
      </c>
      <c r="H180" s="27">
        <f>VLOOKUP(CurrentMtgRatesDataTable825[[#This Row],[asOfDate]],T:U,2,0)</f>
        <v>0.35633423706395456</v>
      </c>
      <c r="I180" s="58">
        <f>VLOOKUP(CurrentMtgRatesDataTable825[[#This Row],[asOfDate]],CurrentMtgRatesDataTable825623[#All],2,0)</f>
        <v>0.33194076989098714</v>
      </c>
      <c r="J180" s="27">
        <f>VLOOKUP(CurrentMtgRatesDataTable825[[#This Row],[asOfDate]],AC:AD,2,0)</f>
        <v>0.34818390220270101</v>
      </c>
      <c r="K180" s="27">
        <f>VLOOKUP(CurrentMtgRatesDataTable825[[#This Row],[asOfDate]],temp_1,2,0)</f>
        <v>0.47487286011146401</v>
      </c>
      <c r="M180" s="24">
        <v>41788</v>
      </c>
      <c r="N180" s="26">
        <v>0.43540610404364999</v>
      </c>
      <c r="O180" s="26">
        <f ca="1">VLOOKUP(CurrentMtgRatesDataTable8256[[#This Row],[asOfDate]]+1,Bloomberg!B:C,2,0)</f>
        <v>1382.6</v>
      </c>
      <c r="Q180" s="24">
        <v>41788</v>
      </c>
      <c r="R180" s="26">
        <v>0.35811856180138385</v>
      </c>
      <c r="T180" s="24">
        <v>41788</v>
      </c>
      <c r="U180" s="27">
        <v>0.35633423706395456</v>
      </c>
      <c r="W180" s="56">
        <v>41788</v>
      </c>
      <c r="X180" s="57">
        <v>0.33194076989098714</v>
      </c>
      <c r="Z180" s="1">
        <v>41788</v>
      </c>
      <c r="AA180">
        <v>0.33662059981869802</v>
      </c>
      <c r="AC180" s="1">
        <v>41788</v>
      </c>
      <c r="AD180">
        <v>0.34818390220270101</v>
      </c>
      <c r="AF180" s="1">
        <v>41788</v>
      </c>
      <c r="AG180">
        <v>0.47487286011146401</v>
      </c>
    </row>
    <row r="181" spans="2:33">
      <c r="B181" s="24">
        <v>41795</v>
      </c>
      <c r="C181" s="27">
        <v>0.46847875373528863</v>
      </c>
      <c r="D181" s="27">
        <v>0.48826900818732566</v>
      </c>
      <c r="E181" s="6">
        <f ca="1">VLOOKUP(CurrentMtgRatesDataTable825[[#This Row],[asOfDate]]+1,Bloomberg!B:C,2,0)</f>
        <v>1516.9</v>
      </c>
      <c r="F181" s="27">
        <f>VLOOKUP(CurrentMtgRatesDataTable825[[#This Row],[asOfDate]],CurrentMtgRatesDataTable8256[#All],2,0)</f>
        <v>0.43456496283175705</v>
      </c>
      <c r="G181" s="27">
        <f>VLOOKUP(CurrentMtgRatesDataTable825[[#This Row],[asOfDate]],CurrentMtgRatesDataTable82562[],2,0)</f>
        <v>0.35629539343759348</v>
      </c>
      <c r="H181" s="27">
        <f>VLOOKUP(CurrentMtgRatesDataTable825[[#This Row],[asOfDate]],T:U,2,0)</f>
        <v>0.35489250561464825</v>
      </c>
      <c r="I181" s="58">
        <f>VLOOKUP(CurrentMtgRatesDataTable825[[#This Row],[asOfDate]],CurrentMtgRatesDataTable825623[#All],2,0)</f>
        <v>0.33192034731196002</v>
      </c>
      <c r="J181" s="27">
        <f>VLOOKUP(CurrentMtgRatesDataTable825[[#This Row],[asOfDate]],AC:AD,2,0)</f>
        <v>0.346238128399389</v>
      </c>
      <c r="K181" s="27">
        <f>VLOOKUP(CurrentMtgRatesDataTable825[[#This Row],[asOfDate]],temp_1,2,0)</f>
        <v>0.475595859590284</v>
      </c>
      <c r="M181" s="24">
        <v>41795</v>
      </c>
      <c r="N181" s="26">
        <v>0.43456496283175705</v>
      </c>
      <c r="O181" s="26">
        <f ca="1">VLOOKUP(CurrentMtgRatesDataTable8256[[#This Row],[asOfDate]]+1,Bloomberg!B:C,2,0)</f>
        <v>1516.9</v>
      </c>
      <c r="Q181" s="24">
        <v>41795</v>
      </c>
      <c r="R181" s="26">
        <v>0.35629539343759348</v>
      </c>
      <c r="T181" s="24">
        <v>41795</v>
      </c>
      <c r="U181" s="27">
        <v>0.35489250561464825</v>
      </c>
      <c r="W181" s="56">
        <v>41795</v>
      </c>
      <c r="X181" s="57">
        <v>0.33192034731196002</v>
      </c>
      <c r="Z181" s="1">
        <v>41795</v>
      </c>
      <c r="AA181">
        <v>0.33599328622587599</v>
      </c>
      <c r="AC181" s="1">
        <v>41795</v>
      </c>
      <c r="AD181">
        <v>0.346238128399389</v>
      </c>
      <c r="AF181" s="1">
        <v>41795</v>
      </c>
      <c r="AG181">
        <v>0.475595859590284</v>
      </c>
    </row>
    <row r="182" spans="2:33">
      <c r="B182" s="24">
        <v>41802</v>
      </c>
      <c r="C182" s="27">
        <v>0.41096738430920449</v>
      </c>
      <c r="D182" s="27">
        <v>0.42483689780598433</v>
      </c>
      <c r="E182" s="6">
        <f ca="1">VLOOKUP(CurrentMtgRatesDataTable825[[#This Row],[asOfDate]]+1,Bloomberg!B:C,2,0)</f>
        <v>1321.3</v>
      </c>
      <c r="F182" s="27">
        <f>VLOOKUP(CurrentMtgRatesDataTable825[[#This Row],[asOfDate]],CurrentMtgRatesDataTable8256[#All],2,0)</f>
        <v>0.43354196734760481</v>
      </c>
      <c r="G182" s="27">
        <f>VLOOKUP(CurrentMtgRatesDataTable825[[#This Row],[asOfDate]],CurrentMtgRatesDataTable82562[],2,0)</f>
        <v>0.33276240912323568</v>
      </c>
      <c r="H182" s="27">
        <f>VLOOKUP(CurrentMtgRatesDataTable825[[#This Row],[asOfDate]],T:U,2,0)</f>
        <v>0.33139268056260768</v>
      </c>
      <c r="I182" s="58">
        <f>VLOOKUP(CurrentMtgRatesDataTable825[[#This Row],[asOfDate]],CurrentMtgRatesDataTable825623[#All],2,0)</f>
        <v>0.30807676123988897</v>
      </c>
      <c r="J182" s="27">
        <f>VLOOKUP(CurrentMtgRatesDataTable825[[#This Row],[asOfDate]],AC:AD,2,0)</f>
        <v>0.32274759646781798</v>
      </c>
      <c r="K182" s="27">
        <f>VLOOKUP(CurrentMtgRatesDataTable825[[#This Row],[asOfDate]],temp_1,2,0)</f>
        <v>0.45449098513744102</v>
      </c>
      <c r="M182" s="24">
        <v>41802</v>
      </c>
      <c r="N182" s="26">
        <v>0.43354196734760481</v>
      </c>
      <c r="O182" s="26">
        <f ca="1">VLOOKUP(CurrentMtgRatesDataTable8256[[#This Row],[asOfDate]]+1,Bloomberg!B:C,2,0)</f>
        <v>1321.3</v>
      </c>
      <c r="Q182" s="24">
        <v>41802</v>
      </c>
      <c r="R182" s="26">
        <v>0.33276240912323568</v>
      </c>
      <c r="T182" s="24">
        <v>41802</v>
      </c>
      <c r="U182" s="27">
        <v>0.33139268056260768</v>
      </c>
      <c r="W182" s="56">
        <v>41802</v>
      </c>
      <c r="X182" s="57">
        <v>0.30807676123988897</v>
      </c>
      <c r="Z182" s="1">
        <v>41802</v>
      </c>
      <c r="AA182">
        <v>0.312241036233324</v>
      </c>
      <c r="AC182" s="1">
        <v>41802</v>
      </c>
      <c r="AD182">
        <v>0.32274759646781798</v>
      </c>
      <c r="AF182" s="1">
        <v>41802</v>
      </c>
      <c r="AG182">
        <v>0.45449098513744102</v>
      </c>
    </row>
    <row r="183" spans="2:33">
      <c r="B183" s="24">
        <v>41809</v>
      </c>
      <c r="C183" s="27">
        <v>0.42635938692148717</v>
      </c>
      <c r="D183" s="27">
        <v>0.46330444951825156</v>
      </c>
      <c r="E183" s="6">
        <f ca="1">VLOOKUP(CurrentMtgRatesDataTable825[[#This Row],[asOfDate]]+1,Bloomberg!B:C,2,0)</f>
        <v>1333.5</v>
      </c>
      <c r="F183" s="27">
        <f>VLOOKUP(CurrentMtgRatesDataTable825[[#This Row],[asOfDate]],CurrentMtgRatesDataTable8256[#All],2,0)</f>
        <v>0.43404253553300182</v>
      </c>
      <c r="G183" s="27">
        <f>VLOOKUP(CurrentMtgRatesDataTable825[[#This Row],[asOfDate]],CurrentMtgRatesDataTable82562[],2,0)</f>
        <v>0.33298320890646194</v>
      </c>
      <c r="H183" s="27">
        <f>VLOOKUP(CurrentMtgRatesDataTable825[[#This Row],[asOfDate]],T:U,2,0)</f>
        <v>0.33161272059622571</v>
      </c>
      <c r="I183" s="58">
        <f>VLOOKUP(CurrentMtgRatesDataTable825[[#This Row],[asOfDate]],CurrentMtgRatesDataTable825623[#All],2,0)</f>
        <v>0.30971242843576313</v>
      </c>
      <c r="J183" s="27">
        <f>VLOOKUP(CurrentMtgRatesDataTable825[[#This Row],[asOfDate]],AC:AD,2,0)</f>
        <v>0.324184407069465</v>
      </c>
      <c r="K183" s="27">
        <f>VLOOKUP(CurrentMtgRatesDataTable825[[#This Row],[asOfDate]],temp_1,2,0)</f>
        <v>0.45535981677361198</v>
      </c>
      <c r="M183" s="24">
        <v>41809</v>
      </c>
      <c r="N183" s="26">
        <v>0.43404253553300182</v>
      </c>
      <c r="O183" s="26">
        <f ca="1">VLOOKUP(CurrentMtgRatesDataTable8256[[#This Row],[asOfDate]]+1,Bloomberg!B:C,2,0)</f>
        <v>1333.5</v>
      </c>
      <c r="Q183" s="24">
        <v>41809</v>
      </c>
      <c r="R183" s="26">
        <v>0.33298320890646194</v>
      </c>
      <c r="T183" s="24">
        <v>41809</v>
      </c>
      <c r="U183" s="27">
        <v>0.33161272059622571</v>
      </c>
      <c r="W183" s="56">
        <v>41809</v>
      </c>
      <c r="X183" s="57">
        <v>0.30971242843576313</v>
      </c>
      <c r="Z183" s="1">
        <v>41809</v>
      </c>
      <c r="AA183">
        <v>0.31387857551491599</v>
      </c>
      <c r="AC183" s="1">
        <v>41809</v>
      </c>
      <c r="AD183">
        <v>0.324184407069465</v>
      </c>
      <c r="AF183" s="1">
        <v>41809</v>
      </c>
      <c r="AG183">
        <v>0.45535981677361198</v>
      </c>
    </row>
    <row r="184" spans="2:33">
      <c r="B184" s="24">
        <v>41816</v>
      </c>
      <c r="C184" s="27">
        <v>0.46847875373528863</v>
      </c>
      <c r="D184" s="27">
        <v>0.48826900818732566</v>
      </c>
      <c r="E184" s="6">
        <f ca="1">VLOOKUP(CurrentMtgRatesDataTable825[[#This Row],[asOfDate]]+1,Bloomberg!B:C,2,0)</f>
        <v>1341.8</v>
      </c>
      <c r="F184" s="27">
        <f>VLOOKUP(CurrentMtgRatesDataTable825[[#This Row],[asOfDate]],CurrentMtgRatesDataTable8256[#All],2,0)</f>
        <v>0.43456496283175705</v>
      </c>
      <c r="G184" s="27">
        <f>VLOOKUP(CurrentMtgRatesDataTable825[[#This Row],[asOfDate]],CurrentMtgRatesDataTable82562[],2,0)</f>
        <v>0.35629539343759348</v>
      </c>
      <c r="H184" s="27">
        <f>VLOOKUP(CurrentMtgRatesDataTable825[[#This Row],[asOfDate]],T:U,2,0)</f>
        <v>0.35489250561464825</v>
      </c>
      <c r="I184" s="58">
        <f>VLOOKUP(CurrentMtgRatesDataTable825[[#This Row],[asOfDate]],CurrentMtgRatesDataTable825623[#All],2,0)</f>
        <v>0.33192034731196002</v>
      </c>
      <c r="J184" s="27">
        <f>VLOOKUP(CurrentMtgRatesDataTable825[[#This Row],[asOfDate]],AC:AD,2,0)</f>
        <v>0.346238128399389</v>
      </c>
      <c r="K184" s="27">
        <f>VLOOKUP(CurrentMtgRatesDataTable825[[#This Row],[asOfDate]],temp_1,2,0)</f>
        <v>0.475595859590284</v>
      </c>
      <c r="M184" s="24">
        <v>41816</v>
      </c>
      <c r="N184" s="26">
        <v>0.43456496283175705</v>
      </c>
      <c r="O184" s="26">
        <f ca="1">VLOOKUP(CurrentMtgRatesDataTable8256[[#This Row],[asOfDate]]+1,Bloomberg!B:C,2,0)</f>
        <v>1341.8</v>
      </c>
      <c r="Q184" s="24">
        <v>41816</v>
      </c>
      <c r="R184" s="26">
        <v>0.35629539343759348</v>
      </c>
      <c r="T184" s="24">
        <v>41816</v>
      </c>
      <c r="U184" s="27">
        <v>0.35489250561464825</v>
      </c>
      <c r="W184" s="56">
        <v>41816</v>
      </c>
      <c r="X184" s="57">
        <v>0.33192034731196002</v>
      </c>
      <c r="Z184" s="1">
        <v>41816</v>
      </c>
      <c r="AA184">
        <v>0.33599328622587599</v>
      </c>
      <c r="AC184" s="1">
        <v>41816</v>
      </c>
      <c r="AD184">
        <v>0.346238128399389</v>
      </c>
      <c r="AF184" s="1">
        <v>41816</v>
      </c>
      <c r="AG184">
        <v>0.475595859590284</v>
      </c>
    </row>
    <row r="185" spans="2:33">
      <c r="B185" s="24">
        <v>41823</v>
      </c>
      <c r="C185" s="27">
        <v>0.48178321750260522</v>
      </c>
      <c r="D185" s="27">
        <v>0.49448613562379851</v>
      </c>
      <c r="E185" s="6">
        <f ca="1">VLOOKUP(CurrentMtgRatesDataTable825[[#This Row],[asOfDate]]+1,Bloomberg!B:C,2,0)</f>
        <v>1346.8</v>
      </c>
      <c r="F185" s="27">
        <f>VLOOKUP(CurrentMtgRatesDataTable825[[#This Row],[asOfDate]],CurrentMtgRatesDataTable8256[#All],2,0)</f>
        <v>0.49845248288256383</v>
      </c>
      <c r="G185" s="27">
        <f>VLOOKUP(CurrentMtgRatesDataTable825[[#This Row],[asOfDate]],CurrentMtgRatesDataTable82562[],2,0)</f>
        <v>0.38510975967739758</v>
      </c>
      <c r="H185" s="27">
        <f>VLOOKUP(CurrentMtgRatesDataTable825[[#This Row],[asOfDate]],T:U,2,0)</f>
        <v>0.38369257635845216</v>
      </c>
      <c r="I185" s="58">
        <f>VLOOKUP(CurrentMtgRatesDataTable825[[#This Row],[asOfDate]],CurrentMtgRatesDataTable825623[#All],2,0)</f>
        <v>0.3526251649505287</v>
      </c>
      <c r="J185" s="27">
        <f>VLOOKUP(CurrentMtgRatesDataTable825[[#This Row],[asOfDate]],AC:AD,2,0)</f>
        <v>0.36578907876503403</v>
      </c>
      <c r="K185" s="27">
        <f>VLOOKUP(CurrentMtgRatesDataTable825[[#This Row],[asOfDate]],temp_1,2,0)</f>
        <v>0.49785164828491202</v>
      </c>
      <c r="M185" s="24">
        <v>41823</v>
      </c>
      <c r="N185" s="26">
        <v>0.49845248288256383</v>
      </c>
      <c r="O185" s="26">
        <f ca="1">VLOOKUP(CurrentMtgRatesDataTable8256[[#This Row],[asOfDate]]+1,Bloomberg!B:C,2,0)</f>
        <v>1346.8</v>
      </c>
      <c r="Q185" s="24">
        <v>41823</v>
      </c>
      <c r="R185" s="26">
        <v>0.38510975967739758</v>
      </c>
      <c r="T185" s="24">
        <v>41823</v>
      </c>
      <c r="U185" s="27">
        <v>0.38369257635845216</v>
      </c>
      <c r="W185" s="56">
        <v>41823</v>
      </c>
      <c r="X185" s="57">
        <v>0.3526251649505287</v>
      </c>
      <c r="Z185" s="1">
        <v>41823</v>
      </c>
      <c r="AA185">
        <v>0.35615918282475401</v>
      </c>
      <c r="AC185" s="1">
        <v>41823</v>
      </c>
      <c r="AD185">
        <v>0.36578907876503403</v>
      </c>
      <c r="AF185" s="1">
        <v>41823</v>
      </c>
      <c r="AG185">
        <v>0.49785164828491202</v>
      </c>
    </row>
    <row r="186" spans="2:33">
      <c r="B186" s="24">
        <v>41830</v>
      </c>
      <c r="C186" s="27">
        <v>0.42147742037560049</v>
      </c>
      <c r="D186" s="27">
        <v>0.45837254417463458</v>
      </c>
      <c r="E186" s="6">
        <f ca="1">VLOOKUP(CurrentMtgRatesDataTable825[[#This Row],[asOfDate]]+1,Bloomberg!B:C,2,0)</f>
        <v>1329.7</v>
      </c>
      <c r="F186" s="27">
        <f>VLOOKUP(CurrentMtgRatesDataTable825[[#This Row],[asOfDate]],CurrentMtgRatesDataTable8256[#All],2,0)</f>
        <v>0.43035217131462522</v>
      </c>
      <c r="G186" s="27">
        <f>VLOOKUP(CurrentMtgRatesDataTable825[[#This Row],[asOfDate]],CurrentMtgRatesDataTable82562[],2,0)</f>
        <v>0.32741444023701044</v>
      </c>
      <c r="H186" s="27">
        <f>VLOOKUP(CurrentMtgRatesDataTable825[[#This Row],[asOfDate]],T:U,2,0)</f>
        <v>0.32616027597080055</v>
      </c>
      <c r="I186" s="58">
        <f>VLOOKUP(CurrentMtgRatesDataTable825[[#This Row],[asOfDate]],CurrentMtgRatesDataTable825623[#All],2,0)</f>
        <v>0.30448503707734181</v>
      </c>
      <c r="J186" s="27">
        <f>VLOOKUP(CurrentMtgRatesDataTable825[[#This Row],[asOfDate]],AC:AD,2,0)</f>
        <v>0.31805600486192798</v>
      </c>
      <c r="K186" s="27">
        <f>VLOOKUP(CurrentMtgRatesDataTable825[[#This Row],[asOfDate]],temp_1,2,0)</f>
        <v>0.45313476995693502</v>
      </c>
      <c r="M186" s="24">
        <v>41830</v>
      </c>
      <c r="N186" s="26">
        <v>0.43035217131462522</v>
      </c>
      <c r="O186" s="26">
        <f ca="1">VLOOKUP(CurrentMtgRatesDataTable8256[[#This Row],[asOfDate]]+1,Bloomberg!B:C,2,0)</f>
        <v>1329.7</v>
      </c>
      <c r="Q186" s="24">
        <v>41830</v>
      </c>
      <c r="R186" s="26">
        <v>0.32741444023701044</v>
      </c>
      <c r="T186" s="24">
        <v>41830</v>
      </c>
      <c r="U186" s="27">
        <v>0.32616027597080055</v>
      </c>
      <c r="W186" s="56">
        <v>41830</v>
      </c>
      <c r="X186" s="57">
        <v>0.30448503707734181</v>
      </c>
      <c r="Z186" s="1">
        <v>41830</v>
      </c>
      <c r="AA186">
        <v>0.30839598693416398</v>
      </c>
      <c r="AC186" s="1">
        <v>41830</v>
      </c>
      <c r="AD186">
        <v>0.31805600486192798</v>
      </c>
      <c r="AF186" s="1">
        <v>41830</v>
      </c>
      <c r="AG186">
        <v>0.45313476995693502</v>
      </c>
    </row>
    <row r="187" spans="2:33">
      <c r="B187" s="24">
        <v>41837</v>
      </c>
      <c r="C187" s="27">
        <v>0.45155296827836544</v>
      </c>
      <c r="D187" s="27">
        <v>0.47157959219647871</v>
      </c>
      <c r="E187" s="6">
        <f ca="1">VLOOKUP(CurrentMtgRatesDataTable825[[#This Row],[asOfDate]]+1,Bloomberg!B:C,2,0)</f>
        <v>1400.7</v>
      </c>
      <c r="F187" s="27">
        <f>VLOOKUP(CurrentMtgRatesDataTable825[[#This Row],[asOfDate]],CurrentMtgRatesDataTable8256[#All],2,0)</f>
        <v>0.43087417454638577</v>
      </c>
      <c r="G187" s="27">
        <f>VLOOKUP(CurrentMtgRatesDataTable825[[#This Row],[asOfDate]],CurrentMtgRatesDataTable82562[],2,0)</f>
        <v>0.35110266556174058</v>
      </c>
      <c r="H187" s="27">
        <f>VLOOKUP(CurrentMtgRatesDataTable825[[#This Row],[asOfDate]],T:U,2,0)</f>
        <v>0.34980501428845279</v>
      </c>
      <c r="I187" s="58">
        <f>VLOOKUP(CurrentMtgRatesDataTable825[[#This Row],[asOfDate]],CurrentMtgRatesDataTable825623[#All],2,0)</f>
        <v>0.32660064596161226</v>
      </c>
      <c r="J187" s="27">
        <f>VLOOKUP(CurrentMtgRatesDataTable825[[#This Row],[asOfDate]],AC:AD,2,0)</f>
        <v>0.34009498441958502</v>
      </c>
      <c r="K187" s="27">
        <f>VLOOKUP(CurrentMtgRatesDataTable825[[#This Row],[asOfDate]],temp_1,2,0)</f>
        <v>0.47345524330482502</v>
      </c>
      <c r="M187" s="24">
        <v>41837</v>
      </c>
      <c r="N187" s="26">
        <v>0.43087417454638577</v>
      </c>
      <c r="O187" s="26">
        <f ca="1">VLOOKUP(CurrentMtgRatesDataTable8256[[#This Row],[asOfDate]]+1,Bloomberg!B:C,2,0)</f>
        <v>1400.7</v>
      </c>
      <c r="Q187" s="24">
        <v>41837</v>
      </c>
      <c r="R187" s="26">
        <v>0.35110266556174058</v>
      </c>
      <c r="T187" s="24">
        <v>41837</v>
      </c>
      <c r="U187" s="27">
        <v>0.34980501428845279</v>
      </c>
      <c r="W187" s="56">
        <v>41837</v>
      </c>
      <c r="X187" s="57">
        <v>0.32660064596161226</v>
      </c>
      <c r="Z187" s="1">
        <v>41837</v>
      </c>
      <c r="AA187">
        <v>0.330444059633481</v>
      </c>
      <c r="AC187" s="1">
        <v>41837</v>
      </c>
      <c r="AD187">
        <v>0.34009498441958502</v>
      </c>
      <c r="AF187" s="1">
        <v>41837</v>
      </c>
      <c r="AG187">
        <v>0.47345524330482502</v>
      </c>
    </row>
    <row r="188" spans="2:33">
      <c r="B188" s="24">
        <v>41844</v>
      </c>
      <c r="C188" s="27">
        <v>0.45155296827836544</v>
      </c>
      <c r="D188" s="27">
        <v>0.47157959219647871</v>
      </c>
      <c r="E188" s="6">
        <f ca="1">VLOOKUP(CurrentMtgRatesDataTable825[[#This Row],[asOfDate]]+1,Bloomberg!B:C,2,0)</f>
        <v>1327.5</v>
      </c>
      <c r="F188" s="27">
        <f>VLOOKUP(CurrentMtgRatesDataTable825[[#This Row],[asOfDate]],CurrentMtgRatesDataTable8256[#All],2,0)</f>
        <v>0.43087417454638577</v>
      </c>
      <c r="G188" s="27">
        <f>VLOOKUP(CurrentMtgRatesDataTable825[[#This Row],[asOfDate]],CurrentMtgRatesDataTable82562[],2,0)</f>
        <v>0.35110266556174058</v>
      </c>
      <c r="H188" s="27">
        <f>VLOOKUP(CurrentMtgRatesDataTable825[[#This Row],[asOfDate]],T:U,2,0)</f>
        <v>0.34980501428845279</v>
      </c>
      <c r="I188" s="58">
        <f>VLOOKUP(CurrentMtgRatesDataTable825[[#This Row],[asOfDate]],CurrentMtgRatesDataTable825623[#All],2,0)</f>
        <v>0.32660064596161226</v>
      </c>
      <c r="J188" s="27">
        <f>VLOOKUP(CurrentMtgRatesDataTable825[[#This Row],[asOfDate]],AC:AD,2,0)</f>
        <v>0.34009498441958502</v>
      </c>
      <c r="K188" s="27">
        <f>VLOOKUP(CurrentMtgRatesDataTable825[[#This Row],[asOfDate]],temp_1,2,0)</f>
        <v>0.47345524330482502</v>
      </c>
      <c r="M188" s="24">
        <v>41844</v>
      </c>
      <c r="N188" s="26">
        <v>0.43087417454638577</v>
      </c>
      <c r="O188" s="26">
        <f ca="1">VLOOKUP(CurrentMtgRatesDataTable8256[[#This Row],[asOfDate]]+1,Bloomberg!B:C,2,0)</f>
        <v>1327.5</v>
      </c>
      <c r="Q188" s="24">
        <v>41844</v>
      </c>
      <c r="R188" s="26">
        <v>0.35110266556174058</v>
      </c>
      <c r="T188" s="24">
        <v>41844</v>
      </c>
      <c r="U188" s="27">
        <v>0.34980501428845279</v>
      </c>
      <c r="W188" s="56">
        <v>41844</v>
      </c>
      <c r="X188" s="57">
        <v>0.32660064596161226</v>
      </c>
      <c r="Z188" s="1">
        <v>41844</v>
      </c>
      <c r="AA188">
        <v>0.330444059633481</v>
      </c>
      <c r="AC188" s="1">
        <v>41844</v>
      </c>
      <c r="AD188">
        <v>0.34009498441958502</v>
      </c>
      <c r="AF188" s="1">
        <v>41844</v>
      </c>
      <c r="AG188">
        <v>0.47345524330482502</v>
      </c>
    </row>
    <row r="189" spans="2:33">
      <c r="B189" s="24">
        <v>41851</v>
      </c>
      <c r="C189" s="27">
        <v>0.45923072088835232</v>
      </c>
      <c r="D189" s="27">
        <v>0.47157959219647871</v>
      </c>
      <c r="E189" s="6">
        <f ca="1">VLOOKUP(CurrentMtgRatesDataTable825[[#This Row],[asOfDate]]+1,Bloomberg!B:C,2,0)</f>
        <v>1373.9</v>
      </c>
      <c r="F189" s="27">
        <f>VLOOKUP(CurrentMtgRatesDataTable825[[#This Row],[asOfDate]],CurrentMtgRatesDataTable8256[#All],2,0)</f>
        <v>0.4308956555661862</v>
      </c>
      <c r="G189" s="27">
        <f>VLOOKUP(CurrentMtgRatesDataTable825[[#This Row],[asOfDate]],CurrentMtgRatesDataTable82562[],2,0)</f>
        <v>0.35114526360131104</v>
      </c>
      <c r="H189" s="27">
        <f>VLOOKUP(CurrentMtgRatesDataTable825[[#This Row],[asOfDate]],T:U,2,0)</f>
        <v>0.34984761232802325</v>
      </c>
      <c r="I189" s="58">
        <f>VLOOKUP(CurrentMtgRatesDataTable825[[#This Row],[asOfDate]],CurrentMtgRatesDataTable825623[#All],2,0)</f>
        <v>0.32699157373577631</v>
      </c>
      <c r="J189" s="27">
        <f>VLOOKUP(CurrentMtgRatesDataTable825[[#This Row],[asOfDate]],AC:AD,2,0)</f>
        <v>0.34042369497045799</v>
      </c>
      <c r="K189" s="27">
        <f>VLOOKUP(CurrentMtgRatesDataTable825[[#This Row],[asOfDate]],temp_1,2,0)</f>
        <v>0.47367267081046699</v>
      </c>
      <c r="M189" s="24">
        <v>41851</v>
      </c>
      <c r="N189" s="26">
        <v>0.4308956555661862</v>
      </c>
      <c r="O189" s="26">
        <f ca="1">VLOOKUP(CurrentMtgRatesDataTable8256[[#This Row],[asOfDate]]+1,Bloomberg!B:C,2,0)</f>
        <v>1373.9</v>
      </c>
      <c r="Q189" s="24">
        <v>41851</v>
      </c>
      <c r="R189" s="26">
        <v>0.35114526360131104</v>
      </c>
      <c r="T189" s="24">
        <v>41851</v>
      </c>
      <c r="U189" s="27">
        <v>0.34984761232802325</v>
      </c>
      <c r="W189" s="56">
        <v>41851</v>
      </c>
      <c r="X189" s="57">
        <v>0.32699157373577631</v>
      </c>
      <c r="Z189" s="1">
        <v>41851</v>
      </c>
      <c r="AA189">
        <v>0.33081889657191998</v>
      </c>
      <c r="AC189" s="1">
        <v>41851</v>
      </c>
      <c r="AD189">
        <v>0.34042369497045799</v>
      </c>
      <c r="AF189" s="1">
        <v>41851</v>
      </c>
      <c r="AG189">
        <v>0.47367267081046699</v>
      </c>
    </row>
    <row r="190" spans="2:33">
      <c r="B190" s="24">
        <v>41858</v>
      </c>
      <c r="C190" s="27">
        <v>0.42413376349642812</v>
      </c>
      <c r="D190" s="27">
        <v>0.46314495912161646</v>
      </c>
      <c r="E190" s="6">
        <f ca="1">VLOOKUP(CurrentMtgRatesDataTable825[[#This Row],[asOfDate]]+1,Bloomberg!B:C,2,0)</f>
        <v>1342.6</v>
      </c>
      <c r="F190" s="27">
        <f>VLOOKUP(CurrentMtgRatesDataTable825[[#This Row],[asOfDate]],CurrentMtgRatesDataTable8256[#All],2,0)</f>
        <v>0.42439769838835339</v>
      </c>
      <c r="G190" s="27">
        <f>VLOOKUP(CurrentMtgRatesDataTable825[[#This Row],[asOfDate]],CurrentMtgRatesDataTable82562[],2,0)</f>
        <v>0.3199331729306169</v>
      </c>
      <c r="H190" s="27">
        <f>VLOOKUP(CurrentMtgRatesDataTable825[[#This Row],[asOfDate]],T:U,2,0)</f>
        <v>0.31880210030046374</v>
      </c>
      <c r="I190" s="58">
        <f>VLOOKUP(CurrentMtgRatesDataTable825[[#This Row],[asOfDate]],CurrentMtgRatesDataTable825623[#All],2,0)</f>
        <v>0.29774290507115825</v>
      </c>
      <c r="J190" s="27">
        <f>VLOOKUP(CurrentMtgRatesDataTable825[[#This Row],[asOfDate]],AC:AD,2,0)</f>
        <v>0.31036061365073903</v>
      </c>
      <c r="K190" s="27">
        <f>VLOOKUP(CurrentMtgRatesDataTable825[[#This Row],[asOfDate]],temp_1,2,0)</f>
        <v>0.44905662805025698</v>
      </c>
      <c r="M190" s="24">
        <v>41858</v>
      </c>
      <c r="N190" s="26">
        <v>0.42439769838835339</v>
      </c>
      <c r="O190" s="26">
        <f ca="1">VLOOKUP(CurrentMtgRatesDataTable8256[[#This Row],[asOfDate]]+1,Bloomberg!B:C,2,0)</f>
        <v>1342.6</v>
      </c>
      <c r="Q190" s="24">
        <v>41858</v>
      </c>
      <c r="R190" s="26">
        <v>0.3199331729306169</v>
      </c>
      <c r="T190" s="24">
        <v>41858</v>
      </c>
      <c r="U190" s="27">
        <v>0.31880210030046374</v>
      </c>
      <c r="W190" s="56">
        <v>41858</v>
      </c>
      <c r="X190" s="57">
        <v>0.29774290507115825</v>
      </c>
      <c r="Z190" s="1">
        <v>41858</v>
      </c>
      <c r="AA190">
        <v>0.30137279798343097</v>
      </c>
      <c r="AC190" s="1">
        <v>41858</v>
      </c>
      <c r="AD190">
        <v>0.31036061365073903</v>
      </c>
      <c r="AF190" s="1">
        <v>41858</v>
      </c>
      <c r="AG190">
        <v>0.44905662805025698</v>
      </c>
    </row>
    <row r="191" spans="2:33">
      <c r="B191" s="24">
        <v>41865</v>
      </c>
      <c r="C191" s="27">
        <v>0.45575254137027688</v>
      </c>
      <c r="D191" s="27">
        <v>0.46314495912161646</v>
      </c>
      <c r="E191" s="6">
        <f ca="1">VLOOKUP(CurrentMtgRatesDataTable825[[#This Row],[asOfDate]]+1,Bloomberg!B:C,2,0)</f>
        <v>1404.9</v>
      </c>
      <c r="F191" s="27">
        <f>VLOOKUP(CurrentMtgRatesDataTable825[[#This Row],[asOfDate]],CurrentMtgRatesDataTable8256[#All],2,0)</f>
        <v>0.42491168993334688</v>
      </c>
      <c r="G191" s="27">
        <f>VLOOKUP(CurrentMtgRatesDataTable825[[#This Row],[asOfDate]],CurrentMtgRatesDataTable82562[],2,0)</f>
        <v>0.34372390880739873</v>
      </c>
      <c r="H191" s="27">
        <f>VLOOKUP(CurrentMtgRatesDataTable825[[#This Row],[asOfDate]],T:U,2,0)</f>
        <v>0.34253304807104173</v>
      </c>
      <c r="I191" s="58">
        <f>VLOOKUP(CurrentMtgRatesDataTable825[[#This Row],[asOfDate]],CurrentMtgRatesDataTable825623[#All],2,0)</f>
        <v>0.32013236192256794</v>
      </c>
      <c r="J191" s="27">
        <f>VLOOKUP(CurrentMtgRatesDataTable825[[#This Row],[asOfDate]],AC:AD,2,0)</f>
        <v>0.33263554438079002</v>
      </c>
      <c r="K191" s="27">
        <f>VLOOKUP(CurrentMtgRatesDataTable825[[#This Row],[asOfDate]],temp_1,2,0)</f>
        <v>0.46961383574146598</v>
      </c>
      <c r="M191" s="24">
        <v>41865</v>
      </c>
      <c r="N191" s="26">
        <v>0.42491168993334688</v>
      </c>
      <c r="O191" s="26">
        <f ca="1">VLOOKUP(CurrentMtgRatesDataTable8256[[#This Row],[asOfDate]]+1,Bloomberg!B:C,2,0)</f>
        <v>1404.9</v>
      </c>
      <c r="Q191" s="24">
        <v>41865</v>
      </c>
      <c r="R191" s="26">
        <v>0.34372390880739873</v>
      </c>
      <c r="T191" s="24">
        <v>41865</v>
      </c>
      <c r="U191" s="27">
        <v>0.34253304807104173</v>
      </c>
      <c r="W191" s="56">
        <v>41865</v>
      </c>
      <c r="X191" s="57">
        <v>0.32013236192256794</v>
      </c>
      <c r="Z191" s="1">
        <v>41865</v>
      </c>
      <c r="AA191">
        <v>0.32368452853077301</v>
      </c>
      <c r="AC191" s="1">
        <v>41865</v>
      </c>
      <c r="AD191">
        <v>0.33263554438079002</v>
      </c>
      <c r="AF191" s="1">
        <v>41865</v>
      </c>
      <c r="AG191">
        <v>0.46961383574146598</v>
      </c>
    </row>
    <row r="192" spans="2:33">
      <c r="B192" s="24">
        <v>41872</v>
      </c>
      <c r="C192" s="27">
        <v>0.49084413664233395</v>
      </c>
      <c r="D192" s="27">
        <v>0.49826533757051966</v>
      </c>
      <c r="E192" s="6">
        <f ca="1">VLOOKUP(CurrentMtgRatesDataTable825[[#This Row],[asOfDate]]+1,Bloomberg!B:C,2,0)</f>
        <v>1439.4</v>
      </c>
      <c r="F192" s="27">
        <f>VLOOKUP(CurrentMtgRatesDataTable825[[#This Row],[asOfDate]],CurrentMtgRatesDataTable8256[#All],2,0)</f>
        <v>0.49522669245285544</v>
      </c>
      <c r="G192" s="27">
        <f>VLOOKUP(CurrentMtgRatesDataTable825[[#This Row],[asOfDate]],CurrentMtgRatesDataTable82562[],2,0)</f>
        <v>0.37842109522047007</v>
      </c>
      <c r="H192" s="27">
        <f>VLOOKUP(CurrentMtgRatesDataTable825[[#This Row],[asOfDate]],T:U,2,0)</f>
        <v>0.37707642116327283</v>
      </c>
      <c r="I192" s="58">
        <f>VLOOKUP(CurrentMtgRatesDataTable825[[#This Row],[asOfDate]],CurrentMtgRatesDataTable825623[#All],2,0)</f>
        <v>0.34626375886905675</v>
      </c>
      <c r="J192" s="27">
        <f>VLOOKUP(CurrentMtgRatesDataTable825[[#This Row],[asOfDate]],AC:AD,2,0)</f>
        <v>0.35838762838330102</v>
      </c>
      <c r="K192" s="27">
        <f>VLOOKUP(CurrentMtgRatesDataTable825[[#This Row],[asOfDate]],temp_1,2,0)</f>
        <v>0.49412020813719998</v>
      </c>
      <c r="M192" s="24">
        <v>41872</v>
      </c>
      <c r="N192" s="26">
        <v>0.49522669245285544</v>
      </c>
      <c r="O192" s="26">
        <f ca="1">VLOOKUP(CurrentMtgRatesDataTable8256[[#This Row],[asOfDate]]+1,Bloomberg!B:C,2,0)</f>
        <v>1439.4</v>
      </c>
      <c r="Q192" s="24">
        <v>41872</v>
      </c>
      <c r="R192" s="26">
        <v>0.37842109522047007</v>
      </c>
      <c r="T192" s="24">
        <v>41872</v>
      </c>
      <c r="U192" s="27">
        <v>0.37707642116327283</v>
      </c>
      <c r="W192" s="56">
        <v>41872</v>
      </c>
      <c r="X192" s="57">
        <v>0.34626375886905675</v>
      </c>
      <c r="Z192" s="1">
        <v>41872</v>
      </c>
      <c r="AA192">
        <v>0.34949435310913202</v>
      </c>
      <c r="AC192" s="1">
        <v>41872</v>
      </c>
      <c r="AD192">
        <v>0.35838762838330102</v>
      </c>
      <c r="AF192" s="1">
        <v>41872</v>
      </c>
      <c r="AG192">
        <v>0.49412020813719998</v>
      </c>
    </row>
    <row r="193" spans="2:33">
      <c r="B193" s="24">
        <v>41879</v>
      </c>
      <c r="C193" s="27">
        <v>0.49084413664233395</v>
      </c>
      <c r="D193" s="27">
        <v>0.49826533757051966</v>
      </c>
      <c r="E193" s="6">
        <f ca="1">VLOOKUP(CurrentMtgRatesDataTable825[[#This Row],[asOfDate]]+1,Bloomberg!B:C,2,0)</f>
        <v>1436</v>
      </c>
      <c r="F193" s="27">
        <f>VLOOKUP(CurrentMtgRatesDataTable825[[#This Row],[asOfDate]],CurrentMtgRatesDataTable8256[#All],2,0)</f>
        <v>0.49522669245285544</v>
      </c>
      <c r="G193" s="27">
        <f>VLOOKUP(CurrentMtgRatesDataTable825[[#This Row],[asOfDate]],CurrentMtgRatesDataTable82562[],2,0)</f>
        <v>0.37842109522047007</v>
      </c>
      <c r="H193" s="27">
        <f>VLOOKUP(CurrentMtgRatesDataTable825[[#This Row],[asOfDate]],T:U,2,0)</f>
        <v>0.37707642116327283</v>
      </c>
      <c r="I193" s="58">
        <f>VLOOKUP(CurrentMtgRatesDataTable825[[#This Row],[asOfDate]],CurrentMtgRatesDataTable825623[#All],2,0)</f>
        <v>0.34626375886905675</v>
      </c>
      <c r="J193" s="27">
        <f>VLOOKUP(CurrentMtgRatesDataTable825[[#This Row],[asOfDate]],AC:AD,2,0)</f>
        <v>0.35838762838330102</v>
      </c>
      <c r="K193" s="27">
        <f>VLOOKUP(CurrentMtgRatesDataTable825[[#This Row],[asOfDate]],temp_1,2,0)</f>
        <v>0.49412020813719998</v>
      </c>
      <c r="M193" s="24">
        <v>41879</v>
      </c>
      <c r="N193" s="26">
        <v>0.49522669245285544</v>
      </c>
      <c r="O193" s="26">
        <f ca="1">VLOOKUP(CurrentMtgRatesDataTable8256[[#This Row],[asOfDate]]+1,Bloomberg!B:C,2,0)</f>
        <v>1436</v>
      </c>
      <c r="Q193" s="24">
        <v>41879</v>
      </c>
      <c r="R193" s="26">
        <v>0.37842109522047007</v>
      </c>
      <c r="T193" s="24">
        <v>41879</v>
      </c>
      <c r="U193" s="27">
        <v>0.37707642116327283</v>
      </c>
      <c r="W193" s="56">
        <v>41879</v>
      </c>
      <c r="X193" s="57">
        <v>0.34626375886905675</v>
      </c>
      <c r="Z193" s="1">
        <v>41879</v>
      </c>
      <c r="AA193">
        <v>0.34949435310913202</v>
      </c>
      <c r="AC193" s="1">
        <v>41879</v>
      </c>
      <c r="AD193">
        <v>0.35838762838330102</v>
      </c>
      <c r="AF193" s="1">
        <v>41879</v>
      </c>
      <c r="AG193">
        <v>0.49412020813719998</v>
      </c>
    </row>
    <row r="194" spans="2:33">
      <c r="B194" s="24">
        <v>41886</v>
      </c>
      <c r="C194" s="27">
        <v>0.4873264191007175</v>
      </c>
      <c r="D194" s="27">
        <v>0.4903334080735352</v>
      </c>
      <c r="E194" s="6">
        <f ca="1">VLOOKUP(CurrentMtgRatesDataTable825[[#This Row],[asOfDate]]+1,Bloomberg!B:C,2,0)</f>
        <v>1275.8</v>
      </c>
      <c r="F194" s="27">
        <f>VLOOKUP(CurrentMtgRatesDataTable825[[#This Row],[asOfDate]],CurrentMtgRatesDataTable8256[#All],2,0)</f>
        <v>0.49109889772075627</v>
      </c>
      <c r="G194" s="27">
        <f>VLOOKUP(CurrentMtgRatesDataTable825[[#This Row],[asOfDate]],CurrentMtgRatesDataTable82562[],2,0)</f>
        <v>0.37165910285507714</v>
      </c>
      <c r="H194" s="27">
        <f>VLOOKUP(CurrentMtgRatesDataTable825[[#This Row],[asOfDate]],T:U,2,0)</f>
        <v>0.37038222757969602</v>
      </c>
      <c r="I194" s="58">
        <f>VLOOKUP(CurrentMtgRatesDataTable825[[#This Row],[asOfDate]],CurrentMtgRatesDataTable825623[#All],2,0)</f>
        <v>0.33989690719769772</v>
      </c>
      <c r="J194" s="27">
        <f>VLOOKUP(CurrentMtgRatesDataTable825[[#This Row],[asOfDate]],AC:AD,2,0)</f>
        <v>0.35124395630609401</v>
      </c>
      <c r="K194" s="27">
        <f>VLOOKUP(CurrentMtgRatesDataTable825[[#This Row],[asOfDate]],temp_1,2,0)</f>
        <v>0.490645181334884</v>
      </c>
      <c r="M194" s="24">
        <v>41886</v>
      </c>
      <c r="N194" s="26">
        <v>0.49109889772075627</v>
      </c>
      <c r="O194" s="26">
        <f ca="1">VLOOKUP(CurrentMtgRatesDataTable8256[[#This Row],[asOfDate]]+1,Bloomberg!B:C,2,0)</f>
        <v>1275.8</v>
      </c>
      <c r="Q194" s="24">
        <v>41886</v>
      </c>
      <c r="R194" s="26">
        <v>0.37165910285507714</v>
      </c>
      <c r="T194" s="24">
        <v>41886</v>
      </c>
      <c r="U194" s="27">
        <v>0.37038222757969602</v>
      </c>
      <c r="W194" s="56">
        <v>41886</v>
      </c>
      <c r="X194" s="57">
        <v>0.33989690719769772</v>
      </c>
      <c r="Z194" s="1">
        <v>41886</v>
      </c>
      <c r="AA194">
        <v>0.34291487318389402</v>
      </c>
      <c r="AC194" s="1">
        <v>41886</v>
      </c>
      <c r="AD194">
        <v>0.35124395630609401</v>
      </c>
      <c r="AF194" s="1">
        <v>41886</v>
      </c>
      <c r="AG194">
        <v>0.490645181334884</v>
      </c>
    </row>
    <row r="195" spans="2:33">
      <c r="B195" s="24">
        <v>41893</v>
      </c>
      <c r="C195" s="27">
        <v>0.4741591952243816</v>
      </c>
      <c r="D195" s="27">
        <v>0.47792137674563318</v>
      </c>
      <c r="E195" s="6">
        <f ca="1">VLOOKUP(CurrentMtgRatesDataTable825[[#This Row],[asOfDate]]+1,Bloomberg!B:C,2,0)</f>
        <v>1398.4</v>
      </c>
      <c r="F195" s="27">
        <f>VLOOKUP(CurrentMtgRatesDataTable825[[#This Row],[asOfDate]],CurrentMtgRatesDataTable8256[#All],2,0)</f>
        <v>0.49012736819164349</v>
      </c>
      <c r="G195" s="27">
        <f>VLOOKUP(CurrentMtgRatesDataTable825[[#This Row],[asOfDate]],CurrentMtgRatesDataTable82562[],2,0)</f>
        <v>0.3711734763292962</v>
      </c>
      <c r="H195" s="27">
        <f>VLOOKUP(CurrentMtgRatesDataTable825[[#This Row],[asOfDate]],T:U,2,0)</f>
        <v>0.36989684152089741</v>
      </c>
      <c r="I195" s="58">
        <f>VLOOKUP(CurrentMtgRatesDataTable825[[#This Row],[asOfDate]],CurrentMtgRatesDataTable825623[#All],2,0)</f>
        <v>0.33936239503709198</v>
      </c>
      <c r="J195" s="27">
        <f>VLOOKUP(CurrentMtgRatesDataTable825[[#This Row],[asOfDate]],AC:AD,2,0)</f>
        <v>0.350821387629207</v>
      </c>
      <c r="K195" s="27">
        <f>VLOOKUP(CurrentMtgRatesDataTable825[[#This Row],[asOfDate]],temp_1,2,0)</f>
        <v>0.490245807372506</v>
      </c>
      <c r="M195" s="24">
        <v>41893</v>
      </c>
      <c r="N195" s="26">
        <v>0.49012736819164349</v>
      </c>
      <c r="O195" s="26">
        <f ca="1">VLOOKUP(CurrentMtgRatesDataTable8256[[#This Row],[asOfDate]]+1,Bloomberg!B:C,2,0)</f>
        <v>1398.4</v>
      </c>
      <c r="Q195" s="24">
        <v>41893</v>
      </c>
      <c r="R195" s="26">
        <v>0.3711734763292962</v>
      </c>
      <c r="T195" s="24">
        <v>41893</v>
      </c>
      <c r="U195" s="27">
        <v>0.36989684152089741</v>
      </c>
      <c r="W195" s="56">
        <v>41893</v>
      </c>
      <c r="X195" s="57">
        <v>0.33936239503709198</v>
      </c>
      <c r="Z195" s="1">
        <v>41893</v>
      </c>
      <c r="AA195">
        <v>0.342414364554747</v>
      </c>
      <c r="AC195" s="1">
        <v>41893</v>
      </c>
      <c r="AD195">
        <v>0.350821387629207</v>
      </c>
      <c r="AF195" s="1">
        <v>41893</v>
      </c>
      <c r="AG195">
        <v>0.490245807372506</v>
      </c>
    </row>
    <row r="196" spans="2:33">
      <c r="B196" s="24">
        <v>41900</v>
      </c>
      <c r="C196" s="27">
        <v>0.3981672862675662</v>
      </c>
      <c r="D196" s="27">
        <v>0.40100959377370793</v>
      </c>
      <c r="E196" s="6">
        <f ca="1">VLOOKUP(CurrentMtgRatesDataTable825[[#This Row],[asOfDate]]+1,Bloomberg!B:C,2,0)</f>
        <v>1335.1</v>
      </c>
      <c r="F196" s="27">
        <f>VLOOKUP(CurrentMtgRatesDataTable825[[#This Row],[asOfDate]],CurrentMtgRatesDataTable8256[#All],2,0)</f>
        <v>0.41802491804441944</v>
      </c>
      <c r="G196" s="27">
        <f>VLOOKUP(CurrentMtgRatesDataTable825[[#This Row],[asOfDate]],CurrentMtgRatesDataTable82562[],2,0)</f>
        <v>0.31262849116425834</v>
      </c>
      <c r="H196" s="27">
        <f>VLOOKUP(CurrentMtgRatesDataTable825[[#This Row],[asOfDate]],T:U,2,0)</f>
        <v>0.31156063649874671</v>
      </c>
      <c r="I196" s="58">
        <f>VLOOKUP(CurrentMtgRatesDataTable825[[#This Row],[asOfDate]],CurrentMtgRatesDataTable825623[#All],2,0)</f>
        <v>0.28985985896912109</v>
      </c>
      <c r="J196" s="27">
        <f>VLOOKUP(CurrentMtgRatesDataTable825[[#This Row],[asOfDate]],AC:AD,2,0)</f>
        <v>0.30185821114737799</v>
      </c>
      <c r="K196" s="27">
        <f>VLOOKUP(CurrentMtgRatesDataTable825[[#This Row],[asOfDate]],temp_1,2,0)</f>
        <v>0.44485844381328299</v>
      </c>
      <c r="M196" s="24">
        <v>41900</v>
      </c>
      <c r="N196" s="26">
        <v>0.41802491804441944</v>
      </c>
      <c r="O196" s="26">
        <f ca="1">VLOOKUP(CurrentMtgRatesDataTable8256[[#This Row],[asOfDate]]+1,Bloomberg!B:C,2,0)</f>
        <v>1335.1</v>
      </c>
      <c r="Q196" s="24">
        <v>41900</v>
      </c>
      <c r="R196" s="26">
        <v>0.31262849116425834</v>
      </c>
      <c r="T196" s="24">
        <v>41900</v>
      </c>
      <c r="U196" s="27">
        <v>0.31156063649874671</v>
      </c>
      <c r="W196" s="56">
        <v>41900</v>
      </c>
      <c r="X196" s="57">
        <v>0.28985985896912109</v>
      </c>
      <c r="Z196" s="1">
        <v>41900</v>
      </c>
      <c r="AA196">
        <v>0.29324490813253001</v>
      </c>
      <c r="AC196" s="1">
        <v>41900</v>
      </c>
      <c r="AD196">
        <v>0.30185821114737799</v>
      </c>
      <c r="AF196" s="1">
        <v>41900</v>
      </c>
      <c r="AG196">
        <v>0.44485844381328299</v>
      </c>
    </row>
    <row r="197" spans="2:33">
      <c r="B197" s="24">
        <v>41907</v>
      </c>
      <c r="C197" s="27">
        <v>0.41373230170663788</v>
      </c>
      <c r="D197" s="27">
        <v>0.44245263602505303</v>
      </c>
      <c r="E197" s="6">
        <f ca="1">VLOOKUP(CurrentMtgRatesDataTable825[[#This Row],[asOfDate]]+1,Bloomberg!B:C,2,0)</f>
        <v>1326.2</v>
      </c>
      <c r="F197" s="27">
        <f>VLOOKUP(CurrentMtgRatesDataTable825[[#This Row],[asOfDate]],CurrentMtgRatesDataTable8256[#All],2,0)</f>
        <v>0.41850850640907544</v>
      </c>
      <c r="G197" s="27">
        <f>VLOOKUP(CurrentMtgRatesDataTable825[[#This Row],[asOfDate]],CurrentMtgRatesDataTable82562[],2,0)</f>
        <v>0.31284206209860954</v>
      </c>
      <c r="H197" s="27">
        <f>VLOOKUP(CurrentMtgRatesDataTable825[[#This Row],[asOfDate]],T:U,2,0)</f>
        <v>0.31177385303472149</v>
      </c>
      <c r="I197" s="58">
        <f>VLOOKUP(CurrentMtgRatesDataTable825[[#This Row],[asOfDate]],CurrentMtgRatesDataTable825623[#All],2,0)</f>
        <v>0.29129845378289931</v>
      </c>
      <c r="J197" s="27">
        <f>VLOOKUP(CurrentMtgRatesDataTable825[[#This Row],[asOfDate]],AC:AD,2,0)</f>
        <v>0.303134887573904</v>
      </c>
      <c r="K197" s="27">
        <f>VLOOKUP(CurrentMtgRatesDataTable825[[#This Row],[asOfDate]],temp_1,2,0)</f>
        <v>0.44562992385305</v>
      </c>
      <c r="M197" s="24">
        <v>41907</v>
      </c>
      <c r="N197" s="26">
        <v>0.41850850640907544</v>
      </c>
      <c r="O197" s="26">
        <f ca="1">VLOOKUP(CurrentMtgRatesDataTable8256[[#This Row],[asOfDate]]+1,Bloomberg!B:C,2,0)</f>
        <v>1326.2</v>
      </c>
      <c r="Q197" s="24">
        <v>41907</v>
      </c>
      <c r="R197" s="26">
        <v>0.31284206209860954</v>
      </c>
      <c r="T197" s="24">
        <v>41907</v>
      </c>
      <c r="U197" s="27">
        <v>0.31177385303472149</v>
      </c>
      <c r="W197" s="56">
        <v>41907</v>
      </c>
      <c r="X197" s="57">
        <v>0.29129845378289931</v>
      </c>
      <c r="Z197" s="1">
        <v>41907</v>
      </c>
      <c r="AA197">
        <v>0.29470318456766498</v>
      </c>
      <c r="AC197" s="1">
        <v>41907</v>
      </c>
      <c r="AD197">
        <v>0.303134887573904</v>
      </c>
      <c r="AF197" s="1">
        <v>41907</v>
      </c>
      <c r="AG197">
        <v>0.44562992385305</v>
      </c>
    </row>
    <row r="198" spans="2:33">
      <c r="B198" s="24">
        <v>41914</v>
      </c>
      <c r="C198" s="27">
        <v>0.43232059685066798</v>
      </c>
      <c r="D198" s="27">
        <v>0.44563246463246808</v>
      </c>
      <c r="E198" s="6">
        <f ca="1">VLOOKUP(CurrentMtgRatesDataTable825[[#This Row],[asOfDate]]+1,Bloomberg!B:C,2,0)</f>
        <v>1387.1</v>
      </c>
      <c r="F198" s="27">
        <f>VLOOKUP(CurrentMtgRatesDataTable825[[#This Row],[asOfDate]],CurrentMtgRatesDataTable8256[#All],2,0)</f>
        <v>0.41343470051083375</v>
      </c>
      <c r="G198" s="27">
        <f>VLOOKUP(CurrentMtgRatesDataTable825[[#This Row],[asOfDate]],CurrentMtgRatesDataTable82562[],2,0)</f>
        <v>0.32898554801574148</v>
      </c>
      <c r="H198" s="27">
        <f>VLOOKUP(CurrentMtgRatesDataTable825[[#This Row],[asOfDate]],T:U,2,0)</f>
        <v>0.32780574578763855</v>
      </c>
      <c r="I198" s="58">
        <f>VLOOKUP(CurrentMtgRatesDataTable825[[#This Row],[asOfDate]],CurrentMtgRatesDataTable825623[#All],2,0)</f>
        <v>0.30547746964083727</v>
      </c>
      <c r="J198" s="27">
        <f>VLOOKUP(CurrentMtgRatesDataTable825[[#This Row],[asOfDate]],AC:AD,2,0)</f>
        <v>0.31668157332951902</v>
      </c>
      <c r="K198" s="27">
        <f>VLOOKUP(CurrentMtgRatesDataTable825[[#This Row],[asOfDate]],temp_1,2,0)</f>
        <v>0.461630793166039</v>
      </c>
      <c r="M198" s="24">
        <v>41914</v>
      </c>
      <c r="N198" s="26">
        <v>0.41343470051083375</v>
      </c>
      <c r="O198" s="26">
        <f ca="1">VLOOKUP(CurrentMtgRatesDataTable8256[[#This Row],[asOfDate]]+1,Bloomberg!B:C,2,0)</f>
        <v>1387.1</v>
      </c>
      <c r="Q198" s="24">
        <v>41914</v>
      </c>
      <c r="R198" s="26">
        <v>0.32898554801574148</v>
      </c>
      <c r="T198" s="24">
        <v>41914</v>
      </c>
      <c r="U198" s="27">
        <v>0.32780574578763855</v>
      </c>
      <c r="W198" s="56">
        <v>41914</v>
      </c>
      <c r="X198" s="57">
        <v>0.30547746964083727</v>
      </c>
      <c r="Z198" s="1">
        <v>41914</v>
      </c>
      <c r="AA198">
        <v>0.308692898726523</v>
      </c>
      <c r="AC198" s="1">
        <v>41914</v>
      </c>
      <c r="AD198">
        <v>0.31668157332951902</v>
      </c>
      <c r="AF198" s="1">
        <v>41914</v>
      </c>
      <c r="AG198">
        <v>0.461630793166039</v>
      </c>
    </row>
    <row r="199" spans="2:33">
      <c r="B199" s="24">
        <v>41921</v>
      </c>
      <c r="C199" s="27">
        <v>0.47165449273347226</v>
      </c>
      <c r="D199" s="27">
        <v>0.46796226178312583</v>
      </c>
      <c r="E199" s="6">
        <f ca="1">VLOOKUP(CurrentMtgRatesDataTable825[[#This Row],[asOfDate]]+1,Bloomberg!B:C,2,0)</f>
        <v>1560.6</v>
      </c>
      <c r="F199" s="27">
        <f>VLOOKUP(CurrentMtgRatesDataTable825[[#This Row],[asOfDate]],CurrentMtgRatesDataTable8256[#All],2,0)</f>
        <v>0.48620694744117765</v>
      </c>
      <c r="G199" s="27">
        <f>VLOOKUP(CurrentMtgRatesDataTable825[[#This Row],[asOfDate]],CurrentMtgRatesDataTable82562[],2,0)</f>
        <v>0.36357043577417181</v>
      </c>
      <c r="H199" s="27">
        <f>VLOOKUP(CurrentMtgRatesDataTable825[[#This Row],[asOfDate]],T:U,2,0)</f>
        <v>0.36218729223083185</v>
      </c>
      <c r="I199" s="58">
        <f>VLOOKUP(CurrentMtgRatesDataTable825[[#This Row],[asOfDate]],CurrentMtgRatesDataTable825623[#All],2,0)</f>
        <v>0.33144164337331594</v>
      </c>
      <c r="J199" s="27">
        <f>VLOOKUP(CurrentMtgRatesDataTable825[[#This Row],[asOfDate]],AC:AD,2,0)</f>
        <v>0.34232551793557098</v>
      </c>
      <c r="K199" s="27">
        <f>VLOOKUP(CurrentMtgRatesDataTable825[[#This Row],[asOfDate]],temp_1,2,0)</f>
        <v>0.48583856044097401</v>
      </c>
      <c r="M199" s="24">
        <v>41921</v>
      </c>
      <c r="N199" s="26">
        <v>0.48620694744117765</v>
      </c>
      <c r="O199" s="26">
        <f ca="1">VLOOKUP(CurrentMtgRatesDataTable8256[[#This Row],[asOfDate]]+1,Bloomberg!B:C,2,0)</f>
        <v>1560.6</v>
      </c>
      <c r="Q199" s="24">
        <v>41921</v>
      </c>
      <c r="R199" s="26">
        <v>0.36357043577417181</v>
      </c>
      <c r="T199" s="24">
        <v>41921</v>
      </c>
      <c r="U199" s="27">
        <v>0.36218729223083185</v>
      </c>
      <c r="W199" s="56">
        <v>41921</v>
      </c>
      <c r="X199" s="57">
        <v>0.33144164337331594</v>
      </c>
      <c r="Z199" s="1">
        <v>41921</v>
      </c>
      <c r="AA199">
        <v>0.33439656030070802</v>
      </c>
      <c r="AC199" s="1">
        <v>41921</v>
      </c>
      <c r="AD199">
        <v>0.34232551793557098</v>
      </c>
      <c r="AF199" s="1">
        <v>41921</v>
      </c>
      <c r="AG199">
        <v>0.48583856044097401</v>
      </c>
    </row>
    <row r="200" spans="2:33">
      <c r="B200" s="24">
        <v>41928</v>
      </c>
      <c r="C200" s="27">
        <v>0.57517284737260799</v>
      </c>
      <c r="D200" s="27">
        <v>0.55762171395347715</v>
      </c>
      <c r="E200" s="6">
        <f ca="1">VLOOKUP(CurrentMtgRatesDataTable825[[#This Row],[asOfDate]]+1,Bloomberg!B:C,2,0)</f>
        <v>1898.2</v>
      </c>
      <c r="F200" s="27">
        <f>VLOOKUP(CurrentMtgRatesDataTable825[[#This Row],[asOfDate]],CurrentMtgRatesDataTable8256[#All],2,0)</f>
        <v>0.55255700045884115</v>
      </c>
      <c r="G200" s="27">
        <f>VLOOKUP(CurrentMtgRatesDataTable825[[#This Row],[asOfDate]],CurrentMtgRatesDataTable82562[],2,0)</f>
        <v>0.43716239568675586</v>
      </c>
      <c r="H200" s="27">
        <f>VLOOKUP(CurrentMtgRatesDataTable825[[#This Row],[asOfDate]],T:U,2,0)</f>
        <v>0.4353898175636014</v>
      </c>
      <c r="I200" s="58">
        <f>VLOOKUP(CurrentMtgRatesDataTable825[[#This Row],[asOfDate]],CurrentMtgRatesDataTable825623[#All],2,0)</f>
        <v>0.39292803060156761</v>
      </c>
      <c r="J200" s="27">
        <f>VLOOKUP(CurrentMtgRatesDataTable825[[#This Row],[asOfDate]],AC:AD,2,0)</f>
        <v>0.40285473187500098</v>
      </c>
      <c r="K200" s="27">
        <f>VLOOKUP(CurrentMtgRatesDataTable825[[#This Row],[asOfDate]],temp_1,2,0)</f>
        <v>0.54189899626716298</v>
      </c>
      <c r="M200" s="24">
        <v>41928</v>
      </c>
      <c r="N200" s="26">
        <v>0.55255700045884115</v>
      </c>
      <c r="O200" s="26">
        <f ca="1">VLOOKUP(CurrentMtgRatesDataTable8256[[#This Row],[asOfDate]]+1,Bloomberg!B:C,2,0)</f>
        <v>1898.2</v>
      </c>
      <c r="Q200" s="24">
        <v>41928</v>
      </c>
      <c r="R200" s="26">
        <v>0.43716239568675586</v>
      </c>
      <c r="T200" s="24">
        <v>41928</v>
      </c>
      <c r="U200" s="27">
        <v>0.4353898175636014</v>
      </c>
      <c r="W200" s="56">
        <v>41928</v>
      </c>
      <c r="X200" s="57">
        <v>0.39292803060156761</v>
      </c>
      <c r="Z200" s="1">
        <v>41928</v>
      </c>
      <c r="AA200">
        <v>0.39535892671010298</v>
      </c>
      <c r="AC200" s="1">
        <v>41928</v>
      </c>
      <c r="AD200">
        <v>0.40285473187500098</v>
      </c>
      <c r="AF200" s="1">
        <v>41928</v>
      </c>
      <c r="AG200">
        <v>0.54189899626716298</v>
      </c>
    </row>
    <row r="201" spans="2:33">
      <c r="B201" s="24">
        <v>41935</v>
      </c>
      <c r="C201" s="27">
        <v>0.58745733896979668</v>
      </c>
      <c r="D201" s="27">
        <v>0.55762171395347715</v>
      </c>
      <c r="E201" s="6">
        <f ca="1">VLOOKUP(CurrentMtgRatesDataTable825[[#This Row],[asOfDate]]+1,Bloomberg!B:C,2,0)</f>
        <v>1713.6</v>
      </c>
      <c r="F201" s="27">
        <f>VLOOKUP(CurrentMtgRatesDataTable825[[#This Row],[asOfDate]],CurrentMtgRatesDataTable8256[#All],2,0)</f>
        <v>0.55308845562501008</v>
      </c>
      <c r="G201" s="27">
        <f>VLOOKUP(CurrentMtgRatesDataTable825[[#This Row],[asOfDate]],CurrentMtgRatesDataTable82562[],2,0)</f>
        <v>0.46855719956108682</v>
      </c>
      <c r="H201" s="27">
        <f>VLOOKUP(CurrentMtgRatesDataTable825[[#This Row],[asOfDate]],T:U,2,0)</f>
        <v>0.46664485443170889</v>
      </c>
      <c r="I201" s="58">
        <f>VLOOKUP(CurrentMtgRatesDataTable825[[#This Row],[asOfDate]],CurrentMtgRatesDataTable825623[#All],2,0)</f>
        <v>0.42272700072756136</v>
      </c>
      <c r="J201" s="27">
        <f>VLOOKUP(CurrentMtgRatesDataTable825[[#This Row],[asOfDate]],AC:AD,2,0)</f>
        <v>0.43224640519919799</v>
      </c>
      <c r="K201" s="27">
        <f>VLOOKUP(CurrentMtgRatesDataTable825[[#This Row],[asOfDate]],temp_1,2,0)</f>
        <v>0.56780927639171197</v>
      </c>
      <c r="M201" s="24">
        <v>41935</v>
      </c>
      <c r="N201" s="26">
        <v>0.55308845562501008</v>
      </c>
      <c r="O201" s="26">
        <f ca="1">VLOOKUP(CurrentMtgRatesDataTable8256[[#This Row],[asOfDate]]+1,Bloomberg!B:C,2,0)</f>
        <v>1713.6</v>
      </c>
      <c r="Q201" s="24">
        <v>41935</v>
      </c>
      <c r="R201" s="26">
        <v>0.46855719956108682</v>
      </c>
      <c r="T201" s="24">
        <v>41935</v>
      </c>
      <c r="U201" s="27">
        <v>0.46664485443170889</v>
      </c>
      <c r="W201" s="56">
        <v>41935</v>
      </c>
      <c r="X201" s="57">
        <v>0.42272700072756136</v>
      </c>
      <c r="Z201" s="1">
        <v>41935</v>
      </c>
      <c r="AA201">
        <v>0.424971092113403</v>
      </c>
      <c r="AC201" s="1">
        <v>41935</v>
      </c>
      <c r="AD201">
        <v>0.43224640519919799</v>
      </c>
      <c r="AF201" s="1">
        <v>41935</v>
      </c>
      <c r="AG201">
        <v>0.56780927639171197</v>
      </c>
    </row>
    <row r="202" spans="2:33">
      <c r="B202" s="24">
        <v>41942</v>
      </c>
      <c r="C202" s="27">
        <v>0.57181297396619646</v>
      </c>
      <c r="D202" s="27">
        <v>0.55762171395347715</v>
      </c>
      <c r="E202" s="26">
        <f ca="1">VLOOKUP(CurrentMtgRatesDataTable825[[#This Row],[asOfDate]]+1,Bloomberg!B:C,2,0)</f>
        <v>1604.8</v>
      </c>
      <c r="F202" s="27">
        <f>VLOOKUP(CurrentMtgRatesDataTable825[[#This Row],[asOfDate]],CurrentMtgRatesDataTable8256[#All],2,0)</f>
        <v>0.55239173073087677</v>
      </c>
      <c r="G202" s="27">
        <f>VLOOKUP(CurrentMtgRatesDataTable825[[#This Row],[asOfDate]],CurrentMtgRatesDataTable82562[],2,0)</f>
        <v>0.43709492816271001</v>
      </c>
      <c r="H202" s="27">
        <f>VLOOKUP(CurrentMtgRatesDataTable825[[#This Row],[asOfDate]],T:U,2,0)</f>
        <v>0.43532256207051467</v>
      </c>
      <c r="I202" s="58">
        <f>VLOOKUP(CurrentMtgRatesDataTable825[[#This Row],[asOfDate]],CurrentMtgRatesDataTable825623[#All],2,0)</f>
        <v>0.39286667249963214</v>
      </c>
      <c r="J202" s="27">
        <f>VLOOKUP(CurrentMtgRatesDataTable825[[#This Row],[asOfDate]],AC:AD,2,0)</f>
        <v>0.40279530551033699</v>
      </c>
      <c r="K202" s="27">
        <f>VLOOKUP(CurrentMtgRatesDataTable825[[#This Row],[asOfDate]],temp_1,2,0)</f>
        <v>0.541842357237176</v>
      </c>
      <c r="M202" s="24">
        <v>41942</v>
      </c>
      <c r="N202" s="26">
        <v>0.55239173073087677</v>
      </c>
      <c r="O202" s="26">
        <f ca="1">VLOOKUP(CurrentMtgRatesDataTable8256[[#This Row],[asOfDate]]+1,Bloomberg!B:C,2,0)</f>
        <v>1604.8</v>
      </c>
      <c r="Q202" s="24">
        <v>41942</v>
      </c>
      <c r="R202" s="26">
        <v>0.43709492816271001</v>
      </c>
      <c r="T202" s="24">
        <v>41942</v>
      </c>
      <c r="U202" s="27">
        <v>0.43532256207051467</v>
      </c>
      <c r="W202" s="56">
        <v>41942</v>
      </c>
      <c r="X202" s="57">
        <v>0.39286667249963214</v>
      </c>
      <c r="Z202" s="1">
        <v>41942</v>
      </c>
      <c r="AA202">
        <v>0.39528643481839698</v>
      </c>
      <c r="AC202" s="1">
        <v>41942</v>
      </c>
      <c r="AD202">
        <v>0.40279530551033699</v>
      </c>
      <c r="AF202" s="1">
        <v>41942</v>
      </c>
      <c r="AG202">
        <v>0.541842357237176</v>
      </c>
    </row>
    <row r="203" spans="2:33">
      <c r="B203" s="24">
        <v>41949</v>
      </c>
      <c r="C203" s="27">
        <v>0.54857982917990311</v>
      </c>
      <c r="D203" s="27">
        <v>0.5613445906309068</v>
      </c>
      <c r="E203" s="26">
        <f ca="1">VLOOKUP(CurrentMtgRatesDataTable825[[#This Row],[asOfDate]]+1,Bloomberg!B:C,2,0)</f>
        <v>1565.3</v>
      </c>
      <c r="F203" s="27">
        <f>VLOOKUP(CurrentMtgRatesDataTable825[[#This Row],[asOfDate]],CurrentMtgRatesDataTable8256[#All],2,0)</f>
        <v>0.48321629589156551</v>
      </c>
      <c r="G203" s="27">
        <f>VLOOKUP(CurrentMtgRatesDataTable825[[#This Row],[asOfDate]],CurrentMtgRatesDataTable82562[],2,0)</f>
        <v>0.38755454680533724</v>
      </c>
      <c r="H203" s="27">
        <f>VLOOKUP(CurrentMtgRatesDataTable825[[#This Row],[asOfDate]],T:U,2,0)</f>
        <v>0.38587687479746474</v>
      </c>
      <c r="I203" s="58">
        <f>VLOOKUP(CurrentMtgRatesDataTable825[[#This Row],[asOfDate]],CurrentMtgRatesDataTable825623[#All],2,0)</f>
        <v>0.35414308183782223</v>
      </c>
      <c r="J203" s="27">
        <f>VLOOKUP(CurrentMtgRatesDataTable825[[#This Row],[asOfDate]],AC:AD,2,0)</f>
        <v>0.363805283856794</v>
      </c>
      <c r="K203" s="27">
        <f>VLOOKUP(CurrentMtgRatesDataTable825[[#This Row],[asOfDate]],temp_1,2,0)</f>
        <v>0.508409072340408</v>
      </c>
      <c r="M203" s="24">
        <v>41949</v>
      </c>
      <c r="N203" s="26">
        <v>0.48321629589156551</v>
      </c>
      <c r="O203" s="26">
        <f ca="1">VLOOKUP(CurrentMtgRatesDataTable8256[[#This Row],[asOfDate]]+1,Bloomberg!B:C,2,0)</f>
        <v>1565.3</v>
      </c>
      <c r="Q203" s="24">
        <v>41949</v>
      </c>
      <c r="R203" s="26">
        <v>0.38755454680533724</v>
      </c>
      <c r="T203" s="24">
        <v>41949</v>
      </c>
      <c r="U203" s="27">
        <v>0.38587687479746474</v>
      </c>
      <c r="W203" s="56">
        <v>41949</v>
      </c>
      <c r="X203" s="57">
        <v>0.35414308183782223</v>
      </c>
      <c r="Z203" s="1">
        <v>41949</v>
      </c>
      <c r="AA203">
        <v>0.356693081893312</v>
      </c>
      <c r="AC203" s="1">
        <v>41949</v>
      </c>
      <c r="AD203">
        <v>0.363805283856794</v>
      </c>
      <c r="AF203" s="1">
        <v>41949</v>
      </c>
      <c r="AG203">
        <v>0.508409072340408</v>
      </c>
    </row>
    <row r="204" spans="2:33">
      <c r="B204" s="24">
        <v>41956</v>
      </c>
      <c r="C204" s="27">
        <v>0.55497671209744126</v>
      </c>
      <c r="D204" s="27">
        <v>0.5613445906309068</v>
      </c>
      <c r="E204" s="26">
        <f ca="1">VLOOKUP(CurrentMtgRatesDataTable825[[#This Row],[asOfDate]]+1,Bloomberg!B:C,2,0)</f>
        <v>1563.2</v>
      </c>
      <c r="F204" s="27">
        <f>VLOOKUP(CurrentMtgRatesDataTable825[[#This Row],[asOfDate]],CurrentMtgRatesDataTable8256[#All],2,0)</f>
        <v>0.4832857349268318</v>
      </c>
      <c r="G204" s="27">
        <f>VLOOKUP(CurrentMtgRatesDataTable825[[#This Row],[asOfDate]],CurrentMtgRatesDataTable82562[],2,0)</f>
        <v>0.3876856076600298</v>
      </c>
      <c r="H204" s="27">
        <f>VLOOKUP(CurrentMtgRatesDataTable825[[#This Row],[asOfDate]],T:U,2,0)</f>
        <v>0.38600681959673633</v>
      </c>
      <c r="I204" s="58">
        <f>VLOOKUP(CurrentMtgRatesDataTable825[[#This Row],[asOfDate]],CurrentMtgRatesDataTable825623[#All],2,0)</f>
        <v>0.3542712812179995</v>
      </c>
      <c r="J204" s="27">
        <f>VLOOKUP(CurrentMtgRatesDataTable825[[#This Row],[asOfDate]],AC:AD,2,0)</f>
        <v>0.36393083176118401</v>
      </c>
      <c r="K204" s="27">
        <f>VLOOKUP(CurrentMtgRatesDataTable825[[#This Row],[asOfDate]],temp_1,2,0)</f>
        <v>0.50851555140808302</v>
      </c>
      <c r="M204" s="24">
        <v>41956</v>
      </c>
      <c r="N204" s="26">
        <v>0.4832857349268318</v>
      </c>
      <c r="O204" s="26">
        <f ca="1">VLOOKUP(CurrentMtgRatesDataTable8256[[#This Row],[asOfDate]]+1,Bloomberg!B:C,2,0)</f>
        <v>1563.2</v>
      </c>
      <c r="Q204" s="24">
        <v>41956</v>
      </c>
      <c r="R204" s="26">
        <v>0.3876856076600298</v>
      </c>
      <c r="T204" s="24">
        <v>41956</v>
      </c>
      <c r="U204" s="27">
        <v>0.38600681959673633</v>
      </c>
      <c r="W204" s="56">
        <v>41956</v>
      </c>
      <c r="X204" s="57">
        <v>0.3542712812179995</v>
      </c>
      <c r="Z204" s="1">
        <v>41956</v>
      </c>
      <c r="AA204">
        <v>0.35681922008918499</v>
      </c>
      <c r="AC204" s="1">
        <v>41956</v>
      </c>
      <c r="AD204">
        <v>0.36393083176118401</v>
      </c>
      <c r="AF204" s="1">
        <v>41956</v>
      </c>
      <c r="AG204">
        <v>0.50851555140808302</v>
      </c>
    </row>
    <row r="205" spans="2:33">
      <c r="B205" s="24">
        <v>41963</v>
      </c>
      <c r="C205" s="27">
        <v>0.56606721089043732</v>
      </c>
      <c r="D205" s="27">
        <v>0.5613445906309068</v>
      </c>
      <c r="E205" s="26">
        <f ca="1">VLOOKUP(CurrentMtgRatesDataTable825[[#This Row],[asOfDate]]+1,Bloomberg!B:C,2,0)</f>
        <v>1547.9</v>
      </c>
      <c r="F205" s="27">
        <f>VLOOKUP(CurrentMtgRatesDataTable825[[#This Row],[asOfDate]],CurrentMtgRatesDataTable8256[#All],2,0)</f>
        <v>0.5490432943232525</v>
      </c>
      <c r="G205" s="27">
        <f>VLOOKUP(CurrentMtgRatesDataTable825[[#This Row],[asOfDate]],CurrentMtgRatesDataTable82562[],2,0)</f>
        <v>0.43020815046617</v>
      </c>
      <c r="H205" s="27">
        <f>VLOOKUP(CurrentMtgRatesDataTable825[[#This Row],[asOfDate]],T:U,2,0)</f>
        <v>0.42814045267369355</v>
      </c>
      <c r="I205" s="58">
        <f>VLOOKUP(CurrentMtgRatesDataTable825[[#This Row],[asOfDate]],CurrentMtgRatesDataTable825623[#All],2,0)</f>
        <v>0.38515221599308352</v>
      </c>
      <c r="J205" s="27">
        <f>VLOOKUP(CurrentMtgRatesDataTable825[[#This Row],[asOfDate]],AC:AD,2,0)</f>
        <v>0.39464243161649398</v>
      </c>
      <c r="K205" s="27">
        <f>VLOOKUP(CurrentMtgRatesDataTable825[[#This Row],[asOfDate]],temp_1,2,0)</f>
        <v>0.53761514525020104</v>
      </c>
      <c r="M205" s="24">
        <v>41963</v>
      </c>
      <c r="N205" s="26">
        <v>0.5490432943232525</v>
      </c>
      <c r="O205" s="26">
        <f ca="1">VLOOKUP(CurrentMtgRatesDataTable8256[[#This Row],[asOfDate]]+1,Bloomberg!B:C,2,0)</f>
        <v>1547.9</v>
      </c>
      <c r="Q205" s="24">
        <v>41963</v>
      </c>
      <c r="R205" s="26">
        <v>0.43020815046617</v>
      </c>
      <c r="T205" s="24">
        <v>41963</v>
      </c>
      <c r="U205" s="27">
        <v>0.42814045267369355</v>
      </c>
      <c r="W205" s="56">
        <v>41963</v>
      </c>
      <c r="X205" s="57">
        <v>0.38515221599308352</v>
      </c>
      <c r="Z205" s="1">
        <v>41963</v>
      </c>
      <c r="AA205">
        <v>0.38755022595492999</v>
      </c>
      <c r="AC205" s="1">
        <v>41963</v>
      </c>
      <c r="AD205">
        <v>0.39464243161649398</v>
      </c>
      <c r="AF205" s="1">
        <v>41963</v>
      </c>
      <c r="AG205">
        <v>0.53761514525020104</v>
      </c>
    </row>
    <row r="206" spans="2:33">
      <c r="B206" s="24">
        <v>41969</v>
      </c>
      <c r="C206" s="27">
        <v>0.57290983086857539</v>
      </c>
      <c r="D206" s="27">
        <v>0.5613445906309068</v>
      </c>
      <c r="E206" s="26" t="e">
        <f ca="1">VLOOKUP(CurrentMtgRatesDataTable825[[#This Row],[asOfDate]]+1,Bloomberg!B:C,2,0)</f>
        <v>#N/A</v>
      </c>
      <c r="F206" s="27">
        <f>VLOOKUP(CurrentMtgRatesDataTable825[[#This Row],[asOfDate]],CurrentMtgRatesDataTable8256[#All],2,0)</f>
        <v>0.54924529031688318</v>
      </c>
      <c r="G206" s="27">
        <f>VLOOKUP(CurrentMtgRatesDataTable825[[#This Row],[asOfDate]],CurrentMtgRatesDataTable82562[],2,0)</f>
        <v>0.43039904065227119</v>
      </c>
      <c r="H206" s="27">
        <f>VLOOKUP(CurrentMtgRatesDataTable825[[#This Row],[asOfDate]],T:U,2,0)</f>
        <v>0.42832938632971174</v>
      </c>
      <c r="I206" s="58">
        <f>VLOOKUP(CurrentMtgRatesDataTable825[[#This Row],[asOfDate]],CurrentMtgRatesDataTable825623[#All],2,0)</f>
        <v>0.38537159802743809</v>
      </c>
      <c r="J206" s="27">
        <f>VLOOKUP(CurrentMtgRatesDataTable825[[#This Row],[asOfDate]],AC:AD,2,0)</f>
        <v>0.39478657813594797</v>
      </c>
      <c r="K206" s="27">
        <f>VLOOKUP(CurrentMtgRatesDataTable825[[#This Row],[asOfDate]],temp_1,2,0)</f>
        <v>0.53775096220647101</v>
      </c>
      <c r="M206" s="24">
        <v>41969</v>
      </c>
      <c r="N206" s="26">
        <v>0.54924529031688318</v>
      </c>
      <c r="O206" s="26" t="e">
        <f ca="1">VLOOKUP(CurrentMtgRatesDataTable8256[[#This Row],[asOfDate]]+1,Bloomberg!B:C,2,0)</f>
        <v>#N/A</v>
      </c>
      <c r="Q206" s="24">
        <v>41969</v>
      </c>
      <c r="R206" s="26">
        <v>0.43039904065227119</v>
      </c>
      <c r="T206" s="24">
        <v>41969</v>
      </c>
      <c r="U206" s="27">
        <v>0.42832938632971174</v>
      </c>
      <c r="W206" s="56">
        <v>41969</v>
      </c>
      <c r="X206" s="57">
        <v>0.38537159802743809</v>
      </c>
      <c r="Z206" s="1">
        <v>41969</v>
      </c>
      <c r="AA206">
        <v>0.387752299155186</v>
      </c>
      <c r="AC206" s="1">
        <v>41969</v>
      </c>
      <c r="AD206">
        <v>0.39478657813594797</v>
      </c>
      <c r="AF206" s="1">
        <v>41969</v>
      </c>
      <c r="AG206">
        <v>0.53775096220647101</v>
      </c>
    </row>
    <row r="207" spans="2:33">
      <c r="B207" s="24">
        <v>41977</v>
      </c>
      <c r="C207" s="27">
        <v>0.59279776197128353</v>
      </c>
      <c r="D207" s="27">
        <v>0.60026298112075915</v>
      </c>
      <c r="E207" s="26">
        <f ca="1">VLOOKUP(CurrentMtgRatesDataTable825[[#This Row],[asOfDate]]+1,Bloomberg!B:C,2,0)</f>
        <v>1548.6</v>
      </c>
      <c r="F207" s="27">
        <f>VLOOKUP(CurrentMtgRatesDataTable825[[#This Row],[asOfDate]],CurrentMtgRatesDataTable8256[#All],2,0)</f>
        <v>0.54634536257975941</v>
      </c>
      <c r="G207" s="27">
        <f>VLOOKUP(CurrentMtgRatesDataTable825[[#This Row],[asOfDate]],CurrentMtgRatesDataTable82562[],2,0)</f>
        <v>0.45628100373039499</v>
      </c>
      <c r="H207" s="27">
        <f>VLOOKUP(CurrentMtgRatesDataTable825[[#This Row],[asOfDate]],T:U,2,0)</f>
        <v>0.45366657462074822</v>
      </c>
      <c r="I207" s="58">
        <f>VLOOKUP(CurrentMtgRatesDataTable825[[#This Row],[asOfDate]],CurrentMtgRatesDataTable825623[#All],2,0)</f>
        <v>0.40924051329753336</v>
      </c>
      <c r="J207" s="27">
        <f>VLOOKUP(CurrentMtgRatesDataTable825[[#This Row],[asOfDate]],AC:AD,2,0)</f>
        <v>0.41779394948311799</v>
      </c>
      <c r="K207" s="27">
        <f>VLOOKUP(CurrentMtgRatesDataTable825[[#This Row],[asOfDate]],temp_1,2,0)</f>
        <v>0.55994808522013495</v>
      </c>
      <c r="M207" s="24">
        <v>41977</v>
      </c>
      <c r="N207" s="26">
        <v>0.54634536257975941</v>
      </c>
      <c r="O207" s="26">
        <f ca="1">VLOOKUP(CurrentMtgRatesDataTable8256[[#This Row],[asOfDate]]+1,Bloomberg!B:C,2,0)</f>
        <v>1548.6</v>
      </c>
      <c r="Q207" s="24">
        <v>41977</v>
      </c>
      <c r="R207" s="26">
        <v>0.45628100373039499</v>
      </c>
      <c r="T207" s="24">
        <v>41977</v>
      </c>
      <c r="U207" s="27">
        <v>0.45366657462074822</v>
      </c>
      <c r="W207" s="56">
        <v>41977</v>
      </c>
      <c r="X207" s="57">
        <v>0.40924051329753336</v>
      </c>
      <c r="Z207" s="1">
        <v>41977</v>
      </c>
      <c r="AA207">
        <v>0.41142729430222202</v>
      </c>
      <c r="AC207" s="1">
        <v>41977</v>
      </c>
      <c r="AD207">
        <v>0.41779394948311799</v>
      </c>
      <c r="AF207" s="1">
        <v>41977</v>
      </c>
      <c r="AG207">
        <v>0.55994808522013495</v>
      </c>
    </row>
    <row r="208" spans="2:33">
      <c r="B208" s="24">
        <v>41984</v>
      </c>
      <c r="C208" s="27">
        <v>0.5786710507683992</v>
      </c>
      <c r="D208" s="27">
        <v>0.55923412101628112</v>
      </c>
      <c r="E208" s="26">
        <f ca="1">VLOOKUP(CurrentMtgRatesDataTable825[[#This Row],[asOfDate]]+1,Bloomberg!B:C,2,0)</f>
        <v>1518.8</v>
      </c>
      <c r="F208" s="27">
        <f>VLOOKUP(CurrentMtgRatesDataTable825[[#This Row],[asOfDate]],CurrentMtgRatesDataTable8256[#All],2,0)</f>
        <v>0.54581015855265858</v>
      </c>
      <c r="G208" s="27">
        <f>VLOOKUP(CurrentMtgRatesDataTable825[[#This Row],[asOfDate]],CurrentMtgRatesDataTable82562[],2,0)</f>
        <v>0.45567894153433269</v>
      </c>
      <c r="H208" s="27">
        <f>VLOOKUP(CurrentMtgRatesDataTable825[[#This Row],[asOfDate]],T:U,2,0)</f>
        <v>0.45307285506276335</v>
      </c>
      <c r="I208" s="58">
        <f>VLOOKUP(CurrentMtgRatesDataTable825[[#This Row],[asOfDate]],CurrentMtgRatesDataTable825623[#All],2,0)</f>
        <v>0.4080580571716918</v>
      </c>
      <c r="J208" s="27">
        <f>VLOOKUP(CurrentMtgRatesDataTable825[[#This Row],[asOfDate]],AC:AD,2,0)</f>
        <v>0.41674162737276199</v>
      </c>
      <c r="K208" s="27">
        <f>VLOOKUP(CurrentMtgRatesDataTable825[[#This Row],[asOfDate]],temp_1,2,0)</f>
        <v>0.55923798077262399</v>
      </c>
      <c r="M208" s="24">
        <v>41984</v>
      </c>
      <c r="N208" s="26">
        <v>0.54581015855265858</v>
      </c>
      <c r="O208" s="26">
        <f ca="1">VLOOKUP(CurrentMtgRatesDataTable8256[[#This Row],[asOfDate]]+1,Bloomberg!B:C,2,0)</f>
        <v>1518.8</v>
      </c>
      <c r="Q208" s="24">
        <v>41984</v>
      </c>
      <c r="R208" s="26">
        <v>0.45567894153433269</v>
      </c>
      <c r="T208" s="24">
        <v>41984</v>
      </c>
      <c r="U208" s="27">
        <v>0.45307285506276335</v>
      </c>
      <c r="W208" s="56">
        <v>41984</v>
      </c>
      <c r="X208" s="57">
        <v>0.4080580571716918</v>
      </c>
      <c r="Z208" s="1">
        <v>41984</v>
      </c>
      <c r="AA208">
        <v>0.41030749815699002</v>
      </c>
      <c r="AC208" s="1">
        <v>41984</v>
      </c>
      <c r="AD208">
        <v>0.41674162737276199</v>
      </c>
      <c r="AF208" s="1">
        <v>41984</v>
      </c>
      <c r="AG208">
        <v>0.55923798077262399</v>
      </c>
    </row>
    <row r="209" spans="2:33">
      <c r="B209" s="24">
        <v>41991</v>
      </c>
      <c r="C209" s="27">
        <v>0.6155496963810797</v>
      </c>
      <c r="D209" s="27">
        <v>0.61435347220240977</v>
      </c>
      <c r="E209" s="26">
        <f ca="1">VLOOKUP(CurrentMtgRatesDataTable825[[#This Row],[asOfDate]]+1,Bloomberg!B:C,2,0)</f>
        <v>1538.7</v>
      </c>
      <c r="F209" s="27">
        <f>VLOOKUP(CurrentMtgRatesDataTable825[[#This Row],[asOfDate]],CurrentMtgRatesDataTable8256[#All],2,0)</f>
        <v>0.62551576683628252</v>
      </c>
      <c r="G209" s="27">
        <f>VLOOKUP(CurrentMtgRatesDataTable825[[#This Row],[asOfDate]],CurrentMtgRatesDataTable82562[],2,0)</f>
        <v>0.49932545547497792</v>
      </c>
      <c r="H209" s="27">
        <f>VLOOKUP(CurrentMtgRatesDataTable825[[#This Row],[asOfDate]],T:U,2,0)</f>
        <v>0.49619277574154708</v>
      </c>
      <c r="I209" s="58">
        <f>VLOOKUP(CurrentMtgRatesDataTable825[[#This Row],[asOfDate]],CurrentMtgRatesDataTable825623[#All],2,0)</f>
        <v>0.44444312661220686</v>
      </c>
      <c r="J209" s="27">
        <f>VLOOKUP(CurrentMtgRatesDataTable825[[#This Row],[asOfDate]],AC:AD,2,0)</f>
        <v>0.45273770907866101</v>
      </c>
      <c r="K209" s="27">
        <f>VLOOKUP(CurrentMtgRatesDataTable825[[#This Row],[asOfDate]],temp_1,2,0)</f>
        <v>0.59158262628997005</v>
      </c>
      <c r="M209" s="24">
        <v>41991</v>
      </c>
      <c r="N209" s="26">
        <v>0.62551576683628252</v>
      </c>
      <c r="O209" s="26">
        <f ca="1">VLOOKUP(CurrentMtgRatesDataTable8256[[#This Row],[asOfDate]]+1,Bloomberg!B:C,2,0)</f>
        <v>1538.7</v>
      </c>
      <c r="Q209" s="24">
        <v>41991</v>
      </c>
      <c r="R209" s="26">
        <v>0.49932545547497792</v>
      </c>
      <c r="T209" s="24">
        <v>41991</v>
      </c>
      <c r="U209" s="27">
        <v>0.49619277574154708</v>
      </c>
      <c r="W209" s="56">
        <v>41991</v>
      </c>
      <c r="X209" s="57">
        <v>0.44444312661220686</v>
      </c>
      <c r="Z209" s="1">
        <v>41991</v>
      </c>
      <c r="AA209">
        <v>0.44654095293144802</v>
      </c>
      <c r="AC209" s="1">
        <v>41991</v>
      </c>
      <c r="AD209">
        <v>0.45273770907866101</v>
      </c>
      <c r="AF209" s="1">
        <v>41991</v>
      </c>
      <c r="AG209">
        <v>0.59158262628997005</v>
      </c>
    </row>
    <row r="210" spans="2:33">
      <c r="B210" s="24">
        <v>41997</v>
      </c>
      <c r="C210" s="27">
        <v>0.60574636223541978</v>
      </c>
      <c r="D210" s="27">
        <v>0.61435347220240977</v>
      </c>
      <c r="E210" s="26" t="e">
        <f ca="1">VLOOKUP(CurrentMtgRatesDataTable825[[#This Row],[asOfDate]]+1,Bloomberg!B:C,2,0)</f>
        <v>#N/A</v>
      </c>
      <c r="F210" s="27">
        <f>VLOOKUP(CurrentMtgRatesDataTable825[[#This Row],[asOfDate]],CurrentMtgRatesDataTable8256[#All],2,0)</f>
        <v>0.62486343279989665</v>
      </c>
      <c r="G210" s="27">
        <f>VLOOKUP(CurrentMtgRatesDataTable825[[#This Row],[asOfDate]],CurrentMtgRatesDataTable82562[],2,0)</f>
        <v>0.49889277729006254</v>
      </c>
      <c r="H210" s="27">
        <f>VLOOKUP(CurrentMtgRatesDataTable825[[#This Row],[asOfDate]],T:U,2,0)</f>
        <v>0.49576374351331026</v>
      </c>
      <c r="I210" s="58">
        <f>VLOOKUP(CurrentMtgRatesDataTable825[[#This Row],[asOfDate]],CurrentMtgRatesDataTable825623[#All],2,0)</f>
        <v>0.44157633126365065</v>
      </c>
      <c r="J210" s="27">
        <f>VLOOKUP(CurrentMtgRatesDataTable825[[#This Row],[asOfDate]],AC:AD,2,0)</f>
        <v>0.44996183796017403</v>
      </c>
      <c r="K210" s="27">
        <f>VLOOKUP(CurrentMtgRatesDataTable825[[#This Row],[asOfDate]],temp_1,2,0)</f>
        <v>0.59042721040695001</v>
      </c>
      <c r="M210" s="24">
        <v>41997</v>
      </c>
      <c r="N210" s="26">
        <v>0.62486343279989665</v>
      </c>
      <c r="O210" s="26" t="e">
        <f ca="1">VLOOKUP(CurrentMtgRatesDataTable8256[[#This Row],[asOfDate]]+1,Bloomberg!B:C,2,0)</f>
        <v>#N/A</v>
      </c>
      <c r="Q210" s="24">
        <v>41997</v>
      </c>
      <c r="R210" s="26">
        <v>0.49889277729006254</v>
      </c>
      <c r="T210" s="24">
        <v>41997</v>
      </c>
      <c r="U210" s="27">
        <v>0.49576374351331026</v>
      </c>
      <c r="W210" s="56">
        <v>41997</v>
      </c>
      <c r="X210" s="57">
        <v>0.44157633126365065</v>
      </c>
      <c r="Z210" s="1">
        <v>41997</v>
      </c>
      <c r="AA210">
        <v>0.44364336157886203</v>
      </c>
      <c r="AC210" s="1">
        <v>41997</v>
      </c>
      <c r="AD210">
        <v>0.44996183796017403</v>
      </c>
      <c r="AF210" s="1">
        <v>41997</v>
      </c>
      <c r="AG210">
        <v>0.59042721040695001</v>
      </c>
    </row>
    <row r="211" spans="2:33">
      <c r="B211" s="24">
        <v>42004</v>
      </c>
      <c r="C211" s="27">
        <v>0.59072795930158906</v>
      </c>
      <c r="D211" s="27">
        <v>0.56662670751274813</v>
      </c>
      <c r="E211" s="26" t="e">
        <f ca="1">VLOOKUP(CurrentMtgRatesDataTable825[[#This Row],[asOfDate]]+1,Bloomberg!B:C,2,0)</f>
        <v>#N/A</v>
      </c>
      <c r="F211" s="27">
        <f>VLOOKUP(CurrentMtgRatesDataTable825[[#This Row],[asOfDate]],CurrentMtgRatesDataTable8256[#All],2,0)</f>
        <v>0.54632026447860305</v>
      </c>
      <c r="G211" s="27">
        <f>VLOOKUP(CurrentMtgRatesDataTable825[[#This Row],[asOfDate]],CurrentMtgRatesDataTable82562[],2,0)</f>
        <v>0.45623015728134225</v>
      </c>
      <c r="H211" s="27">
        <f>VLOOKUP(CurrentMtgRatesDataTable825[[#This Row],[asOfDate]],T:U,2,0)</f>
        <v>0.45361652490457088</v>
      </c>
      <c r="I211" s="58">
        <f>VLOOKUP(CurrentMtgRatesDataTable825[[#This Row],[asOfDate]],CurrentMtgRatesDataTable825623[#All],2,0)</f>
        <v>0.40919489925904234</v>
      </c>
      <c r="J211" s="27">
        <f>VLOOKUP(CurrentMtgRatesDataTable825[[#This Row],[asOfDate]],AC:AD,2,0)</f>
        <v>0.41775040408126601</v>
      </c>
      <c r="K211" s="27">
        <f>VLOOKUP(CurrentMtgRatesDataTable825[[#This Row],[asOfDate]],temp_1,2,0)</f>
        <v>0.55990527677423996</v>
      </c>
      <c r="M211" s="24">
        <v>42004</v>
      </c>
      <c r="N211" s="26">
        <v>0.54632026447860305</v>
      </c>
      <c r="O211" s="26" t="e">
        <f ca="1">VLOOKUP(CurrentMtgRatesDataTable8256[[#This Row],[asOfDate]]+1,Bloomberg!B:C,2,0)</f>
        <v>#N/A</v>
      </c>
      <c r="Q211" s="24">
        <v>42004</v>
      </c>
      <c r="R211" s="26">
        <v>0.45623015728134225</v>
      </c>
      <c r="T211" s="24">
        <v>42004</v>
      </c>
      <c r="U211" s="27">
        <v>0.45361652490457088</v>
      </c>
      <c r="W211" s="56">
        <v>42004</v>
      </c>
      <c r="X211" s="57">
        <v>0.40919489925904234</v>
      </c>
      <c r="Z211" s="1">
        <v>42004</v>
      </c>
      <c r="AA211">
        <v>0.41138357558236399</v>
      </c>
      <c r="AC211" s="1">
        <v>42004</v>
      </c>
      <c r="AD211">
        <v>0.41775040408126601</v>
      </c>
      <c r="AF211" s="1">
        <v>42004</v>
      </c>
      <c r="AG211">
        <v>0.55990527677423996</v>
      </c>
    </row>
    <row r="212" spans="2:33">
      <c r="B212" s="24">
        <v>42012</v>
      </c>
      <c r="C212" s="27">
        <v>0.63580141506138355</v>
      </c>
      <c r="D212" s="27">
        <v>0.65775903056726748</v>
      </c>
      <c r="E212" s="26">
        <f ca="1">VLOOKUP(CurrentMtgRatesDataTable825[[#This Row],[asOfDate]]+1,Bloomberg!B:C,2,0)</f>
        <v>2271.5</v>
      </c>
      <c r="F212" s="27">
        <f>VLOOKUP(CurrentMtgRatesDataTable825[[#This Row],[asOfDate]],CurrentMtgRatesDataTable8256[#All],2,0)</f>
        <v>0.62197683361271305</v>
      </c>
      <c r="G212" s="27">
        <f>VLOOKUP(CurrentMtgRatesDataTable825[[#This Row],[asOfDate]],CurrentMtgRatesDataTable82562[],2,0)</f>
        <v>0.52521506611823021</v>
      </c>
      <c r="H212" s="27">
        <f>VLOOKUP(CurrentMtgRatesDataTable825[[#This Row],[asOfDate]],T:U,2,0)</f>
        <v>0.52521506611823021</v>
      </c>
      <c r="I212" s="58">
        <f>VLOOKUP(CurrentMtgRatesDataTable825[[#This Row],[asOfDate]],CurrentMtgRatesDataTable825623[#All],2,0)</f>
        <v>0.4699805706154972</v>
      </c>
      <c r="J212" s="27">
        <f>VLOOKUP(CurrentMtgRatesDataTable825[[#This Row],[asOfDate]],AC:AD,2,0)</f>
        <v>0.47713334056444601</v>
      </c>
      <c r="K212" s="27">
        <f>VLOOKUP(CurrentMtgRatesDataTable825[[#This Row],[asOfDate]],temp_1,2,0)</f>
        <v>0.614335309691869</v>
      </c>
      <c r="M212" s="24">
        <v>42012</v>
      </c>
      <c r="N212" s="26">
        <v>0.62197683361271305</v>
      </c>
      <c r="O212" s="26">
        <f ca="1">VLOOKUP(CurrentMtgRatesDataTable8256[[#This Row],[asOfDate]]+1,Bloomberg!B:C,2,0)</f>
        <v>2271.5</v>
      </c>
      <c r="Q212" s="24">
        <v>42012</v>
      </c>
      <c r="R212" s="26">
        <v>0.52521506611823021</v>
      </c>
      <c r="T212" s="24">
        <v>42012</v>
      </c>
      <c r="U212" s="27">
        <v>0.52521506611823021</v>
      </c>
      <c r="W212" s="56">
        <v>42012</v>
      </c>
      <c r="X212" s="57">
        <v>0.4699805706154972</v>
      </c>
      <c r="Z212" s="1">
        <v>42012</v>
      </c>
      <c r="AA212">
        <v>0.471283336620196</v>
      </c>
      <c r="AC212" s="1">
        <v>42012</v>
      </c>
      <c r="AD212">
        <v>0.47713334056444601</v>
      </c>
      <c r="AF212" s="1">
        <v>42012</v>
      </c>
      <c r="AG212">
        <v>0.614335309691869</v>
      </c>
    </row>
    <row r="213" spans="2:33">
      <c r="B213" s="24">
        <v>42019</v>
      </c>
      <c r="C213" s="27">
        <v>0.66264885680249008</v>
      </c>
      <c r="D213" s="27">
        <v>0.7076051125287891</v>
      </c>
      <c r="E213" s="26">
        <f ca="1">VLOOKUP(CurrentMtgRatesDataTable825[[#This Row],[asOfDate]]+1,Bloomberg!B:C,2,0)</f>
        <v>2799.3</v>
      </c>
      <c r="F213" s="27">
        <f>VLOOKUP(CurrentMtgRatesDataTable825[[#This Row],[asOfDate]],CurrentMtgRatesDataTable8256[#All],2,0)</f>
        <v>0.67978466942559534</v>
      </c>
      <c r="G213" s="27">
        <f>VLOOKUP(CurrentMtgRatesDataTable825[[#This Row],[asOfDate]],CurrentMtgRatesDataTable82562[],2,0)</f>
        <v>0.59589441419972755</v>
      </c>
      <c r="H213" s="27">
        <f>VLOOKUP(CurrentMtgRatesDataTable825[[#This Row],[asOfDate]],T:U,2,0)</f>
        <v>0.59589441419972755</v>
      </c>
      <c r="I213" s="58">
        <f>VLOOKUP(CurrentMtgRatesDataTable825[[#This Row],[asOfDate]],CurrentMtgRatesDataTable825623[#All],2,0)</f>
        <v>0.52605134754242744</v>
      </c>
      <c r="J213" s="27">
        <f>VLOOKUP(CurrentMtgRatesDataTable825[[#This Row],[asOfDate]],AC:AD,2,0)</f>
        <v>0.53296054461027997</v>
      </c>
      <c r="K213" s="27">
        <f>VLOOKUP(CurrentMtgRatesDataTable825[[#This Row],[asOfDate]],temp_1,2,0)</f>
        <v>0.66457945448095002</v>
      </c>
      <c r="M213" s="24">
        <v>42019</v>
      </c>
      <c r="N213" s="26">
        <v>0.67978466942559534</v>
      </c>
      <c r="O213" s="26">
        <f ca="1">VLOOKUP(CurrentMtgRatesDataTable8256[[#This Row],[asOfDate]]+1,Bloomberg!B:C,2,0)</f>
        <v>2799.3</v>
      </c>
      <c r="Q213" s="24">
        <v>42019</v>
      </c>
      <c r="R213" s="26">
        <v>0.59589441419972755</v>
      </c>
      <c r="T213" s="24">
        <v>42019</v>
      </c>
      <c r="U213" s="27">
        <v>0.59589441419972755</v>
      </c>
      <c r="W213" s="56">
        <v>42019</v>
      </c>
      <c r="X213" s="57">
        <v>0.52605134754242744</v>
      </c>
      <c r="Z213" s="1">
        <v>42019</v>
      </c>
      <c r="AA213">
        <v>0.52719927591037796</v>
      </c>
      <c r="AC213" s="1">
        <v>42019</v>
      </c>
      <c r="AD213">
        <v>0.53296054461027997</v>
      </c>
      <c r="AF213" s="1">
        <v>42019</v>
      </c>
      <c r="AG213">
        <v>0.66457945448095002</v>
      </c>
    </row>
    <row r="214" spans="2:33">
      <c r="B214" s="24">
        <v>42026</v>
      </c>
      <c r="C214" s="27">
        <v>0.66474126748702123</v>
      </c>
      <c r="D214" s="27">
        <v>0.7076051125287891</v>
      </c>
      <c r="E214" s="26">
        <f ca="1">VLOOKUP(CurrentMtgRatesDataTable825[[#This Row],[asOfDate]]+1,Bloomberg!B:C,2,0)</f>
        <v>2572.3000000000002</v>
      </c>
      <c r="F214" s="27">
        <f>VLOOKUP(CurrentMtgRatesDataTable825[[#This Row],[asOfDate]],CurrentMtgRatesDataTable8256[#All],2,0)</f>
        <v>0.67981359258153007</v>
      </c>
      <c r="G214" s="27">
        <f>VLOOKUP(CurrentMtgRatesDataTable825[[#This Row],[asOfDate]],CurrentMtgRatesDataTable82562[],2,0)</f>
        <v>0.59596808480105368</v>
      </c>
      <c r="H214" s="27">
        <f>VLOOKUP(CurrentMtgRatesDataTable825[[#This Row],[asOfDate]],T:U,2,0)</f>
        <v>0.59596808480105368</v>
      </c>
      <c r="I214" s="58">
        <f>VLOOKUP(CurrentMtgRatesDataTable825[[#This Row],[asOfDate]],CurrentMtgRatesDataTable825623[#All],2,0)</f>
        <v>0.52835609079609336</v>
      </c>
      <c r="J214" s="27">
        <f>VLOOKUP(CurrentMtgRatesDataTable825[[#This Row],[asOfDate]],AC:AD,2,0)</f>
        <v>0.53525908703488601</v>
      </c>
      <c r="K214" s="27">
        <f>VLOOKUP(CurrentMtgRatesDataTable825[[#This Row],[asOfDate]],temp_1,2,0)</f>
        <v>0.66484227327937295</v>
      </c>
      <c r="M214" s="24">
        <v>42026</v>
      </c>
      <c r="N214" s="26">
        <v>0.67981359258153007</v>
      </c>
      <c r="O214" s="26">
        <f ca="1">VLOOKUP(CurrentMtgRatesDataTable8256[[#This Row],[asOfDate]]+1,Bloomberg!B:C,2,0)</f>
        <v>2572.3000000000002</v>
      </c>
      <c r="Q214" s="24">
        <v>42026</v>
      </c>
      <c r="R214" s="26">
        <v>0.59596808480105368</v>
      </c>
      <c r="T214" s="24">
        <v>42026</v>
      </c>
      <c r="U214" s="27">
        <v>0.59596808480105368</v>
      </c>
      <c r="W214" s="56">
        <v>42026</v>
      </c>
      <c r="X214" s="57">
        <v>0.52835609079609336</v>
      </c>
      <c r="Z214" s="1">
        <v>42026</v>
      </c>
      <c r="AA214">
        <v>0.52950364378839199</v>
      </c>
      <c r="AC214" s="1">
        <v>42026</v>
      </c>
      <c r="AD214">
        <v>0.53525908703488601</v>
      </c>
      <c r="AF214" s="1">
        <v>42026</v>
      </c>
      <c r="AG214">
        <v>0.66484227327937295</v>
      </c>
    </row>
    <row r="215" spans="2:33">
      <c r="B215" s="24">
        <v>42033</v>
      </c>
      <c r="C215" s="27">
        <v>0.66264885680249008</v>
      </c>
      <c r="D215" s="27">
        <v>0.7076051125287891</v>
      </c>
      <c r="E215" s="26">
        <f ca="1">VLOOKUP(CurrentMtgRatesDataTable825[[#This Row],[asOfDate]]+1,Bloomberg!B:C,2,0)</f>
        <v>2584.8000000000002</v>
      </c>
      <c r="F215" s="27">
        <f>VLOOKUP(CurrentMtgRatesDataTable825[[#This Row],[asOfDate]],CurrentMtgRatesDataTable8256[#All],2,0)</f>
        <v>0.67978466942559534</v>
      </c>
      <c r="G215" s="27">
        <f>VLOOKUP(CurrentMtgRatesDataTable825[[#This Row],[asOfDate]],CurrentMtgRatesDataTable82562[],2,0)</f>
        <v>0.59589441419972755</v>
      </c>
      <c r="H215" s="27">
        <f>VLOOKUP(CurrentMtgRatesDataTable825[[#This Row],[asOfDate]],T:U,2,0)</f>
        <v>0.59589441419972755</v>
      </c>
      <c r="I215" s="58">
        <f>VLOOKUP(CurrentMtgRatesDataTable825[[#This Row],[asOfDate]],CurrentMtgRatesDataTable825623[#All],2,0)</f>
        <v>0.52605134754242744</v>
      </c>
      <c r="J215" s="27">
        <f>VLOOKUP(CurrentMtgRatesDataTable825[[#This Row],[asOfDate]],AC:AD,2,0)</f>
        <v>0.53296054461027997</v>
      </c>
      <c r="K215" s="27">
        <f>VLOOKUP(CurrentMtgRatesDataTable825[[#This Row],[asOfDate]],temp_1,2,0)</f>
        <v>0.66457945448095002</v>
      </c>
      <c r="M215" s="24">
        <v>42033</v>
      </c>
      <c r="N215" s="26">
        <v>0.67978466942559534</v>
      </c>
      <c r="O215" s="26">
        <f ca="1">VLOOKUP(CurrentMtgRatesDataTable8256[[#This Row],[asOfDate]]+1,Bloomberg!B:C,2,0)</f>
        <v>2584.8000000000002</v>
      </c>
      <c r="Q215" s="24">
        <v>42033</v>
      </c>
      <c r="R215" s="26">
        <v>0.59589441419972755</v>
      </c>
      <c r="T215" s="24">
        <v>42033</v>
      </c>
      <c r="U215" s="27">
        <v>0.59589441419972755</v>
      </c>
      <c r="W215" s="56">
        <v>42033</v>
      </c>
      <c r="X215" s="57">
        <v>0.52605134754242744</v>
      </c>
      <c r="Z215" s="1">
        <v>42033</v>
      </c>
      <c r="AA215">
        <v>0.52719927591037796</v>
      </c>
      <c r="AC215" s="1">
        <v>42033</v>
      </c>
      <c r="AD215">
        <v>0.53296054461027997</v>
      </c>
      <c r="AF215" s="1">
        <v>42033</v>
      </c>
      <c r="AG215">
        <v>0.66457945448095002</v>
      </c>
    </row>
    <row r="216" spans="2:33">
      <c r="B216" s="24">
        <v>42040</v>
      </c>
      <c r="C216" s="27">
        <v>0.68438167594716182</v>
      </c>
      <c r="D216" s="27">
        <v>0.70979540523133478</v>
      </c>
      <c r="E216" s="26">
        <f ca="1">VLOOKUP(CurrentMtgRatesDataTable825[[#This Row],[asOfDate]]+1,Bloomberg!B:C,2,0)</f>
        <v>2291.3000000000002</v>
      </c>
      <c r="F216" s="27">
        <f>VLOOKUP(CurrentMtgRatesDataTable825[[#This Row],[asOfDate]],CurrentMtgRatesDataTable8256[#All],2,0)</f>
        <v>0.67752750204659062</v>
      </c>
      <c r="G216" s="27">
        <f>VLOOKUP(CurrentMtgRatesDataTable825[[#This Row],[asOfDate]],CurrentMtgRatesDataTable82562[],2,0)</f>
        <v>0.59044174111366599</v>
      </c>
      <c r="H216" s="27">
        <f>VLOOKUP(CurrentMtgRatesDataTable825[[#This Row],[asOfDate]],T:U,2,0)</f>
        <v>0.59044174111366599</v>
      </c>
      <c r="I216" s="58">
        <f>VLOOKUP(CurrentMtgRatesDataTable825[[#This Row],[asOfDate]],CurrentMtgRatesDataTable825623[#All],2,0)</f>
        <v>0.5254602265012428</v>
      </c>
      <c r="J216" s="27">
        <f>VLOOKUP(CurrentMtgRatesDataTable825[[#This Row],[asOfDate]],AC:AD,2,0)</f>
        <v>0.531964205535849</v>
      </c>
      <c r="K216" s="27">
        <f>VLOOKUP(CurrentMtgRatesDataTable825[[#This Row],[asOfDate]],temp_1,2,0)</f>
        <v>0.66194922130079104</v>
      </c>
      <c r="M216" s="24">
        <v>42040</v>
      </c>
      <c r="N216" s="26">
        <v>0.67752750204659062</v>
      </c>
      <c r="O216" s="26">
        <f ca="1">VLOOKUP(CurrentMtgRatesDataTable8256[[#This Row],[asOfDate]]+1,Bloomberg!B:C,2,0)</f>
        <v>2291.3000000000002</v>
      </c>
      <c r="Q216" s="24">
        <v>42040</v>
      </c>
      <c r="R216" s="26">
        <v>0.59044174111366599</v>
      </c>
      <c r="T216" s="24">
        <v>42040</v>
      </c>
      <c r="U216" s="27">
        <v>0.59044174111366599</v>
      </c>
      <c r="W216" s="56">
        <v>42040</v>
      </c>
      <c r="X216" s="57">
        <v>0.5254602265012428</v>
      </c>
      <c r="Z216" s="1">
        <v>42040</v>
      </c>
      <c r="AA216">
        <v>0.52648652215574798</v>
      </c>
      <c r="AC216" s="1">
        <v>42040</v>
      </c>
      <c r="AD216">
        <v>0.531964205535849</v>
      </c>
      <c r="AF216" s="1">
        <v>42040</v>
      </c>
      <c r="AG216">
        <v>0.66194922130079104</v>
      </c>
    </row>
    <row r="217" spans="2:33">
      <c r="B217" s="24">
        <v>42047</v>
      </c>
      <c r="C217" s="27">
        <v>0.64890841265420796</v>
      </c>
      <c r="D217" s="27">
        <v>0.70979540523133478</v>
      </c>
      <c r="E217" s="26">
        <f ca="1">VLOOKUP(CurrentMtgRatesDataTable825[[#This Row],[asOfDate]]+1,Bloomberg!B:C,2,0)</f>
        <v>1904.2</v>
      </c>
      <c r="F217" s="27">
        <f>VLOOKUP(CurrentMtgRatesDataTable825[[#This Row],[asOfDate]],CurrentMtgRatesDataTable8256[#All],2,0)</f>
        <v>0.676983954566723</v>
      </c>
      <c r="G217" s="27">
        <f>VLOOKUP(CurrentMtgRatesDataTable825[[#This Row],[asOfDate]],CurrentMtgRatesDataTable82562[],2,0)</f>
        <v>0.56093530260459656</v>
      </c>
      <c r="H217" s="27">
        <f>VLOOKUP(CurrentMtgRatesDataTable825[[#This Row],[asOfDate]],T:U,2,0)</f>
        <v>0.56093530260459656</v>
      </c>
      <c r="I217" s="58">
        <f>VLOOKUP(CurrentMtgRatesDataTable825[[#This Row],[asOfDate]],CurrentMtgRatesDataTable825623[#All],2,0)</f>
        <v>0.49442366816029654</v>
      </c>
      <c r="J217" s="27">
        <f>VLOOKUP(CurrentMtgRatesDataTable825[[#This Row],[asOfDate]],AC:AD,2,0)</f>
        <v>0.50112937152177495</v>
      </c>
      <c r="K217" s="27">
        <f>VLOOKUP(CurrentMtgRatesDataTable825[[#This Row],[asOfDate]],temp_1,2,0)</f>
        <v>0.63758870497027298</v>
      </c>
      <c r="M217" s="24">
        <v>42047</v>
      </c>
      <c r="N217" s="26">
        <v>0.676983954566723</v>
      </c>
      <c r="O217" s="26">
        <f ca="1">VLOOKUP(CurrentMtgRatesDataTable8256[[#This Row],[asOfDate]]+1,Bloomberg!B:C,2,0)</f>
        <v>1904.2</v>
      </c>
      <c r="Q217" s="24">
        <v>42047</v>
      </c>
      <c r="R217" s="26">
        <v>0.56093530260459656</v>
      </c>
      <c r="T217" s="24">
        <v>42047</v>
      </c>
      <c r="U217" s="27">
        <v>0.56093530260459656</v>
      </c>
      <c r="W217" s="56">
        <v>42047</v>
      </c>
      <c r="X217" s="57">
        <v>0.49442366816029654</v>
      </c>
      <c r="Z217" s="1">
        <v>42047</v>
      </c>
      <c r="AA217">
        <v>0.49557864175973598</v>
      </c>
      <c r="AC217" s="1">
        <v>42047</v>
      </c>
      <c r="AD217">
        <v>0.50112937152177495</v>
      </c>
      <c r="AF217" s="1">
        <v>42047</v>
      </c>
      <c r="AG217">
        <v>0.63758870497027298</v>
      </c>
    </row>
    <row r="218" spans="2:33">
      <c r="B218" s="24">
        <v>42054</v>
      </c>
      <c r="C218" s="27">
        <v>0.62651628119673453</v>
      </c>
      <c r="D218" s="27">
        <v>0.65221835687993346</v>
      </c>
      <c r="E218" s="26">
        <f ca="1">VLOOKUP(CurrentMtgRatesDataTable825[[#This Row],[asOfDate]]+1,Bloomberg!B:C,2,0)</f>
        <v>1703.1</v>
      </c>
      <c r="F218" s="27">
        <f>VLOOKUP(CurrentMtgRatesDataTable825[[#This Row],[asOfDate]],CurrentMtgRatesDataTable8256[#All],2,0)</f>
        <v>0.61566859790099082</v>
      </c>
      <c r="G218" s="27">
        <f>VLOOKUP(CurrentMtgRatesDataTable825[[#This Row],[asOfDate]],CurrentMtgRatesDataTable82562[],2,0)</f>
        <v>0.51672469270397592</v>
      </c>
      <c r="H218" s="27">
        <f>VLOOKUP(CurrentMtgRatesDataTable825[[#This Row],[asOfDate]],T:U,2,0)</f>
        <v>0.51672469270397592</v>
      </c>
      <c r="I218" s="58">
        <f>VLOOKUP(CurrentMtgRatesDataTable825[[#This Row],[asOfDate]],CurrentMtgRatesDataTable825623[#All],2,0)</f>
        <v>0.46098343440077427</v>
      </c>
      <c r="J218" s="27">
        <f>VLOOKUP(CurrentMtgRatesDataTable825[[#This Row],[asOfDate]],AC:AD,2,0)</f>
        <v>0.46787253141998503</v>
      </c>
      <c r="K218" s="27">
        <f>VLOOKUP(CurrentMtgRatesDataTable825[[#This Row],[asOfDate]],temp_1,2,0)</f>
        <v>0.60813217145599097</v>
      </c>
      <c r="M218" s="24">
        <v>42054</v>
      </c>
      <c r="N218" s="26">
        <v>0.61566859790099082</v>
      </c>
      <c r="O218" s="26">
        <f ca="1">VLOOKUP(CurrentMtgRatesDataTable8256[[#This Row],[asOfDate]]+1,Bloomberg!B:C,2,0)</f>
        <v>1703.1</v>
      </c>
      <c r="Q218" s="24">
        <v>42054</v>
      </c>
      <c r="R218" s="26">
        <v>0.51672469270397592</v>
      </c>
      <c r="T218" s="24">
        <v>42054</v>
      </c>
      <c r="U218" s="27">
        <v>0.51672469270397592</v>
      </c>
      <c r="W218" s="56">
        <v>42054</v>
      </c>
      <c r="X218" s="57">
        <v>0.46098343440077427</v>
      </c>
      <c r="Z218" s="1">
        <v>42054</v>
      </c>
      <c r="AA218">
        <v>0.462228272584294</v>
      </c>
      <c r="AC218" s="1">
        <v>42054</v>
      </c>
      <c r="AD218">
        <v>0.46787253141998503</v>
      </c>
      <c r="AF218" s="1">
        <v>42054</v>
      </c>
      <c r="AG218">
        <v>0.60813217145599097</v>
      </c>
    </row>
    <row r="219" spans="2:33">
      <c r="B219" s="24">
        <v>42061</v>
      </c>
      <c r="C219" s="27">
        <v>0.61098575112407738</v>
      </c>
      <c r="D219" s="27">
        <v>0.6133604991940782</v>
      </c>
      <c r="E219" s="26">
        <f ca="1">VLOOKUP(CurrentMtgRatesDataTable825[[#This Row],[asOfDate]]+1,Bloomberg!B:C,2,0)</f>
        <v>1740.3</v>
      </c>
      <c r="F219" s="27">
        <f>VLOOKUP(CurrentMtgRatesDataTable825[[#This Row],[asOfDate]],CurrentMtgRatesDataTable8256[#All],2,0)</f>
        <v>0.6151593401991402</v>
      </c>
      <c r="G219" s="27">
        <f>VLOOKUP(CurrentMtgRatesDataTable825[[#This Row],[asOfDate]],CurrentMtgRatesDataTable82562[],2,0)</f>
        <v>0.48350846650958634</v>
      </c>
      <c r="H219" s="27">
        <f>VLOOKUP(CurrentMtgRatesDataTable825[[#This Row],[asOfDate]],T:U,2,0)</f>
        <v>0.48350846650958634</v>
      </c>
      <c r="I219" s="58">
        <f>VLOOKUP(CurrentMtgRatesDataTable825[[#This Row],[asOfDate]],CurrentMtgRatesDataTable825623[#All],2,0)</f>
        <v>0.43010921248141931</v>
      </c>
      <c r="J219" s="27">
        <f>VLOOKUP(CurrentMtgRatesDataTable825[[#This Row],[asOfDate]],AC:AD,2,0)</f>
        <v>0.43720530063230401</v>
      </c>
      <c r="K219" s="27">
        <f>VLOOKUP(CurrentMtgRatesDataTable825[[#This Row],[asOfDate]],temp_1,2,0)</f>
        <v>0.58092112302735699</v>
      </c>
      <c r="M219" s="24">
        <v>42061</v>
      </c>
      <c r="N219" s="26">
        <v>0.6151593401991402</v>
      </c>
      <c r="O219" s="26">
        <f ca="1">VLOOKUP(CurrentMtgRatesDataTable8256[[#This Row],[asOfDate]]+1,Bloomberg!B:C,2,0)</f>
        <v>1740.3</v>
      </c>
      <c r="Q219" s="24">
        <v>42061</v>
      </c>
      <c r="R219" s="26">
        <v>0.48350846650958634</v>
      </c>
      <c r="T219" s="24">
        <v>42061</v>
      </c>
      <c r="U219" s="27">
        <v>0.48350846650958634</v>
      </c>
      <c r="W219" s="56">
        <v>42061</v>
      </c>
      <c r="X219" s="57">
        <v>0.43010921248141931</v>
      </c>
      <c r="Z219" s="1">
        <v>42061</v>
      </c>
      <c r="AA219">
        <v>0.43151146745546598</v>
      </c>
      <c r="AC219" s="1">
        <v>42061</v>
      </c>
      <c r="AD219">
        <v>0.43720530063230401</v>
      </c>
      <c r="AF219" s="1">
        <v>42061</v>
      </c>
      <c r="AG219">
        <v>0.58092112302735699</v>
      </c>
    </row>
    <row r="220" spans="2:33">
      <c r="B220" s="24">
        <v>42068</v>
      </c>
      <c r="C220" s="27">
        <v>0.61966926616186646</v>
      </c>
      <c r="D220" s="27">
        <v>0.63839277960313034</v>
      </c>
      <c r="E220" s="26">
        <f ca="1">VLOOKUP(CurrentMtgRatesDataTable825[[#This Row],[asOfDate]]+1,Bloomberg!B:C,2,0)</f>
        <v>1685.7</v>
      </c>
      <c r="F220" s="27">
        <f>VLOOKUP(CurrentMtgRatesDataTable825[[#This Row],[asOfDate]],CurrentMtgRatesDataTable8256[#All],2,0)</f>
        <v>0.60677474487423166</v>
      </c>
      <c r="G220" s="27">
        <f>VLOOKUP(CurrentMtgRatesDataTable825[[#This Row],[asOfDate]],CurrentMtgRatesDataTable82562[],2,0)</f>
        <v>0.50718342258638915</v>
      </c>
      <c r="H220" s="27">
        <f>VLOOKUP(CurrentMtgRatesDataTable825[[#This Row],[asOfDate]],T:U,2,0)</f>
        <v>0.50718342258638915</v>
      </c>
      <c r="I220" s="58">
        <f>VLOOKUP(CurrentMtgRatesDataTable825[[#This Row],[asOfDate]],CurrentMtgRatesDataTable825623[#All],2,0)</f>
        <v>0.45294063034136495</v>
      </c>
      <c r="J220" s="27">
        <f>VLOOKUP(CurrentMtgRatesDataTable825[[#This Row],[asOfDate]],AC:AD,2,0)</f>
        <v>0.45959407492170601</v>
      </c>
      <c r="K220" s="27">
        <f>VLOOKUP(CurrentMtgRatesDataTable825[[#This Row],[asOfDate]],temp_1,2,0)</f>
        <v>0.60172096268720499</v>
      </c>
      <c r="M220" s="24">
        <v>42068</v>
      </c>
      <c r="N220" s="26">
        <v>0.60677474487423166</v>
      </c>
      <c r="O220" s="26">
        <f ca="1">VLOOKUP(CurrentMtgRatesDataTable8256[[#This Row],[asOfDate]]+1,Bloomberg!B:C,2,0)</f>
        <v>1685.7</v>
      </c>
      <c r="Q220" s="24">
        <v>42068</v>
      </c>
      <c r="R220" s="26">
        <v>0.50718342258638915</v>
      </c>
      <c r="T220" s="24">
        <v>42068</v>
      </c>
      <c r="U220" s="27">
        <v>0.50718342258638915</v>
      </c>
      <c r="W220" s="56">
        <v>42068</v>
      </c>
      <c r="X220" s="57">
        <v>0.45294063034136495</v>
      </c>
      <c r="Z220" s="1">
        <v>42068</v>
      </c>
      <c r="AA220">
        <v>0.45414359671485499</v>
      </c>
      <c r="AC220" s="1">
        <v>42068</v>
      </c>
      <c r="AD220">
        <v>0.45959407492170601</v>
      </c>
      <c r="AF220" s="1">
        <v>42068</v>
      </c>
      <c r="AG220">
        <v>0.60172096268720499</v>
      </c>
    </row>
    <row r="221" spans="2:33">
      <c r="B221" s="24">
        <v>42075</v>
      </c>
      <c r="C221" s="27">
        <v>0.57559445438514367</v>
      </c>
      <c r="D221" s="27">
        <v>0.58727392511180188</v>
      </c>
      <c r="E221" s="26">
        <f ca="1">VLOOKUP(CurrentMtgRatesDataTable825[[#This Row],[asOfDate]]+1,Bloomberg!B:C,2,0)</f>
        <v>1623.6</v>
      </c>
      <c r="F221" s="27">
        <f>VLOOKUP(CurrentMtgRatesDataTable825[[#This Row],[asOfDate]],CurrentMtgRatesDataTable8256[#All],2,0)</f>
        <v>0.52303888200369164</v>
      </c>
      <c r="G221" s="27">
        <f>VLOOKUP(CurrentMtgRatesDataTable825[[#This Row],[asOfDate]],CurrentMtgRatesDataTable82562[],2,0)</f>
        <v>0.43124435584172754</v>
      </c>
      <c r="H221" s="27">
        <f>VLOOKUP(CurrentMtgRatesDataTable825[[#This Row],[asOfDate]],T:U,2,0)</f>
        <v>0.43124435584172754</v>
      </c>
      <c r="I221" s="58">
        <f>VLOOKUP(CurrentMtgRatesDataTable825[[#This Row],[asOfDate]],CurrentMtgRatesDataTable825623[#All],2,0)</f>
        <v>0.3870529036276229</v>
      </c>
      <c r="J221" s="27">
        <f>VLOOKUP(CurrentMtgRatesDataTable825[[#This Row],[asOfDate]],AC:AD,2,0)</f>
        <v>0.394169404360453</v>
      </c>
      <c r="K221" s="27">
        <f>VLOOKUP(CurrentMtgRatesDataTable825[[#This Row],[asOfDate]],temp_1,2,0)</f>
        <v>0.54300415809967995</v>
      </c>
      <c r="M221" s="24">
        <v>42075</v>
      </c>
      <c r="N221" s="26">
        <v>0.52303888200369164</v>
      </c>
      <c r="O221" s="26">
        <f ca="1">VLOOKUP(CurrentMtgRatesDataTable8256[[#This Row],[asOfDate]]+1,Bloomberg!B:C,2,0)</f>
        <v>1623.6</v>
      </c>
      <c r="Q221" s="24">
        <v>42075</v>
      </c>
      <c r="R221" s="26">
        <v>0.43124435584172754</v>
      </c>
      <c r="T221" s="24">
        <v>42075</v>
      </c>
      <c r="U221" s="27">
        <v>0.43124435584172754</v>
      </c>
      <c r="W221" s="56">
        <v>42075</v>
      </c>
      <c r="X221" s="57">
        <v>0.3870529036276229</v>
      </c>
      <c r="Z221" s="1">
        <v>42075</v>
      </c>
      <c r="AA221">
        <v>0.388510102191298</v>
      </c>
      <c r="AC221" s="1">
        <v>42075</v>
      </c>
      <c r="AD221">
        <v>0.394169404360453</v>
      </c>
      <c r="AF221" s="1">
        <v>42075</v>
      </c>
      <c r="AG221">
        <v>0.54300415809967995</v>
      </c>
    </row>
    <row r="222" spans="2:33">
      <c r="B222" s="24">
        <v>42082</v>
      </c>
      <c r="C222" s="27">
        <v>0.60937196228640689</v>
      </c>
      <c r="D222" s="27">
        <v>0.62435778035201872</v>
      </c>
      <c r="E222" s="26">
        <f ca="1">VLOOKUP(CurrentMtgRatesDataTable825[[#This Row],[asOfDate]]+1,Bloomberg!B:C,2,0)</f>
        <v>1860.8</v>
      </c>
      <c r="F222" s="27">
        <f>VLOOKUP(CurrentMtgRatesDataTable825[[#This Row],[asOfDate]],CurrentMtgRatesDataTable8256[#All],2,0)</f>
        <v>0.60648965415006506</v>
      </c>
      <c r="G222" s="27">
        <f>VLOOKUP(CurrentMtgRatesDataTable825[[#This Row],[asOfDate]],CurrentMtgRatesDataTable82562[],2,0)</f>
        <v>0.50666988212578556</v>
      </c>
      <c r="H222" s="27">
        <f>VLOOKUP(CurrentMtgRatesDataTable825[[#This Row],[asOfDate]],T:U,2,0)</f>
        <v>0.50666988212578556</v>
      </c>
      <c r="I222" s="58">
        <f>VLOOKUP(CurrentMtgRatesDataTable825[[#This Row],[asOfDate]],CurrentMtgRatesDataTable825623[#All],2,0)</f>
        <v>0.45175307267929959</v>
      </c>
      <c r="J222" s="27">
        <f>VLOOKUP(CurrentMtgRatesDataTable825[[#This Row],[asOfDate]],AC:AD,2,0)</f>
        <v>0.45850870301610303</v>
      </c>
      <c r="K222" s="27">
        <f>VLOOKUP(CurrentMtgRatesDataTable825[[#This Row],[asOfDate]],temp_1,2,0)</f>
        <v>0.601158744048226</v>
      </c>
      <c r="M222" s="24">
        <v>42082</v>
      </c>
      <c r="N222" s="26">
        <v>0.60648965415006506</v>
      </c>
      <c r="O222" s="26">
        <f ca="1">VLOOKUP(CurrentMtgRatesDataTable8256[[#This Row],[asOfDate]]+1,Bloomberg!B:C,2,0)</f>
        <v>1860.8</v>
      </c>
      <c r="Q222" s="24">
        <v>42082</v>
      </c>
      <c r="R222" s="26">
        <v>0.50666988212578556</v>
      </c>
      <c r="T222" s="24">
        <v>42082</v>
      </c>
      <c r="U222" s="27">
        <v>0.50666988212578556</v>
      </c>
      <c r="W222" s="56">
        <v>42082</v>
      </c>
      <c r="X222" s="57">
        <v>0.45175307267929959</v>
      </c>
      <c r="Z222" s="1">
        <v>42082</v>
      </c>
      <c r="AA222">
        <v>0.453029450737649</v>
      </c>
      <c r="AC222" s="1">
        <v>42082</v>
      </c>
      <c r="AD222">
        <v>0.45850870301610303</v>
      </c>
      <c r="AF222" s="1">
        <v>42082</v>
      </c>
      <c r="AG222">
        <v>0.601158744048226</v>
      </c>
    </row>
    <row r="223" spans="2:33">
      <c r="B223" s="24">
        <v>42089</v>
      </c>
      <c r="C223" s="27">
        <v>0.64195316325793905</v>
      </c>
      <c r="D223" s="27">
        <v>0.69977124002475233</v>
      </c>
      <c r="E223" s="26">
        <f ca="1">VLOOKUP(CurrentMtgRatesDataTable825[[#This Row],[asOfDate]]+1,Bloomberg!B:C,2,0)</f>
        <v>1941.6</v>
      </c>
      <c r="F223" s="27">
        <f>VLOOKUP(CurrentMtgRatesDataTable825[[#This Row],[asOfDate]],CurrentMtgRatesDataTable8256[#All],2,0)</f>
        <v>0.66948681688726752</v>
      </c>
      <c r="G223" s="27">
        <f>VLOOKUP(CurrentMtgRatesDataTable825[[#This Row],[asOfDate]],CurrentMtgRatesDataTable82562[],2,0)</f>
        <v>0.55138762509375627</v>
      </c>
      <c r="H223" s="27">
        <f>VLOOKUP(CurrentMtgRatesDataTable825[[#This Row],[asOfDate]],T:U,2,0)</f>
        <v>0.55138762509375627</v>
      </c>
      <c r="I223" s="58">
        <f>VLOOKUP(CurrentMtgRatesDataTable825[[#This Row],[asOfDate]],CurrentMtgRatesDataTable825623[#All],2,0)</f>
        <v>0.48615161590543643</v>
      </c>
      <c r="J223" s="27">
        <f>VLOOKUP(CurrentMtgRatesDataTable825[[#This Row],[asOfDate]],AC:AD,2,0)</f>
        <v>0.49264013227543102</v>
      </c>
      <c r="K223" s="27">
        <f>VLOOKUP(CurrentMtgRatesDataTable825[[#This Row],[asOfDate]],temp_1,2,0)</f>
        <v>0.63113120835468395</v>
      </c>
      <c r="M223" s="24">
        <v>42089</v>
      </c>
      <c r="N223" s="26">
        <v>0.66948681688726752</v>
      </c>
      <c r="O223" s="26">
        <f ca="1">VLOOKUP(CurrentMtgRatesDataTable8256[[#This Row],[asOfDate]]+1,Bloomberg!B:C,2,0)</f>
        <v>1941.6</v>
      </c>
      <c r="Q223" s="24">
        <v>42089</v>
      </c>
      <c r="R223" s="26">
        <v>0.55138762509375627</v>
      </c>
      <c r="T223" s="24">
        <v>42089</v>
      </c>
      <c r="U223" s="27">
        <v>0.55138762509375627</v>
      </c>
      <c r="W223" s="56">
        <v>42089</v>
      </c>
      <c r="X223" s="57">
        <v>0.48615161590543643</v>
      </c>
      <c r="Z223" s="1">
        <v>42089</v>
      </c>
      <c r="AA223">
        <v>0.48726739365175198</v>
      </c>
      <c r="AC223" s="1">
        <v>42089</v>
      </c>
      <c r="AD223">
        <v>0.49264013227543102</v>
      </c>
      <c r="AF223" s="1">
        <v>42089</v>
      </c>
      <c r="AG223">
        <v>0.63113120835468395</v>
      </c>
    </row>
    <row r="224" spans="2:33">
      <c r="B224" s="24">
        <v>42096</v>
      </c>
      <c r="C224" s="27">
        <v>0.62778439660000751</v>
      </c>
      <c r="D224" s="27">
        <v>0.65173618240403819</v>
      </c>
      <c r="E224" s="26">
        <f ca="1">VLOOKUP(CurrentMtgRatesDataTable825[[#This Row],[asOfDate]]+1,Bloomberg!B:C,2,0)</f>
        <v>1854.7</v>
      </c>
      <c r="F224" s="27">
        <f>VLOOKUP(CurrentMtgRatesDataTable825[[#This Row],[asOfDate]],CurrentMtgRatesDataTable8256[#All],2,0)</f>
        <v>0.65757284583633613</v>
      </c>
      <c r="G224" s="27">
        <f>VLOOKUP(CurrentMtgRatesDataTable825[[#This Row],[asOfDate]],CurrentMtgRatesDataTable82562[],2,0)</f>
        <v>0.53682243639344718</v>
      </c>
      <c r="H224" s="27">
        <f>VLOOKUP(CurrentMtgRatesDataTable825[[#This Row],[asOfDate]],T:U,2,0)</f>
        <v>0.53682243639344718</v>
      </c>
      <c r="I224" s="58">
        <f>VLOOKUP(CurrentMtgRatesDataTable825[[#This Row],[asOfDate]],CurrentMtgRatesDataTable825623[#All],2,0)</f>
        <v>0.47072884359674472</v>
      </c>
      <c r="J224" s="27">
        <f>VLOOKUP(CurrentMtgRatesDataTable825[[#This Row],[asOfDate]],AC:AD,2,0)</f>
        <v>0.47700652645494301</v>
      </c>
      <c r="K224" s="27">
        <f>VLOOKUP(CurrentMtgRatesDataTable825[[#This Row],[asOfDate]],temp_1,2,0)</f>
        <v>0.62050008500155596</v>
      </c>
      <c r="M224" s="24">
        <v>42096</v>
      </c>
      <c r="N224" s="26">
        <v>0.65757284583633613</v>
      </c>
      <c r="O224" s="26">
        <f ca="1">VLOOKUP(CurrentMtgRatesDataTable8256[[#This Row],[asOfDate]]+1,Bloomberg!B:C,2,0)</f>
        <v>1854.7</v>
      </c>
      <c r="Q224" s="24">
        <v>42096</v>
      </c>
      <c r="R224" s="26">
        <v>0.53682243639344718</v>
      </c>
      <c r="T224" s="24">
        <v>42096</v>
      </c>
      <c r="U224" s="27">
        <v>0.53682243639344718</v>
      </c>
      <c r="W224" s="56">
        <v>42096</v>
      </c>
      <c r="X224" s="57">
        <v>0.47072884359674472</v>
      </c>
      <c r="Z224" s="1">
        <v>42096</v>
      </c>
      <c r="AA224">
        <v>0.47180003931027897</v>
      </c>
      <c r="AC224" s="1">
        <v>42096</v>
      </c>
      <c r="AD224">
        <v>0.47700652645494301</v>
      </c>
      <c r="AF224" s="1">
        <v>42096</v>
      </c>
      <c r="AG224">
        <v>0.62050008500155596</v>
      </c>
    </row>
    <row r="225" spans="2:33">
      <c r="B225" s="24">
        <v>42103</v>
      </c>
      <c r="C225" s="27">
        <v>0.64459292642165245</v>
      </c>
      <c r="D225" s="27">
        <v>0.68385345070646242</v>
      </c>
      <c r="E225" s="26">
        <f ca="1">VLOOKUP(CurrentMtgRatesDataTable825[[#This Row],[asOfDate]]+1,Bloomberg!B:C,2,0)</f>
        <v>1804.6</v>
      </c>
      <c r="F225" s="27">
        <f>VLOOKUP(CurrentMtgRatesDataTable825[[#This Row],[asOfDate]],CurrentMtgRatesDataTable8256[#All],2,0)</f>
        <v>0.65811343479434081</v>
      </c>
      <c r="G225" s="27">
        <f>VLOOKUP(CurrentMtgRatesDataTable825[[#This Row],[asOfDate]],CurrentMtgRatesDataTable82562[],2,0)</f>
        <v>0.56624534907007407</v>
      </c>
      <c r="H225" s="27">
        <f>VLOOKUP(CurrentMtgRatesDataTable825[[#This Row],[asOfDate]],T:U,2,0)</f>
        <v>0.56624534907007407</v>
      </c>
      <c r="I225" s="58">
        <f>VLOOKUP(CurrentMtgRatesDataTable825[[#This Row],[asOfDate]],CurrentMtgRatesDataTable825623[#All],2,0)</f>
        <v>0.49915608737725392</v>
      </c>
      <c r="J225" s="27">
        <f>VLOOKUP(CurrentMtgRatesDataTable825[[#This Row],[asOfDate]],AC:AD,2,0)</f>
        <v>0.505305541519944</v>
      </c>
      <c r="K225" s="27">
        <f>VLOOKUP(CurrentMtgRatesDataTable825[[#This Row],[asOfDate]],temp_1,2,0)</f>
        <v>0.644780928204296</v>
      </c>
      <c r="M225" s="24">
        <v>42103</v>
      </c>
      <c r="N225" s="26">
        <v>0.65811343479434081</v>
      </c>
      <c r="O225" s="26">
        <f ca="1">VLOOKUP(CurrentMtgRatesDataTable8256[[#This Row],[asOfDate]]+1,Bloomberg!B:C,2,0)</f>
        <v>1804.6</v>
      </c>
      <c r="Q225" s="24">
        <v>42103</v>
      </c>
      <c r="R225" s="26">
        <v>0.56624534907007407</v>
      </c>
      <c r="T225" s="24">
        <v>42103</v>
      </c>
      <c r="U225" s="27">
        <v>0.56624534907007407</v>
      </c>
      <c r="W225" s="56">
        <v>42103</v>
      </c>
      <c r="X225" s="57">
        <v>0.49915608737725392</v>
      </c>
      <c r="Z225" s="1">
        <v>42103</v>
      </c>
      <c r="AA225">
        <v>0.50015786928129402</v>
      </c>
      <c r="AC225" s="1">
        <v>42103</v>
      </c>
      <c r="AD225">
        <v>0.505305541519944</v>
      </c>
      <c r="AF225" s="1">
        <v>42103</v>
      </c>
      <c r="AG225">
        <v>0.644780928204296</v>
      </c>
    </row>
    <row r="226" spans="2:33">
      <c r="B226" s="24">
        <v>42110</v>
      </c>
      <c r="C226" s="27">
        <v>0.63055503904182508</v>
      </c>
      <c r="D226" s="27">
        <v>0.66541071801949692</v>
      </c>
      <c r="E226" s="26">
        <f ca="1">VLOOKUP(CurrentMtgRatesDataTable825[[#This Row],[asOfDate]]+1,Bloomberg!B:C,2,0)</f>
        <v>1817</v>
      </c>
      <c r="F226" s="27">
        <f>VLOOKUP(CurrentMtgRatesDataTable825[[#This Row],[asOfDate]],CurrentMtgRatesDataTable8256[#All],2,0)</f>
        <v>0.65789565295070052</v>
      </c>
      <c r="G226" s="27">
        <f>VLOOKUP(CurrentMtgRatesDataTable825[[#This Row],[asOfDate]],CurrentMtgRatesDataTable82562[],2,0)</f>
        <v>0.5369178318662613</v>
      </c>
      <c r="H226" s="27">
        <f>VLOOKUP(CurrentMtgRatesDataTable825[[#This Row],[asOfDate]],T:U,2,0)</f>
        <v>0.5369178318662613</v>
      </c>
      <c r="I226" s="58">
        <f>VLOOKUP(CurrentMtgRatesDataTable825[[#This Row],[asOfDate]],CurrentMtgRatesDataTable825623[#All],2,0)</f>
        <v>0.47260889923644794</v>
      </c>
      <c r="J226" s="27">
        <f>VLOOKUP(CurrentMtgRatesDataTable825[[#This Row],[asOfDate]],AC:AD,2,0)</f>
        <v>0.47885281621922599</v>
      </c>
      <c r="K226" s="27">
        <f>VLOOKUP(CurrentMtgRatesDataTable825[[#This Row],[asOfDate]],temp_1,2,0)</f>
        <v>0.62101551120389098</v>
      </c>
      <c r="M226" s="24">
        <v>42110</v>
      </c>
      <c r="N226" s="26">
        <v>0.65789565295070052</v>
      </c>
      <c r="O226" s="26">
        <f ca="1">VLOOKUP(CurrentMtgRatesDataTable8256[[#This Row],[asOfDate]]+1,Bloomberg!B:C,2,0)</f>
        <v>1817</v>
      </c>
      <c r="Q226" s="24">
        <v>42110</v>
      </c>
      <c r="R226" s="26">
        <v>0.5369178318662613</v>
      </c>
      <c r="T226" s="24">
        <v>42110</v>
      </c>
      <c r="U226" s="27">
        <v>0.5369178318662613</v>
      </c>
      <c r="W226" s="56">
        <v>42110</v>
      </c>
      <c r="X226" s="57">
        <v>0.47260889923644794</v>
      </c>
      <c r="Z226" s="1">
        <v>42110</v>
      </c>
      <c r="AA226">
        <v>0.47366622365147298</v>
      </c>
      <c r="AC226" s="1">
        <v>42110</v>
      </c>
      <c r="AD226">
        <v>0.47885281621922599</v>
      </c>
      <c r="AF226" s="1">
        <v>42110</v>
      </c>
      <c r="AG226">
        <v>0.62101551120389098</v>
      </c>
    </row>
    <row r="227" spans="2:33">
      <c r="B227" s="24">
        <v>42117</v>
      </c>
      <c r="C227" s="27">
        <v>0.64951370522505292</v>
      </c>
      <c r="D227" s="27">
        <v>0.68385345070646242</v>
      </c>
      <c r="E227" s="26" t="e">
        <f ca="1">VLOOKUP(CurrentMtgRatesDataTable825[[#This Row],[asOfDate]]+1,Bloomberg!B:C,2,0)</f>
        <v>#N/A</v>
      </c>
      <c r="F227" s="27">
        <f>VLOOKUP(CurrentMtgRatesDataTable825[[#This Row],[asOfDate]],CurrentMtgRatesDataTable8256[#All],2,0)</f>
        <v>0.65853359306754533</v>
      </c>
      <c r="G227" s="27">
        <f>VLOOKUP(CurrentMtgRatesDataTable825[[#This Row],[asOfDate]],CurrentMtgRatesDataTable82562[],2,0)</f>
        <v>0.56669393867683882</v>
      </c>
      <c r="H227" s="27">
        <f>VLOOKUP(CurrentMtgRatesDataTable825[[#This Row],[asOfDate]],T:U,2,0)</f>
        <v>0.56669393867683882</v>
      </c>
      <c r="I227" s="58">
        <f>VLOOKUP(CurrentMtgRatesDataTable825[[#This Row],[asOfDate]],CurrentMtgRatesDataTable825623[#All],2,0)</f>
        <v>0.50167016442185053</v>
      </c>
      <c r="J227" s="27">
        <f>VLOOKUP(CurrentMtgRatesDataTable825[[#This Row],[asOfDate]],AC:AD,2,0)</f>
        <v>0.50775672845638498</v>
      </c>
      <c r="K227" s="27">
        <f>VLOOKUP(CurrentMtgRatesDataTable825[[#This Row],[asOfDate]],temp_1,2,0)</f>
        <v>0.64530537163066504</v>
      </c>
      <c r="M227" s="24">
        <v>42117</v>
      </c>
      <c r="N227" s="26">
        <v>0.65853359306754533</v>
      </c>
      <c r="O227" s="26" t="e">
        <f ca="1">VLOOKUP(CurrentMtgRatesDataTable8256[[#This Row],[asOfDate]]+1,Bloomberg!B:C,2,0)</f>
        <v>#N/A</v>
      </c>
      <c r="Q227" s="24">
        <v>42117</v>
      </c>
      <c r="R227" s="26">
        <v>0.56669393867683882</v>
      </c>
      <c r="T227" s="24">
        <v>42117</v>
      </c>
      <c r="U227" s="27">
        <v>0.56669393867683882</v>
      </c>
      <c r="W227" s="56">
        <v>42117</v>
      </c>
      <c r="X227" s="57">
        <v>0.50167016442185053</v>
      </c>
      <c r="Z227" s="1">
        <v>42117</v>
      </c>
      <c r="AA227">
        <v>0.50262057704354302</v>
      </c>
      <c r="AC227" s="1">
        <v>42117</v>
      </c>
      <c r="AD227">
        <v>0.50775672845638498</v>
      </c>
      <c r="AF227" s="1">
        <v>42117</v>
      </c>
      <c r="AG227">
        <v>0.64530537163066504</v>
      </c>
    </row>
    <row r="228" spans="2:33">
      <c r="Q228" s="24">
        <v>42124</v>
      </c>
      <c r="R228" s="26">
        <v>0.53705791563411454</v>
      </c>
      <c r="T228" s="24">
        <v>42124</v>
      </c>
      <c r="U228" s="27">
        <v>0.53705791563411454</v>
      </c>
      <c r="W228" s="56">
        <v>42124</v>
      </c>
      <c r="X228" s="57">
        <v>0.4739230654186945</v>
      </c>
      <c r="Z228" s="1">
        <v>42124</v>
      </c>
      <c r="AA228">
        <v>0.47496804801389803</v>
      </c>
      <c r="AC228" s="1">
        <v>42124</v>
      </c>
      <c r="AD228">
        <v>0.48011645770946798</v>
      </c>
      <c r="AF228" s="1">
        <v>42124</v>
      </c>
      <c r="AG228">
        <v>0.62145722844559703</v>
      </c>
    </row>
    <row r="229" spans="2:33">
      <c r="AF229" s="1">
        <v>42131</v>
      </c>
      <c r="AG229">
        <v>0.55975925113312697</v>
      </c>
    </row>
    <row r="230" spans="2:33">
      <c r="AF230" s="1">
        <v>42138</v>
      </c>
      <c r="AG230">
        <v>0.55856526466443901</v>
      </c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433"/>
  <sheetViews>
    <sheetView workbookViewId="0">
      <selection activeCell="Z17" sqref="Z17:Z18"/>
    </sheetView>
  </sheetViews>
  <sheetFormatPr defaultRowHeight="15"/>
  <cols>
    <col min="2" max="2" width="16.28515625" customWidth="1"/>
  </cols>
  <sheetData>
    <row r="1" spans="2:3">
      <c r="B1" s="1" t="e">
        <f ca="1">_xll.BDH("MBAVCMRS Index","PX LAST","8/10/07",TODAY(),"cols=2;rows=402")</f>
        <v>#NAME?</v>
      </c>
      <c r="C1">
        <v>2104.1</v>
      </c>
    </row>
    <row r="2" spans="2:3">
      <c r="B2" s="1">
        <v>39311</v>
      </c>
      <c r="C2">
        <v>1960.1</v>
      </c>
    </row>
    <row r="3" spans="2:3">
      <c r="B3" s="1">
        <v>39318</v>
      </c>
      <c r="C3">
        <v>1871.4</v>
      </c>
    </row>
    <row r="4" spans="2:3">
      <c r="B4" s="1">
        <v>39325</v>
      </c>
      <c r="C4">
        <v>1892.3</v>
      </c>
    </row>
    <row r="5" spans="2:3">
      <c r="B5" s="1">
        <v>39332</v>
      </c>
      <c r="C5">
        <v>2009.3</v>
      </c>
    </row>
    <row r="6" spans="2:3">
      <c r="B6" s="1">
        <v>39339</v>
      </c>
      <c r="C6">
        <v>2091.1</v>
      </c>
    </row>
    <row r="7" spans="2:3">
      <c r="B7" s="1">
        <v>39346</v>
      </c>
      <c r="C7">
        <v>2172.5</v>
      </c>
    </row>
    <row r="8" spans="2:3">
      <c r="B8" s="1">
        <v>39353</v>
      </c>
      <c r="C8">
        <v>2065.6999999999998</v>
      </c>
    </row>
    <row r="9" spans="2:3">
      <c r="B9" s="1">
        <v>39360</v>
      </c>
      <c r="C9">
        <v>2153.3000000000002</v>
      </c>
    </row>
    <row r="10" spans="2:3">
      <c r="B10" s="1">
        <v>39367</v>
      </c>
      <c r="C10">
        <v>2116.6</v>
      </c>
    </row>
    <row r="11" spans="2:3">
      <c r="B11" s="1">
        <v>39374</v>
      </c>
      <c r="C11">
        <v>2221.1</v>
      </c>
    </row>
    <row r="12" spans="2:3">
      <c r="B12" s="1">
        <v>39381</v>
      </c>
      <c r="C12">
        <v>2433.1999999999998</v>
      </c>
    </row>
    <row r="13" spans="2:3">
      <c r="B13" s="1">
        <v>39388</v>
      </c>
      <c r="C13">
        <v>2336.1999999999998</v>
      </c>
    </row>
    <row r="14" spans="2:3">
      <c r="B14" s="1">
        <v>39395</v>
      </c>
      <c r="C14">
        <v>2503.6</v>
      </c>
    </row>
    <row r="15" spans="2:3">
      <c r="B15" s="1">
        <v>39402</v>
      </c>
      <c r="C15">
        <v>2371.1</v>
      </c>
    </row>
    <row r="16" spans="2:3">
      <c r="B16" s="1">
        <v>39409</v>
      </c>
      <c r="C16">
        <v>2283.3000000000002</v>
      </c>
    </row>
    <row r="17" spans="2:3">
      <c r="B17" s="1">
        <v>39416</v>
      </c>
      <c r="C17">
        <v>3006.1</v>
      </c>
    </row>
    <row r="18" spans="2:3">
      <c r="B18" s="1">
        <v>39423</v>
      </c>
      <c r="C18">
        <v>3158.8</v>
      </c>
    </row>
    <row r="19" spans="2:3">
      <c r="B19" s="1">
        <v>39430</v>
      </c>
      <c r="C19">
        <v>2253.1</v>
      </c>
    </row>
    <row r="20" spans="2:3">
      <c r="B20" s="1">
        <v>39437</v>
      </c>
      <c r="C20">
        <v>2066.3000000000002</v>
      </c>
    </row>
    <row r="21" spans="2:3">
      <c r="B21" s="1">
        <v>39444</v>
      </c>
      <c r="C21">
        <v>1732.7</v>
      </c>
    </row>
    <row r="22" spans="2:3">
      <c r="B22" s="1">
        <v>39451</v>
      </c>
      <c r="C22">
        <v>2729.3</v>
      </c>
    </row>
    <row r="23" spans="2:3">
      <c r="B23" s="1">
        <v>39458</v>
      </c>
      <c r="C23">
        <v>3923.5</v>
      </c>
    </row>
    <row r="24" spans="2:3">
      <c r="B24" s="1">
        <v>39465</v>
      </c>
      <c r="C24">
        <v>4588.3999999999996</v>
      </c>
    </row>
    <row r="25" spans="2:3">
      <c r="B25" s="1">
        <v>39472</v>
      </c>
      <c r="C25">
        <v>5682.2</v>
      </c>
    </row>
    <row r="26" spans="2:3">
      <c r="B26" s="1">
        <v>39479</v>
      </c>
      <c r="C26">
        <v>5523.9</v>
      </c>
    </row>
    <row r="27" spans="2:3">
      <c r="B27" s="1">
        <v>39486</v>
      </c>
      <c r="C27">
        <v>5362.6</v>
      </c>
    </row>
    <row r="28" spans="2:3">
      <c r="B28" s="1">
        <v>39493</v>
      </c>
      <c r="C28">
        <v>3784.1</v>
      </c>
    </row>
    <row r="29" spans="2:3">
      <c r="B29" s="1">
        <v>39500</v>
      </c>
      <c r="C29">
        <v>2571.6</v>
      </c>
    </row>
    <row r="30" spans="2:3">
      <c r="B30" s="1">
        <v>39507</v>
      </c>
      <c r="C30">
        <v>2667.8</v>
      </c>
    </row>
    <row r="31" spans="2:3">
      <c r="B31" s="1">
        <v>39514</v>
      </c>
      <c r="C31">
        <v>2519.4</v>
      </c>
    </row>
    <row r="32" spans="2:3">
      <c r="B32" s="1">
        <v>39521</v>
      </c>
      <c r="C32">
        <v>2338.8000000000002</v>
      </c>
    </row>
    <row r="33" spans="2:3">
      <c r="B33" s="1">
        <v>39528</v>
      </c>
      <c r="C33">
        <v>4468.3999999999996</v>
      </c>
    </row>
    <row r="34" spans="2:3">
      <c r="B34" s="1">
        <v>39535</v>
      </c>
      <c r="C34">
        <v>2653.2</v>
      </c>
    </row>
    <row r="35" spans="2:3">
      <c r="B35" s="1">
        <v>39542</v>
      </c>
      <c r="C35">
        <v>2709.1</v>
      </c>
    </row>
    <row r="36" spans="2:3">
      <c r="B36" s="1">
        <v>39549</v>
      </c>
      <c r="C36">
        <v>2880.7</v>
      </c>
    </row>
    <row r="37" spans="2:3">
      <c r="B37" s="1">
        <v>39556</v>
      </c>
      <c r="C37">
        <v>2215.6999999999998</v>
      </c>
    </row>
    <row r="38" spans="2:3">
      <c r="B38" s="1">
        <v>39563</v>
      </c>
      <c r="C38">
        <v>1809.5</v>
      </c>
    </row>
    <row r="39" spans="2:3">
      <c r="B39" s="1">
        <v>39570</v>
      </c>
      <c r="C39">
        <v>2195</v>
      </c>
    </row>
    <row r="40" spans="2:3">
      <c r="B40" s="1">
        <v>39577</v>
      </c>
      <c r="C40">
        <v>2388.8000000000002</v>
      </c>
    </row>
    <row r="41" spans="2:3">
      <c r="B41" s="1">
        <v>39584</v>
      </c>
      <c r="C41">
        <v>2135.8000000000002</v>
      </c>
    </row>
    <row r="42" spans="2:3">
      <c r="B42" s="1">
        <v>39591</v>
      </c>
      <c r="C42">
        <v>1930.4</v>
      </c>
    </row>
    <row r="43" spans="2:3">
      <c r="B43" s="1">
        <v>39598</v>
      </c>
      <c r="C43">
        <v>1387.8</v>
      </c>
    </row>
    <row r="44" spans="2:3">
      <c r="B44" s="1">
        <v>39605</v>
      </c>
      <c r="C44">
        <v>1477.5</v>
      </c>
    </row>
    <row r="45" spans="2:3">
      <c r="B45" s="1">
        <v>39612</v>
      </c>
      <c r="C45">
        <v>1219.7</v>
      </c>
    </row>
    <row r="46" spans="2:3">
      <c r="B46" s="1">
        <v>39619</v>
      </c>
      <c r="C46">
        <v>1044.5999999999999</v>
      </c>
    </row>
    <row r="47" spans="2:3">
      <c r="B47" s="1">
        <v>39626</v>
      </c>
      <c r="C47">
        <v>1111.3</v>
      </c>
    </row>
    <row r="48" spans="2:3">
      <c r="B48" s="1">
        <v>39633</v>
      </c>
      <c r="C48">
        <v>1166.5</v>
      </c>
    </row>
    <row r="49" spans="2:3">
      <c r="B49" s="1">
        <v>39640</v>
      </c>
      <c r="C49">
        <v>1270.5999999999999</v>
      </c>
    </row>
    <row r="50" spans="2:3">
      <c r="B50" s="1">
        <v>39647</v>
      </c>
      <c r="C50">
        <v>1213.9000000000001</v>
      </c>
    </row>
    <row r="51" spans="2:3">
      <c r="B51" s="1">
        <v>39654</v>
      </c>
      <c r="C51">
        <v>874.1</v>
      </c>
    </row>
    <row r="52" spans="2:3">
      <c r="B52" s="1">
        <v>39661</v>
      </c>
      <c r="C52">
        <v>897.7</v>
      </c>
    </row>
    <row r="53" spans="2:3">
      <c r="B53" s="1">
        <v>39668</v>
      </c>
      <c r="C53">
        <v>853.1</v>
      </c>
    </row>
    <row r="54" spans="2:3">
      <c r="B54" s="1">
        <v>39675</v>
      </c>
      <c r="C54">
        <v>815.2</v>
      </c>
    </row>
    <row r="55" spans="2:3">
      <c r="B55" s="1">
        <v>39682</v>
      </c>
      <c r="C55">
        <v>793.9</v>
      </c>
    </row>
    <row r="56" spans="2:3">
      <c r="B56" s="1">
        <v>39689</v>
      </c>
      <c r="C56">
        <v>825</v>
      </c>
    </row>
    <row r="57" spans="2:3">
      <c r="B57" s="1">
        <v>39696</v>
      </c>
      <c r="C57">
        <v>998.3</v>
      </c>
    </row>
    <row r="58" spans="2:3">
      <c r="B58" s="1">
        <v>39703</v>
      </c>
      <c r="C58">
        <v>2068.5</v>
      </c>
    </row>
    <row r="59" spans="2:3">
      <c r="B59" s="1">
        <v>39710</v>
      </c>
      <c r="C59">
        <v>1756.8</v>
      </c>
    </row>
    <row r="60" spans="2:3">
      <c r="B60" s="1">
        <v>39717</v>
      </c>
      <c r="C60">
        <v>1026</v>
      </c>
    </row>
    <row r="61" spans="2:3">
      <c r="B61" s="1">
        <v>39724</v>
      </c>
      <c r="C61">
        <v>999.6</v>
      </c>
    </row>
    <row r="62" spans="2:3">
      <c r="B62" s="1">
        <v>39731</v>
      </c>
      <c r="C62">
        <v>1190.8</v>
      </c>
    </row>
    <row r="63" spans="2:3">
      <c r="B63" s="1">
        <v>39738</v>
      </c>
      <c r="C63">
        <v>798</v>
      </c>
    </row>
    <row r="64" spans="2:3">
      <c r="B64" s="1">
        <v>39745</v>
      </c>
      <c r="C64">
        <v>1135.5999999999999</v>
      </c>
    </row>
    <row r="65" spans="2:3">
      <c r="B65" s="1">
        <v>39752</v>
      </c>
      <c r="C65">
        <v>688.8</v>
      </c>
    </row>
    <row r="66" spans="2:3">
      <c r="B66" s="1">
        <v>39759</v>
      </c>
      <c r="C66">
        <v>907.7</v>
      </c>
    </row>
    <row r="67" spans="2:3">
      <c r="B67" s="1">
        <v>39766</v>
      </c>
      <c r="C67">
        <v>927.3</v>
      </c>
    </row>
    <row r="68" spans="2:3">
      <c r="B68" s="1">
        <v>39773</v>
      </c>
      <c r="C68">
        <v>896.8</v>
      </c>
    </row>
    <row r="69" spans="2:3">
      <c r="B69" s="1">
        <v>39780</v>
      </c>
      <c r="C69">
        <v>3552.9</v>
      </c>
    </row>
    <row r="70" spans="2:3">
      <c r="B70" s="1">
        <v>39787</v>
      </c>
      <c r="C70">
        <v>3746.9</v>
      </c>
    </row>
    <row r="71" spans="2:3">
      <c r="B71" s="1">
        <v>39794</v>
      </c>
      <c r="C71">
        <v>4013.2</v>
      </c>
    </row>
    <row r="72" spans="2:3">
      <c r="B72" s="1">
        <v>39801</v>
      </c>
      <c r="C72">
        <v>7098.9</v>
      </c>
    </row>
    <row r="73" spans="2:3">
      <c r="B73" s="1">
        <v>39808</v>
      </c>
      <c r="C73">
        <v>7132.7</v>
      </c>
    </row>
    <row r="74" spans="2:3">
      <c r="B74" s="1">
        <v>39815</v>
      </c>
      <c r="C74">
        <v>6060.5</v>
      </c>
    </row>
    <row r="75" spans="2:3">
      <c r="B75" s="1">
        <v>39822</v>
      </c>
      <c r="C75">
        <v>7842.7</v>
      </c>
    </row>
    <row r="76" spans="2:3">
      <c r="B76" s="1">
        <v>39829</v>
      </c>
      <c r="C76">
        <v>6768.6</v>
      </c>
    </row>
    <row r="77" spans="2:3">
      <c r="B77" s="1">
        <v>39836</v>
      </c>
      <c r="C77">
        <v>3300.6</v>
      </c>
    </row>
    <row r="78" spans="2:3">
      <c r="B78" s="1">
        <v>39843</v>
      </c>
      <c r="C78">
        <v>3871.3</v>
      </c>
    </row>
    <row r="79" spans="2:3">
      <c r="B79" s="1">
        <v>39850</v>
      </c>
      <c r="C79">
        <v>2611.1</v>
      </c>
    </row>
    <row r="80" spans="2:3">
      <c r="B80" s="1">
        <v>39857</v>
      </c>
      <c r="C80">
        <v>4564.5</v>
      </c>
    </row>
    <row r="81" spans="2:3">
      <c r="B81" s="1">
        <v>39864</v>
      </c>
      <c r="C81">
        <v>3531.5</v>
      </c>
    </row>
    <row r="82" spans="2:3">
      <c r="B82" s="1">
        <v>39871</v>
      </c>
      <c r="C82">
        <v>2945.5</v>
      </c>
    </row>
    <row r="83" spans="2:3">
      <c r="B83" s="1">
        <v>39878</v>
      </c>
      <c r="C83">
        <v>3352.8</v>
      </c>
    </row>
    <row r="84" spans="2:3">
      <c r="B84" s="1">
        <v>39885</v>
      </c>
      <c r="C84">
        <v>4428.1000000000004</v>
      </c>
    </row>
    <row r="85" spans="2:3">
      <c r="B85" s="1">
        <v>39892</v>
      </c>
      <c r="C85">
        <v>6374.7</v>
      </c>
    </row>
    <row r="86" spans="2:3">
      <c r="B86" s="1">
        <v>39899</v>
      </c>
      <c r="C86">
        <v>6522</v>
      </c>
    </row>
    <row r="87" spans="2:3">
      <c r="B87" s="1">
        <v>39906</v>
      </c>
      <c r="C87">
        <v>6734.2</v>
      </c>
    </row>
    <row r="88" spans="2:3">
      <c r="B88" s="1">
        <v>39913</v>
      </c>
      <c r="C88">
        <v>6127.3</v>
      </c>
    </row>
    <row r="89" spans="2:3">
      <c r="B89" s="1">
        <v>39920</v>
      </c>
      <c r="C89">
        <v>6547.2</v>
      </c>
    </row>
    <row r="90" spans="2:3">
      <c r="B90" s="1">
        <v>39927</v>
      </c>
      <c r="C90">
        <v>4957.8999999999996</v>
      </c>
    </row>
    <row r="91" spans="2:3">
      <c r="B91" s="1">
        <v>39934</v>
      </c>
      <c r="C91">
        <v>5084.2</v>
      </c>
    </row>
    <row r="92" spans="2:3">
      <c r="B92" s="1">
        <v>39941</v>
      </c>
      <c r="C92">
        <v>4353.1000000000004</v>
      </c>
    </row>
    <row r="93" spans="2:3">
      <c r="B93" s="1">
        <v>39948</v>
      </c>
      <c r="C93">
        <v>4586.2</v>
      </c>
    </row>
    <row r="94" spans="2:3">
      <c r="B94" s="1">
        <v>39955</v>
      </c>
      <c r="C94">
        <v>3590.1</v>
      </c>
    </row>
    <row r="95" spans="2:3">
      <c r="B95" s="1">
        <v>39962</v>
      </c>
      <c r="C95">
        <v>2583</v>
      </c>
    </row>
    <row r="96" spans="2:3">
      <c r="B96" s="1">
        <v>39969</v>
      </c>
      <c r="C96">
        <v>2156.5</v>
      </c>
    </row>
    <row r="97" spans="2:3">
      <c r="B97" s="1">
        <v>39976</v>
      </c>
      <c r="C97">
        <v>1482.7</v>
      </c>
    </row>
    <row r="98" spans="2:3">
      <c r="B98" s="1">
        <v>39983</v>
      </c>
      <c r="C98">
        <v>1504.6</v>
      </c>
    </row>
    <row r="99" spans="2:3">
      <c r="B99" s="1">
        <v>39990</v>
      </c>
      <c r="C99">
        <v>1328.1</v>
      </c>
    </row>
    <row r="100" spans="2:3">
      <c r="B100" s="1">
        <v>39997</v>
      </c>
      <c r="C100">
        <v>1583.5</v>
      </c>
    </row>
    <row r="101" spans="2:3">
      <c r="B101" s="1">
        <v>40004</v>
      </c>
      <c r="C101">
        <v>1915.5</v>
      </c>
    </row>
    <row r="102" spans="2:3">
      <c r="B102" s="1">
        <v>40011</v>
      </c>
      <c r="C102">
        <v>1982.8</v>
      </c>
    </row>
    <row r="103" spans="2:3">
      <c r="B103" s="1">
        <v>40018</v>
      </c>
      <c r="C103">
        <v>1702.7</v>
      </c>
    </row>
    <row r="104" spans="2:3">
      <c r="B104" s="1">
        <v>40025</v>
      </c>
      <c r="C104">
        <v>1826</v>
      </c>
    </row>
    <row r="105" spans="2:3">
      <c r="B105" s="1">
        <v>40032</v>
      </c>
      <c r="C105">
        <v>1659.1</v>
      </c>
    </row>
    <row r="106" spans="2:3">
      <c r="B106" s="1">
        <v>40039</v>
      </c>
      <c r="C106">
        <v>1782.2</v>
      </c>
    </row>
    <row r="107" spans="2:3">
      <c r="B107" s="1">
        <v>40046</v>
      </c>
      <c r="C107">
        <v>1983.2</v>
      </c>
    </row>
    <row r="108" spans="2:3">
      <c r="B108" s="1">
        <v>40053</v>
      </c>
      <c r="C108">
        <v>1955.9</v>
      </c>
    </row>
    <row r="109" spans="2:3">
      <c r="B109" s="1">
        <v>40060</v>
      </c>
      <c r="C109">
        <v>2383.6999999999998</v>
      </c>
    </row>
    <row r="110" spans="2:3">
      <c r="B110" s="1">
        <v>40067</v>
      </c>
      <c r="C110">
        <v>2216.3000000000002</v>
      </c>
    </row>
    <row r="111" spans="2:3">
      <c r="B111" s="1">
        <v>40074</v>
      </c>
      <c r="C111">
        <v>2632.2</v>
      </c>
    </row>
    <row r="112" spans="2:3">
      <c r="B112" s="1">
        <v>40081</v>
      </c>
      <c r="C112">
        <v>2655.8</v>
      </c>
    </row>
    <row r="113" spans="2:3">
      <c r="B113" s="1">
        <v>40088</v>
      </c>
      <c r="C113">
        <v>3230.9</v>
      </c>
    </row>
    <row r="114" spans="2:3">
      <c r="B114" s="1">
        <v>40095</v>
      </c>
      <c r="C114">
        <v>3280.3</v>
      </c>
    </row>
    <row r="115" spans="2:3">
      <c r="B115" s="1">
        <v>40102</v>
      </c>
      <c r="C115">
        <v>2774.7</v>
      </c>
    </row>
    <row r="116" spans="2:3">
      <c r="B116" s="1">
        <v>40109</v>
      </c>
      <c r="C116">
        <v>2304</v>
      </c>
    </row>
    <row r="117" spans="2:3">
      <c r="B117" s="1">
        <v>40116</v>
      </c>
      <c r="C117">
        <v>2715.2</v>
      </c>
    </row>
    <row r="118" spans="2:3">
      <c r="B118" s="1">
        <v>40123</v>
      </c>
      <c r="C118">
        <v>2996</v>
      </c>
    </row>
    <row r="119" spans="2:3">
      <c r="B119" s="1">
        <v>40130</v>
      </c>
      <c r="C119">
        <v>3117</v>
      </c>
    </row>
    <row r="120" spans="2:3">
      <c r="B120" s="1">
        <v>40137</v>
      </c>
      <c r="C120">
        <v>2815.1</v>
      </c>
    </row>
    <row r="121" spans="2:3">
      <c r="B121" s="1">
        <v>40144</v>
      </c>
      <c r="C121">
        <v>2958.4</v>
      </c>
    </row>
    <row r="122" spans="2:3">
      <c r="B122" s="1">
        <v>40151</v>
      </c>
      <c r="C122">
        <v>3312.7</v>
      </c>
    </row>
    <row r="123" spans="2:3">
      <c r="B123" s="1">
        <v>40158</v>
      </c>
      <c r="C123">
        <v>3354</v>
      </c>
    </row>
    <row r="124" spans="2:3">
      <c r="B124" s="1">
        <v>40165</v>
      </c>
      <c r="C124">
        <v>2988.7</v>
      </c>
    </row>
    <row r="125" spans="2:3">
      <c r="B125" s="1">
        <v>40172</v>
      </c>
      <c r="C125">
        <v>2038.4</v>
      </c>
    </row>
    <row r="126" spans="2:3">
      <c r="B126" s="1">
        <v>40179</v>
      </c>
      <c r="C126">
        <v>2021.1</v>
      </c>
    </row>
    <row r="127" spans="2:3">
      <c r="B127" s="1">
        <v>40186</v>
      </c>
      <c r="C127">
        <v>2430</v>
      </c>
    </row>
    <row r="128" spans="2:3">
      <c r="B128" s="1">
        <v>40193</v>
      </c>
      <c r="C128">
        <v>2638.2</v>
      </c>
    </row>
    <row r="129" spans="2:3">
      <c r="B129" s="1">
        <v>40200</v>
      </c>
      <c r="C129">
        <v>2192.1</v>
      </c>
    </row>
    <row r="130" spans="2:3">
      <c r="B130" s="1">
        <v>40207</v>
      </c>
      <c r="C130">
        <v>2763.6</v>
      </c>
    </row>
    <row r="131" spans="2:3">
      <c r="B131" s="1">
        <v>40214</v>
      </c>
      <c r="C131">
        <v>2807.8</v>
      </c>
    </row>
    <row r="132" spans="2:3">
      <c r="B132" s="1">
        <v>40221</v>
      </c>
      <c r="C132">
        <v>2781.2</v>
      </c>
    </row>
    <row r="133" spans="2:3">
      <c r="B133" s="1">
        <v>40228</v>
      </c>
      <c r="C133">
        <v>2474.9</v>
      </c>
    </row>
    <row r="134" spans="2:3">
      <c r="B134" s="1">
        <v>40235</v>
      </c>
      <c r="C134">
        <v>2971.5</v>
      </c>
    </row>
    <row r="135" spans="2:3">
      <c r="B135" s="1">
        <v>40242</v>
      </c>
      <c r="C135">
        <v>2937.6</v>
      </c>
    </row>
    <row r="136" spans="2:3">
      <c r="B136" s="1">
        <v>40249</v>
      </c>
      <c r="C136">
        <v>2847.2</v>
      </c>
    </row>
    <row r="137" spans="2:3">
      <c r="B137" s="1">
        <v>40256</v>
      </c>
      <c r="C137">
        <v>2617.6999999999998</v>
      </c>
    </row>
    <row r="138" spans="2:3">
      <c r="B138" s="1">
        <v>40263</v>
      </c>
      <c r="C138">
        <v>2577.1999999999998</v>
      </c>
    </row>
    <row r="139" spans="2:3">
      <c r="B139" s="1">
        <v>40270</v>
      </c>
      <c r="C139">
        <v>2051.3000000000002</v>
      </c>
    </row>
    <row r="140" spans="2:3">
      <c r="B140" s="1">
        <v>40277</v>
      </c>
      <c r="C140">
        <v>1892.5</v>
      </c>
    </row>
    <row r="141" spans="2:3">
      <c r="B141" s="1">
        <v>40284</v>
      </c>
      <c r="C141">
        <v>2217</v>
      </c>
    </row>
    <row r="142" spans="2:3">
      <c r="B142" s="1">
        <v>40291</v>
      </c>
      <c r="C142">
        <v>1984.5</v>
      </c>
    </row>
    <row r="143" spans="2:3">
      <c r="B143" s="1">
        <v>40298</v>
      </c>
      <c r="C143">
        <v>1953.3</v>
      </c>
    </row>
    <row r="144" spans="2:3">
      <c r="B144" s="1">
        <v>40305</v>
      </c>
      <c r="C144">
        <v>2303.6</v>
      </c>
    </row>
    <row r="145" spans="2:3">
      <c r="B145" s="1">
        <v>40312</v>
      </c>
      <c r="C145">
        <v>2668.6</v>
      </c>
    </row>
    <row r="146" spans="2:3">
      <c r="B146" s="1">
        <v>40319</v>
      </c>
      <c r="C146">
        <v>3154.9</v>
      </c>
    </row>
    <row r="147" spans="2:3">
      <c r="B147" s="1">
        <v>40326</v>
      </c>
      <c r="C147">
        <v>3239.2</v>
      </c>
    </row>
    <row r="148" spans="2:3">
      <c r="B148" s="1">
        <v>40333</v>
      </c>
      <c r="C148">
        <v>2781.6</v>
      </c>
    </row>
    <row r="149" spans="2:3">
      <c r="B149" s="1">
        <v>40340</v>
      </c>
      <c r="C149">
        <v>3387.8</v>
      </c>
    </row>
    <row r="150" spans="2:3">
      <c r="B150" s="1">
        <v>40347</v>
      </c>
      <c r="C150">
        <v>3107.1</v>
      </c>
    </row>
    <row r="151" spans="2:3">
      <c r="B151" s="1">
        <v>40354</v>
      </c>
      <c r="C151">
        <v>3546.2</v>
      </c>
    </row>
    <row r="152" spans="2:3">
      <c r="B152" s="1">
        <v>40361</v>
      </c>
      <c r="C152">
        <v>3925.9</v>
      </c>
    </row>
    <row r="153" spans="2:3">
      <c r="B153" s="1">
        <v>40368</v>
      </c>
      <c r="C153">
        <v>3925.8</v>
      </c>
    </row>
    <row r="154" spans="2:3">
      <c r="B154" s="1">
        <v>40375</v>
      </c>
      <c r="C154">
        <v>4345.3999999999996</v>
      </c>
    </row>
    <row r="155" spans="2:3">
      <c r="B155" s="1">
        <v>40382</v>
      </c>
      <c r="C155">
        <v>4097.3</v>
      </c>
    </row>
    <row r="156" spans="2:3">
      <c r="B156" s="1">
        <v>40389</v>
      </c>
      <c r="C156">
        <v>4155.5</v>
      </c>
    </row>
    <row r="157" spans="2:3">
      <c r="B157" s="1">
        <v>40396</v>
      </c>
      <c r="C157">
        <v>4147.1000000000004</v>
      </c>
    </row>
    <row r="158" spans="2:3">
      <c r="B158" s="1">
        <v>40403</v>
      </c>
      <c r="C158">
        <v>4940.8999999999996</v>
      </c>
    </row>
    <row r="159" spans="2:3">
      <c r="B159" s="1">
        <v>40410</v>
      </c>
      <c r="C159">
        <v>5260.7</v>
      </c>
    </row>
    <row r="160" spans="2:3">
      <c r="B160" s="1">
        <v>40417</v>
      </c>
      <c r="C160">
        <v>5431.5</v>
      </c>
    </row>
    <row r="161" spans="2:3">
      <c r="B161" s="1">
        <v>40424</v>
      </c>
      <c r="C161">
        <v>5214.6000000000004</v>
      </c>
    </row>
    <row r="162" spans="2:3">
      <c r="B162" s="1">
        <v>40431</v>
      </c>
      <c r="C162">
        <v>4663.8</v>
      </c>
    </row>
    <row r="163" spans="2:3">
      <c r="B163" s="1">
        <v>40438</v>
      </c>
      <c r="C163">
        <v>4624.6000000000004</v>
      </c>
    </row>
    <row r="164" spans="2:3">
      <c r="B164" s="1">
        <v>40445</v>
      </c>
      <c r="C164">
        <v>4549.3</v>
      </c>
    </row>
    <row r="165" spans="2:3">
      <c r="B165" s="1">
        <v>40452</v>
      </c>
      <c r="C165">
        <v>4395.5</v>
      </c>
    </row>
    <row r="166" spans="2:3">
      <c r="B166" s="1">
        <v>40459</v>
      </c>
      <c r="C166">
        <v>5455.4</v>
      </c>
    </row>
    <row r="167" spans="2:3">
      <c r="B167" s="1">
        <v>40466</v>
      </c>
      <c r="C167">
        <v>4768.6000000000004</v>
      </c>
    </row>
    <row r="168" spans="2:3">
      <c r="B168" s="1">
        <v>40473</v>
      </c>
      <c r="C168">
        <v>4904.2</v>
      </c>
    </row>
    <row r="169" spans="2:3">
      <c r="B169" s="1">
        <v>40480</v>
      </c>
      <c r="C169">
        <v>4568.1000000000004</v>
      </c>
    </row>
    <row r="170" spans="2:3">
      <c r="B170" s="1">
        <v>40487</v>
      </c>
      <c r="C170">
        <v>4836.3999999999996</v>
      </c>
    </row>
    <row r="171" spans="2:3">
      <c r="B171" s="1">
        <v>40494</v>
      </c>
      <c r="C171">
        <v>4015.2</v>
      </c>
    </row>
    <row r="172" spans="2:3">
      <c r="B172" s="1">
        <v>40501</v>
      </c>
      <c r="C172">
        <v>4009.2</v>
      </c>
    </row>
    <row r="173" spans="2:3">
      <c r="B173" s="1">
        <v>40508</v>
      </c>
      <c r="C173">
        <v>3151.8</v>
      </c>
    </row>
    <row r="174" spans="2:3">
      <c r="B174" s="1">
        <v>40515</v>
      </c>
      <c r="C174">
        <v>3066.2</v>
      </c>
    </row>
    <row r="175" spans="2:3">
      <c r="B175" s="1">
        <v>40522</v>
      </c>
      <c r="C175">
        <v>3067.3</v>
      </c>
    </row>
    <row r="176" spans="2:3">
      <c r="B176" s="1">
        <v>40529</v>
      </c>
      <c r="C176">
        <v>2319.9</v>
      </c>
    </row>
    <row r="177" spans="2:3">
      <c r="B177" s="1">
        <v>40536</v>
      </c>
      <c r="C177">
        <v>2185.5</v>
      </c>
    </row>
    <row r="178" spans="2:3">
      <c r="B178" s="1">
        <v>40543</v>
      </c>
      <c r="C178">
        <v>2249.6</v>
      </c>
    </row>
    <row r="179" spans="2:3">
      <c r="B179" s="1">
        <v>40550</v>
      </c>
      <c r="C179">
        <v>2344.3000000000002</v>
      </c>
    </row>
    <row r="180" spans="2:3">
      <c r="B180" s="1">
        <v>40557</v>
      </c>
      <c r="C180">
        <v>2528.6999999999998</v>
      </c>
    </row>
    <row r="181" spans="2:3">
      <c r="B181" s="1">
        <v>40564</v>
      </c>
      <c r="C181">
        <v>2129.6999999999998</v>
      </c>
    </row>
    <row r="182" spans="2:3">
      <c r="B182" s="1">
        <v>40571</v>
      </c>
      <c r="C182">
        <v>2371.1</v>
      </c>
    </row>
    <row r="183" spans="2:3">
      <c r="B183" s="1">
        <v>40578</v>
      </c>
      <c r="C183">
        <v>2190.4</v>
      </c>
    </row>
    <row r="184" spans="2:3">
      <c r="B184" s="1">
        <v>40585</v>
      </c>
      <c r="C184">
        <v>1953.2</v>
      </c>
    </row>
    <row r="185" spans="2:3">
      <c r="B185" s="1">
        <v>40592</v>
      </c>
      <c r="C185">
        <v>2325.3000000000002</v>
      </c>
    </row>
    <row r="186" spans="2:3">
      <c r="B186" s="1">
        <v>40599</v>
      </c>
      <c r="C186">
        <v>2155.5</v>
      </c>
    </row>
    <row r="187" spans="2:3">
      <c r="B187" s="1">
        <v>40606</v>
      </c>
      <c r="C187">
        <v>2539.4</v>
      </c>
    </row>
    <row r="188" spans="2:3">
      <c r="B188" s="1">
        <v>40613</v>
      </c>
      <c r="C188">
        <v>2563.6</v>
      </c>
    </row>
    <row r="189" spans="2:3">
      <c r="B189" s="1">
        <v>40620</v>
      </c>
      <c r="C189">
        <v>2620.8000000000002</v>
      </c>
    </row>
    <row r="190" spans="2:3">
      <c r="B190" s="1">
        <v>40627</v>
      </c>
      <c r="C190">
        <v>2350.6999999999998</v>
      </c>
    </row>
    <row r="191" spans="2:3">
      <c r="B191" s="1">
        <v>40634</v>
      </c>
      <c r="C191">
        <v>2194.4</v>
      </c>
    </row>
    <row r="192" spans="2:3">
      <c r="B192" s="1">
        <v>40641</v>
      </c>
      <c r="C192">
        <v>2010.6</v>
      </c>
    </row>
    <row r="193" spans="2:3">
      <c r="B193" s="1">
        <v>40648</v>
      </c>
      <c r="C193">
        <v>2065.3000000000002</v>
      </c>
    </row>
    <row r="194" spans="2:3">
      <c r="B194" s="1">
        <v>40655</v>
      </c>
      <c r="C194">
        <v>2091.4</v>
      </c>
    </row>
    <row r="195" spans="2:3">
      <c r="B195" s="1">
        <v>40662</v>
      </c>
      <c r="C195">
        <v>2220.1</v>
      </c>
    </row>
    <row r="196" spans="2:3">
      <c r="B196" s="1">
        <v>40669</v>
      </c>
      <c r="C196">
        <v>2414.9</v>
      </c>
    </row>
    <row r="197" spans="2:3">
      <c r="B197" s="1">
        <v>40676</v>
      </c>
      <c r="C197">
        <v>2742.2</v>
      </c>
    </row>
    <row r="198" spans="2:3">
      <c r="B198" s="1">
        <v>40683</v>
      </c>
      <c r="C198">
        <v>2764.6</v>
      </c>
    </row>
    <row r="199" spans="2:3">
      <c r="B199" s="1">
        <v>40690</v>
      </c>
      <c r="C199">
        <v>2619.6999999999998</v>
      </c>
    </row>
    <row r="200" spans="2:3">
      <c r="B200" s="1">
        <v>40697</v>
      </c>
      <c r="C200">
        <v>2648</v>
      </c>
    </row>
    <row r="201" spans="2:3">
      <c r="B201" s="1">
        <v>40704</v>
      </c>
      <c r="C201">
        <v>3101.7</v>
      </c>
    </row>
    <row r="202" spans="2:3">
      <c r="B202" s="1">
        <v>40711</v>
      </c>
      <c r="C202">
        <v>2857.9</v>
      </c>
    </row>
    <row r="203" spans="2:3">
      <c r="B203" s="1">
        <v>40718</v>
      </c>
      <c r="C203">
        <v>2809.5</v>
      </c>
    </row>
    <row r="204" spans="2:3">
      <c r="B204" s="1">
        <v>40725</v>
      </c>
      <c r="C204">
        <v>2527.5</v>
      </c>
    </row>
    <row r="205" spans="2:3">
      <c r="B205" s="1">
        <v>40732</v>
      </c>
      <c r="C205">
        <v>2362.6999999999998</v>
      </c>
    </row>
    <row r="206" spans="2:3">
      <c r="B206" s="1">
        <v>40739</v>
      </c>
      <c r="C206">
        <v>2923.8</v>
      </c>
    </row>
    <row r="207" spans="2:3">
      <c r="B207" s="1">
        <v>40746</v>
      </c>
      <c r="C207">
        <v>2769.6</v>
      </c>
    </row>
    <row r="208" spans="2:3">
      <c r="B208" s="1">
        <v>40753</v>
      </c>
      <c r="C208">
        <v>2974.1</v>
      </c>
    </row>
    <row r="209" spans="2:3">
      <c r="B209" s="1">
        <v>40760</v>
      </c>
      <c r="C209">
        <v>3880.9</v>
      </c>
    </row>
    <row r="210" spans="2:3">
      <c r="B210" s="1">
        <v>40767</v>
      </c>
      <c r="C210">
        <v>4184.3999999999996</v>
      </c>
    </row>
    <row r="211" spans="2:3">
      <c r="B211" s="1">
        <v>40774</v>
      </c>
      <c r="C211">
        <v>4110.8</v>
      </c>
    </row>
    <row r="212" spans="2:3">
      <c r="B212" s="1">
        <v>40781</v>
      </c>
      <c r="C212">
        <v>3601.3</v>
      </c>
    </row>
    <row r="213" spans="2:3">
      <c r="B213" s="1">
        <v>40788</v>
      </c>
      <c r="C213">
        <v>3372</v>
      </c>
    </row>
    <row r="214" spans="2:3">
      <c r="B214" s="1">
        <v>40795</v>
      </c>
      <c r="C214">
        <v>3571.7</v>
      </c>
    </row>
    <row r="215" spans="2:3">
      <c r="B215" s="1">
        <v>40802</v>
      </c>
      <c r="C215">
        <v>4033.8</v>
      </c>
    </row>
    <row r="216" spans="2:3">
      <c r="B216" s="1">
        <v>40809</v>
      </c>
      <c r="C216">
        <v>4512.1000000000004</v>
      </c>
    </row>
    <row r="217" spans="2:3">
      <c r="B217" s="1">
        <v>40816</v>
      </c>
      <c r="C217">
        <v>4241.8</v>
      </c>
    </row>
    <row r="218" spans="2:3">
      <c r="B218" s="1">
        <v>40823</v>
      </c>
      <c r="C218">
        <v>4251.1000000000004</v>
      </c>
    </row>
    <row r="219" spans="2:3">
      <c r="B219" s="1">
        <v>40830</v>
      </c>
      <c r="C219">
        <v>3553.2</v>
      </c>
    </row>
    <row r="220" spans="2:3">
      <c r="B220" s="1">
        <v>40837</v>
      </c>
      <c r="C220">
        <v>3719.3</v>
      </c>
    </row>
    <row r="221" spans="2:3">
      <c r="B221" s="1">
        <v>40844</v>
      </c>
      <c r="C221">
        <v>3695</v>
      </c>
    </row>
    <row r="222" spans="2:3">
      <c r="B222" s="1">
        <v>40851</v>
      </c>
      <c r="C222">
        <v>4137.6000000000004</v>
      </c>
    </row>
    <row r="223" spans="2:3">
      <c r="B223" s="1">
        <v>40858</v>
      </c>
      <c r="C223">
        <v>3664.5</v>
      </c>
    </row>
    <row r="224" spans="2:3">
      <c r="B224" s="1">
        <v>40865</v>
      </c>
      <c r="C224">
        <v>3466.8</v>
      </c>
    </row>
    <row r="225" spans="2:3">
      <c r="B225" s="1">
        <v>40872</v>
      </c>
      <c r="C225">
        <v>2941.3</v>
      </c>
    </row>
    <row r="226" spans="2:3">
      <c r="B226" s="1">
        <v>40879</v>
      </c>
      <c r="C226">
        <v>3394.7</v>
      </c>
    </row>
    <row r="227" spans="2:3">
      <c r="B227" s="1">
        <v>40886</v>
      </c>
      <c r="C227">
        <v>3708.6</v>
      </c>
    </row>
    <row r="228" spans="2:3">
      <c r="B228" s="1">
        <v>40893</v>
      </c>
      <c r="C228">
        <v>3676.1</v>
      </c>
    </row>
    <row r="229" spans="2:3">
      <c r="B229" s="1">
        <v>40900</v>
      </c>
      <c r="C229">
        <v>3684.5</v>
      </c>
    </row>
    <row r="230" spans="2:3">
      <c r="B230" s="1">
        <v>40907</v>
      </c>
      <c r="C230">
        <v>3608.1</v>
      </c>
    </row>
    <row r="231" spans="2:3">
      <c r="B231" s="1">
        <v>40914</v>
      </c>
      <c r="C231">
        <v>3668.3</v>
      </c>
    </row>
    <row r="232" spans="2:3">
      <c r="B232" s="1">
        <v>40921</v>
      </c>
      <c r="C232">
        <v>4626.5</v>
      </c>
    </row>
    <row r="233" spans="2:3">
      <c r="B233" s="1">
        <v>40928</v>
      </c>
      <c r="C233">
        <v>4326.3999999999996</v>
      </c>
    </row>
    <row r="234" spans="2:3">
      <c r="B234" s="1">
        <v>40935</v>
      </c>
      <c r="C234">
        <v>4184.3</v>
      </c>
    </row>
    <row r="235" spans="2:3">
      <c r="B235" s="1">
        <v>40942</v>
      </c>
      <c r="C235">
        <v>4617.1000000000004</v>
      </c>
    </row>
    <row r="236" spans="2:3">
      <c r="B236" s="1">
        <v>40949</v>
      </c>
      <c r="C236">
        <v>4716.1000000000004</v>
      </c>
    </row>
    <row r="237" spans="2:3">
      <c r="B237" s="1">
        <v>40956</v>
      </c>
      <c r="C237">
        <v>4466.8999999999996</v>
      </c>
    </row>
    <row r="238" spans="2:3">
      <c r="B238" s="1">
        <v>40963</v>
      </c>
      <c r="C238">
        <v>4379.1000000000004</v>
      </c>
    </row>
    <row r="239" spans="2:3">
      <c r="B239" s="1">
        <v>40970</v>
      </c>
      <c r="C239">
        <v>4277.6000000000004</v>
      </c>
    </row>
    <row r="240" spans="2:3">
      <c r="B240" s="1">
        <v>40977</v>
      </c>
      <c r="C240">
        <v>4063.4</v>
      </c>
    </row>
    <row r="241" spans="2:3">
      <c r="B241" s="1">
        <v>40984</v>
      </c>
      <c r="C241">
        <v>3715.2</v>
      </c>
    </row>
    <row r="242" spans="2:3">
      <c r="B242" s="1">
        <v>40991</v>
      </c>
      <c r="C242">
        <v>3588.4</v>
      </c>
    </row>
    <row r="243" spans="2:3">
      <c r="B243" s="1">
        <v>40998</v>
      </c>
      <c r="C243">
        <v>3699.5</v>
      </c>
    </row>
    <row r="244" spans="2:3">
      <c r="B244" s="1">
        <v>41005</v>
      </c>
      <c r="C244">
        <v>3549.3</v>
      </c>
    </row>
    <row r="245" spans="2:3">
      <c r="B245" s="1">
        <v>41012</v>
      </c>
      <c r="C245">
        <v>4144.3</v>
      </c>
    </row>
    <row r="246" spans="2:3">
      <c r="B246" s="1">
        <v>41019</v>
      </c>
      <c r="C246">
        <v>3892.2</v>
      </c>
    </row>
    <row r="247" spans="2:3">
      <c r="B247" s="1">
        <v>41026</v>
      </c>
      <c r="C247">
        <v>3856</v>
      </c>
    </row>
    <row r="248" spans="2:3">
      <c r="B248" s="1">
        <v>41033</v>
      </c>
      <c r="C248">
        <v>3924.4</v>
      </c>
    </row>
    <row r="249" spans="2:3">
      <c r="B249" s="1">
        <v>41040</v>
      </c>
      <c r="C249">
        <v>4482</v>
      </c>
    </row>
    <row r="250" spans="2:3">
      <c r="B250" s="1">
        <v>41047</v>
      </c>
      <c r="C250">
        <v>4732</v>
      </c>
    </row>
    <row r="251" spans="2:3">
      <c r="B251" s="1">
        <v>41054</v>
      </c>
      <c r="C251">
        <v>4675.8999999999996</v>
      </c>
    </row>
    <row r="252" spans="2:3">
      <c r="B252" s="1">
        <v>41061</v>
      </c>
      <c r="C252">
        <v>4736</v>
      </c>
    </row>
    <row r="253" spans="2:3">
      <c r="B253" s="1">
        <v>41068</v>
      </c>
      <c r="C253">
        <v>5590</v>
      </c>
    </row>
    <row r="254" spans="2:3">
      <c r="B254" s="1">
        <v>41075</v>
      </c>
      <c r="C254">
        <v>4719.6000000000004</v>
      </c>
    </row>
    <row r="255" spans="2:3">
      <c r="B255" s="1">
        <v>41082</v>
      </c>
      <c r="C255">
        <v>4585.8</v>
      </c>
    </row>
    <row r="256" spans="2:3">
      <c r="B256" s="1">
        <v>41089</v>
      </c>
      <c r="C256">
        <v>4372.2</v>
      </c>
    </row>
    <row r="257" spans="2:3">
      <c r="B257" s="1">
        <v>41096</v>
      </c>
      <c r="C257">
        <v>4267.8999999999996</v>
      </c>
    </row>
    <row r="258" spans="2:3">
      <c r="B258" s="1">
        <v>41103</v>
      </c>
      <c r="C258">
        <v>5246.8</v>
      </c>
    </row>
    <row r="259" spans="2:3">
      <c r="B259" s="1">
        <v>41110</v>
      </c>
      <c r="C259">
        <v>5383.1</v>
      </c>
    </row>
    <row r="260" spans="2:3">
      <c r="B260" s="1">
        <v>41117</v>
      </c>
      <c r="C260">
        <v>5492.1</v>
      </c>
    </row>
    <row r="261" spans="2:3">
      <c r="B261" s="1">
        <v>41124</v>
      </c>
      <c r="C261">
        <v>5444.3</v>
      </c>
    </row>
    <row r="262" spans="2:3">
      <c r="B262" s="1">
        <v>41131</v>
      </c>
      <c r="C262">
        <v>5172.2</v>
      </c>
    </row>
    <row r="263" spans="2:3">
      <c r="B263" s="1">
        <v>41138</v>
      </c>
      <c r="C263">
        <v>4671.1000000000004</v>
      </c>
    </row>
    <row r="264" spans="2:3">
      <c r="B264" s="1">
        <v>41145</v>
      </c>
      <c r="C264">
        <v>4414.6000000000004</v>
      </c>
    </row>
    <row r="265" spans="2:3">
      <c r="B265" s="1">
        <v>41152</v>
      </c>
      <c r="C265">
        <v>4274.8</v>
      </c>
    </row>
    <row r="266" spans="2:3">
      <c r="B266" s="1">
        <v>41159</v>
      </c>
      <c r="C266">
        <v>4779.1000000000004</v>
      </c>
    </row>
    <row r="267" spans="2:3">
      <c r="B267" s="1">
        <v>41166</v>
      </c>
      <c r="C267">
        <v>4823.3</v>
      </c>
    </row>
    <row r="268" spans="2:3">
      <c r="B268" s="1">
        <v>41173</v>
      </c>
      <c r="C268">
        <v>4979</v>
      </c>
    </row>
    <row r="269" spans="2:3">
      <c r="B269" s="1">
        <v>41180</v>
      </c>
      <c r="C269">
        <v>5965.5</v>
      </c>
    </row>
    <row r="270" spans="2:3">
      <c r="B270" s="1">
        <v>41187</v>
      </c>
      <c r="C270">
        <v>5892.5</v>
      </c>
    </row>
    <row r="271" spans="2:3">
      <c r="B271" s="1">
        <v>41194</v>
      </c>
      <c r="C271">
        <v>5572.2</v>
      </c>
    </row>
    <row r="272" spans="2:3">
      <c r="B272" s="1">
        <v>41201</v>
      </c>
      <c r="C272">
        <v>4847.2</v>
      </c>
    </row>
    <row r="273" spans="2:3">
      <c r="B273" s="1">
        <v>41208</v>
      </c>
      <c r="C273">
        <v>4550.7</v>
      </c>
    </row>
    <row r="274" spans="2:3">
      <c r="B274" s="1">
        <v>41215</v>
      </c>
      <c r="C274">
        <v>4297.7</v>
      </c>
    </row>
    <row r="275" spans="2:3">
      <c r="B275" s="1">
        <v>41222</v>
      </c>
      <c r="C275">
        <v>4856.1000000000004</v>
      </c>
    </row>
    <row r="276" spans="2:3">
      <c r="B276" s="1">
        <v>41229</v>
      </c>
      <c r="C276">
        <v>4702.3999999999996</v>
      </c>
    </row>
    <row r="277" spans="2:3">
      <c r="B277" s="1">
        <v>41236</v>
      </c>
      <c r="C277">
        <v>4666.8</v>
      </c>
    </row>
    <row r="278" spans="2:3">
      <c r="B278" s="1">
        <v>41243</v>
      </c>
      <c r="C278">
        <v>4943</v>
      </c>
    </row>
    <row r="279" spans="2:3">
      <c r="B279" s="1">
        <v>41250</v>
      </c>
      <c r="C279">
        <v>5368.1</v>
      </c>
    </row>
    <row r="280" spans="2:3">
      <c r="B280" s="1">
        <v>41257</v>
      </c>
      <c r="C280">
        <v>4564.3999999999996</v>
      </c>
    </row>
    <row r="281" spans="2:3">
      <c r="B281" s="1">
        <v>41264</v>
      </c>
      <c r="C281">
        <v>3983.2</v>
      </c>
    </row>
    <row r="282" spans="2:3">
      <c r="B282" s="1">
        <v>41271</v>
      </c>
      <c r="C282">
        <v>3488.9</v>
      </c>
    </row>
    <row r="283" spans="2:3">
      <c r="B283" s="1">
        <v>41278</v>
      </c>
      <c r="C283">
        <v>3896.4</v>
      </c>
    </row>
    <row r="284" spans="2:3">
      <c r="B284" s="1">
        <v>41285</v>
      </c>
      <c r="C284">
        <v>4554.3999999999996</v>
      </c>
    </row>
    <row r="285" spans="2:3">
      <c r="B285" s="1">
        <v>41292</v>
      </c>
      <c r="C285">
        <v>4937.3999999999996</v>
      </c>
    </row>
    <row r="286" spans="2:3">
      <c r="B286" s="1">
        <v>41299</v>
      </c>
      <c r="C286">
        <v>4433.6000000000004</v>
      </c>
    </row>
    <row r="287" spans="2:3">
      <c r="B287" s="1">
        <v>41306</v>
      </c>
      <c r="C287">
        <v>4579</v>
      </c>
    </row>
    <row r="288" spans="2:3">
      <c r="B288" s="1">
        <v>41313</v>
      </c>
      <c r="C288">
        <v>4284.3</v>
      </c>
    </row>
    <row r="289" spans="2:3">
      <c r="B289" s="1">
        <v>41320</v>
      </c>
      <c r="C289">
        <v>4261.8</v>
      </c>
    </row>
    <row r="290" spans="2:3">
      <c r="B290" s="1">
        <v>41327</v>
      </c>
      <c r="C290">
        <v>4136.3</v>
      </c>
    </row>
    <row r="291" spans="2:3">
      <c r="B291" s="1">
        <v>41334</v>
      </c>
      <c r="C291">
        <v>4724.8999999999996</v>
      </c>
    </row>
    <row r="292" spans="2:3">
      <c r="B292" s="1">
        <v>41341</v>
      </c>
      <c r="C292">
        <v>4485.2</v>
      </c>
    </row>
    <row r="293" spans="2:3">
      <c r="B293" s="1">
        <v>41348</v>
      </c>
      <c r="C293">
        <v>4111.3</v>
      </c>
    </row>
    <row r="294" spans="2:3">
      <c r="B294" s="1">
        <v>41355</v>
      </c>
      <c r="C294">
        <v>4412.8999999999996</v>
      </c>
    </row>
    <row r="295" spans="2:3">
      <c r="B295" s="1">
        <v>41362</v>
      </c>
      <c r="C295">
        <v>4119.2</v>
      </c>
    </row>
    <row r="296" spans="2:3">
      <c r="B296" s="1">
        <v>41369</v>
      </c>
      <c r="C296">
        <v>4528.8999999999996</v>
      </c>
    </row>
    <row r="297" spans="2:3">
      <c r="B297" s="1">
        <v>41376</v>
      </c>
      <c r="C297">
        <v>4726.8999999999996</v>
      </c>
    </row>
    <row r="298" spans="2:3">
      <c r="B298" s="1">
        <v>41383</v>
      </c>
      <c r="C298">
        <v>4672.1000000000004</v>
      </c>
    </row>
    <row r="299" spans="2:3">
      <c r="B299" s="1">
        <v>41390</v>
      </c>
      <c r="C299">
        <v>4854.1000000000004</v>
      </c>
    </row>
    <row r="300" spans="2:3">
      <c r="B300" s="1">
        <v>41397</v>
      </c>
      <c r="C300">
        <v>5279.9</v>
      </c>
    </row>
    <row r="301" spans="2:3">
      <c r="B301" s="1">
        <v>41404</v>
      </c>
      <c r="C301">
        <v>4797.2</v>
      </c>
    </row>
    <row r="302" spans="2:3">
      <c r="B302" s="1">
        <v>41411</v>
      </c>
      <c r="C302">
        <v>4241.5</v>
      </c>
    </row>
    <row r="303" spans="2:3">
      <c r="B303" s="1">
        <v>41418</v>
      </c>
      <c r="C303">
        <v>3709.4</v>
      </c>
    </row>
    <row r="304" spans="2:3">
      <c r="B304" s="1">
        <v>41425</v>
      </c>
      <c r="C304">
        <v>3163.6</v>
      </c>
    </row>
    <row r="305" spans="2:3">
      <c r="B305" s="1">
        <v>41432</v>
      </c>
      <c r="C305">
        <v>3339.8</v>
      </c>
    </row>
    <row r="306" spans="2:3">
      <c r="B306" s="1">
        <v>41439</v>
      </c>
      <c r="C306">
        <v>3214.4</v>
      </c>
    </row>
    <row r="307" spans="2:3">
      <c r="B307" s="1">
        <v>41446</v>
      </c>
      <c r="C307">
        <v>3040.1</v>
      </c>
    </row>
    <row r="308" spans="2:3">
      <c r="B308" s="1">
        <v>41453</v>
      </c>
      <c r="C308">
        <v>2573.4</v>
      </c>
    </row>
    <row r="309" spans="2:3">
      <c r="B309" s="1">
        <v>41460</v>
      </c>
      <c r="C309">
        <v>2417.8000000000002</v>
      </c>
    </row>
    <row r="310" spans="2:3">
      <c r="B310" s="1">
        <v>41467</v>
      </c>
      <c r="C310">
        <v>2242.1999999999998</v>
      </c>
    </row>
    <row r="311" spans="2:3">
      <c r="B311" s="1">
        <v>41474</v>
      </c>
      <c r="C311">
        <v>2288</v>
      </c>
    </row>
    <row r="312" spans="2:3">
      <c r="B312" s="1">
        <v>41481</v>
      </c>
      <c r="C312">
        <v>2218.3000000000002</v>
      </c>
    </row>
    <row r="313" spans="2:3">
      <c r="B313" s="1">
        <v>41488</v>
      </c>
      <c r="C313">
        <v>2228.9</v>
      </c>
    </row>
    <row r="314" spans="2:3">
      <c r="B314" s="1">
        <v>41495</v>
      </c>
      <c r="C314">
        <v>2110.6</v>
      </c>
    </row>
    <row r="315" spans="2:3">
      <c r="B315" s="1">
        <v>41502</v>
      </c>
      <c r="C315">
        <v>1935.1</v>
      </c>
    </row>
    <row r="316" spans="2:3">
      <c r="B316" s="1">
        <v>41509</v>
      </c>
      <c r="C316">
        <v>1842.6</v>
      </c>
    </row>
    <row r="317" spans="2:3">
      <c r="B317" s="1">
        <v>41516</v>
      </c>
      <c r="C317">
        <v>1909</v>
      </c>
    </row>
    <row r="318" spans="2:3">
      <c r="B318" s="1">
        <v>41523</v>
      </c>
      <c r="C318">
        <v>1512.9</v>
      </c>
    </row>
    <row r="319" spans="2:3">
      <c r="B319" s="1">
        <v>41530</v>
      </c>
      <c r="C319">
        <v>1814</v>
      </c>
    </row>
    <row r="320" spans="2:3">
      <c r="B320" s="1">
        <v>41537</v>
      </c>
      <c r="C320">
        <v>1922.9</v>
      </c>
    </row>
    <row r="321" spans="2:3">
      <c r="B321" s="1">
        <v>41544</v>
      </c>
      <c r="C321">
        <v>1956.6</v>
      </c>
    </row>
    <row r="322" spans="2:3">
      <c r="B322" s="1">
        <v>41551</v>
      </c>
      <c r="C322">
        <v>2025.3</v>
      </c>
    </row>
    <row r="323" spans="2:3">
      <c r="B323" s="1">
        <v>41558</v>
      </c>
      <c r="C323">
        <v>2102.6999999999998</v>
      </c>
    </row>
    <row r="324" spans="2:3">
      <c r="B324" s="1">
        <v>41565</v>
      </c>
      <c r="C324">
        <v>2033.7</v>
      </c>
    </row>
    <row r="325" spans="2:3">
      <c r="B325" s="1">
        <v>41572</v>
      </c>
      <c r="C325">
        <v>2211.8000000000002</v>
      </c>
    </row>
    <row r="326" spans="2:3">
      <c r="B326" s="1">
        <v>41579</v>
      </c>
      <c r="C326">
        <v>2105.6</v>
      </c>
    </row>
    <row r="327" spans="2:3">
      <c r="B327" s="1">
        <v>41586</v>
      </c>
      <c r="C327">
        <v>2056.9</v>
      </c>
    </row>
    <row r="328" spans="2:3">
      <c r="B328" s="1">
        <v>41593</v>
      </c>
      <c r="C328">
        <v>1903.5</v>
      </c>
    </row>
    <row r="329" spans="2:3">
      <c r="B329" s="1">
        <v>41600</v>
      </c>
      <c r="C329">
        <v>1917.2</v>
      </c>
    </row>
    <row r="330" spans="2:3">
      <c r="B330" s="1">
        <v>41607</v>
      </c>
      <c r="C330">
        <v>1561.6</v>
      </c>
    </row>
    <row r="331" spans="2:3">
      <c r="B331" s="1">
        <v>41614</v>
      </c>
      <c r="C331">
        <v>1599.4</v>
      </c>
    </row>
    <row r="332" spans="2:3">
      <c r="B332" s="1">
        <v>41621</v>
      </c>
      <c r="C332">
        <v>1529.8</v>
      </c>
    </row>
    <row r="333" spans="2:3">
      <c r="B333" s="1">
        <v>41628</v>
      </c>
      <c r="C333">
        <v>1426.7</v>
      </c>
    </row>
    <row r="334" spans="2:3">
      <c r="B334" s="1">
        <v>41635</v>
      </c>
      <c r="C334">
        <v>1277.8</v>
      </c>
    </row>
    <row r="335" spans="2:3">
      <c r="B335" s="1">
        <v>41642</v>
      </c>
      <c r="C335">
        <v>1352.7</v>
      </c>
    </row>
    <row r="336" spans="2:3">
      <c r="B336" s="1">
        <v>41649</v>
      </c>
      <c r="C336">
        <v>1507</v>
      </c>
    </row>
    <row r="337" spans="2:3">
      <c r="B337" s="1">
        <v>41656</v>
      </c>
      <c r="C337">
        <v>1675.8</v>
      </c>
    </row>
    <row r="338" spans="2:3">
      <c r="B338" s="1">
        <v>41663</v>
      </c>
      <c r="C338">
        <v>1601.2</v>
      </c>
    </row>
    <row r="339" spans="2:3">
      <c r="B339" s="1">
        <v>41670</v>
      </c>
      <c r="C339">
        <v>1667.5</v>
      </c>
    </row>
    <row r="340" spans="2:3">
      <c r="B340" s="1">
        <v>41677</v>
      </c>
      <c r="C340">
        <v>1674.2</v>
      </c>
    </row>
    <row r="341" spans="2:3">
      <c r="B341" s="1">
        <v>41684</v>
      </c>
      <c r="C341">
        <v>1650.6</v>
      </c>
    </row>
    <row r="342" spans="2:3">
      <c r="B342" s="1">
        <v>41691</v>
      </c>
      <c r="C342">
        <v>1442.3</v>
      </c>
    </row>
    <row r="343" spans="2:3">
      <c r="B343" s="1">
        <v>41698</v>
      </c>
      <c r="C343">
        <v>1600.6</v>
      </c>
    </row>
    <row r="344" spans="2:3">
      <c r="B344" s="1">
        <v>41705</v>
      </c>
      <c r="C344">
        <v>1528</v>
      </c>
    </row>
    <row r="345" spans="2:3">
      <c r="B345" s="1">
        <v>41712</v>
      </c>
      <c r="C345">
        <v>1552.1</v>
      </c>
    </row>
    <row r="346" spans="2:3">
      <c r="B346" s="1">
        <v>41719</v>
      </c>
      <c r="C346">
        <v>1426.3</v>
      </c>
    </row>
    <row r="347" spans="2:3">
      <c r="B347" s="1">
        <v>41726</v>
      </c>
      <c r="C347">
        <v>1383.5</v>
      </c>
    </row>
    <row r="348" spans="2:3">
      <c r="B348" s="1">
        <v>41733</v>
      </c>
      <c r="C348">
        <v>1324.7</v>
      </c>
    </row>
    <row r="349" spans="2:3">
      <c r="B349" s="1">
        <v>41740</v>
      </c>
      <c r="C349">
        <v>1429.9</v>
      </c>
    </row>
    <row r="350" spans="2:3">
      <c r="B350" s="1">
        <v>41747</v>
      </c>
      <c r="C350">
        <v>1370.9</v>
      </c>
    </row>
    <row r="351" spans="2:3">
      <c r="B351" s="1">
        <v>41754</v>
      </c>
      <c r="C351">
        <v>1298.0999999999999</v>
      </c>
    </row>
    <row r="352" spans="2:3">
      <c r="B352" s="1">
        <v>41761</v>
      </c>
      <c r="C352">
        <v>1323.9</v>
      </c>
    </row>
    <row r="353" spans="2:3">
      <c r="B353" s="1">
        <v>41768</v>
      </c>
      <c r="C353">
        <v>1400.9</v>
      </c>
    </row>
    <row r="354" spans="2:3">
      <c r="B354" s="1">
        <v>41775</v>
      </c>
      <c r="C354">
        <v>1460.6</v>
      </c>
    </row>
    <row r="355" spans="2:3">
      <c r="B355" s="1">
        <v>41782</v>
      </c>
      <c r="C355">
        <v>1453.4</v>
      </c>
    </row>
    <row r="356" spans="2:3">
      <c r="B356" s="1">
        <v>41789</v>
      </c>
      <c r="C356">
        <v>1382.6</v>
      </c>
    </row>
    <row r="357" spans="2:3">
      <c r="B357" s="1">
        <v>41796</v>
      </c>
      <c r="C357">
        <v>1516.9</v>
      </c>
    </row>
    <row r="358" spans="2:3">
      <c r="B358" s="1">
        <v>41803</v>
      </c>
      <c r="C358">
        <v>1321.3</v>
      </c>
    </row>
    <row r="359" spans="2:3">
      <c r="B359" s="1">
        <v>41810</v>
      </c>
      <c r="C359">
        <v>1333.5</v>
      </c>
    </row>
    <row r="360" spans="2:3">
      <c r="B360" s="1">
        <v>41817</v>
      </c>
      <c r="C360">
        <v>1341.8</v>
      </c>
    </row>
    <row r="361" spans="2:3">
      <c r="B361" s="1">
        <v>41824</v>
      </c>
      <c r="C361">
        <v>1346.8</v>
      </c>
    </row>
    <row r="362" spans="2:3">
      <c r="B362" s="1">
        <v>41831</v>
      </c>
      <c r="C362">
        <v>1329.7</v>
      </c>
    </row>
    <row r="363" spans="2:3">
      <c r="B363" s="1">
        <v>41838</v>
      </c>
      <c r="C363">
        <v>1400.7</v>
      </c>
    </row>
    <row r="364" spans="2:3">
      <c r="B364" s="1">
        <v>41845</v>
      </c>
      <c r="C364">
        <v>1327.5</v>
      </c>
    </row>
    <row r="365" spans="2:3">
      <c r="B365" s="1">
        <v>41852</v>
      </c>
      <c r="C365">
        <v>1373.9</v>
      </c>
    </row>
    <row r="366" spans="2:3">
      <c r="B366" s="1">
        <v>41859</v>
      </c>
      <c r="C366">
        <v>1342.6</v>
      </c>
    </row>
    <row r="367" spans="2:3">
      <c r="B367" s="1">
        <v>41866</v>
      </c>
      <c r="C367">
        <v>1404.9</v>
      </c>
    </row>
    <row r="368" spans="2:3">
      <c r="B368" s="1">
        <v>41873</v>
      </c>
      <c r="C368">
        <v>1439.4</v>
      </c>
    </row>
    <row r="369" spans="2:3">
      <c r="B369" s="1">
        <v>41880</v>
      </c>
      <c r="C369">
        <v>1436</v>
      </c>
    </row>
    <row r="370" spans="2:3">
      <c r="B370" s="1">
        <v>41887</v>
      </c>
      <c r="C370">
        <v>1275.8</v>
      </c>
    </row>
    <row r="371" spans="2:3">
      <c r="B371" s="1">
        <v>41894</v>
      </c>
      <c r="C371">
        <v>1398.4</v>
      </c>
    </row>
    <row r="372" spans="2:3">
      <c r="B372" s="1">
        <v>41901</v>
      </c>
      <c r="C372">
        <v>1335.1</v>
      </c>
    </row>
    <row r="373" spans="2:3">
      <c r="B373" s="1">
        <v>41908</v>
      </c>
      <c r="C373">
        <v>1326.2</v>
      </c>
    </row>
    <row r="374" spans="2:3">
      <c r="B374" s="1">
        <v>41915</v>
      </c>
      <c r="C374">
        <v>1387.1</v>
      </c>
    </row>
    <row r="375" spans="2:3">
      <c r="B375" s="1">
        <v>41922</v>
      </c>
      <c r="C375">
        <v>1560.6</v>
      </c>
    </row>
    <row r="376" spans="2:3">
      <c r="B376" s="1">
        <v>41929</v>
      </c>
      <c r="C376">
        <v>1898.2</v>
      </c>
    </row>
    <row r="377" spans="2:3">
      <c r="B377" s="1">
        <v>41936</v>
      </c>
      <c r="C377">
        <v>1713.6</v>
      </c>
    </row>
    <row r="378" spans="2:3">
      <c r="B378" s="1">
        <v>41943</v>
      </c>
      <c r="C378">
        <v>1604.8</v>
      </c>
    </row>
    <row r="379" spans="2:3">
      <c r="B379" s="1">
        <v>41950</v>
      </c>
      <c r="C379">
        <v>1565.3</v>
      </c>
    </row>
    <row r="380" spans="2:3">
      <c r="B380" s="1">
        <v>41957</v>
      </c>
      <c r="C380">
        <v>1563.2</v>
      </c>
    </row>
    <row r="381" spans="2:3">
      <c r="B381" s="1">
        <v>41964</v>
      </c>
      <c r="C381">
        <v>1547.9</v>
      </c>
    </row>
    <row r="382" spans="2:3">
      <c r="B382" s="1">
        <v>41971</v>
      </c>
      <c r="C382">
        <v>1366.6</v>
      </c>
    </row>
    <row r="383" spans="2:3">
      <c r="B383" s="1">
        <v>41978</v>
      </c>
      <c r="C383">
        <v>1548.6</v>
      </c>
    </row>
    <row r="384" spans="2:3">
      <c r="B384" s="1">
        <v>41985</v>
      </c>
      <c r="C384">
        <v>1518.8</v>
      </c>
    </row>
    <row r="385" spans="2:3">
      <c r="B385" s="1">
        <v>41992</v>
      </c>
      <c r="C385">
        <v>1538.7</v>
      </c>
    </row>
    <row r="386" spans="2:3">
      <c r="B386" s="1">
        <v>41999</v>
      </c>
      <c r="C386">
        <v>1164.2</v>
      </c>
    </row>
    <row r="387" spans="2:3">
      <c r="B387" s="1">
        <v>42006</v>
      </c>
      <c r="C387">
        <v>1347.6</v>
      </c>
    </row>
    <row r="388" spans="2:3">
      <c r="B388" s="1">
        <v>42013</v>
      </c>
      <c r="C388">
        <v>2271.5</v>
      </c>
    </row>
    <row r="389" spans="2:3">
      <c r="B389" s="1">
        <v>42020</v>
      </c>
      <c r="C389">
        <v>2799.3</v>
      </c>
    </row>
    <row r="390" spans="2:3">
      <c r="B390" s="1">
        <v>42027</v>
      </c>
      <c r="C390">
        <v>2572.3000000000002</v>
      </c>
    </row>
    <row r="391" spans="2:3">
      <c r="B391" s="1">
        <v>42034</v>
      </c>
      <c r="C391">
        <v>2584.8000000000002</v>
      </c>
    </row>
    <row r="392" spans="2:3">
      <c r="B392" s="1">
        <v>42041</v>
      </c>
      <c r="C392">
        <v>2291.3000000000002</v>
      </c>
    </row>
    <row r="393" spans="2:3">
      <c r="B393" s="1">
        <v>42048</v>
      </c>
      <c r="C393">
        <v>1904.2</v>
      </c>
    </row>
    <row r="394" spans="2:3">
      <c r="B394" s="1">
        <v>42055</v>
      </c>
      <c r="C394">
        <v>1703.1</v>
      </c>
    </row>
    <row r="395" spans="2:3">
      <c r="B395" s="1">
        <v>42062</v>
      </c>
      <c r="C395">
        <v>1740.3</v>
      </c>
    </row>
    <row r="396" spans="2:3">
      <c r="B396" s="1">
        <v>42069</v>
      </c>
      <c r="C396">
        <v>1685.7</v>
      </c>
    </row>
    <row r="397" spans="2:3">
      <c r="B397" s="1">
        <v>42076</v>
      </c>
      <c r="C397">
        <v>1623.6</v>
      </c>
    </row>
    <row r="398" spans="2:3">
      <c r="B398" s="1">
        <v>42083</v>
      </c>
      <c r="C398">
        <v>1860.8</v>
      </c>
    </row>
    <row r="399" spans="2:3">
      <c r="B399" s="1">
        <v>42090</v>
      </c>
      <c r="C399">
        <v>1941.6</v>
      </c>
    </row>
    <row r="400" spans="2:3">
      <c r="B400" s="1">
        <v>42097</v>
      </c>
      <c r="C400">
        <v>1854.7</v>
      </c>
    </row>
    <row r="401" spans="2:3">
      <c r="B401" s="1">
        <v>42104</v>
      </c>
      <c r="C401">
        <v>1804.6</v>
      </c>
    </row>
    <row r="402" spans="2:3">
      <c r="B402" s="1">
        <v>42111</v>
      </c>
      <c r="C402">
        <v>1817</v>
      </c>
    </row>
    <row r="403" spans="2:3">
      <c r="B403" s="1"/>
    </row>
    <row r="404" spans="2:3">
      <c r="B404" s="1"/>
    </row>
    <row r="405" spans="2:3">
      <c r="B405" s="1"/>
    </row>
    <row r="406" spans="2:3">
      <c r="B406" s="1"/>
    </row>
    <row r="407" spans="2:3">
      <c r="B407" s="1"/>
    </row>
    <row r="408" spans="2:3">
      <c r="B408" s="1"/>
    </row>
    <row r="409" spans="2:3">
      <c r="B409" s="1"/>
    </row>
    <row r="410" spans="2:3">
      <c r="B410" s="1"/>
    </row>
    <row r="411" spans="2:3">
      <c r="B411" s="1"/>
    </row>
    <row r="412" spans="2:3">
      <c r="B412" s="1"/>
    </row>
    <row r="413" spans="2:3">
      <c r="B413" s="1"/>
    </row>
    <row r="414" spans="2:3">
      <c r="B414" s="1"/>
    </row>
    <row r="415" spans="2:3">
      <c r="B415" s="1"/>
    </row>
    <row r="416" spans="2:3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7:AD60"/>
  <sheetViews>
    <sheetView topLeftCell="A10" workbookViewId="0">
      <selection activeCell="P55" sqref="P55:P60"/>
    </sheetView>
  </sheetViews>
  <sheetFormatPr defaultRowHeight="15"/>
  <cols>
    <col min="5" max="5" width="9.7109375" bestFit="1" customWidth="1"/>
    <col min="6" max="6" width="10.7109375" style="37" bestFit="1" customWidth="1"/>
    <col min="7" max="7" width="12" bestFit="1" customWidth="1"/>
    <col min="11" max="11" width="9.140625" style="37"/>
    <col min="16" max="16" width="9.7109375" bestFit="1" customWidth="1"/>
    <col min="17" max="17" width="9.140625" style="37"/>
    <col min="22" max="22" width="9.7109375" bestFit="1" customWidth="1"/>
    <col min="25" max="25" width="14.28515625" bestFit="1" customWidth="1"/>
  </cols>
  <sheetData>
    <row r="7" spans="5:30">
      <c r="P7" t="s">
        <v>39</v>
      </c>
      <c r="Q7" s="37" t="s">
        <v>43</v>
      </c>
    </row>
    <row r="8" spans="5:30" ht="15.75" thickBot="1">
      <c r="E8" t="s">
        <v>39</v>
      </c>
      <c r="J8" t="s">
        <v>40</v>
      </c>
      <c r="P8" t="s">
        <v>41</v>
      </c>
      <c r="V8" s="38"/>
      <c r="W8" s="38"/>
      <c r="X8" s="38"/>
      <c r="Y8" s="38"/>
      <c r="Z8" s="38"/>
      <c r="AA8" s="38"/>
      <c r="AB8" s="38"/>
      <c r="AC8" s="38" t="s">
        <v>44</v>
      </c>
      <c r="AD8" s="38"/>
    </row>
    <row r="9" spans="5:30">
      <c r="E9" t="s">
        <v>38</v>
      </c>
      <c r="J9" t="s">
        <v>41</v>
      </c>
      <c r="P9" t="s">
        <v>31</v>
      </c>
      <c r="Q9" s="37" t="s">
        <v>37</v>
      </c>
      <c r="R9" t="s">
        <v>35</v>
      </c>
      <c r="S9" t="s">
        <v>36</v>
      </c>
      <c r="V9" s="42"/>
      <c r="W9" s="43" t="s">
        <v>47</v>
      </c>
      <c r="X9" s="43" t="s">
        <v>48</v>
      </c>
      <c r="Y9" s="43" t="s">
        <v>45</v>
      </c>
      <c r="Z9" s="44" t="s">
        <v>49</v>
      </c>
      <c r="AA9" s="38"/>
      <c r="AB9" s="38" t="s">
        <v>47</v>
      </c>
      <c r="AC9" s="38" t="s">
        <v>48</v>
      </c>
      <c r="AD9" s="38" t="s">
        <v>49</v>
      </c>
    </row>
    <row r="10" spans="5:30">
      <c r="E10" t="s">
        <v>31</v>
      </c>
      <c r="F10" s="37" t="s">
        <v>37</v>
      </c>
      <c r="G10" t="s">
        <v>35</v>
      </c>
      <c r="H10" t="s">
        <v>36</v>
      </c>
      <c r="J10" t="s">
        <v>31</v>
      </c>
      <c r="K10" s="37" t="s">
        <v>32</v>
      </c>
      <c r="L10" t="s">
        <v>35</v>
      </c>
      <c r="M10" t="s">
        <v>36</v>
      </c>
      <c r="P10" s="1">
        <v>42068</v>
      </c>
      <c r="Q10" s="37">
        <v>0.46598988131295799</v>
      </c>
      <c r="R10">
        <v>434198472406.90302</v>
      </c>
      <c r="S10">
        <v>931776611079.02002</v>
      </c>
      <c r="V10" s="45">
        <v>42068</v>
      </c>
      <c r="W10" s="46">
        <v>0.64879793947367004</v>
      </c>
      <c r="X10" s="46">
        <v>0.606774744874231</v>
      </c>
      <c r="Y10" s="47">
        <v>0.50718342258638904</v>
      </c>
      <c r="Z10" s="48">
        <f>W10-Y10</f>
        <v>0.14161451688728099</v>
      </c>
      <c r="AA10" s="40"/>
      <c r="AB10" s="39">
        <v>0.57360546117917699</v>
      </c>
      <c r="AC10" s="37">
        <v>0.45066683790268203</v>
      </c>
      <c r="AD10" s="41">
        <f>AB10-AC10</f>
        <v>0.12293862327649496</v>
      </c>
    </row>
    <row r="11" spans="5:30">
      <c r="E11" s="1">
        <v>42068</v>
      </c>
      <c r="F11" s="37">
        <v>0.52105092230652605</v>
      </c>
      <c r="G11">
        <v>377932173398.698</v>
      </c>
      <c r="H11">
        <v>725326752567.12598</v>
      </c>
      <c r="J11" s="1">
        <v>42068</v>
      </c>
      <c r="K11" s="37">
        <v>0.64879793947367004</v>
      </c>
      <c r="L11">
        <v>652223329097.69995</v>
      </c>
      <c r="M11">
        <v>1005279593869.87</v>
      </c>
      <c r="P11" s="1">
        <v>42075</v>
      </c>
      <c r="Q11" s="37">
        <v>0.391525471788709</v>
      </c>
      <c r="R11">
        <v>364814277254.39801</v>
      </c>
      <c r="S11">
        <v>931776611079.02002</v>
      </c>
      <c r="V11" s="45">
        <v>42075</v>
      </c>
      <c r="W11" s="46">
        <v>0.56709086833409394</v>
      </c>
      <c r="X11" s="46">
        <v>0.52303888200369097</v>
      </c>
      <c r="Y11" s="47">
        <v>0.43124435584172699</v>
      </c>
      <c r="Z11" s="48">
        <f t="shared" ref="Z11:Z17" si="0">W11-Y11</f>
        <v>0.13584651249236696</v>
      </c>
      <c r="AA11" s="40"/>
      <c r="AB11" s="39">
        <v>0.47457516158677099</v>
      </c>
      <c r="AC11" s="37">
        <v>0.36713329834181002</v>
      </c>
      <c r="AD11" s="41">
        <f t="shared" ref="AD11:AD17" si="1">AB11-AC11</f>
        <v>0.10744186324496097</v>
      </c>
    </row>
    <row r="12" spans="5:30">
      <c r="E12" s="1">
        <v>42075</v>
      </c>
      <c r="F12" s="37">
        <v>0.411998658833651</v>
      </c>
      <c r="G12">
        <v>298833649273.82397</v>
      </c>
      <c r="H12">
        <v>725326752567.12598</v>
      </c>
      <c r="J12" s="1">
        <v>42075</v>
      </c>
      <c r="K12" s="37">
        <v>0.56709086833409394</v>
      </c>
      <c r="L12">
        <v>570084877806.20996</v>
      </c>
      <c r="M12">
        <v>1005279593869.87</v>
      </c>
      <c r="P12" s="1">
        <v>42082</v>
      </c>
      <c r="Q12" s="37">
        <v>0.46543670330005099</v>
      </c>
      <c r="R12">
        <v>433683034072.71301</v>
      </c>
      <c r="S12">
        <v>931776611079.02002</v>
      </c>
      <c r="V12" s="45">
        <v>42082</v>
      </c>
      <c r="W12" s="46">
        <v>0.62625017100514602</v>
      </c>
      <c r="X12" s="46">
        <v>0.60648965415006495</v>
      </c>
      <c r="Y12" s="47">
        <v>0.50666988212578501</v>
      </c>
      <c r="Z12" s="48">
        <f t="shared" si="0"/>
        <v>0.11958028887936101</v>
      </c>
      <c r="AA12" s="40"/>
      <c r="AB12" s="39">
        <v>0.54622742214646502</v>
      </c>
      <c r="AC12" s="37">
        <v>0.45009137730986898</v>
      </c>
      <c r="AD12" s="41">
        <f t="shared" si="1"/>
        <v>9.6136044836596046E-2</v>
      </c>
    </row>
    <row r="13" spans="5:30">
      <c r="E13" s="1">
        <v>42082</v>
      </c>
      <c r="F13" s="37">
        <v>0.52057047302173598</v>
      </c>
      <c r="G13">
        <v>377583690679.18799</v>
      </c>
      <c r="H13">
        <v>725326752567.12598</v>
      </c>
      <c r="J13" s="1">
        <v>42082</v>
      </c>
      <c r="K13" s="37">
        <v>0.62625017100514602</v>
      </c>
      <c r="L13">
        <v>629556517568.98999</v>
      </c>
      <c r="M13">
        <v>1005279593869.87</v>
      </c>
      <c r="P13" s="1">
        <v>42089</v>
      </c>
      <c r="Q13" s="37">
        <v>0.515690751309549</v>
      </c>
      <c r="R13">
        <v>480508580620.00598</v>
      </c>
      <c r="S13">
        <v>931776611079.02002</v>
      </c>
      <c r="V13" s="45">
        <v>42089</v>
      </c>
      <c r="W13" s="46">
        <v>0.67177281536533096</v>
      </c>
      <c r="X13" s="46">
        <v>0.66948681688726697</v>
      </c>
      <c r="Y13" s="47">
        <v>0.55138762509375605</v>
      </c>
      <c r="Z13" s="48">
        <f t="shared" si="0"/>
        <v>0.1203851902715749</v>
      </c>
      <c r="AA13" s="40"/>
      <c r="AB13" s="39">
        <v>0.60149374984088799</v>
      </c>
      <c r="AC13" s="37">
        <v>0.50024941273507195</v>
      </c>
      <c r="AD13" s="41">
        <f t="shared" si="1"/>
        <v>0.10124433710581604</v>
      </c>
    </row>
    <row r="14" spans="5:30">
      <c r="E14" s="1">
        <v>42089</v>
      </c>
      <c r="F14" s="37">
        <v>0.59163699347118204</v>
      </c>
      <c r="G14">
        <v>429130139173.03101</v>
      </c>
      <c r="H14">
        <v>725326752567.12598</v>
      </c>
      <c r="J14" s="1">
        <v>42089</v>
      </c>
      <c r="K14" s="37">
        <v>0.67177281536533096</v>
      </c>
      <c r="L14">
        <v>675319503003.28003</v>
      </c>
      <c r="M14">
        <v>1005279593869.87</v>
      </c>
      <c r="P14" s="1">
        <v>42096</v>
      </c>
      <c r="Q14" s="37">
        <v>0.50146616730291105</v>
      </c>
      <c r="R14">
        <v>469425547843.58899</v>
      </c>
      <c r="S14">
        <v>936106119318.77698</v>
      </c>
      <c r="V14" s="45">
        <v>42096</v>
      </c>
      <c r="W14" s="46">
        <v>0.65650951013695402</v>
      </c>
      <c r="X14" s="46">
        <v>0.65757284583633602</v>
      </c>
      <c r="Y14" s="47">
        <v>0.53682243639344696</v>
      </c>
      <c r="Z14" s="48">
        <f t="shared" si="0"/>
        <v>0.11968707374350707</v>
      </c>
      <c r="AA14" s="40"/>
      <c r="AB14" s="39">
        <v>0.58566684694845395</v>
      </c>
      <c r="AC14" s="37">
        <v>0.485896410211898</v>
      </c>
      <c r="AD14" s="41">
        <f t="shared" si="1"/>
        <v>9.9770436736555945E-2</v>
      </c>
    </row>
    <row r="15" spans="5:30">
      <c r="E15" s="1">
        <v>42096</v>
      </c>
      <c r="F15" s="37">
        <v>0.57707055634817594</v>
      </c>
      <c r="G15">
        <v>430002385716.53601</v>
      </c>
      <c r="H15">
        <v>745146985903.56396</v>
      </c>
      <c r="J15" s="1">
        <v>42096</v>
      </c>
      <c r="K15" s="37">
        <v>0.65650951013695402</v>
      </c>
      <c r="L15">
        <v>661720898845.93994</v>
      </c>
      <c r="M15">
        <v>1007938024702.64</v>
      </c>
      <c r="P15" s="1">
        <v>42103</v>
      </c>
      <c r="Q15" s="37">
        <v>0.52791282596991895</v>
      </c>
      <c r="R15">
        <v>494182426857.31</v>
      </c>
      <c r="S15">
        <v>936106119318.77698</v>
      </c>
      <c r="V15" s="45">
        <v>42103</v>
      </c>
      <c r="W15" s="46">
        <v>0.67417257610562098</v>
      </c>
      <c r="X15" s="46">
        <v>0.65811343479434004</v>
      </c>
      <c r="Y15" s="47">
        <v>0.56624534907007396</v>
      </c>
      <c r="Z15" s="48">
        <f t="shared" si="0"/>
        <v>0.10792722703554702</v>
      </c>
      <c r="AA15" s="40"/>
      <c r="AB15" s="39">
        <v>0.60696709220630396</v>
      </c>
      <c r="AC15" s="37">
        <v>0.518480147244884</v>
      </c>
      <c r="AD15" s="41">
        <f t="shared" si="1"/>
        <v>8.8486944961419955E-2</v>
      </c>
    </row>
    <row r="16" spans="5:30">
      <c r="E16" s="1">
        <v>42103</v>
      </c>
      <c r="F16" s="37">
        <v>0.57815778139415497</v>
      </c>
      <c r="G16">
        <v>430812528182.54602</v>
      </c>
      <c r="H16">
        <v>745146985903.56396</v>
      </c>
      <c r="J16" s="1">
        <v>42103</v>
      </c>
      <c r="K16" s="37">
        <v>0.67417257610562098</v>
      </c>
      <c r="L16">
        <v>679524174668.58997</v>
      </c>
      <c r="M16">
        <v>1007938024702.64</v>
      </c>
      <c r="P16" s="1">
        <v>42110</v>
      </c>
      <c r="Q16" s="37">
        <v>0.50155254519477699</v>
      </c>
      <c r="R16">
        <v>469506406716.73901</v>
      </c>
      <c r="S16">
        <v>936106119318.77698</v>
      </c>
      <c r="V16" s="45">
        <v>42110</v>
      </c>
      <c r="W16" s="46">
        <v>0.65857343754719699</v>
      </c>
      <c r="X16" s="46">
        <v>0.65789565295069996</v>
      </c>
      <c r="Y16" s="47">
        <v>0.53691783186626096</v>
      </c>
      <c r="Z16" s="48">
        <f t="shared" si="0"/>
        <v>0.12165560568093603</v>
      </c>
      <c r="AA16" s="40"/>
      <c r="AB16" s="39">
        <v>0.588150363186553</v>
      </c>
      <c r="AC16" s="37">
        <v>0.48600286425468497</v>
      </c>
      <c r="AD16" s="41">
        <f t="shared" si="1"/>
        <v>0.10214749893186803</v>
      </c>
    </row>
    <row r="17" spans="5:30" ht="15.75" thickBot="1">
      <c r="E17" s="1">
        <v>42110</v>
      </c>
      <c r="F17" s="37">
        <v>0.57774381580628398</v>
      </c>
      <c r="G17">
        <v>430504062972.47601</v>
      </c>
      <c r="H17">
        <v>745146985903.56396</v>
      </c>
      <c r="J17" s="1">
        <v>42110</v>
      </c>
      <c r="K17" s="37">
        <v>0.65857343754719699</v>
      </c>
      <c r="L17">
        <v>663801209762.94995</v>
      </c>
      <c r="M17">
        <v>1007938024702.64</v>
      </c>
      <c r="P17" s="1">
        <v>42117</v>
      </c>
      <c r="Q17" s="37">
        <v>0.5282959563281</v>
      </c>
      <c r="R17">
        <v>494541077530.09998</v>
      </c>
      <c r="S17">
        <v>936106119318.77698</v>
      </c>
      <c r="V17" s="49">
        <v>42117</v>
      </c>
      <c r="W17" s="50">
        <v>0.68053352147964896</v>
      </c>
      <c r="X17" s="50">
        <v>0.658533593067545</v>
      </c>
      <c r="Y17" s="51">
        <v>0.56669393867683804</v>
      </c>
      <c r="Z17" s="52">
        <f t="shared" si="0"/>
        <v>0.11383958280281092</v>
      </c>
      <c r="AA17" s="40"/>
      <c r="AB17" s="39">
        <v>0.61464069888629802</v>
      </c>
      <c r="AC17" s="37">
        <v>0.51898248125296498</v>
      </c>
      <c r="AD17" s="41">
        <f t="shared" si="1"/>
        <v>9.5658217633333043E-2</v>
      </c>
    </row>
    <row r="18" spans="5:30">
      <c r="E18" s="1">
        <v>42117</v>
      </c>
      <c r="F18" s="37">
        <v>0.57862292832018003</v>
      </c>
      <c r="G18">
        <v>431159131012.47601</v>
      </c>
      <c r="H18">
        <v>745146985903.56396</v>
      </c>
      <c r="J18" s="1">
        <v>42117</v>
      </c>
      <c r="K18" s="37">
        <v>0.68053352147964896</v>
      </c>
      <c r="L18">
        <v>685935613384.13</v>
      </c>
      <c r="M18">
        <v>1007938024702.64</v>
      </c>
      <c r="V18" s="1"/>
      <c r="W18" s="37"/>
      <c r="X18" s="37"/>
      <c r="Y18" s="37"/>
      <c r="AC18" s="37"/>
    </row>
    <row r="19" spans="5:30">
      <c r="E19" s="1"/>
      <c r="J19" s="1">
        <v>42124</v>
      </c>
      <c r="K19" s="37">
        <v>0.66595023399780595</v>
      </c>
      <c r="L19">
        <v>671236563406.01001</v>
      </c>
      <c r="M19">
        <v>1007938024702.64</v>
      </c>
    </row>
    <row r="20" spans="5:30">
      <c r="E20" s="1" t="s">
        <v>41</v>
      </c>
      <c r="J20" t="s">
        <v>41</v>
      </c>
      <c r="K20" t="s">
        <v>46</v>
      </c>
      <c r="P20" t="s">
        <v>44</v>
      </c>
    </row>
    <row r="21" spans="5:30">
      <c r="E21" s="1" t="s">
        <v>31</v>
      </c>
      <c r="F21" s="37" t="s">
        <v>37</v>
      </c>
      <c r="G21" t="s">
        <v>35</v>
      </c>
      <c r="H21" t="s">
        <v>36</v>
      </c>
      <c r="J21" t="s">
        <v>31</v>
      </c>
      <c r="K21" s="37" t="s">
        <v>32</v>
      </c>
      <c r="L21" t="s">
        <v>35</v>
      </c>
      <c r="M21" t="s">
        <v>36</v>
      </c>
      <c r="P21" t="s">
        <v>31</v>
      </c>
      <c r="Q21" s="37" t="s">
        <v>37</v>
      </c>
      <c r="R21" t="s">
        <v>35</v>
      </c>
      <c r="S21" t="s">
        <v>36</v>
      </c>
    </row>
    <row r="22" spans="5:30">
      <c r="E22" s="1">
        <v>42068</v>
      </c>
      <c r="F22" s="37">
        <v>0.606774744874231</v>
      </c>
      <c r="G22">
        <v>565708496345.25</v>
      </c>
      <c r="H22">
        <v>932320438719.81995</v>
      </c>
      <c r="J22" s="1">
        <v>42068</v>
      </c>
      <c r="K22" s="37">
        <v>0.57360546117917699</v>
      </c>
      <c r="L22">
        <v>474899128635.62</v>
      </c>
      <c r="M22">
        <v>827919468652.46997</v>
      </c>
      <c r="P22" s="1">
        <v>42068</v>
      </c>
      <c r="Q22" s="37">
        <v>0.40842490635126</v>
      </c>
      <c r="R22">
        <v>338173227808.89899</v>
      </c>
      <c r="S22">
        <v>827993647179.92505</v>
      </c>
    </row>
    <row r="23" spans="5:30">
      <c r="E23" s="1">
        <v>42075</v>
      </c>
      <c r="F23" s="37">
        <v>0.52303888200369097</v>
      </c>
      <c r="G23">
        <v>487639839937.20599</v>
      </c>
      <c r="H23">
        <v>932320438719.81995</v>
      </c>
      <c r="J23" s="1">
        <v>42075</v>
      </c>
      <c r="K23" s="37">
        <v>0.47457516158677099</v>
      </c>
      <c r="L23">
        <v>392910015616.58002</v>
      </c>
      <c r="M23">
        <v>827919468652.46997</v>
      </c>
      <c r="P23" s="1">
        <v>42075</v>
      </c>
      <c r="Q23" s="37">
        <v>0.32693479951851701</v>
      </c>
      <c r="R23">
        <v>270699937043.37399</v>
      </c>
      <c r="S23">
        <v>827993647179.92505</v>
      </c>
    </row>
    <row r="24" spans="5:30">
      <c r="E24" s="1">
        <v>42082</v>
      </c>
      <c r="F24" s="37">
        <v>0.60648965415006495</v>
      </c>
      <c r="G24">
        <v>565442700436.21997</v>
      </c>
      <c r="H24">
        <v>932320438719.81995</v>
      </c>
      <c r="J24" s="1">
        <v>42082</v>
      </c>
      <c r="K24" s="37">
        <v>0.54622742214646502</v>
      </c>
      <c r="L24">
        <v>452232317106.90997</v>
      </c>
      <c r="M24">
        <v>827919468652.46997</v>
      </c>
      <c r="P24" s="1">
        <v>42082</v>
      </c>
      <c r="Q24" s="37">
        <v>0.40780569116264598</v>
      </c>
      <c r="R24">
        <v>337660521566.48901</v>
      </c>
      <c r="S24">
        <v>827993647179.92505</v>
      </c>
    </row>
    <row r="25" spans="5:30">
      <c r="E25" s="1">
        <v>42089</v>
      </c>
      <c r="F25" s="37">
        <v>0.66948681688726697</v>
      </c>
      <c r="G25">
        <v>624176242837.47302</v>
      </c>
      <c r="H25">
        <v>932320438719.81995</v>
      </c>
      <c r="J25" s="1">
        <v>42089</v>
      </c>
      <c r="K25" s="37">
        <v>0.60149374984088799</v>
      </c>
      <c r="L25">
        <v>497988385766.04999</v>
      </c>
      <c r="M25">
        <v>827919468652.46997</v>
      </c>
      <c r="P25" s="1">
        <v>42089</v>
      </c>
      <c r="Q25" s="37">
        <v>0.46375640488963898</v>
      </c>
      <c r="R25">
        <v>383987357087.62201</v>
      </c>
      <c r="S25">
        <v>827993647179.92505</v>
      </c>
    </row>
    <row r="26" spans="5:30">
      <c r="E26" s="1">
        <v>42096</v>
      </c>
      <c r="F26" s="37">
        <v>0.65757284583633602</v>
      </c>
      <c r="G26">
        <v>615906378746.16797</v>
      </c>
      <c r="H26">
        <v>936635967628.53796</v>
      </c>
      <c r="J26" s="1">
        <v>42096</v>
      </c>
      <c r="K26" s="37">
        <v>0.58566684694845395</v>
      </c>
      <c r="L26">
        <v>489335361261.45001</v>
      </c>
      <c r="M26">
        <v>835518287932.93005</v>
      </c>
      <c r="P26" s="1">
        <v>42096</v>
      </c>
      <c r="Q26" s="37">
        <v>0.44989571596429401</v>
      </c>
      <c r="R26">
        <v>375866872656.16101</v>
      </c>
      <c r="S26">
        <v>835453326890.51904</v>
      </c>
    </row>
    <row r="27" spans="5:30">
      <c r="E27" s="1">
        <v>42103</v>
      </c>
      <c r="F27" s="37">
        <v>0.65811343479434004</v>
      </c>
      <c r="G27">
        <v>616412713807.93799</v>
      </c>
      <c r="H27">
        <v>936635967628.53796</v>
      </c>
      <c r="J27" s="1">
        <v>42103</v>
      </c>
      <c r="K27" s="37">
        <v>0.60696709220630396</v>
      </c>
      <c r="L27">
        <v>507132105711.84003</v>
      </c>
      <c r="M27">
        <v>835518287932.93005</v>
      </c>
      <c r="P27" s="1">
        <v>42103</v>
      </c>
      <c r="Q27" s="37">
        <v>0.479064639663206</v>
      </c>
      <c r="R27">
        <v>400236147002.23297</v>
      </c>
      <c r="S27">
        <v>835453326890.51904</v>
      </c>
    </row>
    <row r="28" spans="5:30">
      <c r="E28" s="1">
        <v>42110</v>
      </c>
      <c r="F28" s="37">
        <v>0.65789565295069996</v>
      </c>
      <c r="G28">
        <v>616208731500.08801</v>
      </c>
      <c r="H28">
        <v>936635967628.53796</v>
      </c>
      <c r="J28" s="1">
        <v>42110</v>
      </c>
      <c r="K28" s="37">
        <v>0.588150363186553</v>
      </c>
      <c r="L28">
        <v>491410384496.76001</v>
      </c>
      <c r="M28">
        <v>835518287932.93005</v>
      </c>
      <c r="P28" s="1">
        <v>42110</v>
      </c>
      <c r="Q28" s="37">
        <v>0.44999247898058498</v>
      </c>
      <c r="R28">
        <v>375947713640.04102</v>
      </c>
      <c r="S28">
        <v>835453326890.51904</v>
      </c>
    </row>
    <row r="29" spans="5:30">
      <c r="E29" s="1">
        <v>42117</v>
      </c>
      <c r="F29" s="37">
        <v>0.658533593067545</v>
      </c>
      <c r="G29">
        <v>616806249158.71802</v>
      </c>
      <c r="H29">
        <v>936635967628.53796</v>
      </c>
      <c r="J29" s="1">
        <v>42117</v>
      </c>
      <c r="K29" s="37">
        <v>0.61464069888629802</v>
      </c>
      <c r="L29">
        <v>513543544427.38</v>
      </c>
      <c r="M29">
        <v>835518287932.93005</v>
      </c>
      <c r="P29" s="1">
        <v>42117</v>
      </c>
      <c r="Q29" s="37">
        <v>0.47949354334078598</v>
      </c>
      <c r="R29">
        <v>400594476006.58301</v>
      </c>
      <c r="S29">
        <v>835453326890.51904</v>
      </c>
    </row>
    <row r="30" spans="5:30">
      <c r="J30" s="1">
        <v>42124</v>
      </c>
      <c r="K30" s="37">
        <v>0.59704945462529901</v>
      </c>
      <c r="L30">
        <v>498845738139.82001</v>
      </c>
      <c r="M30">
        <v>835518287932.93005</v>
      </c>
    </row>
    <row r="32" spans="5:30">
      <c r="S32" t="s">
        <v>44</v>
      </c>
    </row>
    <row r="33" spans="5:21">
      <c r="P33" t="s">
        <v>31</v>
      </c>
      <c r="Q33" s="37" t="s">
        <v>37</v>
      </c>
      <c r="S33" t="s">
        <v>31</v>
      </c>
      <c r="T33" t="s">
        <v>37</v>
      </c>
    </row>
    <row r="34" spans="5:21">
      <c r="P34" s="1">
        <v>42068</v>
      </c>
      <c r="Q34" s="37">
        <v>0.50718342258638904</v>
      </c>
      <c r="S34" s="1">
        <v>42068</v>
      </c>
      <c r="T34" s="37">
        <v>0.45066683790268203</v>
      </c>
    </row>
    <row r="35" spans="5:21">
      <c r="P35" s="1">
        <v>42075</v>
      </c>
      <c r="Q35" s="37">
        <v>0.43124435584172699</v>
      </c>
      <c r="S35" s="1">
        <v>42075</v>
      </c>
      <c r="T35" s="37">
        <v>0.36713329834181002</v>
      </c>
    </row>
    <row r="36" spans="5:21">
      <c r="P36" s="1">
        <v>42082</v>
      </c>
      <c r="Q36" s="37">
        <v>0.50666988212578501</v>
      </c>
      <c r="S36" s="1">
        <v>42082</v>
      </c>
      <c r="T36" s="37">
        <v>0.45009137730986898</v>
      </c>
    </row>
    <row r="37" spans="5:21">
      <c r="P37" s="1">
        <v>42089</v>
      </c>
      <c r="Q37" s="37">
        <v>0.55138762509375605</v>
      </c>
      <c r="S37" s="1">
        <v>42089</v>
      </c>
      <c r="T37" s="37">
        <v>0.50024941273507195</v>
      </c>
    </row>
    <row r="38" spans="5:21">
      <c r="P38" s="1">
        <v>42096</v>
      </c>
      <c r="Q38" s="37">
        <v>0.53682243639344696</v>
      </c>
      <c r="S38" s="1">
        <v>42096</v>
      </c>
      <c r="T38" s="37">
        <v>0.485896410211898</v>
      </c>
    </row>
    <row r="39" spans="5:21">
      <c r="P39" s="1">
        <v>42103</v>
      </c>
      <c r="Q39" s="37">
        <v>0.56624534907007396</v>
      </c>
      <c r="S39" s="1">
        <v>42103</v>
      </c>
      <c r="T39" s="37">
        <v>0.518480147244884</v>
      </c>
    </row>
    <row r="40" spans="5:21">
      <c r="P40" s="1">
        <v>42110</v>
      </c>
      <c r="Q40" s="37">
        <v>0.53691783186626096</v>
      </c>
      <c r="S40" s="1">
        <v>42110</v>
      </c>
      <c r="T40" s="37">
        <v>0.48600286425468497</v>
      </c>
    </row>
    <row r="41" spans="5:21">
      <c r="F41" s="54"/>
      <c r="P41" s="1">
        <v>42117</v>
      </c>
      <c r="Q41" s="37">
        <v>0.56669393867683804</v>
      </c>
      <c r="S41" s="1">
        <v>42117</v>
      </c>
      <c r="T41" s="37">
        <v>0.51898248125296498</v>
      </c>
    </row>
    <row r="42" spans="5:21">
      <c r="E42" s="55">
        <v>40808</v>
      </c>
      <c r="F42" s="55">
        <v>41592</v>
      </c>
      <c r="G42" s="55">
        <v>41624</v>
      </c>
      <c r="H42" s="55">
        <v>41647</v>
      </c>
      <c r="I42" s="55">
        <v>42011</v>
      </c>
      <c r="J42" s="1"/>
      <c r="K42" s="1"/>
      <c r="P42" s="1">
        <v>42124</v>
      </c>
      <c r="Q42" s="37">
        <v>0.53705791563411398</v>
      </c>
      <c r="S42" s="1">
        <v>42124</v>
      </c>
      <c r="T42" s="37">
        <v>0.48615831819145899</v>
      </c>
    </row>
    <row r="43" spans="5:21">
      <c r="E43" s="55" t="s">
        <v>53</v>
      </c>
      <c r="F43" s="55"/>
      <c r="G43" s="55" t="s">
        <v>53</v>
      </c>
      <c r="H43" s="55" t="s">
        <v>53</v>
      </c>
      <c r="I43" s="55" t="s">
        <v>53</v>
      </c>
      <c r="J43" s="1"/>
      <c r="K43" s="1"/>
    </row>
    <row r="44" spans="5:21">
      <c r="E44" s="55"/>
      <c r="F44" s="55" t="s">
        <v>54</v>
      </c>
      <c r="G44" s="55"/>
      <c r="H44" s="55"/>
      <c r="I44" s="55"/>
      <c r="J44" s="1"/>
      <c r="K44" s="1"/>
    </row>
    <row r="45" spans="5:21">
      <c r="E45" s="55"/>
      <c r="F45" s="55" t="s">
        <v>55</v>
      </c>
      <c r="G45" s="55"/>
      <c r="H45" s="55"/>
      <c r="I45" s="55"/>
      <c r="J45" s="1"/>
      <c r="K45" s="1"/>
      <c r="P45" t="s">
        <v>51</v>
      </c>
    </row>
    <row r="46" spans="5:21">
      <c r="E46" s="55" t="s">
        <v>56</v>
      </c>
      <c r="F46" s="55"/>
      <c r="G46" s="55" t="s">
        <v>56</v>
      </c>
      <c r="H46" s="55"/>
      <c r="I46" s="55"/>
      <c r="J46" s="1"/>
      <c r="K46" s="1"/>
      <c r="P46" t="s">
        <v>31</v>
      </c>
      <c r="Q46" s="37" t="s">
        <v>50</v>
      </c>
      <c r="R46" t="s">
        <v>37</v>
      </c>
      <c r="T46" t="s">
        <v>31</v>
      </c>
      <c r="U46" t="s">
        <v>37</v>
      </c>
    </row>
    <row r="47" spans="5:21">
      <c r="E47" s="55" t="s">
        <v>57</v>
      </c>
      <c r="F47" s="55"/>
      <c r="G47" s="55" t="s">
        <v>57</v>
      </c>
      <c r="H47" s="55" t="s">
        <v>57</v>
      </c>
      <c r="I47" s="55"/>
      <c r="J47" s="1"/>
      <c r="K47" s="1"/>
      <c r="P47" s="1">
        <v>42096</v>
      </c>
      <c r="Q47" s="53">
        <v>42011</v>
      </c>
      <c r="R47" s="54">
        <v>0.53682243639344696</v>
      </c>
      <c r="T47" s="1">
        <v>42096</v>
      </c>
      <c r="U47" s="54">
        <v>0.53682243639344696</v>
      </c>
    </row>
    <row r="48" spans="5:21">
      <c r="E48" s="1"/>
      <c r="F48" s="1"/>
      <c r="G48" s="1"/>
      <c r="H48" s="1"/>
      <c r="I48" s="1"/>
      <c r="J48" s="1"/>
      <c r="K48" s="1"/>
      <c r="P48" s="1">
        <v>42103</v>
      </c>
      <c r="Q48" s="53">
        <v>42011</v>
      </c>
      <c r="R48" s="54">
        <v>0.56624534907007396</v>
      </c>
      <c r="T48" s="1">
        <v>42103</v>
      </c>
      <c r="U48" s="54">
        <v>0.56624534907007396</v>
      </c>
    </row>
    <row r="49" spans="5:21">
      <c r="E49" s="1"/>
      <c r="F49" s="1"/>
      <c r="G49" s="1"/>
      <c r="H49" s="1"/>
      <c r="I49" s="1"/>
      <c r="J49" s="1"/>
      <c r="K49" s="1"/>
      <c r="P49" s="1">
        <v>42110</v>
      </c>
      <c r="Q49" s="53">
        <v>42011</v>
      </c>
      <c r="R49" s="54">
        <v>0.53691783186626096</v>
      </c>
      <c r="T49" s="1">
        <v>42110</v>
      </c>
      <c r="U49" s="54">
        <v>0.53691783186626096</v>
      </c>
    </row>
    <row r="50" spans="5:21">
      <c r="E50" s="1"/>
      <c r="F50" s="1"/>
      <c r="G50" s="1"/>
      <c r="H50" s="1"/>
      <c r="I50" s="1"/>
      <c r="J50" s="1"/>
      <c r="K50" s="1"/>
      <c r="P50" s="1">
        <v>42117</v>
      </c>
      <c r="Q50" s="53">
        <v>42011</v>
      </c>
      <c r="R50" s="54">
        <v>0.56669393867683804</v>
      </c>
      <c r="T50" s="1">
        <v>42117</v>
      </c>
      <c r="U50" s="54">
        <v>0.56669393867683804</v>
      </c>
    </row>
    <row r="51" spans="5:21">
      <c r="P51" s="1">
        <v>42124</v>
      </c>
      <c r="Q51" s="53">
        <v>42011</v>
      </c>
      <c r="R51" s="54">
        <v>0.53705791563411398</v>
      </c>
      <c r="T51" s="1">
        <v>42124</v>
      </c>
      <c r="U51" s="54">
        <v>0.53705791563411398</v>
      </c>
    </row>
    <row r="55" spans="5:21">
      <c r="P55" t="s">
        <v>31</v>
      </c>
      <c r="Q55" s="37" t="s">
        <v>37</v>
      </c>
    </row>
    <row r="56" spans="5:21">
      <c r="P56" s="1">
        <v>42096</v>
      </c>
      <c r="Q56" s="37">
        <v>0.441013240820189</v>
      </c>
    </row>
    <row r="57" spans="5:21">
      <c r="P57" s="1">
        <v>42103</v>
      </c>
      <c r="Q57" s="37">
        <v>0.465818856678612</v>
      </c>
    </row>
    <row r="58" spans="5:21">
      <c r="P58" s="1">
        <v>42110</v>
      </c>
      <c r="Q58" s="37">
        <v>0.44109901487165798</v>
      </c>
    </row>
    <row r="59" spans="5:21">
      <c r="P59" s="1">
        <v>42117</v>
      </c>
      <c r="Q59" s="37">
        <v>0.46615715021286103</v>
      </c>
    </row>
    <row r="60" spans="5:21">
      <c r="P60" s="1">
        <v>42124</v>
      </c>
      <c r="Q60" s="37">
        <v>0.441205739655812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E2:AA36"/>
  <sheetViews>
    <sheetView zoomScaleNormal="100" workbookViewId="0">
      <selection activeCell="Q3" sqref="Q3:AA11"/>
    </sheetView>
  </sheetViews>
  <sheetFormatPr defaultRowHeight="15"/>
  <sheetData>
    <row r="2" spans="5:27">
      <c r="E2" t="s">
        <v>81</v>
      </c>
      <c r="Q2" t="s">
        <v>83</v>
      </c>
    </row>
    <row r="3" spans="5:27">
      <c r="E3" s="63" t="s">
        <v>62</v>
      </c>
      <c r="F3" s="64" t="s">
        <v>63</v>
      </c>
      <c r="G3" s="64" t="s">
        <v>64</v>
      </c>
      <c r="H3" s="64" t="s">
        <v>65</v>
      </c>
      <c r="I3" s="64" t="s">
        <v>66</v>
      </c>
      <c r="J3" s="64" t="s">
        <v>67</v>
      </c>
      <c r="K3" s="64" t="s">
        <v>68</v>
      </c>
      <c r="L3" s="64" t="s">
        <v>69</v>
      </c>
      <c r="M3" s="64" t="s">
        <v>70</v>
      </c>
      <c r="N3" s="64" t="s">
        <v>79</v>
      </c>
      <c r="O3" s="64" t="s">
        <v>80</v>
      </c>
      <c r="Q3" s="63" t="s">
        <v>62</v>
      </c>
      <c r="R3" s="64" t="s">
        <v>63</v>
      </c>
      <c r="S3" s="64" t="s">
        <v>64</v>
      </c>
      <c r="T3" s="64" t="s">
        <v>65</v>
      </c>
      <c r="U3" s="64" t="s">
        <v>66</v>
      </c>
      <c r="V3" s="64" t="s">
        <v>67</v>
      </c>
      <c r="W3" s="64" t="s">
        <v>68</v>
      </c>
      <c r="X3" s="64" t="s">
        <v>69</v>
      </c>
      <c r="Y3" s="64" t="s">
        <v>70</v>
      </c>
      <c r="Z3" s="64" t="s">
        <v>79</v>
      </c>
      <c r="AA3" s="64" t="s">
        <v>80</v>
      </c>
    </row>
    <row r="4" spans="5:27">
      <c r="E4" s="65" t="s">
        <v>71</v>
      </c>
      <c r="F4" s="71">
        <v>0</v>
      </c>
      <c r="G4" s="71">
        <v>0.25</v>
      </c>
      <c r="H4" s="71">
        <v>0.25</v>
      </c>
      <c r="I4" s="71">
        <v>0.25</v>
      </c>
      <c r="J4" s="71">
        <v>0.25</v>
      </c>
      <c r="K4" s="71">
        <v>0.25</v>
      </c>
      <c r="L4" s="71">
        <v>0.25</v>
      </c>
      <c r="M4" s="71">
        <v>0.25</v>
      </c>
      <c r="N4" s="71">
        <v>0.25</v>
      </c>
      <c r="O4" s="71">
        <v>0.25</v>
      </c>
      <c r="Q4" s="65" t="s">
        <v>71</v>
      </c>
      <c r="R4" s="71">
        <f>IF(F4&gt;0.75,0.75,F4)</f>
        <v>0</v>
      </c>
      <c r="S4" s="71">
        <f t="shared" ref="S4:AA4" si="0">IF(G4&gt;0.75,0.75,G4)</f>
        <v>0.25</v>
      </c>
      <c r="T4" s="71">
        <f t="shared" si="0"/>
        <v>0.25</v>
      </c>
      <c r="U4" s="71">
        <f t="shared" si="0"/>
        <v>0.25</v>
      </c>
      <c r="V4" s="71">
        <f t="shared" si="0"/>
        <v>0.25</v>
      </c>
      <c r="W4" s="71">
        <f t="shared" si="0"/>
        <v>0.25</v>
      </c>
      <c r="X4" s="71">
        <f t="shared" si="0"/>
        <v>0.25</v>
      </c>
      <c r="Y4" s="71">
        <f t="shared" si="0"/>
        <v>0.25</v>
      </c>
      <c r="Z4" s="71">
        <f t="shared" si="0"/>
        <v>0.25</v>
      </c>
      <c r="AA4" s="71">
        <f t="shared" si="0"/>
        <v>0.25</v>
      </c>
    </row>
    <row r="5" spans="5:27">
      <c r="E5" s="65" t="s">
        <v>72</v>
      </c>
      <c r="F5" s="71">
        <v>0</v>
      </c>
      <c r="G5" s="71">
        <v>0.25</v>
      </c>
      <c r="H5" s="71">
        <v>0.25</v>
      </c>
      <c r="I5" s="71">
        <v>0.25</v>
      </c>
      <c r="J5" s="71">
        <v>0.25</v>
      </c>
      <c r="K5" s="71">
        <v>0.25</v>
      </c>
      <c r="L5" s="71">
        <v>0.25</v>
      </c>
      <c r="M5" s="71">
        <v>0.25</v>
      </c>
      <c r="N5" s="71">
        <v>0.25</v>
      </c>
      <c r="O5" s="71">
        <v>0.25</v>
      </c>
      <c r="Q5" s="65" t="s">
        <v>72</v>
      </c>
      <c r="R5" s="71">
        <f t="shared" ref="R5:R11" si="1">IF(F5&gt;0.75,0.75,F5)</f>
        <v>0</v>
      </c>
      <c r="S5" s="71">
        <f t="shared" ref="S5:S11" si="2">IF(G5&gt;0.75,0.75,G5)</f>
        <v>0.25</v>
      </c>
      <c r="T5" s="71">
        <f t="shared" ref="T5:T11" si="3">IF(H5&gt;0.75,0.75,H5)</f>
        <v>0.25</v>
      </c>
      <c r="U5" s="71">
        <f t="shared" ref="U5:U11" si="4">IF(I5&gt;0.75,0.75,I5)</f>
        <v>0.25</v>
      </c>
      <c r="V5" s="71">
        <f t="shared" ref="V5:V11" si="5">IF(J5&gt;0.75,0.75,J5)</f>
        <v>0.25</v>
      </c>
      <c r="W5" s="71">
        <f t="shared" ref="W5:W11" si="6">IF(K5&gt;0.75,0.75,K5)</f>
        <v>0.25</v>
      </c>
      <c r="X5" s="71">
        <f t="shared" ref="X5:X11" si="7">IF(L5&gt;0.75,0.75,L5)</f>
        <v>0.25</v>
      </c>
      <c r="Y5" s="71">
        <f t="shared" ref="Y5:Y11" si="8">IF(M5&gt;0.75,0.75,M5)</f>
        <v>0.25</v>
      </c>
      <c r="Z5" s="71">
        <f t="shared" ref="Z5:Z11" si="9">IF(N5&gt;0.75,0.75,N5)</f>
        <v>0.25</v>
      </c>
      <c r="AA5" s="71">
        <f t="shared" ref="AA5:AA11" si="10">IF(O5&gt;0.75,0.75,O5)</f>
        <v>0.25</v>
      </c>
    </row>
    <row r="6" spans="5:27">
      <c r="E6" s="65" t="s">
        <v>73</v>
      </c>
      <c r="F6" s="71">
        <v>0</v>
      </c>
      <c r="G6" s="71">
        <v>0.75</v>
      </c>
      <c r="H6" s="71">
        <v>0.75</v>
      </c>
      <c r="I6" s="71">
        <v>0.75</v>
      </c>
      <c r="J6" s="71">
        <v>0.75</v>
      </c>
      <c r="K6" s="71">
        <v>0.75</v>
      </c>
      <c r="L6" s="71">
        <v>0.75</v>
      </c>
      <c r="M6" s="71">
        <v>0.75</v>
      </c>
      <c r="N6" s="71">
        <v>0.75</v>
      </c>
      <c r="O6" s="71">
        <v>0.75</v>
      </c>
      <c r="Q6" s="65" t="s">
        <v>73</v>
      </c>
      <c r="R6" s="71">
        <f t="shared" si="1"/>
        <v>0</v>
      </c>
      <c r="S6" s="71">
        <f t="shared" si="2"/>
        <v>0.75</v>
      </c>
      <c r="T6" s="71">
        <f t="shared" si="3"/>
        <v>0.75</v>
      </c>
      <c r="U6" s="71">
        <f t="shared" si="4"/>
        <v>0.75</v>
      </c>
      <c r="V6" s="71">
        <f t="shared" si="5"/>
        <v>0.75</v>
      </c>
      <c r="W6" s="71">
        <f t="shared" si="6"/>
        <v>0.75</v>
      </c>
      <c r="X6" s="71">
        <f t="shared" si="7"/>
        <v>0.75</v>
      </c>
      <c r="Y6" s="71">
        <f t="shared" si="8"/>
        <v>0.75</v>
      </c>
      <c r="Z6" s="71">
        <f t="shared" si="9"/>
        <v>0.75</v>
      </c>
      <c r="AA6" s="71">
        <f t="shared" si="10"/>
        <v>0.75</v>
      </c>
    </row>
    <row r="7" spans="5:27">
      <c r="E7" s="65" t="s">
        <v>74</v>
      </c>
      <c r="F7" s="71">
        <v>0.25</v>
      </c>
      <c r="G7" s="71">
        <v>0.75</v>
      </c>
      <c r="H7" s="71">
        <v>1</v>
      </c>
      <c r="I7" s="71">
        <v>1</v>
      </c>
      <c r="J7" s="71">
        <v>1</v>
      </c>
      <c r="K7" s="71">
        <v>1</v>
      </c>
      <c r="L7" s="71">
        <v>1</v>
      </c>
      <c r="M7" s="71">
        <v>0.75</v>
      </c>
      <c r="N7" s="71">
        <v>0.75</v>
      </c>
      <c r="O7" s="71">
        <v>0.75</v>
      </c>
      <c r="Q7" s="65" t="s">
        <v>74</v>
      </c>
      <c r="R7" s="71">
        <f t="shared" si="1"/>
        <v>0.25</v>
      </c>
      <c r="S7" s="71">
        <f t="shared" si="2"/>
        <v>0.75</v>
      </c>
      <c r="T7" s="71">
        <f t="shared" si="3"/>
        <v>0.75</v>
      </c>
      <c r="U7" s="71">
        <f t="shared" si="4"/>
        <v>0.75</v>
      </c>
      <c r="V7" s="71">
        <f t="shared" si="5"/>
        <v>0.75</v>
      </c>
      <c r="W7" s="71">
        <f t="shared" si="6"/>
        <v>0.75</v>
      </c>
      <c r="X7" s="71">
        <f t="shared" si="7"/>
        <v>0.75</v>
      </c>
      <c r="Y7" s="71">
        <f t="shared" si="8"/>
        <v>0.75</v>
      </c>
      <c r="Z7" s="71">
        <f t="shared" si="9"/>
        <v>0.75</v>
      </c>
      <c r="AA7" s="71">
        <f t="shared" si="10"/>
        <v>0.75</v>
      </c>
    </row>
    <row r="8" spans="5:27">
      <c r="E8" s="65" t="s">
        <v>75</v>
      </c>
      <c r="F8" s="71">
        <v>0.25</v>
      </c>
      <c r="G8" s="71">
        <v>1.25</v>
      </c>
      <c r="H8" s="71">
        <v>1.75</v>
      </c>
      <c r="I8" s="71">
        <v>2</v>
      </c>
      <c r="J8" s="71">
        <v>2</v>
      </c>
      <c r="K8" s="71">
        <v>2</v>
      </c>
      <c r="L8" s="71">
        <v>2</v>
      </c>
      <c r="M8" s="71">
        <v>1.5</v>
      </c>
      <c r="N8" s="71">
        <v>1.5</v>
      </c>
      <c r="O8" s="71">
        <v>1.5</v>
      </c>
      <c r="Q8" s="65" t="s">
        <v>75</v>
      </c>
      <c r="R8" s="71">
        <f t="shared" si="1"/>
        <v>0.25</v>
      </c>
      <c r="S8" s="71">
        <f t="shared" si="2"/>
        <v>0.75</v>
      </c>
      <c r="T8" s="71">
        <f t="shared" si="3"/>
        <v>0.75</v>
      </c>
      <c r="U8" s="71">
        <f t="shared" si="4"/>
        <v>0.75</v>
      </c>
      <c r="V8" s="71">
        <f t="shared" si="5"/>
        <v>0.75</v>
      </c>
      <c r="W8" s="71">
        <f t="shared" si="6"/>
        <v>0.75</v>
      </c>
      <c r="X8" s="71">
        <f t="shared" si="7"/>
        <v>0.75</v>
      </c>
      <c r="Y8" s="71">
        <f t="shared" si="8"/>
        <v>0.75</v>
      </c>
      <c r="Z8" s="71">
        <f t="shared" si="9"/>
        <v>0.75</v>
      </c>
      <c r="AA8" s="71">
        <f t="shared" si="10"/>
        <v>0.75</v>
      </c>
    </row>
    <row r="9" spans="5:27">
      <c r="E9" s="65" t="s">
        <v>76</v>
      </c>
      <c r="F9" s="71">
        <v>0.75</v>
      </c>
      <c r="G9" s="71">
        <v>1.5</v>
      </c>
      <c r="H9" s="71">
        <v>2.25</v>
      </c>
      <c r="I9" s="71">
        <v>2.5</v>
      </c>
      <c r="J9" s="71">
        <v>2.5</v>
      </c>
      <c r="K9" s="71">
        <v>2.5</v>
      </c>
      <c r="L9" s="71">
        <v>2.5</v>
      </c>
      <c r="M9" s="71">
        <v>2</v>
      </c>
      <c r="N9" s="71">
        <v>2</v>
      </c>
      <c r="O9" s="71">
        <v>2</v>
      </c>
      <c r="Q9" s="65" t="s">
        <v>76</v>
      </c>
      <c r="R9" s="71">
        <f t="shared" si="1"/>
        <v>0.75</v>
      </c>
      <c r="S9" s="71">
        <f t="shared" si="2"/>
        <v>0.75</v>
      </c>
      <c r="T9" s="71">
        <f t="shared" si="3"/>
        <v>0.75</v>
      </c>
      <c r="U9" s="71">
        <f t="shared" si="4"/>
        <v>0.75</v>
      </c>
      <c r="V9" s="71">
        <f t="shared" si="5"/>
        <v>0.75</v>
      </c>
      <c r="W9" s="71">
        <f t="shared" si="6"/>
        <v>0.75</v>
      </c>
      <c r="X9" s="71">
        <f t="shared" si="7"/>
        <v>0.75</v>
      </c>
      <c r="Y9" s="71">
        <f t="shared" si="8"/>
        <v>0.75</v>
      </c>
      <c r="Z9" s="71">
        <f t="shared" si="9"/>
        <v>0.75</v>
      </c>
      <c r="AA9" s="71">
        <f t="shared" si="10"/>
        <v>0.75</v>
      </c>
    </row>
    <row r="10" spans="5:27">
      <c r="E10" s="65" t="s">
        <v>77</v>
      </c>
      <c r="F10" s="71">
        <v>0.75</v>
      </c>
      <c r="G10" s="71">
        <v>1.75</v>
      </c>
      <c r="H10" s="71">
        <v>2.75</v>
      </c>
      <c r="I10" s="71">
        <v>3</v>
      </c>
      <c r="J10" s="71">
        <v>3</v>
      </c>
      <c r="K10" s="71">
        <v>3</v>
      </c>
      <c r="L10" s="71">
        <v>3</v>
      </c>
      <c r="M10" s="71">
        <v>2.75</v>
      </c>
      <c r="N10" s="71">
        <v>2.75</v>
      </c>
      <c r="O10" s="71">
        <v>2.75</v>
      </c>
      <c r="Q10" s="65" t="s">
        <v>77</v>
      </c>
      <c r="R10" s="71">
        <f t="shared" si="1"/>
        <v>0.75</v>
      </c>
      <c r="S10" s="71">
        <f t="shared" si="2"/>
        <v>0.75</v>
      </c>
      <c r="T10" s="71">
        <f t="shared" si="3"/>
        <v>0.75</v>
      </c>
      <c r="U10" s="71">
        <f t="shared" si="4"/>
        <v>0.75</v>
      </c>
      <c r="V10" s="71">
        <f t="shared" si="5"/>
        <v>0.75</v>
      </c>
      <c r="W10" s="71">
        <f t="shared" si="6"/>
        <v>0.75</v>
      </c>
      <c r="X10" s="71">
        <f t="shared" si="7"/>
        <v>0.75</v>
      </c>
      <c r="Y10" s="71">
        <f t="shared" si="8"/>
        <v>0.75</v>
      </c>
      <c r="Z10" s="71">
        <f t="shared" si="9"/>
        <v>0.75</v>
      </c>
      <c r="AA10" s="71">
        <f t="shared" si="10"/>
        <v>0.75</v>
      </c>
    </row>
    <row r="11" spans="5:27">
      <c r="E11" s="65" t="s">
        <v>78</v>
      </c>
      <c r="F11" s="71">
        <v>0.75</v>
      </c>
      <c r="G11" s="71">
        <v>1.75</v>
      </c>
      <c r="H11" s="71">
        <v>3.25</v>
      </c>
      <c r="I11" s="71">
        <v>3.25</v>
      </c>
      <c r="J11" s="71">
        <v>3.25</v>
      </c>
      <c r="K11" s="71">
        <v>3.25</v>
      </c>
      <c r="L11" s="71">
        <v>3.25</v>
      </c>
      <c r="M11" s="71">
        <v>3.25</v>
      </c>
      <c r="N11" s="71">
        <v>3.25</v>
      </c>
      <c r="O11" s="71">
        <v>3.25</v>
      </c>
      <c r="Q11" s="65" t="s">
        <v>78</v>
      </c>
      <c r="R11" s="71">
        <f t="shared" si="1"/>
        <v>0.75</v>
      </c>
      <c r="S11" s="71">
        <f t="shared" si="2"/>
        <v>0.75</v>
      </c>
      <c r="T11" s="71">
        <f t="shared" si="3"/>
        <v>0.75</v>
      </c>
      <c r="U11" s="71">
        <f t="shared" si="4"/>
        <v>0.75</v>
      </c>
      <c r="V11" s="71">
        <f t="shared" si="5"/>
        <v>0.75</v>
      </c>
      <c r="W11" s="71">
        <f t="shared" si="6"/>
        <v>0.75</v>
      </c>
      <c r="X11" s="71">
        <f t="shared" si="7"/>
        <v>0.75</v>
      </c>
      <c r="Y11" s="71">
        <f t="shared" si="8"/>
        <v>0.75</v>
      </c>
      <c r="Z11" s="71">
        <f t="shared" si="9"/>
        <v>0.75</v>
      </c>
      <c r="AA11" s="71">
        <f t="shared" si="10"/>
        <v>0.75</v>
      </c>
    </row>
    <row r="13" spans="5:27">
      <c r="E13" s="67" t="s">
        <v>43</v>
      </c>
    </row>
    <row r="14" spans="5:27">
      <c r="E14" s="63"/>
      <c r="F14" s="73" t="s">
        <v>61</v>
      </c>
      <c r="G14" s="74"/>
      <c r="H14" s="74"/>
      <c r="I14" s="74"/>
      <c r="J14" s="74"/>
      <c r="K14" s="74"/>
      <c r="L14" s="74"/>
      <c r="M14" s="74"/>
      <c r="N14" s="74"/>
      <c r="O14" s="75"/>
      <c r="Q14" s="63"/>
      <c r="R14" s="73" t="s">
        <v>61</v>
      </c>
      <c r="S14" s="74"/>
      <c r="T14" s="74"/>
      <c r="U14" s="74"/>
      <c r="V14" s="74"/>
      <c r="W14" s="74"/>
      <c r="X14" s="74"/>
      <c r="Y14" s="74"/>
      <c r="Z14" s="74"/>
      <c r="AA14" s="75"/>
    </row>
    <row r="15" spans="5:27">
      <c r="E15" s="63" t="s">
        <v>62</v>
      </c>
      <c r="F15" s="64" t="s">
        <v>63</v>
      </c>
      <c r="G15" s="64" t="s">
        <v>64</v>
      </c>
      <c r="H15" s="64" t="s">
        <v>65</v>
      </c>
      <c r="I15" s="64" t="s">
        <v>66</v>
      </c>
      <c r="J15" s="64" t="s">
        <v>67</v>
      </c>
      <c r="K15" s="64" t="s">
        <v>68</v>
      </c>
      <c r="L15" s="64" t="s">
        <v>69</v>
      </c>
      <c r="M15" s="64" t="s">
        <v>70</v>
      </c>
      <c r="N15" s="64" t="s">
        <v>79</v>
      </c>
      <c r="O15" s="64" t="s">
        <v>80</v>
      </c>
      <c r="Q15" s="63" t="s">
        <v>62</v>
      </c>
      <c r="R15" s="64" t="s">
        <v>63</v>
      </c>
      <c r="S15" s="64" t="s">
        <v>64</v>
      </c>
      <c r="T15" s="64" t="s">
        <v>65</v>
      </c>
      <c r="U15" s="64" t="s">
        <v>66</v>
      </c>
      <c r="V15" s="64" t="s">
        <v>67</v>
      </c>
      <c r="W15" s="64" t="s">
        <v>68</v>
      </c>
      <c r="X15" s="64" t="s">
        <v>69</v>
      </c>
      <c r="Y15" s="64" t="s">
        <v>70</v>
      </c>
      <c r="Z15" s="64" t="s">
        <v>79</v>
      </c>
      <c r="AA15" s="64" t="s">
        <v>80</v>
      </c>
    </row>
    <row r="16" spans="5:27">
      <c r="E16" s="65" t="s">
        <v>71</v>
      </c>
      <c r="F16" s="71">
        <v>0</v>
      </c>
      <c r="G16" s="71">
        <v>0.25</v>
      </c>
      <c r="H16" s="71">
        <v>0.25</v>
      </c>
      <c r="I16" s="71">
        <v>0.5</v>
      </c>
      <c r="J16" s="71">
        <v>0.5</v>
      </c>
      <c r="K16" s="71">
        <v>0.5</v>
      </c>
      <c r="L16" s="71">
        <v>0.5</v>
      </c>
      <c r="M16" s="71">
        <v>1</v>
      </c>
      <c r="N16" s="71" t="s">
        <v>84</v>
      </c>
      <c r="O16" s="71" t="s">
        <v>84</v>
      </c>
      <c r="Q16" s="65" t="s">
        <v>71</v>
      </c>
      <c r="R16" s="71">
        <f>IF(F16&gt;0.75,0.75,F16)</f>
        <v>0</v>
      </c>
      <c r="S16" s="71">
        <f t="shared" ref="S16:Y16" si="11">IF(G16&gt;0.75,0.75,G16)</f>
        <v>0.25</v>
      </c>
      <c r="T16" s="71">
        <f t="shared" si="11"/>
        <v>0.25</v>
      </c>
      <c r="U16" s="71">
        <f t="shared" si="11"/>
        <v>0.5</v>
      </c>
      <c r="V16" s="71">
        <f t="shared" si="11"/>
        <v>0.5</v>
      </c>
      <c r="W16" s="71">
        <f t="shared" si="11"/>
        <v>0.5</v>
      </c>
      <c r="X16" s="71">
        <f t="shared" si="11"/>
        <v>0.5</v>
      </c>
      <c r="Y16" s="71">
        <f t="shared" si="11"/>
        <v>0.75</v>
      </c>
      <c r="Z16" s="71">
        <v>0.75</v>
      </c>
      <c r="AA16" s="71">
        <v>0.75</v>
      </c>
    </row>
    <row r="17" spans="5:27">
      <c r="E17" s="65" t="s">
        <v>72</v>
      </c>
      <c r="F17" s="71">
        <v>0</v>
      </c>
      <c r="G17" s="71">
        <v>0.25</v>
      </c>
      <c r="H17" s="71">
        <v>0.5</v>
      </c>
      <c r="I17" s="71">
        <v>0.75</v>
      </c>
      <c r="J17" s="71">
        <v>0.75</v>
      </c>
      <c r="K17" s="71">
        <v>0.75</v>
      </c>
      <c r="L17" s="71">
        <v>0.75</v>
      </c>
      <c r="M17" s="71">
        <v>1.25</v>
      </c>
      <c r="N17" s="71" t="s">
        <v>84</v>
      </c>
      <c r="O17" s="71" t="s">
        <v>84</v>
      </c>
      <c r="Q17" s="65" t="s">
        <v>72</v>
      </c>
      <c r="R17" s="71">
        <f t="shared" ref="R17:R23" si="12">IF(F17&gt;0.75,0.75,F17)</f>
        <v>0</v>
      </c>
      <c r="S17" s="71">
        <f t="shared" ref="S17:S23" si="13">IF(G17&gt;0.75,0.75,G17)</f>
        <v>0.25</v>
      </c>
      <c r="T17" s="71">
        <f t="shared" ref="T17:T23" si="14">IF(H17&gt;0.75,0.75,H17)</f>
        <v>0.5</v>
      </c>
      <c r="U17" s="71">
        <f t="shared" ref="U17:U23" si="15">IF(I17&gt;0.75,0.75,I17)</f>
        <v>0.75</v>
      </c>
      <c r="V17" s="71">
        <f t="shared" ref="V17:V23" si="16">IF(J17&gt;0.75,0.75,J17)</f>
        <v>0.75</v>
      </c>
      <c r="W17" s="71">
        <f t="shared" ref="W17:W23" si="17">IF(K17&gt;0.75,0.75,K17)</f>
        <v>0.75</v>
      </c>
      <c r="X17" s="71">
        <f t="shared" ref="X17:X23" si="18">IF(L17&gt;0.75,0.75,L17)</f>
        <v>0.75</v>
      </c>
      <c r="Y17" s="71">
        <f t="shared" ref="Y17:Y23" si="19">IF(M17&gt;0.75,0.75,M17)</f>
        <v>0.75</v>
      </c>
      <c r="Z17" s="71">
        <v>0.75</v>
      </c>
      <c r="AA17" s="71">
        <v>0.75</v>
      </c>
    </row>
    <row r="18" spans="5:27">
      <c r="E18" s="65" t="s">
        <v>73</v>
      </c>
      <c r="F18" s="71">
        <v>0</v>
      </c>
      <c r="G18" s="71">
        <v>0.75</v>
      </c>
      <c r="H18" s="71">
        <v>1</v>
      </c>
      <c r="I18" s="71">
        <v>1.25</v>
      </c>
      <c r="J18" s="71">
        <v>1.25</v>
      </c>
      <c r="K18" s="71">
        <v>1.25</v>
      </c>
      <c r="L18" s="71">
        <v>1.25</v>
      </c>
      <c r="M18" s="71">
        <v>1.75</v>
      </c>
      <c r="N18" s="71" t="s">
        <v>84</v>
      </c>
      <c r="O18" s="71" t="s">
        <v>84</v>
      </c>
      <c r="Q18" s="65" t="s">
        <v>73</v>
      </c>
      <c r="R18" s="71">
        <f t="shared" si="12"/>
        <v>0</v>
      </c>
      <c r="S18" s="71">
        <f t="shared" si="13"/>
        <v>0.75</v>
      </c>
      <c r="T18" s="71">
        <f t="shared" si="14"/>
        <v>0.75</v>
      </c>
      <c r="U18" s="71">
        <f t="shared" si="15"/>
        <v>0.75</v>
      </c>
      <c r="V18" s="71">
        <f t="shared" si="16"/>
        <v>0.75</v>
      </c>
      <c r="W18" s="71">
        <f t="shared" si="17"/>
        <v>0.75</v>
      </c>
      <c r="X18" s="71">
        <f t="shared" si="18"/>
        <v>0.75</v>
      </c>
      <c r="Y18" s="71">
        <f t="shared" si="19"/>
        <v>0.75</v>
      </c>
      <c r="Z18" s="71">
        <v>0.75</v>
      </c>
      <c r="AA18" s="71">
        <v>0.75</v>
      </c>
    </row>
    <row r="19" spans="5:27">
      <c r="E19" s="65" t="s">
        <v>74</v>
      </c>
      <c r="F19" s="71">
        <v>0.25</v>
      </c>
      <c r="G19" s="71">
        <v>0.75</v>
      </c>
      <c r="H19" s="71">
        <v>1.5</v>
      </c>
      <c r="I19" s="71">
        <v>2</v>
      </c>
      <c r="J19" s="71">
        <v>1.75</v>
      </c>
      <c r="K19" s="71">
        <v>1.5</v>
      </c>
      <c r="L19" s="71">
        <v>1.5</v>
      </c>
      <c r="M19" s="71">
        <v>1.75</v>
      </c>
      <c r="N19" s="71" t="s">
        <v>84</v>
      </c>
      <c r="O19" s="71" t="s">
        <v>84</v>
      </c>
      <c r="Q19" s="65" t="s">
        <v>74</v>
      </c>
      <c r="R19" s="71">
        <f t="shared" si="12"/>
        <v>0.25</v>
      </c>
      <c r="S19" s="71">
        <f t="shared" si="13"/>
        <v>0.75</v>
      </c>
      <c r="T19" s="71">
        <f t="shared" si="14"/>
        <v>0.75</v>
      </c>
      <c r="U19" s="71">
        <f t="shared" si="15"/>
        <v>0.75</v>
      </c>
      <c r="V19" s="71">
        <f t="shared" si="16"/>
        <v>0.75</v>
      </c>
      <c r="W19" s="71">
        <f t="shared" si="17"/>
        <v>0.75</v>
      </c>
      <c r="X19" s="71">
        <f t="shared" si="18"/>
        <v>0.75</v>
      </c>
      <c r="Y19" s="71">
        <f t="shared" si="19"/>
        <v>0.75</v>
      </c>
      <c r="Z19" s="71">
        <v>0.75</v>
      </c>
      <c r="AA19" s="71">
        <v>0.75</v>
      </c>
    </row>
    <row r="20" spans="5:27">
      <c r="E20" s="65" t="s">
        <v>75</v>
      </c>
      <c r="F20" s="71">
        <v>0.25</v>
      </c>
      <c r="G20" s="71">
        <v>1.25</v>
      </c>
      <c r="H20" s="71">
        <v>2.25</v>
      </c>
      <c r="I20" s="71">
        <v>2.75</v>
      </c>
      <c r="J20" s="71">
        <v>3</v>
      </c>
      <c r="K20" s="71">
        <v>2.5</v>
      </c>
      <c r="L20" s="71">
        <v>2.5</v>
      </c>
      <c r="M20" s="71">
        <v>2.5</v>
      </c>
      <c r="N20" s="71" t="s">
        <v>84</v>
      </c>
      <c r="O20" s="71" t="s">
        <v>84</v>
      </c>
      <c r="Q20" s="65" t="s">
        <v>75</v>
      </c>
      <c r="R20" s="71">
        <f t="shared" si="12"/>
        <v>0.25</v>
      </c>
      <c r="S20" s="71">
        <f t="shared" si="13"/>
        <v>0.75</v>
      </c>
      <c r="T20" s="71">
        <f t="shared" si="14"/>
        <v>0.75</v>
      </c>
      <c r="U20" s="71">
        <f t="shared" si="15"/>
        <v>0.75</v>
      </c>
      <c r="V20" s="71">
        <f t="shared" si="16"/>
        <v>0.75</v>
      </c>
      <c r="W20" s="71">
        <f t="shared" si="17"/>
        <v>0.75</v>
      </c>
      <c r="X20" s="71">
        <f t="shared" si="18"/>
        <v>0.75</v>
      </c>
      <c r="Y20" s="71">
        <f t="shared" si="19"/>
        <v>0.75</v>
      </c>
      <c r="Z20" s="71">
        <v>0.75</v>
      </c>
      <c r="AA20" s="71">
        <v>0.75</v>
      </c>
    </row>
    <row r="21" spans="5:27">
      <c r="E21" s="65" t="s">
        <v>76</v>
      </c>
      <c r="F21" s="71">
        <v>0.75</v>
      </c>
      <c r="G21" s="71">
        <v>1.5</v>
      </c>
      <c r="H21" s="71">
        <v>2.75</v>
      </c>
      <c r="I21" s="71">
        <v>3.25</v>
      </c>
      <c r="J21" s="71">
        <v>3.5</v>
      </c>
      <c r="K21" s="71">
        <v>3</v>
      </c>
      <c r="L21" s="71">
        <v>3</v>
      </c>
      <c r="M21" s="71">
        <v>3</v>
      </c>
      <c r="N21" s="71" t="s">
        <v>84</v>
      </c>
      <c r="O21" s="71" t="s">
        <v>84</v>
      </c>
      <c r="Q21" s="65" t="s">
        <v>76</v>
      </c>
      <c r="R21" s="71">
        <f t="shared" si="12"/>
        <v>0.75</v>
      </c>
      <c r="S21" s="71">
        <f t="shared" si="13"/>
        <v>0.75</v>
      </c>
      <c r="T21" s="71">
        <f t="shared" si="14"/>
        <v>0.75</v>
      </c>
      <c r="U21" s="71">
        <f t="shared" si="15"/>
        <v>0.75</v>
      </c>
      <c r="V21" s="71">
        <f t="shared" si="16"/>
        <v>0.75</v>
      </c>
      <c r="W21" s="71">
        <f t="shared" si="17"/>
        <v>0.75</v>
      </c>
      <c r="X21" s="71">
        <f t="shared" si="18"/>
        <v>0.75</v>
      </c>
      <c r="Y21" s="71">
        <f t="shared" si="19"/>
        <v>0.75</v>
      </c>
      <c r="Z21" s="71">
        <v>0.75</v>
      </c>
      <c r="AA21" s="71">
        <v>0.75</v>
      </c>
    </row>
    <row r="22" spans="5:27">
      <c r="E22" s="65" t="s">
        <v>77</v>
      </c>
      <c r="F22" s="71">
        <v>0.75</v>
      </c>
      <c r="G22" s="71">
        <v>1.75</v>
      </c>
      <c r="H22" s="71">
        <v>3.25</v>
      </c>
      <c r="I22" s="71">
        <v>3.25</v>
      </c>
      <c r="J22" s="71">
        <v>3.5</v>
      </c>
      <c r="K22" s="71">
        <v>3.5</v>
      </c>
      <c r="L22" s="71">
        <v>3.5</v>
      </c>
      <c r="M22" s="71">
        <v>3.75</v>
      </c>
      <c r="N22" s="71" t="s">
        <v>84</v>
      </c>
      <c r="O22" s="71" t="s">
        <v>84</v>
      </c>
      <c r="Q22" s="65" t="s">
        <v>77</v>
      </c>
      <c r="R22" s="71">
        <f t="shared" si="12"/>
        <v>0.75</v>
      </c>
      <c r="S22" s="71">
        <f t="shared" si="13"/>
        <v>0.75</v>
      </c>
      <c r="T22" s="71">
        <f t="shared" si="14"/>
        <v>0.75</v>
      </c>
      <c r="U22" s="71">
        <f t="shared" si="15"/>
        <v>0.75</v>
      </c>
      <c r="V22" s="71">
        <f t="shared" si="16"/>
        <v>0.75</v>
      </c>
      <c r="W22" s="71">
        <f t="shared" si="17"/>
        <v>0.75</v>
      </c>
      <c r="X22" s="71">
        <f t="shared" si="18"/>
        <v>0.75</v>
      </c>
      <c r="Y22" s="71">
        <f t="shared" si="19"/>
        <v>0.75</v>
      </c>
      <c r="Z22" s="71">
        <v>0.75</v>
      </c>
      <c r="AA22" s="71">
        <v>0.75</v>
      </c>
    </row>
    <row r="23" spans="5:27">
      <c r="E23" s="65" t="s">
        <v>78</v>
      </c>
      <c r="F23" s="71">
        <v>0.75</v>
      </c>
      <c r="G23" s="71">
        <v>1.75</v>
      </c>
      <c r="H23" s="71">
        <v>3.25</v>
      </c>
      <c r="I23" s="71">
        <v>3.25</v>
      </c>
      <c r="J23" s="71">
        <v>3.5</v>
      </c>
      <c r="K23" s="71">
        <v>3.5</v>
      </c>
      <c r="L23" s="71">
        <v>3.5</v>
      </c>
      <c r="M23" s="71">
        <v>4</v>
      </c>
      <c r="N23" s="71" t="s">
        <v>84</v>
      </c>
      <c r="O23" s="71" t="s">
        <v>84</v>
      </c>
      <c r="Q23" s="65" t="s">
        <v>78</v>
      </c>
      <c r="R23" s="71">
        <f t="shared" si="12"/>
        <v>0.75</v>
      </c>
      <c r="S23" s="71">
        <f t="shared" si="13"/>
        <v>0.75</v>
      </c>
      <c r="T23" s="71">
        <f t="shared" si="14"/>
        <v>0.75</v>
      </c>
      <c r="U23" s="71">
        <f t="shared" si="15"/>
        <v>0.75</v>
      </c>
      <c r="V23" s="71">
        <f t="shared" si="16"/>
        <v>0.75</v>
      </c>
      <c r="W23" s="71">
        <f t="shared" si="17"/>
        <v>0.75</v>
      </c>
      <c r="X23" s="71">
        <f t="shared" si="18"/>
        <v>0.75</v>
      </c>
      <c r="Y23" s="71">
        <f t="shared" si="19"/>
        <v>0.75</v>
      </c>
      <c r="Z23" s="71">
        <v>0.75</v>
      </c>
      <c r="AA23" s="71">
        <v>0.75</v>
      </c>
    </row>
    <row r="24" spans="5:27">
      <c r="E24" s="69"/>
      <c r="F24" s="70"/>
      <c r="G24" s="70"/>
      <c r="H24" s="70"/>
      <c r="I24" s="70"/>
      <c r="J24" s="70"/>
      <c r="K24" s="70"/>
      <c r="L24" s="70"/>
      <c r="M24" s="70"/>
    </row>
    <row r="25" spans="5:27">
      <c r="E25" s="68" t="s">
        <v>82</v>
      </c>
    </row>
    <row r="26" spans="5:27">
      <c r="E26" s="63"/>
      <c r="F26" s="73" t="s">
        <v>61</v>
      </c>
      <c r="G26" s="74"/>
      <c r="H26" s="74"/>
      <c r="I26" s="74"/>
      <c r="J26" s="74"/>
      <c r="K26" s="74"/>
      <c r="L26" s="74"/>
      <c r="M26" s="74"/>
      <c r="N26" s="74"/>
      <c r="O26" s="75"/>
      <c r="Q26" s="63"/>
      <c r="R26" s="73" t="s">
        <v>61</v>
      </c>
      <c r="S26" s="74"/>
      <c r="T26" s="74"/>
      <c r="U26" s="74"/>
      <c r="V26" s="74"/>
      <c r="W26" s="74"/>
      <c r="X26" s="74"/>
      <c r="Y26" s="74"/>
      <c r="Z26" s="74"/>
      <c r="AA26" s="75"/>
    </row>
    <row r="27" spans="5:27">
      <c r="E27" s="63" t="s">
        <v>62</v>
      </c>
      <c r="F27" s="64" t="s">
        <v>63</v>
      </c>
      <c r="G27" s="64" t="s">
        <v>64</v>
      </c>
      <c r="H27" s="64" t="s">
        <v>65</v>
      </c>
      <c r="I27" s="64" t="s">
        <v>66</v>
      </c>
      <c r="J27" s="64" t="s">
        <v>67</v>
      </c>
      <c r="K27" s="64" t="s">
        <v>68</v>
      </c>
      <c r="L27" s="64" t="s">
        <v>69</v>
      </c>
      <c r="M27" s="64" t="s">
        <v>70</v>
      </c>
      <c r="N27" s="64" t="s">
        <v>79</v>
      </c>
      <c r="O27" s="64" t="s">
        <v>80</v>
      </c>
      <c r="Q27" s="63" t="s">
        <v>62</v>
      </c>
      <c r="R27" s="64" t="s">
        <v>63</v>
      </c>
      <c r="S27" s="64" t="s">
        <v>64</v>
      </c>
      <c r="T27" s="64" t="s">
        <v>65</v>
      </c>
      <c r="U27" s="64" t="s">
        <v>66</v>
      </c>
      <c r="V27" s="64" t="s">
        <v>67</v>
      </c>
      <c r="W27" s="64" t="s">
        <v>68</v>
      </c>
      <c r="X27" s="64" t="s">
        <v>69</v>
      </c>
      <c r="Y27" s="64" t="s">
        <v>70</v>
      </c>
      <c r="Z27" s="64" t="s">
        <v>79</v>
      </c>
      <c r="AA27" s="64" t="s">
        <v>80</v>
      </c>
    </row>
    <row r="28" spans="5:27">
      <c r="E28" s="65" t="s">
        <v>71</v>
      </c>
      <c r="F28" s="71">
        <f>F16-F4</f>
        <v>0</v>
      </c>
      <c r="G28" s="71">
        <f t="shared" ref="G28:M28" si="20">G16-G4</f>
        <v>0</v>
      </c>
      <c r="H28" s="71">
        <f t="shared" si="20"/>
        <v>0</v>
      </c>
      <c r="I28" s="71">
        <f t="shared" si="20"/>
        <v>0.25</v>
      </c>
      <c r="J28" s="71">
        <f t="shared" si="20"/>
        <v>0.25</v>
      </c>
      <c r="K28" s="71">
        <f t="shared" si="20"/>
        <v>0.25</v>
      </c>
      <c r="L28" s="71">
        <f t="shared" si="20"/>
        <v>0.25</v>
      </c>
      <c r="M28" s="71">
        <f t="shared" si="20"/>
        <v>0.75</v>
      </c>
      <c r="N28" s="71" t="s">
        <v>84</v>
      </c>
      <c r="O28" s="71" t="s">
        <v>84</v>
      </c>
      <c r="Q28" s="65" t="s">
        <v>71</v>
      </c>
      <c r="R28" s="71">
        <f>R16-R4</f>
        <v>0</v>
      </c>
      <c r="S28" s="71">
        <f t="shared" ref="S28:Y28" si="21">S16-S4</f>
        <v>0</v>
      </c>
      <c r="T28" s="71">
        <f t="shared" si="21"/>
        <v>0</v>
      </c>
      <c r="U28" s="71">
        <f t="shared" si="21"/>
        <v>0.25</v>
      </c>
      <c r="V28" s="71">
        <f t="shared" si="21"/>
        <v>0.25</v>
      </c>
      <c r="W28" s="71">
        <f t="shared" si="21"/>
        <v>0.25</v>
      </c>
      <c r="X28" s="71">
        <f t="shared" si="21"/>
        <v>0.25</v>
      </c>
      <c r="Y28" s="71">
        <f t="shared" si="21"/>
        <v>0.5</v>
      </c>
      <c r="Z28" s="71">
        <f t="shared" ref="Z28:AA35" si="22">Z16-Z4</f>
        <v>0.5</v>
      </c>
      <c r="AA28" s="71">
        <f t="shared" si="22"/>
        <v>0.5</v>
      </c>
    </row>
    <row r="29" spans="5:27">
      <c r="E29" s="65" t="s">
        <v>72</v>
      </c>
      <c r="F29" s="71">
        <f t="shared" ref="F29:M29" si="23">F17-F5</f>
        <v>0</v>
      </c>
      <c r="G29" s="71">
        <f t="shared" si="23"/>
        <v>0</v>
      </c>
      <c r="H29" s="71">
        <f t="shared" si="23"/>
        <v>0.25</v>
      </c>
      <c r="I29" s="71">
        <f t="shared" si="23"/>
        <v>0.5</v>
      </c>
      <c r="J29" s="71">
        <f t="shared" si="23"/>
        <v>0.5</v>
      </c>
      <c r="K29" s="71">
        <f t="shared" si="23"/>
        <v>0.5</v>
      </c>
      <c r="L29" s="71">
        <f t="shared" si="23"/>
        <v>0.5</v>
      </c>
      <c r="M29" s="71">
        <f t="shared" si="23"/>
        <v>1</v>
      </c>
      <c r="N29" s="71" t="s">
        <v>84</v>
      </c>
      <c r="O29" s="71" t="s">
        <v>84</v>
      </c>
      <c r="Q29" s="65" t="s">
        <v>72</v>
      </c>
      <c r="R29" s="71">
        <f t="shared" ref="R29:Y29" si="24">R17-R5</f>
        <v>0</v>
      </c>
      <c r="S29" s="71">
        <f t="shared" si="24"/>
        <v>0</v>
      </c>
      <c r="T29" s="71">
        <f t="shared" si="24"/>
        <v>0.25</v>
      </c>
      <c r="U29" s="71">
        <f t="shared" si="24"/>
        <v>0.5</v>
      </c>
      <c r="V29" s="71">
        <f t="shared" si="24"/>
        <v>0.5</v>
      </c>
      <c r="W29" s="71">
        <f t="shared" si="24"/>
        <v>0.5</v>
      </c>
      <c r="X29" s="71">
        <f t="shared" si="24"/>
        <v>0.5</v>
      </c>
      <c r="Y29" s="71">
        <f t="shared" si="24"/>
        <v>0.5</v>
      </c>
      <c r="Z29" s="71">
        <f t="shared" si="22"/>
        <v>0.5</v>
      </c>
      <c r="AA29" s="71">
        <f t="shared" si="22"/>
        <v>0.5</v>
      </c>
    </row>
    <row r="30" spans="5:27">
      <c r="E30" s="65" t="s">
        <v>73</v>
      </c>
      <c r="F30" s="71">
        <f t="shared" ref="F30:M30" si="25">F18-F6</f>
        <v>0</v>
      </c>
      <c r="G30" s="71">
        <f t="shared" si="25"/>
        <v>0</v>
      </c>
      <c r="H30" s="71">
        <f t="shared" si="25"/>
        <v>0.25</v>
      </c>
      <c r="I30" s="71">
        <f t="shared" si="25"/>
        <v>0.5</v>
      </c>
      <c r="J30" s="71">
        <f t="shared" si="25"/>
        <v>0.5</v>
      </c>
      <c r="K30" s="71">
        <f t="shared" si="25"/>
        <v>0.5</v>
      </c>
      <c r="L30" s="71">
        <f t="shared" si="25"/>
        <v>0.5</v>
      </c>
      <c r="M30" s="71">
        <f t="shared" si="25"/>
        <v>1</v>
      </c>
      <c r="N30" s="71" t="s">
        <v>84</v>
      </c>
      <c r="O30" s="71" t="s">
        <v>84</v>
      </c>
      <c r="Q30" s="65" t="s">
        <v>73</v>
      </c>
      <c r="R30" s="71">
        <f t="shared" ref="R30:Y30" si="26">R18-R6</f>
        <v>0</v>
      </c>
      <c r="S30" s="71">
        <f t="shared" si="26"/>
        <v>0</v>
      </c>
      <c r="T30" s="71">
        <f t="shared" si="26"/>
        <v>0</v>
      </c>
      <c r="U30" s="71">
        <f t="shared" si="26"/>
        <v>0</v>
      </c>
      <c r="V30" s="71">
        <f t="shared" si="26"/>
        <v>0</v>
      </c>
      <c r="W30" s="71">
        <f t="shared" si="26"/>
        <v>0</v>
      </c>
      <c r="X30" s="71">
        <f t="shared" si="26"/>
        <v>0</v>
      </c>
      <c r="Y30" s="71">
        <f t="shared" si="26"/>
        <v>0</v>
      </c>
      <c r="Z30" s="71">
        <f t="shared" si="22"/>
        <v>0</v>
      </c>
      <c r="AA30" s="71">
        <f t="shared" si="22"/>
        <v>0</v>
      </c>
    </row>
    <row r="31" spans="5:27">
      <c r="E31" s="65" t="s">
        <v>74</v>
      </c>
      <c r="F31" s="71">
        <f t="shared" ref="F31:M31" si="27">F19-F7</f>
        <v>0</v>
      </c>
      <c r="G31" s="71">
        <f t="shared" si="27"/>
        <v>0</v>
      </c>
      <c r="H31" s="71">
        <f t="shared" si="27"/>
        <v>0.5</v>
      </c>
      <c r="I31" s="71">
        <f t="shared" si="27"/>
        <v>1</v>
      </c>
      <c r="J31" s="71">
        <f t="shared" si="27"/>
        <v>0.75</v>
      </c>
      <c r="K31" s="71">
        <f t="shared" si="27"/>
        <v>0.5</v>
      </c>
      <c r="L31" s="71">
        <f t="shared" si="27"/>
        <v>0.5</v>
      </c>
      <c r="M31" s="71">
        <f t="shared" si="27"/>
        <v>1</v>
      </c>
      <c r="N31" s="71" t="s">
        <v>84</v>
      </c>
      <c r="O31" s="71" t="s">
        <v>84</v>
      </c>
      <c r="Q31" s="65" t="s">
        <v>74</v>
      </c>
      <c r="R31" s="71">
        <f t="shared" ref="R31:Y31" si="28">R19-R7</f>
        <v>0</v>
      </c>
      <c r="S31" s="71">
        <f t="shared" si="28"/>
        <v>0</v>
      </c>
      <c r="T31" s="71">
        <f t="shared" si="28"/>
        <v>0</v>
      </c>
      <c r="U31" s="71">
        <f t="shared" si="28"/>
        <v>0</v>
      </c>
      <c r="V31" s="71">
        <f t="shared" si="28"/>
        <v>0</v>
      </c>
      <c r="W31" s="71">
        <f t="shared" si="28"/>
        <v>0</v>
      </c>
      <c r="X31" s="71">
        <f t="shared" si="28"/>
        <v>0</v>
      </c>
      <c r="Y31" s="71">
        <f t="shared" si="28"/>
        <v>0</v>
      </c>
      <c r="Z31" s="71">
        <f t="shared" si="22"/>
        <v>0</v>
      </c>
      <c r="AA31" s="71">
        <f t="shared" si="22"/>
        <v>0</v>
      </c>
    </row>
    <row r="32" spans="5:27">
      <c r="E32" s="65" t="s">
        <v>75</v>
      </c>
      <c r="F32" s="71">
        <f t="shared" ref="F32:M32" si="29">F20-F8</f>
        <v>0</v>
      </c>
      <c r="G32" s="71">
        <f t="shared" si="29"/>
        <v>0</v>
      </c>
      <c r="H32" s="71">
        <f t="shared" si="29"/>
        <v>0.5</v>
      </c>
      <c r="I32" s="71">
        <f t="shared" si="29"/>
        <v>0.75</v>
      </c>
      <c r="J32" s="71">
        <f t="shared" si="29"/>
        <v>1</v>
      </c>
      <c r="K32" s="71">
        <f t="shared" si="29"/>
        <v>0.5</v>
      </c>
      <c r="L32" s="71">
        <f t="shared" si="29"/>
        <v>0.5</v>
      </c>
      <c r="M32" s="71">
        <f t="shared" si="29"/>
        <v>1</v>
      </c>
      <c r="N32" s="71" t="s">
        <v>84</v>
      </c>
      <c r="O32" s="71" t="s">
        <v>84</v>
      </c>
      <c r="Q32" s="65" t="s">
        <v>75</v>
      </c>
      <c r="R32" s="71">
        <f t="shared" ref="R32:Y32" si="30">R20-R8</f>
        <v>0</v>
      </c>
      <c r="S32" s="71">
        <f t="shared" si="30"/>
        <v>0</v>
      </c>
      <c r="T32" s="71">
        <f t="shared" si="30"/>
        <v>0</v>
      </c>
      <c r="U32" s="71">
        <f t="shared" si="30"/>
        <v>0</v>
      </c>
      <c r="V32" s="71">
        <f t="shared" si="30"/>
        <v>0</v>
      </c>
      <c r="W32" s="71">
        <f t="shared" si="30"/>
        <v>0</v>
      </c>
      <c r="X32" s="71">
        <f t="shared" si="30"/>
        <v>0</v>
      </c>
      <c r="Y32" s="71">
        <f t="shared" si="30"/>
        <v>0</v>
      </c>
      <c r="Z32" s="71">
        <f t="shared" si="22"/>
        <v>0</v>
      </c>
      <c r="AA32" s="71">
        <f t="shared" si="22"/>
        <v>0</v>
      </c>
    </row>
    <row r="33" spans="5:27">
      <c r="E33" s="65" t="s">
        <v>76</v>
      </c>
      <c r="F33" s="71">
        <f t="shared" ref="F33:M33" si="31">F21-F9</f>
        <v>0</v>
      </c>
      <c r="G33" s="71">
        <f t="shared" si="31"/>
        <v>0</v>
      </c>
      <c r="H33" s="71">
        <f t="shared" si="31"/>
        <v>0.5</v>
      </c>
      <c r="I33" s="71">
        <f t="shared" si="31"/>
        <v>0.75</v>
      </c>
      <c r="J33" s="71">
        <f t="shared" si="31"/>
        <v>1</v>
      </c>
      <c r="K33" s="71">
        <f t="shared" si="31"/>
        <v>0.5</v>
      </c>
      <c r="L33" s="71">
        <f t="shared" si="31"/>
        <v>0.5</v>
      </c>
      <c r="M33" s="71">
        <f t="shared" si="31"/>
        <v>1</v>
      </c>
      <c r="N33" s="71" t="s">
        <v>84</v>
      </c>
      <c r="O33" s="71" t="s">
        <v>84</v>
      </c>
      <c r="Q33" s="65" t="s">
        <v>76</v>
      </c>
      <c r="R33" s="71">
        <f t="shared" ref="R33:Y33" si="32">R21-R9</f>
        <v>0</v>
      </c>
      <c r="S33" s="71">
        <f t="shared" si="32"/>
        <v>0</v>
      </c>
      <c r="T33" s="71">
        <f t="shared" si="32"/>
        <v>0</v>
      </c>
      <c r="U33" s="71">
        <f t="shared" si="32"/>
        <v>0</v>
      </c>
      <c r="V33" s="71">
        <f t="shared" si="32"/>
        <v>0</v>
      </c>
      <c r="W33" s="71">
        <f t="shared" si="32"/>
        <v>0</v>
      </c>
      <c r="X33" s="71">
        <f t="shared" si="32"/>
        <v>0</v>
      </c>
      <c r="Y33" s="71">
        <f t="shared" si="32"/>
        <v>0</v>
      </c>
      <c r="Z33" s="71">
        <f t="shared" si="22"/>
        <v>0</v>
      </c>
      <c r="AA33" s="71">
        <f t="shared" si="22"/>
        <v>0</v>
      </c>
    </row>
    <row r="34" spans="5:27">
      <c r="E34" s="65" t="s">
        <v>77</v>
      </c>
      <c r="F34" s="71">
        <f t="shared" ref="F34:M34" si="33">F22-F10</f>
        <v>0</v>
      </c>
      <c r="G34" s="71">
        <f t="shared" si="33"/>
        <v>0</v>
      </c>
      <c r="H34" s="71">
        <f t="shared" si="33"/>
        <v>0.5</v>
      </c>
      <c r="I34" s="71">
        <f t="shared" si="33"/>
        <v>0.25</v>
      </c>
      <c r="J34" s="71">
        <f t="shared" si="33"/>
        <v>0.5</v>
      </c>
      <c r="K34" s="71">
        <f t="shared" si="33"/>
        <v>0.5</v>
      </c>
      <c r="L34" s="71">
        <f t="shared" si="33"/>
        <v>0.5</v>
      </c>
      <c r="M34" s="71">
        <f t="shared" si="33"/>
        <v>1</v>
      </c>
      <c r="N34" s="71" t="s">
        <v>84</v>
      </c>
      <c r="O34" s="71" t="s">
        <v>84</v>
      </c>
      <c r="Q34" s="65" t="s">
        <v>77</v>
      </c>
      <c r="R34" s="71">
        <f t="shared" ref="R34:Y34" si="34">R22-R10</f>
        <v>0</v>
      </c>
      <c r="S34" s="71">
        <f t="shared" si="34"/>
        <v>0</v>
      </c>
      <c r="T34" s="71">
        <f t="shared" si="34"/>
        <v>0</v>
      </c>
      <c r="U34" s="71">
        <f t="shared" si="34"/>
        <v>0</v>
      </c>
      <c r="V34" s="71">
        <f t="shared" si="34"/>
        <v>0</v>
      </c>
      <c r="W34" s="71">
        <f t="shared" si="34"/>
        <v>0</v>
      </c>
      <c r="X34" s="71">
        <f t="shared" si="34"/>
        <v>0</v>
      </c>
      <c r="Y34" s="71">
        <f t="shared" si="34"/>
        <v>0</v>
      </c>
      <c r="Z34" s="71">
        <f t="shared" si="22"/>
        <v>0</v>
      </c>
      <c r="AA34" s="71">
        <f t="shared" si="22"/>
        <v>0</v>
      </c>
    </row>
    <row r="35" spans="5:27">
      <c r="E35" s="65" t="s">
        <v>78</v>
      </c>
      <c r="F35" s="71">
        <f t="shared" ref="F35:M35" si="35">F23-F11</f>
        <v>0</v>
      </c>
      <c r="G35" s="71">
        <f t="shared" si="35"/>
        <v>0</v>
      </c>
      <c r="H35" s="71">
        <f t="shared" si="35"/>
        <v>0</v>
      </c>
      <c r="I35" s="71">
        <f t="shared" si="35"/>
        <v>0</v>
      </c>
      <c r="J35" s="71">
        <f t="shared" si="35"/>
        <v>0.25</v>
      </c>
      <c r="K35" s="71">
        <f t="shared" si="35"/>
        <v>0.25</v>
      </c>
      <c r="L35" s="71">
        <f t="shared" si="35"/>
        <v>0.25</v>
      </c>
      <c r="M35" s="71">
        <f t="shared" si="35"/>
        <v>0.75</v>
      </c>
      <c r="N35" s="71" t="s">
        <v>84</v>
      </c>
      <c r="O35" s="71" t="s">
        <v>84</v>
      </c>
      <c r="Q35" s="65" t="s">
        <v>78</v>
      </c>
      <c r="R35" s="71">
        <f t="shared" ref="R35:Y35" si="36">R23-R11</f>
        <v>0</v>
      </c>
      <c r="S35" s="71">
        <f t="shared" si="36"/>
        <v>0</v>
      </c>
      <c r="T35" s="71">
        <f t="shared" si="36"/>
        <v>0</v>
      </c>
      <c r="U35" s="71">
        <f t="shared" si="36"/>
        <v>0</v>
      </c>
      <c r="V35" s="71">
        <f t="shared" si="36"/>
        <v>0</v>
      </c>
      <c r="W35" s="71">
        <f t="shared" si="36"/>
        <v>0</v>
      </c>
      <c r="X35" s="71">
        <f t="shared" si="36"/>
        <v>0</v>
      </c>
      <c r="Y35" s="71">
        <f t="shared" si="36"/>
        <v>0</v>
      </c>
      <c r="Z35" s="71">
        <f t="shared" si="22"/>
        <v>0</v>
      </c>
      <c r="AA35" s="71">
        <f t="shared" si="22"/>
        <v>0</v>
      </c>
    </row>
    <row r="36" spans="5:27">
      <c r="F36" s="66"/>
      <c r="G36" s="66"/>
      <c r="H36" s="66"/>
      <c r="I36" s="66"/>
      <c r="J36" s="66"/>
      <c r="K36" s="66"/>
      <c r="L36" s="66"/>
      <c r="M36" s="66"/>
    </row>
  </sheetData>
  <mergeCells count="4">
    <mergeCell ref="R26:AA26"/>
    <mergeCell ref="R14:AA14"/>
    <mergeCell ref="F14:O14"/>
    <mergeCell ref="F26:O26"/>
  </mergeCells>
  <conditionalFormatting sqref="F4:O11">
    <cfRule type="cellIs" dxfId="3" priority="7" operator="greaterThanOrEqual">
      <formula>0.75</formula>
    </cfRule>
  </conditionalFormatting>
  <conditionalFormatting sqref="F16:O23">
    <cfRule type="cellIs" dxfId="2" priority="6" operator="greaterThanOrEqual">
      <formula>0.75</formula>
    </cfRule>
  </conditionalFormatting>
  <conditionalFormatting sqref="R16:AA23">
    <cfRule type="cellIs" dxfId="1" priority="3" operator="greaterThanOrEqual">
      <formula>0.75</formula>
    </cfRule>
  </conditionalFormatting>
  <conditionalFormatting sqref="R4:AA11">
    <cfRule type="cellIs" dxfId="0" priority="4" operator="greaterThanOrEqual">
      <formula>0.75</formula>
    </cfRule>
  </conditionalFormatting>
  <conditionalFormatting sqref="F28:O35">
    <cfRule type="colorScale" priority="2">
      <colorScale>
        <cfvo type="min"/>
        <cfvo type="max"/>
        <color theme="0"/>
        <color theme="4" tint="0.59999389629810485"/>
      </colorScale>
    </cfRule>
  </conditionalFormatting>
  <conditionalFormatting sqref="R28:AA35">
    <cfRule type="colorScale" priority="1">
      <colorScale>
        <cfvo type="min"/>
        <cfvo type="max"/>
        <color theme="0"/>
        <color theme="4" tint="0.59999389629810485"/>
      </colorScale>
    </cfRule>
  </conditionalFormatting>
  <pageMargins left="0.7" right="0.7" top="0.75" bottom="0.75" header="0.3" footer="0.3"/>
  <pageSetup scale="53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Q228"/>
  <sheetViews>
    <sheetView topLeftCell="K1" zoomScaleNormal="100" workbookViewId="0">
      <selection activeCell="AK36" sqref="AK36"/>
    </sheetView>
  </sheetViews>
  <sheetFormatPr defaultRowHeight="15"/>
  <cols>
    <col min="6" max="6" width="10.7109375" bestFit="1" customWidth="1"/>
    <col min="7" max="7" width="12.85546875" bestFit="1" customWidth="1"/>
    <col min="9" max="9" width="10.7109375" bestFit="1" customWidth="1"/>
    <col min="10" max="10" width="12.85546875" bestFit="1" customWidth="1"/>
    <col min="11" max="11" width="19" bestFit="1" customWidth="1"/>
    <col min="12" max="13" width="19" customWidth="1"/>
    <col min="15" max="15" width="10.7109375" bestFit="1" customWidth="1"/>
    <col min="16" max="16" width="12.85546875" bestFit="1" customWidth="1"/>
    <col min="17" max="17" width="12" bestFit="1" customWidth="1"/>
  </cols>
  <sheetData>
    <row r="1" spans="2:17">
      <c r="F1" t="s">
        <v>85</v>
      </c>
      <c r="I1" t="s">
        <v>86</v>
      </c>
      <c r="O1" t="s">
        <v>88</v>
      </c>
    </row>
    <row r="2" spans="2:17">
      <c r="B2" s="61" t="s">
        <v>31</v>
      </c>
      <c r="C2" t="s">
        <v>85</v>
      </c>
      <c r="D2" t="s">
        <v>87</v>
      </c>
      <c r="F2" t="s">
        <v>31</v>
      </c>
      <c r="G2" t="s">
        <v>37</v>
      </c>
      <c r="I2" t="s">
        <v>31</v>
      </c>
      <c r="J2" t="s">
        <v>37</v>
      </c>
      <c r="K2" t="s">
        <v>89</v>
      </c>
      <c r="L2" t="s">
        <v>90</v>
      </c>
      <c r="M2" t="s">
        <v>91</v>
      </c>
      <c r="O2" t="s">
        <v>31</v>
      </c>
      <c r="P2" t="s">
        <v>37</v>
      </c>
      <c r="Q2" t="s">
        <v>36</v>
      </c>
    </row>
    <row r="3" spans="2:17">
      <c r="B3" s="60">
        <v>40549</v>
      </c>
      <c r="C3" s="37">
        <f>VLOOKUP(B3,F:G,2,0)</f>
        <v>0.68934342154794104</v>
      </c>
      <c r="D3" s="37">
        <f>VLOOKUP(B3,I:J,2,0)</f>
        <v>0.32204130779229101</v>
      </c>
      <c r="F3" s="1">
        <v>40549</v>
      </c>
      <c r="G3">
        <v>0.68934342154794104</v>
      </c>
      <c r="I3" s="1">
        <v>40549</v>
      </c>
      <c r="J3">
        <v>0.32204130779229101</v>
      </c>
      <c r="K3" s="72">
        <v>511152631253.10303</v>
      </c>
      <c r="L3" s="72">
        <f>VLOOKUP(I3,O:Q,3,0)</f>
        <v>895480193330.53601</v>
      </c>
      <c r="M3" s="37">
        <f>K3/L3*100%</f>
        <v>0.57081400019802386</v>
      </c>
      <c r="O3" s="1">
        <v>40549</v>
      </c>
      <c r="P3" s="37">
        <v>0.209513267626425</v>
      </c>
      <c r="Q3">
        <v>895480193330.53601</v>
      </c>
    </row>
    <row r="4" spans="2:17">
      <c r="B4" s="60">
        <v>40556</v>
      </c>
      <c r="C4" s="37">
        <f t="shared" ref="C4:C67" si="0">VLOOKUP(B4,F:G,2,0)</f>
        <v>0.70307643177109502</v>
      </c>
      <c r="D4" s="37">
        <f t="shared" ref="D4:D67" si="1">VLOOKUP(B4,I:J,2,0)</f>
        <v>0.33944259689377898</v>
      </c>
      <c r="F4" s="1">
        <v>40556</v>
      </c>
      <c r="G4">
        <v>0.70307643177109502</v>
      </c>
      <c r="I4" s="1">
        <v>40556</v>
      </c>
      <c r="J4">
        <v>0.33944259689377898</v>
      </c>
      <c r="K4" s="72">
        <v>511152631253.10303</v>
      </c>
      <c r="L4" s="72">
        <f t="shared" ref="L4:L67" si="2">VLOOKUP(I4,O:Q,3,0)</f>
        <v>895480193330.53601</v>
      </c>
      <c r="M4" s="37">
        <f t="shared" ref="M4:M67" si="3">K4/L4*100%</f>
        <v>0.57081400019802386</v>
      </c>
      <c r="O4" s="1">
        <v>40556</v>
      </c>
      <c r="P4" s="37">
        <v>0.228652572402892</v>
      </c>
      <c r="Q4">
        <v>895480193330.53601</v>
      </c>
    </row>
    <row r="5" spans="2:17">
      <c r="B5" s="60">
        <v>40563</v>
      </c>
      <c r="C5" s="37">
        <f t="shared" si="0"/>
        <v>0.68938813329756798</v>
      </c>
      <c r="D5" s="37">
        <f t="shared" si="1"/>
        <v>0.32792342987711598</v>
      </c>
      <c r="F5" s="1">
        <v>40563</v>
      </c>
      <c r="G5">
        <v>0.68938813329756798</v>
      </c>
      <c r="I5" s="1">
        <v>40563</v>
      </c>
      <c r="J5">
        <v>0.32792342987711598</v>
      </c>
      <c r="K5" s="72">
        <v>511152631253.10303</v>
      </c>
      <c r="L5" s="72">
        <f t="shared" si="2"/>
        <v>895480193330.53601</v>
      </c>
      <c r="M5" s="37">
        <f t="shared" si="3"/>
        <v>0.57081400019802386</v>
      </c>
      <c r="O5" s="1">
        <v>40563</v>
      </c>
      <c r="P5" s="37">
        <v>0.21311797232714499</v>
      </c>
      <c r="Q5">
        <v>895480193330.53601</v>
      </c>
    </row>
    <row r="6" spans="2:17">
      <c r="B6" s="60">
        <v>40570</v>
      </c>
      <c r="C6" s="37">
        <f t="shared" si="0"/>
        <v>0.68933878258023296</v>
      </c>
      <c r="D6" s="37">
        <f t="shared" si="1"/>
        <v>0.32039053977925802</v>
      </c>
      <c r="F6" s="1">
        <v>40570</v>
      </c>
      <c r="G6">
        <v>0.68933878258023296</v>
      </c>
      <c r="I6" s="1">
        <v>40570</v>
      </c>
      <c r="J6">
        <v>0.32039053977925802</v>
      </c>
      <c r="K6" s="72">
        <v>511152631253.10303</v>
      </c>
      <c r="L6" s="72">
        <f t="shared" si="2"/>
        <v>895480193330.53601</v>
      </c>
      <c r="M6" s="37">
        <f t="shared" si="3"/>
        <v>0.57081400019802386</v>
      </c>
      <c r="O6" s="1">
        <v>40570</v>
      </c>
      <c r="P6" s="37">
        <v>0.208109326084263</v>
      </c>
      <c r="Q6">
        <v>895480193330.53601</v>
      </c>
    </row>
    <row r="7" spans="2:17">
      <c r="B7" s="60">
        <v>40577</v>
      </c>
      <c r="C7" s="37">
        <f t="shared" si="0"/>
        <v>0.67503887167036103</v>
      </c>
      <c r="D7" s="37">
        <f t="shared" si="1"/>
        <v>0.295596785601205</v>
      </c>
      <c r="F7" s="1">
        <v>40577</v>
      </c>
      <c r="G7">
        <v>0.67503887167036103</v>
      </c>
      <c r="I7" s="1">
        <v>40577</v>
      </c>
      <c r="J7">
        <v>0.295596785601205</v>
      </c>
      <c r="K7" s="72">
        <v>498355321367.67102</v>
      </c>
      <c r="L7" s="72">
        <f t="shared" si="2"/>
        <v>900632902369.08301</v>
      </c>
      <c r="M7" s="37">
        <f t="shared" si="3"/>
        <v>0.55333901310596689</v>
      </c>
      <c r="O7" s="1">
        <v>40577</v>
      </c>
      <c r="P7" s="37">
        <v>0.17891549814152399</v>
      </c>
      <c r="Q7">
        <v>900632902369.08301</v>
      </c>
    </row>
    <row r="8" spans="2:17">
      <c r="B8" s="60">
        <v>40584</v>
      </c>
      <c r="C8" s="37">
        <f t="shared" si="0"/>
        <v>0.62601198303170802</v>
      </c>
      <c r="D8" s="37">
        <f t="shared" si="1"/>
        <v>0.234840435700295</v>
      </c>
      <c r="F8" s="1">
        <v>40584</v>
      </c>
      <c r="G8">
        <v>0.62601198303170802</v>
      </c>
      <c r="I8" s="1">
        <v>40584</v>
      </c>
      <c r="J8">
        <v>0.234840435700295</v>
      </c>
      <c r="K8" s="72">
        <v>498355321367.67102</v>
      </c>
      <c r="L8" s="72">
        <f t="shared" si="2"/>
        <v>900632902369.08301</v>
      </c>
      <c r="M8" s="37">
        <f t="shared" si="3"/>
        <v>0.55333901310596689</v>
      </c>
      <c r="O8" s="1">
        <v>40584</v>
      </c>
      <c r="P8" s="37">
        <v>0.134560222484256</v>
      </c>
      <c r="Q8">
        <v>900632902369.08301</v>
      </c>
    </row>
    <row r="9" spans="2:17">
      <c r="B9" s="60">
        <v>40591</v>
      </c>
      <c r="C9" s="37">
        <f t="shared" si="0"/>
        <v>0.64635810340061295</v>
      </c>
      <c r="D9" s="37">
        <f t="shared" si="1"/>
        <v>0.25513974378513499</v>
      </c>
      <c r="F9" s="1">
        <v>40591</v>
      </c>
      <c r="G9">
        <v>0.64635810340061295</v>
      </c>
      <c r="I9" s="1">
        <v>40591</v>
      </c>
      <c r="J9">
        <v>0.25513974378513499</v>
      </c>
      <c r="K9" s="72">
        <v>498355321367.67102</v>
      </c>
      <c r="L9" s="72">
        <f t="shared" si="2"/>
        <v>900632902369.08301</v>
      </c>
      <c r="M9" s="37">
        <f t="shared" si="3"/>
        <v>0.55333901310596689</v>
      </c>
      <c r="O9" s="1">
        <v>40591</v>
      </c>
      <c r="P9" s="37">
        <v>0.14775234916291499</v>
      </c>
      <c r="Q9">
        <v>900632902369.08301</v>
      </c>
    </row>
    <row r="10" spans="2:17">
      <c r="B10" s="60">
        <v>40598</v>
      </c>
      <c r="C10" s="37">
        <f t="shared" si="0"/>
        <v>0.657316480570869</v>
      </c>
      <c r="D10" s="37">
        <f t="shared" si="1"/>
        <v>0.27027204570239999</v>
      </c>
      <c r="F10" s="1">
        <v>40598</v>
      </c>
      <c r="G10">
        <v>0.657316480570869</v>
      </c>
      <c r="I10" s="1">
        <v>40598</v>
      </c>
      <c r="J10">
        <v>0.27027204570239999</v>
      </c>
      <c r="K10" s="72">
        <v>498355321367.67102</v>
      </c>
      <c r="L10" s="72">
        <f t="shared" si="2"/>
        <v>900632902369.08301</v>
      </c>
      <c r="M10" s="37">
        <f t="shared" si="3"/>
        <v>0.55333901310596689</v>
      </c>
      <c r="O10" s="1">
        <v>40598</v>
      </c>
      <c r="P10" s="37">
        <v>0.160094781437121</v>
      </c>
      <c r="Q10">
        <v>900632902369.08301</v>
      </c>
    </row>
    <row r="11" spans="2:17">
      <c r="B11" s="60">
        <v>40605</v>
      </c>
      <c r="C11" s="37">
        <f t="shared" si="0"/>
        <v>0.67062319372880397</v>
      </c>
      <c r="D11" s="37">
        <f t="shared" si="1"/>
        <v>0.27618659696598702</v>
      </c>
      <c r="F11" s="1">
        <v>40605</v>
      </c>
      <c r="G11">
        <v>0.67062319372880397</v>
      </c>
      <c r="I11" s="1">
        <v>40605</v>
      </c>
      <c r="J11">
        <v>0.27618659696598702</v>
      </c>
      <c r="K11" s="72">
        <v>487217270284.03302</v>
      </c>
      <c r="L11" s="72">
        <f t="shared" si="2"/>
        <v>898485534285.64099</v>
      </c>
      <c r="M11" s="37">
        <f t="shared" si="3"/>
        <v>0.54226501339435018</v>
      </c>
      <c r="O11" s="1">
        <v>40605</v>
      </c>
      <c r="P11" s="37">
        <v>0.16418790753930701</v>
      </c>
      <c r="Q11">
        <v>898485534285.64099</v>
      </c>
    </row>
    <row r="12" spans="2:17">
      <c r="B12" s="60">
        <v>40612</v>
      </c>
      <c r="C12" s="37">
        <f t="shared" si="0"/>
        <v>0.67056643052686704</v>
      </c>
      <c r="D12" s="37">
        <f t="shared" si="1"/>
        <v>0.27593598906514399</v>
      </c>
      <c r="F12" s="1">
        <v>40612</v>
      </c>
      <c r="G12">
        <v>0.67056643052686704</v>
      </c>
      <c r="I12" s="1">
        <v>40612</v>
      </c>
      <c r="J12">
        <v>0.27593598906514399</v>
      </c>
      <c r="K12" s="72">
        <v>487217270284.03302</v>
      </c>
      <c r="L12" s="72">
        <f t="shared" si="2"/>
        <v>898485534285.64099</v>
      </c>
      <c r="M12" s="37">
        <f t="shared" si="3"/>
        <v>0.54226501339435018</v>
      </c>
      <c r="O12" s="1">
        <v>40612</v>
      </c>
      <c r="P12" s="37">
        <v>0.16404066322029201</v>
      </c>
      <c r="Q12">
        <v>898485534285.64099</v>
      </c>
    </row>
    <row r="13" spans="2:17">
      <c r="B13" s="60">
        <v>40619</v>
      </c>
      <c r="C13" s="37">
        <f t="shared" si="0"/>
        <v>0.69499981858565096</v>
      </c>
      <c r="D13" s="37">
        <f t="shared" si="1"/>
        <v>0.30794837748269599</v>
      </c>
      <c r="F13" s="1">
        <v>40619</v>
      </c>
      <c r="G13">
        <v>0.69499981858565096</v>
      </c>
      <c r="I13" s="1">
        <v>40619</v>
      </c>
      <c r="J13">
        <v>0.30794837748269599</v>
      </c>
      <c r="K13" s="72">
        <v>487217270284.03302</v>
      </c>
      <c r="L13" s="72">
        <f t="shared" si="2"/>
        <v>898485534285.64099</v>
      </c>
      <c r="M13" s="37">
        <f t="shared" si="3"/>
        <v>0.54226501339435018</v>
      </c>
      <c r="O13" s="1">
        <v>40619</v>
      </c>
      <c r="P13" s="37">
        <v>0.19779470766972801</v>
      </c>
      <c r="Q13">
        <v>898485534285.64099</v>
      </c>
    </row>
    <row r="14" spans="2:17">
      <c r="B14" s="60">
        <v>40626</v>
      </c>
      <c r="C14" s="37">
        <f t="shared" si="0"/>
        <v>0.68107814802781896</v>
      </c>
      <c r="D14" s="37">
        <f t="shared" si="1"/>
        <v>0.29055412632630701</v>
      </c>
      <c r="F14" s="1">
        <v>40626</v>
      </c>
      <c r="G14">
        <v>0.68107814802781896</v>
      </c>
      <c r="I14" s="1">
        <v>40626</v>
      </c>
      <c r="J14">
        <v>0.29055412632630701</v>
      </c>
      <c r="K14" s="72">
        <v>487217270284.03302</v>
      </c>
      <c r="L14" s="72">
        <f t="shared" si="2"/>
        <v>898485534285.64099</v>
      </c>
      <c r="M14" s="37">
        <f t="shared" si="3"/>
        <v>0.54226501339435018</v>
      </c>
      <c r="O14" s="1">
        <v>40626</v>
      </c>
      <c r="P14" s="37">
        <v>0.17977939874028501</v>
      </c>
      <c r="Q14">
        <v>898485534285.64099</v>
      </c>
    </row>
    <row r="15" spans="2:17">
      <c r="B15" s="60">
        <v>40633</v>
      </c>
      <c r="C15" s="37">
        <f t="shared" si="0"/>
        <v>0.67063539524591398</v>
      </c>
      <c r="D15" s="37">
        <f t="shared" si="1"/>
        <v>0.276215339287747</v>
      </c>
      <c r="F15" s="1">
        <v>40633</v>
      </c>
      <c r="G15">
        <v>0.67063539524591398</v>
      </c>
      <c r="I15" s="1">
        <v>40633</v>
      </c>
      <c r="J15">
        <v>0.276215339287747</v>
      </c>
      <c r="K15" s="72">
        <v>487217270284.03302</v>
      </c>
      <c r="L15" s="72">
        <f t="shared" si="2"/>
        <v>898485534285.64099</v>
      </c>
      <c r="M15" s="37">
        <f t="shared" si="3"/>
        <v>0.54226501339435018</v>
      </c>
      <c r="O15" s="1">
        <v>40633</v>
      </c>
      <c r="P15" s="37">
        <v>0.164213722676429</v>
      </c>
      <c r="Q15">
        <v>898485534285.64099</v>
      </c>
    </row>
    <row r="16" spans="2:17">
      <c r="B16" s="60">
        <v>40640</v>
      </c>
      <c r="C16" s="37">
        <f t="shared" si="0"/>
        <v>0.667098340408248</v>
      </c>
      <c r="D16" s="37">
        <f t="shared" si="1"/>
        <v>0.28032672938051101</v>
      </c>
      <c r="F16" s="1">
        <v>40640</v>
      </c>
      <c r="G16">
        <v>0.667098340408248</v>
      </c>
      <c r="I16" s="1">
        <v>40640</v>
      </c>
      <c r="J16">
        <v>0.28032672938051101</v>
      </c>
      <c r="K16" s="72">
        <v>478049332159.64398</v>
      </c>
      <c r="L16" s="72">
        <f t="shared" si="2"/>
        <v>898010001419.72205</v>
      </c>
      <c r="M16" s="37">
        <f t="shared" si="3"/>
        <v>0.53234299328945656</v>
      </c>
      <c r="O16" s="1">
        <v>40640</v>
      </c>
      <c r="P16" s="37">
        <v>0.164069567843764</v>
      </c>
      <c r="Q16">
        <v>898010001419.72205</v>
      </c>
    </row>
    <row r="17" spans="2:17">
      <c r="B17" s="60">
        <v>40647</v>
      </c>
      <c r="C17" s="37">
        <f t="shared" si="0"/>
        <v>0.66704040155500299</v>
      </c>
      <c r="D17" s="37">
        <f t="shared" si="1"/>
        <v>0.27639565795825799</v>
      </c>
      <c r="F17" s="1">
        <v>40647</v>
      </c>
      <c r="G17">
        <v>0.66704040155500299</v>
      </c>
      <c r="I17" s="1">
        <v>40647</v>
      </c>
      <c r="J17">
        <v>0.27639565795825799</v>
      </c>
      <c r="K17" s="72">
        <v>478049332159.64398</v>
      </c>
      <c r="L17" s="72">
        <f t="shared" si="2"/>
        <v>898010001419.72205</v>
      </c>
      <c r="M17" s="37">
        <f t="shared" si="3"/>
        <v>0.53234299328945656</v>
      </c>
      <c r="O17" s="1">
        <v>40647</v>
      </c>
      <c r="P17" s="37">
        <v>0.16188317261266799</v>
      </c>
      <c r="Q17">
        <v>898010001419.72205</v>
      </c>
    </row>
    <row r="18" spans="2:17">
      <c r="B18" s="60">
        <v>40654</v>
      </c>
      <c r="C18" s="37">
        <f t="shared" si="0"/>
        <v>0.67762590916364096</v>
      </c>
      <c r="D18" s="37">
        <f t="shared" si="1"/>
        <v>0.29489367773778902</v>
      </c>
      <c r="F18" s="1">
        <v>40654</v>
      </c>
      <c r="G18">
        <v>0.67762590916364096</v>
      </c>
      <c r="I18" s="1">
        <v>40654</v>
      </c>
      <c r="J18">
        <v>0.29489367773778902</v>
      </c>
      <c r="K18" s="72">
        <v>478049332159.64398</v>
      </c>
      <c r="L18" s="72">
        <f t="shared" si="2"/>
        <v>898010001419.72205</v>
      </c>
      <c r="M18" s="37">
        <f t="shared" si="3"/>
        <v>0.53234299328945656</v>
      </c>
      <c r="O18" s="1">
        <v>40654</v>
      </c>
      <c r="P18" s="37">
        <v>0.18010388926248599</v>
      </c>
      <c r="Q18">
        <v>898010001419.72205</v>
      </c>
    </row>
    <row r="19" spans="2:17">
      <c r="B19" s="60">
        <v>40661</v>
      </c>
      <c r="C19" s="37">
        <f t="shared" si="0"/>
        <v>0.67764813539017299</v>
      </c>
      <c r="D19" s="37">
        <f t="shared" si="1"/>
        <v>0.30100380523127301</v>
      </c>
      <c r="F19" s="1">
        <v>40661</v>
      </c>
      <c r="G19">
        <v>0.67764813539017299</v>
      </c>
      <c r="I19" s="1">
        <v>40661</v>
      </c>
      <c r="J19">
        <v>0.30100380523127301</v>
      </c>
      <c r="K19" s="72">
        <v>478049332159.64398</v>
      </c>
      <c r="L19" s="72">
        <f t="shared" si="2"/>
        <v>898010001419.72205</v>
      </c>
      <c r="M19" s="37">
        <f t="shared" si="3"/>
        <v>0.53234299328945656</v>
      </c>
      <c r="O19" s="1">
        <v>40661</v>
      </c>
      <c r="P19" s="37">
        <v>0.18382677970033701</v>
      </c>
      <c r="Q19">
        <v>898010001419.72205</v>
      </c>
    </row>
    <row r="20" spans="2:17">
      <c r="B20" s="60">
        <v>40668</v>
      </c>
      <c r="C20" s="37">
        <f t="shared" si="0"/>
        <v>0.68894669316518398</v>
      </c>
      <c r="D20" s="37">
        <f t="shared" si="1"/>
        <v>0.32414763510163902</v>
      </c>
      <c r="F20" s="1">
        <v>40668</v>
      </c>
      <c r="G20">
        <v>0.68894669316518398</v>
      </c>
      <c r="I20" s="1">
        <v>40668</v>
      </c>
      <c r="J20">
        <v>0.32414763510163902</v>
      </c>
      <c r="K20" s="72">
        <v>470003496681.77802</v>
      </c>
      <c r="L20" s="72">
        <f t="shared" si="2"/>
        <v>897679401564.875</v>
      </c>
      <c r="M20" s="37">
        <f t="shared" si="3"/>
        <v>0.52357611844768503</v>
      </c>
      <c r="O20" s="1">
        <v>40668</v>
      </c>
      <c r="P20" s="37">
        <v>0.203871330776419</v>
      </c>
      <c r="Q20">
        <v>897679401564.875</v>
      </c>
    </row>
    <row r="21" spans="2:17">
      <c r="B21" s="60">
        <v>40675</v>
      </c>
      <c r="C21" s="37">
        <f t="shared" si="0"/>
        <v>0.71405065373301202</v>
      </c>
      <c r="D21" s="37">
        <f t="shared" si="1"/>
        <v>0.35120080584396202</v>
      </c>
      <c r="F21" s="1">
        <v>40675</v>
      </c>
      <c r="G21">
        <v>0.71405065373301202</v>
      </c>
      <c r="I21" s="1">
        <v>40675</v>
      </c>
      <c r="J21">
        <v>0.35120080584396202</v>
      </c>
      <c r="K21" s="72">
        <v>470003496681.77802</v>
      </c>
      <c r="L21" s="72">
        <f t="shared" si="2"/>
        <v>897679401564.875</v>
      </c>
      <c r="M21" s="37">
        <f t="shared" si="3"/>
        <v>0.52357611844768503</v>
      </c>
      <c r="O21" s="1">
        <v>40675</v>
      </c>
      <c r="P21" s="37">
        <v>0.24081352175868001</v>
      </c>
      <c r="Q21">
        <v>897679401564.875</v>
      </c>
    </row>
    <row r="22" spans="2:17">
      <c r="B22" s="60">
        <v>40682</v>
      </c>
      <c r="C22" s="37">
        <f t="shared" si="0"/>
        <v>0.71407362852576595</v>
      </c>
      <c r="D22" s="37">
        <f t="shared" si="1"/>
        <v>0.35171549347634701</v>
      </c>
      <c r="F22" s="1">
        <v>40682</v>
      </c>
      <c r="G22">
        <v>0.71407362852576595</v>
      </c>
      <c r="I22" s="1">
        <v>40682</v>
      </c>
      <c r="J22">
        <v>0.35171549347634701</v>
      </c>
      <c r="K22" s="72">
        <v>470003496681.77802</v>
      </c>
      <c r="L22" s="72">
        <f t="shared" si="2"/>
        <v>897679401564.875</v>
      </c>
      <c r="M22" s="37">
        <f t="shared" si="3"/>
        <v>0.52357611844768503</v>
      </c>
      <c r="O22" s="1">
        <v>40682</v>
      </c>
      <c r="P22" s="37">
        <v>0.24117986251785001</v>
      </c>
      <c r="Q22">
        <v>897679401564.875</v>
      </c>
    </row>
    <row r="23" spans="2:17">
      <c r="B23" s="60">
        <v>40689</v>
      </c>
      <c r="C23" s="37">
        <f t="shared" si="0"/>
        <v>0.71409882525790402</v>
      </c>
      <c r="D23" s="37">
        <f t="shared" si="1"/>
        <v>0.35587573298129699</v>
      </c>
      <c r="F23" s="1">
        <v>40689</v>
      </c>
      <c r="G23">
        <v>0.71409882525790402</v>
      </c>
      <c r="I23" s="1">
        <v>40689</v>
      </c>
      <c r="J23">
        <v>0.35587573298129699</v>
      </c>
      <c r="K23" s="72">
        <v>470003496681.77802</v>
      </c>
      <c r="L23" s="72">
        <f t="shared" si="2"/>
        <v>897679401564.875</v>
      </c>
      <c r="M23" s="37">
        <f t="shared" si="3"/>
        <v>0.52357611844768503</v>
      </c>
      <c r="O23" s="1">
        <v>40689</v>
      </c>
      <c r="P23" s="37">
        <v>0.243553615533253</v>
      </c>
      <c r="Q23">
        <v>897679401564.875</v>
      </c>
    </row>
    <row r="24" spans="2:17">
      <c r="B24" s="60">
        <v>40696</v>
      </c>
      <c r="C24" s="37">
        <f t="shared" si="0"/>
        <v>0.72824875176082904</v>
      </c>
      <c r="D24" s="37">
        <f t="shared" si="1"/>
        <v>0.384751810944437</v>
      </c>
      <c r="F24" s="1">
        <v>40696</v>
      </c>
      <c r="G24">
        <v>0.72824875176082904</v>
      </c>
      <c r="I24" s="1">
        <v>40696</v>
      </c>
      <c r="J24">
        <v>0.384751810944437</v>
      </c>
      <c r="K24" s="72">
        <v>462480304706.05603</v>
      </c>
      <c r="L24" s="72">
        <f t="shared" si="2"/>
        <v>898925930940.14294</v>
      </c>
      <c r="M24" s="37">
        <f t="shared" si="3"/>
        <v>0.51448099202385933</v>
      </c>
      <c r="O24" s="1">
        <v>40696</v>
      </c>
      <c r="P24" s="37">
        <v>0.27670038879120401</v>
      </c>
      <c r="Q24">
        <v>898925930940.14294</v>
      </c>
    </row>
    <row r="25" spans="2:17">
      <c r="B25" s="60">
        <v>40703</v>
      </c>
      <c r="C25" s="37">
        <f t="shared" si="0"/>
        <v>0.74506714039606803</v>
      </c>
      <c r="D25" s="37">
        <f t="shared" si="1"/>
        <v>0.40107831488719298</v>
      </c>
      <c r="F25" s="1">
        <v>40703</v>
      </c>
      <c r="G25">
        <v>0.74506714039606803</v>
      </c>
      <c r="I25" s="1">
        <v>40703</v>
      </c>
      <c r="J25">
        <v>0.40107831488719298</v>
      </c>
      <c r="K25" s="72">
        <v>462480304706.05603</v>
      </c>
      <c r="L25" s="72">
        <f t="shared" si="2"/>
        <v>898925930940.14294</v>
      </c>
      <c r="M25" s="37">
        <f t="shared" si="3"/>
        <v>0.51448099202385933</v>
      </c>
      <c r="O25" s="1">
        <v>40703</v>
      </c>
      <c r="P25" s="37">
        <v>0.29931986389681697</v>
      </c>
      <c r="Q25">
        <v>898925930940.14294</v>
      </c>
    </row>
    <row r="26" spans="2:17">
      <c r="B26" s="60">
        <v>40710</v>
      </c>
      <c r="C26" s="37">
        <f t="shared" si="0"/>
        <v>0.74505340929157504</v>
      </c>
      <c r="D26" s="37">
        <f t="shared" si="1"/>
        <v>0.401048271232536</v>
      </c>
      <c r="F26" s="1">
        <v>40710</v>
      </c>
      <c r="G26">
        <v>0.74505340929157504</v>
      </c>
      <c r="I26" s="1">
        <v>40710</v>
      </c>
      <c r="J26">
        <v>0.401048271232536</v>
      </c>
      <c r="K26" s="72">
        <v>462480304706.05603</v>
      </c>
      <c r="L26" s="72">
        <f t="shared" si="2"/>
        <v>898925930940.14294</v>
      </c>
      <c r="M26" s="37">
        <f t="shared" si="3"/>
        <v>0.51448099202385933</v>
      </c>
      <c r="O26" s="1">
        <v>40710</v>
      </c>
      <c r="P26" s="37">
        <v>0.29927890586033901</v>
      </c>
      <c r="Q26">
        <v>898925930940.14294</v>
      </c>
    </row>
    <row r="27" spans="2:17">
      <c r="B27" s="60">
        <v>40717</v>
      </c>
      <c r="C27" s="37">
        <f t="shared" si="0"/>
        <v>0.72824875176082904</v>
      </c>
      <c r="D27" s="37">
        <f t="shared" si="1"/>
        <v>0.384751810944437</v>
      </c>
      <c r="F27" s="1">
        <v>40717</v>
      </c>
      <c r="G27">
        <v>0.72824875176082904</v>
      </c>
      <c r="I27" s="1">
        <v>40717</v>
      </c>
      <c r="J27">
        <v>0.384751810944437</v>
      </c>
      <c r="K27" s="72">
        <v>462480304706.05603</v>
      </c>
      <c r="L27" s="72">
        <f t="shared" si="2"/>
        <v>898925930940.14294</v>
      </c>
      <c r="M27" s="37">
        <f t="shared" si="3"/>
        <v>0.51448099202385933</v>
      </c>
      <c r="O27" s="1">
        <v>40717</v>
      </c>
      <c r="P27" s="37">
        <v>0.27670038879120401</v>
      </c>
      <c r="Q27">
        <v>898925930940.14294</v>
      </c>
    </row>
    <row r="28" spans="2:17">
      <c r="B28" s="60">
        <v>40724</v>
      </c>
      <c r="C28" s="37">
        <f t="shared" si="0"/>
        <v>0.74479550295308605</v>
      </c>
      <c r="D28" s="37">
        <f t="shared" si="1"/>
        <v>0.40017737051204799</v>
      </c>
      <c r="F28" s="1">
        <v>40724</v>
      </c>
      <c r="G28">
        <v>0.74479550295308605</v>
      </c>
      <c r="I28" s="1">
        <v>40724</v>
      </c>
      <c r="J28">
        <v>0.40017737051204799</v>
      </c>
      <c r="K28" s="72">
        <v>462480304706.05603</v>
      </c>
      <c r="L28" s="72">
        <f t="shared" si="2"/>
        <v>898925930940.14294</v>
      </c>
      <c r="M28" s="37">
        <f t="shared" si="3"/>
        <v>0.51448099202385933</v>
      </c>
      <c r="O28" s="1">
        <v>40724</v>
      </c>
      <c r="P28" s="37">
        <v>0.29803164102095803</v>
      </c>
      <c r="Q28">
        <v>898925930940.14294</v>
      </c>
    </row>
    <row r="29" spans="2:17">
      <c r="B29" s="60">
        <v>40731</v>
      </c>
      <c r="C29" s="37">
        <f t="shared" si="0"/>
        <v>0.70952144486954205</v>
      </c>
      <c r="D29" s="37">
        <f t="shared" si="1"/>
        <v>0.36468183111139002</v>
      </c>
      <c r="F29" s="1">
        <v>40731</v>
      </c>
      <c r="G29">
        <v>0.70952144486954205</v>
      </c>
      <c r="I29" s="1">
        <v>40731</v>
      </c>
      <c r="J29">
        <v>0.36468183111139002</v>
      </c>
      <c r="K29" s="72">
        <v>454274419000.159</v>
      </c>
      <c r="L29" s="72">
        <f t="shared" si="2"/>
        <v>896187746439.72998</v>
      </c>
      <c r="M29" s="37">
        <f t="shared" si="3"/>
        <v>0.50689648547957433</v>
      </c>
      <c r="O29" s="1">
        <v>40731</v>
      </c>
      <c r="P29" s="37">
        <v>0.246359751409859</v>
      </c>
      <c r="Q29">
        <v>896187746439.72998</v>
      </c>
    </row>
    <row r="30" spans="2:17">
      <c r="B30" s="60">
        <v>40738</v>
      </c>
      <c r="C30" s="37">
        <f t="shared" si="0"/>
        <v>0.74275012081458902</v>
      </c>
      <c r="D30" s="37">
        <f t="shared" si="1"/>
        <v>0.40333930019983799</v>
      </c>
      <c r="F30" s="1">
        <v>40738</v>
      </c>
      <c r="G30">
        <v>0.74275012081458902</v>
      </c>
      <c r="I30" s="1">
        <v>40738</v>
      </c>
      <c r="J30">
        <v>0.40333930019983799</v>
      </c>
      <c r="K30" s="72">
        <v>454274419000.159</v>
      </c>
      <c r="L30" s="72">
        <f t="shared" si="2"/>
        <v>896187746439.72998</v>
      </c>
      <c r="M30" s="37">
        <f t="shared" si="3"/>
        <v>0.50689648547957433</v>
      </c>
      <c r="O30" s="1">
        <v>40738</v>
      </c>
      <c r="P30" s="37">
        <v>0.29801285071746703</v>
      </c>
      <c r="Q30">
        <v>896187746439.72998</v>
      </c>
    </row>
    <row r="31" spans="2:17">
      <c r="B31" s="60">
        <v>40745</v>
      </c>
      <c r="C31" s="37">
        <f t="shared" si="0"/>
        <v>0.72609841989856705</v>
      </c>
      <c r="D31" s="37">
        <f t="shared" si="1"/>
        <v>0.38775372661303198</v>
      </c>
      <c r="F31" s="1">
        <v>40745</v>
      </c>
      <c r="G31">
        <v>0.72609841989856705</v>
      </c>
      <c r="I31" s="1">
        <v>40745</v>
      </c>
      <c r="J31">
        <v>0.38775372661303198</v>
      </c>
      <c r="K31" s="72">
        <v>454274419000.159</v>
      </c>
      <c r="L31" s="72">
        <f t="shared" si="2"/>
        <v>896187746439.72998</v>
      </c>
      <c r="M31" s="37">
        <f t="shared" si="3"/>
        <v>0.50689648547957433</v>
      </c>
      <c r="O31" s="1">
        <v>40745</v>
      </c>
      <c r="P31" s="37">
        <v>0.27647176144055702</v>
      </c>
      <c r="Q31">
        <v>896187746439.72998</v>
      </c>
    </row>
    <row r="32" spans="2:17">
      <c r="B32" s="60">
        <v>40752</v>
      </c>
      <c r="C32" s="37">
        <f t="shared" si="0"/>
        <v>0.72572799430629997</v>
      </c>
      <c r="D32" s="37">
        <f t="shared" si="1"/>
        <v>0.38003243735001302</v>
      </c>
      <c r="F32" s="1">
        <v>40752</v>
      </c>
      <c r="G32">
        <v>0.72572799430629997</v>
      </c>
      <c r="I32" s="1">
        <v>40752</v>
      </c>
      <c r="J32">
        <v>0.38003243735001302</v>
      </c>
      <c r="K32" s="72">
        <v>454274419000.159</v>
      </c>
      <c r="L32" s="72">
        <f t="shared" si="2"/>
        <v>896187746439.72998</v>
      </c>
      <c r="M32" s="37">
        <f t="shared" si="3"/>
        <v>0.50689648547957433</v>
      </c>
      <c r="O32" s="1">
        <v>40752</v>
      </c>
      <c r="P32" s="37">
        <v>0.26886674922653497</v>
      </c>
      <c r="Q32">
        <v>896187746439.72998</v>
      </c>
    </row>
    <row r="33" spans="2:17">
      <c r="B33" s="60">
        <v>40759</v>
      </c>
      <c r="C33" s="37">
        <f t="shared" si="0"/>
        <v>0.77903375194828495</v>
      </c>
      <c r="D33" s="37">
        <f t="shared" si="1"/>
        <v>0.44778093064805002</v>
      </c>
      <c r="F33" s="1">
        <v>40759</v>
      </c>
      <c r="G33">
        <v>0.77903375194828495</v>
      </c>
      <c r="I33" s="1">
        <v>40759</v>
      </c>
      <c r="J33">
        <v>0.44778093064805002</v>
      </c>
      <c r="K33" s="72">
        <v>446036314532.50897</v>
      </c>
      <c r="L33" s="72">
        <f t="shared" si="2"/>
        <v>896440206380.84204</v>
      </c>
      <c r="M33" s="37">
        <f t="shared" si="3"/>
        <v>0.49756393271702015</v>
      </c>
      <c r="O33" s="1">
        <v>40759</v>
      </c>
      <c r="P33" s="37">
        <v>0.35055994389214301</v>
      </c>
      <c r="Q33">
        <v>896440206380.84204</v>
      </c>
    </row>
    <row r="34" spans="2:17">
      <c r="B34" s="60">
        <v>40766</v>
      </c>
      <c r="C34" s="37">
        <f t="shared" si="0"/>
        <v>0.86382425683094299</v>
      </c>
      <c r="D34" s="37">
        <f t="shared" si="1"/>
        <v>0.52006535712284097</v>
      </c>
      <c r="F34" s="1">
        <v>40766</v>
      </c>
      <c r="G34">
        <v>0.86382425683094299</v>
      </c>
      <c r="I34" s="1">
        <v>40766</v>
      </c>
      <c r="J34">
        <v>0.52006535712284097</v>
      </c>
      <c r="K34" s="72">
        <v>446036314532.50897</v>
      </c>
      <c r="L34" s="72">
        <f t="shared" si="2"/>
        <v>896440206380.84204</v>
      </c>
      <c r="M34" s="37">
        <f t="shared" si="3"/>
        <v>0.49756393271702015</v>
      </c>
      <c r="O34" s="1">
        <v>40766</v>
      </c>
      <c r="P34" s="37">
        <v>0.44640823318837303</v>
      </c>
      <c r="Q34">
        <v>896440206380.84204</v>
      </c>
    </row>
    <row r="35" spans="2:17">
      <c r="B35" s="60">
        <v>40773</v>
      </c>
      <c r="C35" s="37">
        <f t="shared" si="0"/>
        <v>0.93211944193435403</v>
      </c>
      <c r="D35" s="37">
        <f t="shared" si="1"/>
        <v>0.58768687513124296</v>
      </c>
      <c r="F35" s="1">
        <v>40773</v>
      </c>
      <c r="G35">
        <v>0.93211944193435403</v>
      </c>
      <c r="I35" s="1">
        <v>40773</v>
      </c>
      <c r="J35">
        <v>0.58768687513124296</v>
      </c>
      <c r="K35" s="72">
        <v>446036314532.50897</v>
      </c>
      <c r="L35" s="72">
        <f t="shared" si="2"/>
        <v>896440206380.84204</v>
      </c>
      <c r="M35" s="37">
        <f t="shared" si="3"/>
        <v>0.49756393271702015</v>
      </c>
      <c r="O35" s="1">
        <v>40773</v>
      </c>
      <c r="P35" s="37">
        <v>0.53965388848865703</v>
      </c>
      <c r="Q35">
        <v>896440206380.84204</v>
      </c>
    </row>
    <row r="36" spans="2:17">
      <c r="B36" s="60">
        <v>40780</v>
      </c>
      <c r="C36" s="37">
        <f t="shared" si="0"/>
        <v>0.89991044673128795</v>
      </c>
      <c r="D36" s="37">
        <f t="shared" si="1"/>
        <v>0.55816631773039305</v>
      </c>
      <c r="F36" s="1">
        <v>40780</v>
      </c>
      <c r="G36">
        <v>0.89991044673128795</v>
      </c>
      <c r="I36" s="1">
        <v>40780</v>
      </c>
      <c r="J36">
        <v>0.55816631773039305</v>
      </c>
      <c r="K36" s="72">
        <v>446036314532.50897</v>
      </c>
      <c r="L36" s="72">
        <f t="shared" si="2"/>
        <v>896440206380.84204</v>
      </c>
      <c r="M36" s="37">
        <f t="shared" si="3"/>
        <v>0.49756393271702015</v>
      </c>
      <c r="O36" s="1">
        <v>40780</v>
      </c>
      <c r="P36" s="37">
        <v>0.49732012063845799</v>
      </c>
      <c r="Q36">
        <v>896440206380.84204</v>
      </c>
    </row>
    <row r="37" spans="2:17">
      <c r="B37" s="60">
        <v>40787</v>
      </c>
      <c r="C37" s="37">
        <f t="shared" si="0"/>
        <v>0.89921029459495505</v>
      </c>
      <c r="D37" s="37">
        <f t="shared" si="1"/>
        <v>0.56195750140436296</v>
      </c>
      <c r="F37" s="1">
        <v>40787</v>
      </c>
      <c r="G37">
        <v>0.89921029459495505</v>
      </c>
      <c r="I37" s="1">
        <v>40787</v>
      </c>
      <c r="J37">
        <v>0.56195750140436296</v>
      </c>
      <c r="K37" s="72">
        <v>436967852620.36298</v>
      </c>
      <c r="L37" s="72">
        <f t="shared" si="2"/>
        <v>895897744776.50806</v>
      </c>
      <c r="M37" s="37">
        <f t="shared" si="3"/>
        <v>0.48774299876083471</v>
      </c>
      <c r="O37" s="1">
        <v>40787</v>
      </c>
      <c r="P37" s="37">
        <v>0.49621049424249603</v>
      </c>
      <c r="Q37">
        <v>895897744776.50806</v>
      </c>
    </row>
    <row r="38" spans="2:17">
      <c r="B38" s="60">
        <v>40794</v>
      </c>
      <c r="C38" s="37">
        <f t="shared" si="0"/>
        <v>0.94885867876400498</v>
      </c>
      <c r="D38" s="37">
        <f t="shared" si="1"/>
        <v>0.60700793412000198</v>
      </c>
      <c r="F38" s="1">
        <v>40794</v>
      </c>
      <c r="G38">
        <v>0.94885867876400498</v>
      </c>
      <c r="I38" s="1">
        <v>40794</v>
      </c>
      <c r="J38">
        <v>0.60700793412000198</v>
      </c>
      <c r="K38" s="72">
        <v>436967852620.36298</v>
      </c>
      <c r="L38" s="72">
        <f t="shared" si="2"/>
        <v>895897744776.50806</v>
      </c>
      <c r="M38" s="37">
        <f t="shared" si="3"/>
        <v>0.48774299876083471</v>
      </c>
      <c r="O38" s="1">
        <v>40794</v>
      </c>
      <c r="P38" s="37">
        <v>0.56188763696413602</v>
      </c>
      <c r="Q38">
        <v>895897744776.50806</v>
      </c>
    </row>
    <row r="39" spans="2:17">
      <c r="B39" s="60">
        <v>40801</v>
      </c>
      <c r="C39" s="37">
        <f t="shared" si="0"/>
        <v>0.948919698883541</v>
      </c>
      <c r="D39" s="37">
        <f t="shared" si="1"/>
        <v>0.61032822604557502</v>
      </c>
      <c r="F39" s="1">
        <v>40801</v>
      </c>
      <c r="G39">
        <v>0.948919698883541</v>
      </c>
      <c r="I39" s="1">
        <v>40801</v>
      </c>
      <c r="J39">
        <v>0.61032822604557502</v>
      </c>
      <c r="K39" s="72">
        <v>436967852620.36298</v>
      </c>
      <c r="L39" s="72">
        <f t="shared" si="2"/>
        <v>895897744776.50806</v>
      </c>
      <c r="M39" s="37">
        <f t="shared" si="3"/>
        <v>0.48774299876083471</v>
      </c>
      <c r="O39" s="1">
        <v>40801</v>
      </c>
      <c r="P39" s="37">
        <v>0.56666393386789504</v>
      </c>
      <c r="Q39">
        <v>895897744776.50806</v>
      </c>
    </row>
    <row r="40" spans="2:17">
      <c r="B40" s="60">
        <v>40808</v>
      </c>
      <c r="C40" s="37">
        <f t="shared" si="0"/>
        <v>0.948919698883541</v>
      </c>
      <c r="D40" s="37">
        <f t="shared" si="1"/>
        <v>0.61032822604557502</v>
      </c>
      <c r="F40" s="1">
        <v>40808</v>
      </c>
      <c r="G40">
        <v>0.948919698883541</v>
      </c>
      <c r="I40" s="1">
        <v>40808</v>
      </c>
      <c r="J40">
        <v>0.61032822604557502</v>
      </c>
      <c r="K40" s="72">
        <v>436967852620.36298</v>
      </c>
      <c r="L40" s="72">
        <f t="shared" si="2"/>
        <v>895897744776.50806</v>
      </c>
      <c r="M40" s="37">
        <f t="shared" si="3"/>
        <v>0.48774299876083471</v>
      </c>
      <c r="O40" s="1">
        <v>40808</v>
      </c>
      <c r="P40" s="37">
        <v>0.56666393386789504</v>
      </c>
      <c r="Q40">
        <v>895897744776.50806</v>
      </c>
    </row>
    <row r="41" spans="2:17">
      <c r="B41" s="60">
        <v>40815</v>
      </c>
      <c r="C41" s="37">
        <f t="shared" si="0"/>
        <v>0.974512005363524</v>
      </c>
      <c r="D41" s="37">
        <f t="shared" si="1"/>
        <v>0.64853433410786498</v>
      </c>
      <c r="F41" s="1">
        <v>40815</v>
      </c>
      <c r="G41">
        <v>0.974512005363524</v>
      </c>
      <c r="I41" s="1">
        <v>40815</v>
      </c>
      <c r="J41">
        <v>0.64853433410786498</v>
      </c>
      <c r="K41" s="72">
        <v>436967852620.36298</v>
      </c>
      <c r="L41" s="72">
        <f t="shared" si="2"/>
        <v>895897744776.50806</v>
      </c>
      <c r="M41" s="37">
        <f t="shared" si="3"/>
        <v>0.48774299876083471</v>
      </c>
      <c r="O41" s="1">
        <v>40815</v>
      </c>
      <c r="P41" s="37">
        <v>0.62638177310671095</v>
      </c>
      <c r="Q41">
        <v>895897744776.50806</v>
      </c>
    </row>
    <row r="42" spans="2:17">
      <c r="B42" s="60">
        <v>40822</v>
      </c>
      <c r="C42" s="37">
        <f t="shared" si="0"/>
        <v>0.97415183550259199</v>
      </c>
      <c r="D42" s="37">
        <f t="shared" si="1"/>
        <v>0.645956259094282</v>
      </c>
      <c r="F42" s="1">
        <v>40822</v>
      </c>
      <c r="G42">
        <v>0.97415183550259199</v>
      </c>
      <c r="I42" s="1">
        <v>40822</v>
      </c>
      <c r="J42">
        <v>0.645956259094282</v>
      </c>
      <c r="K42" s="72">
        <v>426018974879.43103</v>
      </c>
      <c r="L42" s="72">
        <f t="shared" si="2"/>
        <v>890903153887.02795</v>
      </c>
      <c r="M42" s="37">
        <f t="shared" si="3"/>
        <v>0.47818775028542876</v>
      </c>
      <c r="O42" s="1">
        <v>40822</v>
      </c>
      <c r="P42" s="37">
        <v>0.61506978972280701</v>
      </c>
      <c r="Q42">
        <v>890903153887.02795</v>
      </c>
    </row>
    <row r="43" spans="2:17">
      <c r="B43" s="60">
        <v>40829</v>
      </c>
      <c r="C43" s="37">
        <f t="shared" si="0"/>
        <v>0.930833872341434</v>
      </c>
      <c r="D43" s="37">
        <f t="shared" si="1"/>
        <v>0.58447873508666104</v>
      </c>
      <c r="F43" s="1">
        <v>40829</v>
      </c>
      <c r="G43">
        <v>0.930833872341434</v>
      </c>
      <c r="I43" s="1">
        <v>40829</v>
      </c>
      <c r="J43">
        <v>0.58447873508666104</v>
      </c>
      <c r="K43" s="72">
        <v>426018974879.43103</v>
      </c>
      <c r="L43" s="72">
        <f t="shared" si="2"/>
        <v>890903153887.02795</v>
      </c>
      <c r="M43" s="37">
        <f t="shared" si="3"/>
        <v>0.47818775028542876</v>
      </c>
      <c r="O43" s="1">
        <v>40829</v>
      </c>
      <c r="P43" s="37">
        <v>0.52200302676770705</v>
      </c>
      <c r="Q43">
        <v>890903153887.02795</v>
      </c>
    </row>
    <row r="44" spans="2:17">
      <c r="B44" s="60">
        <v>40836</v>
      </c>
      <c r="C44" s="37">
        <f t="shared" si="0"/>
        <v>0.948221735508743</v>
      </c>
      <c r="D44" s="37">
        <f t="shared" si="1"/>
        <v>0.59657753136731795</v>
      </c>
      <c r="F44" s="1">
        <v>40836</v>
      </c>
      <c r="G44">
        <v>0.948221735508743</v>
      </c>
      <c r="I44" s="1">
        <v>40836</v>
      </c>
      <c r="J44">
        <v>0.59657753136731795</v>
      </c>
      <c r="K44" s="72">
        <v>426018974879.43103</v>
      </c>
      <c r="L44" s="72">
        <f t="shared" si="2"/>
        <v>890903153887.02795</v>
      </c>
      <c r="M44" s="37">
        <f t="shared" si="3"/>
        <v>0.47818775028542876</v>
      </c>
      <c r="O44" s="1">
        <v>40836</v>
      </c>
      <c r="P44" s="37">
        <v>0.54092116244187705</v>
      </c>
      <c r="Q44">
        <v>890903153887.02795</v>
      </c>
    </row>
    <row r="45" spans="2:17">
      <c r="B45" s="60">
        <v>40843</v>
      </c>
      <c r="C45" s="37">
        <f t="shared" si="0"/>
        <v>0.94825133674425999</v>
      </c>
      <c r="D45" s="37">
        <f t="shared" si="1"/>
        <v>0.59967366222938401</v>
      </c>
      <c r="F45" s="1">
        <v>40843</v>
      </c>
      <c r="G45">
        <v>0.94825133674425999</v>
      </c>
      <c r="I45" s="1">
        <v>40843</v>
      </c>
      <c r="J45">
        <v>0.59967366222938401</v>
      </c>
      <c r="K45" s="72">
        <v>426018974879.43103</v>
      </c>
      <c r="L45" s="72">
        <f t="shared" si="2"/>
        <v>890903153887.02795</v>
      </c>
      <c r="M45" s="37">
        <f t="shared" si="3"/>
        <v>0.47818775028542876</v>
      </c>
      <c r="O45" s="1">
        <v>40843</v>
      </c>
      <c r="P45" s="37">
        <v>0.54427813909906098</v>
      </c>
      <c r="Q45">
        <v>890903153887.02795</v>
      </c>
    </row>
    <row r="46" spans="2:17">
      <c r="B46" s="60">
        <v>40850</v>
      </c>
      <c r="C46" s="37">
        <f t="shared" si="0"/>
        <v>0.97363330958432404</v>
      </c>
      <c r="D46" s="37">
        <f t="shared" si="1"/>
        <v>0.63426200382067699</v>
      </c>
      <c r="F46" s="1">
        <v>40850</v>
      </c>
      <c r="G46">
        <v>0.97363330958432404</v>
      </c>
      <c r="I46" s="1">
        <v>40850</v>
      </c>
      <c r="J46">
        <v>0.63426200382067699</v>
      </c>
      <c r="K46" s="72">
        <v>412851613521.01099</v>
      </c>
      <c r="L46" s="72">
        <f t="shared" si="2"/>
        <v>880795609040.20496</v>
      </c>
      <c r="M46" s="37">
        <f t="shared" si="3"/>
        <v>0.46872578528279868</v>
      </c>
      <c r="O46" s="1">
        <v>40850</v>
      </c>
      <c r="P46" s="37">
        <v>0.59305856788240296</v>
      </c>
      <c r="Q46">
        <v>880795609040.20496</v>
      </c>
    </row>
    <row r="47" spans="2:17">
      <c r="B47" s="60">
        <v>40857</v>
      </c>
      <c r="C47" s="37">
        <f t="shared" si="0"/>
        <v>0.97363631849321397</v>
      </c>
      <c r="D47" s="37">
        <f t="shared" si="1"/>
        <v>0.63427711234699902</v>
      </c>
      <c r="F47" s="1">
        <v>40857</v>
      </c>
      <c r="G47">
        <v>0.97363631849321397</v>
      </c>
      <c r="I47" s="1">
        <v>40857</v>
      </c>
      <c r="J47">
        <v>0.63427711234699902</v>
      </c>
      <c r="K47" s="72">
        <v>412851613521.01099</v>
      </c>
      <c r="L47" s="72">
        <f t="shared" si="2"/>
        <v>880795609040.20496</v>
      </c>
      <c r="M47" s="37">
        <f t="shared" si="3"/>
        <v>0.46872578528279868</v>
      </c>
      <c r="O47" s="1">
        <v>40857</v>
      </c>
      <c r="P47" s="37">
        <v>0.59308702713551797</v>
      </c>
      <c r="Q47">
        <v>880795609040.20496</v>
      </c>
    </row>
    <row r="48" spans="2:17">
      <c r="B48" s="60">
        <v>40864</v>
      </c>
      <c r="C48" s="37">
        <f t="shared" si="0"/>
        <v>0.97363330958432404</v>
      </c>
      <c r="D48" s="37">
        <f t="shared" si="1"/>
        <v>0.63426200382067699</v>
      </c>
      <c r="F48" s="1">
        <v>40864</v>
      </c>
      <c r="G48">
        <v>0.97363330958432404</v>
      </c>
      <c r="I48" s="1">
        <v>40864</v>
      </c>
      <c r="J48">
        <v>0.63426200382067699</v>
      </c>
      <c r="K48" s="72">
        <v>412851613521.01099</v>
      </c>
      <c r="L48" s="72">
        <f t="shared" si="2"/>
        <v>880795609040.20496</v>
      </c>
      <c r="M48" s="37">
        <f t="shared" si="3"/>
        <v>0.46872578528279868</v>
      </c>
      <c r="O48" s="1">
        <v>40864</v>
      </c>
      <c r="P48" s="37">
        <v>0.59305856788240296</v>
      </c>
      <c r="Q48">
        <v>880795609040.20496</v>
      </c>
    </row>
    <row r="49" spans="2:17">
      <c r="B49" s="60">
        <v>40870</v>
      </c>
      <c r="C49" s="37">
        <f t="shared" si="0"/>
        <v>0.97364489082606698</v>
      </c>
      <c r="D49" s="37">
        <f t="shared" si="1"/>
        <v>0.635648130355292</v>
      </c>
      <c r="F49" s="1">
        <v>40870</v>
      </c>
      <c r="G49">
        <v>0.97364489082606698</v>
      </c>
      <c r="I49" s="1">
        <v>40870</v>
      </c>
      <c r="J49">
        <v>0.635648130355292</v>
      </c>
      <c r="K49" s="72">
        <v>412851613521.01099</v>
      </c>
      <c r="L49" s="72">
        <f t="shared" si="2"/>
        <v>880795609040.20496</v>
      </c>
      <c r="M49" s="37">
        <f t="shared" si="3"/>
        <v>0.46872578528279868</v>
      </c>
      <c r="O49" s="1">
        <v>40870</v>
      </c>
      <c r="P49" s="37">
        <v>0.59609102497578104</v>
      </c>
      <c r="Q49">
        <v>880795609040.20496</v>
      </c>
    </row>
    <row r="50" spans="2:17">
      <c r="B50" s="60">
        <v>40878</v>
      </c>
      <c r="C50" s="37">
        <f t="shared" si="0"/>
        <v>0.97319978848678002</v>
      </c>
      <c r="D50" s="37">
        <f t="shared" si="1"/>
        <v>0.62458539335419805</v>
      </c>
      <c r="F50" s="1">
        <v>40878</v>
      </c>
      <c r="G50">
        <v>0.97319978848678002</v>
      </c>
      <c r="I50" s="1">
        <v>40878</v>
      </c>
      <c r="J50">
        <v>0.62458539335419805</v>
      </c>
      <c r="K50" s="72">
        <v>399942599684.46997</v>
      </c>
      <c r="L50" s="72">
        <f t="shared" si="2"/>
        <v>867951071508.93604</v>
      </c>
      <c r="M50" s="37">
        <f t="shared" si="3"/>
        <v>0.46078933803165695</v>
      </c>
      <c r="O50" s="1">
        <v>40878</v>
      </c>
      <c r="P50" s="37">
        <v>0.57637470870076801</v>
      </c>
      <c r="Q50">
        <v>867951071508.93604</v>
      </c>
    </row>
    <row r="51" spans="2:17">
      <c r="B51" s="60">
        <v>40885</v>
      </c>
      <c r="C51" s="37">
        <f t="shared" si="0"/>
        <v>0.973202121427309</v>
      </c>
      <c r="D51" s="37">
        <f t="shared" si="1"/>
        <v>0.62459894340621602</v>
      </c>
      <c r="F51" s="1">
        <v>40885</v>
      </c>
      <c r="G51">
        <v>0.973202121427309</v>
      </c>
      <c r="I51" s="1">
        <v>40885</v>
      </c>
      <c r="J51">
        <v>0.62459894340621602</v>
      </c>
      <c r="K51" s="72">
        <v>399942599684.46997</v>
      </c>
      <c r="L51" s="72">
        <f t="shared" si="2"/>
        <v>867951071508.93604</v>
      </c>
      <c r="M51" s="37">
        <f t="shared" si="3"/>
        <v>0.46078933803165695</v>
      </c>
      <c r="O51" s="1">
        <v>40885</v>
      </c>
      <c r="P51" s="37">
        <v>0.576401990986944</v>
      </c>
      <c r="Q51">
        <v>867951071508.93604</v>
      </c>
    </row>
    <row r="52" spans="2:17">
      <c r="B52" s="60">
        <v>40892</v>
      </c>
      <c r="C52" s="37">
        <f t="shared" si="0"/>
        <v>0.97322297014224102</v>
      </c>
      <c r="D52" s="37">
        <f t="shared" si="1"/>
        <v>0.62737303113999399</v>
      </c>
      <c r="F52" s="1">
        <v>40892</v>
      </c>
      <c r="G52">
        <v>0.97322297014224102</v>
      </c>
      <c r="I52" s="1">
        <v>40892</v>
      </c>
      <c r="J52">
        <v>0.62737303113999399</v>
      </c>
      <c r="K52" s="72">
        <v>399942599684.46997</v>
      </c>
      <c r="L52" s="72">
        <f t="shared" si="2"/>
        <v>867951071508.93604</v>
      </c>
      <c r="M52" s="37">
        <f t="shared" si="3"/>
        <v>0.46078933803165695</v>
      </c>
      <c r="O52" s="1">
        <v>40892</v>
      </c>
      <c r="P52" s="37">
        <v>0.58069452065626503</v>
      </c>
      <c r="Q52">
        <v>867951071508.93604</v>
      </c>
    </row>
    <row r="53" spans="2:17">
      <c r="B53" s="60">
        <v>40899</v>
      </c>
      <c r="C53" s="37">
        <f t="shared" si="0"/>
        <v>0.98378393141539</v>
      </c>
      <c r="D53" s="37">
        <f t="shared" si="1"/>
        <v>0.64767108993784595</v>
      </c>
      <c r="F53" s="1">
        <v>40899</v>
      </c>
      <c r="G53">
        <v>0.98378393141539</v>
      </c>
      <c r="I53" s="1">
        <v>40899</v>
      </c>
      <c r="J53">
        <v>0.64767108993784595</v>
      </c>
      <c r="K53" s="72">
        <v>399942599684.46997</v>
      </c>
      <c r="L53" s="72">
        <f t="shared" si="2"/>
        <v>867951071508.93604</v>
      </c>
      <c r="M53" s="37">
        <f t="shared" si="3"/>
        <v>0.46078933803165695</v>
      </c>
      <c r="O53" s="1">
        <v>40899</v>
      </c>
      <c r="P53" s="37">
        <v>0.61774760876460899</v>
      </c>
      <c r="Q53">
        <v>867951071508.93604</v>
      </c>
    </row>
    <row r="54" spans="2:17">
      <c r="B54" s="60">
        <v>40906</v>
      </c>
      <c r="C54" s="37">
        <f t="shared" si="0"/>
        <v>0.98374645848449505</v>
      </c>
      <c r="D54" s="37">
        <f t="shared" si="1"/>
        <v>0.63728428479421295</v>
      </c>
      <c r="F54" s="1">
        <v>40906</v>
      </c>
      <c r="G54">
        <v>0.98374645848449505</v>
      </c>
      <c r="I54" s="1">
        <v>40906</v>
      </c>
      <c r="J54">
        <v>0.63728428479421295</v>
      </c>
      <c r="K54" s="72">
        <v>399942599684.46997</v>
      </c>
      <c r="L54" s="72">
        <f t="shared" si="2"/>
        <v>867951071508.93604</v>
      </c>
      <c r="M54" s="37">
        <f t="shared" si="3"/>
        <v>0.46078933803165695</v>
      </c>
      <c r="O54" s="1">
        <v>40906</v>
      </c>
      <c r="P54" s="37">
        <v>0.60388415088067304</v>
      </c>
      <c r="Q54">
        <v>867951071508.93604</v>
      </c>
    </row>
    <row r="55" spans="2:17">
      <c r="B55" s="60">
        <v>40913</v>
      </c>
      <c r="C55" s="37">
        <f t="shared" si="0"/>
        <v>0.98350298040027295</v>
      </c>
      <c r="D55" s="37">
        <f t="shared" si="1"/>
        <v>0.63473367433484096</v>
      </c>
      <c r="F55" s="1">
        <v>40913</v>
      </c>
      <c r="G55">
        <v>0.98350298040027295</v>
      </c>
      <c r="I55" s="1">
        <v>40913</v>
      </c>
      <c r="J55">
        <v>0.63473367433484096</v>
      </c>
      <c r="K55" s="72">
        <v>388008884102.70697</v>
      </c>
      <c r="L55" s="72">
        <f t="shared" si="2"/>
        <v>862642562832.45898</v>
      </c>
      <c r="M55" s="37">
        <f t="shared" si="3"/>
        <v>0.44979102680569383</v>
      </c>
      <c r="O55" s="1">
        <v>40913</v>
      </c>
      <c r="P55" s="37">
        <v>0.593301159685788</v>
      </c>
      <c r="Q55">
        <v>862642562832.45898</v>
      </c>
    </row>
    <row r="56" spans="2:17">
      <c r="B56" s="60">
        <v>40920</v>
      </c>
      <c r="C56" s="37">
        <f t="shared" si="0"/>
        <v>0.983519920596025</v>
      </c>
      <c r="D56" s="37">
        <f t="shared" si="1"/>
        <v>0.64586810672947803</v>
      </c>
      <c r="F56" s="1">
        <v>40920</v>
      </c>
      <c r="G56">
        <v>0.983519920596025</v>
      </c>
      <c r="I56" s="1">
        <v>40920</v>
      </c>
      <c r="J56">
        <v>0.64586810672947803</v>
      </c>
      <c r="K56" s="72">
        <v>388008884102.70697</v>
      </c>
      <c r="L56" s="72">
        <f t="shared" si="2"/>
        <v>862642562832.45898</v>
      </c>
      <c r="M56" s="37">
        <f t="shared" si="3"/>
        <v>0.44979102680569383</v>
      </c>
      <c r="O56" s="1">
        <v>40920</v>
      </c>
      <c r="P56" s="37">
        <v>0.61007610137748602</v>
      </c>
      <c r="Q56">
        <v>862642562832.45898</v>
      </c>
    </row>
    <row r="57" spans="2:17">
      <c r="B57" s="60">
        <v>40927</v>
      </c>
      <c r="C57" s="37">
        <f t="shared" si="0"/>
        <v>0.98351461374668603</v>
      </c>
      <c r="D57" s="37">
        <f t="shared" si="1"/>
        <v>0.64423993013390601</v>
      </c>
      <c r="F57" s="1">
        <v>40927</v>
      </c>
      <c r="G57">
        <v>0.98351461374668603</v>
      </c>
      <c r="I57" s="1">
        <v>40927</v>
      </c>
      <c r="J57">
        <v>0.64423993013390601</v>
      </c>
      <c r="K57" s="72">
        <v>388008884102.70697</v>
      </c>
      <c r="L57" s="72">
        <f t="shared" si="2"/>
        <v>862642562832.45898</v>
      </c>
      <c r="M57" s="37">
        <f t="shared" si="3"/>
        <v>0.44979102680569383</v>
      </c>
      <c r="O57" s="1">
        <v>40927</v>
      </c>
      <c r="P57" s="37">
        <v>0.60754881711583097</v>
      </c>
      <c r="Q57">
        <v>862642562832.45898</v>
      </c>
    </row>
    <row r="58" spans="2:17">
      <c r="B58" s="60">
        <v>40934</v>
      </c>
      <c r="C58" s="37">
        <f t="shared" si="0"/>
        <v>0.97286189980816695</v>
      </c>
      <c r="D58" s="37">
        <f t="shared" si="1"/>
        <v>0.62201051152227504</v>
      </c>
      <c r="F58" s="1">
        <v>40934</v>
      </c>
      <c r="G58">
        <v>0.97286189980816695</v>
      </c>
      <c r="I58" s="1">
        <v>40934</v>
      </c>
      <c r="J58">
        <v>0.62201051152227504</v>
      </c>
      <c r="K58" s="72">
        <v>388008884102.70697</v>
      </c>
      <c r="L58" s="72">
        <f t="shared" si="2"/>
        <v>862642562832.45898</v>
      </c>
      <c r="M58" s="37">
        <f t="shared" si="3"/>
        <v>0.44979102680569383</v>
      </c>
      <c r="O58" s="1">
        <v>40934</v>
      </c>
      <c r="P58" s="37">
        <v>0.56757815274844003</v>
      </c>
      <c r="Q58">
        <v>862642562832.45898</v>
      </c>
    </row>
    <row r="59" spans="2:17">
      <c r="B59" s="60">
        <v>40941</v>
      </c>
      <c r="C59" s="37">
        <f t="shared" si="0"/>
        <v>0.98329981748947404</v>
      </c>
      <c r="D59" s="37">
        <f t="shared" si="1"/>
        <v>0.64005936276544695</v>
      </c>
      <c r="F59" s="1">
        <v>40941</v>
      </c>
      <c r="G59">
        <v>0.98329981748947404</v>
      </c>
      <c r="I59" s="1">
        <v>40941</v>
      </c>
      <c r="J59">
        <v>0.64005936276544695</v>
      </c>
      <c r="K59" s="72">
        <v>377010024939.07202</v>
      </c>
      <c r="L59" s="72">
        <f t="shared" si="2"/>
        <v>865283651280.50305</v>
      </c>
      <c r="M59" s="37">
        <f t="shared" si="3"/>
        <v>0.43570686257754676</v>
      </c>
      <c r="O59" s="1">
        <v>40941</v>
      </c>
      <c r="P59" s="37">
        <v>0.59021628278930105</v>
      </c>
      <c r="Q59">
        <v>865283651280.50305</v>
      </c>
    </row>
    <row r="60" spans="2:17">
      <c r="B60" s="60">
        <v>40948</v>
      </c>
      <c r="C60" s="37">
        <f t="shared" si="0"/>
        <v>0.98329981748947404</v>
      </c>
      <c r="D60" s="37">
        <f t="shared" si="1"/>
        <v>0.64005936276544695</v>
      </c>
      <c r="F60" s="1">
        <v>40948</v>
      </c>
      <c r="G60">
        <v>0.98329981748947404</v>
      </c>
      <c r="I60" s="1">
        <v>40948</v>
      </c>
      <c r="J60">
        <v>0.64005936276544695</v>
      </c>
      <c r="K60" s="72">
        <v>377010024939.07202</v>
      </c>
      <c r="L60" s="72">
        <f t="shared" si="2"/>
        <v>865283651280.50305</v>
      </c>
      <c r="M60" s="37">
        <f t="shared" si="3"/>
        <v>0.43570686257754676</v>
      </c>
      <c r="O60" s="1">
        <v>40948</v>
      </c>
      <c r="P60" s="37">
        <v>0.59021628278930105</v>
      </c>
      <c r="Q60">
        <v>865283651280.50305</v>
      </c>
    </row>
    <row r="61" spans="2:17">
      <c r="B61" s="60">
        <v>40955</v>
      </c>
      <c r="C61" s="37">
        <f t="shared" si="0"/>
        <v>0.98329981748947404</v>
      </c>
      <c r="D61" s="37">
        <f t="shared" si="1"/>
        <v>0.64005936276544695</v>
      </c>
      <c r="F61" s="1">
        <v>40955</v>
      </c>
      <c r="G61">
        <v>0.98329981748947404</v>
      </c>
      <c r="I61" s="1">
        <v>40955</v>
      </c>
      <c r="J61">
        <v>0.64005936276544695</v>
      </c>
      <c r="K61" s="72">
        <v>377010024939.07202</v>
      </c>
      <c r="L61" s="72">
        <f t="shared" si="2"/>
        <v>865283651280.50305</v>
      </c>
      <c r="M61" s="37">
        <f t="shared" si="3"/>
        <v>0.43570686257754676</v>
      </c>
      <c r="O61" s="1">
        <v>40955</v>
      </c>
      <c r="P61" s="37">
        <v>0.59021628278930105</v>
      </c>
      <c r="Q61">
        <v>865283651280.50305</v>
      </c>
    </row>
    <row r="62" spans="2:17">
      <c r="B62" s="60">
        <v>40962</v>
      </c>
      <c r="C62" s="37">
        <f t="shared" si="0"/>
        <v>0.97253147097901604</v>
      </c>
      <c r="D62" s="37">
        <f t="shared" si="1"/>
        <v>0.61808643863248902</v>
      </c>
      <c r="F62" s="1">
        <v>40962</v>
      </c>
      <c r="G62">
        <v>0.97253147097901604</v>
      </c>
      <c r="I62" s="1">
        <v>40962</v>
      </c>
      <c r="J62">
        <v>0.61808643863248902</v>
      </c>
      <c r="K62" s="72">
        <v>377010024939.07202</v>
      </c>
      <c r="L62" s="72">
        <f t="shared" si="2"/>
        <v>865283651280.50305</v>
      </c>
      <c r="M62" s="37">
        <f t="shared" si="3"/>
        <v>0.43570686257754676</v>
      </c>
      <c r="O62" s="1">
        <v>40962</v>
      </c>
      <c r="P62" s="37">
        <v>0.55038966954359303</v>
      </c>
      <c r="Q62">
        <v>865283651280.50305</v>
      </c>
    </row>
    <row r="63" spans="2:17">
      <c r="B63" s="60">
        <v>40969</v>
      </c>
      <c r="C63" s="37">
        <f t="shared" si="0"/>
        <v>0.98307098130391601</v>
      </c>
      <c r="D63" s="37">
        <f t="shared" si="1"/>
        <v>0.62796244692019199</v>
      </c>
      <c r="F63" s="1">
        <v>40969</v>
      </c>
      <c r="G63">
        <v>0.98307098130391601</v>
      </c>
      <c r="I63" s="1">
        <v>40969</v>
      </c>
      <c r="J63">
        <v>0.62796244692019199</v>
      </c>
      <c r="K63" s="72">
        <v>364462334224.22998</v>
      </c>
      <c r="L63" s="72">
        <f t="shared" si="2"/>
        <v>861190703554.85706</v>
      </c>
      <c r="M63" s="37">
        <f t="shared" si="3"/>
        <v>0.42320746464144116</v>
      </c>
      <c r="O63" s="1">
        <v>40969</v>
      </c>
      <c r="P63" s="37">
        <v>0.56168586846910595</v>
      </c>
      <c r="Q63">
        <v>861190703554.85706</v>
      </c>
    </row>
    <row r="64" spans="2:17">
      <c r="B64" s="60">
        <v>40976</v>
      </c>
      <c r="C64" s="37">
        <f t="shared" si="0"/>
        <v>0.98308116533178702</v>
      </c>
      <c r="D64" s="37">
        <f t="shared" si="1"/>
        <v>0.63624058874854394</v>
      </c>
      <c r="F64" s="1">
        <v>40976</v>
      </c>
      <c r="G64">
        <v>0.98308116533178702</v>
      </c>
      <c r="I64" s="1">
        <v>40976</v>
      </c>
      <c r="J64">
        <v>0.63624058874854394</v>
      </c>
      <c r="K64" s="72">
        <v>364462334224.22998</v>
      </c>
      <c r="L64" s="72">
        <f t="shared" si="2"/>
        <v>861190703554.85706</v>
      </c>
      <c r="M64" s="37">
        <f t="shared" si="3"/>
        <v>0.42320746464144116</v>
      </c>
      <c r="O64" s="1">
        <v>40976</v>
      </c>
      <c r="P64" s="37">
        <v>0.57507010563023897</v>
      </c>
      <c r="Q64">
        <v>861190703554.85706</v>
      </c>
    </row>
    <row r="65" spans="2:17">
      <c r="B65" s="60">
        <v>40983</v>
      </c>
      <c r="C65" s="37">
        <f t="shared" si="0"/>
        <v>0.98304412035651201</v>
      </c>
      <c r="D65" s="37">
        <f t="shared" si="1"/>
        <v>0.62572384062849695</v>
      </c>
      <c r="F65" s="1">
        <v>40983</v>
      </c>
      <c r="G65">
        <v>0.98304412035651201</v>
      </c>
      <c r="I65" s="1">
        <v>40983</v>
      </c>
      <c r="J65">
        <v>0.62572384062849695</v>
      </c>
      <c r="K65" s="72">
        <v>364462334224.22998</v>
      </c>
      <c r="L65" s="72">
        <f t="shared" si="2"/>
        <v>861190703554.85706</v>
      </c>
      <c r="M65" s="37">
        <f t="shared" si="3"/>
        <v>0.42320746464144116</v>
      </c>
      <c r="O65" s="1">
        <v>40983</v>
      </c>
      <c r="P65" s="37">
        <v>0.56062904678556602</v>
      </c>
      <c r="Q65">
        <v>861190703554.85706</v>
      </c>
    </row>
    <row r="66" spans="2:17">
      <c r="B66" s="60">
        <v>40990</v>
      </c>
      <c r="C66" s="37">
        <f t="shared" si="0"/>
        <v>0.94621671624645198</v>
      </c>
      <c r="D66" s="37">
        <f t="shared" si="1"/>
        <v>0.57002458854182303</v>
      </c>
      <c r="F66" s="1">
        <v>40990</v>
      </c>
      <c r="G66">
        <v>0.94621671624645198</v>
      </c>
      <c r="I66" s="1">
        <v>40990</v>
      </c>
      <c r="J66">
        <v>0.57002458854182303</v>
      </c>
      <c r="K66" s="72">
        <v>364462334224.22998</v>
      </c>
      <c r="L66" s="72">
        <f t="shared" si="2"/>
        <v>861190703554.85706</v>
      </c>
      <c r="M66" s="37">
        <f t="shared" si="3"/>
        <v>0.42320746464144116</v>
      </c>
      <c r="O66" s="1">
        <v>40990</v>
      </c>
      <c r="P66" s="37">
        <v>0.47083078789486099</v>
      </c>
      <c r="Q66">
        <v>861190703554.85706</v>
      </c>
    </row>
    <row r="67" spans="2:17">
      <c r="B67" s="60">
        <v>40997</v>
      </c>
      <c r="C67" s="37">
        <f t="shared" si="0"/>
        <v>0.97221317553099895</v>
      </c>
      <c r="D67" s="37">
        <f t="shared" si="1"/>
        <v>0.613026013245069</v>
      </c>
      <c r="F67" s="1">
        <v>40997</v>
      </c>
      <c r="G67">
        <v>0.97221317553099895</v>
      </c>
      <c r="I67" s="1">
        <v>40997</v>
      </c>
      <c r="J67">
        <v>0.613026013245069</v>
      </c>
      <c r="K67" s="72">
        <v>364462334224.22998</v>
      </c>
      <c r="L67" s="72">
        <f t="shared" si="2"/>
        <v>861190703554.85706</v>
      </c>
      <c r="M67" s="37">
        <f t="shared" si="3"/>
        <v>0.42320746464144116</v>
      </c>
      <c r="O67" s="1">
        <v>40997</v>
      </c>
      <c r="P67" s="37">
        <v>0.53275480546964904</v>
      </c>
      <c r="Q67">
        <v>861190703554.85706</v>
      </c>
    </row>
    <row r="68" spans="2:17">
      <c r="B68" s="60">
        <v>41004</v>
      </c>
      <c r="C68" s="37">
        <f t="shared" ref="C68:C131" si="4">VLOOKUP(B68,F:G,2,0)</f>
        <v>0.972659113561122</v>
      </c>
      <c r="D68" s="37">
        <f t="shared" ref="D68:D131" si="5">VLOOKUP(B68,I:J,2,0)</f>
        <v>0.64462607137328098</v>
      </c>
      <c r="F68" s="1">
        <v>41004</v>
      </c>
      <c r="G68">
        <v>0.972659113561122</v>
      </c>
      <c r="I68" s="1">
        <v>41004</v>
      </c>
      <c r="J68">
        <v>0.64462607137328098</v>
      </c>
      <c r="K68" s="72">
        <v>350890768985.05603</v>
      </c>
      <c r="L68" s="72">
        <f t="shared" ref="L68:L131" si="6">VLOOKUP(I68,O:Q,3,0)</f>
        <v>852751932022.53503</v>
      </c>
      <c r="M68" s="37">
        <f t="shared" ref="M68:M131" si="7">K68/L68*100%</f>
        <v>0.41148047375609265</v>
      </c>
      <c r="O68" s="1">
        <v>41004</v>
      </c>
      <c r="P68" s="37">
        <v>0.55204144089130602</v>
      </c>
      <c r="Q68">
        <v>852751932022.53503</v>
      </c>
    </row>
    <row r="69" spans="2:17">
      <c r="B69" s="60">
        <v>41011</v>
      </c>
      <c r="C69" s="37">
        <f t="shared" si="4"/>
        <v>0.98910284855503505</v>
      </c>
      <c r="D69" s="37">
        <f t="shared" si="5"/>
        <v>0.67706909583525099</v>
      </c>
      <c r="F69" s="1">
        <v>41011</v>
      </c>
      <c r="G69">
        <v>0.98910284855503505</v>
      </c>
      <c r="I69" s="1">
        <v>41011</v>
      </c>
      <c r="J69">
        <v>0.67706909583525099</v>
      </c>
      <c r="K69" s="72">
        <v>350890768985.05603</v>
      </c>
      <c r="L69" s="72">
        <f t="shared" si="6"/>
        <v>852751932022.53503</v>
      </c>
      <c r="M69" s="37">
        <f t="shared" si="7"/>
        <v>0.41148047375609265</v>
      </c>
      <c r="O69" s="1">
        <v>41011</v>
      </c>
      <c r="P69" s="37">
        <v>0.61520517788323903</v>
      </c>
      <c r="Q69">
        <v>852751932022.53503</v>
      </c>
    </row>
    <row r="70" spans="2:17">
      <c r="B70" s="60">
        <v>41018</v>
      </c>
      <c r="C70" s="37">
        <f t="shared" si="4"/>
        <v>0.98328533943875196</v>
      </c>
      <c r="D70" s="37">
        <f t="shared" si="5"/>
        <v>0.65838549683501602</v>
      </c>
      <c r="F70" s="1">
        <v>41018</v>
      </c>
      <c r="G70">
        <v>0.98328533943875196</v>
      </c>
      <c r="I70" s="1">
        <v>41018</v>
      </c>
      <c r="J70">
        <v>0.65838549683501602</v>
      </c>
      <c r="K70" s="72">
        <v>350890768985.05603</v>
      </c>
      <c r="L70" s="72">
        <f t="shared" si="6"/>
        <v>852751932022.53503</v>
      </c>
      <c r="M70" s="37">
        <f t="shared" si="7"/>
        <v>0.41148047375609265</v>
      </c>
      <c r="O70" s="1">
        <v>41018</v>
      </c>
      <c r="P70" s="37">
        <v>0.57950169097067294</v>
      </c>
      <c r="Q70">
        <v>852751932022.53503</v>
      </c>
    </row>
    <row r="71" spans="2:17">
      <c r="B71" s="60">
        <v>41025</v>
      </c>
      <c r="C71" s="37">
        <f t="shared" si="4"/>
        <v>0.98910284855503505</v>
      </c>
      <c r="D71" s="37">
        <f t="shared" si="5"/>
        <v>0.67706909583525099</v>
      </c>
      <c r="F71" s="1">
        <v>41025</v>
      </c>
      <c r="G71">
        <v>0.98910284855503505</v>
      </c>
      <c r="I71" s="1">
        <v>41025</v>
      </c>
      <c r="J71">
        <v>0.67706909583525099</v>
      </c>
      <c r="K71" s="72">
        <v>350890768985.05603</v>
      </c>
      <c r="L71" s="72">
        <f t="shared" si="6"/>
        <v>852751932022.53503</v>
      </c>
      <c r="M71" s="37">
        <f t="shared" si="7"/>
        <v>0.41148047375609265</v>
      </c>
      <c r="O71" s="1">
        <v>41025</v>
      </c>
      <c r="P71" s="37">
        <v>0.61520517788323903</v>
      </c>
      <c r="Q71">
        <v>852751932022.53503</v>
      </c>
    </row>
    <row r="72" spans="2:17">
      <c r="B72" s="60">
        <v>41032</v>
      </c>
      <c r="C72" s="37">
        <f t="shared" si="4"/>
        <v>0.98918794291197698</v>
      </c>
      <c r="D72" s="37">
        <f t="shared" si="5"/>
        <v>0.70759479979039797</v>
      </c>
      <c r="F72" s="1">
        <v>41032</v>
      </c>
      <c r="G72">
        <v>0.98918794291197698</v>
      </c>
      <c r="I72" s="1">
        <v>41032</v>
      </c>
      <c r="J72">
        <v>0.70759479979039797</v>
      </c>
      <c r="K72" s="72">
        <v>338046228672.72302</v>
      </c>
      <c r="L72" s="72">
        <f t="shared" si="6"/>
        <v>843407158052.96497</v>
      </c>
      <c r="M72" s="37">
        <f t="shared" si="7"/>
        <v>0.40081024383657665</v>
      </c>
      <c r="O72" s="1">
        <v>41032</v>
      </c>
      <c r="P72" s="37">
        <v>0.63172398565884802</v>
      </c>
      <c r="Q72">
        <v>843407158052.96497</v>
      </c>
    </row>
    <row r="73" spans="2:17">
      <c r="B73" s="60">
        <v>41039</v>
      </c>
      <c r="C73" s="37">
        <f t="shared" si="4"/>
        <v>0.98919709187808802</v>
      </c>
      <c r="D73" s="37">
        <f t="shared" si="5"/>
        <v>0.71147773162473305</v>
      </c>
      <c r="F73" s="1">
        <v>41039</v>
      </c>
      <c r="G73">
        <v>0.98919709187808802</v>
      </c>
      <c r="I73" s="1">
        <v>41039</v>
      </c>
      <c r="J73">
        <v>0.71147773162473305</v>
      </c>
      <c r="K73" s="72">
        <v>338046228672.72302</v>
      </c>
      <c r="L73" s="72">
        <f t="shared" si="6"/>
        <v>843407158052.96497</v>
      </c>
      <c r="M73" s="37">
        <f t="shared" si="7"/>
        <v>0.40081024383657665</v>
      </c>
      <c r="O73" s="1">
        <v>41039</v>
      </c>
      <c r="P73" s="37">
        <v>0.63749716402095902</v>
      </c>
      <c r="Q73">
        <v>843407158052.96497</v>
      </c>
    </row>
    <row r="74" spans="2:17">
      <c r="B74" s="60">
        <v>41046</v>
      </c>
      <c r="C74" s="37">
        <f t="shared" si="4"/>
        <v>0.99452879876186695</v>
      </c>
      <c r="D74" s="37">
        <f t="shared" si="5"/>
        <v>0.72048705417655701</v>
      </c>
      <c r="F74" s="1">
        <v>41046</v>
      </c>
      <c r="G74">
        <v>0.99452879876186695</v>
      </c>
      <c r="I74" s="1">
        <v>41046</v>
      </c>
      <c r="J74">
        <v>0.72048705417655701</v>
      </c>
      <c r="K74" s="72">
        <v>338046228672.72302</v>
      </c>
      <c r="L74" s="72">
        <f t="shared" si="6"/>
        <v>843407158052.96497</v>
      </c>
      <c r="M74" s="37">
        <f t="shared" si="7"/>
        <v>0.40081024383657665</v>
      </c>
      <c r="O74" s="1">
        <v>41046</v>
      </c>
      <c r="P74" s="37">
        <v>0.66549419163978096</v>
      </c>
      <c r="Q74">
        <v>843407158052.96497</v>
      </c>
    </row>
    <row r="75" spans="2:17">
      <c r="B75" s="60">
        <v>41053</v>
      </c>
      <c r="C75" s="37">
        <f t="shared" si="4"/>
        <v>0.994528175384642</v>
      </c>
      <c r="D75" s="37">
        <f t="shared" si="5"/>
        <v>0.71747083126455002</v>
      </c>
      <c r="F75" s="1">
        <v>41053</v>
      </c>
      <c r="G75">
        <v>0.994528175384642</v>
      </c>
      <c r="I75" s="1">
        <v>41053</v>
      </c>
      <c r="J75">
        <v>0.71747083126455002</v>
      </c>
      <c r="K75" s="72">
        <v>338046228672.72302</v>
      </c>
      <c r="L75" s="72">
        <f t="shared" si="6"/>
        <v>843407158052.96497</v>
      </c>
      <c r="M75" s="37">
        <f t="shared" si="7"/>
        <v>0.40081024383657665</v>
      </c>
      <c r="O75" s="1">
        <v>41053</v>
      </c>
      <c r="P75" s="37">
        <v>0.66148107330138095</v>
      </c>
      <c r="Q75">
        <v>843407158052.96497</v>
      </c>
    </row>
    <row r="76" spans="2:17">
      <c r="B76" s="60">
        <v>41060</v>
      </c>
      <c r="C76" s="37">
        <f t="shared" si="4"/>
        <v>0.99453076174602095</v>
      </c>
      <c r="D76" s="37">
        <f t="shared" si="5"/>
        <v>0.72251040855348803</v>
      </c>
      <c r="F76" s="1">
        <v>41060</v>
      </c>
      <c r="G76">
        <v>0.99453076174602095</v>
      </c>
      <c r="I76" s="1">
        <v>41060</v>
      </c>
      <c r="J76">
        <v>0.72251040855348803</v>
      </c>
      <c r="K76" s="72">
        <v>338046228672.72302</v>
      </c>
      <c r="L76" s="72">
        <f t="shared" si="6"/>
        <v>843407158052.96497</v>
      </c>
      <c r="M76" s="37">
        <f t="shared" si="7"/>
        <v>0.40081024383657665</v>
      </c>
      <c r="O76" s="1">
        <v>41060</v>
      </c>
      <c r="P76" s="37">
        <v>0.66816368917970903</v>
      </c>
      <c r="Q76">
        <v>843407158052.96497</v>
      </c>
    </row>
    <row r="77" spans="2:17">
      <c r="B77" s="60">
        <v>41067</v>
      </c>
      <c r="C77" s="37">
        <f t="shared" si="4"/>
        <v>0.99920990822137301</v>
      </c>
      <c r="D77" s="37">
        <f t="shared" si="5"/>
        <v>0.76469548566159196</v>
      </c>
      <c r="F77" s="1">
        <v>41067</v>
      </c>
      <c r="G77">
        <v>0.99920990822137301</v>
      </c>
      <c r="I77" s="1">
        <v>41067</v>
      </c>
      <c r="J77">
        <v>0.76469548566159196</v>
      </c>
      <c r="K77" s="72">
        <v>324611094201.94598</v>
      </c>
      <c r="L77" s="72">
        <f t="shared" si="6"/>
        <v>842987221871.99902</v>
      </c>
      <c r="M77" s="37">
        <f t="shared" si="7"/>
        <v>0.38507237806178235</v>
      </c>
      <c r="O77" s="1">
        <v>41067</v>
      </c>
      <c r="P77" s="37">
        <v>0.72131165820460796</v>
      </c>
      <c r="Q77">
        <v>842987221871.99902</v>
      </c>
    </row>
    <row r="78" spans="2:17">
      <c r="B78" s="60">
        <v>41074</v>
      </c>
      <c r="C78" s="37">
        <f t="shared" si="4"/>
        <v>0.99750984999361303</v>
      </c>
      <c r="D78" s="37">
        <f t="shared" si="5"/>
        <v>0.75970865346687</v>
      </c>
      <c r="F78" s="1">
        <v>41074</v>
      </c>
      <c r="G78">
        <v>0.99750984999361303</v>
      </c>
      <c r="I78" s="1">
        <v>41074</v>
      </c>
      <c r="J78">
        <v>0.75970865346687</v>
      </c>
      <c r="K78" s="72">
        <v>324611094201.94598</v>
      </c>
      <c r="L78" s="72">
        <f t="shared" si="6"/>
        <v>842987221871.99902</v>
      </c>
      <c r="M78" s="37">
        <f t="shared" si="7"/>
        <v>0.38507237806178235</v>
      </c>
      <c r="O78" s="1">
        <v>41074</v>
      </c>
      <c r="P78" s="37">
        <v>0.70163931577382499</v>
      </c>
      <c r="Q78">
        <v>842987221871.99902</v>
      </c>
    </row>
    <row r="79" spans="2:17">
      <c r="B79" s="60">
        <v>41081</v>
      </c>
      <c r="C79" s="37">
        <f t="shared" si="4"/>
        <v>0.99920990822137301</v>
      </c>
      <c r="D79" s="37">
        <f t="shared" si="5"/>
        <v>0.76601871584032599</v>
      </c>
      <c r="F79" s="1">
        <v>41081</v>
      </c>
      <c r="G79">
        <v>0.99920990822137301</v>
      </c>
      <c r="I79" s="1">
        <v>41081</v>
      </c>
      <c r="J79">
        <v>0.76601871584032599</v>
      </c>
      <c r="K79" s="72">
        <v>324611094201.94598</v>
      </c>
      <c r="L79" s="72">
        <f t="shared" si="6"/>
        <v>842987221871.99902</v>
      </c>
      <c r="M79" s="37">
        <f t="shared" si="7"/>
        <v>0.38507237806178235</v>
      </c>
      <c r="O79" s="1">
        <v>41081</v>
      </c>
      <c r="P79" s="37">
        <v>0.72329670850826999</v>
      </c>
      <c r="Q79">
        <v>842987221871.99902</v>
      </c>
    </row>
    <row r="80" spans="2:17">
      <c r="B80" s="60">
        <v>41088</v>
      </c>
      <c r="C80" s="37">
        <f t="shared" si="4"/>
        <v>0.99920990822137301</v>
      </c>
      <c r="D80" s="37">
        <f t="shared" si="5"/>
        <v>0.76601871584032599</v>
      </c>
      <c r="F80" s="1">
        <v>41088</v>
      </c>
      <c r="G80">
        <v>0.99920990822137301</v>
      </c>
      <c r="I80" s="1">
        <v>41088</v>
      </c>
      <c r="J80">
        <v>0.76601871584032599</v>
      </c>
      <c r="K80" s="72">
        <v>324611094201.94598</v>
      </c>
      <c r="L80" s="72">
        <f t="shared" si="6"/>
        <v>842987221871.99902</v>
      </c>
      <c r="M80" s="37">
        <f t="shared" si="7"/>
        <v>0.38507237806178235</v>
      </c>
      <c r="O80" s="1">
        <v>41088</v>
      </c>
      <c r="P80" s="37">
        <v>0.72329670850826999</v>
      </c>
      <c r="Q80">
        <v>842987221871.99902</v>
      </c>
    </row>
    <row r="81" spans="2:17">
      <c r="B81" s="60">
        <v>41095</v>
      </c>
      <c r="C81" s="37">
        <f t="shared" si="4"/>
        <v>0.99921052750741601</v>
      </c>
      <c r="D81" s="37">
        <f t="shared" si="5"/>
        <v>0.77656524470940902</v>
      </c>
      <c r="F81" s="1">
        <v>41095</v>
      </c>
      <c r="G81">
        <v>0.99921052750741601</v>
      </c>
      <c r="I81" s="1">
        <v>41095</v>
      </c>
      <c r="J81">
        <v>0.77656524470940902</v>
      </c>
      <c r="K81" s="72">
        <v>311798813958.06299</v>
      </c>
      <c r="L81" s="72">
        <f t="shared" si="6"/>
        <v>836042456950.479</v>
      </c>
      <c r="M81" s="37">
        <f t="shared" si="7"/>
        <v>0.37294614808842375</v>
      </c>
      <c r="O81" s="1">
        <v>41095</v>
      </c>
      <c r="P81" s="37">
        <v>0.72001119292013904</v>
      </c>
      <c r="Q81">
        <v>836042456950.479</v>
      </c>
    </row>
    <row r="82" spans="2:17">
      <c r="B82" s="60">
        <v>41102</v>
      </c>
      <c r="C82" s="37">
        <f t="shared" si="4"/>
        <v>0.99993082487965101</v>
      </c>
      <c r="D82" s="37">
        <f t="shared" si="5"/>
        <v>0.78357818362172504</v>
      </c>
      <c r="F82" s="1">
        <v>41102</v>
      </c>
      <c r="G82">
        <v>0.99993082487965101</v>
      </c>
      <c r="I82" s="1">
        <v>41102</v>
      </c>
      <c r="J82">
        <v>0.78357818362172504</v>
      </c>
      <c r="K82" s="72">
        <v>311798813958.06299</v>
      </c>
      <c r="L82" s="72">
        <f t="shared" si="6"/>
        <v>836042456950.479</v>
      </c>
      <c r="M82" s="37">
        <f t="shared" si="7"/>
        <v>0.37294614808842375</v>
      </c>
      <c r="O82" s="1">
        <v>41102</v>
      </c>
      <c r="P82" s="37">
        <v>0.75407044900012998</v>
      </c>
      <c r="Q82">
        <v>836042456950.479</v>
      </c>
    </row>
    <row r="83" spans="2:17">
      <c r="B83" s="60">
        <v>41109</v>
      </c>
      <c r="C83" s="37">
        <f t="shared" si="4"/>
        <v>0.99993082487965101</v>
      </c>
      <c r="D83" s="37">
        <f t="shared" si="5"/>
        <v>0.78680943760229805</v>
      </c>
      <c r="F83" s="1">
        <v>41109</v>
      </c>
      <c r="G83">
        <v>0.99993082487965101</v>
      </c>
      <c r="I83" s="1">
        <v>41109</v>
      </c>
      <c r="J83">
        <v>0.78680943760229805</v>
      </c>
      <c r="K83" s="72">
        <v>311798813958.06299</v>
      </c>
      <c r="L83" s="72">
        <f t="shared" si="6"/>
        <v>836042456950.479</v>
      </c>
      <c r="M83" s="37">
        <f t="shared" si="7"/>
        <v>0.37294614808842375</v>
      </c>
      <c r="O83" s="1">
        <v>41109</v>
      </c>
      <c r="P83" s="37">
        <v>0.75979626670465406</v>
      </c>
      <c r="Q83">
        <v>836042456950.479</v>
      </c>
    </row>
    <row r="84" spans="2:17">
      <c r="B84" s="60">
        <v>41116</v>
      </c>
      <c r="C84" s="37">
        <f t="shared" si="4"/>
        <v>0.99994356235953297</v>
      </c>
      <c r="D84" s="37">
        <f t="shared" si="5"/>
        <v>0.78926724871332199</v>
      </c>
      <c r="F84" s="1">
        <v>41116</v>
      </c>
      <c r="G84">
        <v>0.99994356235953297</v>
      </c>
      <c r="I84" s="1">
        <v>41116</v>
      </c>
      <c r="J84">
        <v>0.78926724871332199</v>
      </c>
      <c r="K84" s="72">
        <v>311798813958.06299</v>
      </c>
      <c r="L84" s="72">
        <f t="shared" si="6"/>
        <v>836042456950.479</v>
      </c>
      <c r="M84" s="37">
        <f t="shared" si="7"/>
        <v>0.37294614808842375</v>
      </c>
      <c r="O84" s="1">
        <v>41116</v>
      </c>
      <c r="P84" s="37">
        <v>0.77726594215798495</v>
      </c>
      <c r="Q84">
        <v>836042456950.479</v>
      </c>
    </row>
    <row r="85" spans="2:17">
      <c r="B85" s="60">
        <v>41123</v>
      </c>
      <c r="C85" s="37">
        <f t="shared" si="4"/>
        <v>0.99992850979514003</v>
      </c>
      <c r="D85" s="37">
        <f t="shared" si="5"/>
        <v>0.79167204155684201</v>
      </c>
      <c r="F85" s="1">
        <v>41123</v>
      </c>
      <c r="G85">
        <v>0.99992850979514003</v>
      </c>
      <c r="I85" s="1">
        <v>41123</v>
      </c>
      <c r="J85">
        <v>0.79167204155684201</v>
      </c>
      <c r="K85" s="72">
        <v>299045132715.31299</v>
      </c>
      <c r="L85" s="72">
        <f t="shared" si="6"/>
        <v>833663605862.28699</v>
      </c>
      <c r="M85" s="37">
        <f t="shared" si="7"/>
        <v>0.35871199199825965</v>
      </c>
      <c r="O85" s="1">
        <v>41123</v>
      </c>
      <c r="P85" s="37">
        <v>0.74202188782112199</v>
      </c>
      <c r="Q85">
        <v>833663605862.28699</v>
      </c>
    </row>
    <row r="86" spans="2:17">
      <c r="B86" s="60">
        <v>41130</v>
      </c>
      <c r="C86" s="37">
        <f t="shared" si="4"/>
        <v>0.99992850979514003</v>
      </c>
      <c r="D86" s="37">
        <f t="shared" si="5"/>
        <v>0.79119157211259705</v>
      </c>
      <c r="F86" s="1">
        <v>41130</v>
      </c>
      <c r="G86">
        <v>0.99992850979514003</v>
      </c>
      <c r="I86" s="1">
        <v>41130</v>
      </c>
      <c r="J86">
        <v>0.79119157211259705</v>
      </c>
      <c r="K86" s="72">
        <v>299045132715.31299</v>
      </c>
      <c r="L86" s="72">
        <f t="shared" si="6"/>
        <v>833663605862.28699</v>
      </c>
      <c r="M86" s="37">
        <f t="shared" si="7"/>
        <v>0.35871199199825965</v>
      </c>
      <c r="O86" s="1">
        <v>41130</v>
      </c>
      <c r="P86" s="37">
        <v>0.74172452642125197</v>
      </c>
      <c r="Q86">
        <v>833663605862.28699</v>
      </c>
    </row>
    <row r="87" spans="2:17">
      <c r="B87" s="60">
        <v>41137</v>
      </c>
      <c r="C87" s="37">
        <f t="shared" si="4"/>
        <v>0.99991808103115498</v>
      </c>
      <c r="D87" s="37">
        <f t="shared" si="5"/>
        <v>0.78981685075272301</v>
      </c>
      <c r="F87" s="1">
        <v>41137</v>
      </c>
      <c r="G87">
        <v>0.99991808103115498</v>
      </c>
      <c r="I87" s="1">
        <v>41137</v>
      </c>
      <c r="J87">
        <v>0.78981685075272301</v>
      </c>
      <c r="K87" s="72">
        <v>299045132715.31299</v>
      </c>
      <c r="L87" s="72">
        <f t="shared" si="6"/>
        <v>833663605862.28699</v>
      </c>
      <c r="M87" s="37">
        <f t="shared" si="7"/>
        <v>0.35871199199825965</v>
      </c>
      <c r="O87" s="1">
        <v>41137</v>
      </c>
      <c r="P87" s="37">
        <v>0.72502948633550401</v>
      </c>
      <c r="Q87">
        <v>833663605862.28699</v>
      </c>
    </row>
    <row r="88" spans="2:17">
      <c r="B88" s="60">
        <v>41144</v>
      </c>
      <c r="C88" s="37">
        <f t="shared" si="4"/>
        <v>0.99920283129912302</v>
      </c>
      <c r="D88" s="37">
        <f t="shared" si="5"/>
        <v>0.78342241627971398</v>
      </c>
      <c r="F88" s="1">
        <v>41144</v>
      </c>
      <c r="G88">
        <v>0.99920283129912302</v>
      </c>
      <c r="I88" s="1">
        <v>41144</v>
      </c>
      <c r="J88">
        <v>0.78342241627971398</v>
      </c>
      <c r="K88" s="72">
        <v>299045132715.31299</v>
      </c>
      <c r="L88" s="72">
        <f t="shared" si="6"/>
        <v>833663605862.28699</v>
      </c>
      <c r="M88" s="37">
        <f t="shared" si="7"/>
        <v>0.35871199199825965</v>
      </c>
      <c r="O88" s="1">
        <v>41144</v>
      </c>
      <c r="P88" s="37">
        <v>0.70545980617085702</v>
      </c>
      <c r="Q88">
        <v>833663605862.28699</v>
      </c>
    </row>
    <row r="89" spans="2:17">
      <c r="B89" s="60">
        <v>41151</v>
      </c>
      <c r="C89" s="37">
        <f t="shared" si="4"/>
        <v>0.99992850979514003</v>
      </c>
      <c r="D89" s="37">
        <f t="shared" si="5"/>
        <v>0.79119157211259705</v>
      </c>
      <c r="F89" s="1">
        <v>41151</v>
      </c>
      <c r="G89">
        <v>0.99992850979514003</v>
      </c>
      <c r="I89" s="1">
        <v>41151</v>
      </c>
      <c r="J89">
        <v>0.79119157211259705</v>
      </c>
      <c r="K89" s="72">
        <v>299045132715.31299</v>
      </c>
      <c r="L89" s="72">
        <f t="shared" si="6"/>
        <v>833663605862.28699</v>
      </c>
      <c r="M89" s="37">
        <f t="shared" si="7"/>
        <v>0.35871199199825965</v>
      </c>
      <c r="O89" s="1">
        <v>41151</v>
      </c>
      <c r="P89" s="37">
        <v>0.74172452642125197</v>
      </c>
      <c r="Q89">
        <v>833663605862.28699</v>
      </c>
    </row>
    <row r="90" spans="2:17">
      <c r="B90" s="60">
        <v>41158</v>
      </c>
      <c r="C90" s="37">
        <f t="shared" si="4"/>
        <v>0.999925926572371</v>
      </c>
      <c r="D90" s="37">
        <f t="shared" si="5"/>
        <v>0.79869244722997501</v>
      </c>
      <c r="F90" s="1">
        <v>41158</v>
      </c>
      <c r="G90">
        <v>0.999925926572371</v>
      </c>
      <c r="I90" s="1">
        <v>41158</v>
      </c>
      <c r="J90">
        <v>0.79869244722997501</v>
      </c>
      <c r="K90" s="72">
        <v>285566306127.30701</v>
      </c>
      <c r="L90" s="72">
        <f t="shared" si="6"/>
        <v>824158873560.92102</v>
      </c>
      <c r="M90" s="37">
        <f t="shared" si="7"/>
        <v>0.34649424436027532</v>
      </c>
      <c r="O90" s="1">
        <v>41158</v>
      </c>
      <c r="P90" s="37">
        <v>0.73031006659475095</v>
      </c>
      <c r="Q90">
        <v>824158873560.92102</v>
      </c>
    </row>
    <row r="91" spans="2:17">
      <c r="B91" s="60">
        <v>41165</v>
      </c>
      <c r="C91" s="37">
        <f t="shared" si="4"/>
        <v>0.999925926572371</v>
      </c>
      <c r="D91" s="37">
        <f t="shared" si="5"/>
        <v>0.80125181967528103</v>
      </c>
      <c r="F91" s="1">
        <v>41165</v>
      </c>
      <c r="G91">
        <v>0.999925926572371</v>
      </c>
      <c r="I91" s="1">
        <v>41165</v>
      </c>
      <c r="J91">
        <v>0.80125181967528103</v>
      </c>
      <c r="K91" s="72">
        <v>285566306127.30701</v>
      </c>
      <c r="L91" s="72">
        <f t="shared" si="6"/>
        <v>824158873560.92102</v>
      </c>
      <c r="M91" s="37">
        <f t="shared" si="7"/>
        <v>0.34649424436027532</v>
      </c>
      <c r="O91" s="1">
        <v>41165</v>
      </c>
      <c r="P91" s="37">
        <v>0.73633520756526005</v>
      </c>
      <c r="Q91">
        <v>824158873560.92102</v>
      </c>
    </row>
    <row r="92" spans="2:17">
      <c r="B92" s="60">
        <v>41172</v>
      </c>
      <c r="C92" s="37">
        <f t="shared" si="4"/>
        <v>0.99993925458967703</v>
      </c>
      <c r="D92" s="37">
        <f t="shared" si="5"/>
        <v>0.80486189051620305</v>
      </c>
      <c r="F92" s="1">
        <v>41172</v>
      </c>
      <c r="G92">
        <v>0.99993925458967703</v>
      </c>
      <c r="I92" s="1">
        <v>41172</v>
      </c>
      <c r="J92">
        <v>0.80486189051620305</v>
      </c>
      <c r="K92" s="72">
        <v>285566306127.30701</v>
      </c>
      <c r="L92" s="72">
        <f t="shared" si="6"/>
        <v>824158873560.92102</v>
      </c>
      <c r="M92" s="37">
        <f t="shared" si="7"/>
        <v>0.34649424436027532</v>
      </c>
      <c r="O92" s="1">
        <v>41172</v>
      </c>
      <c r="P92" s="37">
        <v>0.75820018205964501</v>
      </c>
      <c r="Q92">
        <v>824158873560.92102</v>
      </c>
    </row>
    <row r="93" spans="2:17">
      <c r="B93" s="60">
        <v>41179</v>
      </c>
      <c r="C93" s="37">
        <f t="shared" si="4"/>
        <v>0.999963330930556</v>
      </c>
      <c r="D93" s="37">
        <f t="shared" si="5"/>
        <v>0.80926691142062801</v>
      </c>
      <c r="F93" s="1">
        <v>41179</v>
      </c>
      <c r="G93">
        <v>0.999963330930556</v>
      </c>
      <c r="I93" s="1">
        <v>41179</v>
      </c>
      <c r="J93">
        <v>0.80926691142062801</v>
      </c>
      <c r="K93" s="72">
        <v>285566306127.30701</v>
      </c>
      <c r="L93" s="72">
        <f t="shared" si="6"/>
        <v>824158873560.92102</v>
      </c>
      <c r="M93" s="37">
        <f t="shared" si="7"/>
        <v>0.34649424436027532</v>
      </c>
      <c r="O93" s="1">
        <v>41179</v>
      </c>
      <c r="P93" s="37">
        <v>0.80745235876438504</v>
      </c>
      <c r="Q93">
        <v>824158873560.92102</v>
      </c>
    </row>
    <row r="94" spans="2:17">
      <c r="B94" s="60">
        <v>41186</v>
      </c>
      <c r="C94" s="37">
        <f t="shared" si="4"/>
        <v>0.99996184565451895</v>
      </c>
      <c r="D94" s="37">
        <f t="shared" si="5"/>
        <v>0.81286201159837101</v>
      </c>
      <c r="F94" s="1">
        <v>41186</v>
      </c>
      <c r="G94">
        <v>0.99996184565451895</v>
      </c>
      <c r="I94" s="1">
        <v>41186</v>
      </c>
      <c r="J94">
        <v>0.81286201159837101</v>
      </c>
      <c r="K94" s="72">
        <v>273811402301.38901</v>
      </c>
      <c r="L94" s="72">
        <f t="shared" si="6"/>
        <v>825116182205.41797</v>
      </c>
      <c r="M94" s="37">
        <f t="shared" si="7"/>
        <v>0.33184587601897486</v>
      </c>
      <c r="O94" s="1">
        <v>41186</v>
      </c>
      <c r="P94" s="37">
        <v>0.79075164893065797</v>
      </c>
      <c r="Q94">
        <v>825116182205.41797</v>
      </c>
    </row>
    <row r="95" spans="2:17">
      <c r="B95" s="60">
        <v>41193</v>
      </c>
      <c r="C95" s="37">
        <f t="shared" si="4"/>
        <v>0.99994149110272401</v>
      </c>
      <c r="D95" s="37">
        <f t="shared" si="5"/>
        <v>0.81023413562504598</v>
      </c>
      <c r="F95" s="1">
        <v>41193</v>
      </c>
      <c r="G95">
        <v>0.99994149110272401</v>
      </c>
      <c r="I95" s="1">
        <v>41193</v>
      </c>
      <c r="J95">
        <v>0.81023413562504598</v>
      </c>
      <c r="K95" s="72">
        <v>273811402301.38901</v>
      </c>
      <c r="L95" s="72">
        <f t="shared" si="6"/>
        <v>825116182205.41797</v>
      </c>
      <c r="M95" s="37">
        <f t="shared" si="7"/>
        <v>0.33184587601897486</v>
      </c>
      <c r="O95" s="1">
        <v>41193</v>
      </c>
      <c r="P95" s="37">
        <v>0.76684892805557403</v>
      </c>
      <c r="Q95">
        <v>825116182205.41797</v>
      </c>
    </row>
    <row r="96" spans="2:17">
      <c r="B96" s="60">
        <v>41200</v>
      </c>
      <c r="C96" s="37">
        <f t="shared" si="4"/>
        <v>0.99996184565451895</v>
      </c>
      <c r="D96" s="37">
        <f t="shared" si="5"/>
        <v>0.81175268314445304</v>
      </c>
      <c r="F96" s="1">
        <v>41200</v>
      </c>
      <c r="G96">
        <v>0.99996184565451895</v>
      </c>
      <c r="I96" s="1">
        <v>41200</v>
      </c>
      <c r="J96">
        <v>0.81175268314445304</v>
      </c>
      <c r="K96" s="72">
        <v>273811402301.38901</v>
      </c>
      <c r="L96" s="72">
        <f t="shared" si="6"/>
        <v>825116182205.41797</v>
      </c>
      <c r="M96" s="37">
        <f t="shared" si="7"/>
        <v>0.33184587601897486</v>
      </c>
      <c r="O96" s="1">
        <v>41200</v>
      </c>
      <c r="P96" s="37">
        <v>0.78750763693586801</v>
      </c>
      <c r="Q96">
        <v>825116182205.41797</v>
      </c>
    </row>
    <row r="97" spans="2:17">
      <c r="B97" s="60">
        <v>41207</v>
      </c>
      <c r="C97" s="37">
        <f t="shared" si="4"/>
        <v>0.99994149110272401</v>
      </c>
      <c r="D97" s="37">
        <f t="shared" si="5"/>
        <v>0.809839941502147</v>
      </c>
      <c r="F97" s="1">
        <v>41207</v>
      </c>
      <c r="G97">
        <v>0.99994149110272401</v>
      </c>
      <c r="I97" s="1">
        <v>41207</v>
      </c>
      <c r="J97">
        <v>0.809839941502147</v>
      </c>
      <c r="K97" s="72">
        <v>273811402301.38901</v>
      </c>
      <c r="L97" s="72">
        <f t="shared" si="6"/>
        <v>825116182205.41797</v>
      </c>
      <c r="M97" s="37">
        <f t="shared" si="7"/>
        <v>0.33184587601897486</v>
      </c>
      <c r="O97" s="1">
        <v>41207</v>
      </c>
      <c r="P97" s="37">
        <v>0.76516434563272695</v>
      </c>
      <c r="Q97">
        <v>825116182205.41797</v>
      </c>
    </row>
    <row r="98" spans="2:17">
      <c r="B98" s="60">
        <v>41214</v>
      </c>
      <c r="C98" s="37">
        <f t="shared" si="4"/>
        <v>0.99993955387432398</v>
      </c>
      <c r="D98" s="37">
        <f t="shared" si="5"/>
        <v>0.81305878798935505</v>
      </c>
      <c r="F98" s="1">
        <v>41214</v>
      </c>
      <c r="G98">
        <v>0.99993955387432398</v>
      </c>
      <c r="I98" s="1">
        <v>41214</v>
      </c>
      <c r="J98">
        <v>0.81305878798935505</v>
      </c>
      <c r="K98" s="72">
        <v>261291167855.54599</v>
      </c>
      <c r="L98" s="72">
        <f t="shared" si="6"/>
        <v>830648730002.45105</v>
      </c>
      <c r="M98" s="37">
        <f t="shared" si="7"/>
        <v>0.31456277294828944</v>
      </c>
      <c r="O98" s="1">
        <v>41214</v>
      </c>
      <c r="P98" s="37">
        <v>0.74037235734233797</v>
      </c>
      <c r="Q98">
        <v>830648730002.45105</v>
      </c>
    </row>
    <row r="99" spans="2:17">
      <c r="B99" s="60">
        <v>41221</v>
      </c>
      <c r="C99" s="37">
        <f t="shared" si="4"/>
        <v>0.99993955387432398</v>
      </c>
      <c r="D99" s="37">
        <f t="shared" si="5"/>
        <v>0.812945122249775</v>
      </c>
      <c r="F99" s="1">
        <v>41221</v>
      </c>
      <c r="G99">
        <v>0.99993955387432398</v>
      </c>
      <c r="I99" s="1">
        <v>41221</v>
      </c>
      <c r="J99">
        <v>0.812945122249775</v>
      </c>
      <c r="K99" s="72">
        <v>261291167855.54599</v>
      </c>
      <c r="L99" s="72">
        <f t="shared" si="6"/>
        <v>830648730002.45105</v>
      </c>
      <c r="M99" s="37">
        <f t="shared" si="7"/>
        <v>0.31456277294828944</v>
      </c>
      <c r="O99" s="1">
        <v>41221</v>
      </c>
      <c r="P99" s="37">
        <v>0.73991276487142799</v>
      </c>
      <c r="Q99">
        <v>830648730002.45105</v>
      </c>
    </row>
    <row r="100" spans="2:17">
      <c r="B100" s="60">
        <v>41228</v>
      </c>
      <c r="C100" s="37">
        <f t="shared" si="4"/>
        <v>0.999960116591327</v>
      </c>
      <c r="D100" s="37">
        <f t="shared" si="5"/>
        <v>0.81568730147186896</v>
      </c>
      <c r="F100" s="1">
        <v>41228</v>
      </c>
      <c r="G100">
        <v>0.999960116591327</v>
      </c>
      <c r="I100" s="1">
        <v>41228</v>
      </c>
      <c r="J100">
        <v>0.81568730147186896</v>
      </c>
      <c r="K100" s="72">
        <v>261291167855.54599</v>
      </c>
      <c r="L100" s="72">
        <f t="shared" si="6"/>
        <v>830648730002.45105</v>
      </c>
      <c r="M100" s="37">
        <f t="shared" si="7"/>
        <v>0.31456277294828944</v>
      </c>
      <c r="O100" s="1">
        <v>41228</v>
      </c>
      <c r="P100" s="37">
        <v>0.76480419869010197</v>
      </c>
      <c r="Q100">
        <v>830648730002.45105</v>
      </c>
    </row>
    <row r="101" spans="2:17">
      <c r="B101" s="60">
        <v>41234</v>
      </c>
      <c r="C101" s="37">
        <f t="shared" si="4"/>
        <v>0.99997526938915204</v>
      </c>
      <c r="D101" s="37">
        <f t="shared" si="5"/>
        <v>0.81619201070139402</v>
      </c>
      <c r="F101" s="1">
        <v>41234</v>
      </c>
      <c r="G101">
        <v>0.99997526938915204</v>
      </c>
      <c r="I101" s="1">
        <v>41234</v>
      </c>
      <c r="J101">
        <v>0.81619201070139402</v>
      </c>
      <c r="K101" s="72">
        <v>261291167855.54599</v>
      </c>
      <c r="L101" s="72">
        <f t="shared" si="6"/>
        <v>830648730002.45105</v>
      </c>
      <c r="M101" s="37">
        <f t="shared" si="7"/>
        <v>0.31456277294828944</v>
      </c>
      <c r="O101" s="1">
        <v>41234</v>
      </c>
      <c r="P101" s="37">
        <v>0.78285539257517101</v>
      </c>
      <c r="Q101">
        <v>830648730002.45105</v>
      </c>
    </row>
    <row r="102" spans="2:17">
      <c r="B102" s="60">
        <v>41242</v>
      </c>
      <c r="C102" s="37">
        <f t="shared" si="4"/>
        <v>0.999960116591327</v>
      </c>
      <c r="D102" s="37">
        <f t="shared" si="5"/>
        <v>0.81567965422119304</v>
      </c>
      <c r="F102" s="1">
        <v>41242</v>
      </c>
      <c r="G102">
        <v>0.999960116591327</v>
      </c>
      <c r="I102" s="1">
        <v>41242</v>
      </c>
      <c r="J102">
        <v>0.81567965422119304</v>
      </c>
      <c r="K102" s="72">
        <v>261291167855.54599</v>
      </c>
      <c r="L102" s="72">
        <f t="shared" si="6"/>
        <v>830648730002.45105</v>
      </c>
      <c r="M102" s="37">
        <f t="shared" si="7"/>
        <v>0.31456277294828944</v>
      </c>
      <c r="O102" s="1">
        <v>41242</v>
      </c>
      <c r="P102" s="37">
        <v>0.76478774162966601</v>
      </c>
      <c r="Q102">
        <v>830648730002.45105</v>
      </c>
    </row>
    <row r="103" spans="2:17">
      <c r="B103" s="60">
        <v>41249</v>
      </c>
      <c r="C103" s="37">
        <f t="shared" si="4"/>
        <v>0.99995840571303796</v>
      </c>
      <c r="D103" s="37">
        <f t="shared" si="5"/>
        <v>0.81785115811029996</v>
      </c>
      <c r="F103" s="1">
        <v>41249</v>
      </c>
      <c r="G103">
        <v>0.99995840571303796</v>
      </c>
      <c r="I103" s="1">
        <v>41249</v>
      </c>
      <c r="J103">
        <v>0.81785115811029996</v>
      </c>
      <c r="K103" s="72">
        <v>249957281866.888</v>
      </c>
      <c r="L103" s="72">
        <f t="shared" si="6"/>
        <v>820270598245.922</v>
      </c>
      <c r="M103" s="37">
        <f t="shared" si="7"/>
        <v>0.30472539476777555</v>
      </c>
      <c r="O103" s="1">
        <v>41249</v>
      </c>
      <c r="P103" s="37">
        <v>0.75100707648100695</v>
      </c>
      <c r="Q103">
        <v>820270598245.922</v>
      </c>
    </row>
    <row r="104" spans="2:17">
      <c r="B104" s="60">
        <v>41256</v>
      </c>
      <c r="C104" s="37">
        <f t="shared" si="4"/>
        <v>0.99997421417518995</v>
      </c>
      <c r="D104" s="37">
        <f t="shared" si="5"/>
        <v>0.81814457584000999</v>
      </c>
      <c r="F104" s="1">
        <v>41256</v>
      </c>
      <c r="G104">
        <v>0.99997421417518995</v>
      </c>
      <c r="I104" s="1">
        <v>41256</v>
      </c>
      <c r="J104">
        <v>0.81814457584000999</v>
      </c>
      <c r="K104" s="72">
        <v>249957281866.888</v>
      </c>
      <c r="L104" s="72">
        <f t="shared" si="6"/>
        <v>820270598245.922</v>
      </c>
      <c r="M104" s="37">
        <f t="shared" si="7"/>
        <v>0.30472539476777555</v>
      </c>
      <c r="O104" s="1">
        <v>41256</v>
      </c>
      <c r="P104" s="37">
        <v>0.76878180463249601</v>
      </c>
      <c r="Q104">
        <v>820270598245.922</v>
      </c>
    </row>
    <row r="105" spans="2:17">
      <c r="B105" s="60">
        <v>41263</v>
      </c>
      <c r="C105" s="37">
        <f t="shared" si="4"/>
        <v>0.99995840571303796</v>
      </c>
      <c r="D105" s="37">
        <f t="shared" si="5"/>
        <v>0.81674451148550797</v>
      </c>
      <c r="F105" s="1">
        <v>41263</v>
      </c>
      <c r="G105">
        <v>0.99995840571303796</v>
      </c>
      <c r="I105" s="1">
        <v>41263</v>
      </c>
      <c r="J105">
        <v>0.81674451148550797</v>
      </c>
      <c r="K105" s="72">
        <v>249957281866.888</v>
      </c>
      <c r="L105" s="72">
        <f t="shared" si="6"/>
        <v>820270598245.922</v>
      </c>
      <c r="M105" s="37">
        <f t="shared" si="7"/>
        <v>0.30472539476777555</v>
      </c>
      <c r="O105" s="1">
        <v>41263</v>
      </c>
      <c r="P105" s="37">
        <v>0.74807230422736604</v>
      </c>
      <c r="Q105">
        <v>820270598245.922</v>
      </c>
    </row>
    <row r="106" spans="2:17">
      <c r="B106" s="60">
        <v>41270</v>
      </c>
      <c r="C106" s="37">
        <f t="shared" si="4"/>
        <v>0.99995840571303796</v>
      </c>
      <c r="D106" s="37">
        <f t="shared" si="5"/>
        <v>0.81764309369800603</v>
      </c>
      <c r="F106" s="1">
        <v>41270</v>
      </c>
      <c r="G106">
        <v>0.99995840571303796</v>
      </c>
      <c r="I106" s="1">
        <v>41270</v>
      </c>
      <c r="J106">
        <v>0.81764309369800603</v>
      </c>
      <c r="K106" s="72">
        <v>249957281866.888</v>
      </c>
      <c r="L106" s="72">
        <f t="shared" si="6"/>
        <v>820270598245.922</v>
      </c>
      <c r="M106" s="37">
        <f t="shared" si="7"/>
        <v>0.30472539476777555</v>
      </c>
      <c r="O106" s="1">
        <v>41270</v>
      </c>
      <c r="P106" s="37">
        <v>0.75035821746947096</v>
      </c>
      <c r="Q106">
        <v>820270598245.922</v>
      </c>
    </row>
    <row r="107" spans="2:17">
      <c r="B107" s="60">
        <v>41277</v>
      </c>
      <c r="C107" s="37">
        <f t="shared" si="4"/>
        <v>0.99995690344517796</v>
      </c>
      <c r="D107" s="37">
        <f t="shared" si="5"/>
        <v>0.82341532975696197</v>
      </c>
      <c r="F107" s="1">
        <v>41277</v>
      </c>
      <c r="G107">
        <v>0.99995690344517796</v>
      </c>
      <c r="I107" s="1">
        <v>41277</v>
      </c>
      <c r="J107">
        <v>0.82341532975696197</v>
      </c>
      <c r="K107" s="72">
        <v>238607531217.349</v>
      </c>
      <c r="L107" s="72">
        <f t="shared" si="6"/>
        <v>819156247294.42395</v>
      </c>
      <c r="M107" s="37">
        <f t="shared" si="7"/>
        <v>0.29128451623904644</v>
      </c>
      <c r="O107" s="1">
        <v>41277</v>
      </c>
      <c r="P107" s="37">
        <v>0.73297781488807101</v>
      </c>
      <c r="Q107">
        <v>819156247294.42395</v>
      </c>
    </row>
    <row r="108" spans="2:17">
      <c r="B108" s="60">
        <v>41284</v>
      </c>
      <c r="C108" s="37">
        <f t="shared" si="4"/>
        <v>0.99993449558008296</v>
      </c>
      <c r="D108" s="37">
        <f t="shared" si="5"/>
        <v>0.82080020350731497</v>
      </c>
      <c r="F108" s="1">
        <v>41284</v>
      </c>
      <c r="G108">
        <v>0.99993449558008296</v>
      </c>
      <c r="I108" s="1">
        <v>41284</v>
      </c>
      <c r="J108">
        <v>0.82080020350731497</v>
      </c>
      <c r="K108" s="72">
        <v>238607531217.349</v>
      </c>
      <c r="L108" s="72">
        <f t="shared" si="6"/>
        <v>819156247294.42395</v>
      </c>
      <c r="M108" s="37">
        <f t="shared" si="7"/>
        <v>0.29128451623904644</v>
      </c>
      <c r="O108" s="1">
        <v>41284</v>
      </c>
      <c r="P108" s="37">
        <v>0.70742761689353795</v>
      </c>
      <c r="Q108">
        <v>819156247294.42395</v>
      </c>
    </row>
    <row r="109" spans="2:17">
      <c r="B109" s="60">
        <v>41291</v>
      </c>
      <c r="C109" s="37">
        <f t="shared" si="4"/>
        <v>0.99995690344517796</v>
      </c>
      <c r="D109" s="37">
        <f t="shared" si="5"/>
        <v>0.82149229359926401</v>
      </c>
      <c r="F109" s="1">
        <v>41291</v>
      </c>
      <c r="G109">
        <v>0.99995690344517796</v>
      </c>
      <c r="I109" s="1">
        <v>41291</v>
      </c>
      <c r="J109">
        <v>0.82149229359926401</v>
      </c>
      <c r="K109" s="72">
        <v>238607531217.349</v>
      </c>
      <c r="L109" s="72">
        <f t="shared" si="6"/>
        <v>819156247294.42395</v>
      </c>
      <c r="M109" s="37">
        <f t="shared" si="7"/>
        <v>0.29128451623904644</v>
      </c>
      <c r="O109" s="1">
        <v>41291</v>
      </c>
      <c r="P109" s="37">
        <v>0.72944046146990305</v>
      </c>
      <c r="Q109">
        <v>819156247294.42395</v>
      </c>
    </row>
    <row r="110" spans="2:17">
      <c r="B110" s="60">
        <v>41298</v>
      </c>
      <c r="C110" s="37">
        <f t="shared" si="4"/>
        <v>0.99993449558008296</v>
      </c>
      <c r="D110" s="37">
        <f t="shared" si="5"/>
        <v>0.81986111028491404</v>
      </c>
      <c r="F110" s="1">
        <v>41298</v>
      </c>
      <c r="G110">
        <v>0.99993449558008296</v>
      </c>
      <c r="I110" s="1">
        <v>41298</v>
      </c>
      <c r="J110">
        <v>0.81986111028491404</v>
      </c>
      <c r="K110" s="72">
        <v>238607531217.349</v>
      </c>
      <c r="L110" s="72">
        <f t="shared" si="6"/>
        <v>819156247294.42395</v>
      </c>
      <c r="M110" s="37">
        <f t="shared" si="7"/>
        <v>0.29128451623904644</v>
      </c>
      <c r="O110" s="1">
        <v>41298</v>
      </c>
      <c r="P110" s="37">
        <v>0.70454946765433302</v>
      </c>
      <c r="Q110">
        <v>819156247294.42395</v>
      </c>
    </row>
    <row r="111" spans="2:17">
      <c r="B111" s="60">
        <v>41305</v>
      </c>
      <c r="C111" s="37">
        <f t="shared" si="4"/>
        <v>0.99991411771788796</v>
      </c>
      <c r="D111" s="37">
        <f t="shared" si="5"/>
        <v>0.81478312271985798</v>
      </c>
      <c r="F111" s="1">
        <v>41305</v>
      </c>
      <c r="G111">
        <v>0.99991411771788796</v>
      </c>
      <c r="I111" s="1">
        <v>41305</v>
      </c>
      <c r="J111">
        <v>0.81478312271985798</v>
      </c>
      <c r="K111" s="72">
        <v>238607531217.349</v>
      </c>
      <c r="L111" s="72">
        <f t="shared" si="6"/>
        <v>819156247294.42395</v>
      </c>
      <c r="M111" s="37">
        <f t="shared" si="7"/>
        <v>0.29128451623904644</v>
      </c>
      <c r="O111" s="1">
        <v>41305</v>
      </c>
      <c r="P111" s="37">
        <v>0.65383764183083704</v>
      </c>
      <c r="Q111">
        <v>819156247294.42395</v>
      </c>
    </row>
    <row r="112" spans="2:17">
      <c r="B112" s="60">
        <v>41312</v>
      </c>
      <c r="C112" s="37">
        <f t="shared" si="4"/>
        <v>0.99991089237320696</v>
      </c>
      <c r="D112" s="37">
        <f t="shared" si="5"/>
        <v>0.81882809099579801</v>
      </c>
      <c r="F112" s="1">
        <v>41312</v>
      </c>
      <c r="G112">
        <v>0.99991089237320696</v>
      </c>
      <c r="I112" s="1">
        <v>41312</v>
      </c>
      <c r="J112">
        <v>0.81882809099579801</v>
      </c>
      <c r="K112" s="72">
        <v>227504189704.84799</v>
      </c>
      <c r="L112" s="72">
        <f t="shared" si="6"/>
        <v>818129385045.38</v>
      </c>
      <c r="M112" s="37">
        <f t="shared" si="7"/>
        <v>0.27807849695097897</v>
      </c>
      <c r="O112" s="1">
        <v>41312</v>
      </c>
      <c r="P112" s="37">
        <v>0.63114301374580195</v>
      </c>
      <c r="Q112">
        <v>818129385045.38</v>
      </c>
    </row>
    <row r="113" spans="2:17">
      <c r="B113" s="60">
        <v>41319</v>
      </c>
      <c r="C113" s="37">
        <f t="shared" si="4"/>
        <v>0.99991089237320696</v>
      </c>
      <c r="D113" s="37">
        <f t="shared" si="5"/>
        <v>0.81882809099579801</v>
      </c>
      <c r="F113" s="1">
        <v>41319</v>
      </c>
      <c r="G113">
        <v>0.99991089237320696</v>
      </c>
      <c r="I113" s="1">
        <v>41319</v>
      </c>
      <c r="J113">
        <v>0.81882809099579801</v>
      </c>
      <c r="K113" s="72">
        <v>227504189704.84799</v>
      </c>
      <c r="L113" s="72">
        <f t="shared" si="6"/>
        <v>818129385045.38</v>
      </c>
      <c r="M113" s="37">
        <f t="shared" si="7"/>
        <v>0.27807849695097897</v>
      </c>
      <c r="O113" s="1">
        <v>41319</v>
      </c>
      <c r="P113" s="37">
        <v>0.63114301374580195</v>
      </c>
      <c r="Q113">
        <v>818129385045.38</v>
      </c>
    </row>
    <row r="114" spans="2:17">
      <c r="B114" s="60">
        <v>41326</v>
      </c>
      <c r="C114" s="37">
        <f t="shared" si="4"/>
        <v>0.99989953187824898</v>
      </c>
      <c r="D114" s="37">
        <f t="shared" si="5"/>
        <v>0.81745206005968196</v>
      </c>
      <c r="F114" s="1">
        <v>41326</v>
      </c>
      <c r="G114">
        <v>0.99989953187824898</v>
      </c>
      <c r="I114" s="1">
        <v>41326</v>
      </c>
      <c r="J114">
        <v>0.81745206005968196</v>
      </c>
      <c r="K114" s="72">
        <v>227504189704.84799</v>
      </c>
      <c r="L114" s="72">
        <f t="shared" si="6"/>
        <v>818129385045.38</v>
      </c>
      <c r="M114" s="37">
        <f t="shared" si="7"/>
        <v>0.27807849695097897</v>
      </c>
      <c r="O114" s="1">
        <v>41326</v>
      </c>
      <c r="P114" s="37">
        <v>0.61369684310791495</v>
      </c>
      <c r="Q114">
        <v>818129385045.38</v>
      </c>
    </row>
    <row r="115" spans="2:17">
      <c r="B115" s="60">
        <v>41333</v>
      </c>
      <c r="C115" s="37">
        <f t="shared" si="4"/>
        <v>0.99991089237320696</v>
      </c>
      <c r="D115" s="37">
        <f t="shared" si="5"/>
        <v>0.82073842590296597</v>
      </c>
      <c r="F115" s="1">
        <v>41333</v>
      </c>
      <c r="G115">
        <v>0.99991089237320696</v>
      </c>
      <c r="I115" s="1">
        <v>41333</v>
      </c>
      <c r="J115">
        <v>0.82073842590296597</v>
      </c>
      <c r="K115" s="72">
        <v>227504189704.84799</v>
      </c>
      <c r="L115" s="72">
        <f t="shared" si="6"/>
        <v>818129385045.38</v>
      </c>
      <c r="M115" s="37">
        <f t="shared" si="7"/>
        <v>0.27807849695097897</v>
      </c>
      <c r="O115" s="1">
        <v>41333</v>
      </c>
      <c r="P115" s="37">
        <v>0.63491676312975598</v>
      </c>
      <c r="Q115">
        <v>818129385045.38</v>
      </c>
    </row>
    <row r="116" spans="2:17">
      <c r="B116" s="60">
        <v>41340</v>
      </c>
      <c r="C116" s="37">
        <f t="shared" si="4"/>
        <v>0.99990931344518297</v>
      </c>
      <c r="D116" s="37">
        <f t="shared" si="5"/>
        <v>0.82850307416378899</v>
      </c>
      <c r="F116" s="1">
        <v>41340</v>
      </c>
      <c r="G116">
        <v>0.99990931344518297</v>
      </c>
      <c r="I116" s="1">
        <v>41340</v>
      </c>
      <c r="J116">
        <v>0.82850307416378899</v>
      </c>
      <c r="K116" s="72">
        <v>216694156147.63699</v>
      </c>
      <c r="L116" s="72">
        <f t="shared" si="6"/>
        <v>824157902540.86401</v>
      </c>
      <c r="M116" s="37">
        <f t="shared" si="7"/>
        <v>0.26292796013915876</v>
      </c>
      <c r="O116" s="1">
        <v>41340</v>
      </c>
      <c r="P116" s="37">
        <v>0.614585918181075</v>
      </c>
      <c r="Q116">
        <v>824157902540.86401</v>
      </c>
    </row>
    <row r="117" spans="2:17">
      <c r="B117" s="60">
        <v>41347</v>
      </c>
      <c r="C117" s="37">
        <f t="shared" si="4"/>
        <v>0.99915802709531398</v>
      </c>
      <c r="D117" s="37">
        <f t="shared" si="5"/>
        <v>0.82003372097846405</v>
      </c>
      <c r="F117" s="1">
        <v>41347</v>
      </c>
      <c r="G117">
        <v>0.99915802709531398</v>
      </c>
      <c r="I117" s="1">
        <v>41347</v>
      </c>
      <c r="J117">
        <v>0.82003372097846405</v>
      </c>
      <c r="K117" s="72">
        <v>216694156147.63699</v>
      </c>
      <c r="L117" s="72">
        <f t="shared" si="6"/>
        <v>824157902540.86401</v>
      </c>
      <c r="M117" s="37">
        <f t="shared" si="7"/>
        <v>0.26292796013915876</v>
      </c>
      <c r="O117" s="1">
        <v>41347</v>
      </c>
      <c r="P117" s="37">
        <v>0.57544552260540704</v>
      </c>
      <c r="Q117">
        <v>824157902540.86401</v>
      </c>
    </row>
    <row r="118" spans="2:17">
      <c r="B118" s="60">
        <v>41354</v>
      </c>
      <c r="C118" s="37">
        <f t="shared" si="4"/>
        <v>0.99990931344518297</v>
      </c>
      <c r="D118" s="37">
        <f t="shared" si="5"/>
        <v>0.82553780316113101</v>
      </c>
      <c r="F118" s="1">
        <v>41354</v>
      </c>
      <c r="G118">
        <v>0.99990931344518297</v>
      </c>
      <c r="I118" s="1">
        <v>41354</v>
      </c>
      <c r="J118">
        <v>0.82553780316113101</v>
      </c>
      <c r="K118" s="72">
        <v>216694156147.63699</v>
      </c>
      <c r="L118" s="72">
        <f t="shared" si="6"/>
        <v>824157902540.86401</v>
      </c>
      <c r="M118" s="37">
        <f t="shared" si="7"/>
        <v>0.26292796013915876</v>
      </c>
      <c r="O118" s="1">
        <v>41354</v>
      </c>
      <c r="P118" s="37">
        <v>0.60905555004469203</v>
      </c>
      <c r="Q118">
        <v>824157902540.86401</v>
      </c>
    </row>
    <row r="119" spans="2:17">
      <c r="B119" s="60">
        <v>41361</v>
      </c>
      <c r="C119" s="37">
        <f t="shared" si="4"/>
        <v>0.999897251404256</v>
      </c>
      <c r="D119" s="37">
        <f t="shared" si="5"/>
        <v>0.82472458395839399</v>
      </c>
      <c r="F119" s="1">
        <v>41361</v>
      </c>
      <c r="G119">
        <v>0.999897251404256</v>
      </c>
      <c r="I119" s="1">
        <v>41361</v>
      </c>
      <c r="J119">
        <v>0.82472458395839399</v>
      </c>
      <c r="K119" s="72">
        <v>216694156147.63699</v>
      </c>
      <c r="L119" s="72">
        <f t="shared" si="6"/>
        <v>824157902540.86401</v>
      </c>
      <c r="M119" s="37">
        <f t="shared" si="7"/>
        <v>0.26292796013915876</v>
      </c>
      <c r="O119" s="1">
        <v>41361</v>
      </c>
      <c r="P119" s="37">
        <v>0.59208663893880398</v>
      </c>
      <c r="Q119">
        <v>824157902540.86401</v>
      </c>
    </row>
    <row r="120" spans="2:17">
      <c r="B120" s="60">
        <v>41368</v>
      </c>
      <c r="C120" s="37">
        <f t="shared" si="4"/>
        <v>0.99990366179078405</v>
      </c>
      <c r="D120" s="37">
        <f t="shared" si="5"/>
        <v>0.84328555765855695</v>
      </c>
      <c r="F120" s="1">
        <v>41368</v>
      </c>
      <c r="G120">
        <v>0.99990366179078405</v>
      </c>
      <c r="I120" s="1">
        <v>41368</v>
      </c>
      <c r="J120">
        <v>0.84328555765855695</v>
      </c>
      <c r="K120" s="72">
        <v>205810683336.68799</v>
      </c>
      <c r="L120" s="72">
        <f t="shared" si="6"/>
        <v>828249997663.94495</v>
      </c>
      <c r="M120" s="37">
        <f t="shared" si="7"/>
        <v>0.24848860116772839</v>
      </c>
      <c r="O120" s="1">
        <v>41368</v>
      </c>
      <c r="P120" s="37">
        <v>0.59809945210751803</v>
      </c>
      <c r="Q120">
        <v>828249997663.94495</v>
      </c>
    </row>
    <row r="121" spans="2:17">
      <c r="B121" s="60">
        <v>41375</v>
      </c>
      <c r="C121" s="37">
        <f t="shared" si="4"/>
        <v>0.99991982126825196</v>
      </c>
      <c r="D121" s="37">
        <f t="shared" si="5"/>
        <v>0.84878046306266597</v>
      </c>
      <c r="F121" s="1">
        <v>41375</v>
      </c>
      <c r="G121">
        <v>0.99991982126825196</v>
      </c>
      <c r="I121" s="1">
        <v>41375</v>
      </c>
      <c r="J121">
        <v>0.84878046306266597</v>
      </c>
      <c r="K121" s="72">
        <v>205810683336.68799</v>
      </c>
      <c r="L121" s="72">
        <f t="shared" si="6"/>
        <v>828249997663.94495</v>
      </c>
      <c r="M121" s="37">
        <f t="shared" si="7"/>
        <v>0.24848860116772839</v>
      </c>
      <c r="O121" s="1">
        <v>41375</v>
      </c>
      <c r="P121" s="37">
        <v>0.627166081933069</v>
      </c>
      <c r="Q121">
        <v>828249997663.94495</v>
      </c>
    </row>
    <row r="122" spans="2:17">
      <c r="B122" s="60">
        <v>41382</v>
      </c>
      <c r="C122" s="37">
        <f t="shared" si="4"/>
        <v>0.99992797902387898</v>
      </c>
      <c r="D122" s="37">
        <f t="shared" si="5"/>
        <v>0.85066430465365805</v>
      </c>
      <c r="F122" s="1">
        <v>41382</v>
      </c>
      <c r="G122">
        <v>0.99992797902387898</v>
      </c>
      <c r="I122" s="1">
        <v>41382</v>
      </c>
      <c r="J122">
        <v>0.85066430465365805</v>
      </c>
      <c r="K122" s="72">
        <v>205810683336.68799</v>
      </c>
      <c r="L122" s="72">
        <f t="shared" si="6"/>
        <v>828249997663.94495</v>
      </c>
      <c r="M122" s="37">
        <f t="shared" si="7"/>
        <v>0.24848860116772839</v>
      </c>
      <c r="O122" s="1">
        <v>41382</v>
      </c>
      <c r="P122" s="37">
        <v>0.65452696598777105</v>
      </c>
      <c r="Q122">
        <v>828249997663.94495</v>
      </c>
    </row>
    <row r="123" spans="2:17">
      <c r="B123" s="60">
        <v>41389</v>
      </c>
      <c r="C123" s="37">
        <f t="shared" si="4"/>
        <v>0.99992797902387898</v>
      </c>
      <c r="D123" s="37">
        <f t="shared" si="5"/>
        <v>0.84953189700775</v>
      </c>
      <c r="F123" s="1">
        <v>41389</v>
      </c>
      <c r="G123">
        <v>0.99992797902387898</v>
      </c>
      <c r="I123" s="1">
        <v>41389</v>
      </c>
      <c r="J123">
        <v>0.84953189700775</v>
      </c>
      <c r="K123" s="72">
        <v>205810683336.68799</v>
      </c>
      <c r="L123" s="72">
        <f t="shared" si="6"/>
        <v>828249997663.94495</v>
      </c>
      <c r="M123" s="37">
        <f t="shared" si="7"/>
        <v>0.24848860116772839</v>
      </c>
      <c r="O123" s="1">
        <v>41389</v>
      </c>
      <c r="P123" s="37">
        <v>0.65157246412580705</v>
      </c>
      <c r="Q123">
        <v>828249997663.94495</v>
      </c>
    </row>
    <row r="124" spans="2:17">
      <c r="B124" s="60">
        <v>41396</v>
      </c>
      <c r="C124" s="37">
        <f t="shared" si="4"/>
        <v>0.9999571303068</v>
      </c>
      <c r="D124" s="37">
        <f t="shared" si="5"/>
        <v>0.86809283690983496</v>
      </c>
      <c r="F124" s="1">
        <v>41396</v>
      </c>
      <c r="G124">
        <v>0.9999571303068</v>
      </c>
      <c r="I124" s="1">
        <v>41396</v>
      </c>
      <c r="J124">
        <v>0.86809283690983496</v>
      </c>
      <c r="K124" s="72">
        <v>195225890723.888</v>
      </c>
      <c r="L124" s="72">
        <f t="shared" si="6"/>
        <v>828002980341.57397</v>
      </c>
      <c r="M124" s="37">
        <f t="shared" si="7"/>
        <v>0.23577921258610923</v>
      </c>
      <c r="O124" s="1">
        <v>41396</v>
      </c>
      <c r="P124" s="37">
        <v>0.67537337584507495</v>
      </c>
      <c r="Q124">
        <v>828002980341.57397</v>
      </c>
    </row>
    <row r="125" spans="2:17">
      <c r="B125" s="60">
        <v>41403</v>
      </c>
      <c r="C125" s="37">
        <f t="shared" si="4"/>
        <v>0.999926355664575</v>
      </c>
      <c r="D125" s="37">
        <f t="shared" si="5"/>
        <v>0.86549923979029997</v>
      </c>
      <c r="F125" s="1">
        <v>41403</v>
      </c>
      <c r="G125">
        <v>0.999926355664575</v>
      </c>
      <c r="I125" s="1">
        <v>41403</v>
      </c>
      <c r="J125">
        <v>0.86549923979029997</v>
      </c>
      <c r="K125" s="72">
        <v>195225890723.888</v>
      </c>
      <c r="L125" s="72">
        <f t="shared" si="6"/>
        <v>828002980341.57397</v>
      </c>
      <c r="M125" s="37">
        <f t="shared" si="7"/>
        <v>0.23577921258610923</v>
      </c>
      <c r="O125" s="1">
        <v>41403</v>
      </c>
      <c r="P125" s="37">
        <v>0.64540614198338597</v>
      </c>
      <c r="Q125">
        <v>828002980341.57397</v>
      </c>
    </row>
    <row r="126" spans="2:17">
      <c r="B126" s="60">
        <v>41410</v>
      </c>
      <c r="C126" s="37">
        <f t="shared" si="4"/>
        <v>0.99991596688144602</v>
      </c>
      <c r="D126" s="37">
        <f t="shared" si="5"/>
        <v>0.86263586497337696</v>
      </c>
      <c r="F126" s="1">
        <v>41410</v>
      </c>
      <c r="G126">
        <v>0.99991596688144602</v>
      </c>
      <c r="I126" s="1">
        <v>41410</v>
      </c>
      <c r="J126">
        <v>0.86263586497337696</v>
      </c>
      <c r="K126" s="72">
        <v>195225890723.888</v>
      </c>
      <c r="L126" s="72">
        <f t="shared" si="6"/>
        <v>828002980341.57397</v>
      </c>
      <c r="M126" s="37">
        <f t="shared" si="7"/>
        <v>0.23577921258610923</v>
      </c>
      <c r="O126" s="1">
        <v>41410</v>
      </c>
      <c r="P126" s="37">
        <v>0.613716446261377</v>
      </c>
      <c r="Q126">
        <v>828002980341.57397</v>
      </c>
    </row>
    <row r="127" spans="2:17">
      <c r="B127" s="60">
        <v>41417</v>
      </c>
      <c r="C127" s="37">
        <f t="shared" si="4"/>
        <v>0.999891003765222</v>
      </c>
      <c r="D127" s="37">
        <f t="shared" si="5"/>
        <v>0.85860250393135296</v>
      </c>
      <c r="F127" s="1">
        <v>41417</v>
      </c>
      <c r="G127">
        <v>0.999891003765222</v>
      </c>
      <c r="I127" s="1">
        <v>41417</v>
      </c>
      <c r="J127">
        <v>0.85860250393135296</v>
      </c>
      <c r="K127" s="72">
        <v>195225890723.888</v>
      </c>
      <c r="L127" s="72">
        <f t="shared" si="6"/>
        <v>828002980341.57397</v>
      </c>
      <c r="M127" s="37">
        <f t="shared" si="7"/>
        <v>0.23577921258610923</v>
      </c>
      <c r="O127" s="1">
        <v>41417</v>
      </c>
      <c r="P127" s="37">
        <v>0.57161053072002299</v>
      </c>
      <c r="Q127">
        <v>828002980341.57397</v>
      </c>
    </row>
    <row r="128" spans="2:17">
      <c r="B128" s="60">
        <v>41424</v>
      </c>
      <c r="C128" s="37">
        <f t="shared" si="4"/>
        <v>0.98959937329126002</v>
      </c>
      <c r="D128" s="37">
        <f t="shared" si="5"/>
        <v>0.83247184789062301</v>
      </c>
      <c r="F128" s="1">
        <v>41424</v>
      </c>
      <c r="G128">
        <v>0.98959937329126002</v>
      </c>
      <c r="I128" s="1">
        <v>41424</v>
      </c>
      <c r="J128">
        <v>0.83247184789062301</v>
      </c>
      <c r="K128" s="72">
        <v>195225890723.888</v>
      </c>
      <c r="L128" s="72">
        <f t="shared" si="6"/>
        <v>828002980341.57397</v>
      </c>
      <c r="M128" s="37">
        <f t="shared" si="7"/>
        <v>0.23577921258610923</v>
      </c>
      <c r="O128" s="1">
        <v>41424</v>
      </c>
      <c r="P128" s="37">
        <v>0.49281389771726503</v>
      </c>
      <c r="Q128">
        <v>828002980341.57397</v>
      </c>
    </row>
    <row r="129" spans="2:17">
      <c r="B129" s="60">
        <v>41431</v>
      </c>
      <c r="C129" s="37">
        <f t="shared" si="4"/>
        <v>0.98319620204482405</v>
      </c>
      <c r="D129" s="37">
        <f t="shared" si="5"/>
        <v>0.83759474015632596</v>
      </c>
      <c r="F129" s="1">
        <v>41431</v>
      </c>
      <c r="G129">
        <v>0.98319620204482405</v>
      </c>
      <c r="I129" s="1">
        <v>41431</v>
      </c>
      <c r="J129">
        <v>0.83759474015632596</v>
      </c>
      <c r="K129" s="72">
        <v>185053119902.13599</v>
      </c>
      <c r="L129" s="72">
        <f t="shared" si="6"/>
        <v>832667072231.375</v>
      </c>
      <c r="M129" s="37">
        <f t="shared" si="7"/>
        <v>0.22224142886571943</v>
      </c>
      <c r="O129" s="1">
        <v>41431</v>
      </c>
      <c r="P129" s="37">
        <v>0.45700453068812003</v>
      </c>
      <c r="Q129">
        <v>832667072231.375</v>
      </c>
    </row>
    <row r="130" spans="2:17">
      <c r="B130" s="60">
        <v>41438</v>
      </c>
      <c r="C130" s="37">
        <f t="shared" si="4"/>
        <v>0.97483509520421197</v>
      </c>
      <c r="D130" s="37">
        <f t="shared" si="5"/>
        <v>0.823700334554193</v>
      </c>
      <c r="F130" s="1">
        <v>41438</v>
      </c>
      <c r="G130">
        <v>0.97483509520421197</v>
      </c>
      <c r="I130" s="1">
        <v>41438</v>
      </c>
      <c r="J130">
        <v>0.823700334554193</v>
      </c>
      <c r="K130" s="72">
        <v>185053119902.13599</v>
      </c>
      <c r="L130" s="72">
        <f t="shared" si="6"/>
        <v>832667072231.375</v>
      </c>
      <c r="M130" s="37">
        <f t="shared" si="7"/>
        <v>0.22224142886571943</v>
      </c>
      <c r="O130" s="1">
        <v>41438</v>
      </c>
      <c r="P130" s="37">
        <v>0.43444871521773998</v>
      </c>
      <c r="Q130">
        <v>832667072231.375</v>
      </c>
    </row>
    <row r="131" spans="2:17">
      <c r="B131" s="60">
        <v>41445</v>
      </c>
      <c r="C131" s="37">
        <f t="shared" si="4"/>
        <v>0.974845105001512</v>
      </c>
      <c r="D131" s="37">
        <f t="shared" si="5"/>
        <v>0.82432391546961303</v>
      </c>
      <c r="F131" s="1">
        <v>41445</v>
      </c>
      <c r="G131">
        <v>0.974845105001512</v>
      </c>
      <c r="I131" s="1">
        <v>41445</v>
      </c>
      <c r="J131">
        <v>0.82432391546961303</v>
      </c>
      <c r="K131" s="72">
        <v>185053119902.13599</v>
      </c>
      <c r="L131" s="72">
        <f t="shared" si="6"/>
        <v>832667072231.375</v>
      </c>
      <c r="M131" s="37">
        <f t="shared" si="7"/>
        <v>0.22224142886571943</v>
      </c>
      <c r="O131" s="1">
        <v>41445</v>
      </c>
      <c r="P131" s="37">
        <v>0.43496628993259601</v>
      </c>
      <c r="Q131">
        <v>832667072231.375</v>
      </c>
    </row>
    <row r="132" spans="2:17">
      <c r="B132" s="60">
        <v>41452</v>
      </c>
      <c r="C132" s="37">
        <f t="shared" ref="C132:C195" si="8">VLOOKUP(B132,F:G,2,0)</f>
        <v>0.75861637191260001</v>
      </c>
      <c r="D132" s="37">
        <f t="shared" ref="D132:D195" si="9">VLOOKUP(B132,I:J,2,0)</f>
        <v>0.58169167101166497</v>
      </c>
      <c r="F132" s="1">
        <v>41452</v>
      </c>
      <c r="G132">
        <v>0.75861637191260001</v>
      </c>
      <c r="I132" s="1">
        <v>41452</v>
      </c>
      <c r="J132">
        <v>0.58169167101166497</v>
      </c>
      <c r="K132" s="72">
        <v>185053119902.13599</v>
      </c>
      <c r="L132" s="72">
        <f t="shared" ref="L132:L195" si="10">VLOOKUP(I132,O:Q,3,0)</f>
        <v>832667072231.375</v>
      </c>
      <c r="M132" s="37">
        <f t="shared" ref="M132:M195" si="11">K132/L132*100%</f>
        <v>0.22224142886571943</v>
      </c>
      <c r="O132" s="1">
        <v>41452</v>
      </c>
      <c r="P132" s="37">
        <v>0.219987264889585</v>
      </c>
      <c r="Q132">
        <v>832667072231.375</v>
      </c>
    </row>
    <row r="133" spans="2:17">
      <c r="B133" s="60">
        <v>41458</v>
      </c>
      <c r="C133" s="37">
        <f t="shared" si="8"/>
        <v>0.87464281994842097</v>
      </c>
      <c r="D133" s="37">
        <f t="shared" si="9"/>
        <v>0.71619679638174105</v>
      </c>
      <c r="F133" s="1">
        <v>41458</v>
      </c>
      <c r="G133">
        <v>0.87464281994842097</v>
      </c>
      <c r="I133" s="1">
        <v>41458</v>
      </c>
      <c r="J133">
        <v>0.71619679638174105</v>
      </c>
      <c r="K133" s="72">
        <v>176083452320.259</v>
      </c>
      <c r="L133" s="72">
        <f t="shared" si="10"/>
        <v>835315019877.84595</v>
      </c>
      <c r="M133" s="37">
        <f t="shared" si="11"/>
        <v>0.210798858071544</v>
      </c>
      <c r="O133" s="1">
        <v>41458</v>
      </c>
      <c r="P133" s="37">
        <v>0.31059723114058102</v>
      </c>
      <c r="Q133">
        <v>835315019877.84595</v>
      </c>
    </row>
    <row r="134" spans="2:17">
      <c r="B134" s="60">
        <v>41466</v>
      </c>
      <c r="C134" s="37">
        <f t="shared" si="8"/>
        <v>0.73939644380791003</v>
      </c>
      <c r="D134" s="37">
        <f t="shared" si="9"/>
        <v>0.56754957680996199</v>
      </c>
      <c r="F134" s="1">
        <v>41466</v>
      </c>
      <c r="G134">
        <v>0.73939644380791003</v>
      </c>
      <c r="I134" s="1">
        <v>41466</v>
      </c>
      <c r="J134">
        <v>0.56754957680996199</v>
      </c>
      <c r="K134" s="72">
        <v>176083452320.259</v>
      </c>
      <c r="L134" s="72">
        <f t="shared" si="10"/>
        <v>835315019877.84595</v>
      </c>
      <c r="M134" s="37">
        <f t="shared" si="11"/>
        <v>0.210798858071544</v>
      </c>
      <c r="O134" s="1">
        <v>41466</v>
      </c>
      <c r="P134" s="37">
        <v>0.19429609707083301</v>
      </c>
      <c r="Q134">
        <v>835315019877.84595</v>
      </c>
    </row>
    <row r="135" spans="2:17">
      <c r="B135" s="60">
        <v>41473</v>
      </c>
      <c r="C135" s="37">
        <f t="shared" si="8"/>
        <v>0.83595927197837805</v>
      </c>
      <c r="D135" s="37">
        <f t="shared" si="9"/>
        <v>0.674456067653048</v>
      </c>
      <c r="F135" s="1">
        <v>41473</v>
      </c>
      <c r="G135">
        <v>0.83595927197837805</v>
      </c>
      <c r="I135" s="1">
        <v>41473</v>
      </c>
      <c r="J135">
        <v>0.674456067653048</v>
      </c>
      <c r="K135" s="72">
        <v>176083452320.259</v>
      </c>
      <c r="L135" s="72">
        <f t="shared" si="10"/>
        <v>835315019877.84595</v>
      </c>
      <c r="M135" s="37">
        <f t="shared" si="11"/>
        <v>0.210798858071544</v>
      </c>
      <c r="O135" s="1">
        <v>41473</v>
      </c>
      <c r="P135" s="37">
        <v>0.27948424706025699</v>
      </c>
      <c r="Q135">
        <v>835315019877.84595</v>
      </c>
    </row>
    <row r="136" spans="2:17">
      <c r="B136" s="60">
        <v>41480</v>
      </c>
      <c r="C136" s="37">
        <f t="shared" si="8"/>
        <v>0.83620473842721499</v>
      </c>
      <c r="D136" s="37">
        <f t="shared" si="9"/>
        <v>0.67655434294099503</v>
      </c>
      <c r="F136" s="1">
        <v>41480</v>
      </c>
      <c r="G136">
        <v>0.83620473842721499</v>
      </c>
      <c r="I136" s="1">
        <v>41480</v>
      </c>
      <c r="J136">
        <v>0.67655434294099503</v>
      </c>
      <c r="K136" s="72">
        <v>176083452320.259</v>
      </c>
      <c r="L136" s="72">
        <f t="shared" si="10"/>
        <v>835315019877.84595</v>
      </c>
      <c r="M136" s="37">
        <f t="shared" si="11"/>
        <v>0.210798858071544</v>
      </c>
      <c r="O136" s="1">
        <v>41480</v>
      </c>
      <c r="P136" s="37">
        <v>0.280451442557901</v>
      </c>
      <c r="Q136">
        <v>835315019877.84595</v>
      </c>
    </row>
    <row r="137" spans="2:17">
      <c r="B137" s="60">
        <v>41487</v>
      </c>
      <c r="C137" s="37">
        <f t="shared" si="8"/>
        <v>0.79246254673167404</v>
      </c>
      <c r="D137" s="37">
        <f t="shared" si="9"/>
        <v>0.64055597334900805</v>
      </c>
      <c r="F137" s="1">
        <v>41487</v>
      </c>
      <c r="G137">
        <v>0.79246254673167404</v>
      </c>
      <c r="I137" s="1">
        <v>41487</v>
      </c>
      <c r="J137">
        <v>0.64055597334900805</v>
      </c>
      <c r="K137" s="72">
        <v>167577702279.88699</v>
      </c>
      <c r="L137" s="72">
        <f t="shared" si="10"/>
        <v>839371166981.099</v>
      </c>
      <c r="M137" s="37">
        <f t="shared" si="11"/>
        <v>0.19964672229879027</v>
      </c>
      <c r="O137" s="1">
        <v>41487</v>
      </c>
      <c r="P137" s="37">
        <v>0.238389456742365</v>
      </c>
      <c r="Q137">
        <v>839371166981.099</v>
      </c>
    </row>
    <row r="138" spans="2:17">
      <c r="B138" s="60">
        <v>41494</v>
      </c>
      <c r="C138" s="37">
        <f t="shared" si="8"/>
        <v>0.792438207756055</v>
      </c>
      <c r="D138" s="37">
        <f t="shared" si="9"/>
        <v>0.64029309309363502</v>
      </c>
      <c r="F138" s="1">
        <v>41494</v>
      </c>
      <c r="G138">
        <v>0.792438207756055</v>
      </c>
      <c r="I138" s="1">
        <v>41494</v>
      </c>
      <c r="J138">
        <v>0.64029309309363502</v>
      </c>
      <c r="K138" s="72">
        <v>167577702279.88699</v>
      </c>
      <c r="L138" s="72">
        <f t="shared" si="10"/>
        <v>839371166981.099</v>
      </c>
      <c r="M138" s="37">
        <f t="shared" si="11"/>
        <v>0.19964672229879027</v>
      </c>
      <c r="O138" s="1">
        <v>41494</v>
      </c>
      <c r="P138" s="37">
        <v>0.23805160399751801</v>
      </c>
      <c r="Q138">
        <v>839371166981.099</v>
      </c>
    </row>
    <row r="139" spans="2:17">
      <c r="B139" s="60">
        <v>41501</v>
      </c>
      <c r="C139" s="37">
        <f t="shared" si="8"/>
        <v>0.792438207756055</v>
      </c>
      <c r="D139" s="37">
        <f t="shared" si="9"/>
        <v>0.64029309309363502</v>
      </c>
      <c r="F139" s="1">
        <v>41501</v>
      </c>
      <c r="G139">
        <v>0.792438207756055</v>
      </c>
      <c r="I139" s="1">
        <v>41501</v>
      </c>
      <c r="J139">
        <v>0.64029309309363502</v>
      </c>
      <c r="K139" s="72">
        <v>167577702279.88699</v>
      </c>
      <c r="L139" s="72">
        <f t="shared" si="10"/>
        <v>839371166981.099</v>
      </c>
      <c r="M139" s="37">
        <f t="shared" si="11"/>
        <v>0.19964672229879027</v>
      </c>
      <c r="O139" s="1">
        <v>41501</v>
      </c>
      <c r="P139" s="37">
        <v>0.23805160399751801</v>
      </c>
      <c r="Q139">
        <v>839371166981.099</v>
      </c>
    </row>
    <row r="140" spans="2:17">
      <c r="B140" s="60">
        <v>41508</v>
      </c>
      <c r="C140" s="37">
        <f t="shared" si="8"/>
        <v>0.72293605511047399</v>
      </c>
      <c r="D140" s="37">
        <f t="shared" si="9"/>
        <v>0.55236674392539098</v>
      </c>
      <c r="F140" s="1">
        <v>41508</v>
      </c>
      <c r="G140">
        <v>0.72293605511047399</v>
      </c>
      <c r="I140" s="1">
        <v>41508</v>
      </c>
      <c r="J140">
        <v>0.55236674392539098</v>
      </c>
      <c r="K140" s="72">
        <v>167577702279.88699</v>
      </c>
      <c r="L140" s="72">
        <f t="shared" si="10"/>
        <v>839371166981.099</v>
      </c>
      <c r="M140" s="37">
        <f t="shared" si="11"/>
        <v>0.19964672229879027</v>
      </c>
      <c r="O140" s="1">
        <v>41508</v>
      </c>
      <c r="P140" s="37">
        <v>0.171398372783203</v>
      </c>
      <c r="Q140">
        <v>839371166981.099</v>
      </c>
    </row>
    <row r="141" spans="2:17">
      <c r="B141" s="60">
        <v>41515</v>
      </c>
      <c r="C141" s="37">
        <f t="shared" si="8"/>
        <v>0.75618136859207497</v>
      </c>
      <c r="D141" s="37">
        <f t="shared" si="9"/>
        <v>0.59640056248304896</v>
      </c>
      <c r="F141" s="1">
        <v>41515</v>
      </c>
      <c r="G141">
        <v>0.75618136859207497</v>
      </c>
      <c r="I141" s="1">
        <v>41515</v>
      </c>
      <c r="J141">
        <v>0.59640056248304896</v>
      </c>
      <c r="K141" s="72">
        <v>167577702279.88699</v>
      </c>
      <c r="L141" s="72">
        <f t="shared" si="10"/>
        <v>839371166981.099</v>
      </c>
      <c r="M141" s="37">
        <f t="shared" si="11"/>
        <v>0.19964672229879027</v>
      </c>
      <c r="O141" s="1">
        <v>41515</v>
      </c>
      <c r="P141" s="37">
        <v>0.205737732240382</v>
      </c>
      <c r="Q141">
        <v>839371166981.099</v>
      </c>
    </row>
    <row r="142" spans="2:17">
      <c r="B142" s="60">
        <v>41522</v>
      </c>
      <c r="C142" s="37">
        <f t="shared" si="8"/>
        <v>0.73241928482112195</v>
      </c>
      <c r="D142" s="37">
        <f t="shared" si="9"/>
        <v>0.57522237437054402</v>
      </c>
      <c r="F142" s="1">
        <v>41522</v>
      </c>
      <c r="G142">
        <v>0.73241928482112195</v>
      </c>
      <c r="I142" s="1">
        <v>41522</v>
      </c>
      <c r="J142">
        <v>0.57522237437054402</v>
      </c>
      <c r="K142" s="72">
        <v>160787339683.77899</v>
      </c>
      <c r="L142" s="72">
        <f t="shared" si="10"/>
        <v>840680455152.82996</v>
      </c>
      <c r="M142" s="37">
        <f t="shared" si="11"/>
        <v>0.19125856762608923</v>
      </c>
      <c r="O142" s="1">
        <v>41522</v>
      </c>
      <c r="P142" s="37">
        <v>0.18142824317266501</v>
      </c>
      <c r="Q142">
        <v>840680455152.82996</v>
      </c>
    </row>
    <row r="143" spans="2:17">
      <c r="B143" s="60">
        <v>41529</v>
      </c>
      <c r="C143" s="37">
        <f t="shared" si="8"/>
        <v>0.71851650648965204</v>
      </c>
      <c r="D143" s="37">
        <f t="shared" si="9"/>
        <v>0.55927995080584203</v>
      </c>
      <c r="F143" s="1">
        <v>41529</v>
      </c>
      <c r="G143">
        <v>0.71851650648965204</v>
      </c>
      <c r="I143" s="1">
        <v>41529</v>
      </c>
      <c r="J143">
        <v>0.55927995080584203</v>
      </c>
      <c r="K143" s="72">
        <v>160787339683.77899</v>
      </c>
      <c r="L143" s="72">
        <f t="shared" si="10"/>
        <v>840680455152.82996</v>
      </c>
      <c r="M143" s="37">
        <f t="shared" si="11"/>
        <v>0.19125856762608923</v>
      </c>
      <c r="O143" s="1">
        <v>41529</v>
      </c>
      <c r="P143" s="37">
        <v>0.16781950534512599</v>
      </c>
      <c r="Q143">
        <v>840680455152.82996</v>
      </c>
    </row>
    <row r="144" spans="2:17">
      <c r="B144" s="60">
        <v>41536</v>
      </c>
      <c r="C144" s="37">
        <f t="shared" si="8"/>
        <v>0.75283799652968897</v>
      </c>
      <c r="D144" s="37">
        <f t="shared" si="9"/>
        <v>0.60260582931028095</v>
      </c>
      <c r="F144" s="1">
        <v>41536</v>
      </c>
      <c r="G144">
        <v>0.75283799652968897</v>
      </c>
      <c r="I144" s="1">
        <v>41536</v>
      </c>
      <c r="J144">
        <v>0.60260582931028095</v>
      </c>
      <c r="K144" s="72">
        <v>160787339683.77899</v>
      </c>
      <c r="L144" s="72">
        <f t="shared" si="10"/>
        <v>840680455152.82996</v>
      </c>
      <c r="M144" s="37">
        <f t="shared" si="11"/>
        <v>0.19125856762608923</v>
      </c>
      <c r="O144" s="1">
        <v>41536</v>
      </c>
      <c r="P144" s="37">
        <v>0.202248860839815</v>
      </c>
      <c r="Q144">
        <v>840680455152.82996</v>
      </c>
    </row>
    <row r="145" spans="2:17">
      <c r="B145" s="60">
        <v>41543</v>
      </c>
      <c r="C145" s="37">
        <f t="shared" si="8"/>
        <v>0.87216740152542305</v>
      </c>
      <c r="D145" s="37">
        <f t="shared" si="9"/>
        <v>0.72850837742778696</v>
      </c>
      <c r="F145" s="1">
        <v>41543</v>
      </c>
      <c r="G145">
        <v>0.87216740152542305</v>
      </c>
      <c r="I145" s="1">
        <v>41543</v>
      </c>
      <c r="J145">
        <v>0.72850837742778696</v>
      </c>
      <c r="K145" s="72">
        <v>160787339683.77899</v>
      </c>
      <c r="L145" s="72">
        <f t="shared" si="10"/>
        <v>840680455152.82996</v>
      </c>
      <c r="M145" s="37">
        <f t="shared" si="11"/>
        <v>0.19125856762608923</v>
      </c>
      <c r="O145" s="1">
        <v>41543</v>
      </c>
      <c r="P145" s="37">
        <v>0.29383325353474399</v>
      </c>
      <c r="Q145">
        <v>840680455152.82996</v>
      </c>
    </row>
    <row r="146" spans="2:17">
      <c r="B146" s="60">
        <v>41550</v>
      </c>
      <c r="C146" s="37">
        <f t="shared" si="8"/>
        <v>0.91006704896642798</v>
      </c>
      <c r="D146" s="37">
        <f t="shared" si="9"/>
        <v>0.769426288466591</v>
      </c>
      <c r="F146" s="1">
        <v>41550</v>
      </c>
      <c r="G146">
        <v>0.91006704896642798</v>
      </c>
      <c r="I146" s="1">
        <v>41550</v>
      </c>
      <c r="J146">
        <v>0.769426288466591</v>
      </c>
      <c r="K146" s="72">
        <v>155649461575.04901</v>
      </c>
      <c r="L146" s="72">
        <f t="shared" si="10"/>
        <v>842920617157.08203</v>
      </c>
      <c r="M146" s="37">
        <f t="shared" si="11"/>
        <v>0.18465494663068971</v>
      </c>
      <c r="O146" s="1">
        <v>41550</v>
      </c>
      <c r="P146" s="37">
        <v>0.31777500213957699</v>
      </c>
      <c r="Q146">
        <v>842920617157.08203</v>
      </c>
    </row>
    <row r="147" spans="2:17">
      <c r="B147" s="60">
        <v>41557</v>
      </c>
      <c r="C147" s="37">
        <f t="shared" si="8"/>
        <v>0.91000379323017</v>
      </c>
      <c r="D147" s="37">
        <f t="shared" si="9"/>
        <v>0.76833211087653297</v>
      </c>
      <c r="F147" s="1">
        <v>41557</v>
      </c>
      <c r="G147">
        <v>0.91000379323017</v>
      </c>
      <c r="I147" s="1">
        <v>41557</v>
      </c>
      <c r="J147">
        <v>0.76833211087653297</v>
      </c>
      <c r="K147" s="72">
        <v>155649461575.04901</v>
      </c>
      <c r="L147" s="72">
        <f t="shared" si="10"/>
        <v>842920617157.08203</v>
      </c>
      <c r="M147" s="37">
        <f t="shared" si="11"/>
        <v>0.18465494663068971</v>
      </c>
      <c r="O147" s="1">
        <v>41557</v>
      </c>
      <c r="P147" s="37">
        <v>0.31720208476376399</v>
      </c>
      <c r="Q147">
        <v>842920617157.08203</v>
      </c>
    </row>
    <row r="148" spans="2:17">
      <c r="B148" s="60">
        <v>41564</v>
      </c>
      <c r="C148" s="37">
        <f t="shared" si="8"/>
        <v>0.87030379941598801</v>
      </c>
      <c r="D148" s="37">
        <f t="shared" si="9"/>
        <v>0.732195057450439</v>
      </c>
      <c r="F148" s="1">
        <v>41564</v>
      </c>
      <c r="G148">
        <v>0.87030379941598801</v>
      </c>
      <c r="I148" s="1">
        <v>41564</v>
      </c>
      <c r="J148">
        <v>0.732195057450439</v>
      </c>
      <c r="K148" s="72">
        <v>155649461575.04901</v>
      </c>
      <c r="L148" s="72">
        <f t="shared" si="10"/>
        <v>842920617157.08203</v>
      </c>
      <c r="M148" s="37">
        <f t="shared" si="11"/>
        <v>0.18465494663068971</v>
      </c>
      <c r="O148" s="1">
        <v>41564</v>
      </c>
      <c r="P148" s="37">
        <v>0.28885302300705201</v>
      </c>
      <c r="Q148">
        <v>842920617157.08203</v>
      </c>
    </row>
    <row r="149" spans="2:17">
      <c r="B149" s="60">
        <v>41571</v>
      </c>
      <c r="C149" s="37">
        <f t="shared" si="8"/>
        <v>0.92948151561270798</v>
      </c>
      <c r="D149" s="37">
        <f t="shared" si="9"/>
        <v>0.79336710567798696</v>
      </c>
      <c r="F149" s="1">
        <v>41571</v>
      </c>
      <c r="G149">
        <v>0.92948151561270798</v>
      </c>
      <c r="I149" s="1">
        <v>41571</v>
      </c>
      <c r="J149">
        <v>0.79336710567798696</v>
      </c>
      <c r="K149" s="72">
        <v>155649461575.04901</v>
      </c>
      <c r="L149" s="72">
        <f t="shared" si="10"/>
        <v>842920617157.08203</v>
      </c>
      <c r="M149" s="37">
        <f t="shared" si="11"/>
        <v>0.18465494663068971</v>
      </c>
      <c r="O149" s="1">
        <v>41571</v>
      </c>
      <c r="P149" s="37">
        <v>0.33766312973364498</v>
      </c>
      <c r="Q149">
        <v>842920617157.08203</v>
      </c>
    </row>
    <row r="150" spans="2:17">
      <c r="B150" s="60">
        <v>41578</v>
      </c>
      <c r="C150" s="37">
        <f t="shared" si="8"/>
        <v>0.946371224192602</v>
      </c>
      <c r="D150" s="37">
        <f t="shared" si="9"/>
        <v>0.81149174558591197</v>
      </c>
      <c r="F150" s="1">
        <v>41578</v>
      </c>
      <c r="G150">
        <v>0.946371224192602</v>
      </c>
      <c r="I150" s="1">
        <v>41578</v>
      </c>
      <c r="J150">
        <v>0.81149174558591197</v>
      </c>
      <c r="K150" s="72">
        <v>155649461575.04901</v>
      </c>
      <c r="L150" s="72">
        <f t="shared" si="10"/>
        <v>842920617157.08203</v>
      </c>
      <c r="M150" s="37">
        <f t="shared" si="11"/>
        <v>0.18465494663068971</v>
      </c>
      <c r="O150" s="1">
        <v>41578</v>
      </c>
      <c r="P150" s="37">
        <v>0.35586088249893599</v>
      </c>
      <c r="Q150">
        <v>842920617157.08203</v>
      </c>
    </row>
    <row r="151" spans="2:17">
      <c r="B151" s="60">
        <v>41585</v>
      </c>
      <c r="C151" s="37">
        <f t="shared" si="8"/>
        <v>0.92862600348226998</v>
      </c>
      <c r="D151" s="37">
        <f t="shared" si="9"/>
        <v>0.79173406072518504</v>
      </c>
      <c r="F151" s="1">
        <v>41585</v>
      </c>
      <c r="G151">
        <v>0.92862600348226998</v>
      </c>
      <c r="I151" s="1">
        <v>41585</v>
      </c>
      <c r="J151">
        <v>0.79173406072518504</v>
      </c>
      <c r="K151" s="72">
        <v>151540990492.15701</v>
      </c>
      <c r="L151" s="72">
        <f t="shared" si="10"/>
        <v>847381000644.36804</v>
      </c>
      <c r="M151" s="37">
        <f t="shared" si="11"/>
        <v>0.17883453886377174</v>
      </c>
      <c r="O151" s="1">
        <v>41585</v>
      </c>
      <c r="P151" s="37">
        <v>0.32955790309451799</v>
      </c>
      <c r="Q151">
        <v>847381000644.36804</v>
      </c>
    </row>
    <row r="152" spans="2:17">
      <c r="B152" s="60">
        <v>41592</v>
      </c>
      <c r="C152" s="37">
        <f t="shared" si="8"/>
        <v>0.82764760393529802</v>
      </c>
      <c r="D152" s="37">
        <f t="shared" si="9"/>
        <v>0.68857017211934701</v>
      </c>
      <c r="F152" s="1">
        <v>41592</v>
      </c>
      <c r="G152">
        <v>0.82764760393529802</v>
      </c>
      <c r="I152" s="1">
        <v>41592</v>
      </c>
      <c r="J152">
        <v>0.68857017211934701</v>
      </c>
      <c r="K152" s="72">
        <v>151540990492.15701</v>
      </c>
      <c r="L152" s="72">
        <f t="shared" si="10"/>
        <v>847381000644.36804</v>
      </c>
      <c r="M152" s="37">
        <f t="shared" si="11"/>
        <v>0.17883453886377174</v>
      </c>
      <c r="O152" s="1">
        <v>41592</v>
      </c>
      <c r="P152" s="37">
        <v>0.252778485912803</v>
      </c>
      <c r="Q152">
        <v>847381000644.36804</v>
      </c>
    </row>
    <row r="153" spans="2:17">
      <c r="B153" s="60">
        <v>41599</v>
      </c>
      <c r="C153" s="37">
        <f t="shared" si="8"/>
        <v>0.90867076242729805</v>
      </c>
      <c r="D153" s="37">
        <f t="shared" si="9"/>
        <v>0.76948544283018205</v>
      </c>
      <c r="F153" s="1">
        <v>41599</v>
      </c>
      <c r="G153">
        <v>0.90867076242729805</v>
      </c>
      <c r="I153" s="1">
        <v>41599</v>
      </c>
      <c r="J153">
        <v>0.76948544283018205</v>
      </c>
      <c r="K153" s="72">
        <v>151540990492.15701</v>
      </c>
      <c r="L153" s="72">
        <f t="shared" si="10"/>
        <v>847381000644.36804</v>
      </c>
      <c r="M153" s="37">
        <f t="shared" si="11"/>
        <v>0.17883453886377174</v>
      </c>
      <c r="O153" s="1">
        <v>41599</v>
      </c>
      <c r="P153" s="37">
        <v>0.31131333173074599</v>
      </c>
      <c r="Q153">
        <v>847381000644.36804</v>
      </c>
    </row>
    <row r="154" spans="2:17">
      <c r="B154" s="60">
        <v>41605</v>
      </c>
      <c r="C154" s="37">
        <f t="shared" si="8"/>
        <v>0.868879336155854</v>
      </c>
      <c r="D154" s="37">
        <f t="shared" si="9"/>
        <v>0.73153515943713499</v>
      </c>
      <c r="F154" s="1">
        <v>41605</v>
      </c>
      <c r="G154">
        <v>0.868879336155854</v>
      </c>
      <c r="I154" s="1">
        <v>41605</v>
      </c>
      <c r="J154">
        <v>0.73153515943713499</v>
      </c>
      <c r="K154" s="72">
        <v>151540990492.15701</v>
      </c>
      <c r="L154" s="72">
        <f t="shared" si="10"/>
        <v>847381000644.36804</v>
      </c>
      <c r="M154" s="37">
        <f t="shared" si="11"/>
        <v>0.17883453886377174</v>
      </c>
      <c r="O154" s="1">
        <v>41605</v>
      </c>
      <c r="P154" s="37">
        <v>0.28206150012278902</v>
      </c>
      <c r="Q154">
        <v>847381000644.36804</v>
      </c>
    </row>
    <row r="155" spans="2:17">
      <c r="B155" s="60">
        <v>41613</v>
      </c>
      <c r="C155" s="37">
        <f t="shared" si="8"/>
        <v>0.78150994044042599</v>
      </c>
      <c r="D155" s="37">
        <f t="shared" si="9"/>
        <v>0.64271311842684598</v>
      </c>
      <c r="F155" s="1">
        <v>41613</v>
      </c>
      <c r="G155">
        <v>0.78150994044042599</v>
      </c>
      <c r="I155" s="1">
        <v>41613</v>
      </c>
      <c r="J155">
        <v>0.64271311842684598</v>
      </c>
      <c r="K155" s="72">
        <v>147596217220.30301</v>
      </c>
      <c r="L155" s="72">
        <f t="shared" si="10"/>
        <v>852925884546.91199</v>
      </c>
      <c r="M155" s="37">
        <f t="shared" si="11"/>
        <v>0.17304694334456563</v>
      </c>
      <c r="O155" s="1">
        <v>41613</v>
      </c>
      <c r="P155" s="37">
        <v>0.21485389589079101</v>
      </c>
      <c r="Q155">
        <v>852925884546.91199</v>
      </c>
    </row>
    <row r="156" spans="2:17">
      <c r="B156" s="60">
        <v>41620</v>
      </c>
      <c r="C156" s="37">
        <f t="shared" si="8"/>
        <v>0.78142626283674099</v>
      </c>
      <c r="D156" s="37">
        <f t="shared" si="9"/>
        <v>0.64127080834763694</v>
      </c>
      <c r="F156" s="1">
        <v>41620</v>
      </c>
      <c r="G156">
        <v>0.78142626283674099</v>
      </c>
      <c r="I156" s="1">
        <v>41620</v>
      </c>
      <c r="J156">
        <v>0.64127080834763694</v>
      </c>
      <c r="K156" s="72">
        <v>147596217220.30301</v>
      </c>
      <c r="L156" s="72">
        <f t="shared" si="10"/>
        <v>852925884546.91199</v>
      </c>
      <c r="M156" s="37">
        <f t="shared" si="11"/>
        <v>0.17304694334456563</v>
      </c>
      <c r="O156" s="1">
        <v>41620</v>
      </c>
      <c r="P156" s="37">
        <v>0.21443883052881299</v>
      </c>
      <c r="Q156">
        <v>852925884546.91199</v>
      </c>
    </row>
    <row r="157" spans="2:17">
      <c r="B157" s="60">
        <v>41627</v>
      </c>
      <c r="C157" s="37">
        <f t="shared" si="8"/>
        <v>0.74080880570196705</v>
      </c>
      <c r="D157" s="37">
        <f t="shared" si="9"/>
        <v>0.58358220441457098</v>
      </c>
      <c r="F157" s="1">
        <v>41627</v>
      </c>
      <c r="G157">
        <v>0.74080880570196705</v>
      </c>
      <c r="I157" s="1">
        <v>41627</v>
      </c>
      <c r="J157">
        <v>0.58358220441457098</v>
      </c>
      <c r="K157" s="72">
        <v>147596217220.30301</v>
      </c>
      <c r="L157" s="72">
        <f t="shared" si="10"/>
        <v>852925884546.91199</v>
      </c>
      <c r="M157" s="37">
        <f t="shared" si="11"/>
        <v>0.17304694334456563</v>
      </c>
      <c r="O157" s="1">
        <v>41627</v>
      </c>
      <c r="P157" s="37">
        <v>0.17874887754348101</v>
      </c>
      <c r="Q157">
        <v>852925884546.91199</v>
      </c>
    </row>
    <row r="158" spans="2:17">
      <c r="B158" s="60">
        <v>41634</v>
      </c>
      <c r="C158" s="37">
        <f t="shared" si="8"/>
        <v>0.74072304288786295</v>
      </c>
      <c r="D158" s="37">
        <f t="shared" si="9"/>
        <v>0.57997892806395601</v>
      </c>
      <c r="F158" s="1">
        <v>41634</v>
      </c>
      <c r="G158">
        <v>0.74072304288786295</v>
      </c>
      <c r="I158" s="1">
        <v>41634</v>
      </c>
      <c r="J158">
        <v>0.57997892806395601</v>
      </c>
      <c r="K158" s="72">
        <v>147596217220.30301</v>
      </c>
      <c r="L158" s="72">
        <f t="shared" si="10"/>
        <v>852925884546.91199</v>
      </c>
      <c r="M158" s="37">
        <f t="shared" si="11"/>
        <v>0.17304694334456563</v>
      </c>
      <c r="O158" s="1">
        <v>41634</v>
      </c>
      <c r="P158" s="37">
        <v>0.178068943109321</v>
      </c>
      <c r="Q158">
        <v>852925884546.91199</v>
      </c>
    </row>
    <row r="159" spans="2:17">
      <c r="B159" s="60">
        <v>41641</v>
      </c>
      <c r="C159" s="37">
        <f t="shared" si="8"/>
        <v>0.71573440369395702</v>
      </c>
      <c r="D159" s="37">
        <f t="shared" si="9"/>
        <v>0.555096534677191</v>
      </c>
      <c r="F159" s="1">
        <v>41641</v>
      </c>
      <c r="G159">
        <v>0.71573440369395702</v>
      </c>
      <c r="I159" s="1">
        <v>41641</v>
      </c>
      <c r="J159">
        <v>0.555096534677191</v>
      </c>
      <c r="K159" s="72">
        <v>143491329926.00299</v>
      </c>
      <c r="L159" s="72">
        <f t="shared" si="10"/>
        <v>856169152140.41296</v>
      </c>
      <c r="M159" s="37">
        <f t="shared" si="11"/>
        <v>0.16759693988889501</v>
      </c>
      <c r="O159" s="1">
        <v>41641</v>
      </c>
      <c r="P159" s="37">
        <v>0.155777998451884</v>
      </c>
      <c r="Q159">
        <v>856169152140.41296</v>
      </c>
    </row>
    <row r="160" spans="2:17">
      <c r="B160" s="60">
        <v>41648</v>
      </c>
      <c r="C160" s="37">
        <f t="shared" si="8"/>
        <v>0.737862180577046</v>
      </c>
      <c r="D160" s="37">
        <f t="shared" si="9"/>
        <v>0.59351739235175405</v>
      </c>
      <c r="F160" s="1">
        <v>41648</v>
      </c>
      <c r="G160">
        <v>0.737862180577046</v>
      </c>
      <c r="I160" s="1">
        <v>41648</v>
      </c>
      <c r="J160">
        <v>0.59351739235175405</v>
      </c>
      <c r="K160" s="72">
        <v>143491329926.00299</v>
      </c>
      <c r="L160" s="72">
        <f t="shared" si="10"/>
        <v>856169152140.41296</v>
      </c>
      <c r="M160" s="37">
        <f t="shared" si="11"/>
        <v>0.16759693988889501</v>
      </c>
      <c r="O160" s="1">
        <v>41648</v>
      </c>
      <c r="P160" s="37">
        <v>0.179305765216212</v>
      </c>
      <c r="Q160">
        <v>856169152140.41296</v>
      </c>
    </row>
    <row r="161" spans="2:17">
      <c r="B161" s="60">
        <v>41655</v>
      </c>
      <c r="C161" s="37">
        <f t="shared" si="8"/>
        <v>0.77881660913151596</v>
      </c>
      <c r="D161" s="37">
        <f t="shared" si="9"/>
        <v>0.640010525508934</v>
      </c>
      <c r="F161" s="1">
        <v>41655</v>
      </c>
      <c r="G161">
        <v>0.77881660913151596</v>
      </c>
      <c r="I161" s="1">
        <v>41655</v>
      </c>
      <c r="J161">
        <v>0.640010525508934</v>
      </c>
      <c r="K161" s="72">
        <v>143491329926.00299</v>
      </c>
      <c r="L161" s="72">
        <f t="shared" si="10"/>
        <v>856169152140.41296</v>
      </c>
      <c r="M161" s="37">
        <f t="shared" si="11"/>
        <v>0.16759693988889501</v>
      </c>
      <c r="O161" s="1">
        <v>41655</v>
      </c>
      <c r="P161" s="37">
        <v>0.209593005344444</v>
      </c>
      <c r="Q161">
        <v>856169152140.41296</v>
      </c>
    </row>
    <row r="162" spans="2:17">
      <c r="B162" s="60">
        <v>41662</v>
      </c>
      <c r="C162" s="37">
        <f t="shared" si="8"/>
        <v>0.77893724315267199</v>
      </c>
      <c r="D162" s="37">
        <f t="shared" si="9"/>
        <v>0.641007859456873</v>
      </c>
      <c r="F162" s="1">
        <v>41662</v>
      </c>
      <c r="G162">
        <v>0.77893724315267199</v>
      </c>
      <c r="I162" s="1">
        <v>41662</v>
      </c>
      <c r="J162">
        <v>0.641007859456873</v>
      </c>
      <c r="K162" s="72">
        <v>143491329926.00299</v>
      </c>
      <c r="L162" s="72">
        <f t="shared" si="10"/>
        <v>856169152140.41296</v>
      </c>
      <c r="M162" s="37">
        <f t="shared" si="11"/>
        <v>0.16759693988889501</v>
      </c>
      <c r="O162" s="1">
        <v>41662</v>
      </c>
      <c r="P162" s="37">
        <v>0.21019143531749199</v>
      </c>
      <c r="Q162">
        <v>856169152140.41296</v>
      </c>
    </row>
    <row r="163" spans="2:17">
      <c r="B163" s="60">
        <v>41669</v>
      </c>
      <c r="C163" s="37">
        <f t="shared" si="8"/>
        <v>0.86531452225895999</v>
      </c>
      <c r="D163" s="37">
        <f t="shared" si="9"/>
        <v>0.72590930220267003</v>
      </c>
      <c r="F163" s="1">
        <v>41669</v>
      </c>
      <c r="G163">
        <v>0.86531452225895999</v>
      </c>
      <c r="I163" s="1">
        <v>41669</v>
      </c>
      <c r="J163">
        <v>0.72590930220267003</v>
      </c>
      <c r="K163" s="72">
        <v>143491329926.00299</v>
      </c>
      <c r="L163" s="72">
        <f t="shared" si="10"/>
        <v>856169152140.41296</v>
      </c>
      <c r="M163" s="37">
        <f t="shared" si="11"/>
        <v>0.16759693988889501</v>
      </c>
      <c r="O163" s="1">
        <v>41669</v>
      </c>
      <c r="P163" s="37">
        <v>0.26753407065163798</v>
      </c>
      <c r="Q163">
        <v>856169152140.41296</v>
      </c>
    </row>
    <row r="164" spans="2:17">
      <c r="B164" s="60">
        <v>41676</v>
      </c>
      <c r="C164" s="37">
        <f t="shared" si="8"/>
        <v>0.904840601248314</v>
      </c>
      <c r="D164" s="37">
        <f t="shared" si="9"/>
        <v>0.76715832931317196</v>
      </c>
      <c r="F164" s="1">
        <v>41676</v>
      </c>
      <c r="G164">
        <v>0.904840601248314</v>
      </c>
      <c r="I164" s="1">
        <v>41676</v>
      </c>
      <c r="J164">
        <v>0.76715832931317196</v>
      </c>
      <c r="K164" s="72">
        <v>140177207664.35901</v>
      </c>
      <c r="L164" s="72">
        <f t="shared" si="10"/>
        <v>860549250444.104</v>
      </c>
      <c r="M164" s="37">
        <f t="shared" si="11"/>
        <v>0.16289271949515696</v>
      </c>
      <c r="O164" s="1">
        <v>41676</v>
      </c>
      <c r="P164" s="37">
        <v>0.29181927799860802</v>
      </c>
      <c r="Q164">
        <v>860549250444.104</v>
      </c>
    </row>
    <row r="165" spans="2:17">
      <c r="B165" s="60">
        <v>41683</v>
      </c>
      <c r="C165" s="37">
        <f t="shared" si="8"/>
        <v>0.86420449138465305</v>
      </c>
      <c r="D165" s="37">
        <f t="shared" si="9"/>
        <v>0.73079513071076196</v>
      </c>
      <c r="F165" s="1">
        <v>41683</v>
      </c>
      <c r="G165">
        <v>0.86420449138465305</v>
      </c>
      <c r="I165" s="1">
        <v>41683</v>
      </c>
      <c r="J165">
        <v>0.73079513071076196</v>
      </c>
      <c r="K165" s="72">
        <v>140177207664.35901</v>
      </c>
      <c r="L165" s="72">
        <f t="shared" si="10"/>
        <v>860549250444.104</v>
      </c>
      <c r="M165" s="37">
        <f t="shared" si="11"/>
        <v>0.16289271949515696</v>
      </c>
      <c r="O165" s="1">
        <v>41683</v>
      </c>
      <c r="P165" s="37">
        <v>0.26481047273119801</v>
      </c>
      <c r="Q165">
        <v>860549250444.104</v>
      </c>
    </row>
    <row r="166" spans="2:17">
      <c r="B166" s="60">
        <v>41690</v>
      </c>
      <c r="C166" s="37">
        <f t="shared" si="8"/>
        <v>0.82103225324176798</v>
      </c>
      <c r="D166" s="37">
        <f t="shared" si="9"/>
        <v>0.68632933440003197</v>
      </c>
      <c r="F166" s="1">
        <v>41690</v>
      </c>
      <c r="G166">
        <v>0.82103225324176798</v>
      </c>
      <c r="I166" s="1">
        <v>41690</v>
      </c>
      <c r="J166">
        <v>0.68632933440003197</v>
      </c>
      <c r="K166" s="72">
        <v>140177207664.35901</v>
      </c>
      <c r="L166" s="72">
        <f t="shared" si="10"/>
        <v>860549250444.104</v>
      </c>
      <c r="M166" s="37">
        <f t="shared" si="11"/>
        <v>0.16289271949515696</v>
      </c>
      <c r="O166" s="1">
        <v>41690</v>
      </c>
      <c r="P166" s="37">
        <v>0.23629264624582699</v>
      </c>
      <c r="Q166">
        <v>860549250444.104</v>
      </c>
    </row>
    <row r="167" spans="2:17">
      <c r="B167" s="60">
        <v>41697</v>
      </c>
      <c r="C167" s="37">
        <f t="shared" si="8"/>
        <v>0.82077124571501203</v>
      </c>
      <c r="D167" s="37">
        <f t="shared" si="9"/>
        <v>0.684442361485053</v>
      </c>
      <c r="F167" s="1">
        <v>41697</v>
      </c>
      <c r="G167">
        <v>0.82077124571501203</v>
      </c>
      <c r="I167" s="1">
        <v>41697</v>
      </c>
      <c r="J167">
        <v>0.684442361485053</v>
      </c>
      <c r="K167" s="72">
        <v>140177207664.35901</v>
      </c>
      <c r="L167" s="72">
        <f t="shared" si="10"/>
        <v>860549250444.104</v>
      </c>
      <c r="M167" s="37">
        <f t="shared" si="11"/>
        <v>0.16289271949515696</v>
      </c>
      <c r="O167" s="1">
        <v>41697</v>
      </c>
      <c r="P167" s="37">
        <v>0.23523336613531601</v>
      </c>
      <c r="Q167">
        <v>860549250444.104</v>
      </c>
    </row>
    <row r="168" spans="2:17">
      <c r="B168" s="60">
        <v>41704</v>
      </c>
      <c r="C168" s="37">
        <f t="shared" si="8"/>
        <v>0.86296973588403203</v>
      </c>
      <c r="D168" s="37">
        <f t="shared" si="9"/>
        <v>0.73198493777118001</v>
      </c>
      <c r="F168" s="1">
        <v>41704</v>
      </c>
      <c r="G168">
        <v>0.86296973588403203</v>
      </c>
      <c r="I168" s="1">
        <v>41704</v>
      </c>
      <c r="J168">
        <v>0.73198493777118001</v>
      </c>
      <c r="K168" s="72">
        <v>137302780283.616</v>
      </c>
      <c r="L168" s="72">
        <f t="shared" si="10"/>
        <v>862646925748.92102</v>
      </c>
      <c r="M168" s="37">
        <f t="shared" si="11"/>
        <v>0.15916451584686789</v>
      </c>
      <c r="O168" s="1">
        <v>41704</v>
      </c>
      <c r="P168" s="37">
        <v>0.26131289645907702</v>
      </c>
      <c r="Q168">
        <v>862646925748.92102</v>
      </c>
    </row>
    <row r="169" spans="2:17">
      <c r="B169" s="60">
        <v>41711</v>
      </c>
      <c r="C169" s="37">
        <f t="shared" si="8"/>
        <v>0.81906765211778298</v>
      </c>
      <c r="D169" s="37">
        <f t="shared" si="9"/>
        <v>0.68652732115680604</v>
      </c>
      <c r="F169" s="1">
        <v>41711</v>
      </c>
      <c r="G169">
        <v>0.81906765211778298</v>
      </c>
      <c r="I169" s="1">
        <v>41711</v>
      </c>
      <c r="J169">
        <v>0.68652732115680604</v>
      </c>
      <c r="K169" s="72">
        <v>137302780283.616</v>
      </c>
      <c r="L169" s="72">
        <f t="shared" si="10"/>
        <v>862646925748.92102</v>
      </c>
      <c r="M169" s="37">
        <f t="shared" si="11"/>
        <v>0.15916451584686789</v>
      </c>
      <c r="O169" s="1">
        <v>41711</v>
      </c>
      <c r="P169" s="37">
        <v>0.23229463907320799</v>
      </c>
      <c r="Q169">
        <v>862646925748.92102</v>
      </c>
    </row>
    <row r="170" spans="2:17">
      <c r="B170" s="60">
        <v>41718</v>
      </c>
      <c r="C170" s="37">
        <f t="shared" si="8"/>
        <v>0.86286183686691498</v>
      </c>
      <c r="D170" s="37">
        <f t="shared" si="9"/>
        <v>0.73018796633644001</v>
      </c>
      <c r="F170" s="1">
        <v>41718</v>
      </c>
      <c r="G170">
        <v>0.86286183686691498</v>
      </c>
      <c r="I170" s="1">
        <v>41718</v>
      </c>
      <c r="J170">
        <v>0.73018796633644001</v>
      </c>
      <c r="K170" s="72">
        <v>137302780283.616</v>
      </c>
      <c r="L170" s="72">
        <f t="shared" si="10"/>
        <v>862646925748.92102</v>
      </c>
      <c r="M170" s="37">
        <f t="shared" si="11"/>
        <v>0.15916451584686789</v>
      </c>
      <c r="O170" s="1">
        <v>41718</v>
      </c>
      <c r="P170" s="37">
        <v>0.259911217598574</v>
      </c>
      <c r="Q170">
        <v>862646925748.92102</v>
      </c>
    </row>
    <row r="171" spans="2:17">
      <c r="B171" s="60">
        <v>41725</v>
      </c>
      <c r="C171" s="37">
        <f t="shared" si="8"/>
        <v>0.81889916283087805</v>
      </c>
      <c r="D171" s="37">
        <f t="shared" si="9"/>
        <v>0.68450438143886005</v>
      </c>
      <c r="F171" s="1">
        <v>41725</v>
      </c>
      <c r="G171">
        <v>0.81889916283087805</v>
      </c>
      <c r="I171" s="1">
        <v>41725</v>
      </c>
      <c r="J171">
        <v>0.68450438143886005</v>
      </c>
      <c r="K171" s="72">
        <v>137302780283.616</v>
      </c>
      <c r="L171" s="72">
        <f t="shared" si="10"/>
        <v>862646925748.92102</v>
      </c>
      <c r="M171" s="37">
        <f t="shared" si="11"/>
        <v>0.15916451584686789</v>
      </c>
      <c r="O171" s="1">
        <v>41725</v>
      </c>
      <c r="P171" s="37">
        <v>0.23160663701689099</v>
      </c>
      <c r="Q171">
        <v>862646925748.92102</v>
      </c>
    </row>
    <row r="172" spans="2:17">
      <c r="B172" s="60">
        <v>41732</v>
      </c>
      <c r="C172" s="37">
        <f t="shared" si="8"/>
        <v>0.77382163087992895</v>
      </c>
      <c r="D172" s="37">
        <f t="shared" si="9"/>
        <v>0.65157328022433403</v>
      </c>
      <c r="F172" s="1">
        <v>41732</v>
      </c>
      <c r="G172">
        <v>0.77382163087992895</v>
      </c>
      <c r="I172" s="1">
        <v>41732</v>
      </c>
      <c r="J172">
        <v>0.65157328022433403</v>
      </c>
      <c r="K172" s="72">
        <v>134084311974.908</v>
      </c>
      <c r="L172" s="72">
        <f t="shared" si="10"/>
        <v>865912452541.08801</v>
      </c>
      <c r="M172" s="37">
        <f t="shared" si="11"/>
        <v>0.15484742317936076</v>
      </c>
      <c r="O172" s="1">
        <v>41732</v>
      </c>
      <c r="P172" s="37">
        <v>0.20321387799468099</v>
      </c>
      <c r="Q172">
        <v>865912452541.08801</v>
      </c>
    </row>
    <row r="173" spans="2:17">
      <c r="B173" s="60">
        <v>41739</v>
      </c>
      <c r="C173" s="37">
        <f t="shared" si="8"/>
        <v>0.81929535733400805</v>
      </c>
      <c r="D173" s="37">
        <f t="shared" si="9"/>
        <v>0.69782122652957301</v>
      </c>
      <c r="F173" s="1">
        <v>41739</v>
      </c>
      <c r="G173">
        <v>0.81929535733400805</v>
      </c>
      <c r="I173" s="1">
        <v>41739</v>
      </c>
      <c r="J173">
        <v>0.69782122652957301</v>
      </c>
      <c r="K173" s="72">
        <v>134084311974.908</v>
      </c>
      <c r="L173" s="72">
        <f t="shared" si="10"/>
        <v>865912452541.08801</v>
      </c>
      <c r="M173" s="37">
        <f t="shared" si="11"/>
        <v>0.15484742317936076</v>
      </c>
      <c r="O173" s="1">
        <v>41739</v>
      </c>
      <c r="P173" s="37">
        <v>0.23288461809893199</v>
      </c>
      <c r="Q173">
        <v>865912452541.08801</v>
      </c>
    </row>
    <row r="174" spans="2:17">
      <c r="B174" s="60">
        <v>41746</v>
      </c>
      <c r="C174" s="37">
        <f t="shared" si="8"/>
        <v>0.86307390731589495</v>
      </c>
      <c r="D174" s="37">
        <f t="shared" si="9"/>
        <v>0.74322583937257003</v>
      </c>
      <c r="F174" s="1">
        <v>41746</v>
      </c>
      <c r="G174">
        <v>0.86307390731589495</v>
      </c>
      <c r="I174" s="1">
        <v>41746</v>
      </c>
      <c r="J174">
        <v>0.74322583937257003</v>
      </c>
      <c r="K174" s="72">
        <v>134084311974.908</v>
      </c>
      <c r="L174" s="72">
        <f t="shared" si="10"/>
        <v>865912452541.08801</v>
      </c>
      <c r="M174" s="37">
        <f t="shared" si="11"/>
        <v>0.15484742317936076</v>
      </c>
      <c r="O174" s="1">
        <v>41746</v>
      </c>
      <c r="P174" s="37">
        <v>0.26202204782205302</v>
      </c>
      <c r="Q174">
        <v>865912452541.08801</v>
      </c>
    </row>
    <row r="175" spans="2:17">
      <c r="B175" s="60">
        <v>41753</v>
      </c>
      <c r="C175" s="37">
        <f t="shared" si="8"/>
        <v>0.862883144079441</v>
      </c>
      <c r="D175" s="37">
        <f t="shared" si="9"/>
        <v>0.741465269880487</v>
      </c>
      <c r="F175" s="1">
        <v>41753</v>
      </c>
      <c r="G175">
        <v>0.862883144079441</v>
      </c>
      <c r="I175" s="1">
        <v>41753</v>
      </c>
      <c r="J175">
        <v>0.741465269880487</v>
      </c>
      <c r="K175" s="72">
        <v>134084311974.908</v>
      </c>
      <c r="L175" s="72">
        <f t="shared" si="10"/>
        <v>865912452541.08801</v>
      </c>
      <c r="M175" s="37">
        <f t="shared" si="11"/>
        <v>0.15484742317936076</v>
      </c>
      <c r="O175" s="1">
        <v>41753</v>
      </c>
      <c r="P175" s="37">
        <v>0.26064759544975202</v>
      </c>
      <c r="Q175">
        <v>865912452541.08801</v>
      </c>
    </row>
    <row r="176" spans="2:17">
      <c r="B176" s="60">
        <v>41760</v>
      </c>
      <c r="C176" s="37">
        <f t="shared" si="8"/>
        <v>0.86338218182302096</v>
      </c>
      <c r="D176" s="37">
        <f t="shared" si="9"/>
        <v>0.75311294857435296</v>
      </c>
      <c r="F176" s="1">
        <v>41760</v>
      </c>
      <c r="G176">
        <v>0.86338218182302096</v>
      </c>
      <c r="I176" s="1">
        <v>41760</v>
      </c>
      <c r="J176">
        <v>0.75311294857435296</v>
      </c>
      <c r="K176" s="72">
        <v>131022110576.76801</v>
      </c>
      <c r="L176" s="72">
        <f t="shared" si="10"/>
        <v>869491021687.79004</v>
      </c>
      <c r="M176" s="37">
        <f t="shared" si="11"/>
        <v>0.15068828465006784</v>
      </c>
      <c r="O176" s="1">
        <v>41760</v>
      </c>
      <c r="P176" s="37">
        <v>0.26096797184396903</v>
      </c>
      <c r="Q176">
        <v>869491021687.79004</v>
      </c>
    </row>
    <row r="177" spans="2:17">
      <c r="B177" s="60">
        <v>41767</v>
      </c>
      <c r="C177" s="37">
        <f t="shared" si="8"/>
        <v>0.92469964057410103</v>
      </c>
      <c r="D177" s="37">
        <f t="shared" si="9"/>
        <v>0.81447465128368302</v>
      </c>
      <c r="F177" s="1">
        <v>41767</v>
      </c>
      <c r="G177">
        <v>0.92469964057410103</v>
      </c>
      <c r="I177" s="1">
        <v>41767</v>
      </c>
      <c r="J177">
        <v>0.81447465128368302</v>
      </c>
      <c r="K177" s="72">
        <v>131022110576.76801</v>
      </c>
      <c r="L177" s="72">
        <f t="shared" si="10"/>
        <v>869491021687.79004</v>
      </c>
      <c r="M177" s="37">
        <f t="shared" si="11"/>
        <v>0.15068828465006784</v>
      </c>
      <c r="O177" s="1">
        <v>41767</v>
      </c>
      <c r="P177" s="37">
        <v>0.30889383306981899</v>
      </c>
      <c r="Q177">
        <v>869491021687.79004</v>
      </c>
    </row>
    <row r="178" spans="2:17">
      <c r="B178" s="60">
        <v>41774</v>
      </c>
      <c r="C178" s="37">
        <f t="shared" si="8"/>
        <v>0.92471213874485103</v>
      </c>
      <c r="D178" s="37">
        <f t="shared" si="9"/>
        <v>0.81448915279691303</v>
      </c>
      <c r="F178" s="1">
        <v>41774</v>
      </c>
      <c r="G178">
        <v>0.92471213874485103</v>
      </c>
      <c r="I178" s="1">
        <v>41774</v>
      </c>
      <c r="J178">
        <v>0.81448915279691303</v>
      </c>
      <c r="K178" s="72">
        <v>131022110576.76801</v>
      </c>
      <c r="L178" s="72">
        <f t="shared" si="10"/>
        <v>869491021687.79004</v>
      </c>
      <c r="M178" s="37">
        <f t="shared" si="11"/>
        <v>0.15068828465006784</v>
      </c>
      <c r="O178" s="1">
        <v>41774</v>
      </c>
      <c r="P178" s="37">
        <v>0.30891479778446901</v>
      </c>
      <c r="Q178">
        <v>869491021687.79004</v>
      </c>
    </row>
    <row r="179" spans="2:17">
      <c r="B179" s="60">
        <v>41781</v>
      </c>
      <c r="C179" s="37">
        <f t="shared" si="8"/>
        <v>0.942170788335981</v>
      </c>
      <c r="D179" s="37">
        <f t="shared" si="9"/>
        <v>0.83369685729657195</v>
      </c>
      <c r="F179" s="1">
        <v>41781</v>
      </c>
      <c r="G179">
        <v>0.942170788335981</v>
      </c>
      <c r="I179" s="1">
        <v>41781</v>
      </c>
      <c r="J179">
        <v>0.83369685729657195</v>
      </c>
      <c r="K179" s="72">
        <v>131022110576.76801</v>
      </c>
      <c r="L179" s="72">
        <f t="shared" si="10"/>
        <v>869491021687.79004</v>
      </c>
      <c r="M179" s="37">
        <f t="shared" si="11"/>
        <v>0.15068828465006784</v>
      </c>
      <c r="O179" s="1">
        <v>41781</v>
      </c>
      <c r="P179" s="37">
        <v>0.33114270527414602</v>
      </c>
      <c r="Q179">
        <v>869491021687.79004</v>
      </c>
    </row>
    <row r="180" spans="2:17">
      <c r="B180" s="60">
        <v>41788</v>
      </c>
      <c r="C180" s="37">
        <f t="shared" si="8"/>
        <v>0.94220364207853702</v>
      </c>
      <c r="D180" s="37">
        <f t="shared" si="9"/>
        <v>0.83441070814585505</v>
      </c>
      <c r="F180" s="1">
        <v>41788</v>
      </c>
      <c r="G180">
        <v>0.94220364207853702</v>
      </c>
      <c r="I180" s="1">
        <v>41788</v>
      </c>
      <c r="J180">
        <v>0.83441070814585505</v>
      </c>
      <c r="K180" s="72">
        <v>131022110576.76801</v>
      </c>
      <c r="L180" s="72">
        <f t="shared" si="10"/>
        <v>869491021687.79004</v>
      </c>
      <c r="M180" s="37">
        <f t="shared" si="11"/>
        <v>0.15068828465006784</v>
      </c>
      <c r="O180" s="1">
        <v>41788</v>
      </c>
      <c r="P180" s="37">
        <v>0.33194076989098698</v>
      </c>
      <c r="Q180">
        <v>869491021687.79004</v>
      </c>
    </row>
    <row r="181" spans="2:17">
      <c r="B181" s="60">
        <v>41795</v>
      </c>
      <c r="C181" s="37">
        <f t="shared" si="8"/>
        <v>0.94191255638832705</v>
      </c>
      <c r="D181" s="37">
        <f t="shared" si="9"/>
        <v>0.84407077334338998</v>
      </c>
      <c r="F181" s="1">
        <v>41795</v>
      </c>
      <c r="G181">
        <v>0.94191255638832705</v>
      </c>
      <c r="I181" s="1">
        <v>41795</v>
      </c>
      <c r="J181">
        <v>0.84407077334338998</v>
      </c>
      <c r="K181" s="72">
        <v>127996673162.017</v>
      </c>
      <c r="L181" s="72">
        <f t="shared" si="10"/>
        <v>874676225982.203</v>
      </c>
      <c r="M181" s="37">
        <f t="shared" si="11"/>
        <v>0.14633606054432916</v>
      </c>
      <c r="O181" s="1">
        <v>41795</v>
      </c>
      <c r="P181" s="37">
        <v>0.33192034731196002</v>
      </c>
      <c r="Q181">
        <v>874676225982.203</v>
      </c>
    </row>
    <row r="182" spans="2:17">
      <c r="B182" s="60">
        <v>41802</v>
      </c>
      <c r="C182" s="37">
        <f t="shared" si="8"/>
        <v>0.924708662683428</v>
      </c>
      <c r="D182" s="37">
        <f t="shared" si="9"/>
        <v>0.824454253938531</v>
      </c>
      <c r="F182" s="1">
        <v>41802</v>
      </c>
      <c r="G182">
        <v>0.924708662683428</v>
      </c>
      <c r="I182" s="1">
        <v>41802</v>
      </c>
      <c r="J182">
        <v>0.824454253938531</v>
      </c>
      <c r="K182" s="72">
        <v>127996673162.017</v>
      </c>
      <c r="L182" s="72">
        <f t="shared" si="10"/>
        <v>874676225982.203</v>
      </c>
      <c r="M182" s="37">
        <f t="shared" si="11"/>
        <v>0.14633606054432916</v>
      </c>
      <c r="O182" s="1">
        <v>41802</v>
      </c>
      <c r="P182" s="37">
        <v>0.30807676123988798</v>
      </c>
      <c r="Q182">
        <v>874676225982.203</v>
      </c>
    </row>
    <row r="183" spans="2:17">
      <c r="B183" s="60">
        <v>41809</v>
      </c>
      <c r="C183" s="37">
        <f t="shared" si="8"/>
        <v>0.92478797041361505</v>
      </c>
      <c r="D183" s="37">
        <f t="shared" si="9"/>
        <v>0.82589246523279602</v>
      </c>
      <c r="F183" s="1">
        <v>41809</v>
      </c>
      <c r="G183">
        <v>0.92478797041361505</v>
      </c>
      <c r="I183" s="1">
        <v>41809</v>
      </c>
      <c r="J183">
        <v>0.82589246523279602</v>
      </c>
      <c r="K183" s="72">
        <v>127996673162.017</v>
      </c>
      <c r="L183" s="72">
        <f t="shared" si="10"/>
        <v>874676225982.203</v>
      </c>
      <c r="M183" s="37">
        <f t="shared" si="11"/>
        <v>0.14633606054432916</v>
      </c>
      <c r="O183" s="1">
        <v>41809</v>
      </c>
      <c r="P183" s="37">
        <v>0.30971242843576302</v>
      </c>
      <c r="Q183">
        <v>874676225982.203</v>
      </c>
    </row>
    <row r="184" spans="2:17">
      <c r="B184" s="60">
        <v>41816</v>
      </c>
      <c r="C184" s="37">
        <f t="shared" si="8"/>
        <v>0.94191255638832705</v>
      </c>
      <c r="D184" s="37">
        <f t="shared" si="9"/>
        <v>0.84407077334338998</v>
      </c>
      <c r="F184" s="1">
        <v>41816</v>
      </c>
      <c r="G184">
        <v>0.94191255638832705</v>
      </c>
      <c r="I184" s="1">
        <v>41816</v>
      </c>
      <c r="J184">
        <v>0.84407077334338998</v>
      </c>
      <c r="K184" s="72">
        <v>127996673162.017</v>
      </c>
      <c r="L184" s="72">
        <f t="shared" si="10"/>
        <v>874676225982.203</v>
      </c>
      <c r="M184" s="37">
        <f t="shared" si="11"/>
        <v>0.14633606054432916</v>
      </c>
      <c r="O184" s="1">
        <v>41816</v>
      </c>
      <c r="P184" s="37">
        <v>0.33192034731196002</v>
      </c>
      <c r="Q184">
        <v>874676225982.203</v>
      </c>
    </row>
    <row r="185" spans="2:17">
      <c r="B185" s="60">
        <v>41823</v>
      </c>
      <c r="C185" s="37">
        <f t="shared" si="8"/>
        <v>0.95933486163638704</v>
      </c>
      <c r="D185" s="37">
        <f t="shared" si="9"/>
        <v>0.86674293264243896</v>
      </c>
      <c r="F185" s="1">
        <v>41823</v>
      </c>
      <c r="G185">
        <v>0.95933486163638704</v>
      </c>
      <c r="I185" s="1">
        <v>41823</v>
      </c>
      <c r="J185">
        <v>0.86674293264243896</v>
      </c>
      <c r="K185" s="72">
        <v>124999566160.547</v>
      </c>
      <c r="L185" s="72">
        <f t="shared" si="10"/>
        <v>879218074297.77698</v>
      </c>
      <c r="M185" s="37">
        <f t="shared" si="11"/>
        <v>0.14217128811914262</v>
      </c>
      <c r="O185" s="1">
        <v>41823</v>
      </c>
      <c r="P185" s="37">
        <v>0.35262516495052798</v>
      </c>
      <c r="Q185">
        <v>879218074297.77698</v>
      </c>
    </row>
    <row r="186" spans="2:17">
      <c r="B186" s="60">
        <v>41830</v>
      </c>
      <c r="C186" s="37">
        <f t="shared" si="8"/>
        <v>0.92435732512698199</v>
      </c>
      <c r="D186" s="37">
        <f t="shared" si="9"/>
        <v>0.82890227253426596</v>
      </c>
      <c r="F186" s="1">
        <v>41830</v>
      </c>
      <c r="G186">
        <v>0.92435732512698199</v>
      </c>
      <c r="I186" s="1">
        <v>41830</v>
      </c>
      <c r="J186">
        <v>0.82890227253426596</v>
      </c>
      <c r="K186" s="72">
        <v>124999566160.547</v>
      </c>
      <c r="L186" s="72">
        <f t="shared" si="10"/>
        <v>879218074297.77698</v>
      </c>
      <c r="M186" s="37">
        <f t="shared" si="11"/>
        <v>0.14217128811914262</v>
      </c>
      <c r="O186" s="1">
        <v>41830</v>
      </c>
      <c r="P186" s="37">
        <v>0.30448503707734098</v>
      </c>
      <c r="Q186">
        <v>879218074297.77698</v>
      </c>
    </row>
    <row r="187" spans="2:17">
      <c r="B187" s="60">
        <v>41837</v>
      </c>
      <c r="C187" s="37">
        <f t="shared" si="8"/>
        <v>0.94140193159732499</v>
      </c>
      <c r="D187" s="37">
        <f t="shared" si="9"/>
        <v>0.84648587198714098</v>
      </c>
      <c r="F187" s="1">
        <v>41837</v>
      </c>
      <c r="G187">
        <v>0.94140193159732499</v>
      </c>
      <c r="I187" s="1">
        <v>41837</v>
      </c>
      <c r="J187">
        <v>0.84648587198714098</v>
      </c>
      <c r="K187" s="72">
        <v>124999566160.547</v>
      </c>
      <c r="L187" s="72">
        <f t="shared" si="10"/>
        <v>879218074297.77698</v>
      </c>
      <c r="M187" s="37">
        <f t="shared" si="11"/>
        <v>0.14217128811914262</v>
      </c>
      <c r="O187" s="1">
        <v>41837</v>
      </c>
      <c r="P187" s="37">
        <v>0.32660064596161198</v>
      </c>
      <c r="Q187">
        <v>879218074297.77698</v>
      </c>
    </row>
    <row r="188" spans="2:17">
      <c r="B188" s="60">
        <v>41844</v>
      </c>
      <c r="C188" s="37">
        <f t="shared" si="8"/>
        <v>0.94140193159732499</v>
      </c>
      <c r="D188" s="37">
        <f t="shared" si="9"/>
        <v>0.84648587198714098</v>
      </c>
      <c r="F188" s="1">
        <v>41844</v>
      </c>
      <c r="G188">
        <v>0.94140193159732499</v>
      </c>
      <c r="I188" s="1">
        <v>41844</v>
      </c>
      <c r="J188">
        <v>0.84648587198714098</v>
      </c>
      <c r="K188" s="72">
        <v>124999566160.547</v>
      </c>
      <c r="L188" s="72">
        <f t="shared" si="10"/>
        <v>879218074297.77698</v>
      </c>
      <c r="M188" s="37">
        <f t="shared" si="11"/>
        <v>0.14217128811914262</v>
      </c>
      <c r="O188" s="1">
        <v>41844</v>
      </c>
      <c r="P188" s="37">
        <v>0.32660064596161198</v>
      </c>
      <c r="Q188">
        <v>879218074297.77698</v>
      </c>
    </row>
    <row r="189" spans="2:17">
      <c r="B189" s="60">
        <v>41851</v>
      </c>
      <c r="C189" s="37">
        <f t="shared" si="8"/>
        <v>0.94141649683931705</v>
      </c>
      <c r="D189" s="37">
        <f t="shared" si="9"/>
        <v>0.84693805880599304</v>
      </c>
      <c r="F189" s="1">
        <v>41851</v>
      </c>
      <c r="G189">
        <v>0.94141649683931705</v>
      </c>
      <c r="I189" s="1">
        <v>41851</v>
      </c>
      <c r="J189">
        <v>0.84693805880599304</v>
      </c>
      <c r="K189" s="72">
        <v>124999566160.547</v>
      </c>
      <c r="L189" s="72">
        <f t="shared" si="10"/>
        <v>879218074297.77698</v>
      </c>
      <c r="M189" s="37">
        <f t="shared" si="11"/>
        <v>0.14217128811914262</v>
      </c>
      <c r="O189" s="1">
        <v>41851</v>
      </c>
      <c r="P189" s="37">
        <v>0.32699157373577598</v>
      </c>
      <c r="Q189">
        <v>879218074297.77698</v>
      </c>
    </row>
    <row r="190" spans="2:17">
      <c r="B190" s="60">
        <v>41858</v>
      </c>
      <c r="C190" s="37">
        <f t="shared" si="8"/>
        <v>0.92406873351741203</v>
      </c>
      <c r="D190" s="37">
        <f t="shared" si="9"/>
        <v>0.83214930029007805</v>
      </c>
      <c r="F190" s="1">
        <v>41858</v>
      </c>
      <c r="G190">
        <v>0.92406873351741203</v>
      </c>
      <c r="I190" s="1">
        <v>41858</v>
      </c>
      <c r="J190">
        <v>0.83214930029007805</v>
      </c>
      <c r="K190" s="72">
        <v>122034558755.91701</v>
      </c>
      <c r="L190" s="72">
        <f t="shared" si="10"/>
        <v>889016211164.04895</v>
      </c>
      <c r="M190" s="37">
        <f t="shared" si="11"/>
        <v>0.13726921649283416</v>
      </c>
      <c r="O190" s="1">
        <v>41858</v>
      </c>
      <c r="P190" s="37">
        <v>0.29774290507115803</v>
      </c>
      <c r="Q190">
        <v>889016211164.04895</v>
      </c>
    </row>
    <row r="191" spans="2:17">
      <c r="B191" s="60">
        <v>41865</v>
      </c>
      <c r="C191" s="37">
        <f t="shared" si="8"/>
        <v>0.94091871934431903</v>
      </c>
      <c r="D191" s="37">
        <f t="shared" si="9"/>
        <v>0.84983360370315197</v>
      </c>
      <c r="F191" s="1">
        <v>41865</v>
      </c>
      <c r="G191">
        <v>0.94091871934431903</v>
      </c>
      <c r="I191" s="1">
        <v>41865</v>
      </c>
      <c r="J191">
        <v>0.84983360370315197</v>
      </c>
      <c r="K191" s="72">
        <v>122034558755.91701</v>
      </c>
      <c r="L191" s="72">
        <f t="shared" si="10"/>
        <v>889016211164.04895</v>
      </c>
      <c r="M191" s="37">
        <f t="shared" si="11"/>
        <v>0.13726921649283416</v>
      </c>
      <c r="O191" s="1">
        <v>41865</v>
      </c>
      <c r="P191" s="37">
        <v>0.320132361922567</v>
      </c>
      <c r="Q191">
        <v>889016211164.04895</v>
      </c>
    </row>
    <row r="192" spans="2:17">
      <c r="B192" s="60">
        <v>41872</v>
      </c>
      <c r="C192" s="37">
        <f t="shared" si="8"/>
        <v>0.95930523734958395</v>
      </c>
      <c r="D192" s="37">
        <f t="shared" si="9"/>
        <v>0.87098339925649604</v>
      </c>
      <c r="F192" s="1">
        <v>41872</v>
      </c>
      <c r="G192">
        <v>0.95930523734958395</v>
      </c>
      <c r="I192" s="1">
        <v>41872</v>
      </c>
      <c r="J192">
        <v>0.87098339925649604</v>
      </c>
      <c r="K192" s="72">
        <v>122034558755.91701</v>
      </c>
      <c r="L192" s="72">
        <f t="shared" si="10"/>
        <v>889016211164.04895</v>
      </c>
      <c r="M192" s="37">
        <f t="shared" si="11"/>
        <v>0.13726921649283416</v>
      </c>
      <c r="O192" s="1">
        <v>41872</v>
      </c>
      <c r="P192" s="37">
        <v>0.34626375886905603</v>
      </c>
      <c r="Q192">
        <v>889016211164.04895</v>
      </c>
    </row>
    <row r="193" spans="2:17">
      <c r="B193" s="60">
        <v>41879</v>
      </c>
      <c r="C193" s="37">
        <f t="shared" si="8"/>
        <v>0.95930523734958395</v>
      </c>
      <c r="D193" s="37">
        <f t="shared" si="9"/>
        <v>0.87098339925649604</v>
      </c>
      <c r="F193" s="1">
        <v>41879</v>
      </c>
      <c r="G193">
        <v>0.95930523734958395</v>
      </c>
      <c r="I193" s="1">
        <v>41879</v>
      </c>
      <c r="J193">
        <v>0.87098339925649604</v>
      </c>
      <c r="K193" s="72">
        <v>122034558755.91701</v>
      </c>
      <c r="L193" s="72">
        <f t="shared" si="10"/>
        <v>889016211164.04895</v>
      </c>
      <c r="M193" s="37">
        <f t="shared" si="11"/>
        <v>0.13726921649283416</v>
      </c>
      <c r="O193" s="1">
        <v>41879</v>
      </c>
      <c r="P193" s="37">
        <v>0.34626375886905603</v>
      </c>
      <c r="Q193">
        <v>889016211164.04895</v>
      </c>
    </row>
    <row r="194" spans="2:17">
      <c r="B194" s="60">
        <v>41886</v>
      </c>
      <c r="C194" s="37">
        <f t="shared" si="8"/>
        <v>0.959184322523427</v>
      </c>
      <c r="D194" s="37">
        <f t="shared" si="9"/>
        <v>0.87380583264278999</v>
      </c>
      <c r="F194" s="1">
        <v>41886</v>
      </c>
      <c r="G194">
        <v>0.959184322523427</v>
      </c>
      <c r="I194" s="1">
        <v>41886</v>
      </c>
      <c r="J194">
        <v>0.87380583264278999</v>
      </c>
      <c r="K194" s="72">
        <v>119186886371.356</v>
      </c>
      <c r="L194" s="72">
        <f t="shared" si="10"/>
        <v>896796715582.33606</v>
      </c>
      <c r="M194" s="37">
        <f t="shared" si="11"/>
        <v>0.13290290240855962</v>
      </c>
      <c r="O194" s="1">
        <v>41886</v>
      </c>
      <c r="P194" s="37">
        <v>0.339896907197697</v>
      </c>
      <c r="Q194">
        <v>896796715582.33606</v>
      </c>
    </row>
    <row r="195" spans="2:17">
      <c r="B195" s="60">
        <v>41893</v>
      </c>
      <c r="C195" s="37">
        <f t="shared" si="8"/>
        <v>0.95904395158926303</v>
      </c>
      <c r="D195" s="37">
        <f t="shared" si="9"/>
        <v>0.87282316645630098</v>
      </c>
      <c r="F195" s="1">
        <v>41893</v>
      </c>
      <c r="G195">
        <v>0.95904395158926303</v>
      </c>
      <c r="I195" s="1">
        <v>41893</v>
      </c>
      <c r="J195">
        <v>0.87282316645630098</v>
      </c>
      <c r="K195" s="72">
        <v>119186886371.356</v>
      </c>
      <c r="L195" s="72">
        <f t="shared" si="10"/>
        <v>896796715582.33606</v>
      </c>
      <c r="M195" s="37">
        <f t="shared" si="11"/>
        <v>0.13290290240855962</v>
      </c>
      <c r="O195" s="1">
        <v>41893</v>
      </c>
      <c r="P195" s="37">
        <v>0.33936239503709098</v>
      </c>
      <c r="Q195">
        <v>896796715582.33606</v>
      </c>
    </row>
    <row r="196" spans="2:17">
      <c r="B196" s="60">
        <v>41900</v>
      </c>
      <c r="C196" s="37">
        <f t="shared" ref="C196:C227" si="12">VLOOKUP(B196,F:G,2,0)</f>
        <v>0.92367592231458095</v>
      </c>
      <c r="D196" s="37">
        <f t="shared" ref="D196:D227" si="13">VLOOKUP(B196,I:J,2,0)</f>
        <v>0.83339683915826901</v>
      </c>
      <c r="F196" s="1">
        <v>41900</v>
      </c>
      <c r="G196">
        <v>0.92367592231458095</v>
      </c>
      <c r="I196" s="1">
        <v>41900</v>
      </c>
      <c r="J196">
        <v>0.83339683915826901</v>
      </c>
      <c r="K196" s="72">
        <v>119186886371.356</v>
      </c>
      <c r="L196" s="72">
        <f t="shared" ref="L196:L228" si="14">VLOOKUP(I196,O:Q,3,0)</f>
        <v>896796715582.33606</v>
      </c>
      <c r="M196" s="37">
        <f t="shared" ref="M196:M228" si="15">K196/L196*100%</f>
        <v>0.13290290240855962</v>
      </c>
      <c r="O196" s="1">
        <v>41900</v>
      </c>
      <c r="P196" s="37">
        <v>0.28985985896912098</v>
      </c>
      <c r="Q196">
        <v>896796715582.33606</v>
      </c>
    </row>
    <row r="197" spans="2:17">
      <c r="B197" s="60">
        <v>41907</v>
      </c>
      <c r="C197" s="37">
        <f t="shared" si="12"/>
        <v>0.92375754000891097</v>
      </c>
      <c r="D197" s="37">
        <f t="shared" si="13"/>
        <v>0.83469677777951401</v>
      </c>
      <c r="F197" s="1">
        <v>41907</v>
      </c>
      <c r="G197">
        <v>0.92375754000891097</v>
      </c>
      <c r="I197" s="1">
        <v>41907</v>
      </c>
      <c r="J197">
        <v>0.83469677777951401</v>
      </c>
      <c r="K197" s="72">
        <v>119186886371.356</v>
      </c>
      <c r="L197" s="72">
        <f t="shared" si="14"/>
        <v>896796715582.33606</v>
      </c>
      <c r="M197" s="37">
        <f t="shared" si="15"/>
        <v>0.13290290240855962</v>
      </c>
      <c r="O197" s="1">
        <v>41907</v>
      </c>
      <c r="P197" s="37">
        <v>0.29129845378289898</v>
      </c>
      <c r="Q197">
        <v>896796715582.33606</v>
      </c>
    </row>
    <row r="198" spans="2:17">
      <c r="B198" s="60">
        <v>41914</v>
      </c>
      <c r="C198" s="37">
        <f t="shared" si="12"/>
        <v>0.939877910552257</v>
      </c>
      <c r="D198" s="37">
        <f t="shared" si="13"/>
        <v>0.85275490992422898</v>
      </c>
      <c r="F198" s="1">
        <v>41914</v>
      </c>
      <c r="G198">
        <v>0.939877910552257</v>
      </c>
      <c r="I198" s="1">
        <v>41914</v>
      </c>
      <c r="J198">
        <v>0.85275490992422898</v>
      </c>
      <c r="K198" s="72">
        <v>116367013129.366</v>
      </c>
      <c r="L198" s="72">
        <f t="shared" si="14"/>
        <v>904868755203.72498</v>
      </c>
      <c r="M198" s="37">
        <f t="shared" si="15"/>
        <v>0.12860098490544827</v>
      </c>
      <c r="O198" s="1">
        <v>41914</v>
      </c>
      <c r="P198" s="37">
        <v>0.305477469640837</v>
      </c>
      <c r="Q198">
        <v>904868755203.72498</v>
      </c>
    </row>
    <row r="199" spans="2:17">
      <c r="B199" s="60">
        <v>41921</v>
      </c>
      <c r="C199" s="37">
        <f t="shared" si="12"/>
        <v>0.95870597013426595</v>
      </c>
      <c r="D199" s="37">
        <f t="shared" si="13"/>
        <v>0.87407306805923601</v>
      </c>
      <c r="F199" s="1">
        <v>41921</v>
      </c>
      <c r="G199">
        <v>0.95870597013426595</v>
      </c>
      <c r="I199" s="1">
        <v>41921</v>
      </c>
      <c r="J199">
        <v>0.87407306805923601</v>
      </c>
      <c r="K199" s="72">
        <v>116367013129.366</v>
      </c>
      <c r="L199" s="72">
        <f t="shared" si="14"/>
        <v>904868755203.72498</v>
      </c>
      <c r="M199" s="37">
        <f t="shared" si="15"/>
        <v>0.12860098490544827</v>
      </c>
      <c r="O199" s="1">
        <v>41921</v>
      </c>
      <c r="P199" s="37">
        <v>0.331441643373315</v>
      </c>
      <c r="Q199">
        <v>904868755203.72498</v>
      </c>
    </row>
    <row r="200" spans="2:17">
      <c r="B200" s="60">
        <v>41928</v>
      </c>
      <c r="C200" s="37">
        <f t="shared" si="12"/>
        <v>0.98146689029705902</v>
      </c>
      <c r="D200" s="37">
        <f t="shared" si="13"/>
        <v>0.90427695834799704</v>
      </c>
      <c r="F200" s="1">
        <v>41928</v>
      </c>
      <c r="G200">
        <v>0.98146689029705902</v>
      </c>
      <c r="I200" s="1">
        <v>41928</v>
      </c>
      <c r="J200">
        <v>0.90427695834799704</v>
      </c>
      <c r="K200" s="72">
        <v>116367013129.366</v>
      </c>
      <c r="L200" s="72">
        <f t="shared" si="14"/>
        <v>904868755203.72498</v>
      </c>
      <c r="M200" s="37">
        <f t="shared" si="15"/>
        <v>0.12860098490544827</v>
      </c>
      <c r="O200" s="1">
        <v>41928</v>
      </c>
      <c r="P200" s="37">
        <v>0.392928030601567</v>
      </c>
      <c r="Q200">
        <v>904868755203.72498</v>
      </c>
    </row>
    <row r="201" spans="2:17">
      <c r="B201" s="60">
        <v>41935</v>
      </c>
      <c r="C201" s="37">
        <f t="shared" si="12"/>
        <v>0.98818151288594802</v>
      </c>
      <c r="D201" s="37">
        <f t="shared" si="13"/>
        <v>0.91415871688142003</v>
      </c>
      <c r="F201" s="1">
        <v>41935</v>
      </c>
      <c r="G201">
        <v>0.98818151288594802</v>
      </c>
      <c r="I201" s="1">
        <v>41935</v>
      </c>
      <c r="J201">
        <v>0.91415871688142003</v>
      </c>
      <c r="K201" s="72">
        <v>116367013129.366</v>
      </c>
      <c r="L201" s="72">
        <f t="shared" si="14"/>
        <v>904868755203.72498</v>
      </c>
      <c r="M201" s="37">
        <f t="shared" si="15"/>
        <v>0.12860098490544827</v>
      </c>
      <c r="O201" s="1">
        <v>41935</v>
      </c>
      <c r="P201" s="37">
        <v>0.42272700072756098</v>
      </c>
      <c r="Q201">
        <v>904868755203.72498</v>
      </c>
    </row>
    <row r="202" spans="2:17">
      <c r="B202" s="60">
        <v>41942</v>
      </c>
      <c r="C202" s="37">
        <f t="shared" si="12"/>
        <v>0.98146296312210002</v>
      </c>
      <c r="D202" s="37">
        <f t="shared" si="13"/>
        <v>0.90425801000292305</v>
      </c>
      <c r="F202" s="1">
        <v>41942</v>
      </c>
      <c r="G202">
        <v>0.98146296312210002</v>
      </c>
      <c r="I202" s="1">
        <v>41942</v>
      </c>
      <c r="J202">
        <v>0.90425801000292305</v>
      </c>
      <c r="K202" s="72">
        <v>116367013129.366</v>
      </c>
      <c r="L202" s="72">
        <f t="shared" si="14"/>
        <v>904868755203.72498</v>
      </c>
      <c r="M202" s="37">
        <f t="shared" si="15"/>
        <v>0.12860098490544827</v>
      </c>
      <c r="O202" s="1">
        <v>41942</v>
      </c>
      <c r="P202" s="37">
        <v>0.39286667249963197</v>
      </c>
      <c r="Q202">
        <v>904868755203.72498</v>
      </c>
    </row>
    <row r="203" spans="2:17">
      <c r="B203" s="60">
        <v>41949</v>
      </c>
      <c r="C203" s="37">
        <f t="shared" si="12"/>
        <v>0.97081970689119501</v>
      </c>
      <c r="D203" s="37">
        <f t="shared" si="13"/>
        <v>0.89330807391308997</v>
      </c>
      <c r="F203" s="1">
        <v>41949</v>
      </c>
      <c r="G203">
        <v>0.97081970689119501</v>
      </c>
      <c r="I203" s="1">
        <v>41949</v>
      </c>
      <c r="J203">
        <v>0.89330807391308997</v>
      </c>
      <c r="K203" s="72">
        <v>113578619016.686</v>
      </c>
      <c r="L203" s="72">
        <f t="shared" si="14"/>
        <v>911144707396.39795</v>
      </c>
      <c r="M203" s="37">
        <f t="shared" si="15"/>
        <v>0.12465486337646373</v>
      </c>
      <c r="O203" s="1">
        <v>41949</v>
      </c>
      <c r="P203" s="37">
        <v>0.354143081837822</v>
      </c>
      <c r="Q203">
        <v>911144707396.39795</v>
      </c>
    </row>
    <row r="204" spans="2:17">
      <c r="B204" s="60">
        <v>41956</v>
      </c>
      <c r="C204" s="37">
        <f t="shared" si="12"/>
        <v>0.97082427955975303</v>
      </c>
      <c r="D204" s="37">
        <f t="shared" si="13"/>
        <v>0.89333391711787102</v>
      </c>
      <c r="F204" s="1">
        <v>41956</v>
      </c>
      <c r="G204">
        <v>0.97082427955975303</v>
      </c>
      <c r="I204" s="1">
        <v>41956</v>
      </c>
      <c r="J204">
        <v>0.89333391711787102</v>
      </c>
      <c r="K204" s="72">
        <v>113578619016.686</v>
      </c>
      <c r="L204" s="72">
        <f t="shared" si="14"/>
        <v>911144707396.39795</v>
      </c>
      <c r="M204" s="37">
        <f t="shared" si="15"/>
        <v>0.12465486337646373</v>
      </c>
      <c r="O204" s="1">
        <v>41956</v>
      </c>
      <c r="P204" s="37">
        <v>0.354271281217999</v>
      </c>
      <c r="Q204">
        <v>911144707396.39795</v>
      </c>
    </row>
    <row r="205" spans="2:17">
      <c r="B205" s="60">
        <v>41963</v>
      </c>
      <c r="C205" s="37">
        <f t="shared" si="12"/>
        <v>0.98114317383489702</v>
      </c>
      <c r="D205" s="37">
        <f t="shared" si="13"/>
        <v>0.905011241503064</v>
      </c>
      <c r="F205" s="1">
        <v>41963</v>
      </c>
      <c r="G205">
        <v>0.98114317383489702</v>
      </c>
      <c r="I205" s="1">
        <v>41963</v>
      </c>
      <c r="J205">
        <v>0.905011241503064</v>
      </c>
      <c r="K205" s="72">
        <v>113578619016.686</v>
      </c>
      <c r="L205" s="72">
        <f t="shared" si="14"/>
        <v>911144707396.39795</v>
      </c>
      <c r="M205" s="37">
        <f t="shared" si="15"/>
        <v>0.12465486337646373</v>
      </c>
      <c r="O205" s="1">
        <v>41963</v>
      </c>
      <c r="P205" s="37">
        <v>0.38515221599308302</v>
      </c>
      <c r="Q205">
        <v>911144707396.39795</v>
      </c>
    </row>
    <row r="206" spans="2:17">
      <c r="B206" s="60">
        <v>41969</v>
      </c>
      <c r="C206" s="37">
        <f t="shared" si="12"/>
        <v>0.98115309471965295</v>
      </c>
      <c r="D206" s="37">
        <f t="shared" si="13"/>
        <v>0.90562471296629599</v>
      </c>
      <c r="F206" s="1">
        <v>41969</v>
      </c>
      <c r="G206">
        <v>0.98115309471965295</v>
      </c>
      <c r="I206" s="1">
        <v>41969</v>
      </c>
      <c r="J206">
        <v>0.90562471296629599</v>
      </c>
      <c r="K206" s="72">
        <v>113578619016.686</v>
      </c>
      <c r="L206" s="72">
        <f t="shared" si="14"/>
        <v>911144707396.39795</v>
      </c>
      <c r="M206" s="37">
        <f t="shared" si="15"/>
        <v>0.12465486337646373</v>
      </c>
      <c r="O206" s="1">
        <v>41969</v>
      </c>
      <c r="P206" s="37">
        <v>0.38537159802743798</v>
      </c>
      <c r="Q206">
        <v>911144707396.39795</v>
      </c>
    </row>
    <row r="207" spans="2:17">
      <c r="B207" s="60">
        <v>41977</v>
      </c>
      <c r="C207" s="37">
        <f t="shared" si="12"/>
        <v>0.98784281177175604</v>
      </c>
      <c r="D207" s="37">
        <f t="shared" si="13"/>
        <v>0.91738283856560698</v>
      </c>
      <c r="F207" s="1">
        <v>41977</v>
      </c>
      <c r="G207">
        <v>0.98784281177175604</v>
      </c>
      <c r="I207" s="1">
        <v>41977</v>
      </c>
      <c r="J207">
        <v>0.91738283856560698</v>
      </c>
      <c r="K207" s="72">
        <v>111141034606.26401</v>
      </c>
      <c r="L207" s="72">
        <f t="shared" si="14"/>
        <v>915537820187.26404</v>
      </c>
      <c r="M207" s="37">
        <f t="shared" si="15"/>
        <v>0.12139425827709796</v>
      </c>
      <c r="O207" s="1">
        <v>41977</v>
      </c>
      <c r="P207" s="37">
        <v>0.40924051329753303</v>
      </c>
      <c r="Q207">
        <v>915537820187.26404</v>
      </c>
    </row>
    <row r="208" spans="2:17">
      <c r="B208" s="60">
        <v>41984</v>
      </c>
      <c r="C208" s="37">
        <f t="shared" si="12"/>
        <v>0.98783408332259803</v>
      </c>
      <c r="D208" s="37">
        <f t="shared" si="13"/>
        <v>0.91630211530110295</v>
      </c>
      <c r="F208" s="1">
        <v>41984</v>
      </c>
      <c r="G208">
        <v>0.98783408332259803</v>
      </c>
      <c r="I208" s="1">
        <v>41984</v>
      </c>
      <c r="J208">
        <v>0.91630211530110295</v>
      </c>
      <c r="K208" s="72">
        <v>111141034606.26401</v>
      </c>
      <c r="L208" s="72">
        <f t="shared" si="14"/>
        <v>915537820187.26404</v>
      </c>
      <c r="M208" s="37">
        <f t="shared" si="15"/>
        <v>0.12139425827709796</v>
      </c>
      <c r="O208" s="1">
        <v>41984</v>
      </c>
      <c r="P208" s="37">
        <v>0.40805805717169102</v>
      </c>
      <c r="Q208">
        <v>915537820187.26404</v>
      </c>
    </row>
    <row r="209" spans="2:17">
      <c r="B209" s="60">
        <v>41991</v>
      </c>
      <c r="C209" s="37">
        <f t="shared" si="12"/>
        <v>0.99479182701672098</v>
      </c>
      <c r="D209" s="37">
        <f t="shared" si="13"/>
        <v>0.92646419287507198</v>
      </c>
      <c r="F209" s="1">
        <v>41991</v>
      </c>
      <c r="G209">
        <v>0.99479182701672098</v>
      </c>
      <c r="I209" s="1">
        <v>41991</v>
      </c>
      <c r="J209">
        <v>0.92646419287507198</v>
      </c>
      <c r="K209" s="72">
        <v>111141034606.26401</v>
      </c>
      <c r="L209" s="72">
        <f t="shared" si="14"/>
        <v>915537820187.26404</v>
      </c>
      <c r="M209" s="37">
        <f t="shared" si="15"/>
        <v>0.12139425827709796</v>
      </c>
      <c r="O209" s="1">
        <v>41991</v>
      </c>
      <c r="P209" s="37">
        <v>0.44444312661220597</v>
      </c>
      <c r="Q209">
        <v>915537820187.26404</v>
      </c>
    </row>
    <row r="210" spans="2:17">
      <c r="B210" s="60">
        <v>41997</v>
      </c>
      <c r="C210" s="37">
        <f t="shared" si="12"/>
        <v>0.99479023677626099</v>
      </c>
      <c r="D210" s="37">
        <f t="shared" si="13"/>
        <v>0.92571360320613905</v>
      </c>
      <c r="F210" s="1">
        <v>41997</v>
      </c>
      <c r="G210">
        <v>0.99479023677626099</v>
      </c>
      <c r="I210" s="1">
        <v>41997</v>
      </c>
      <c r="J210">
        <v>0.92571360320613905</v>
      </c>
      <c r="K210" s="72">
        <v>111141034606.26401</v>
      </c>
      <c r="L210" s="72">
        <f t="shared" si="14"/>
        <v>915537820187.26404</v>
      </c>
      <c r="M210" s="37">
        <f t="shared" si="15"/>
        <v>0.12139425827709796</v>
      </c>
      <c r="O210" s="1">
        <v>41997</v>
      </c>
      <c r="P210" s="37">
        <v>0.44157633126364998</v>
      </c>
      <c r="Q210">
        <v>915537820187.26404</v>
      </c>
    </row>
    <row r="211" spans="2:17">
      <c r="B211" s="60">
        <v>42004</v>
      </c>
      <c r="C211" s="37">
        <f t="shared" si="12"/>
        <v>0.98784159692108897</v>
      </c>
      <c r="D211" s="37">
        <f t="shared" si="13"/>
        <v>0.91736458306846103</v>
      </c>
      <c r="F211" s="1">
        <v>42004</v>
      </c>
      <c r="G211">
        <v>0.98784159692108897</v>
      </c>
      <c r="I211" s="1">
        <v>42004</v>
      </c>
      <c r="J211">
        <v>0.91736458306846103</v>
      </c>
      <c r="K211" s="72">
        <v>111141034606.26401</v>
      </c>
      <c r="L211" s="72">
        <f t="shared" si="14"/>
        <v>915537820187.26404</v>
      </c>
      <c r="M211" s="37">
        <f t="shared" si="15"/>
        <v>0.12139425827709796</v>
      </c>
      <c r="O211" s="1">
        <v>42004</v>
      </c>
      <c r="P211" s="37">
        <v>0.40919489925904201</v>
      </c>
      <c r="Q211">
        <v>915537820187.26404</v>
      </c>
    </row>
    <row r="212" spans="2:17">
      <c r="B212" s="60">
        <v>42012</v>
      </c>
      <c r="C212" s="37">
        <f t="shared" si="12"/>
        <v>0.99863696366528298</v>
      </c>
      <c r="D212" s="37">
        <f t="shared" si="13"/>
        <v>0.93802679486435903</v>
      </c>
      <c r="F212" s="1">
        <v>42012</v>
      </c>
      <c r="G212">
        <v>0.99863696366528298</v>
      </c>
      <c r="I212" s="1">
        <v>42012</v>
      </c>
      <c r="J212">
        <v>0.93802679486435903</v>
      </c>
      <c r="K212" s="72">
        <v>108459729439.83501</v>
      </c>
      <c r="L212" s="72">
        <f t="shared" si="14"/>
        <v>919051298499.69104</v>
      </c>
      <c r="M212" s="37">
        <f t="shared" si="15"/>
        <v>0.11801270464106903</v>
      </c>
      <c r="O212" s="1">
        <v>42012</v>
      </c>
      <c r="P212" s="37">
        <v>0.46998057061549697</v>
      </c>
      <c r="Q212">
        <v>919051298499.69104</v>
      </c>
    </row>
    <row r="213" spans="2:17">
      <c r="B213" s="60">
        <v>42019</v>
      </c>
      <c r="C213" s="37">
        <f t="shared" si="12"/>
        <v>0.99972875942488504</v>
      </c>
      <c r="D213" s="37">
        <f t="shared" si="13"/>
        <v>0.94118254536371704</v>
      </c>
      <c r="F213" s="1">
        <v>42019</v>
      </c>
      <c r="G213">
        <v>0.99972875942488504</v>
      </c>
      <c r="I213" s="1">
        <v>42019</v>
      </c>
      <c r="J213">
        <v>0.94118254536371704</v>
      </c>
      <c r="K213" s="72">
        <v>108459729439.83501</v>
      </c>
      <c r="L213" s="72">
        <f t="shared" si="14"/>
        <v>919051298499.69104</v>
      </c>
      <c r="M213" s="37">
        <f t="shared" si="15"/>
        <v>0.11801270464106903</v>
      </c>
      <c r="O213" s="1">
        <v>42019</v>
      </c>
      <c r="P213" s="37">
        <v>0.52605134754242699</v>
      </c>
      <c r="Q213">
        <v>919051298499.69104</v>
      </c>
    </row>
    <row r="214" spans="2:17">
      <c r="B214" s="60">
        <v>42026</v>
      </c>
      <c r="C214" s="37">
        <f t="shared" si="12"/>
        <v>0.99972875942488504</v>
      </c>
      <c r="D214" s="37">
        <f t="shared" si="13"/>
        <v>0.94123508910533804</v>
      </c>
      <c r="F214" s="1">
        <v>42026</v>
      </c>
      <c r="G214">
        <v>0.99972875942488504</v>
      </c>
      <c r="I214" s="1">
        <v>42026</v>
      </c>
      <c r="J214">
        <v>0.94123508910533804</v>
      </c>
      <c r="K214" s="72">
        <v>108459729439.83501</v>
      </c>
      <c r="L214" s="72">
        <f t="shared" si="14"/>
        <v>919051298499.69104</v>
      </c>
      <c r="M214" s="37">
        <f t="shared" si="15"/>
        <v>0.11801270464106903</v>
      </c>
      <c r="O214" s="1">
        <v>42026</v>
      </c>
      <c r="P214" s="37">
        <v>0.52835609079609303</v>
      </c>
      <c r="Q214">
        <v>919051298499.69104</v>
      </c>
    </row>
    <row r="215" spans="2:17">
      <c r="B215" s="60">
        <v>42033</v>
      </c>
      <c r="C215" s="37">
        <f t="shared" si="12"/>
        <v>0.99972875942488504</v>
      </c>
      <c r="D215" s="37">
        <f t="shared" si="13"/>
        <v>0.94118254536371704</v>
      </c>
      <c r="F215" s="1">
        <v>42033</v>
      </c>
      <c r="G215">
        <v>0.99972875942488504</v>
      </c>
      <c r="I215" s="1">
        <v>42033</v>
      </c>
      <c r="J215">
        <v>0.94118254536371704</v>
      </c>
      <c r="K215" s="72">
        <v>108459729439.83501</v>
      </c>
      <c r="L215" s="72">
        <f t="shared" si="14"/>
        <v>919051298499.69104</v>
      </c>
      <c r="M215" s="37">
        <f t="shared" si="15"/>
        <v>0.11801270464106903</v>
      </c>
      <c r="O215" s="1">
        <v>42033</v>
      </c>
      <c r="P215" s="37">
        <v>0.52605134754242699</v>
      </c>
      <c r="Q215">
        <v>919051298499.69104</v>
      </c>
    </row>
    <row r="216" spans="2:17">
      <c r="B216" s="60">
        <v>42040</v>
      </c>
      <c r="C216" s="37">
        <f t="shared" si="12"/>
        <v>0.99972493862629996</v>
      </c>
      <c r="D216" s="37">
        <f t="shared" si="13"/>
        <v>0.94276245790638102</v>
      </c>
      <c r="F216" s="1">
        <v>42040</v>
      </c>
      <c r="G216">
        <v>0.99972493862629996</v>
      </c>
      <c r="I216" s="1">
        <v>42040</v>
      </c>
      <c r="J216">
        <v>0.94276245790638102</v>
      </c>
      <c r="K216" s="72">
        <v>106176807405.543</v>
      </c>
      <c r="L216" s="72">
        <f t="shared" si="14"/>
        <v>929906802060.74402</v>
      </c>
      <c r="M216" s="37">
        <f t="shared" si="15"/>
        <v>0.11418005242057283</v>
      </c>
      <c r="O216" s="1">
        <v>42040</v>
      </c>
      <c r="P216" s="37">
        <v>0.52546022650124202</v>
      </c>
      <c r="Q216">
        <v>929906802060.74402</v>
      </c>
    </row>
    <row r="217" spans="2:17">
      <c r="B217" s="60">
        <v>42047</v>
      </c>
      <c r="C217" s="37">
        <f t="shared" si="12"/>
        <v>0.99902094218210002</v>
      </c>
      <c r="D217" s="37">
        <f t="shared" si="13"/>
        <v>0.94029174019523298</v>
      </c>
      <c r="F217" s="1">
        <v>42047</v>
      </c>
      <c r="G217">
        <v>0.99902094218210002</v>
      </c>
      <c r="I217" s="1">
        <v>42047</v>
      </c>
      <c r="J217">
        <v>0.94029174019523298</v>
      </c>
      <c r="K217" s="72">
        <v>106176807405.543</v>
      </c>
      <c r="L217" s="72">
        <f t="shared" si="14"/>
        <v>929906802060.74402</v>
      </c>
      <c r="M217" s="37">
        <f t="shared" si="15"/>
        <v>0.11418005242057283</v>
      </c>
      <c r="O217" s="1">
        <v>42047</v>
      </c>
      <c r="P217" s="37">
        <v>0.49442366816029598</v>
      </c>
      <c r="Q217">
        <v>929906802060.74402</v>
      </c>
    </row>
    <row r="218" spans="2:17">
      <c r="B218" s="60">
        <v>42054</v>
      </c>
      <c r="C218" s="37">
        <f t="shared" si="12"/>
        <v>0.99863084569716998</v>
      </c>
      <c r="D218" s="37">
        <f t="shared" si="13"/>
        <v>0.93829546422584498</v>
      </c>
      <c r="F218" s="1">
        <v>42054</v>
      </c>
      <c r="G218">
        <v>0.99863084569716998</v>
      </c>
      <c r="I218" s="1">
        <v>42054</v>
      </c>
      <c r="J218">
        <v>0.93829546422584498</v>
      </c>
      <c r="K218" s="72">
        <v>106176807405.543</v>
      </c>
      <c r="L218" s="72">
        <f t="shared" si="14"/>
        <v>929906802060.74402</v>
      </c>
      <c r="M218" s="37">
        <f t="shared" si="15"/>
        <v>0.11418005242057283</v>
      </c>
      <c r="O218" s="1">
        <v>42054</v>
      </c>
      <c r="P218" s="37">
        <v>0.46098343440077399</v>
      </c>
      <c r="Q218">
        <v>929906802060.74402</v>
      </c>
    </row>
    <row r="219" spans="2:17">
      <c r="B219" s="60">
        <v>42061</v>
      </c>
      <c r="C219" s="37">
        <f t="shared" si="12"/>
        <v>0.99472881095047105</v>
      </c>
      <c r="D219" s="37">
        <f t="shared" si="13"/>
        <v>0.93258058102369301</v>
      </c>
      <c r="F219" s="1">
        <v>42061</v>
      </c>
      <c r="G219">
        <v>0.99472881095047105</v>
      </c>
      <c r="I219" s="1">
        <v>42061</v>
      </c>
      <c r="J219">
        <v>0.93258058102369301</v>
      </c>
      <c r="K219" s="72">
        <v>106176807405.543</v>
      </c>
      <c r="L219" s="72">
        <f t="shared" si="14"/>
        <v>929906802060.74402</v>
      </c>
      <c r="M219" s="37">
        <f t="shared" si="15"/>
        <v>0.11418005242057283</v>
      </c>
      <c r="O219" s="1">
        <v>42061</v>
      </c>
      <c r="P219" s="37">
        <v>0.43010921248141898</v>
      </c>
      <c r="Q219">
        <v>929906802060.74402</v>
      </c>
    </row>
    <row r="220" spans="2:17">
      <c r="B220" s="60">
        <v>42068</v>
      </c>
      <c r="C220" s="37">
        <f t="shared" si="12"/>
        <v>0.99843910380784895</v>
      </c>
      <c r="D220" s="37">
        <f t="shared" si="13"/>
        <v>0.93870362974987798</v>
      </c>
      <c r="F220" s="1">
        <v>42068</v>
      </c>
      <c r="G220">
        <v>0.99843910380784895</v>
      </c>
      <c r="I220" s="1">
        <v>42068</v>
      </c>
      <c r="J220">
        <v>0.93870362974987798</v>
      </c>
      <c r="K220" s="72">
        <v>103782963597.884</v>
      </c>
      <c r="L220" s="72">
        <f t="shared" si="14"/>
        <v>931776684212.27002</v>
      </c>
      <c r="M220" s="37">
        <f t="shared" si="15"/>
        <v>0.11138179926193666</v>
      </c>
      <c r="O220" s="1">
        <v>42068</v>
      </c>
      <c r="P220" s="37">
        <v>0.452940630341364</v>
      </c>
      <c r="Q220">
        <v>931776684212.27002</v>
      </c>
    </row>
    <row r="221" spans="2:17">
      <c r="B221" s="60">
        <v>42075</v>
      </c>
      <c r="C221" s="37">
        <f t="shared" si="12"/>
        <v>0.98728276128744996</v>
      </c>
      <c r="D221" s="37">
        <f t="shared" si="13"/>
        <v>0.92338991003179305</v>
      </c>
      <c r="F221" s="1">
        <v>42075</v>
      </c>
      <c r="G221">
        <v>0.98728276128744996</v>
      </c>
      <c r="I221" s="1">
        <v>42075</v>
      </c>
      <c r="J221">
        <v>0.92338991003179305</v>
      </c>
      <c r="K221" s="72">
        <v>103782963597.884</v>
      </c>
      <c r="L221" s="72">
        <f t="shared" si="14"/>
        <v>931776684212.27002</v>
      </c>
      <c r="M221" s="37">
        <f t="shared" si="15"/>
        <v>0.11138179926193666</v>
      </c>
      <c r="O221" s="1">
        <v>42075</v>
      </c>
      <c r="P221" s="37">
        <v>0.38705290362762201</v>
      </c>
      <c r="Q221">
        <v>931776684212.27002</v>
      </c>
    </row>
    <row r="222" spans="2:17">
      <c r="B222" s="60">
        <v>42082</v>
      </c>
      <c r="C222" s="37">
        <f t="shared" si="12"/>
        <v>0.99843910380784895</v>
      </c>
      <c r="D222" s="37">
        <f t="shared" si="13"/>
        <v>0.93778619299504695</v>
      </c>
      <c r="F222" s="1">
        <v>42082</v>
      </c>
      <c r="G222">
        <v>0.99843910380784895</v>
      </c>
      <c r="I222" s="1">
        <v>42082</v>
      </c>
      <c r="J222">
        <v>0.93778619299504695</v>
      </c>
      <c r="K222" s="72">
        <v>103782963597.884</v>
      </c>
      <c r="L222" s="72">
        <f t="shared" si="14"/>
        <v>931776684212.27002</v>
      </c>
      <c r="M222" s="37">
        <f t="shared" si="15"/>
        <v>0.11138179926193666</v>
      </c>
      <c r="O222" s="1">
        <v>42082</v>
      </c>
      <c r="P222" s="37">
        <v>0.45175307267929898</v>
      </c>
      <c r="Q222">
        <v>931776684212.27002</v>
      </c>
    </row>
    <row r="223" spans="2:17">
      <c r="B223" s="60">
        <v>42089</v>
      </c>
      <c r="C223" s="37">
        <f t="shared" si="12"/>
        <v>0.99887607034173698</v>
      </c>
      <c r="D223" s="37">
        <f t="shared" si="13"/>
        <v>0.94062134279207998</v>
      </c>
      <c r="F223" s="1">
        <v>42089</v>
      </c>
      <c r="G223">
        <v>0.99887607034173698</v>
      </c>
      <c r="I223" s="1">
        <v>42089</v>
      </c>
      <c r="J223">
        <v>0.94062134279207998</v>
      </c>
      <c r="K223" s="72">
        <v>103782963597.884</v>
      </c>
      <c r="L223" s="72">
        <f t="shared" si="14"/>
        <v>931776684212.27002</v>
      </c>
      <c r="M223" s="37">
        <f t="shared" si="15"/>
        <v>0.11138179926193666</v>
      </c>
      <c r="O223" s="1">
        <v>42089</v>
      </c>
      <c r="P223" s="37">
        <v>0.48615161590543599</v>
      </c>
      <c r="Q223">
        <v>931776684212.27002</v>
      </c>
    </row>
    <row r="224" spans="2:17">
      <c r="B224" s="60">
        <v>42096</v>
      </c>
      <c r="C224" s="37">
        <f t="shared" si="12"/>
        <v>0.99885910901552399</v>
      </c>
      <c r="D224" s="37">
        <f t="shared" si="13"/>
        <v>0.94047446142896596</v>
      </c>
      <c r="F224" s="1">
        <v>42096</v>
      </c>
      <c r="G224">
        <v>0.99885910901552399</v>
      </c>
      <c r="I224" s="1">
        <v>42096</v>
      </c>
      <c r="J224">
        <v>0.94047446142896596</v>
      </c>
      <c r="K224" s="72">
        <v>100652792127.048</v>
      </c>
      <c r="L224" s="72">
        <f t="shared" si="14"/>
        <v>936106192313.56702</v>
      </c>
      <c r="M224" s="37">
        <f t="shared" si="15"/>
        <v>0.10752283550041125</v>
      </c>
      <c r="O224" s="1">
        <v>42096</v>
      </c>
      <c r="P224" s="37">
        <v>0.470728843596744</v>
      </c>
      <c r="Q224">
        <v>936106192313.56702</v>
      </c>
    </row>
    <row r="225" spans="2:17">
      <c r="B225" s="60">
        <v>42103</v>
      </c>
      <c r="C225" s="37">
        <f t="shared" si="12"/>
        <v>0.99960994368004696</v>
      </c>
      <c r="D225" s="37">
        <f t="shared" si="13"/>
        <v>0.94241786802401695</v>
      </c>
      <c r="F225" s="1">
        <v>42103</v>
      </c>
      <c r="G225">
        <v>0.99960994368004696</v>
      </c>
      <c r="I225" s="1">
        <v>42103</v>
      </c>
      <c r="J225">
        <v>0.94241786802401695</v>
      </c>
      <c r="K225" s="72">
        <v>100652792127.048</v>
      </c>
      <c r="L225" s="72">
        <f t="shared" si="14"/>
        <v>936106192313.56702</v>
      </c>
      <c r="M225" s="37">
        <f t="shared" si="15"/>
        <v>0.10752283550041125</v>
      </c>
      <c r="O225" s="1">
        <v>42103</v>
      </c>
      <c r="P225" s="37">
        <v>0.49915608737725298</v>
      </c>
      <c r="Q225">
        <v>936106192313.56702</v>
      </c>
    </row>
    <row r="226" spans="2:17">
      <c r="B226" s="60">
        <v>42110</v>
      </c>
      <c r="C226" s="37">
        <f t="shared" si="12"/>
        <v>0.99885981007337399</v>
      </c>
      <c r="D226" s="37">
        <f t="shared" si="13"/>
        <v>0.94078919694529395</v>
      </c>
      <c r="F226" s="1">
        <v>42110</v>
      </c>
      <c r="G226">
        <v>0.99885981007337399</v>
      </c>
      <c r="I226" s="1">
        <v>42110</v>
      </c>
      <c r="J226">
        <v>0.94078919694529395</v>
      </c>
      <c r="K226" s="72">
        <v>100652792127.048</v>
      </c>
      <c r="L226" s="72">
        <f t="shared" si="14"/>
        <v>936106192313.56702</v>
      </c>
      <c r="M226" s="37">
        <f t="shared" si="15"/>
        <v>0.10752283550041125</v>
      </c>
      <c r="O226" s="1">
        <v>42110</v>
      </c>
      <c r="P226" s="37">
        <v>0.472608899236447</v>
      </c>
      <c r="Q226">
        <v>936106192313.56702</v>
      </c>
    </row>
    <row r="227" spans="2:17">
      <c r="B227" s="62">
        <v>42117</v>
      </c>
      <c r="C227" s="37">
        <f t="shared" si="12"/>
        <v>0.99960994368004696</v>
      </c>
      <c r="D227" s="37">
        <f t="shared" si="13"/>
        <v>0.94300276803956395</v>
      </c>
      <c r="F227" s="1">
        <v>42117</v>
      </c>
      <c r="G227">
        <v>0.99960994368004696</v>
      </c>
      <c r="I227" s="1">
        <v>42117</v>
      </c>
      <c r="J227">
        <v>0.94300276803956395</v>
      </c>
      <c r="K227" s="72">
        <v>100652792127.048</v>
      </c>
      <c r="L227" s="72">
        <f t="shared" si="14"/>
        <v>936106192313.56702</v>
      </c>
      <c r="M227" s="37">
        <f t="shared" si="15"/>
        <v>0.10752283550041125</v>
      </c>
      <c r="O227" s="1">
        <v>42117</v>
      </c>
      <c r="P227" s="37">
        <v>0.50167016442184997</v>
      </c>
      <c r="Q227">
        <v>936106192313.56702</v>
      </c>
    </row>
    <row r="228" spans="2:17">
      <c r="F228" s="1">
        <v>42124</v>
      </c>
      <c r="G228">
        <v>0.99885981007337399</v>
      </c>
      <c r="I228" s="1">
        <v>42124</v>
      </c>
      <c r="J228">
        <v>0.94125909426309795</v>
      </c>
      <c r="K228" s="72">
        <v>100652792127.048</v>
      </c>
      <c r="L228" s="72">
        <f t="shared" si="14"/>
        <v>936106192313.56702</v>
      </c>
      <c r="M228" s="37">
        <f t="shared" si="15"/>
        <v>0.10752283550041125</v>
      </c>
      <c r="O228" s="1">
        <v>42124</v>
      </c>
      <c r="P228" s="37">
        <v>0.473923065418694</v>
      </c>
      <c r="Q228">
        <v>936106192313.56702</v>
      </c>
    </row>
  </sheetData>
  <pageMargins left="0.7" right="0.7" top="0.75" bottom="0.75" header="0.3" footer="0.3"/>
  <pageSetup scale="78" orientation="landscape" r:id="rId1"/>
  <colBreaks count="1" manualBreakCount="1">
    <brk id="6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26"/>
  <sheetViews>
    <sheetView workbookViewId="0">
      <selection activeCell="G58" sqref="G58"/>
    </sheetView>
  </sheetViews>
  <sheetFormatPr defaultRowHeight="15"/>
  <cols>
    <col min="2" max="2" width="10.7109375" bestFit="1" customWidth="1"/>
  </cols>
  <sheetData>
    <row r="1" spans="2:5">
      <c r="B1" t="s">
        <v>31</v>
      </c>
      <c r="C1" t="s">
        <v>47</v>
      </c>
      <c r="D1" t="s">
        <v>34</v>
      </c>
      <c r="E1" t="s">
        <v>60</v>
      </c>
    </row>
    <row r="2" spans="2:5">
      <c r="B2" s="1">
        <v>40549</v>
      </c>
      <c r="C2">
        <v>0.62402170072443153</v>
      </c>
      <c r="D2">
        <v>2344.3000000000002</v>
      </c>
      <c r="E2">
        <v>0.41917445646047702</v>
      </c>
    </row>
    <row r="3" spans="2:5">
      <c r="B3" s="1">
        <v>40556</v>
      </c>
      <c r="C3">
        <v>0.62817294477626939</v>
      </c>
      <c r="D3">
        <v>2528.6999999999998</v>
      </c>
      <c r="E3">
        <v>0.43621985629656101</v>
      </c>
    </row>
    <row r="4" spans="2:5">
      <c r="B4" s="1">
        <v>40563</v>
      </c>
      <c r="C4">
        <v>0.62597730951219899</v>
      </c>
      <c r="D4">
        <v>2129.6999999999998</v>
      </c>
      <c r="E4">
        <v>0.41944708561696598</v>
      </c>
    </row>
    <row r="5" spans="2:5">
      <c r="B5" s="1">
        <v>40570</v>
      </c>
      <c r="C5">
        <v>0.62392159162868732</v>
      </c>
      <c r="D5">
        <v>2371.1</v>
      </c>
      <c r="E5">
        <v>0.418710148423519</v>
      </c>
    </row>
    <row r="6" spans="2:5">
      <c r="B6" s="1">
        <v>40577</v>
      </c>
      <c r="C6">
        <v>0.60653142223595213</v>
      </c>
      <c r="D6">
        <v>2190.4</v>
      </c>
      <c r="E6">
        <v>0.38887560757790002</v>
      </c>
    </row>
    <row r="7" spans="2:5">
      <c r="B7" s="1">
        <v>40584</v>
      </c>
      <c r="C7">
        <v>0.50868797673712363</v>
      </c>
      <c r="D7">
        <v>1953.2</v>
      </c>
      <c r="E7">
        <v>0.35101070043975402</v>
      </c>
    </row>
    <row r="8" spans="2:5">
      <c r="B8" s="1">
        <v>40591</v>
      </c>
      <c r="C8">
        <v>0.52965901814335548</v>
      </c>
      <c r="D8">
        <v>2325.3000000000002</v>
      </c>
      <c r="E8">
        <v>0.36422873018148</v>
      </c>
    </row>
    <row r="9" spans="2:5">
      <c r="B9" s="1">
        <v>40598</v>
      </c>
      <c r="C9">
        <v>0.57709503787578109</v>
      </c>
      <c r="D9">
        <v>2155.5</v>
      </c>
      <c r="E9">
        <v>0.37426156705539698</v>
      </c>
    </row>
    <row r="10" spans="2:5">
      <c r="B10" s="1">
        <v>40605</v>
      </c>
      <c r="C10">
        <v>0.59224775585706535</v>
      </c>
      <c r="D10">
        <v>2539.4</v>
      </c>
      <c r="E10">
        <v>0.378077073966118</v>
      </c>
    </row>
    <row r="11" spans="2:5">
      <c r="B11" s="1">
        <v>40612</v>
      </c>
      <c r="C11">
        <v>0.59090570789662444</v>
      </c>
      <c r="D11">
        <v>2563.6</v>
      </c>
      <c r="E11">
        <v>0.37803494484535199</v>
      </c>
    </row>
    <row r="12" spans="2:5">
      <c r="B12" s="1">
        <v>40619</v>
      </c>
      <c r="C12">
        <v>0.60261779474869925</v>
      </c>
      <c r="D12">
        <v>2620.8000000000002</v>
      </c>
      <c r="E12">
        <v>0.407679162563724</v>
      </c>
    </row>
    <row r="13" spans="2:5">
      <c r="B13" s="1">
        <v>40626</v>
      </c>
      <c r="C13">
        <v>0.59950595681897523</v>
      </c>
      <c r="D13">
        <v>2350.6999999999998</v>
      </c>
      <c r="E13">
        <v>0.39154691259907098</v>
      </c>
    </row>
    <row r="14" spans="2:5">
      <c r="B14" s="1">
        <v>40633</v>
      </c>
      <c r="C14">
        <v>0.593225708201635</v>
      </c>
      <c r="D14">
        <v>2194.4</v>
      </c>
      <c r="E14">
        <v>0.37809391960358502</v>
      </c>
    </row>
    <row r="15" spans="2:5">
      <c r="B15" s="1">
        <v>40640</v>
      </c>
      <c r="C15">
        <v>0.58542144661011908</v>
      </c>
      <c r="D15">
        <v>2010.6</v>
      </c>
      <c r="E15">
        <v>0.36996472497765398</v>
      </c>
    </row>
    <row r="16" spans="2:5">
      <c r="B16" s="1">
        <v>40647</v>
      </c>
      <c r="C16">
        <v>0.58155199492979581</v>
      </c>
      <c r="D16">
        <v>2065.3000000000002</v>
      </c>
      <c r="E16">
        <v>0.36984016473175102</v>
      </c>
    </row>
    <row r="17" spans="2:5">
      <c r="B17" s="1">
        <v>40654</v>
      </c>
      <c r="C17">
        <v>0.59356262313394537</v>
      </c>
      <c r="D17">
        <v>2091.4</v>
      </c>
      <c r="E17">
        <v>0.38384871096807699</v>
      </c>
    </row>
    <row r="18" spans="2:5">
      <c r="B18" s="1">
        <v>40661</v>
      </c>
      <c r="C18">
        <v>0.59445921362542997</v>
      </c>
      <c r="D18">
        <v>2220.1</v>
      </c>
      <c r="E18">
        <v>0.38433074982262799</v>
      </c>
    </row>
    <row r="19" spans="2:5">
      <c r="B19" s="1">
        <v>40668</v>
      </c>
      <c r="C19">
        <v>0.59391131067456038</v>
      </c>
      <c r="D19">
        <v>2414.9</v>
      </c>
      <c r="E19">
        <v>0.394871405610702</v>
      </c>
    </row>
    <row r="20" spans="2:5">
      <c r="B20" s="1">
        <v>40675</v>
      </c>
      <c r="C20">
        <v>0.60662155942020002</v>
      </c>
      <c r="D20">
        <v>2742.2</v>
      </c>
      <c r="E20">
        <v>0.43079303669576202</v>
      </c>
    </row>
    <row r="21" spans="2:5">
      <c r="B21" s="1">
        <v>40682</v>
      </c>
      <c r="C21">
        <v>0.61264076908113763</v>
      </c>
      <c r="D21">
        <v>2764.6</v>
      </c>
      <c r="E21">
        <v>0.43090192835496699</v>
      </c>
    </row>
    <row r="22" spans="2:5">
      <c r="B22" s="1">
        <v>40689</v>
      </c>
      <c r="C22">
        <v>0.61599363608099678</v>
      </c>
      <c r="D22">
        <v>2619.6999999999998</v>
      </c>
      <c r="E22">
        <v>0.431110671725766</v>
      </c>
    </row>
    <row r="23" spans="2:5">
      <c r="B23" s="1">
        <v>40696</v>
      </c>
      <c r="C23">
        <v>0.66311590107349083</v>
      </c>
      <c r="D23">
        <v>2648</v>
      </c>
      <c r="E23">
        <v>0.45342303565958197</v>
      </c>
    </row>
    <row r="24" spans="2:5">
      <c r="B24" s="1">
        <v>40703</v>
      </c>
      <c r="C24">
        <v>0.74517189360077984</v>
      </c>
      <c r="D24">
        <v>3101.7</v>
      </c>
      <c r="E24">
        <v>0.47629557608974499</v>
      </c>
    </row>
    <row r="25" spans="2:5">
      <c r="B25" s="1">
        <v>40710</v>
      </c>
      <c r="C25">
        <v>0.72397022872334449</v>
      </c>
      <c r="D25">
        <v>2857.9</v>
      </c>
      <c r="E25">
        <v>0.47626301055025799</v>
      </c>
    </row>
    <row r="26" spans="2:5">
      <c r="B26" s="1">
        <v>40717</v>
      </c>
      <c r="C26">
        <v>0.66311590107349083</v>
      </c>
      <c r="D26">
        <v>2809.5</v>
      </c>
      <c r="E26">
        <v>0.45342303565958197</v>
      </c>
    </row>
    <row r="27" spans="2:5">
      <c r="B27" s="1">
        <v>40724</v>
      </c>
      <c r="C27">
        <v>0.69050447134038251</v>
      </c>
      <c r="D27">
        <v>2527.5</v>
      </c>
      <c r="E27">
        <v>0.47533111966863201</v>
      </c>
    </row>
    <row r="28" spans="2:5">
      <c r="B28" s="1">
        <v>40731</v>
      </c>
      <c r="C28">
        <v>0.60410549631050647</v>
      </c>
      <c r="D28">
        <v>2362.6999999999998</v>
      </c>
      <c r="E28">
        <v>0.42115773967800002</v>
      </c>
    </row>
    <row r="29" spans="2:5">
      <c r="B29" s="1">
        <v>40738</v>
      </c>
      <c r="C29">
        <v>0.684475421712615</v>
      </c>
      <c r="D29">
        <v>2923.8</v>
      </c>
      <c r="E29">
        <v>0.47005900282082203</v>
      </c>
    </row>
    <row r="30" spans="2:5">
      <c r="B30" s="1">
        <v>40745</v>
      </c>
      <c r="C30">
        <v>0.66675683999516944</v>
      </c>
      <c r="D30">
        <v>2769.6</v>
      </c>
      <c r="E30">
        <v>0.44797749734765901</v>
      </c>
    </row>
    <row r="31" spans="2:5">
      <c r="B31" s="1">
        <v>40752</v>
      </c>
      <c r="C31">
        <v>0.61660059317974736</v>
      </c>
      <c r="D31">
        <v>2974.1</v>
      </c>
      <c r="E31">
        <v>0.44409861209358098</v>
      </c>
    </row>
    <row r="32" spans="2:5">
      <c r="B32" s="1">
        <v>40759</v>
      </c>
      <c r="C32">
        <v>0.81803711941746404</v>
      </c>
      <c r="D32">
        <v>3880.9</v>
      </c>
      <c r="E32">
        <v>0.515379400381896</v>
      </c>
    </row>
    <row r="33" spans="2:5">
      <c r="B33" s="1">
        <v>40766</v>
      </c>
      <c r="C33">
        <v>0.83404184296119399</v>
      </c>
      <c r="D33">
        <v>4184.3999999999996</v>
      </c>
      <c r="E33">
        <v>0.61745026323361196</v>
      </c>
    </row>
    <row r="34" spans="2:5">
      <c r="B34" s="1">
        <v>40773</v>
      </c>
      <c r="C34">
        <v>0.86117434904403212</v>
      </c>
      <c r="D34">
        <v>4110.8</v>
      </c>
      <c r="E34">
        <v>0.71103111098302996</v>
      </c>
    </row>
    <row r="35" spans="2:5">
      <c r="B35" s="1">
        <v>40780</v>
      </c>
      <c r="C35">
        <v>0.84714025108084823</v>
      </c>
      <c r="D35">
        <v>3601.3</v>
      </c>
      <c r="E35">
        <v>0.66735967344709601</v>
      </c>
    </row>
    <row r="36" spans="2:5">
      <c r="B36" s="1">
        <v>40787</v>
      </c>
      <c r="C36">
        <v>0.84129278814437181</v>
      </c>
      <c r="D36">
        <v>3372</v>
      </c>
      <c r="E36">
        <v>0.66070318293374397</v>
      </c>
    </row>
    <row r="37" spans="2:5">
      <c r="B37" s="1">
        <v>40794</v>
      </c>
      <c r="C37">
        <v>0.87859103936280614</v>
      </c>
      <c r="D37">
        <v>3571.7</v>
      </c>
      <c r="E37">
        <v>0.72862294428542695</v>
      </c>
    </row>
    <row r="38" spans="2:5">
      <c r="B38" s="1">
        <v>40801</v>
      </c>
      <c r="C38">
        <v>0.90242289630359074</v>
      </c>
      <c r="D38">
        <v>4033.8</v>
      </c>
      <c r="E38">
        <v>0.73180955418473204</v>
      </c>
    </row>
    <row r="39" spans="2:5">
      <c r="B39" s="1">
        <v>40808</v>
      </c>
      <c r="C39">
        <v>0.90242289630359074</v>
      </c>
      <c r="D39">
        <v>4512.1000000000004</v>
      </c>
      <c r="E39">
        <v>0.73180955418473204</v>
      </c>
    </row>
    <row r="40" spans="2:5">
      <c r="B40" s="1">
        <v>40815</v>
      </c>
      <c r="C40">
        <v>0.94644262124543443</v>
      </c>
      <c r="D40">
        <v>4241.8</v>
      </c>
      <c r="E40">
        <v>0.78537510001402</v>
      </c>
    </row>
    <row r="41" spans="2:5">
      <c r="B41" s="1">
        <v>40822</v>
      </c>
      <c r="C41">
        <v>0.96725200604215567</v>
      </c>
      <c r="D41">
        <v>4251.1000000000004</v>
      </c>
      <c r="E41">
        <v>0.77200889405912698</v>
      </c>
    </row>
    <row r="42" spans="2:5">
      <c r="B42" s="1">
        <v>40829</v>
      </c>
      <c r="C42">
        <v>0.84917694017596268</v>
      </c>
      <c r="D42">
        <v>3553.2</v>
      </c>
      <c r="E42">
        <v>0.68762581065136796</v>
      </c>
    </row>
    <row r="43" spans="2:5">
      <c r="B43" s="1">
        <v>40836</v>
      </c>
      <c r="C43">
        <v>0.85635864773186432</v>
      </c>
      <c r="D43">
        <v>3719.3</v>
      </c>
      <c r="E43">
        <v>0.70907311332117495</v>
      </c>
    </row>
    <row r="44" spans="2:5">
      <c r="B44" s="1">
        <v>40843</v>
      </c>
      <c r="C44">
        <v>0.86512672485653175</v>
      </c>
      <c r="D44">
        <v>3695</v>
      </c>
      <c r="E44">
        <v>0.71096371307505601</v>
      </c>
    </row>
    <row r="45" spans="2:5">
      <c r="B45" s="1">
        <v>40850</v>
      </c>
      <c r="C45">
        <v>0.93485323798856346</v>
      </c>
      <c r="D45">
        <v>4137.6000000000004</v>
      </c>
      <c r="E45">
        <v>0.75213064967891696</v>
      </c>
    </row>
    <row r="46" spans="2:5">
      <c r="B46" s="1">
        <v>40857</v>
      </c>
      <c r="C46">
        <v>0.94404770550683115</v>
      </c>
      <c r="D46">
        <v>3664.5</v>
      </c>
      <c r="E46">
        <v>0.75215343752934904</v>
      </c>
    </row>
    <row r="47" spans="2:5">
      <c r="B47" s="1">
        <v>40864</v>
      </c>
      <c r="C47">
        <v>0.93485323798856346</v>
      </c>
      <c r="D47">
        <v>3466.8</v>
      </c>
      <c r="E47">
        <v>0.75213064967891696</v>
      </c>
    </row>
    <row r="48" spans="2:5">
      <c r="B48" s="1">
        <v>40870</v>
      </c>
      <c r="C48">
        <v>0.94997170807452469</v>
      </c>
      <c r="D48" t="e">
        <v>#N/A</v>
      </c>
      <c r="E48">
        <v>0.75451882195048703</v>
      </c>
    </row>
    <row r="49" spans="2:5">
      <c r="B49" s="1">
        <v>40878</v>
      </c>
      <c r="C49">
        <v>0.91542628506626045</v>
      </c>
      <c r="D49">
        <v>3394.7</v>
      </c>
      <c r="E49">
        <v>0.73701250506221705</v>
      </c>
    </row>
    <row r="50" spans="2:5">
      <c r="B50" s="1">
        <v>40885</v>
      </c>
      <c r="C50">
        <v>0.9248746068169833</v>
      </c>
      <c r="D50">
        <v>3708.6</v>
      </c>
      <c r="E50">
        <v>0.737034618623016</v>
      </c>
    </row>
    <row r="51" spans="2:5">
      <c r="B51" s="1">
        <v>40892</v>
      </c>
      <c r="C51">
        <v>0.93969161247928745</v>
      </c>
      <c r="D51">
        <v>3676.1</v>
      </c>
      <c r="E51">
        <v>0.74005848510739902</v>
      </c>
    </row>
    <row r="52" spans="2:5">
      <c r="B52" s="1">
        <v>40899</v>
      </c>
      <c r="C52">
        <v>0.9601958662364245</v>
      </c>
      <c r="D52">
        <v>3684.5</v>
      </c>
      <c r="E52">
        <v>0.77262482249298603</v>
      </c>
    </row>
    <row r="53" spans="2:5">
      <c r="B53" s="1">
        <v>40906</v>
      </c>
      <c r="C53">
        <v>0.94762260030460288</v>
      </c>
      <c r="D53">
        <v>3608.1</v>
      </c>
      <c r="E53">
        <v>0.76353022654842795</v>
      </c>
    </row>
    <row r="54" spans="2:5">
      <c r="B54" s="1">
        <v>40913</v>
      </c>
      <c r="C54">
        <v>0.94481773750585774</v>
      </c>
      <c r="D54">
        <v>3668.3</v>
      </c>
      <c r="E54">
        <v>0.75017446397926801</v>
      </c>
    </row>
    <row r="55" spans="2:5">
      <c r="B55" s="1">
        <v>40920</v>
      </c>
      <c r="C55">
        <v>0.95320351892281485</v>
      </c>
      <c r="D55">
        <v>4626.5</v>
      </c>
      <c r="E55">
        <v>0.76194885743932395</v>
      </c>
    </row>
    <row r="56" spans="2:5">
      <c r="B56" s="1">
        <v>40927</v>
      </c>
      <c r="C56">
        <v>0.95182771809710431</v>
      </c>
      <c r="D56">
        <v>4326.3999999999996</v>
      </c>
      <c r="E56">
        <v>0.76015152542719999</v>
      </c>
    </row>
    <row r="57" spans="2:5">
      <c r="B57" s="1">
        <v>40934</v>
      </c>
      <c r="C57">
        <v>0.91861521434498927</v>
      </c>
      <c r="D57">
        <v>4184.3</v>
      </c>
      <c r="E57">
        <v>0.72538795894175401</v>
      </c>
    </row>
    <row r="58" spans="2:5">
      <c r="B58" s="1">
        <v>40941</v>
      </c>
      <c r="C58">
        <v>0.94107838104995334</v>
      </c>
      <c r="D58">
        <v>4617.1000000000004</v>
      </c>
      <c r="E58">
        <v>0.73976850442679698</v>
      </c>
    </row>
    <row r="59" spans="2:5">
      <c r="B59" s="1">
        <v>40948</v>
      </c>
      <c r="C59">
        <v>0.94107838104995334</v>
      </c>
      <c r="D59">
        <v>4716.1000000000004</v>
      </c>
      <c r="E59">
        <v>0.73976850442679698</v>
      </c>
    </row>
    <row r="60" spans="2:5">
      <c r="B60" s="1">
        <v>40955</v>
      </c>
      <c r="C60">
        <v>0.94107838104995334</v>
      </c>
      <c r="D60">
        <v>4466.8999999999996</v>
      </c>
      <c r="E60">
        <v>0.73976850442679698</v>
      </c>
    </row>
    <row r="61" spans="2:5">
      <c r="B61" s="1">
        <v>40962</v>
      </c>
      <c r="C61">
        <v>0.90921329115869776</v>
      </c>
      <c r="D61">
        <v>4379.1000000000004</v>
      </c>
      <c r="E61">
        <v>0.70482380254349597</v>
      </c>
    </row>
    <row r="62" spans="2:5">
      <c r="B62" s="1">
        <v>40969</v>
      </c>
      <c r="C62">
        <v>0.91584710240533518</v>
      </c>
      <c r="D62">
        <v>4277.6000000000004</v>
      </c>
      <c r="E62">
        <v>0.71197045097818001</v>
      </c>
    </row>
    <row r="63" spans="2:5">
      <c r="B63" s="1">
        <v>40976</v>
      </c>
      <c r="C63">
        <v>0.91902765125865959</v>
      </c>
      <c r="D63">
        <v>4063.4</v>
      </c>
      <c r="E63">
        <v>0.72185562668080905</v>
      </c>
    </row>
    <row r="64" spans="2:5">
      <c r="B64" s="1">
        <v>40983</v>
      </c>
      <c r="C64">
        <v>0.90514599034862198</v>
      </c>
      <c r="D64">
        <v>3715.2</v>
      </c>
      <c r="E64">
        <v>0.71184965643423004</v>
      </c>
    </row>
    <row r="65" spans="2:5">
      <c r="B65" s="1">
        <v>40990</v>
      </c>
      <c r="C65">
        <v>0.78959380464288376</v>
      </c>
      <c r="D65">
        <v>3588.4</v>
      </c>
      <c r="E65">
        <v>0.63003810447880604</v>
      </c>
    </row>
    <row r="66" spans="2:5">
      <c r="B66" s="1">
        <v>40997</v>
      </c>
      <c r="C66">
        <v>0.87490910290764468</v>
      </c>
      <c r="D66">
        <v>3699.5</v>
      </c>
      <c r="E66">
        <v>0.68476549375243201</v>
      </c>
    </row>
    <row r="67" spans="2:5">
      <c r="B67" s="1">
        <v>41004</v>
      </c>
      <c r="C67">
        <v>0.86928745494692716</v>
      </c>
      <c r="D67">
        <v>3549.3</v>
      </c>
      <c r="E67">
        <v>0.68702063249841105</v>
      </c>
    </row>
    <row r="68" spans="2:5">
      <c r="B68" s="1">
        <v>41011</v>
      </c>
      <c r="C68">
        <v>0.90849340717481886</v>
      </c>
      <c r="D68">
        <v>4144.3</v>
      </c>
      <c r="E68">
        <v>0.74360097428026795</v>
      </c>
    </row>
    <row r="69" spans="2:5">
      <c r="B69" s="1">
        <v>41018</v>
      </c>
      <c r="C69">
        <v>0.9034983903169389</v>
      </c>
      <c r="D69">
        <v>3892.2</v>
      </c>
      <c r="E69">
        <v>0.71319163212853798</v>
      </c>
    </row>
    <row r="70" spans="2:5">
      <c r="B70" s="1">
        <v>41025</v>
      </c>
      <c r="C70">
        <v>0.90849340717481886</v>
      </c>
      <c r="D70">
        <v>3856</v>
      </c>
      <c r="E70">
        <v>0.74360097428026795</v>
      </c>
    </row>
    <row r="71" spans="2:5">
      <c r="B71" s="1">
        <v>41032</v>
      </c>
      <c r="C71">
        <v>0.89225108632442729</v>
      </c>
      <c r="D71">
        <v>3924.4</v>
      </c>
      <c r="E71">
        <v>0.74458940201611601</v>
      </c>
    </row>
    <row r="72" spans="2:5">
      <c r="B72" s="1">
        <v>41039</v>
      </c>
      <c r="C72">
        <v>0.89337268606647302</v>
      </c>
      <c r="D72">
        <v>4482</v>
      </c>
      <c r="E72">
        <v>0.74880992852224404</v>
      </c>
    </row>
    <row r="73" spans="2:5">
      <c r="B73" s="1">
        <v>41046</v>
      </c>
      <c r="C73">
        <v>0.8948997967143093</v>
      </c>
      <c r="D73">
        <v>4732</v>
      </c>
      <c r="E73">
        <v>0.77533293010841997</v>
      </c>
    </row>
    <row r="74" spans="2:5">
      <c r="B74" s="1">
        <v>41053</v>
      </c>
      <c r="C74">
        <v>0.89443957907281746</v>
      </c>
      <c r="D74">
        <v>4675.8999999999996</v>
      </c>
      <c r="E74">
        <v>0.77252849495486897</v>
      </c>
    </row>
    <row r="75" spans="2:5">
      <c r="B75" s="1">
        <v>41060</v>
      </c>
      <c r="C75">
        <v>0.89512122084695944</v>
      </c>
      <c r="D75">
        <v>4736</v>
      </c>
      <c r="E75">
        <v>0.77719223327132003</v>
      </c>
    </row>
    <row r="76" spans="2:5">
      <c r="B76" s="1">
        <v>41067</v>
      </c>
      <c r="C76">
        <v>0.8920195449585564</v>
      </c>
      <c r="D76">
        <v>5590</v>
      </c>
      <c r="E76">
        <v>0.81161668458948799</v>
      </c>
    </row>
    <row r="77" spans="2:5">
      <c r="B77" s="1">
        <v>41074</v>
      </c>
      <c r="C77">
        <v>0.88667449797815956</v>
      </c>
      <c r="D77">
        <v>4719.6000000000004</v>
      </c>
      <c r="E77">
        <v>0.79320998802631504</v>
      </c>
    </row>
    <row r="78" spans="2:5">
      <c r="B78" s="1">
        <v>41081</v>
      </c>
      <c r="C78">
        <v>0.89407594990163874</v>
      </c>
      <c r="D78">
        <v>4585.8</v>
      </c>
      <c r="E78">
        <v>0.81309219550150202</v>
      </c>
    </row>
    <row r="79" spans="2:5">
      <c r="B79" s="1">
        <v>41088</v>
      </c>
      <c r="C79">
        <v>0.89407594990163874</v>
      </c>
      <c r="D79">
        <v>4372.2</v>
      </c>
      <c r="E79">
        <v>0.81309219550150202</v>
      </c>
    </row>
    <row r="80" spans="2:5">
      <c r="B80" s="1">
        <v>41095</v>
      </c>
      <c r="C80">
        <v>0.8819114104860859</v>
      </c>
      <c r="D80">
        <v>4267.8999999999996</v>
      </c>
      <c r="E80">
        <v>0.80304589352971401</v>
      </c>
    </row>
    <row r="81" spans="2:5">
      <c r="B81" s="1">
        <v>41102</v>
      </c>
      <c r="C81">
        <v>0.94551237246929465</v>
      </c>
      <c r="D81">
        <v>5246.8</v>
      </c>
      <c r="E81">
        <v>0.83475833318603099</v>
      </c>
    </row>
    <row r="82" spans="2:5">
      <c r="B82" s="1">
        <v>41109</v>
      </c>
      <c r="C82">
        <v>0.97186924857158052</v>
      </c>
      <c r="D82">
        <v>5383.1</v>
      </c>
      <c r="E82">
        <v>0.839279067165004</v>
      </c>
    </row>
    <row r="83" spans="2:5">
      <c r="B83" s="1">
        <v>41116</v>
      </c>
      <c r="C83">
        <v>0.98451993370244106</v>
      </c>
      <c r="D83">
        <v>5492.1</v>
      </c>
      <c r="E83">
        <v>0.85583686182580798</v>
      </c>
    </row>
    <row r="84" spans="2:5">
      <c r="B84" s="1">
        <v>41123</v>
      </c>
      <c r="C84">
        <v>0.9385222539497815</v>
      </c>
      <c r="D84">
        <v>5444.3</v>
      </c>
      <c r="E84">
        <v>0.81672598038940503</v>
      </c>
    </row>
    <row r="85" spans="2:5">
      <c r="B85" s="1">
        <v>41130</v>
      </c>
      <c r="C85">
        <v>0.92408794393225557</v>
      </c>
      <c r="D85">
        <v>5172.2</v>
      </c>
      <c r="E85">
        <v>0.81660096914097402</v>
      </c>
    </row>
    <row r="86" spans="2:5">
      <c r="B86" s="1">
        <v>41137</v>
      </c>
      <c r="C86">
        <v>0.88445471641937157</v>
      </c>
      <c r="D86">
        <v>4671.1000000000004</v>
      </c>
      <c r="E86">
        <v>0.80039531716996504</v>
      </c>
    </row>
    <row r="87" spans="2:5">
      <c r="B87" s="1">
        <v>41144</v>
      </c>
      <c r="C87">
        <v>0.85694996797233836</v>
      </c>
      <c r="D87">
        <v>4414.6000000000004</v>
      </c>
      <c r="E87">
        <v>0.78286282867668</v>
      </c>
    </row>
    <row r="88" spans="2:5">
      <c r="B88" s="1">
        <v>41151</v>
      </c>
      <c r="C88">
        <v>0.92408794393225557</v>
      </c>
      <c r="D88">
        <v>4274.8</v>
      </c>
      <c r="E88">
        <v>0.81660096914097402</v>
      </c>
    </row>
    <row r="89" spans="2:5">
      <c r="B89" s="1">
        <v>41158</v>
      </c>
      <c r="C89">
        <v>0.91761037893987563</v>
      </c>
      <c r="D89">
        <v>4779.1000000000004</v>
      </c>
      <c r="E89">
        <v>0.80003630895948397</v>
      </c>
    </row>
    <row r="90" spans="2:5">
      <c r="B90" s="1">
        <v>41165</v>
      </c>
      <c r="C90">
        <v>0.94047646256577366</v>
      </c>
      <c r="D90">
        <v>4823.3</v>
      </c>
      <c r="E90">
        <v>0.80517464210851997</v>
      </c>
    </row>
    <row r="91" spans="2:5">
      <c r="B91" s="1">
        <v>41172</v>
      </c>
      <c r="C91">
        <v>0.95891425076544745</v>
      </c>
      <c r="D91">
        <v>4979</v>
      </c>
      <c r="E91">
        <v>0.82579336591607799</v>
      </c>
    </row>
    <row r="92" spans="2:5">
      <c r="B92" s="1">
        <v>41179</v>
      </c>
      <c r="C92">
        <v>0.96459917415866681</v>
      </c>
      <c r="D92">
        <v>5965.5</v>
      </c>
      <c r="E92">
        <v>0.87352757054468799</v>
      </c>
    </row>
    <row r="93" spans="2:5">
      <c r="B93" s="1">
        <v>41186</v>
      </c>
      <c r="C93">
        <v>0.95362908529618629</v>
      </c>
      <c r="D93">
        <v>5892.5</v>
      </c>
      <c r="E93">
        <v>0.85283995726602502</v>
      </c>
    </row>
    <row r="94" spans="2:5">
      <c r="B94" s="1">
        <v>41193</v>
      </c>
      <c r="C94">
        <v>0.95159604304738465</v>
      </c>
      <c r="D94">
        <v>5572.2</v>
      </c>
      <c r="E94">
        <v>0.82980253162130702</v>
      </c>
    </row>
    <row r="95" spans="2:5">
      <c r="B95" s="1">
        <v>41200</v>
      </c>
      <c r="C95">
        <v>0.95277295236812309</v>
      </c>
      <c r="D95">
        <v>4847.2</v>
      </c>
      <c r="E95">
        <v>0.84996407134381802</v>
      </c>
    </row>
    <row r="96" spans="2:5">
      <c r="B96" s="1">
        <v>41207</v>
      </c>
      <c r="C96">
        <v>0.95079229345734595</v>
      </c>
      <c r="D96">
        <v>4550.7</v>
      </c>
      <c r="E96">
        <v>0.828248760892495</v>
      </c>
    </row>
    <row r="97" spans="2:5">
      <c r="B97" s="1">
        <v>41214</v>
      </c>
      <c r="C97">
        <v>0.92571311512973709</v>
      </c>
      <c r="D97">
        <v>4297.7</v>
      </c>
      <c r="E97">
        <v>0.79915808926981402</v>
      </c>
    </row>
    <row r="98" spans="2:5">
      <c r="B98" s="1">
        <v>41221</v>
      </c>
      <c r="C98">
        <v>0.9252942527060104</v>
      </c>
      <c r="D98">
        <v>4856.1000000000004</v>
      </c>
      <c r="E98">
        <v>0.79873425180913604</v>
      </c>
    </row>
    <row r="99" spans="2:5">
      <c r="B99" s="1">
        <v>41228</v>
      </c>
      <c r="C99">
        <v>0.92772026190850965</v>
      </c>
      <c r="D99">
        <v>4702.3999999999996</v>
      </c>
      <c r="E99">
        <v>0.82276956639306598</v>
      </c>
    </row>
    <row r="100" spans="2:5">
      <c r="B100" s="1">
        <v>41234</v>
      </c>
      <c r="C100">
        <v>0.9299301195282087</v>
      </c>
      <c r="D100" t="e">
        <v>#N/A</v>
      </c>
      <c r="E100">
        <v>0.84066676404946505</v>
      </c>
    </row>
    <row r="101" spans="2:5">
      <c r="B101" s="1">
        <v>41242</v>
      </c>
      <c r="C101">
        <v>0.92756020040727527</v>
      </c>
      <c r="D101">
        <v>4943</v>
      </c>
      <c r="E101">
        <v>0.82275551487300902</v>
      </c>
    </row>
    <row r="102" spans="2:5">
      <c r="B102" s="1">
        <v>41249</v>
      </c>
      <c r="C102">
        <v>0.9105479087849232</v>
      </c>
      <c r="D102">
        <v>5368.1</v>
      </c>
      <c r="E102">
        <v>0.80649977939682505</v>
      </c>
    </row>
    <row r="103" spans="2:5">
      <c r="B103" s="1">
        <v>41256</v>
      </c>
      <c r="C103">
        <v>0.9126136851792267</v>
      </c>
      <c r="D103">
        <v>4564.3999999999996</v>
      </c>
      <c r="E103">
        <v>0.82418991295466604</v>
      </c>
    </row>
    <row r="104" spans="2:5">
      <c r="B104" s="1">
        <v>41263</v>
      </c>
      <c r="C104">
        <v>0.90965157918840345</v>
      </c>
      <c r="D104">
        <v>3983.2</v>
      </c>
      <c r="E104">
        <v>0.80390223047279097</v>
      </c>
    </row>
    <row r="105" spans="2:5">
      <c r="B105" s="1">
        <v>41270</v>
      </c>
      <c r="C105">
        <v>0.91018597538933266</v>
      </c>
      <c r="D105">
        <v>3488.9</v>
      </c>
      <c r="E105">
        <v>0.80591432289546205</v>
      </c>
    </row>
    <row r="106" spans="2:5">
      <c r="B106" s="1">
        <v>41277</v>
      </c>
      <c r="C106">
        <v>0.88829814088555981</v>
      </c>
      <c r="D106">
        <v>3896.4</v>
      </c>
      <c r="E106">
        <v>0.78440164177592298</v>
      </c>
    </row>
    <row r="107" spans="2:5">
      <c r="B107" s="1">
        <v>41284</v>
      </c>
      <c r="C107">
        <v>0.88507237465236011</v>
      </c>
      <c r="D107">
        <v>4554.3999999999996</v>
      </c>
      <c r="E107">
        <v>0.759606662501778</v>
      </c>
    </row>
    <row r="108" spans="2:5">
      <c r="B108" s="1">
        <v>41291</v>
      </c>
      <c r="C108">
        <v>0.88631407683414742</v>
      </c>
      <c r="D108">
        <v>4937.3999999999996</v>
      </c>
      <c r="E108">
        <v>0.78142443901466097</v>
      </c>
    </row>
    <row r="109" spans="2:5">
      <c r="B109" s="1">
        <v>41298</v>
      </c>
      <c r="C109">
        <v>0.88379536104531342</v>
      </c>
      <c r="D109">
        <v>4433.6000000000004</v>
      </c>
      <c r="E109">
        <v>0.75700205657756403</v>
      </c>
    </row>
    <row r="110" spans="2:5">
      <c r="B110" s="1">
        <v>41305</v>
      </c>
      <c r="C110">
        <v>0.84748759806752005</v>
      </c>
      <c r="D110">
        <v>4579</v>
      </c>
      <c r="E110">
        <v>0.70776343414969201</v>
      </c>
    </row>
    <row r="111" spans="2:5">
      <c r="B111" s="1">
        <v>41312</v>
      </c>
      <c r="C111">
        <v>0.79744674672768578</v>
      </c>
      <c r="D111">
        <v>4284.3</v>
      </c>
      <c r="E111">
        <v>0.68149824697650396</v>
      </c>
    </row>
    <row r="112" spans="2:5">
      <c r="B112" s="1">
        <v>41319</v>
      </c>
      <c r="C112">
        <v>0.79744674672768578</v>
      </c>
      <c r="D112">
        <v>4261.8</v>
      </c>
      <c r="E112">
        <v>0.68149824697650396</v>
      </c>
    </row>
    <row r="113" spans="2:5">
      <c r="B113" s="1">
        <v>41326</v>
      </c>
      <c r="C113">
        <v>0.75767121274967097</v>
      </c>
      <c r="D113">
        <v>4136.3</v>
      </c>
      <c r="E113">
        <v>0.66443156184372798</v>
      </c>
    </row>
    <row r="114" spans="2:5">
      <c r="B114" s="1">
        <v>41333</v>
      </c>
      <c r="C114">
        <v>0.81599621049204552</v>
      </c>
      <c r="D114">
        <v>4724.8999999999996</v>
      </c>
      <c r="E114">
        <v>0.68474077330080096</v>
      </c>
    </row>
    <row r="115" spans="2:5">
      <c r="B115" s="1">
        <v>41340</v>
      </c>
      <c r="C115">
        <v>0.81254588826988361</v>
      </c>
      <c r="D115">
        <v>4485.2</v>
      </c>
      <c r="E115">
        <v>0.65965341103045605</v>
      </c>
    </row>
    <row r="116" spans="2:5">
      <c r="B116" s="1">
        <v>41347</v>
      </c>
      <c r="C116">
        <v>0.70260073761186825</v>
      </c>
      <c r="D116">
        <v>4111.3</v>
      </c>
      <c r="E116">
        <v>0.622542311024053</v>
      </c>
    </row>
    <row r="117" spans="2:5">
      <c r="B117" s="1">
        <v>41354</v>
      </c>
      <c r="C117">
        <v>0.76832708554350626</v>
      </c>
      <c r="D117">
        <v>4412.8999999999996</v>
      </c>
      <c r="E117">
        <v>0.65490269555006198</v>
      </c>
    </row>
    <row r="118" spans="2:5">
      <c r="B118" s="1">
        <v>41361</v>
      </c>
      <c r="C118">
        <v>0.73085022058809757</v>
      </c>
      <c r="D118">
        <v>4119.2</v>
      </c>
      <c r="E118">
        <v>0.63814443106247998</v>
      </c>
    </row>
    <row r="119" spans="2:5">
      <c r="B119" s="1">
        <v>41368</v>
      </c>
      <c r="C119">
        <v>0.74812714109915845</v>
      </c>
      <c r="D119">
        <v>4528.8999999999996</v>
      </c>
      <c r="E119">
        <v>0.63701726572087702</v>
      </c>
    </row>
    <row r="120" spans="2:5">
      <c r="B120" s="1">
        <v>41375</v>
      </c>
      <c r="C120">
        <v>0.81951890925716175</v>
      </c>
      <c r="D120">
        <v>4726.8999999999996</v>
      </c>
      <c r="E120">
        <v>0.66472248963496305</v>
      </c>
    </row>
    <row r="121" spans="2:5">
      <c r="B121" s="1">
        <v>41382</v>
      </c>
      <c r="C121">
        <v>0.8263799320049966</v>
      </c>
      <c r="D121">
        <v>4672.1000000000004</v>
      </c>
      <c r="E121">
        <v>0.691617287637183</v>
      </c>
    </row>
    <row r="122" spans="2:5">
      <c r="B122" s="1">
        <v>41389</v>
      </c>
      <c r="C122">
        <v>0.82478602429419701</v>
      </c>
      <c r="D122">
        <v>4854.1000000000004</v>
      </c>
      <c r="E122">
        <v>0.68894417616710202</v>
      </c>
    </row>
    <row r="123" spans="2:5">
      <c r="B123" s="1">
        <v>41396</v>
      </c>
      <c r="C123">
        <v>0.81686282095814366</v>
      </c>
      <c r="D123">
        <v>5279.9</v>
      </c>
      <c r="E123">
        <v>0.70646423511043499</v>
      </c>
    </row>
    <row r="124" spans="2:5">
      <c r="B124" s="1">
        <v>41403</v>
      </c>
      <c r="C124">
        <v>0.80807149473903783</v>
      </c>
      <c r="D124">
        <v>4797.2</v>
      </c>
      <c r="E124">
        <v>0.67710126151444505</v>
      </c>
    </row>
    <row r="125" spans="2:5">
      <c r="B125" s="1">
        <v>41410</v>
      </c>
      <c r="C125">
        <v>0.77783403735744605</v>
      </c>
      <c r="D125">
        <v>4241.5</v>
      </c>
      <c r="E125">
        <v>0.64608424059300296</v>
      </c>
    </row>
    <row r="126" spans="2:5">
      <c r="B126" s="1">
        <v>41417</v>
      </c>
      <c r="C126">
        <v>0.69528028144531095</v>
      </c>
      <c r="D126">
        <v>3709.4</v>
      </c>
      <c r="E126">
        <v>0.60492342195832605</v>
      </c>
    </row>
    <row r="127" spans="2:5">
      <c r="B127" s="1">
        <v>41424</v>
      </c>
      <c r="C127">
        <v>0.63267241864898449</v>
      </c>
      <c r="D127">
        <v>3163.6</v>
      </c>
      <c r="E127">
        <v>0.52986130193183101</v>
      </c>
    </row>
    <row r="128" spans="2:5">
      <c r="B128" s="1">
        <v>41431</v>
      </c>
      <c r="C128">
        <v>0.60569175356282723</v>
      </c>
      <c r="D128">
        <v>3339.8</v>
      </c>
      <c r="E128">
        <v>0.48936320762315699</v>
      </c>
    </row>
    <row r="129" spans="2:5">
      <c r="B129" s="1">
        <v>41438</v>
      </c>
      <c r="C129">
        <v>0.57343184072471942</v>
      </c>
      <c r="D129">
        <v>3214.4</v>
      </c>
      <c r="E129">
        <v>0.46803712037587902</v>
      </c>
    </row>
    <row r="130" spans="2:5">
      <c r="B130" s="1">
        <v>41445</v>
      </c>
      <c r="C130">
        <v>0.58795254732817659</v>
      </c>
      <c r="D130">
        <v>3040.1</v>
      </c>
      <c r="E130">
        <v>0.46841833416873302</v>
      </c>
    </row>
    <row r="131" spans="2:5">
      <c r="B131" s="1">
        <v>41452</v>
      </c>
      <c r="C131">
        <v>0.39082116641682313</v>
      </c>
      <c r="D131">
        <v>2573.4</v>
      </c>
      <c r="E131">
        <v>0.25930726321944902</v>
      </c>
    </row>
    <row r="132" spans="2:5">
      <c r="B132" s="1">
        <v>41458</v>
      </c>
      <c r="C132">
        <v>0.4330864642120939</v>
      </c>
      <c r="D132" t="e">
        <v>#N/A</v>
      </c>
      <c r="E132">
        <v>0.34399747197441399</v>
      </c>
    </row>
    <row r="133" spans="2:5">
      <c r="B133" s="1">
        <v>41466</v>
      </c>
      <c r="C133">
        <v>0.31856955774356621</v>
      </c>
      <c r="D133">
        <v>2242.1999999999998</v>
      </c>
      <c r="E133">
        <v>0.23052122039717299</v>
      </c>
    </row>
    <row r="134" spans="2:5">
      <c r="B134" s="1">
        <v>41473</v>
      </c>
      <c r="C134">
        <v>0.42624975952077765</v>
      </c>
      <c r="D134">
        <v>2288</v>
      </c>
      <c r="E134">
        <v>0.313528938106932</v>
      </c>
    </row>
    <row r="135" spans="2:5">
      <c r="B135" s="1">
        <v>41480</v>
      </c>
      <c r="C135">
        <v>0.42922629610906576</v>
      </c>
      <c r="D135">
        <v>2218.3000000000002</v>
      </c>
      <c r="E135">
        <v>0.31410556361706699</v>
      </c>
    </row>
    <row r="136" spans="2:5">
      <c r="B136" s="1">
        <v>41487</v>
      </c>
      <c r="C136">
        <v>0.40917398895537016</v>
      </c>
      <c r="D136">
        <v>2228.9</v>
      </c>
      <c r="E136">
        <v>0.26871710621385497</v>
      </c>
    </row>
    <row r="137" spans="2:5">
      <c r="B137" s="1">
        <v>41494</v>
      </c>
      <c r="C137">
        <v>0.40797811985401045</v>
      </c>
      <c r="D137">
        <v>2110.6</v>
      </c>
      <c r="E137">
        <v>0.26842687745364402</v>
      </c>
    </row>
    <row r="138" spans="2:5">
      <c r="B138" s="1">
        <v>41501</v>
      </c>
      <c r="C138">
        <v>0.40797811985401045</v>
      </c>
      <c r="D138">
        <v>1935.1</v>
      </c>
      <c r="E138">
        <v>0.26842687745364402</v>
      </c>
    </row>
    <row r="139" spans="2:5">
      <c r="B139" s="1">
        <v>41508</v>
      </c>
      <c r="C139">
        <v>0.28211495793674252</v>
      </c>
      <c r="D139">
        <v>1842.6</v>
      </c>
      <c r="E139">
        <v>0.20545197668606799</v>
      </c>
    </row>
    <row r="140" spans="2:5">
      <c r="B140" s="1">
        <v>41515</v>
      </c>
      <c r="C140">
        <v>0.32707732602530493</v>
      </c>
      <c r="D140">
        <v>1909</v>
      </c>
      <c r="E140">
        <v>0.23763744646630799</v>
      </c>
    </row>
    <row r="141" spans="2:5">
      <c r="B141" s="1">
        <v>41522</v>
      </c>
      <c r="C141">
        <v>0.2818649256036454</v>
      </c>
      <c r="D141">
        <v>1512.9</v>
      </c>
      <c r="E141">
        <v>0.21149349910069001</v>
      </c>
    </row>
    <row r="142" spans="2:5">
      <c r="B142" s="1">
        <v>41529</v>
      </c>
      <c r="C142">
        <v>0.27463010199382165</v>
      </c>
      <c r="D142">
        <v>1814</v>
      </c>
      <c r="E142">
        <v>0.19827486089892299</v>
      </c>
    </row>
    <row r="143" spans="2:5">
      <c r="B143" s="1">
        <v>41536</v>
      </c>
      <c r="C143">
        <v>0.33277831045649614</v>
      </c>
      <c r="D143">
        <v>1922.9</v>
      </c>
      <c r="E143">
        <v>0.230982049953562</v>
      </c>
    </row>
    <row r="144" spans="2:5">
      <c r="B144" s="1">
        <v>41543</v>
      </c>
      <c r="C144">
        <v>0.40445747526612724</v>
      </c>
      <c r="D144">
        <v>1956.6</v>
      </c>
      <c r="E144">
        <v>0.32130927271021897</v>
      </c>
    </row>
    <row r="145" spans="2:5">
      <c r="B145" s="1">
        <v>41550</v>
      </c>
      <c r="C145">
        <v>0.41528178559290679</v>
      </c>
      <c r="D145">
        <v>2025.3</v>
      </c>
      <c r="E145">
        <v>0.34374501426377402</v>
      </c>
    </row>
    <row r="146" spans="2:5">
      <c r="B146" s="1">
        <v>41557</v>
      </c>
      <c r="C146">
        <v>0.41314719259777027</v>
      </c>
      <c r="D146">
        <v>2102.6999999999998</v>
      </c>
      <c r="E146">
        <v>0.343362461707855</v>
      </c>
    </row>
    <row r="147" spans="2:5">
      <c r="B147" s="1">
        <v>41564</v>
      </c>
      <c r="C147">
        <v>0.40232481590336117</v>
      </c>
      <c r="D147">
        <v>2033.7</v>
      </c>
      <c r="E147">
        <v>0.31435548538393299</v>
      </c>
    </row>
    <row r="148" spans="2:5">
      <c r="B148" s="1">
        <v>41571</v>
      </c>
      <c r="C148">
        <v>0.43156912924668556</v>
      </c>
      <c r="D148">
        <v>2211.8000000000002</v>
      </c>
      <c r="E148">
        <v>0.36279732883580901</v>
      </c>
    </row>
    <row r="149" spans="2:5">
      <c r="B149" s="1">
        <v>41578</v>
      </c>
      <c r="C149">
        <v>0.4605405147219428</v>
      </c>
      <c r="D149">
        <v>2105.6</v>
      </c>
      <c r="E149">
        <v>0.38076704542262901</v>
      </c>
    </row>
    <row r="150" spans="2:5">
      <c r="B150" s="1">
        <v>41585</v>
      </c>
      <c r="C150">
        <v>0.42159370418067171</v>
      </c>
      <c r="D150">
        <v>2056.9</v>
      </c>
      <c r="E150">
        <v>0.35403891055164699</v>
      </c>
    </row>
    <row r="151" spans="2:5">
      <c r="B151" s="1">
        <v>41592</v>
      </c>
      <c r="C151">
        <v>0.38756459325455095</v>
      </c>
      <c r="D151">
        <v>1903.5</v>
      </c>
      <c r="E151">
        <v>0.27765033429796598</v>
      </c>
    </row>
    <row r="152" spans="2:5">
      <c r="B152" s="1">
        <v>41599</v>
      </c>
      <c r="C152">
        <v>0.41410653536495057</v>
      </c>
      <c r="D152">
        <v>1917.2</v>
      </c>
      <c r="E152">
        <v>0.33620447417750299</v>
      </c>
    </row>
    <row r="153" spans="2:5">
      <c r="B153" s="1">
        <v>41605</v>
      </c>
      <c r="C153">
        <v>0.3969981593322805</v>
      </c>
      <c r="D153" t="e">
        <v>#N/A</v>
      </c>
      <c r="E153">
        <v>0.30662338263190497</v>
      </c>
    </row>
    <row r="154" spans="2:5">
      <c r="B154" s="1">
        <v>41613</v>
      </c>
      <c r="C154">
        <v>0.37338021104571051</v>
      </c>
      <c r="D154">
        <v>1599.4</v>
      </c>
      <c r="E154">
        <v>0.238872261686181</v>
      </c>
    </row>
    <row r="155" spans="2:5">
      <c r="B155" s="1">
        <v>41620</v>
      </c>
      <c r="C155">
        <v>0.3707206267478419</v>
      </c>
      <c r="D155">
        <v>1529.8</v>
      </c>
      <c r="E155">
        <v>0.23869230352122101</v>
      </c>
    </row>
    <row r="156" spans="2:5">
      <c r="B156" s="1">
        <v>41627</v>
      </c>
      <c r="C156">
        <v>0.33974567777608206</v>
      </c>
      <c r="D156">
        <v>1426.7</v>
      </c>
      <c r="E156">
        <v>0.20595646030872</v>
      </c>
    </row>
    <row r="157" spans="2:5">
      <c r="B157" s="1">
        <v>41634</v>
      </c>
      <c r="C157">
        <v>0.33029809597210952</v>
      </c>
      <c r="D157">
        <v>1277.8</v>
      </c>
      <c r="E157">
        <v>0.20588522084022601</v>
      </c>
    </row>
    <row r="158" spans="2:5">
      <c r="B158" s="1">
        <v>41641</v>
      </c>
      <c r="C158">
        <v>0.26212623729092371</v>
      </c>
      <c r="D158">
        <v>1352.7</v>
      </c>
      <c r="E158">
        <v>0.18270041372936699</v>
      </c>
    </row>
    <row r="159" spans="2:5">
      <c r="B159" s="1">
        <v>41648</v>
      </c>
      <c r="C159">
        <v>0.2902260049252946</v>
      </c>
      <c r="D159">
        <v>1507</v>
      </c>
      <c r="E159">
        <v>0.20349751001168101</v>
      </c>
    </row>
    <row r="160" spans="2:5">
      <c r="B160" s="1">
        <v>41655</v>
      </c>
      <c r="C160">
        <v>0.36774882579493112</v>
      </c>
      <c r="D160">
        <v>1675.8</v>
      </c>
      <c r="E160">
        <v>0.23285648019755101</v>
      </c>
    </row>
    <row r="161" spans="2:5">
      <c r="B161" s="1">
        <v>41662</v>
      </c>
      <c r="C161">
        <v>0.37084428304329614</v>
      </c>
      <c r="D161">
        <v>1601.2</v>
      </c>
      <c r="E161">
        <v>0.23330797794566899</v>
      </c>
    </row>
    <row r="162" spans="2:5">
      <c r="B162" s="1">
        <v>41669</v>
      </c>
      <c r="C162">
        <v>0.38160196936392621</v>
      </c>
      <c r="D162">
        <v>1667.5</v>
      </c>
      <c r="E162">
        <v>0.29089795893761</v>
      </c>
    </row>
    <row r="163" spans="2:5">
      <c r="B163" s="1">
        <v>41676</v>
      </c>
      <c r="C163">
        <v>0.40068103493110224</v>
      </c>
      <c r="D163">
        <v>1674.2</v>
      </c>
      <c r="E163">
        <v>0.31424671770039497</v>
      </c>
    </row>
    <row r="164" spans="2:5">
      <c r="B164" s="1">
        <v>41683</v>
      </c>
      <c r="C164">
        <v>0.38532630107916044</v>
      </c>
      <c r="D164">
        <v>1650.6</v>
      </c>
      <c r="E164">
        <v>0.28654188629747801</v>
      </c>
    </row>
    <row r="165" spans="2:5">
      <c r="B165" s="1">
        <v>41690</v>
      </c>
      <c r="C165">
        <v>0.3755719775185945</v>
      </c>
      <c r="D165">
        <v>1442.3</v>
      </c>
      <c r="E165">
        <v>0.25823477101989301</v>
      </c>
    </row>
    <row r="166" spans="2:5">
      <c r="B166" s="1">
        <v>41697</v>
      </c>
      <c r="C166">
        <v>0.36967404481869215</v>
      </c>
      <c r="D166">
        <v>1600.6</v>
      </c>
      <c r="E166">
        <v>0.25744034883327499</v>
      </c>
    </row>
    <row r="167" spans="2:5">
      <c r="B167" s="1">
        <v>41704</v>
      </c>
      <c r="C167">
        <v>0.38316963725836589</v>
      </c>
      <c r="D167">
        <v>1528</v>
      </c>
      <c r="E167">
        <v>0.28216102843400898</v>
      </c>
    </row>
    <row r="168" spans="2:5">
      <c r="B168" s="1">
        <v>41711</v>
      </c>
      <c r="C168">
        <v>0.36933430427665681</v>
      </c>
      <c r="D168">
        <v>1552.1</v>
      </c>
      <c r="E168">
        <v>0.25339035668079501</v>
      </c>
    </row>
    <row r="169" spans="2:5">
      <c r="B169" s="1">
        <v>41718</v>
      </c>
      <c r="C169">
        <v>0.38030249532079374</v>
      </c>
      <c r="D169">
        <v>1426.3</v>
      </c>
      <c r="E169">
        <v>0.28102818996708701</v>
      </c>
    </row>
    <row r="170" spans="2:5">
      <c r="B170" s="1">
        <v>41725</v>
      </c>
      <c r="C170">
        <v>0.36565400061256043</v>
      </c>
      <c r="D170">
        <v>1383.5</v>
      </c>
      <c r="E170">
        <v>0.25299751732949799</v>
      </c>
    </row>
    <row r="171" spans="2:5">
      <c r="B171" s="1">
        <v>41732</v>
      </c>
      <c r="C171">
        <v>0.35521926568999218</v>
      </c>
      <c r="D171">
        <v>1324.7</v>
      </c>
      <c r="E171">
        <v>0.222143720081627</v>
      </c>
    </row>
    <row r="172" spans="2:5">
      <c r="B172" s="1">
        <v>41739</v>
      </c>
      <c r="C172">
        <v>0.36683376695248865</v>
      </c>
      <c r="D172">
        <v>1429.9</v>
      </c>
      <c r="E172">
        <v>0.25169457423695202</v>
      </c>
    </row>
    <row r="173" spans="2:5">
      <c r="B173" s="1">
        <v>41746</v>
      </c>
      <c r="C173">
        <v>0.38166972699665563</v>
      </c>
      <c r="D173">
        <v>1370.9</v>
      </c>
      <c r="E173">
        <v>0.28058021231610197</v>
      </c>
    </row>
    <row r="174" spans="2:5">
      <c r="B174" s="1">
        <v>41753</v>
      </c>
      <c r="C174">
        <v>0.37393962817107157</v>
      </c>
      <c r="D174">
        <v>1298.0999999999999</v>
      </c>
      <c r="E174">
        <v>0.279448840397376</v>
      </c>
    </row>
    <row r="175" spans="2:5">
      <c r="B175" s="1">
        <v>41760</v>
      </c>
      <c r="C175">
        <v>0.37360583835556432</v>
      </c>
      <c r="D175">
        <v>1323.9</v>
      </c>
      <c r="E175">
        <v>0.27758425345188897</v>
      </c>
    </row>
    <row r="176" spans="2:5">
      <c r="B176" s="1">
        <v>41767</v>
      </c>
      <c r="C176">
        <v>0.40975674753773905</v>
      </c>
      <c r="D176">
        <v>1400.9</v>
      </c>
      <c r="E176">
        <v>0.32550344763156402</v>
      </c>
    </row>
    <row r="177" spans="2:5">
      <c r="B177" s="1">
        <v>41774</v>
      </c>
      <c r="C177">
        <v>0.4132153406951769</v>
      </c>
      <c r="D177">
        <v>1460.6</v>
      </c>
      <c r="E177">
        <v>0.32552411046597202</v>
      </c>
    </row>
    <row r="178" spans="2:5">
      <c r="B178" s="1">
        <v>41781</v>
      </c>
      <c r="C178">
        <v>0.44799454346559853</v>
      </c>
      <c r="D178">
        <v>1453.4</v>
      </c>
      <c r="E178">
        <v>0.347488455871724</v>
      </c>
    </row>
    <row r="179" spans="2:5">
      <c r="B179" s="1">
        <v>41788</v>
      </c>
      <c r="C179">
        <v>0.46362020494951672</v>
      </c>
      <c r="D179">
        <v>1382.6</v>
      </c>
      <c r="E179">
        <v>0.34818390220270101</v>
      </c>
    </row>
    <row r="180" spans="2:5">
      <c r="B180" s="1">
        <v>41795</v>
      </c>
      <c r="C180">
        <v>0.46847875373528863</v>
      </c>
      <c r="D180">
        <v>1516.9</v>
      </c>
      <c r="E180">
        <v>0.346238128399389</v>
      </c>
    </row>
    <row r="181" spans="2:5">
      <c r="B181" s="1">
        <v>41802</v>
      </c>
      <c r="C181">
        <v>0.41096738430920449</v>
      </c>
      <c r="D181">
        <v>1321.3</v>
      </c>
      <c r="E181">
        <v>0.32274759646781798</v>
      </c>
    </row>
    <row r="182" spans="2:5">
      <c r="B182" s="1">
        <v>41809</v>
      </c>
      <c r="C182">
        <v>0.42635938692148717</v>
      </c>
      <c r="D182">
        <v>1333.5</v>
      </c>
      <c r="E182">
        <v>0.324184407069465</v>
      </c>
    </row>
    <row r="183" spans="2:5">
      <c r="B183" s="1">
        <v>41816</v>
      </c>
      <c r="C183">
        <v>0.46847875373528863</v>
      </c>
      <c r="D183">
        <v>1341.8</v>
      </c>
      <c r="E183">
        <v>0.346238128399389</v>
      </c>
    </row>
    <row r="184" spans="2:5">
      <c r="B184" s="1">
        <v>41823</v>
      </c>
      <c r="C184">
        <v>0.48178321750260522</v>
      </c>
      <c r="D184">
        <v>1346.8</v>
      </c>
      <c r="E184">
        <v>0.36578907876503403</v>
      </c>
    </row>
    <row r="185" spans="2:5">
      <c r="B185" s="1">
        <v>41830</v>
      </c>
      <c r="C185">
        <v>0.42147742037560049</v>
      </c>
      <c r="D185">
        <v>1329.7</v>
      </c>
      <c r="E185">
        <v>0.31805600486192798</v>
      </c>
    </row>
    <row r="186" spans="2:5">
      <c r="B186" s="1">
        <v>41837</v>
      </c>
      <c r="C186">
        <v>0.45155296827836544</v>
      </c>
      <c r="D186">
        <v>1400.7</v>
      </c>
      <c r="E186">
        <v>0.34009498441958502</v>
      </c>
    </row>
    <row r="187" spans="2:5">
      <c r="B187" s="1">
        <v>41844</v>
      </c>
      <c r="C187">
        <v>0.45155296827836544</v>
      </c>
      <c r="D187">
        <v>1327.5</v>
      </c>
      <c r="E187">
        <v>0.34009498441958502</v>
      </c>
    </row>
    <row r="188" spans="2:5">
      <c r="B188" s="1">
        <v>41851</v>
      </c>
      <c r="C188">
        <v>0.45923072088835232</v>
      </c>
      <c r="D188">
        <v>1373.9</v>
      </c>
      <c r="E188">
        <v>0.34042369497045799</v>
      </c>
    </row>
    <row r="189" spans="2:5">
      <c r="B189" s="1">
        <v>41858</v>
      </c>
      <c r="C189">
        <v>0.42413376349642812</v>
      </c>
      <c r="D189">
        <v>1342.6</v>
      </c>
      <c r="E189">
        <v>0.31036061365073903</v>
      </c>
    </row>
    <row r="190" spans="2:5">
      <c r="B190" s="1">
        <v>41865</v>
      </c>
      <c r="C190">
        <v>0.45575254137027688</v>
      </c>
      <c r="D190">
        <v>1404.9</v>
      </c>
      <c r="E190">
        <v>0.33263554438079002</v>
      </c>
    </row>
    <row r="191" spans="2:5">
      <c r="B191" s="1">
        <v>41872</v>
      </c>
      <c r="C191">
        <v>0.49084413664233395</v>
      </c>
      <c r="D191">
        <v>1439.4</v>
      </c>
      <c r="E191">
        <v>0.35838762838330102</v>
      </c>
    </row>
    <row r="192" spans="2:5">
      <c r="B192" s="1">
        <v>41879</v>
      </c>
      <c r="C192">
        <v>0.49084413664233395</v>
      </c>
      <c r="D192">
        <v>1436</v>
      </c>
      <c r="E192">
        <v>0.35838762838330102</v>
      </c>
    </row>
    <row r="193" spans="2:5">
      <c r="B193" s="1">
        <v>41886</v>
      </c>
      <c r="C193">
        <v>0.4873264191007175</v>
      </c>
      <c r="D193">
        <v>1275.8</v>
      </c>
      <c r="E193">
        <v>0.35124395630609401</v>
      </c>
    </row>
    <row r="194" spans="2:5">
      <c r="B194" s="1">
        <v>41893</v>
      </c>
      <c r="C194">
        <v>0.4741591952243816</v>
      </c>
      <c r="D194">
        <v>1398.4</v>
      </c>
      <c r="E194">
        <v>0.350821387629207</v>
      </c>
    </row>
    <row r="195" spans="2:5">
      <c r="B195" s="1">
        <v>41900</v>
      </c>
      <c r="C195">
        <v>0.3981672862675662</v>
      </c>
      <c r="D195">
        <v>1335.1</v>
      </c>
      <c r="E195">
        <v>0.30185821114737799</v>
      </c>
    </row>
    <row r="196" spans="2:5">
      <c r="B196" s="1">
        <v>41907</v>
      </c>
      <c r="C196">
        <v>0.41373230170663788</v>
      </c>
      <c r="D196">
        <v>1326.2</v>
      </c>
      <c r="E196">
        <v>0.303134887573904</v>
      </c>
    </row>
    <row r="197" spans="2:5">
      <c r="B197" s="1">
        <v>41914</v>
      </c>
      <c r="C197">
        <v>0.43232059685066798</v>
      </c>
      <c r="D197">
        <v>1387.1</v>
      </c>
      <c r="E197">
        <v>0.31668157332951902</v>
      </c>
    </row>
    <row r="198" spans="2:5">
      <c r="B198" s="1">
        <v>41921</v>
      </c>
      <c r="C198">
        <v>0.47165449273347226</v>
      </c>
      <c r="D198">
        <v>1560.6</v>
      </c>
      <c r="E198">
        <v>0.34232551793557098</v>
      </c>
    </row>
    <row r="199" spans="2:5">
      <c r="B199" s="1">
        <v>41928</v>
      </c>
      <c r="C199">
        <v>0.57517284737260799</v>
      </c>
      <c r="D199">
        <v>1898.2</v>
      </c>
      <c r="E199">
        <v>0.40285473187500098</v>
      </c>
    </row>
    <row r="200" spans="2:5">
      <c r="B200" s="1">
        <v>41935</v>
      </c>
      <c r="C200">
        <v>0.58745733896979668</v>
      </c>
      <c r="D200">
        <v>1713.6</v>
      </c>
      <c r="E200">
        <v>0.43224640519919799</v>
      </c>
    </row>
    <row r="201" spans="2:5">
      <c r="B201" s="1">
        <v>41942</v>
      </c>
      <c r="C201">
        <v>0.57181297396619646</v>
      </c>
      <c r="D201">
        <v>1604.8</v>
      </c>
      <c r="E201">
        <v>0.40279530551033699</v>
      </c>
    </row>
    <row r="202" spans="2:5">
      <c r="B202" s="1">
        <v>41949</v>
      </c>
      <c r="C202">
        <v>0.54857982917990311</v>
      </c>
      <c r="D202">
        <v>1565.3</v>
      </c>
      <c r="E202">
        <v>0.363805283856794</v>
      </c>
    </row>
    <row r="203" spans="2:5">
      <c r="B203" s="1">
        <v>41956</v>
      </c>
      <c r="C203">
        <v>0.55497671209744126</v>
      </c>
      <c r="D203">
        <v>1563.2</v>
      </c>
      <c r="E203">
        <v>0.36393083176118401</v>
      </c>
    </row>
    <row r="204" spans="2:5">
      <c r="B204" s="1">
        <v>41963</v>
      </c>
      <c r="C204">
        <v>0.56606721089043732</v>
      </c>
      <c r="D204">
        <v>1547.9</v>
      </c>
      <c r="E204">
        <v>0.39464243161649398</v>
      </c>
    </row>
    <row r="205" spans="2:5">
      <c r="B205" s="1">
        <v>41969</v>
      </c>
      <c r="C205">
        <v>0.57290983086857539</v>
      </c>
      <c r="D205" t="e">
        <v>#N/A</v>
      </c>
      <c r="E205">
        <v>0.39478657813594797</v>
      </c>
    </row>
    <row r="206" spans="2:5">
      <c r="B206" s="1">
        <v>41977</v>
      </c>
      <c r="C206">
        <v>0.59279776197128353</v>
      </c>
      <c r="D206">
        <v>1548.6</v>
      </c>
      <c r="E206">
        <v>0.41779394948311799</v>
      </c>
    </row>
    <row r="207" spans="2:5">
      <c r="B207" s="1">
        <v>41984</v>
      </c>
      <c r="C207">
        <v>0.5786710507683992</v>
      </c>
      <c r="D207">
        <v>1518.8</v>
      </c>
      <c r="E207">
        <v>0.41674162737276199</v>
      </c>
    </row>
    <row r="208" spans="2:5">
      <c r="B208" s="1">
        <v>41991</v>
      </c>
      <c r="C208">
        <v>0.6155496963810797</v>
      </c>
      <c r="D208">
        <v>1538.7</v>
      </c>
      <c r="E208">
        <v>0.45273770907866101</v>
      </c>
    </row>
    <row r="209" spans="2:5">
      <c r="B209" s="1">
        <v>41997</v>
      </c>
      <c r="C209">
        <v>0.60574636223541978</v>
      </c>
      <c r="D209" t="e">
        <v>#N/A</v>
      </c>
      <c r="E209">
        <v>0.44996183796017403</v>
      </c>
    </row>
    <row r="210" spans="2:5">
      <c r="B210" s="1">
        <v>42004</v>
      </c>
      <c r="C210">
        <v>0.59072795930158906</v>
      </c>
      <c r="D210" t="e">
        <v>#N/A</v>
      </c>
      <c r="E210">
        <v>0.41775040408126601</v>
      </c>
    </row>
    <row r="211" spans="2:5">
      <c r="B211" s="1">
        <v>42012</v>
      </c>
      <c r="C211">
        <v>0.63580141506138355</v>
      </c>
      <c r="D211">
        <v>2271.5</v>
      </c>
      <c r="E211">
        <v>0.47713334056444601</v>
      </c>
    </row>
    <row r="212" spans="2:5">
      <c r="B212" s="1">
        <v>42019</v>
      </c>
      <c r="C212">
        <v>0.66264885680249008</v>
      </c>
      <c r="D212">
        <v>2799.3</v>
      </c>
      <c r="E212">
        <v>0.53296054461027997</v>
      </c>
    </row>
    <row r="213" spans="2:5">
      <c r="B213" s="1">
        <v>42026</v>
      </c>
      <c r="C213">
        <v>0.66474126748702123</v>
      </c>
      <c r="D213">
        <v>2572.3000000000002</v>
      </c>
      <c r="E213">
        <v>0.53525908703488601</v>
      </c>
    </row>
    <row r="214" spans="2:5">
      <c r="B214" s="1">
        <v>42033</v>
      </c>
      <c r="C214">
        <v>0.66264885680249008</v>
      </c>
      <c r="D214">
        <v>2584.8000000000002</v>
      </c>
      <c r="E214">
        <v>0.53296054461027997</v>
      </c>
    </row>
    <row r="215" spans="2:5">
      <c r="B215" s="1">
        <v>42040</v>
      </c>
      <c r="C215">
        <v>0.68438167594716182</v>
      </c>
      <c r="D215">
        <v>2291.3000000000002</v>
      </c>
      <c r="E215">
        <v>0.531964205535849</v>
      </c>
    </row>
    <row r="216" spans="2:5">
      <c r="B216" s="1">
        <v>42047</v>
      </c>
      <c r="C216">
        <v>0.64890841265420796</v>
      </c>
      <c r="D216">
        <v>1904.2</v>
      </c>
      <c r="E216">
        <v>0.50112937152177495</v>
      </c>
    </row>
    <row r="217" spans="2:5">
      <c r="B217" s="1">
        <v>42054</v>
      </c>
      <c r="C217">
        <v>0.62651628119673453</v>
      </c>
      <c r="D217">
        <v>1703.1</v>
      </c>
      <c r="E217">
        <v>0.46787253141998503</v>
      </c>
    </row>
    <row r="218" spans="2:5">
      <c r="B218" s="1">
        <v>42061</v>
      </c>
      <c r="C218">
        <v>0.61098575112407738</v>
      </c>
      <c r="D218">
        <v>1740.3</v>
      </c>
      <c r="E218">
        <v>0.43720530063230401</v>
      </c>
    </row>
    <row r="219" spans="2:5">
      <c r="B219" s="1">
        <v>42068</v>
      </c>
      <c r="C219">
        <v>0.61966926616186646</v>
      </c>
      <c r="D219">
        <v>1685.7</v>
      </c>
      <c r="E219">
        <v>0.45959407492170601</v>
      </c>
    </row>
    <row r="220" spans="2:5">
      <c r="B220" s="1">
        <v>42075</v>
      </c>
      <c r="C220">
        <v>0.57559445438514367</v>
      </c>
      <c r="D220">
        <v>1623.6</v>
      </c>
      <c r="E220">
        <v>0.394169404360453</v>
      </c>
    </row>
    <row r="221" spans="2:5">
      <c r="B221" s="1">
        <v>42082</v>
      </c>
      <c r="C221">
        <v>0.60937196228640689</v>
      </c>
      <c r="D221">
        <v>1860.8</v>
      </c>
      <c r="E221">
        <v>0.45850870301610303</v>
      </c>
    </row>
    <row r="222" spans="2:5">
      <c r="B222" s="1">
        <v>42089</v>
      </c>
      <c r="C222">
        <v>0.64195316325793905</v>
      </c>
      <c r="D222">
        <v>1941.6</v>
      </c>
      <c r="E222">
        <v>0.49264013227543102</v>
      </c>
    </row>
    <row r="223" spans="2:5">
      <c r="B223" s="1">
        <v>42096</v>
      </c>
      <c r="C223">
        <v>0.62778439660000751</v>
      </c>
      <c r="D223">
        <v>1854.7</v>
      </c>
      <c r="E223">
        <v>0.47700652645494301</v>
      </c>
    </row>
    <row r="224" spans="2:5">
      <c r="B224" s="1">
        <v>42103</v>
      </c>
      <c r="C224">
        <v>0.64459292642165245</v>
      </c>
      <c r="D224">
        <v>1804.6</v>
      </c>
      <c r="E224">
        <v>0.505305541519944</v>
      </c>
    </row>
    <row r="225" spans="2:5">
      <c r="B225" s="1">
        <v>42110</v>
      </c>
      <c r="C225">
        <v>0.63055503904182508</v>
      </c>
      <c r="D225">
        <v>1817</v>
      </c>
      <c r="E225">
        <v>0.47885281621922599</v>
      </c>
    </row>
    <row r="226" spans="2:5">
      <c r="B226" s="1">
        <v>42117</v>
      </c>
      <c r="C226">
        <v>0.64951370522505292</v>
      </c>
      <c r="D226" t="e">
        <v>#N/A</v>
      </c>
      <c r="E226">
        <v>0.50775672845638498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22" workbookViewId="0">
      <selection activeCell="H90" sqref="H90"/>
    </sheetView>
  </sheetViews>
  <sheetFormatPr defaultRowHeight="1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227"/>
  <sheetViews>
    <sheetView tabSelected="1" workbookViewId="0">
      <selection activeCell="Z38" sqref="Z38"/>
    </sheetView>
  </sheetViews>
  <sheetFormatPr defaultRowHeight="15"/>
  <sheetData>
    <row r="2" spans="2:6">
      <c r="B2" s="61" t="s">
        <v>31</v>
      </c>
      <c r="C2" s="76" t="s">
        <v>92</v>
      </c>
      <c r="D2" s="76" t="s">
        <v>60</v>
      </c>
      <c r="E2" s="77" t="s">
        <v>94</v>
      </c>
      <c r="F2" s="78" t="s">
        <v>95</v>
      </c>
    </row>
    <row r="3" spans="2:6">
      <c r="B3" s="79">
        <v>40549</v>
      </c>
      <c r="C3" s="80">
        <v>0.62402170072443153</v>
      </c>
      <c r="D3" s="80">
        <v>0.41917445646047702</v>
      </c>
      <c r="E3" s="80">
        <v>0.46885641253034299</v>
      </c>
      <c r="F3" s="81">
        <f>E3-D3</f>
        <v>4.9681956069865973E-2</v>
      </c>
    </row>
    <row r="4" spans="2:6">
      <c r="B4" s="79">
        <v>40556</v>
      </c>
      <c r="C4" s="80">
        <v>0.62817294477626939</v>
      </c>
      <c r="D4" s="80">
        <v>0.43621985629656101</v>
      </c>
      <c r="E4" s="80">
        <v>0.484880705000166</v>
      </c>
      <c r="F4" s="81">
        <f t="shared" ref="F4:F67" si="0">E4-D4</f>
        <v>4.8660848703604986E-2</v>
      </c>
    </row>
    <row r="5" spans="2:6">
      <c r="B5" s="79">
        <v>40563</v>
      </c>
      <c r="C5" s="80">
        <v>0.62597730951219899</v>
      </c>
      <c r="D5" s="80">
        <v>0.41944708561696598</v>
      </c>
      <c r="E5" s="80">
        <v>0.46911247375695397</v>
      </c>
      <c r="F5" s="81">
        <f t="shared" si="0"/>
        <v>4.9665388139987998E-2</v>
      </c>
    </row>
    <row r="6" spans="2:6">
      <c r="B6" s="79">
        <v>40570</v>
      </c>
      <c r="C6" s="80">
        <v>0.62392159162868732</v>
      </c>
      <c r="D6" s="80">
        <v>0.418710148423519</v>
      </c>
      <c r="E6" s="80">
        <v>0.46839804028281901</v>
      </c>
      <c r="F6" s="81">
        <f t="shared" si="0"/>
        <v>4.9687891859300004E-2</v>
      </c>
    </row>
    <row r="7" spans="2:6">
      <c r="B7" s="79">
        <v>40577</v>
      </c>
      <c r="C7" s="80">
        <v>0.60653142223595213</v>
      </c>
      <c r="D7" s="80">
        <v>0.38887560757790002</v>
      </c>
      <c r="E7" s="80">
        <v>0.440398387253014</v>
      </c>
      <c r="F7" s="81">
        <f t="shared" si="0"/>
        <v>5.1522779675113983E-2</v>
      </c>
    </row>
    <row r="8" spans="2:6">
      <c r="B8" s="79">
        <v>40584</v>
      </c>
      <c r="C8" s="80">
        <v>0.50868797673712363</v>
      </c>
      <c r="D8" s="80">
        <v>0.35101070043975402</v>
      </c>
      <c r="E8" s="80">
        <v>0.40695271820136403</v>
      </c>
      <c r="F8" s="81">
        <f t="shared" si="0"/>
        <v>5.5942017761610008E-2</v>
      </c>
    </row>
    <row r="9" spans="2:6">
      <c r="B9" s="79">
        <v>40591</v>
      </c>
      <c r="C9" s="80">
        <v>0.52965901814335548</v>
      </c>
      <c r="D9" s="80">
        <v>0.36422873018148</v>
      </c>
      <c r="E9" s="80">
        <v>0.41797156185356299</v>
      </c>
      <c r="F9" s="81">
        <f t="shared" si="0"/>
        <v>5.3742831672082991E-2</v>
      </c>
    </row>
    <row r="10" spans="2:6">
      <c r="B10" s="79">
        <v>40598</v>
      </c>
      <c r="C10" s="80">
        <v>0.57709503787578109</v>
      </c>
      <c r="D10" s="80">
        <v>0.37426156705539698</v>
      </c>
      <c r="E10" s="80">
        <v>0.42749088486683401</v>
      </c>
      <c r="F10" s="81">
        <f t="shared" si="0"/>
        <v>5.3229317811437027E-2</v>
      </c>
    </row>
    <row r="11" spans="2:6">
      <c r="B11" s="79">
        <v>40605</v>
      </c>
      <c r="C11" s="80">
        <v>0.59224775585706535</v>
      </c>
      <c r="D11" s="80">
        <v>0.378077073966118</v>
      </c>
      <c r="E11" s="80">
        <v>0.43033160357153799</v>
      </c>
      <c r="F11" s="81">
        <f t="shared" si="0"/>
        <v>5.2254529605419986E-2</v>
      </c>
    </row>
    <row r="12" spans="2:6">
      <c r="B12" s="79">
        <v>40612</v>
      </c>
      <c r="C12" s="80">
        <v>0.59090570789662444</v>
      </c>
      <c r="D12" s="80">
        <v>0.37803494484535199</v>
      </c>
      <c r="E12" s="80">
        <v>0.43030110657149201</v>
      </c>
      <c r="F12" s="81">
        <f t="shared" si="0"/>
        <v>5.2266161726140015E-2</v>
      </c>
    </row>
    <row r="13" spans="2:6">
      <c r="B13" s="79">
        <v>40619</v>
      </c>
      <c r="C13" s="80">
        <v>0.60261779474869925</v>
      </c>
      <c r="D13" s="80">
        <v>0.407679162563724</v>
      </c>
      <c r="E13" s="80">
        <v>0.45843967337938502</v>
      </c>
      <c r="F13" s="81">
        <f t="shared" si="0"/>
        <v>5.076051081566102E-2</v>
      </c>
    </row>
    <row r="14" spans="2:6">
      <c r="B14" s="79">
        <v>40626</v>
      </c>
      <c r="C14" s="80">
        <v>0.59950595681897523</v>
      </c>
      <c r="D14" s="80">
        <v>0.39154691259907098</v>
      </c>
      <c r="E14" s="80">
        <v>0.44338718423978701</v>
      </c>
      <c r="F14" s="81">
        <f t="shared" si="0"/>
        <v>5.1840271640716029E-2</v>
      </c>
    </row>
    <row r="15" spans="2:6">
      <c r="B15" s="79">
        <v>40633</v>
      </c>
      <c r="C15" s="80">
        <v>0.593225708201635</v>
      </c>
      <c r="D15" s="80">
        <v>0.37809391960358502</v>
      </c>
      <c r="E15" s="80">
        <v>0.43034776102532601</v>
      </c>
      <c r="F15" s="81">
        <f t="shared" si="0"/>
        <v>5.2253841421740999E-2</v>
      </c>
    </row>
    <row r="16" spans="2:6">
      <c r="B16" s="79">
        <v>40640</v>
      </c>
      <c r="C16" s="80">
        <v>0.58542144661011908</v>
      </c>
      <c r="D16" s="80">
        <v>0.36996472497765398</v>
      </c>
      <c r="E16" s="80">
        <v>0.42302014893146</v>
      </c>
      <c r="F16" s="81">
        <f t="shared" si="0"/>
        <v>5.3055423953806025E-2</v>
      </c>
    </row>
    <row r="17" spans="2:6">
      <c r="B17" s="79">
        <v>40647</v>
      </c>
      <c r="C17" s="80">
        <v>0.58155199492979581</v>
      </c>
      <c r="D17" s="80">
        <v>0.36984016473175102</v>
      </c>
      <c r="E17" s="80">
        <v>0.422913696043141</v>
      </c>
      <c r="F17" s="81">
        <f t="shared" si="0"/>
        <v>5.3073531311389976E-2</v>
      </c>
    </row>
    <row r="18" spans="2:6">
      <c r="B18" s="79">
        <v>40654</v>
      </c>
      <c r="C18" s="80">
        <v>0.59356262313394537</v>
      </c>
      <c r="D18" s="80">
        <v>0.38384871096807699</v>
      </c>
      <c r="E18" s="80">
        <v>0.43647525585997698</v>
      </c>
      <c r="F18" s="81">
        <f t="shared" si="0"/>
        <v>5.2626544891899996E-2</v>
      </c>
    </row>
    <row r="19" spans="2:6">
      <c r="B19" s="79">
        <v>40661</v>
      </c>
      <c r="C19" s="80">
        <v>0.59445921362542997</v>
      </c>
      <c r="D19" s="80">
        <v>0.38433074982262799</v>
      </c>
      <c r="E19" s="80">
        <v>0.43694753509709</v>
      </c>
      <c r="F19" s="81">
        <f t="shared" si="0"/>
        <v>5.2616785274462008E-2</v>
      </c>
    </row>
    <row r="20" spans="2:6">
      <c r="B20" s="79">
        <v>40668</v>
      </c>
      <c r="C20" s="80">
        <v>0.59391131067456038</v>
      </c>
      <c r="D20" s="80">
        <v>0.394871405610702</v>
      </c>
      <c r="E20" s="80">
        <v>0.447281712887248</v>
      </c>
      <c r="F20" s="81">
        <f t="shared" si="0"/>
        <v>5.2410307276545998E-2</v>
      </c>
    </row>
    <row r="21" spans="2:6">
      <c r="B21" s="79">
        <v>40675</v>
      </c>
      <c r="C21" s="80">
        <v>0.60662155942020002</v>
      </c>
      <c r="D21" s="80">
        <v>0.43079303669576202</v>
      </c>
      <c r="E21" s="80">
        <v>0.48169103338999603</v>
      </c>
      <c r="F21" s="81">
        <f t="shared" si="0"/>
        <v>5.0897996694234005E-2</v>
      </c>
    </row>
    <row r="22" spans="2:6">
      <c r="B22" s="79">
        <v>40682</v>
      </c>
      <c r="C22" s="80">
        <v>0.61264076908113763</v>
      </c>
      <c r="D22" s="80">
        <v>0.43090192835496699</v>
      </c>
      <c r="E22" s="80">
        <v>0.48179766411393099</v>
      </c>
      <c r="F22" s="81">
        <f t="shared" si="0"/>
        <v>5.0895735758964E-2</v>
      </c>
    </row>
    <row r="23" spans="2:6">
      <c r="B23" s="79">
        <v>40689</v>
      </c>
      <c r="C23" s="80">
        <v>0.61599363608099678</v>
      </c>
      <c r="D23" s="80">
        <v>0.431110671725766</v>
      </c>
      <c r="E23" s="80">
        <v>0.48194723053828598</v>
      </c>
      <c r="F23" s="81">
        <f t="shared" si="0"/>
        <v>5.0836558812519972E-2</v>
      </c>
    </row>
    <row r="24" spans="2:6">
      <c r="B24" s="79">
        <v>40696</v>
      </c>
      <c r="C24" s="80">
        <v>0.66311590107349083</v>
      </c>
      <c r="D24" s="80">
        <v>0.45342303565958197</v>
      </c>
      <c r="E24" s="80">
        <v>0.50487266986540702</v>
      </c>
      <c r="F24" s="81">
        <f t="shared" si="0"/>
        <v>5.1449634205825046E-2</v>
      </c>
    </row>
    <row r="25" spans="2:6">
      <c r="B25" s="79">
        <v>40703</v>
      </c>
      <c r="C25" s="80">
        <v>0.74517189360077984</v>
      </c>
      <c r="D25" s="80">
        <v>0.47629557608974499</v>
      </c>
      <c r="E25" s="80">
        <v>0.52689216322250598</v>
      </c>
      <c r="F25" s="81">
        <f t="shared" si="0"/>
        <v>5.0596587132760995E-2</v>
      </c>
    </row>
    <row r="26" spans="2:6">
      <c r="B26" s="79">
        <v>40710</v>
      </c>
      <c r="C26" s="80">
        <v>0.72397022872334449</v>
      </c>
      <c r="D26" s="80">
        <v>0.47626301055025799</v>
      </c>
      <c r="E26" s="80">
        <v>0.52686022379811903</v>
      </c>
      <c r="F26" s="81">
        <f t="shared" si="0"/>
        <v>5.0597213247861039E-2</v>
      </c>
    </row>
    <row r="27" spans="2:6">
      <c r="B27" s="79">
        <v>40717</v>
      </c>
      <c r="C27" s="80">
        <v>0.66311590107349083</v>
      </c>
      <c r="D27" s="80">
        <v>0.45342303565958197</v>
      </c>
      <c r="E27" s="80">
        <v>0.50487266986540702</v>
      </c>
      <c r="F27" s="81">
        <f t="shared" si="0"/>
        <v>5.1449634205825046E-2</v>
      </c>
    </row>
    <row r="28" spans="2:6">
      <c r="B28" s="79">
        <v>40724</v>
      </c>
      <c r="C28" s="80">
        <v>0.69050447134038251</v>
      </c>
      <c r="D28" s="80">
        <v>0.47533111966863201</v>
      </c>
      <c r="E28" s="80">
        <v>0.52593041582120903</v>
      </c>
      <c r="F28" s="81">
        <f t="shared" si="0"/>
        <v>5.0599296152577022E-2</v>
      </c>
    </row>
    <row r="29" spans="2:6">
      <c r="B29" s="79">
        <v>40731</v>
      </c>
      <c r="C29" s="80">
        <v>0.60410549631050647</v>
      </c>
      <c r="D29" s="80">
        <v>0.42115773967800002</v>
      </c>
      <c r="E29" s="80">
        <v>0.47454621524908303</v>
      </c>
      <c r="F29" s="81">
        <f t="shared" si="0"/>
        <v>5.3388475571083005E-2</v>
      </c>
    </row>
    <row r="30" spans="2:6">
      <c r="B30" s="79">
        <v>40738</v>
      </c>
      <c r="C30" s="80">
        <v>0.684475421712615</v>
      </c>
      <c r="D30" s="80">
        <v>0.47005900282082203</v>
      </c>
      <c r="E30" s="80">
        <v>0.52190457919731803</v>
      </c>
      <c r="F30" s="81">
        <f t="shared" si="0"/>
        <v>5.1845576376496005E-2</v>
      </c>
    </row>
    <row r="31" spans="2:6">
      <c r="B31" s="79">
        <v>40745</v>
      </c>
      <c r="C31" s="80">
        <v>0.66675683999516944</v>
      </c>
      <c r="D31" s="80">
        <v>0.44797749734765901</v>
      </c>
      <c r="E31" s="80">
        <v>0.50065707260663195</v>
      </c>
      <c r="F31" s="81">
        <f t="shared" si="0"/>
        <v>5.2679575258972933E-2</v>
      </c>
    </row>
    <row r="32" spans="2:6">
      <c r="B32" s="79">
        <v>40752</v>
      </c>
      <c r="C32" s="80">
        <v>0.61660059317974736</v>
      </c>
      <c r="D32" s="80">
        <v>0.44409861209358098</v>
      </c>
      <c r="E32" s="80">
        <v>0.49688453784682102</v>
      </c>
      <c r="F32" s="81">
        <f t="shared" si="0"/>
        <v>5.2785925753240037E-2</v>
      </c>
    </row>
    <row r="33" spans="2:6">
      <c r="B33" s="79">
        <v>40759</v>
      </c>
      <c r="C33" s="80">
        <v>0.81803711941746404</v>
      </c>
      <c r="D33" s="80">
        <v>0.515379400381896</v>
      </c>
      <c r="E33" s="80">
        <v>0.56742832753757799</v>
      </c>
      <c r="F33" s="81">
        <f t="shared" si="0"/>
        <v>5.204892715568199E-2</v>
      </c>
    </row>
    <row r="34" spans="2:6">
      <c r="B34" s="79">
        <v>40766</v>
      </c>
      <c r="C34" s="80">
        <v>0.83404184296119399</v>
      </c>
      <c r="D34" s="80">
        <v>0.61745026323361196</v>
      </c>
      <c r="E34" s="80">
        <v>0.66600802275198501</v>
      </c>
      <c r="F34" s="81">
        <f t="shared" si="0"/>
        <v>4.8557759518373045E-2</v>
      </c>
    </row>
    <row r="35" spans="2:6">
      <c r="B35" s="79">
        <v>40773</v>
      </c>
      <c r="C35" s="80">
        <v>0.86117434904403212</v>
      </c>
      <c r="D35" s="80">
        <v>0.71103111098302996</v>
      </c>
      <c r="E35" s="80">
        <v>0.75450188553023501</v>
      </c>
      <c r="F35" s="81">
        <f t="shared" si="0"/>
        <v>4.3470774547205049E-2</v>
      </c>
    </row>
    <row r="36" spans="2:6">
      <c r="B36" s="79">
        <v>40780</v>
      </c>
      <c r="C36" s="80">
        <v>0.84714025108084823</v>
      </c>
      <c r="D36" s="80">
        <v>0.66735967344709601</v>
      </c>
      <c r="E36" s="80">
        <v>0.71265891972781104</v>
      </c>
      <c r="F36" s="81">
        <f t="shared" si="0"/>
        <v>4.5299246280715022E-2</v>
      </c>
    </row>
    <row r="37" spans="2:6">
      <c r="B37" s="79">
        <v>40787</v>
      </c>
      <c r="C37" s="80">
        <v>0.84129278814437181</v>
      </c>
      <c r="D37" s="80">
        <v>0.66070318293374397</v>
      </c>
      <c r="E37" s="80">
        <v>0.70758341766817601</v>
      </c>
      <c r="F37" s="81">
        <f t="shared" si="0"/>
        <v>4.6880234734432036E-2</v>
      </c>
    </row>
    <row r="38" spans="2:6">
      <c r="B38" s="79">
        <v>40794</v>
      </c>
      <c r="C38" s="80">
        <v>0.87859103936280614</v>
      </c>
      <c r="D38" s="80">
        <v>0.72862294428542695</v>
      </c>
      <c r="E38" s="80">
        <v>0.77195870739625605</v>
      </c>
      <c r="F38" s="81">
        <f t="shared" si="0"/>
        <v>4.3335763110829095E-2</v>
      </c>
    </row>
    <row r="39" spans="2:6">
      <c r="B39" s="79">
        <v>40801</v>
      </c>
      <c r="C39" s="80">
        <v>0.90242289630359074</v>
      </c>
      <c r="D39" s="80">
        <v>0.73180955418473204</v>
      </c>
      <c r="E39" s="80">
        <v>0.77393677940889705</v>
      </c>
      <c r="F39" s="81">
        <f t="shared" si="0"/>
        <v>4.212722522416501E-2</v>
      </c>
    </row>
    <row r="40" spans="2:6">
      <c r="B40" s="79">
        <v>40808</v>
      </c>
      <c r="C40" s="80">
        <v>0.90242289630359074</v>
      </c>
      <c r="D40" s="80">
        <v>0.73180955418473204</v>
      </c>
      <c r="E40" s="80">
        <v>0.77393677940889705</v>
      </c>
      <c r="F40" s="81">
        <f t="shared" si="0"/>
        <v>4.212722522416501E-2</v>
      </c>
    </row>
    <row r="41" spans="2:6">
      <c r="B41" s="79">
        <v>40815</v>
      </c>
      <c r="C41" s="80">
        <v>0.94644262124543443</v>
      </c>
      <c r="D41" s="80">
        <v>0.78537510001402</v>
      </c>
      <c r="E41" s="80">
        <v>0.82508471199231004</v>
      </c>
      <c r="F41" s="81">
        <f t="shared" si="0"/>
        <v>3.9709611978290038E-2</v>
      </c>
    </row>
    <row r="42" spans="2:6">
      <c r="B42" s="79">
        <v>40822</v>
      </c>
      <c r="C42" s="80">
        <v>0.96725200604215567</v>
      </c>
      <c r="D42" s="80">
        <v>0.77200889405912698</v>
      </c>
      <c r="E42" s="80">
        <v>0.81259352846128097</v>
      </c>
      <c r="F42" s="81">
        <f t="shared" si="0"/>
        <v>4.0584634402153985E-2</v>
      </c>
    </row>
    <row r="43" spans="2:6">
      <c r="B43" s="79">
        <v>40829</v>
      </c>
      <c r="C43" s="80">
        <v>0.84917694017596268</v>
      </c>
      <c r="D43" s="80">
        <v>0.68762581065136796</v>
      </c>
      <c r="E43" s="80">
        <v>0.73459198246487301</v>
      </c>
      <c r="F43" s="81">
        <f t="shared" si="0"/>
        <v>4.6966171813505042E-2</v>
      </c>
    </row>
    <row r="44" spans="2:6">
      <c r="B44" s="79">
        <v>40836</v>
      </c>
      <c r="C44" s="80">
        <v>0.85635864773186432</v>
      </c>
      <c r="D44" s="80">
        <v>0.70907311332117495</v>
      </c>
      <c r="E44" s="80">
        <v>0.75489065999645399</v>
      </c>
      <c r="F44" s="81">
        <f t="shared" si="0"/>
        <v>4.5817546675279042E-2</v>
      </c>
    </row>
    <row r="45" spans="2:6">
      <c r="B45" s="79">
        <v>40843</v>
      </c>
      <c r="C45" s="80">
        <v>0.86512672485653175</v>
      </c>
      <c r="D45" s="80">
        <v>0.71096371307505601</v>
      </c>
      <c r="E45" s="80">
        <v>0.75632978245354299</v>
      </c>
      <c r="F45" s="81">
        <f t="shared" si="0"/>
        <v>4.5366069378486973E-2</v>
      </c>
    </row>
    <row r="46" spans="2:6">
      <c r="B46" s="79">
        <v>40850</v>
      </c>
      <c r="C46" s="80">
        <v>0.93485323798856346</v>
      </c>
      <c r="D46" s="80">
        <v>0.75213064967891696</v>
      </c>
      <c r="E46" s="80">
        <v>0.79566700230121001</v>
      </c>
      <c r="F46" s="81">
        <f t="shared" si="0"/>
        <v>4.3536352622293051E-2</v>
      </c>
    </row>
    <row r="47" spans="2:6">
      <c r="B47" s="79">
        <v>40857</v>
      </c>
      <c r="C47" s="80">
        <v>0.94404770550683115</v>
      </c>
      <c r="D47" s="80">
        <v>0.75215343752934904</v>
      </c>
      <c r="E47" s="80">
        <v>0.79568702054103702</v>
      </c>
      <c r="F47" s="81">
        <f t="shared" si="0"/>
        <v>4.3533583011687971E-2</v>
      </c>
    </row>
    <row r="48" spans="2:6">
      <c r="B48" s="79">
        <v>40864</v>
      </c>
      <c r="C48" s="80">
        <v>0.93485323798856346</v>
      </c>
      <c r="D48" s="80">
        <v>0.75213064967891696</v>
      </c>
      <c r="E48" s="80">
        <v>0.79566700230121001</v>
      </c>
      <c r="F48" s="81">
        <f t="shared" si="0"/>
        <v>4.3536352622293051E-2</v>
      </c>
    </row>
    <row r="49" spans="2:6">
      <c r="B49" s="79">
        <v>40870</v>
      </c>
      <c r="C49" s="80">
        <v>0.94997170807452469</v>
      </c>
      <c r="D49" s="80">
        <v>0.75451882195048703</v>
      </c>
      <c r="E49" s="80">
        <v>0.79700998806971202</v>
      </c>
      <c r="F49" s="81">
        <f t="shared" si="0"/>
        <v>4.2491166119224988E-2</v>
      </c>
    </row>
    <row r="50" spans="2:6">
      <c r="B50" s="79">
        <v>40878</v>
      </c>
      <c r="C50" s="80">
        <v>0.91542628506626045</v>
      </c>
      <c r="D50" s="80">
        <v>0.73701250506221705</v>
      </c>
      <c r="E50" s="80">
        <v>0.78198517813851298</v>
      </c>
      <c r="F50" s="81">
        <f t="shared" si="0"/>
        <v>4.4972673076295933E-2</v>
      </c>
    </row>
    <row r="51" spans="2:6">
      <c r="B51" s="79">
        <v>40885</v>
      </c>
      <c r="C51" s="80">
        <v>0.9248746068169833</v>
      </c>
      <c r="D51" s="80">
        <v>0.737034618623016</v>
      </c>
      <c r="E51" s="80">
        <v>0.78200436831299003</v>
      </c>
      <c r="F51" s="81">
        <f t="shared" si="0"/>
        <v>4.4969749689974026E-2</v>
      </c>
    </row>
    <row r="52" spans="2:6">
      <c r="B52" s="79">
        <v>40892</v>
      </c>
      <c r="C52" s="80">
        <v>0.93969161247928745</v>
      </c>
      <c r="D52" s="80">
        <v>0.74005848510739902</v>
      </c>
      <c r="E52" s="80">
        <v>0.78386700001619203</v>
      </c>
      <c r="F52" s="81">
        <f t="shared" si="0"/>
        <v>4.3808514908793006E-2</v>
      </c>
    </row>
    <row r="53" spans="2:6">
      <c r="B53" s="79">
        <v>40899</v>
      </c>
      <c r="C53" s="80">
        <v>0.9601958662364245</v>
      </c>
      <c r="D53" s="80">
        <v>0.77262482249298603</v>
      </c>
      <c r="E53" s="80">
        <v>0.81520432036593904</v>
      </c>
      <c r="F53" s="81">
        <f t="shared" si="0"/>
        <v>4.2579497872953009E-2</v>
      </c>
    </row>
    <row r="54" spans="2:6">
      <c r="B54" s="79">
        <v>40906</v>
      </c>
      <c r="C54" s="80">
        <v>0.94762260030460288</v>
      </c>
      <c r="D54" s="80">
        <v>0.76353022654842795</v>
      </c>
      <c r="E54" s="80">
        <v>0.80688676728488795</v>
      </c>
      <c r="F54" s="81">
        <f t="shared" si="0"/>
        <v>4.3356540736460003E-2</v>
      </c>
    </row>
    <row r="55" spans="2:6">
      <c r="B55" s="79">
        <v>40913</v>
      </c>
      <c r="C55" s="80">
        <v>0.94481773750585774</v>
      </c>
      <c r="D55" s="80">
        <v>0.75017446397926801</v>
      </c>
      <c r="E55" s="80">
        <v>0.79520781124912299</v>
      </c>
      <c r="F55" s="81">
        <f t="shared" si="0"/>
        <v>4.5033347269854973E-2</v>
      </c>
    </row>
    <row r="56" spans="2:6">
      <c r="B56" s="79">
        <v>40920</v>
      </c>
      <c r="C56" s="80">
        <v>0.95320351892281485</v>
      </c>
      <c r="D56" s="80">
        <v>0.76194885743932395</v>
      </c>
      <c r="E56" s="80">
        <v>0.80606898228656498</v>
      </c>
      <c r="F56" s="81">
        <f t="shared" si="0"/>
        <v>4.4120124847241038E-2</v>
      </c>
    </row>
    <row r="57" spans="2:6">
      <c r="B57" s="79">
        <v>40927</v>
      </c>
      <c r="C57" s="80">
        <v>0.95182771809710431</v>
      </c>
      <c r="D57" s="80">
        <v>0.76015152542719999</v>
      </c>
      <c r="E57" s="80">
        <v>0.80437633407850995</v>
      </c>
      <c r="F57" s="81">
        <f t="shared" si="0"/>
        <v>4.4224808651309955E-2</v>
      </c>
    </row>
    <row r="58" spans="2:6">
      <c r="B58" s="79">
        <v>40934</v>
      </c>
      <c r="C58" s="80">
        <v>0.91861521434498927</v>
      </c>
      <c r="D58" s="80">
        <v>0.72538795894175401</v>
      </c>
      <c r="E58" s="80">
        <v>0.77101655382029799</v>
      </c>
      <c r="F58" s="81">
        <f t="shared" si="0"/>
        <v>4.5628594878543982E-2</v>
      </c>
    </row>
    <row r="59" spans="2:6">
      <c r="B59" s="79">
        <v>40941</v>
      </c>
      <c r="C59" s="80">
        <v>0.94107838104995334</v>
      </c>
      <c r="D59" s="80">
        <v>0.73976850442679698</v>
      </c>
      <c r="E59" s="80">
        <v>0.78569858522023195</v>
      </c>
      <c r="F59" s="81">
        <f t="shared" si="0"/>
        <v>4.5930080793434969E-2</v>
      </c>
    </row>
    <row r="60" spans="2:6">
      <c r="B60" s="79">
        <v>40948</v>
      </c>
      <c r="C60" s="80">
        <v>0.94107838104995334</v>
      </c>
      <c r="D60" s="80">
        <v>0.73976850442679698</v>
      </c>
      <c r="E60" s="80">
        <v>0.78569858522023195</v>
      </c>
      <c r="F60" s="81">
        <f t="shared" si="0"/>
        <v>4.5930080793434969E-2</v>
      </c>
    </row>
    <row r="61" spans="2:6">
      <c r="B61" s="79">
        <v>40955</v>
      </c>
      <c r="C61" s="80">
        <v>0.94107838104995334</v>
      </c>
      <c r="D61" s="80">
        <v>0.73976850442679698</v>
      </c>
      <c r="E61" s="80">
        <v>0.78569858522023195</v>
      </c>
      <c r="F61" s="81">
        <f t="shared" si="0"/>
        <v>4.5930080793434969E-2</v>
      </c>
    </row>
    <row r="62" spans="2:6">
      <c r="B62" s="79">
        <v>40962</v>
      </c>
      <c r="C62" s="80">
        <v>0.90921329115869776</v>
      </c>
      <c r="D62" s="80">
        <v>0.70482380254349597</v>
      </c>
      <c r="E62" s="80">
        <v>0.75212890691069101</v>
      </c>
      <c r="F62" s="81">
        <f t="shared" si="0"/>
        <v>4.7305104367195039E-2</v>
      </c>
    </row>
    <row r="63" spans="2:6">
      <c r="B63" s="79">
        <v>40969</v>
      </c>
      <c r="C63" s="80">
        <v>0.91584710240533518</v>
      </c>
      <c r="D63" s="80">
        <v>0.71197045097818001</v>
      </c>
      <c r="E63" s="80">
        <v>0.76046432171719602</v>
      </c>
      <c r="F63" s="81">
        <f t="shared" si="0"/>
        <v>4.849387073901601E-2</v>
      </c>
    </row>
    <row r="64" spans="2:6">
      <c r="B64" s="79">
        <v>40976</v>
      </c>
      <c r="C64" s="80">
        <v>0.91902765125865959</v>
      </c>
      <c r="D64" s="80">
        <v>0.72185562668080905</v>
      </c>
      <c r="E64" s="80">
        <v>0.769583122656471</v>
      </c>
      <c r="F64" s="81">
        <f t="shared" si="0"/>
        <v>4.7727495975661949E-2</v>
      </c>
    </row>
    <row r="65" spans="2:6">
      <c r="B65" s="79">
        <v>40983</v>
      </c>
      <c r="C65" s="80">
        <v>0.90514599034862198</v>
      </c>
      <c r="D65" s="80">
        <v>0.71184965643423004</v>
      </c>
      <c r="E65" s="80">
        <v>0.760354139396616</v>
      </c>
      <c r="F65" s="81">
        <f t="shared" si="0"/>
        <v>4.8504482962385964E-2</v>
      </c>
    </row>
    <row r="66" spans="2:6">
      <c r="B66" s="79">
        <v>40990</v>
      </c>
      <c r="C66" s="80">
        <v>0.78959380464288376</v>
      </c>
      <c r="D66" s="80">
        <v>0.63003810447880604</v>
      </c>
      <c r="E66" s="80">
        <v>0.68235415299983104</v>
      </c>
      <c r="F66" s="81">
        <f t="shared" si="0"/>
        <v>5.2316048521025005E-2</v>
      </c>
    </row>
    <row r="67" spans="2:6">
      <c r="B67" s="79">
        <v>40997</v>
      </c>
      <c r="C67" s="80">
        <v>0.87490910290764468</v>
      </c>
      <c r="D67" s="80">
        <v>0.68476549375243201</v>
      </c>
      <c r="E67" s="80">
        <v>0.73476761977876004</v>
      </c>
      <c r="F67" s="81">
        <f t="shared" si="0"/>
        <v>5.0002126026328031E-2</v>
      </c>
    </row>
    <row r="68" spans="2:6">
      <c r="B68" s="79">
        <v>41004</v>
      </c>
      <c r="C68" s="80">
        <v>0.86928745494692716</v>
      </c>
      <c r="D68" s="80">
        <v>0.68702063249841105</v>
      </c>
      <c r="E68" s="80">
        <v>0.73755756512459603</v>
      </c>
      <c r="F68" s="81">
        <f t="shared" ref="F68:F131" si="1">E68-D68</f>
        <v>5.0536932626184972E-2</v>
      </c>
    </row>
    <row r="69" spans="2:6">
      <c r="B69" s="79">
        <v>41011</v>
      </c>
      <c r="C69" s="80">
        <v>0.90849340717481886</v>
      </c>
      <c r="D69" s="80">
        <v>0.74360097428026795</v>
      </c>
      <c r="E69" s="80">
        <v>0.79074299766476497</v>
      </c>
      <c r="F69" s="81">
        <f t="shared" si="1"/>
        <v>4.7142023384497023E-2</v>
      </c>
    </row>
    <row r="70" spans="2:6">
      <c r="B70" s="79">
        <v>41018</v>
      </c>
      <c r="C70" s="80">
        <v>0.9034983903169389</v>
      </c>
      <c r="D70" s="80">
        <v>0.71319163212853798</v>
      </c>
      <c r="E70" s="80">
        <v>0.76301875675410702</v>
      </c>
      <c r="F70" s="81">
        <f t="shared" si="1"/>
        <v>4.9827124625569041E-2</v>
      </c>
    </row>
    <row r="71" spans="2:6">
      <c r="B71" s="79">
        <v>41025</v>
      </c>
      <c r="C71" s="80">
        <v>0.90849340717481886</v>
      </c>
      <c r="D71" s="80">
        <v>0.74360097428026795</v>
      </c>
      <c r="E71" s="80">
        <v>0.79074299766476497</v>
      </c>
      <c r="F71" s="81">
        <f t="shared" si="1"/>
        <v>4.7142023384497023E-2</v>
      </c>
    </row>
    <row r="72" spans="2:6">
      <c r="B72" s="79">
        <v>41032</v>
      </c>
      <c r="C72" s="80">
        <v>0.89225108632442729</v>
      </c>
      <c r="D72" s="80">
        <v>0.74458940201611601</v>
      </c>
      <c r="E72" s="80">
        <v>0.79110304591011105</v>
      </c>
      <c r="F72" s="81">
        <f t="shared" si="1"/>
        <v>4.6513643893995038E-2</v>
      </c>
    </row>
    <row r="73" spans="2:6">
      <c r="B73" s="79">
        <v>41039</v>
      </c>
      <c r="C73" s="80">
        <v>0.89337268606647302</v>
      </c>
      <c r="D73" s="80">
        <v>0.74880992852224404</v>
      </c>
      <c r="E73" s="80">
        <v>0.79377197751957995</v>
      </c>
      <c r="F73" s="81">
        <f t="shared" si="1"/>
        <v>4.4962048997335913E-2</v>
      </c>
    </row>
    <row r="74" spans="2:6">
      <c r="B74" s="79">
        <v>41046</v>
      </c>
      <c r="C74" s="80">
        <v>0.8948997967143093</v>
      </c>
      <c r="D74" s="80">
        <v>0.77533293010841997</v>
      </c>
      <c r="E74" s="80">
        <v>0.819382348373077</v>
      </c>
      <c r="F74" s="81">
        <f t="shared" si="1"/>
        <v>4.4049418264657025E-2</v>
      </c>
    </row>
    <row r="75" spans="2:6">
      <c r="B75" s="79">
        <v>41053</v>
      </c>
      <c r="C75" s="80">
        <v>0.89443957907281746</v>
      </c>
      <c r="D75" s="80">
        <v>0.77252849495486897</v>
      </c>
      <c r="E75" s="80">
        <v>0.81716837750375204</v>
      </c>
      <c r="F75" s="81">
        <f t="shared" si="1"/>
        <v>4.463988254888307E-2</v>
      </c>
    </row>
    <row r="76" spans="2:6">
      <c r="B76" s="79">
        <v>41060</v>
      </c>
      <c r="C76" s="80">
        <v>0.89512122084695944</v>
      </c>
      <c r="D76" s="80">
        <v>0.77719223327132003</v>
      </c>
      <c r="E76" s="80">
        <v>0.82067742647539199</v>
      </c>
      <c r="F76" s="81">
        <f t="shared" si="1"/>
        <v>4.3485193204071959E-2</v>
      </c>
    </row>
    <row r="77" spans="2:6">
      <c r="B77" s="79">
        <v>41067</v>
      </c>
      <c r="C77" s="80">
        <v>0.8920195449585564</v>
      </c>
      <c r="D77" s="80">
        <v>0.81161668458948799</v>
      </c>
      <c r="E77" s="80">
        <v>0.851826871264451</v>
      </c>
      <c r="F77" s="81">
        <f t="shared" si="1"/>
        <v>4.0210186674963011E-2</v>
      </c>
    </row>
    <row r="78" spans="2:6">
      <c r="B78" s="79">
        <v>41074</v>
      </c>
      <c r="C78" s="80">
        <v>0.88667449797815956</v>
      </c>
      <c r="D78" s="80">
        <v>0.79320998802631504</v>
      </c>
      <c r="E78" s="80">
        <v>0.83440082254211201</v>
      </c>
      <c r="F78" s="81">
        <f t="shared" si="1"/>
        <v>4.119083451579697E-2</v>
      </c>
    </row>
    <row r="79" spans="2:6">
      <c r="B79" s="79">
        <v>41081</v>
      </c>
      <c r="C79" s="80">
        <v>0.89407594990163874</v>
      </c>
      <c r="D79" s="80">
        <v>0.81309219550150202</v>
      </c>
      <c r="E79" s="80">
        <v>0.852507202125939</v>
      </c>
      <c r="F79" s="81">
        <f t="shared" si="1"/>
        <v>3.9415006624436977E-2</v>
      </c>
    </row>
    <row r="80" spans="2:6">
      <c r="B80" s="79">
        <v>41088</v>
      </c>
      <c r="C80" s="80">
        <v>0.89407594990163874</v>
      </c>
      <c r="D80" s="80">
        <v>0.81309219550150202</v>
      </c>
      <c r="E80" s="80">
        <v>0.852507202125939</v>
      </c>
      <c r="F80" s="81">
        <f t="shared" si="1"/>
        <v>3.9415006624436977E-2</v>
      </c>
    </row>
    <row r="81" spans="2:6">
      <c r="B81" s="79">
        <v>41095</v>
      </c>
      <c r="C81" s="80">
        <v>0.8819114104860859</v>
      </c>
      <c r="D81" s="80">
        <v>0.80304589352971401</v>
      </c>
      <c r="E81" s="80">
        <v>0.84443285130548495</v>
      </c>
      <c r="F81" s="81">
        <f t="shared" si="1"/>
        <v>4.1386957775770949E-2</v>
      </c>
    </row>
    <row r="82" spans="2:6">
      <c r="B82" s="79">
        <v>41102</v>
      </c>
      <c r="C82" s="80">
        <v>0.94551237246929465</v>
      </c>
      <c r="D82" s="80">
        <v>0.83475833318603099</v>
      </c>
      <c r="E82" s="80">
        <v>0.87307230305311201</v>
      </c>
      <c r="F82" s="81">
        <f t="shared" si="1"/>
        <v>3.8313969867081021E-2</v>
      </c>
    </row>
    <row r="83" spans="2:6">
      <c r="B83" s="79">
        <v>41109</v>
      </c>
      <c r="C83" s="80">
        <v>0.97186924857158052</v>
      </c>
      <c r="D83" s="80">
        <v>0.839279067165004</v>
      </c>
      <c r="E83" s="80">
        <v>0.87588131701956295</v>
      </c>
      <c r="F83" s="81">
        <f t="shared" si="1"/>
        <v>3.6602249854558955E-2</v>
      </c>
    </row>
    <row r="84" spans="2:6">
      <c r="B84" s="79">
        <v>41116</v>
      </c>
      <c r="C84" s="80">
        <v>0.98451993370244106</v>
      </c>
      <c r="D84" s="80">
        <v>0.85583686182580798</v>
      </c>
      <c r="E84" s="80">
        <v>0.89130274249393204</v>
      </c>
      <c r="F84" s="81">
        <f t="shared" si="1"/>
        <v>3.5465880668124061E-2</v>
      </c>
    </row>
    <row r="85" spans="2:6">
      <c r="B85" s="79">
        <v>41123</v>
      </c>
      <c r="C85" s="80">
        <v>0.9385222539497815</v>
      </c>
      <c r="D85" s="80">
        <v>0.81672598038940503</v>
      </c>
      <c r="E85" s="80">
        <v>0.85861085726029096</v>
      </c>
      <c r="F85" s="81">
        <f t="shared" si="1"/>
        <v>4.1884876870885934E-2</v>
      </c>
    </row>
    <row r="86" spans="2:6">
      <c r="B86" s="79">
        <v>41130</v>
      </c>
      <c r="C86" s="80">
        <v>0.92408794393225557</v>
      </c>
      <c r="D86" s="80">
        <v>0.81660096914097402</v>
      </c>
      <c r="E86" s="80">
        <v>0.85851356171529003</v>
      </c>
      <c r="F86" s="81">
        <f t="shared" si="1"/>
        <v>4.191259257431601E-2</v>
      </c>
    </row>
    <row r="87" spans="2:6">
      <c r="B87" s="79">
        <v>41137</v>
      </c>
      <c r="C87" s="80">
        <v>0.88445471641937157</v>
      </c>
      <c r="D87" s="80">
        <v>0.80039531716996504</v>
      </c>
      <c r="E87" s="80">
        <v>0.84263939707257096</v>
      </c>
      <c r="F87" s="81">
        <f t="shared" si="1"/>
        <v>4.2244079902605924E-2</v>
      </c>
    </row>
    <row r="88" spans="2:6">
      <c r="B88" s="79">
        <v>41144</v>
      </c>
      <c r="C88" s="80">
        <v>0.85694996797233836</v>
      </c>
      <c r="D88" s="80">
        <v>0.78286282867668</v>
      </c>
      <c r="E88" s="80">
        <v>0.82803482113362603</v>
      </c>
      <c r="F88" s="81">
        <f t="shared" si="1"/>
        <v>4.5171992456946031E-2</v>
      </c>
    </row>
    <row r="89" spans="2:6">
      <c r="B89" s="79">
        <v>41151</v>
      </c>
      <c r="C89" s="80">
        <v>0.92408794393225557</v>
      </c>
      <c r="D89" s="80">
        <v>0.81660096914097402</v>
      </c>
      <c r="E89" s="80">
        <v>0.85851356171529003</v>
      </c>
      <c r="F89" s="81">
        <f t="shared" si="1"/>
        <v>4.191259257431601E-2</v>
      </c>
    </row>
    <row r="90" spans="2:6">
      <c r="B90" s="79">
        <v>41158</v>
      </c>
      <c r="C90" s="80">
        <v>0.91761037893987563</v>
      </c>
      <c r="D90" s="80">
        <v>0.80003630895948397</v>
      </c>
      <c r="E90" s="80">
        <v>0.84451763496073995</v>
      </c>
      <c r="F90" s="81">
        <f t="shared" si="1"/>
        <v>4.4481326001255983E-2</v>
      </c>
    </row>
    <row r="91" spans="2:6">
      <c r="B91" s="79">
        <v>41165</v>
      </c>
      <c r="C91" s="80">
        <v>0.94047646256577366</v>
      </c>
      <c r="D91" s="80">
        <v>0.80517464210851997</v>
      </c>
      <c r="E91" s="80">
        <v>0.84790364930397299</v>
      </c>
      <c r="F91" s="81">
        <f t="shared" si="1"/>
        <v>4.2729007195453028E-2</v>
      </c>
    </row>
    <row r="92" spans="2:6">
      <c r="B92" s="79">
        <v>41172</v>
      </c>
      <c r="C92" s="80">
        <v>0.95891425076544745</v>
      </c>
      <c r="D92" s="80">
        <v>0.82579336591607799</v>
      </c>
      <c r="E92" s="80">
        <v>0.86619119046951298</v>
      </c>
      <c r="F92" s="81">
        <f t="shared" si="1"/>
        <v>4.0397824553434991E-2</v>
      </c>
    </row>
    <row r="93" spans="2:6">
      <c r="B93" s="79">
        <v>41179</v>
      </c>
      <c r="C93" s="80">
        <v>0.96459917415866681</v>
      </c>
      <c r="D93" s="80">
        <v>0.87352757054468799</v>
      </c>
      <c r="E93" s="80">
        <v>0.910245503690152</v>
      </c>
      <c r="F93" s="81">
        <f t="shared" si="1"/>
        <v>3.671793314546401E-2</v>
      </c>
    </row>
    <row r="94" spans="2:6">
      <c r="B94" s="79">
        <v>41186</v>
      </c>
      <c r="C94" s="80">
        <v>0.95362908529618629</v>
      </c>
      <c r="D94" s="80">
        <v>0.85283995726602502</v>
      </c>
      <c r="E94" s="80">
        <v>0.89290914695732604</v>
      </c>
      <c r="F94" s="81">
        <f t="shared" si="1"/>
        <v>4.0069189691301021E-2</v>
      </c>
    </row>
    <row r="95" spans="2:6">
      <c r="B95" s="79">
        <v>41193</v>
      </c>
      <c r="C95" s="80">
        <v>0.95159604304738465</v>
      </c>
      <c r="D95" s="80">
        <v>0.82980253162130702</v>
      </c>
      <c r="E95" s="80">
        <v>0.87226850902259401</v>
      </c>
      <c r="F95" s="81">
        <f t="shared" si="1"/>
        <v>4.2465977401286992E-2</v>
      </c>
    </row>
    <row r="96" spans="2:6">
      <c r="B96" s="79">
        <v>41200</v>
      </c>
      <c r="C96" s="80">
        <v>0.95277295236812309</v>
      </c>
      <c r="D96" s="80">
        <v>0.84996407134381802</v>
      </c>
      <c r="E96" s="80">
        <v>0.89128952685596297</v>
      </c>
      <c r="F96" s="81">
        <f t="shared" si="1"/>
        <v>4.1325455512144949E-2</v>
      </c>
    </row>
    <row r="97" spans="2:6">
      <c r="B97" s="79">
        <v>41207</v>
      </c>
      <c r="C97" s="80">
        <v>0.95079229345734595</v>
      </c>
      <c r="D97" s="80">
        <v>0.828248760892495</v>
      </c>
      <c r="E97" s="80">
        <v>0.87104733311356397</v>
      </c>
      <c r="F97" s="81">
        <f t="shared" si="1"/>
        <v>4.2798572221068976E-2</v>
      </c>
    </row>
    <row r="98" spans="2:6">
      <c r="B98" s="79">
        <v>41214</v>
      </c>
      <c r="C98" s="80">
        <v>0.92571311512973709</v>
      </c>
      <c r="D98" s="80">
        <v>0.79915808926981402</v>
      </c>
      <c r="E98" s="80">
        <v>0.84701078060636004</v>
      </c>
      <c r="F98" s="81">
        <f t="shared" si="1"/>
        <v>4.7852691336546016E-2</v>
      </c>
    </row>
    <row r="99" spans="2:6">
      <c r="B99" s="79">
        <v>41221</v>
      </c>
      <c r="C99" s="80">
        <v>0.9252942527060104</v>
      </c>
      <c r="D99" s="80">
        <v>0.79873425180913604</v>
      </c>
      <c r="E99" s="80">
        <v>0.84675644186934695</v>
      </c>
      <c r="F99" s="81">
        <f t="shared" si="1"/>
        <v>4.8022190060210912E-2</v>
      </c>
    </row>
    <row r="100" spans="2:6">
      <c r="B100" s="79">
        <v>41228</v>
      </c>
      <c r="C100" s="80">
        <v>0.92772026190850965</v>
      </c>
      <c r="D100" s="80">
        <v>0.82276956639306598</v>
      </c>
      <c r="E100" s="80">
        <v>0.86832868961091403</v>
      </c>
      <c r="F100" s="81">
        <f t="shared" si="1"/>
        <v>4.5559123217848052E-2</v>
      </c>
    </row>
    <row r="101" spans="2:6">
      <c r="B101" s="79">
        <v>41234</v>
      </c>
      <c r="C101" s="80">
        <v>0.9299301195282087</v>
      </c>
      <c r="D101" s="80">
        <v>0.84066676404946505</v>
      </c>
      <c r="E101" s="80">
        <v>0.885671898426593</v>
      </c>
      <c r="F101" s="81">
        <f t="shared" si="1"/>
        <v>4.5005134377127942E-2</v>
      </c>
    </row>
    <row r="102" spans="2:6">
      <c r="B102" s="79">
        <v>41242</v>
      </c>
      <c r="C102" s="80">
        <v>0.92756020040727527</v>
      </c>
      <c r="D102" s="80">
        <v>0.82275551487300902</v>
      </c>
      <c r="E102" s="80">
        <v>0.86831848418102098</v>
      </c>
      <c r="F102" s="81">
        <f t="shared" si="1"/>
        <v>4.5562969308011958E-2</v>
      </c>
    </row>
    <row r="103" spans="2:6">
      <c r="B103" s="79">
        <v>41249</v>
      </c>
      <c r="C103" s="80">
        <v>0.9105479087849232</v>
      </c>
      <c r="D103" s="80">
        <v>0.80649977939682505</v>
      </c>
      <c r="E103" s="80">
        <v>0.85498076945371704</v>
      </c>
      <c r="F103" s="81">
        <f t="shared" si="1"/>
        <v>4.8480990056891993E-2</v>
      </c>
    </row>
    <row r="104" spans="2:6">
      <c r="B104" s="79">
        <v>41256</v>
      </c>
      <c r="C104" s="80">
        <v>0.9126136851792267</v>
      </c>
      <c r="D104" s="80">
        <v>0.82418991295466604</v>
      </c>
      <c r="E104" s="80">
        <v>0.87213995657492904</v>
      </c>
      <c r="F104" s="81">
        <f t="shared" si="1"/>
        <v>4.7950043620263005E-2</v>
      </c>
    </row>
    <row r="105" spans="2:6">
      <c r="B105" s="79">
        <v>41263</v>
      </c>
      <c r="C105" s="80">
        <v>0.90965157918840345</v>
      </c>
      <c r="D105" s="80">
        <v>0.80390223047279097</v>
      </c>
      <c r="E105" s="80">
        <v>0.85356056091635002</v>
      </c>
      <c r="F105" s="81">
        <f t="shared" si="1"/>
        <v>4.9658330443559051E-2</v>
      </c>
    </row>
    <row r="106" spans="2:6">
      <c r="B106" s="79">
        <v>41270</v>
      </c>
      <c r="C106" s="80">
        <v>0.91018597538933266</v>
      </c>
      <c r="D106" s="80">
        <v>0.80591432289546205</v>
      </c>
      <c r="E106" s="80">
        <v>0.85467378378497705</v>
      </c>
      <c r="F106" s="81">
        <f t="shared" si="1"/>
        <v>4.8759460889514994E-2</v>
      </c>
    </row>
    <row r="107" spans="2:6">
      <c r="B107" s="79">
        <v>41277</v>
      </c>
      <c r="C107" s="80">
        <v>0.88829814088555981</v>
      </c>
      <c r="D107" s="80">
        <v>0.78440164177592298</v>
      </c>
      <c r="E107" s="80">
        <v>0.836074004884102</v>
      </c>
      <c r="F107" s="81">
        <f t="shared" si="1"/>
        <v>5.167236310817902E-2</v>
      </c>
    </row>
    <row r="108" spans="2:6">
      <c r="B108" s="79">
        <v>41284</v>
      </c>
      <c r="C108" s="80">
        <v>0.88507237465236011</v>
      </c>
      <c r="D108" s="80">
        <v>0.759606662501778</v>
      </c>
      <c r="E108" s="80">
        <v>0.81363065108031496</v>
      </c>
      <c r="F108" s="81">
        <f t="shared" si="1"/>
        <v>5.4023988578536963E-2</v>
      </c>
    </row>
    <row r="109" spans="2:6">
      <c r="B109" s="79">
        <v>41291</v>
      </c>
      <c r="C109" s="80">
        <v>0.88631407683414742</v>
      </c>
      <c r="D109" s="80">
        <v>0.78142443901466097</v>
      </c>
      <c r="E109" s="80">
        <v>0.83425064960633499</v>
      </c>
      <c r="F109" s="81">
        <f t="shared" si="1"/>
        <v>5.2826210591674028E-2</v>
      </c>
    </row>
    <row r="110" spans="2:6">
      <c r="B110" s="79">
        <v>41298</v>
      </c>
      <c r="C110" s="80">
        <v>0.88379536104531342</v>
      </c>
      <c r="D110" s="80">
        <v>0.75700205657756403</v>
      </c>
      <c r="E110" s="80">
        <v>0.81192425274368896</v>
      </c>
      <c r="F110" s="81">
        <f t="shared" si="1"/>
        <v>5.4922196166124926E-2</v>
      </c>
    </row>
    <row r="111" spans="2:6">
      <c r="B111" s="79">
        <v>41305</v>
      </c>
      <c r="C111" s="80">
        <v>0.84748759806752005</v>
      </c>
      <c r="D111" s="80">
        <v>0.70776343414969201</v>
      </c>
      <c r="E111" s="80">
        <v>0.76624395820115998</v>
      </c>
      <c r="F111" s="81">
        <f t="shared" si="1"/>
        <v>5.8480524051467975E-2</v>
      </c>
    </row>
    <row r="112" spans="2:6">
      <c r="B112" s="79">
        <v>41312</v>
      </c>
      <c r="C112" s="80">
        <v>0.79744674672768578</v>
      </c>
      <c r="D112" s="80">
        <v>0.68149824697650396</v>
      </c>
      <c r="E112" s="80">
        <v>0.74556803951524098</v>
      </c>
      <c r="F112" s="81">
        <f t="shared" si="1"/>
        <v>6.4069792538737014E-2</v>
      </c>
    </row>
    <row r="113" spans="2:6">
      <c r="B113" s="79">
        <v>41319</v>
      </c>
      <c r="C113" s="80">
        <v>0.79744674672768578</v>
      </c>
      <c r="D113" s="80">
        <v>0.68149824697650396</v>
      </c>
      <c r="E113" s="80">
        <v>0.74556803951524098</v>
      </c>
      <c r="F113" s="81">
        <f t="shared" si="1"/>
        <v>6.4069792538737014E-2</v>
      </c>
    </row>
    <row r="114" spans="2:6">
      <c r="B114" s="79">
        <v>41326</v>
      </c>
      <c r="C114" s="80">
        <v>0.75767121274967097</v>
      </c>
      <c r="D114" s="80">
        <v>0.66443156184372798</v>
      </c>
      <c r="E114" s="80">
        <v>0.72902118949627903</v>
      </c>
      <c r="F114" s="81">
        <f t="shared" si="1"/>
        <v>6.4589627652551052E-2</v>
      </c>
    </row>
    <row r="115" spans="2:6">
      <c r="B115" s="79">
        <v>41333</v>
      </c>
      <c r="C115" s="80">
        <v>0.81599621049204552</v>
      </c>
      <c r="D115" s="80">
        <v>0.68474077330080096</v>
      </c>
      <c r="E115" s="80">
        <v>0.74754949703860096</v>
      </c>
      <c r="F115" s="81">
        <f t="shared" si="1"/>
        <v>6.2808723737799999E-2</v>
      </c>
    </row>
    <row r="116" spans="2:6">
      <c r="B116" s="79">
        <v>41340</v>
      </c>
      <c r="C116" s="80">
        <v>0.81254588826988361</v>
      </c>
      <c r="D116" s="80">
        <v>0.65965341103045605</v>
      </c>
      <c r="E116" s="80">
        <v>0.72577244794763196</v>
      </c>
      <c r="F116" s="81">
        <f t="shared" si="1"/>
        <v>6.6119036917175911E-2</v>
      </c>
    </row>
    <row r="117" spans="2:6">
      <c r="B117" s="79">
        <v>41347</v>
      </c>
      <c r="C117" s="80">
        <v>0.70260073761186825</v>
      </c>
      <c r="D117" s="80">
        <v>0.622542311024053</v>
      </c>
      <c r="E117" s="80">
        <v>0.69274472587634806</v>
      </c>
      <c r="F117" s="81">
        <f t="shared" si="1"/>
        <v>7.0202414852295059E-2</v>
      </c>
    </row>
    <row r="118" spans="2:6">
      <c r="B118" s="79">
        <v>41354</v>
      </c>
      <c r="C118" s="80">
        <v>0.76832708554350626</v>
      </c>
      <c r="D118" s="80">
        <v>0.65490269555006198</v>
      </c>
      <c r="E118" s="80">
        <v>0.72250975757212299</v>
      </c>
      <c r="F118" s="81">
        <f t="shared" si="1"/>
        <v>6.7607062022061015E-2</v>
      </c>
    </row>
    <row r="119" spans="2:6">
      <c r="B119" s="79">
        <v>41361</v>
      </c>
      <c r="C119" s="80">
        <v>0.73085022058809757</v>
      </c>
      <c r="D119" s="80">
        <v>0.63814443106247998</v>
      </c>
      <c r="E119" s="80">
        <v>0.70629186250718001</v>
      </c>
      <c r="F119" s="81">
        <f t="shared" si="1"/>
        <v>6.8147431444700035E-2</v>
      </c>
    </row>
    <row r="120" spans="2:6">
      <c r="B120" s="79">
        <v>41368</v>
      </c>
      <c r="C120" s="80">
        <v>0.74812714109915845</v>
      </c>
      <c r="D120" s="80">
        <v>0.63701726572087702</v>
      </c>
      <c r="E120" s="80">
        <v>0.70738390160501996</v>
      </c>
      <c r="F120" s="81">
        <f t="shared" si="1"/>
        <v>7.0366635884142936E-2</v>
      </c>
    </row>
    <row r="121" spans="2:6">
      <c r="B121" s="79">
        <v>41375</v>
      </c>
      <c r="C121" s="80">
        <v>0.81951890925716175</v>
      </c>
      <c r="D121" s="80">
        <v>0.66472248963496305</v>
      </c>
      <c r="E121" s="80">
        <v>0.73166189405675097</v>
      </c>
      <c r="F121" s="81">
        <f t="shared" si="1"/>
        <v>6.6939404421787918E-2</v>
      </c>
    </row>
    <row r="122" spans="2:6">
      <c r="B122" s="79">
        <v>41382</v>
      </c>
      <c r="C122" s="80">
        <v>0.8263799320049966</v>
      </c>
      <c r="D122" s="80">
        <v>0.691617287637183</v>
      </c>
      <c r="E122" s="80">
        <v>0.75618746001711701</v>
      </c>
      <c r="F122" s="81">
        <f t="shared" si="1"/>
        <v>6.457017237993401E-2</v>
      </c>
    </row>
    <row r="123" spans="2:6">
      <c r="B123" s="79">
        <v>41389</v>
      </c>
      <c r="C123" s="80">
        <v>0.82478602429419701</v>
      </c>
      <c r="D123" s="80">
        <v>0.68894417616710202</v>
      </c>
      <c r="E123" s="80">
        <v>0.75486678604069102</v>
      </c>
      <c r="F123" s="81">
        <f t="shared" si="1"/>
        <v>6.5922609873589E-2</v>
      </c>
    </row>
    <row r="124" spans="2:6">
      <c r="B124" s="79">
        <v>41396</v>
      </c>
      <c r="C124" s="80">
        <v>0.81686282095814366</v>
      </c>
      <c r="D124" s="80">
        <v>0.70646423511043499</v>
      </c>
      <c r="E124" s="80">
        <v>0.771484788579061</v>
      </c>
      <c r="F124" s="81">
        <f t="shared" si="1"/>
        <v>6.5020553468626008E-2</v>
      </c>
    </row>
    <row r="125" spans="2:6">
      <c r="B125" s="79">
        <v>41403</v>
      </c>
      <c r="C125" s="80">
        <v>0.80807149473903783</v>
      </c>
      <c r="D125" s="80">
        <v>0.67710126151444505</v>
      </c>
      <c r="E125" s="80">
        <v>0.74464419012176697</v>
      </c>
      <c r="F125" s="81">
        <f t="shared" si="1"/>
        <v>6.7542928607321917E-2</v>
      </c>
    </row>
    <row r="126" spans="2:6">
      <c r="B126" s="79">
        <v>41410</v>
      </c>
      <c r="C126" s="80">
        <v>0.77783403735744605</v>
      </c>
      <c r="D126" s="80">
        <v>0.64608424059300296</v>
      </c>
      <c r="E126" s="80">
        <v>0.71633590828579896</v>
      </c>
      <c r="F126" s="81">
        <f t="shared" si="1"/>
        <v>7.0251667692796005E-2</v>
      </c>
    </row>
    <row r="127" spans="2:6">
      <c r="B127" s="79">
        <v>41417</v>
      </c>
      <c r="C127" s="80">
        <v>0.69528028144531095</v>
      </c>
      <c r="D127" s="80">
        <v>0.60492342195832605</v>
      </c>
      <c r="E127" s="80">
        <v>0.67870748269177705</v>
      </c>
      <c r="F127" s="81">
        <f t="shared" si="1"/>
        <v>7.3784060733451007E-2</v>
      </c>
    </row>
    <row r="128" spans="2:6">
      <c r="B128" s="79">
        <v>41424</v>
      </c>
      <c r="C128" s="80">
        <v>0.63267241864898449</v>
      </c>
      <c r="D128" s="80">
        <v>0.52986130193183101</v>
      </c>
      <c r="E128" s="80">
        <v>0.61251731306242996</v>
      </c>
      <c r="F128" s="81">
        <f t="shared" si="1"/>
        <v>8.265601113059895E-2</v>
      </c>
    </row>
    <row r="129" spans="2:6">
      <c r="B129" s="79">
        <v>41431</v>
      </c>
      <c r="C129" s="80">
        <v>0.60569175356282723</v>
      </c>
      <c r="D129" s="80">
        <v>0.48936320762315699</v>
      </c>
      <c r="E129" s="80">
        <v>0.57822132602668297</v>
      </c>
      <c r="F129" s="81">
        <f t="shared" si="1"/>
        <v>8.8858118403525976E-2</v>
      </c>
    </row>
    <row r="130" spans="2:6">
      <c r="B130" s="79">
        <v>41438</v>
      </c>
      <c r="C130" s="80">
        <v>0.57343184072471942</v>
      </c>
      <c r="D130" s="80">
        <v>0.46803712037587902</v>
      </c>
      <c r="E130" s="80">
        <v>0.559460433785407</v>
      </c>
      <c r="F130" s="81">
        <f t="shared" si="1"/>
        <v>9.1423313409527973E-2</v>
      </c>
    </row>
    <row r="131" spans="2:6">
      <c r="B131" s="79">
        <v>41445</v>
      </c>
      <c r="C131" s="80">
        <v>0.58795254732817659</v>
      </c>
      <c r="D131" s="80">
        <v>0.46841833416873302</v>
      </c>
      <c r="E131" s="80">
        <v>0.55969090716589698</v>
      </c>
      <c r="F131" s="81">
        <f t="shared" si="1"/>
        <v>9.1272572997163959E-2</v>
      </c>
    </row>
    <row r="132" spans="2:6">
      <c r="B132" s="79">
        <v>41452</v>
      </c>
      <c r="C132" s="80">
        <v>0.39082116641682313</v>
      </c>
      <c r="D132" s="80">
        <v>0.25930726321944902</v>
      </c>
      <c r="E132" s="80">
        <v>0.367888732312324</v>
      </c>
      <c r="F132" s="81">
        <f t="shared" ref="F132:F195" si="2">E132-D132</f>
        <v>0.10858146909287497</v>
      </c>
    </row>
    <row r="133" spans="2:6">
      <c r="B133" s="79">
        <v>41458</v>
      </c>
      <c r="C133" s="80">
        <v>0.4330864642120939</v>
      </c>
      <c r="D133" s="80">
        <v>0.34399747197441399</v>
      </c>
      <c r="E133" s="80">
        <v>0.44991679314134703</v>
      </c>
      <c r="F133" s="81">
        <f t="shared" si="2"/>
        <v>0.10591932116693303</v>
      </c>
    </row>
    <row r="134" spans="2:6">
      <c r="B134" s="79">
        <v>41466</v>
      </c>
      <c r="C134" s="80">
        <v>0.31856955774356621</v>
      </c>
      <c r="D134" s="80">
        <v>0.23052122039717299</v>
      </c>
      <c r="E134" s="80">
        <v>0.343565932630295</v>
      </c>
      <c r="F134" s="81">
        <f t="shared" si="2"/>
        <v>0.11304471223312201</v>
      </c>
    </row>
    <row r="135" spans="2:6">
      <c r="B135" s="79">
        <v>41473</v>
      </c>
      <c r="C135" s="80">
        <v>0.42624975952077765</v>
      </c>
      <c r="D135" s="80">
        <v>0.313528938106932</v>
      </c>
      <c r="E135" s="80">
        <v>0.42213456893363699</v>
      </c>
      <c r="F135" s="81">
        <f t="shared" si="2"/>
        <v>0.10860563082670499</v>
      </c>
    </row>
    <row r="136" spans="2:6">
      <c r="B136" s="79">
        <v>41480</v>
      </c>
      <c r="C136" s="80">
        <v>0.42922629610906576</v>
      </c>
      <c r="D136" s="80">
        <v>0.31410556361706699</v>
      </c>
      <c r="E136" s="80">
        <v>0.42257495599278999</v>
      </c>
      <c r="F136" s="81">
        <f t="shared" si="2"/>
        <v>0.10846939237572301</v>
      </c>
    </row>
    <row r="137" spans="2:6">
      <c r="B137" s="79">
        <v>41487</v>
      </c>
      <c r="C137" s="80">
        <v>0.40917398895537016</v>
      </c>
      <c r="D137" s="80">
        <v>0.26871710621385497</v>
      </c>
      <c r="E137" s="80">
        <v>0.383004460274534</v>
      </c>
      <c r="F137" s="81">
        <f t="shared" si="2"/>
        <v>0.11428735406067903</v>
      </c>
    </row>
    <row r="138" spans="2:6">
      <c r="B138" s="79">
        <v>41494</v>
      </c>
      <c r="C138" s="80">
        <v>0.40797811985401045</v>
      </c>
      <c r="D138" s="80">
        <v>0.26842687745364402</v>
      </c>
      <c r="E138" s="80">
        <v>0.38279147275356301</v>
      </c>
      <c r="F138" s="81">
        <f t="shared" si="2"/>
        <v>0.11436459529991899</v>
      </c>
    </row>
    <row r="139" spans="2:6">
      <c r="B139" s="79">
        <v>41501</v>
      </c>
      <c r="C139" s="80">
        <v>0.40797811985401045</v>
      </c>
      <c r="D139" s="80">
        <v>0.26842687745364402</v>
      </c>
      <c r="E139" s="80">
        <v>0.38279147275356301</v>
      </c>
      <c r="F139" s="81">
        <f t="shared" si="2"/>
        <v>0.11436459529991899</v>
      </c>
    </row>
    <row r="140" spans="2:6">
      <c r="B140" s="79">
        <v>41508</v>
      </c>
      <c r="C140" s="80">
        <v>0.28211495793674252</v>
      </c>
      <c r="D140" s="80">
        <v>0.20545197668606799</v>
      </c>
      <c r="E140" s="80">
        <v>0.32338711550858601</v>
      </c>
      <c r="F140" s="81">
        <f t="shared" si="2"/>
        <v>0.11793513882251802</v>
      </c>
    </row>
    <row r="141" spans="2:6">
      <c r="B141" s="79">
        <v>41515</v>
      </c>
      <c r="C141" s="80">
        <v>0.32707732602530493</v>
      </c>
      <c r="D141" s="80">
        <v>0.23763744646630799</v>
      </c>
      <c r="E141" s="80">
        <v>0.35369890645833102</v>
      </c>
      <c r="F141" s="81">
        <f t="shared" si="2"/>
        <v>0.11606145999202302</v>
      </c>
    </row>
    <row r="142" spans="2:6">
      <c r="B142" s="79">
        <v>41522</v>
      </c>
      <c r="C142" s="80">
        <v>0.2818649256036454</v>
      </c>
      <c r="D142" s="80">
        <v>0.21149349910069001</v>
      </c>
      <c r="E142" s="80">
        <v>0.33186163023723098</v>
      </c>
      <c r="F142" s="81">
        <f t="shared" si="2"/>
        <v>0.12036813113654096</v>
      </c>
    </row>
    <row r="143" spans="2:6">
      <c r="B143" s="79">
        <v>41529</v>
      </c>
      <c r="C143" s="80">
        <v>0.27463010199382165</v>
      </c>
      <c r="D143" s="80">
        <v>0.19827486089892299</v>
      </c>
      <c r="E143" s="80">
        <v>0.31934207014088301</v>
      </c>
      <c r="F143" s="81">
        <f t="shared" si="2"/>
        <v>0.12106720924196002</v>
      </c>
    </row>
    <row r="144" spans="2:6">
      <c r="B144" s="79">
        <v>41536</v>
      </c>
      <c r="C144" s="80">
        <v>0.33277831045649614</v>
      </c>
      <c r="D144" s="80">
        <v>0.230982049953562</v>
      </c>
      <c r="E144" s="80">
        <v>0.35010450976329799</v>
      </c>
      <c r="F144" s="81">
        <f t="shared" si="2"/>
        <v>0.11912245980973599</v>
      </c>
    </row>
    <row r="145" spans="2:6">
      <c r="B145" s="79">
        <v>41543</v>
      </c>
      <c r="C145" s="80">
        <v>0.40445747526612724</v>
      </c>
      <c r="D145" s="80">
        <v>0.32130927271021897</v>
      </c>
      <c r="E145" s="80">
        <v>0.43462730705216701</v>
      </c>
      <c r="F145" s="81">
        <f t="shared" si="2"/>
        <v>0.11331803434194804</v>
      </c>
    </row>
    <row r="146" spans="2:6">
      <c r="B146" s="79">
        <v>41550</v>
      </c>
      <c r="C146" s="80">
        <v>0.41528178559290679</v>
      </c>
      <c r="D146" s="80">
        <v>0.34374501426377402</v>
      </c>
      <c r="E146" s="80">
        <v>0.45701419816167999</v>
      </c>
      <c r="F146" s="81">
        <f t="shared" si="2"/>
        <v>0.11326918389790597</v>
      </c>
    </row>
    <row r="147" spans="2:6">
      <c r="B147" s="79">
        <v>41557</v>
      </c>
      <c r="C147" s="80">
        <v>0.41314719259777027</v>
      </c>
      <c r="D147" s="80">
        <v>0.343362461707855</v>
      </c>
      <c r="E147" s="80">
        <v>0.45674725476883798</v>
      </c>
      <c r="F147" s="81">
        <f t="shared" si="2"/>
        <v>0.11338479306098298</v>
      </c>
    </row>
    <row r="148" spans="2:6">
      <c r="B148" s="79">
        <v>41564</v>
      </c>
      <c r="C148" s="80">
        <v>0.40232481590336117</v>
      </c>
      <c r="D148" s="80">
        <v>0.31435548538393299</v>
      </c>
      <c r="E148" s="80">
        <v>0.43002867204072798</v>
      </c>
      <c r="F148" s="81">
        <f t="shared" si="2"/>
        <v>0.11567318665679499</v>
      </c>
    </row>
    <row r="149" spans="2:6">
      <c r="B149" s="79">
        <v>41571</v>
      </c>
      <c r="C149" s="80">
        <v>0.43156912924668556</v>
      </c>
      <c r="D149" s="80">
        <v>0.36279732883580901</v>
      </c>
      <c r="E149" s="80">
        <v>0.473627443383146</v>
      </c>
      <c r="F149" s="81">
        <f t="shared" si="2"/>
        <v>0.11083011454733699</v>
      </c>
    </row>
    <row r="150" spans="2:6">
      <c r="B150" s="79">
        <v>41578</v>
      </c>
      <c r="C150" s="80">
        <v>0.4605405147219428</v>
      </c>
      <c r="D150" s="80">
        <v>0.38076704542262901</v>
      </c>
      <c r="E150" s="80">
        <v>0.48999705577596903</v>
      </c>
      <c r="F150" s="81">
        <f t="shared" si="2"/>
        <v>0.10923001035334001</v>
      </c>
    </row>
    <row r="151" spans="2:6">
      <c r="B151" s="79">
        <v>41585</v>
      </c>
      <c r="C151" s="80">
        <v>0.42159370418067171</v>
      </c>
      <c r="D151" s="80">
        <v>0.35403891055164699</v>
      </c>
      <c r="E151" s="80">
        <v>0.46893100954315098</v>
      </c>
      <c r="F151" s="81">
        <f t="shared" si="2"/>
        <v>0.11489209899150399</v>
      </c>
    </row>
    <row r="152" spans="2:6">
      <c r="B152" s="79">
        <v>41592</v>
      </c>
      <c r="C152" s="80">
        <v>0.38756459325455095</v>
      </c>
      <c r="D152" s="80">
        <v>0.27765033429796598</v>
      </c>
      <c r="E152" s="80">
        <v>0.39912661021989099</v>
      </c>
      <c r="F152" s="81">
        <f t="shared" si="2"/>
        <v>0.121476275921925</v>
      </c>
    </row>
    <row r="153" spans="2:6">
      <c r="B153" s="79">
        <v>41599</v>
      </c>
      <c r="C153" s="80">
        <v>0.41410653536495057</v>
      </c>
      <c r="D153" s="80">
        <v>0.33620447417750299</v>
      </c>
      <c r="E153" s="80">
        <v>0.45277671098188799</v>
      </c>
      <c r="F153" s="81">
        <f t="shared" si="2"/>
        <v>0.116572236804385</v>
      </c>
    </row>
    <row r="154" spans="2:6">
      <c r="B154" s="79">
        <v>41605</v>
      </c>
      <c r="C154" s="80">
        <v>0.3969981593322805</v>
      </c>
      <c r="D154" s="80">
        <v>0.30662338263190497</v>
      </c>
      <c r="E154" s="80">
        <v>0.42570300756113</v>
      </c>
      <c r="F154" s="81">
        <f t="shared" si="2"/>
        <v>0.11907962492922503</v>
      </c>
    </row>
    <row r="155" spans="2:6">
      <c r="B155" s="79">
        <v>41613</v>
      </c>
      <c r="C155" s="80">
        <v>0.37338021104571051</v>
      </c>
      <c r="D155" s="80">
        <v>0.238872261686181</v>
      </c>
      <c r="E155" s="80">
        <v>0.36552450667219999</v>
      </c>
      <c r="F155" s="81">
        <f t="shared" si="2"/>
        <v>0.12665224498601899</v>
      </c>
    </row>
    <row r="156" spans="2:6">
      <c r="B156" s="79">
        <v>41620</v>
      </c>
      <c r="C156" s="80">
        <v>0.3707206267478419</v>
      </c>
      <c r="D156" s="80">
        <v>0.23869230352122101</v>
      </c>
      <c r="E156" s="80">
        <v>0.36539692843229499</v>
      </c>
      <c r="F156" s="81">
        <f t="shared" si="2"/>
        <v>0.12670462491107398</v>
      </c>
    </row>
    <row r="157" spans="2:6">
      <c r="B157" s="79">
        <v>41627</v>
      </c>
      <c r="C157" s="80">
        <v>0.33974567777608206</v>
      </c>
      <c r="D157" s="80">
        <v>0.20595646030872</v>
      </c>
      <c r="E157" s="80">
        <v>0.33464433537542498</v>
      </c>
      <c r="F157" s="81">
        <f t="shared" si="2"/>
        <v>0.12868787506670498</v>
      </c>
    </row>
    <row r="158" spans="2:6">
      <c r="B158" s="79">
        <v>41634</v>
      </c>
      <c r="C158" s="80">
        <v>0.33029809597210952</v>
      </c>
      <c r="D158" s="80">
        <v>0.20588522084022601</v>
      </c>
      <c r="E158" s="80">
        <v>0.33458344922379002</v>
      </c>
      <c r="F158" s="81">
        <f t="shared" si="2"/>
        <v>0.12869822838356401</v>
      </c>
    </row>
    <row r="159" spans="2:6">
      <c r="B159" s="79">
        <v>41641</v>
      </c>
      <c r="C159" s="80">
        <v>0.26212623729092371</v>
      </c>
      <c r="D159" s="80">
        <v>0.18270041372936699</v>
      </c>
      <c r="E159" s="80">
        <v>0.31505205634612699</v>
      </c>
      <c r="F159" s="81">
        <f t="shared" si="2"/>
        <v>0.13235164261676</v>
      </c>
    </row>
    <row r="160" spans="2:6">
      <c r="B160" s="79">
        <v>41648</v>
      </c>
      <c r="C160" s="80">
        <v>0.2902260049252946</v>
      </c>
      <c r="D160" s="80">
        <v>0.20349751001168101</v>
      </c>
      <c r="E160" s="80">
        <v>0.334027493112526</v>
      </c>
      <c r="F160" s="81">
        <f t="shared" si="2"/>
        <v>0.13052998310084499</v>
      </c>
    </row>
    <row r="161" spans="2:6">
      <c r="B161" s="79">
        <v>41655</v>
      </c>
      <c r="C161" s="80">
        <v>0.36774882579493112</v>
      </c>
      <c r="D161" s="80">
        <v>0.23285648019755101</v>
      </c>
      <c r="E161" s="80">
        <v>0.36192371081112201</v>
      </c>
      <c r="F161" s="81">
        <f t="shared" si="2"/>
        <v>0.129067230613571</v>
      </c>
    </row>
    <row r="162" spans="2:6">
      <c r="B162" s="79">
        <v>41662</v>
      </c>
      <c r="C162" s="80">
        <v>0.37084428304329614</v>
      </c>
      <c r="D162" s="80">
        <v>0.23330797794566899</v>
      </c>
      <c r="E162" s="80">
        <v>0.36226743615738599</v>
      </c>
      <c r="F162" s="81">
        <f t="shared" si="2"/>
        <v>0.128959458211717</v>
      </c>
    </row>
    <row r="163" spans="2:6">
      <c r="B163" s="79">
        <v>41669</v>
      </c>
      <c r="C163" s="80">
        <v>0.38160196936392621</v>
      </c>
      <c r="D163" s="80">
        <v>0.29089795893761</v>
      </c>
      <c r="E163" s="80">
        <v>0.41605972221627302</v>
      </c>
      <c r="F163" s="81">
        <f t="shared" si="2"/>
        <v>0.12516176327866302</v>
      </c>
    </row>
    <row r="164" spans="2:6">
      <c r="B164" s="79">
        <v>41676</v>
      </c>
      <c r="C164" s="80">
        <v>0.40068103493110224</v>
      </c>
      <c r="D164" s="80">
        <v>0.31424671770039497</v>
      </c>
      <c r="E164" s="80">
        <v>0.439234845957858</v>
      </c>
      <c r="F164" s="81">
        <f t="shared" si="2"/>
        <v>0.12498812825746303</v>
      </c>
    </row>
    <row r="165" spans="2:6">
      <c r="B165" s="79">
        <v>41683</v>
      </c>
      <c r="C165" s="80">
        <v>0.38532630107916044</v>
      </c>
      <c r="D165" s="80">
        <v>0.28654188629747801</v>
      </c>
      <c r="E165" s="80">
        <v>0.41377930466343998</v>
      </c>
      <c r="F165" s="81">
        <f t="shared" si="2"/>
        <v>0.12723741836596197</v>
      </c>
    </row>
    <row r="166" spans="2:6">
      <c r="B166" s="79">
        <v>41690</v>
      </c>
      <c r="C166" s="80">
        <v>0.3755719775185945</v>
      </c>
      <c r="D166" s="80">
        <v>0.25823477101989301</v>
      </c>
      <c r="E166" s="80">
        <v>0.38763738178583501</v>
      </c>
      <c r="F166" s="81">
        <f t="shared" si="2"/>
        <v>0.12940261076594201</v>
      </c>
    </row>
    <row r="167" spans="2:6">
      <c r="B167" s="79">
        <v>41697</v>
      </c>
      <c r="C167" s="80">
        <v>0.36967404481869215</v>
      </c>
      <c r="D167" s="80">
        <v>0.25744034883327499</v>
      </c>
      <c r="E167" s="80">
        <v>0.38707778665425802</v>
      </c>
      <c r="F167" s="81">
        <f t="shared" si="2"/>
        <v>0.12963743782098303</v>
      </c>
    </row>
    <row r="168" spans="2:6">
      <c r="B168" s="79">
        <v>41704</v>
      </c>
      <c r="C168" s="80">
        <v>0.38316963725836589</v>
      </c>
      <c r="D168" s="80">
        <v>0.28216102843400898</v>
      </c>
      <c r="E168" s="80">
        <v>0.41131556149818799</v>
      </c>
      <c r="F168" s="81">
        <f t="shared" si="2"/>
        <v>0.12915453306417901</v>
      </c>
    </row>
    <row r="169" spans="2:6">
      <c r="B169" s="79">
        <v>41711</v>
      </c>
      <c r="C169" s="80">
        <v>0.36933430427665681</v>
      </c>
      <c r="D169" s="80">
        <v>0.25339035668079501</v>
      </c>
      <c r="E169" s="80">
        <v>0.38478710266298899</v>
      </c>
      <c r="F169" s="81">
        <f t="shared" si="2"/>
        <v>0.13139674598219397</v>
      </c>
    </row>
    <row r="170" spans="2:6">
      <c r="B170" s="79">
        <v>41718</v>
      </c>
      <c r="C170" s="80">
        <v>0.38030249532079374</v>
      </c>
      <c r="D170" s="80">
        <v>0.28102818996708701</v>
      </c>
      <c r="E170" s="80">
        <v>0.410587950533847</v>
      </c>
      <c r="F170" s="81">
        <f t="shared" si="2"/>
        <v>0.12955976056676</v>
      </c>
    </row>
    <row r="171" spans="2:6">
      <c r="B171" s="79">
        <v>41725</v>
      </c>
      <c r="C171" s="80">
        <v>0.36565400061256043</v>
      </c>
      <c r="D171" s="80">
        <v>0.25299751732949799</v>
      </c>
      <c r="E171" s="80">
        <v>0.38449666572835101</v>
      </c>
      <c r="F171" s="81">
        <f t="shared" si="2"/>
        <v>0.13149914839885302</v>
      </c>
    </row>
    <row r="172" spans="2:6">
      <c r="B172" s="79">
        <v>41732</v>
      </c>
      <c r="C172" s="80">
        <v>0.35521926568999218</v>
      </c>
      <c r="D172" s="80">
        <v>0.222143720081627</v>
      </c>
      <c r="E172" s="80">
        <v>0.35767470629269998</v>
      </c>
      <c r="F172" s="81">
        <f t="shared" si="2"/>
        <v>0.13553098621107298</v>
      </c>
    </row>
    <row r="173" spans="2:6">
      <c r="B173" s="79">
        <v>41739</v>
      </c>
      <c r="C173" s="80">
        <v>0.36683376695248865</v>
      </c>
      <c r="D173" s="80">
        <v>0.25169457423695202</v>
      </c>
      <c r="E173" s="80">
        <v>0.38504831317119298</v>
      </c>
      <c r="F173" s="81">
        <f t="shared" si="2"/>
        <v>0.13335373893424096</v>
      </c>
    </row>
    <row r="174" spans="2:6">
      <c r="B174" s="79">
        <v>41746</v>
      </c>
      <c r="C174" s="80">
        <v>0.38166972699665563</v>
      </c>
      <c r="D174" s="80">
        <v>0.28058021231610197</v>
      </c>
      <c r="E174" s="80">
        <v>0.41164243172086001</v>
      </c>
      <c r="F174" s="81">
        <f t="shared" si="2"/>
        <v>0.13106221940475804</v>
      </c>
    </row>
    <row r="175" spans="2:6">
      <c r="B175" s="79">
        <v>41753</v>
      </c>
      <c r="C175" s="80">
        <v>0.37393962817107157</v>
      </c>
      <c r="D175" s="80">
        <v>0.279448840397376</v>
      </c>
      <c r="E175" s="80">
        <v>0.41092385739423598</v>
      </c>
      <c r="F175" s="81">
        <f t="shared" si="2"/>
        <v>0.13147501699685998</v>
      </c>
    </row>
    <row r="176" spans="2:6">
      <c r="B176" s="79">
        <v>41760</v>
      </c>
      <c r="C176" s="80">
        <v>0.37360583835556432</v>
      </c>
      <c r="D176" s="80">
        <v>0.27758425345188897</v>
      </c>
      <c r="E176" s="80">
        <v>0.41100158272746001</v>
      </c>
      <c r="F176" s="81">
        <f t="shared" si="2"/>
        <v>0.13341732927557104</v>
      </c>
    </row>
    <row r="177" spans="2:6">
      <c r="B177" s="79">
        <v>41767</v>
      </c>
      <c r="C177" s="80">
        <v>0.40975674753773905</v>
      </c>
      <c r="D177" s="80">
        <v>0.32550344763156402</v>
      </c>
      <c r="E177" s="80">
        <v>0.45457812646171702</v>
      </c>
      <c r="F177" s="81">
        <f t="shared" si="2"/>
        <v>0.129074678830153</v>
      </c>
    </row>
    <row r="178" spans="2:6">
      <c r="B178" s="79">
        <v>41774</v>
      </c>
      <c r="C178" s="80">
        <v>0.4132153406951769</v>
      </c>
      <c r="D178" s="80">
        <v>0.32552411046597202</v>
      </c>
      <c r="E178" s="80">
        <v>0.45459535037724502</v>
      </c>
      <c r="F178" s="81">
        <f t="shared" si="2"/>
        <v>0.12907123991127301</v>
      </c>
    </row>
    <row r="179" spans="2:6">
      <c r="B179" s="79">
        <v>41781</v>
      </c>
      <c r="C179" s="80">
        <v>0.44799454346559853</v>
      </c>
      <c r="D179" s="80">
        <v>0.347488455871724</v>
      </c>
      <c r="E179" s="80">
        <v>0.47441483161345099</v>
      </c>
      <c r="F179" s="81">
        <f t="shared" si="2"/>
        <v>0.12692637574172699</v>
      </c>
    </row>
    <row r="180" spans="2:6">
      <c r="B180" s="79">
        <v>41788</v>
      </c>
      <c r="C180" s="80">
        <v>0.46362020494951672</v>
      </c>
      <c r="D180" s="80">
        <v>0.34818390220270101</v>
      </c>
      <c r="E180" s="80">
        <v>0.47487286011146401</v>
      </c>
      <c r="F180" s="81">
        <f t="shared" si="2"/>
        <v>0.126688957908763</v>
      </c>
    </row>
    <row r="181" spans="2:6">
      <c r="B181" s="79">
        <v>41795</v>
      </c>
      <c r="C181" s="80">
        <v>0.46847875373528863</v>
      </c>
      <c r="D181" s="80">
        <v>0.346238128399389</v>
      </c>
      <c r="E181" s="80">
        <v>0.475595859590284</v>
      </c>
      <c r="F181" s="81">
        <f t="shared" si="2"/>
        <v>0.129357731190895</v>
      </c>
    </row>
    <row r="182" spans="2:6">
      <c r="B182" s="79">
        <v>41802</v>
      </c>
      <c r="C182" s="80">
        <v>0.41096738430920449</v>
      </c>
      <c r="D182" s="80">
        <v>0.32274759646781798</v>
      </c>
      <c r="E182" s="80">
        <v>0.45449098513744102</v>
      </c>
      <c r="F182" s="81">
        <f t="shared" si="2"/>
        <v>0.13174338866962304</v>
      </c>
    </row>
    <row r="183" spans="2:6">
      <c r="B183" s="79">
        <v>41809</v>
      </c>
      <c r="C183" s="80">
        <v>0.42635938692148717</v>
      </c>
      <c r="D183" s="80">
        <v>0.324184407069465</v>
      </c>
      <c r="E183" s="80">
        <v>0.45535981677361198</v>
      </c>
      <c r="F183" s="81">
        <f t="shared" si="2"/>
        <v>0.13117540970414698</v>
      </c>
    </row>
    <row r="184" spans="2:6">
      <c r="B184" s="79">
        <v>41816</v>
      </c>
      <c r="C184" s="80">
        <v>0.46847875373528863</v>
      </c>
      <c r="D184" s="80">
        <v>0.346238128399389</v>
      </c>
      <c r="E184" s="80">
        <v>0.475595859590284</v>
      </c>
      <c r="F184" s="81">
        <f t="shared" si="2"/>
        <v>0.129357731190895</v>
      </c>
    </row>
    <row r="185" spans="2:6">
      <c r="B185" s="79">
        <v>41823</v>
      </c>
      <c r="C185" s="80">
        <v>0.48178321750260522</v>
      </c>
      <c r="D185" s="80">
        <v>0.36578907876503403</v>
      </c>
      <c r="E185" s="80">
        <v>0.49785164828491202</v>
      </c>
      <c r="F185" s="81">
        <f t="shared" si="2"/>
        <v>0.13206256951987799</v>
      </c>
    </row>
    <row r="186" spans="2:6">
      <c r="B186" s="79">
        <v>41830</v>
      </c>
      <c r="C186" s="80">
        <v>0.42147742037560049</v>
      </c>
      <c r="D186" s="80">
        <v>0.31805600486192798</v>
      </c>
      <c r="E186" s="80">
        <v>0.45313476995693502</v>
      </c>
      <c r="F186" s="81">
        <f t="shared" si="2"/>
        <v>0.13507876509500705</v>
      </c>
    </row>
    <row r="187" spans="2:6">
      <c r="B187" s="79">
        <v>41837</v>
      </c>
      <c r="C187" s="80">
        <v>0.45155296827836544</v>
      </c>
      <c r="D187" s="80">
        <v>0.34009498441958502</v>
      </c>
      <c r="E187" s="80">
        <v>0.47345524330482502</v>
      </c>
      <c r="F187" s="81">
        <f t="shared" si="2"/>
        <v>0.13336025888524</v>
      </c>
    </row>
    <row r="188" spans="2:6">
      <c r="B188" s="79">
        <v>41844</v>
      </c>
      <c r="C188" s="80">
        <v>0.45155296827836544</v>
      </c>
      <c r="D188" s="80">
        <v>0.34009498441958502</v>
      </c>
      <c r="E188" s="80">
        <v>0.47345524330482502</v>
      </c>
      <c r="F188" s="81">
        <f t="shared" si="2"/>
        <v>0.13336025888524</v>
      </c>
    </row>
    <row r="189" spans="2:6">
      <c r="B189" s="79">
        <v>41851</v>
      </c>
      <c r="C189" s="80">
        <v>0.45923072088835232</v>
      </c>
      <c r="D189" s="80">
        <v>0.34042369497045799</v>
      </c>
      <c r="E189" s="80">
        <v>0.47367267081046699</v>
      </c>
      <c r="F189" s="81">
        <f t="shared" si="2"/>
        <v>0.133248975840009</v>
      </c>
    </row>
    <row r="190" spans="2:6">
      <c r="B190" s="79">
        <v>41858</v>
      </c>
      <c r="C190" s="80">
        <v>0.42413376349642812</v>
      </c>
      <c r="D190" s="80">
        <v>0.31036061365073903</v>
      </c>
      <c r="E190" s="80">
        <v>0.44905662805025698</v>
      </c>
      <c r="F190" s="81">
        <f t="shared" si="2"/>
        <v>0.13869601439951795</v>
      </c>
    </row>
    <row r="191" spans="2:6">
      <c r="B191" s="79">
        <v>41865</v>
      </c>
      <c r="C191" s="80">
        <v>0.45575254137027688</v>
      </c>
      <c r="D191" s="80">
        <v>0.33263554438079002</v>
      </c>
      <c r="E191" s="80">
        <v>0.46961383574146598</v>
      </c>
      <c r="F191" s="81">
        <f t="shared" si="2"/>
        <v>0.13697829136067596</v>
      </c>
    </row>
    <row r="192" spans="2:6">
      <c r="B192" s="79">
        <v>41872</v>
      </c>
      <c r="C192" s="80">
        <v>0.49084413664233395</v>
      </c>
      <c r="D192" s="80">
        <v>0.35838762838330102</v>
      </c>
      <c r="E192" s="80">
        <v>0.49412020813719998</v>
      </c>
      <c r="F192" s="81">
        <f t="shared" si="2"/>
        <v>0.13573257975389896</v>
      </c>
    </row>
    <row r="193" spans="2:6">
      <c r="B193" s="79">
        <v>41879</v>
      </c>
      <c r="C193" s="80">
        <v>0.49084413664233395</v>
      </c>
      <c r="D193" s="80">
        <v>0.35838762838330102</v>
      </c>
      <c r="E193" s="80">
        <v>0.49412020813719998</v>
      </c>
      <c r="F193" s="81">
        <f t="shared" si="2"/>
        <v>0.13573257975389896</v>
      </c>
    </row>
    <row r="194" spans="2:6">
      <c r="B194" s="79">
        <v>41886</v>
      </c>
      <c r="C194" s="80">
        <v>0.4873264191007175</v>
      </c>
      <c r="D194" s="80">
        <v>0.35124395630609401</v>
      </c>
      <c r="E194" s="80">
        <v>0.490645181334884</v>
      </c>
      <c r="F194" s="81">
        <f t="shared" si="2"/>
        <v>0.13940122502878999</v>
      </c>
    </row>
    <row r="195" spans="2:6">
      <c r="B195" s="79">
        <v>41893</v>
      </c>
      <c r="C195" s="80">
        <v>0.4741591952243816</v>
      </c>
      <c r="D195" s="80">
        <v>0.350821387629207</v>
      </c>
      <c r="E195" s="80">
        <v>0.490245807372506</v>
      </c>
      <c r="F195" s="81">
        <f t="shared" si="2"/>
        <v>0.139424419743299</v>
      </c>
    </row>
    <row r="196" spans="2:6">
      <c r="B196" s="79">
        <v>41900</v>
      </c>
      <c r="C196" s="80">
        <v>0.3981672862675662</v>
      </c>
      <c r="D196" s="80">
        <v>0.30185821114737799</v>
      </c>
      <c r="E196" s="80">
        <v>0.44485844381328299</v>
      </c>
      <c r="F196" s="81">
        <f t="shared" ref="F196:F227" si="3">E196-D196</f>
        <v>0.143000232665905</v>
      </c>
    </row>
    <row r="197" spans="2:6">
      <c r="B197" s="79">
        <v>41907</v>
      </c>
      <c r="C197" s="80">
        <v>0.41373230170663788</v>
      </c>
      <c r="D197" s="80">
        <v>0.303134887573904</v>
      </c>
      <c r="E197" s="80">
        <v>0.44562992385305</v>
      </c>
      <c r="F197" s="81">
        <f t="shared" si="3"/>
        <v>0.142495036279146</v>
      </c>
    </row>
    <row r="198" spans="2:6">
      <c r="B198" s="79">
        <v>41914</v>
      </c>
      <c r="C198" s="80">
        <v>0.43232059685066798</v>
      </c>
      <c r="D198" s="80">
        <v>0.31668157332951902</v>
      </c>
      <c r="E198" s="80">
        <v>0.461630793166039</v>
      </c>
      <c r="F198" s="81">
        <f t="shared" si="3"/>
        <v>0.14494921983651998</v>
      </c>
    </row>
    <row r="199" spans="2:6">
      <c r="B199" s="79">
        <v>41921</v>
      </c>
      <c r="C199" s="80">
        <v>0.47165449273347226</v>
      </c>
      <c r="D199" s="80">
        <v>0.34232551793557098</v>
      </c>
      <c r="E199" s="80">
        <v>0.48583856044097401</v>
      </c>
      <c r="F199" s="81">
        <f t="shared" si="3"/>
        <v>0.14351304250540303</v>
      </c>
    </row>
    <row r="200" spans="2:6">
      <c r="B200" s="79">
        <v>41928</v>
      </c>
      <c r="C200" s="80">
        <v>0.57517284737260799</v>
      </c>
      <c r="D200" s="80">
        <v>0.40285473187500098</v>
      </c>
      <c r="E200" s="80">
        <v>0.54189899626716298</v>
      </c>
      <c r="F200" s="81">
        <f t="shared" si="3"/>
        <v>0.139044264392162</v>
      </c>
    </row>
    <row r="201" spans="2:6">
      <c r="B201" s="79">
        <v>41935</v>
      </c>
      <c r="C201" s="80">
        <v>0.58745733896979668</v>
      </c>
      <c r="D201" s="80">
        <v>0.43224640519919799</v>
      </c>
      <c r="E201" s="80">
        <v>0.56780927639171197</v>
      </c>
      <c r="F201" s="81">
        <f t="shared" si="3"/>
        <v>0.13556287119251398</v>
      </c>
    </row>
    <row r="202" spans="2:6">
      <c r="B202" s="79">
        <v>41942</v>
      </c>
      <c r="C202" s="80">
        <v>0.57181297396619646</v>
      </c>
      <c r="D202" s="80">
        <v>0.40279530551033699</v>
      </c>
      <c r="E202" s="80">
        <v>0.541842357237176</v>
      </c>
      <c r="F202" s="81">
        <f t="shared" si="3"/>
        <v>0.13904705172683901</v>
      </c>
    </row>
    <row r="203" spans="2:6">
      <c r="B203" s="79">
        <v>41949</v>
      </c>
      <c r="C203" s="80">
        <v>0.54857982917990311</v>
      </c>
      <c r="D203" s="80">
        <v>0.363805283856794</v>
      </c>
      <c r="E203" s="80">
        <v>0.508409072340408</v>
      </c>
      <c r="F203" s="81">
        <f t="shared" si="3"/>
        <v>0.14460378848361399</v>
      </c>
    </row>
    <row r="204" spans="2:6">
      <c r="B204" s="79">
        <v>41956</v>
      </c>
      <c r="C204" s="80">
        <v>0.55497671209744126</v>
      </c>
      <c r="D204" s="80">
        <v>0.36393083176118401</v>
      </c>
      <c r="E204" s="80">
        <v>0.50851555140808302</v>
      </c>
      <c r="F204" s="81">
        <f t="shared" si="3"/>
        <v>0.14458471964689901</v>
      </c>
    </row>
    <row r="205" spans="2:6">
      <c r="B205" s="79">
        <v>41963</v>
      </c>
      <c r="C205" s="80">
        <v>0.56606721089043732</v>
      </c>
      <c r="D205" s="80">
        <v>0.39464243161649398</v>
      </c>
      <c r="E205" s="80">
        <v>0.53761514525020104</v>
      </c>
      <c r="F205" s="81">
        <f t="shared" si="3"/>
        <v>0.14297271363370706</v>
      </c>
    </row>
    <row r="206" spans="2:6">
      <c r="B206" s="79">
        <v>41969</v>
      </c>
      <c r="C206" s="80">
        <v>0.57290983086857539</v>
      </c>
      <c r="D206" s="80">
        <v>0.39478657813594797</v>
      </c>
      <c r="E206" s="80">
        <v>0.53775096220647101</v>
      </c>
      <c r="F206" s="81">
        <f t="shared" si="3"/>
        <v>0.14296438407052303</v>
      </c>
    </row>
    <row r="207" spans="2:6">
      <c r="B207" s="79">
        <v>41977</v>
      </c>
      <c r="C207" s="80">
        <v>0.59279776197128353</v>
      </c>
      <c r="D207" s="80">
        <v>0.41779394948311799</v>
      </c>
      <c r="E207" s="80">
        <v>0.55994808522013495</v>
      </c>
      <c r="F207" s="81">
        <f t="shared" si="3"/>
        <v>0.14215413573701696</v>
      </c>
    </row>
    <row r="208" spans="2:6">
      <c r="B208" s="79">
        <v>41984</v>
      </c>
      <c r="C208" s="80">
        <v>0.5786710507683992</v>
      </c>
      <c r="D208" s="80">
        <v>0.41674162737276199</v>
      </c>
      <c r="E208" s="80">
        <v>0.55923798077262399</v>
      </c>
      <c r="F208" s="81">
        <f t="shared" si="3"/>
        <v>0.142496353399862</v>
      </c>
    </row>
    <row r="209" spans="2:6">
      <c r="B209" s="79">
        <v>41991</v>
      </c>
      <c r="C209" s="80">
        <v>0.6155496963810797</v>
      </c>
      <c r="D209" s="80">
        <v>0.45273770907866101</v>
      </c>
      <c r="E209" s="80">
        <v>0.59158262628997005</v>
      </c>
      <c r="F209" s="81">
        <f t="shared" si="3"/>
        <v>0.13884491721130904</v>
      </c>
    </row>
    <row r="210" spans="2:6">
      <c r="B210" s="79">
        <v>41997</v>
      </c>
      <c r="C210" s="80">
        <v>0.60574636223541978</v>
      </c>
      <c r="D210" s="80">
        <v>0.44996183796017403</v>
      </c>
      <c r="E210" s="80">
        <v>0.59042721040695001</v>
      </c>
      <c r="F210" s="81">
        <f t="shared" si="3"/>
        <v>0.14046537244677598</v>
      </c>
    </row>
    <row r="211" spans="2:6">
      <c r="B211" s="79">
        <v>42004</v>
      </c>
      <c r="C211" s="80">
        <v>0.59072795930158906</v>
      </c>
      <c r="D211" s="80">
        <v>0.41775040408126601</v>
      </c>
      <c r="E211" s="80">
        <v>0.55990527677423996</v>
      </c>
      <c r="F211" s="81">
        <f t="shared" si="3"/>
        <v>0.14215487269297394</v>
      </c>
    </row>
    <row r="212" spans="2:6">
      <c r="B212" s="79">
        <v>42012</v>
      </c>
      <c r="C212" s="80">
        <v>0.63580141506138355</v>
      </c>
      <c r="D212" s="80">
        <v>0.47713334056444601</v>
      </c>
      <c r="E212" s="80">
        <v>0.614335309691869</v>
      </c>
      <c r="F212" s="81">
        <f t="shared" si="3"/>
        <v>0.137201969127423</v>
      </c>
    </row>
    <row r="213" spans="2:6">
      <c r="B213" s="79">
        <v>42019</v>
      </c>
      <c r="C213" s="80">
        <v>0.66264885680249008</v>
      </c>
      <c r="D213" s="80">
        <v>0.53296054461027997</v>
      </c>
      <c r="E213" s="80">
        <v>0.66457945448095002</v>
      </c>
      <c r="F213" s="81">
        <f t="shared" si="3"/>
        <v>0.13161890987067004</v>
      </c>
    </row>
    <row r="214" spans="2:6">
      <c r="B214" s="79">
        <v>42026</v>
      </c>
      <c r="C214" s="80">
        <v>0.66474126748702123</v>
      </c>
      <c r="D214" s="80">
        <v>0.53525908703488601</v>
      </c>
      <c r="E214" s="80">
        <v>0.66484227327937295</v>
      </c>
      <c r="F214" s="81">
        <f t="shared" si="3"/>
        <v>0.12958318624448695</v>
      </c>
    </row>
    <row r="215" spans="2:6">
      <c r="B215" s="79">
        <v>42033</v>
      </c>
      <c r="C215" s="80">
        <v>0.66264885680249008</v>
      </c>
      <c r="D215" s="80">
        <v>0.53296054461027997</v>
      </c>
      <c r="E215" s="80">
        <v>0.66457945448095002</v>
      </c>
      <c r="F215" s="81">
        <f t="shared" si="3"/>
        <v>0.13161890987067004</v>
      </c>
    </row>
    <row r="216" spans="2:6">
      <c r="B216" s="79">
        <v>42040</v>
      </c>
      <c r="C216" s="80">
        <v>0.68438167594716182</v>
      </c>
      <c r="D216" s="80">
        <v>0.531964205535849</v>
      </c>
      <c r="E216" s="80">
        <v>0.66194922130079104</v>
      </c>
      <c r="F216" s="81">
        <f t="shared" si="3"/>
        <v>0.12998501576494204</v>
      </c>
    </row>
    <row r="217" spans="2:6">
      <c r="B217" s="79">
        <v>42047</v>
      </c>
      <c r="C217" s="80">
        <v>0.64890841265420796</v>
      </c>
      <c r="D217" s="80">
        <v>0.50112937152177495</v>
      </c>
      <c r="E217" s="80">
        <v>0.63758870497027298</v>
      </c>
      <c r="F217" s="81">
        <f t="shared" si="3"/>
        <v>0.13645933344849803</v>
      </c>
    </row>
    <row r="218" spans="2:6">
      <c r="B218" s="79">
        <v>42054</v>
      </c>
      <c r="C218" s="80">
        <v>0.62651628119673453</v>
      </c>
      <c r="D218" s="80">
        <v>0.46787253141998503</v>
      </c>
      <c r="E218" s="80">
        <v>0.60813217145599097</v>
      </c>
      <c r="F218" s="81">
        <f t="shared" si="3"/>
        <v>0.14025964003600594</v>
      </c>
    </row>
    <row r="219" spans="2:6">
      <c r="B219" s="79">
        <v>42061</v>
      </c>
      <c r="C219" s="80">
        <v>0.61098575112407738</v>
      </c>
      <c r="D219" s="80">
        <v>0.43720530063230401</v>
      </c>
      <c r="E219" s="80">
        <v>0.58092112302735699</v>
      </c>
      <c r="F219" s="81">
        <f t="shared" si="3"/>
        <v>0.14371582239505298</v>
      </c>
    </row>
    <row r="220" spans="2:6">
      <c r="B220" s="79">
        <v>42068</v>
      </c>
      <c r="C220" s="80">
        <v>0.61966926616186646</v>
      </c>
      <c r="D220" s="80">
        <v>0.45959407492170601</v>
      </c>
      <c r="E220" s="80">
        <v>0.60172096268720499</v>
      </c>
      <c r="F220" s="81">
        <f t="shared" si="3"/>
        <v>0.14212688776549898</v>
      </c>
    </row>
    <row r="221" spans="2:6">
      <c r="B221" s="79">
        <v>42075</v>
      </c>
      <c r="C221" s="80">
        <v>0.57559445438514367</v>
      </c>
      <c r="D221" s="80">
        <v>0.394169404360453</v>
      </c>
      <c r="E221" s="80">
        <v>0.54300415809967995</v>
      </c>
      <c r="F221" s="81">
        <f t="shared" si="3"/>
        <v>0.14883475373922694</v>
      </c>
    </row>
    <row r="222" spans="2:6">
      <c r="B222" s="79">
        <v>42082</v>
      </c>
      <c r="C222" s="80">
        <v>0.60937196228640689</v>
      </c>
      <c r="D222" s="80">
        <v>0.45850870301610303</v>
      </c>
      <c r="E222" s="80">
        <v>0.601158744048226</v>
      </c>
      <c r="F222" s="81">
        <f t="shared" si="3"/>
        <v>0.14265004103212298</v>
      </c>
    </row>
    <row r="223" spans="2:6">
      <c r="B223" s="79">
        <v>42089</v>
      </c>
      <c r="C223" s="80">
        <v>0.64195316325793905</v>
      </c>
      <c r="D223" s="80">
        <v>0.49264013227543102</v>
      </c>
      <c r="E223" s="80">
        <v>0.63113120835468395</v>
      </c>
      <c r="F223" s="81">
        <f t="shared" si="3"/>
        <v>0.13849107607925293</v>
      </c>
    </row>
    <row r="224" spans="2:6">
      <c r="B224" s="79">
        <v>42096</v>
      </c>
      <c r="C224" s="80">
        <v>0.62778439660000751</v>
      </c>
      <c r="D224" s="80">
        <v>0.47700652645494301</v>
      </c>
      <c r="E224" s="80">
        <v>0.62050008500155596</v>
      </c>
      <c r="F224" s="81">
        <f t="shared" si="3"/>
        <v>0.14349355854661294</v>
      </c>
    </row>
    <row r="225" spans="2:6">
      <c r="B225" s="79">
        <v>42103</v>
      </c>
      <c r="C225" s="80">
        <v>0.64459292642165245</v>
      </c>
      <c r="D225" s="80">
        <v>0.505305541519944</v>
      </c>
      <c r="E225" s="80">
        <v>0.644780928204296</v>
      </c>
      <c r="F225" s="81">
        <f t="shared" si="3"/>
        <v>0.139475386684352</v>
      </c>
    </row>
    <row r="226" spans="2:6">
      <c r="B226" s="79">
        <v>42110</v>
      </c>
      <c r="C226" s="80">
        <v>0.63055503904182508</v>
      </c>
      <c r="D226" s="80">
        <v>0.47885281621922599</v>
      </c>
      <c r="E226" s="80">
        <v>0.62101551120389098</v>
      </c>
      <c r="F226" s="81">
        <f t="shared" si="3"/>
        <v>0.14216269498466499</v>
      </c>
    </row>
    <row r="227" spans="2:6">
      <c r="B227" s="79">
        <v>42117</v>
      </c>
      <c r="C227" s="80">
        <v>0.64951370522505292</v>
      </c>
      <c r="D227" s="80">
        <v>0.50775672845638498</v>
      </c>
      <c r="E227" s="80">
        <v>0.64530537163066504</v>
      </c>
      <c r="F227" s="81">
        <f t="shared" si="3"/>
        <v>0.13754864317428006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Report</vt:lpstr>
      <vt:lpstr>PoolRefinancible</vt:lpstr>
      <vt:lpstr>Bloomberg</vt:lpstr>
      <vt:lpstr>Sheet3</vt:lpstr>
      <vt:lpstr>HARP LLPA</vt:lpstr>
      <vt:lpstr>HARPable Universe</vt:lpstr>
      <vt:lpstr>LogReturn</vt:lpstr>
      <vt:lpstr>Plot</vt:lpstr>
      <vt:lpstr>Sheet1</vt:lpstr>
      <vt:lpstr>CurrentCloseDate</vt:lpstr>
      <vt:lpstr>DatabaseEnv</vt:lpstr>
      <vt:lpstr>DateToChangeLag</vt:lpstr>
      <vt:lpstr>PDFReportDir</vt:lpstr>
      <vt:lpstr>PDFReportName</vt:lpstr>
      <vt:lpstr>'HARP LLPA'!Print_Area</vt:lpstr>
      <vt:lpstr>'HARPable Universe'!Print_Area</vt:lpstr>
      <vt:lpstr>Report!Print_Area</vt:lpstr>
      <vt:lpstr>SaveRatesToDB</vt:lpstr>
      <vt:lpstr>PoolRefinancible!temp_1</vt:lpstr>
      <vt:lpstr>Sheet1!temp_1</vt:lpstr>
      <vt:lpstr>'HARPable Universe'!temp1</vt:lpstr>
      <vt:lpstr>PoolRefinancible!temp1</vt:lpstr>
      <vt:lpstr>'HARPable Universe'!temp1_1</vt:lpstr>
      <vt:lpstr>PoolRefinancible!temp1_1</vt:lpstr>
      <vt:lpstr>'HARPable Universe'!temp1_2</vt:lpstr>
      <vt:lpstr>PoolRefinancible!temp1_2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2015-05-07T14:16:00Z</cp:lastPrinted>
  <dcterms:created xsi:type="dcterms:W3CDTF">2006-09-16T00:00:00Z</dcterms:created>
  <dcterms:modified xsi:type="dcterms:W3CDTF">2015-05-19T22:26:12Z</dcterms:modified>
</cp:coreProperties>
</file>