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firstSheet="1" activeTab="3"/>
  </bookViews>
  <sheets>
    <sheet name="Report" sheetId="16" state="hidden" r:id="rId1"/>
    <sheet name="PoolRefinancible" sheetId="18" r:id="rId2"/>
    <sheet name="Bloomberg" sheetId="19" r:id="rId3"/>
    <sheet name="Sheet3" sheetId="20" r:id="rId4"/>
  </sheets>
  <functionGroups builtInGroupCount="17"/>
  <externalReferences>
    <externalReference r:id="rId5"/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#REF!</definedName>
    <definedName name="PivotTable11">#REF!</definedName>
    <definedName name="PivotTable12">#REF!</definedName>
    <definedName name="_xlnm.Print_Area" localSheetId="0">Report!$B$1:$Q$59</definedName>
    <definedName name="Query_from_Agency_6" localSheetId="1" hidden="1">PoolRefinancible!$B$2:$D$227</definedName>
    <definedName name="Query_from_Agency_7" localSheetId="1" hidden="1">PoolRefinancible!$J$2:$K$227</definedName>
    <definedName name="Query_from_Agency_8" localSheetId="1" hidden="1">PoolRefinancible!$N$2:$O$228</definedName>
    <definedName name="Query_from_Agency_9" localSheetId="1" hidden="1">PoolRefinancible!$Q$2:$R$228</definedName>
    <definedName name="SaveRatesToDB">Report!$W$1</definedName>
    <definedName name="temp_17">#REF!</definedName>
    <definedName name="temp_8">#REF!</definedName>
    <definedName name="temp1" localSheetId="1">PoolRefinancible!$Q$2:$Q$207</definedName>
  </definedNames>
  <calcPr calcId="145621"/>
</workbook>
</file>

<file path=xl/calcChain.xml><?xml version="1.0" encoding="utf-8"?>
<calcChain xmlns="http://schemas.openxmlformats.org/spreadsheetml/2006/main">
  <c r="H3" i="18" l="1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AD11" i="20"/>
  <c r="AD12" i="20"/>
  <c r="AD13" i="20"/>
  <c r="AD14" i="20"/>
  <c r="AD15" i="20"/>
  <c r="AD16" i="20"/>
  <c r="AD17" i="20"/>
  <c r="AD10" i="20"/>
  <c r="Z11" i="20"/>
  <c r="Z12" i="20"/>
  <c r="Z13" i="20"/>
  <c r="Z14" i="20"/>
  <c r="Z15" i="20"/>
  <c r="Z16" i="20"/>
  <c r="Z17" i="20"/>
  <c r="Z10" i="20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U9" i="16"/>
  <c r="E49" i="16" a="1"/>
  <c r="E49" i="16"/>
  <c r="U4" i="16"/>
  <c r="G41" i="16"/>
  <c r="H42" i="16"/>
  <c r="G42" i="16"/>
  <c r="G43" i="16"/>
  <c r="H43" i="16"/>
  <c r="F41" i="16"/>
  <c r="E42" i="16"/>
  <c r="I42" i="16"/>
  <c r="F42" i="16"/>
  <c r="I43" i="16"/>
  <c r="E41" i="16"/>
  <c r="I41" i="16"/>
  <c r="H41" i="16"/>
  <c r="F43" i="16"/>
  <c r="E43" i="16"/>
  <c r="D49" i="16" a="1"/>
  <c r="D49" i="16"/>
  <c r="D55" i="16" a="1"/>
  <c r="D55" i="16"/>
  <c r="E51" i="16" a="1"/>
  <c r="E51" i="16"/>
  <c r="E58" i="16" a="1"/>
  <c r="E58" i="16"/>
  <c r="F54" i="16" a="1"/>
  <c r="F54" i="16"/>
  <c r="E53" i="16" a="1"/>
  <c r="E53" i="16"/>
  <c r="F50" i="16" a="1"/>
  <c r="F50" i="16"/>
  <c r="F55" i="16" a="1"/>
  <c r="F55" i="16"/>
  <c r="F53" i="16" a="1"/>
  <c r="F53" i="16"/>
  <c r="F56" i="16" a="1"/>
  <c r="F56" i="16"/>
  <c r="F58" i="16" a="1"/>
  <c r="F58" i="16"/>
  <c r="D58" i="16" a="1"/>
  <c r="D58" i="16"/>
  <c r="D54" i="16" a="1"/>
  <c r="D54" i="16"/>
  <c r="D57" i="16" a="1"/>
  <c r="D57" i="16"/>
  <c r="E57" i="16" a="1"/>
  <c r="E57" i="16"/>
  <c r="D53" i="16" a="1"/>
  <c r="D53" i="16"/>
  <c r="E55" i="16" a="1"/>
  <c r="E55" i="16"/>
  <c r="D52" i="16" a="1"/>
  <c r="D52" i="16"/>
  <c r="E54" i="16" a="1"/>
  <c r="E54" i="16"/>
  <c r="F57" i="16" a="1"/>
  <c r="F57" i="16"/>
  <c r="E56" i="16" a="1"/>
  <c r="E56" i="16"/>
  <c r="F51" i="16" a="1"/>
  <c r="F51" i="16"/>
  <c r="E52" i="16" a="1"/>
  <c r="E52" i="16"/>
  <c r="E50" i="16" a="1"/>
  <c r="E50" i="16"/>
  <c r="F49" i="16" a="1"/>
  <c r="F49" i="16"/>
  <c r="F47" i="16"/>
  <c r="D50" i="16" a="1"/>
  <c r="D50" i="16"/>
  <c r="D51" i="16" a="1"/>
  <c r="D51" i="16"/>
  <c r="D56" i="16" a="1"/>
  <c r="D56" i="16"/>
  <c r="F52" i="16" a="1"/>
  <c r="F52" i="16"/>
  <c r="U10" i="16"/>
  <c r="K49" i="16" a="1"/>
  <c r="K49" i="16"/>
  <c r="K47" i="16"/>
  <c r="K53" i="16" a="1"/>
  <c r="K53" i="16"/>
  <c r="K54" i="16" a="1"/>
  <c r="K54" i="16"/>
  <c r="K55" i="16" a="1"/>
  <c r="K55" i="16"/>
  <c r="I58" i="16" a="1"/>
  <c r="I58" i="16"/>
  <c r="I54" i="16" a="1"/>
  <c r="I54" i="16"/>
  <c r="K57" i="16" a="1"/>
  <c r="K57" i="16"/>
  <c r="K56" i="16" a="1"/>
  <c r="K56" i="16"/>
  <c r="I51" i="16" a="1"/>
  <c r="I51" i="16"/>
  <c r="K52" i="16" a="1"/>
  <c r="K52" i="16"/>
  <c r="J53" i="16" a="1"/>
  <c r="J53" i="16"/>
  <c r="J58" i="16" a="1"/>
  <c r="J58" i="16"/>
  <c r="J50" i="16" a="1"/>
  <c r="J50" i="16"/>
  <c r="I53" i="16" a="1"/>
  <c r="I53" i="16"/>
  <c r="I55" i="16" a="1"/>
  <c r="I55" i="16"/>
  <c r="I57" i="16" a="1"/>
  <c r="I57" i="16"/>
  <c r="K58" i="16" a="1"/>
  <c r="K58" i="16"/>
  <c r="K51" i="16" a="1"/>
  <c r="K51" i="16"/>
  <c r="I52" i="16" a="1"/>
  <c r="I52" i="16"/>
  <c r="J56" i="16" a="1"/>
  <c r="J56" i="16"/>
  <c r="J57" i="16" a="1"/>
  <c r="J57" i="16"/>
  <c r="J52" i="16" a="1"/>
  <c r="J52" i="16"/>
  <c r="J55" i="16" a="1"/>
  <c r="J55" i="16"/>
  <c r="I56" i="16" a="1"/>
  <c r="I56" i="16"/>
  <c r="K50" i="16" a="1"/>
  <c r="K50" i="16"/>
  <c r="J51" i="16" a="1"/>
  <c r="J51" i="16"/>
  <c r="J49" i="16" a="1"/>
  <c r="J49" i="16"/>
  <c r="J54" i="16" a="1"/>
  <c r="J54" i="16"/>
  <c r="I50" i="16" a="1"/>
  <c r="I50" i="16"/>
  <c r="I49" i="16" a="1"/>
  <c r="I49" i="16"/>
  <c r="B1" i="19"/>
  <c r="L128" i="18" l="1"/>
  <c r="L168" i="18"/>
  <c r="E147" i="18"/>
  <c r="L202" i="18"/>
  <c r="L186" i="18"/>
  <c r="E118" i="18"/>
  <c r="E193" i="18"/>
  <c r="E187" i="18"/>
  <c r="L143" i="18"/>
  <c r="E198" i="18"/>
  <c r="L204" i="18"/>
  <c r="E95" i="18"/>
  <c r="E216" i="18"/>
  <c r="L86" i="18"/>
  <c r="E101" i="18"/>
  <c r="L200" i="18"/>
  <c r="E181" i="18"/>
  <c r="E99" i="18"/>
  <c r="L154" i="18"/>
  <c r="E182" i="18"/>
  <c r="L54" i="18"/>
  <c r="E91" i="18"/>
  <c r="E207" i="18"/>
  <c r="E66" i="18"/>
  <c r="L123" i="18"/>
  <c r="E132" i="18"/>
  <c r="L59" i="18"/>
  <c r="L101" i="18"/>
  <c r="E76" i="18"/>
  <c r="E145" i="18"/>
  <c r="E192" i="18"/>
  <c r="L131" i="18"/>
  <c r="E85" i="18"/>
  <c r="L93" i="18"/>
  <c r="E125" i="18"/>
  <c r="E4" i="18"/>
  <c r="L165" i="18"/>
  <c r="L199" i="18"/>
  <c r="E40" i="18"/>
  <c r="E218" i="18"/>
  <c r="E214" i="18"/>
  <c r="L104" i="18"/>
  <c r="E211" i="18"/>
  <c r="E133" i="18"/>
  <c r="L88" i="18"/>
  <c r="E34" i="18"/>
  <c r="E84" i="18"/>
  <c r="E63" i="18"/>
  <c r="E102" i="18"/>
  <c r="E190" i="18"/>
  <c r="E212" i="18"/>
  <c r="L96" i="18"/>
  <c r="E12" i="18"/>
  <c r="L201" i="18"/>
  <c r="L197" i="18"/>
  <c r="E57" i="18"/>
  <c r="L163" i="18"/>
  <c r="E10" i="18"/>
  <c r="L41" i="18"/>
  <c r="L173" i="18"/>
  <c r="E143" i="18"/>
  <c r="L40" i="18"/>
  <c r="E116" i="18"/>
  <c r="L98" i="18"/>
  <c r="L217" i="18"/>
  <c r="L153" i="18"/>
  <c r="L148" i="18"/>
  <c r="E24" i="18"/>
  <c r="L225" i="18"/>
  <c r="L167" i="18"/>
  <c r="L146" i="18"/>
  <c r="L174" i="18"/>
  <c r="L6" i="18"/>
  <c r="L212" i="18"/>
  <c r="L25" i="18"/>
  <c r="L208" i="18"/>
  <c r="E157" i="18"/>
  <c r="E168" i="18"/>
  <c r="E31" i="18"/>
  <c r="E158" i="18"/>
  <c r="L147" i="18"/>
  <c r="E54" i="18"/>
  <c r="E16" i="18"/>
  <c r="E39" i="18"/>
  <c r="E58" i="18"/>
  <c r="E110" i="18"/>
  <c r="L85" i="18"/>
  <c r="E209" i="18"/>
  <c r="L63" i="18"/>
  <c r="L21" i="18"/>
  <c r="E126" i="18"/>
  <c r="E32" i="18"/>
  <c r="L87" i="18"/>
  <c r="L20" i="18"/>
  <c r="E79" i="18"/>
  <c r="E219" i="18"/>
  <c r="E111" i="18"/>
  <c r="E55" i="18"/>
  <c r="E64" i="18"/>
  <c r="E38" i="18"/>
  <c r="L226" i="18"/>
  <c r="L108" i="18"/>
  <c r="E186" i="18"/>
  <c r="E161" i="18"/>
  <c r="L127" i="18"/>
  <c r="E107" i="18"/>
  <c r="L11" i="18"/>
  <c r="L35" i="18"/>
  <c r="L216" i="18"/>
  <c r="E177" i="18"/>
  <c r="E129" i="18"/>
  <c r="L141" i="18"/>
  <c r="E225" i="18"/>
  <c r="L151" i="18"/>
  <c r="L99" i="18"/>
  <c r="E167" i="18"/>
  <c r="E20" i="18"/>
  <c r="L77" i="18"/>
  <c r="L69" i="18"/>
  <c r="L179" i="18"/>
  <c r="E75" i="18"/>
  <c r="E221" i="18"/>
  <c r="L65" i="18"/>
  <c r="L198" i="18"/>
  <c r="L218" i="18"/>
  <c r="E53" i="18"/>
  <c r="E119" i="18"/>
  <c r="L107" i="18"/>
  <c r="L32" i="18"/>
  <c r="L36" i="18"/>
  <c r="L67" i="18"/>
  <c r="L140" i="18"/>
  <c r="L193" i="18"/>
  <c r="L169" i="18"/>
  <c r="L37" i="18"/>
  <c r="E87" i="18"/>
  <c r="L12" i="18"/>
  <c r="L177" i="18"/>
  <c r="L145" i="18"/>
  <c r="L188" i="18"/>
  <c r="L55" i="18"/>
  <c r="L73" i="18"/>
  <c r="E164" i="18"/>
  <c r="L60" i="18"/>
  <c r="E6" i="18"/>
  <c r="E204" i="18"/>
  <c r="E203" i="18"/>
  <c r="E175" i="18"/>
  <c r="L82" i="18"/>
  <c r="L138" i="18"/>
  <c r="E3" i="18"/>
  <c r="E70" i="18"/>
  <c r="E80" i="18"/>
  <c r="L24" i="18"/>
  <c r="L185" i="18"/>
  <c r="L211" i="18"/>
  <c r="E183" i="18"/>
  <c r="L81" i="18"/>
  <c r="E144" i="18"/>
  <c r="E159" i="18"/>
  <c r="L182" i="18"/>
  <c r="L113" i="18"/>
  <c r="L178" i="18"/>
  <c r="L195" i="18"/>
  <c r="L175" i="18"/>
  <c r="L214" i="18"/>
  <c r="E17" i="18"/>
  <c r="L162" i="18"/>
  <c r="L26" i="18"/>
  <c r="L105" i="18"/>
  <c r="E115" i="18"/>
  <c r="L119" i="18"/>
  <c r="E189" i="18"/>
  <c r="L66" i="18"/>
  <c r="L72" i="18"/>
  <c r="E156" i="18"/>
  <c r="E103" i="18"/>
  <c r="L194" i="18"/>
  <c r="E220" i="18"/>
  <c r="L223" i="18"/>
  <c r="L76" i="18"/>
  <c r="L38" i="18"/>
  <c r="E15" i="18"/>
  <c r="E71" i="18"/>
  <c r="E42" i="18"/>
  <c r="L52" i="18"/>
  <c r="E166" i="18"/>
  <c r="E109" i="18"/>
  <c r="E201" i="18"/>
  <c r="E199" i="18"/>
  <c r="L103" i="18"/>
  <c r="L100" i="18"/>
  <c r="E93" i="18"/>
  <c r="L109" i="18"/>
  <c r="E176" i="18"/>
  <c r="E41" i="18"/>
  <c r="E169" i="18"/>
  <c r="E67" i="18"/>
  <c r="E112" i="18"/>
  <c r="L102" i="18"/>
  <c r="E30" i="18"/>
  <c r="L219" i="18"/>
  <c r="E96" i="18"/>
  <c r="L192" i="18"/>
  <c r="E35" i="18"/>
  <c r="E98" i="18"/>
  <c r="L46" i="18"/>
  <c r="L134" i="18"/>
  <c r="E90" i="18"/>
  <c r="L56" i="18"/>
  <c r="L221" i="18"/>
  <c r="E197" i="18"/>
  <c r="E46" i="18"/>
  <c r="L62" i="18"/>
  <c r="E108" i="18"/>
  <c r="L16" i="18"/>
  <c r="E188" i="18"/>
  <c r="L152" i="18"/>
  <c r="L64" i="18"/>
  <c r="L111" i="18"/>
  <c r="L68" i="18"/>
  <c r="L5" i="18"/>
  <c r="E138" i="18"/>
  <c r="L90" i="18"/>
  <c r="L4" i="18"/>
  <c r="L70" i="18"/>
  <c r="L53" i="18"/>
  <c r="E33" i="18"/>
  <c r="L115" i="18"/>
  <c r="L159" i="18"/>
  <c r="L183" i="18"/>
  <c r="E141" i="18"/>
  <c r="E171" i="18"/>
  <c r="L31" i="18"/>
  <c r="E122" i="18"/>
  <c r="L149" i="18"/>
  <c r="E191" i="18"/>
  <c r="L150" i="18"/>
  <c r="E200" i="18"/>
  <c r="E9" i="18"/>
  <c r="E50" i="18"/>
  <c r="E152" i="18"/>
  <c r="E78" i="18"/>
  <c r="E136" i="18"/>
  <c r="L160" i="18"/>
  <c r="L172" i="18"/>
  <c r="L180" i="18"/>
  <c r="E36" i="18"/>
  <c r="E8" i="18"/>
  <c r="E26" i="18"/>
  <c r="L71" i="18"/>
  <c r="L120" i="18"/>
  <c r="E195" i="18"/>
  <c r="L51" i="18"/>
  <c r="L122" i="18"/>
  <c r="E106" i="18"/>
  <c r="L124" i="18"/>
  <c r="E123" i="18"/>
  <c r="L17" i="18"/>
  <c r="L190" i="18"/>
  <c r="E72" i="18"/>
  <c r="E105" i="18"/>
  <c r="E81" i="18"/>
  <c r="L47" i="18"/>
  <c r="L39" i="18"/>
  <c r="E89" i="18"/>
  <c r="E60" i="18"/>
  <c r="L28" i="18"/>
  <c r="L203" i="18"/>
  <c r="E213" i="18"/>
  <c r="E77" i="18"/>
  <c r="E117" i="18"/>
  <c r="E94" i="18"/>
  <c r="L78" i="18"/>
  <c r="L13" i="18"/>
  <c r="L45" i="18"/>
  <c r="E179" i="18"/>
  <c r="E206" i="18"/>
  <c r="E178" i="18"/>
  <c r="E100" i="18"/>
  <c r="E97" i="18"/>
  <c r="L94" i="18"/>
  <c r="E47" i="18"/>
  <c r="E7" i="18"/>
  <c r="L129" i="18"/>
  <c r="L114" i="18"/>
  <c r="E205" i="18"/>
  <c r="L117" i="18"/>
  <c r="E43" i="18"/>
  <c r="E137" i="18"/>
  <c r="E165" i="18"/>
  <c r="L164" i="18"/>
  <c r="L176" i="18"/>
  <c r="E222" i="18"/>
  <c r="E148" i="18"/>
  <c r="E114" i="18"/>
  <c r="L10" i="18"/>
  <c r="L49" i="18"/>
  <c r="L23" i="18"/>
  <c r="E202" i="18"/>
  <c r="E74" i="18"/>
  <c r="L14" i="18"/>
  <c r="E226" i="18"/>
  <c r="E130" i="18"/>
  <c r="E163" i="18"/>
  <c r="L118" i="18"/>
  <c r="L15" i="18"/>
  <c r="E52" i="18"/>
  <c r="E127" i="18"/>
  <c r="E135" i="18"/>
  <c r="L7" i="18"/>
  <c r="L222" i="18"/>
  <c r="E61" i="18"/>
  <c r="E45" i="18"/>
  <c r="L95" i="18"/>
  <c r="E146" i="18"/>
  <c r="E14" i="18"/>
  <c r="L106" i="18"/>
  <c r="E208" i="18"/>
  <c r="L157" i="18"/>
  <c r="L196" i="18"/>
  <c r="L91" i="18"/>
  <c r="L166" i="18"/>
  <c r="L33" i="18"/>
  <c r="L112" i="18"/>
  <c r="L125" i="18"/>
  <c r="L27" i="18"/>
  <c r="L80" i="18"/>
  <c r="E44" i="18"/>
  <c r="L29" i="18"/>
  <c r="L191" i="18"/>
  <c r="L58" i="18"/>
  <c r="L210" i="18"/>
  <c r="E174" i="18"/>
  <c r="E49" i="18"/>
  <c r="E62" i="18"/>
  <c r="L220" i="18"/>
  <c r="L79" i="18"/>
  <c r="L30" i="18"/>
  <c r="E160" i="18"/>
  <c r="E140" i="18"/>
  <c r="L48" i="18"/>
  <c r="E59" i="18"/>
  <c r="E92" i="18"/>
  <c r="E51" i="18"/>
  <c r="L9" i="18"/>
  <c r="L213" i="18"/>
  <c r="L83" i="18"/>
  <c r="L22" i="18"/>
  <c r="L57" i="18"/>
  <c r="L132" i="18"/>
  <c r="E224" i="18"/>
  <c r="E22" i="18"/>
  <c r="L156" i="18"/>
  <c r="E27" i="18"/>
  <c r="E23" i="18"/>
  <c r="E162" i="18"/>
  <c r="E104" i="18"/>
  <c r="E180" i="18"/>
  <c r="E154" i="18"/>
  <c r="E139" i="18"/>
  <c r="E21" i="18"/>
  <c r="E68" i="18"/>
  <c r="L209" i="18"/>
  <c r="L121" i="18"/>
  <c r="L92" i="18"/>
  <c r="E149" i="18"/>
  <c r="L207" i="18"/>
  <c r="L189" i="18"/>
  <c r="E83" i="18"/>
  <c r="L43" i="18"/>
  <c r="E29" i="18"/>
  <c r="L171" i="18"/>
  <c r="L184" i="18"/>
  <c r="E121" i="18"/>
  <c r="E19" i="18"/>
  <c r="L18" i="18"/>
  <c r="E217" i="18"/>
  <c r="E184" i="18"/>
  <c r="E56" i="18"/>
  <c r="L227" i="18"/>
  <c r="E196" i="18"/>
  <c r="L137" i="18"/>
  <c r="L215" i="18"/>
  <c r="L130" i="18"/>
  <c r="E223" i="18"/>
  <c r="L19" i="18"/>
  <c r="E227" i="18"/>
  <c r="E172" i="18"/>
  <c r="L110" i="18"/>
  <c r="E113" i="18"/>
  <c r="L89" i="18"/>
  <c r="E194" i="18"/>
  <c r="E13" i="18"/>
  <c r="L142" i="18"/>
  <c r="L155" i="18"/>
  <c r="L42" i="18"/>
  <c r="L84" i="18"/>
  <c r="L74" i="18"/>
  <c r="L135" i="18"/>
  <c r="E86" i="18"/>
  <c r="L224" i="18"/>
  <c r="E155" i="18"/>
  <c r="L144" i="18"/>
  <c r="E69" i="18"/>
  <c r="E73" i="18"/>
  <c r="E210" i="18"/>
  <c r="L3" i="18"/>
  <c r="E215" i="18"/>
  <c r="E88" i="18"/>
  <c r="E124" i="18"/>
  <c r="E5" i="18"/>
  <c r="L136" i="18"/>
  <c r="L34" i="18"/>
  <c r="L133" i="18"/>
  <c r="L158" i="18"/>
  <c r="E48" i="18"/>
  <c r="L97" i="18"/>
  <c r="E25" i="18"/>
  <c r="E11" i="18"/>
  <c r="L75" i="18"/>
  <c r="L170" i="18"/>
  <c r="E131" i="18"/>
  <c r="E134" i="18"/>
  <c r="L8" i="18"/>
  <c r="E120" i="18"/>
  <c r="L61" i="18"/>
  <c r="E82" i="18"/>
  <c r="L161" i="18"/>
  <c r="L126" i="18"/>
  <c r="E28" i="18"/>
  <c r="L139" i="18"/>
  <c r="E151" i="18"/>
  <c r="E128" i="18"/>
  <c r="E150" i="18"/>
  <c r="E18" i="18"/>
  <c r="L50" i="18"/>
  <c r="E170" i="18"/>
  <c r="E37" i="18"/>
  <c r="L205" i="18"/>
  <c r="L116" i="18"/>
  <c r="L206" i="18"/>
  <c r="E185" i="18"/>
  <c r="E65" i="18"/>
  <c r="L187" i="18"/>
  <c r="E153" i="18"/>
  <c r="L181" i="18"/>
  <c r="E173" i="18"/>
  <c r="E142" i="18"/>
  <c r="L44" i="18"/>
</calcChain>
</file>

<file path=xl/connections.xml><?xml version="1.0" encoding="utf-8"?>
<connections xmlns="http://schemas.openxmlformats.org/spreadsheetml/2006/main">
  <connection id="1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3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4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5" name="NoLagTopTenQuery11" type="1" refreshedVersion="4" savePassword="1" saveData="1">
    <dbPr connection="DSN=Agency" command="select AsOfDate,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_x000d__x000a_select t.asOfDate, _x000d__x000a_refinancible = sum(case when f.wac - t.SeriesNumValue &gt;= 0.5 then f.currentBalance else 0 end)/sum(f.currentBalance),  _x000d__x000a_refinancible_satoAdj = sum(case when f.wac - t.SeriesNumValue -s.SATO/100.0 &gt;= 0.5 then f.currentBalance else 0 end)/sum(f.currentBalance)_x000d__x000a_from fnm.sec p, fnm.secFactor f,  #tempone t, fnm.secSupp s_x000d__x000a_where p.issueId = f.issueId_x000d__x000a_and p.issueId = s.issueId_x000d__x000a_and f.asOf = s.asOf_x000d__x000a_and p.collateralType = 'LOAN' _x000d__x000a_and p.marketTicker in ('FNCL')_x000d__x000a_and year(t.asOfDate) * 100 + month(t.asOfDate) = year(f.asOf)* 100 + month(f.asOf)_x000d__x000a_and t.asOfDate &gt;= '20110101'_x000d__x000a_group by t.asOfDate_x000d__x000a_order by t.asOfDate"/>
  </connection>
  <connection id="6" name="NoLagTopTenQuery111" type="1" refreshedVersion="4" savePassword="1" saveData="1">
    <dbPr connection="DSN=Agency" command="select AsOfDate,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_x000d__x000a_select t.asOfDate,_x000d__x000a_refinanceible = sum(case when l.OrigNoteRate - t.SeriesNumValue &gt;= 0.5 then (case when lh.currentRpb &gt; 0 then lh.currentRpb else 0.000001 end) else 0 end)/sum(case when lh.currentRpb &gt; 0 then lh.currentRpb else 0.000001 end)_x000d__x000a_from fhl.sec p, fhl.Cello_Loan l, fhl.Cello_LoanHist lh, #tempone t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year(t.asOfDate) * 100 + month(t.asOfDate) = year(lh.asOf)* 100 + month(lh.asOf)_x000d__x000a_and t.asOfDate &gt;= '20110101'_x000d__x000a_group by t.asOfDate_x000d__x000a_order by t.asOfDate"/>
  </connection>
  <connection id="7" name="NoLagTopTenQuery1111" type="1" refreshedVersion="4" savePassword="1" saveData="1">
    <dbPr connection="DSN=Agency" command="select f.FicoStart, f.FicoEnd, f.LtvStart, f.LtvEnd, o.occtype, u.numUnits, f.LLPA as BaseLLTV, a.LLPA as AMDC, HighLTV = (case when l.llpa is null then 999 else l.llpa end), _x000d__x000a_        Occp = (case when o.llpa is null then 999 else o.llpa end), UnitL = (case when u.llpa is null then 999 else u.llpa end),_x000d__x000a_        totalLLPA = (BaseLLTV + AMDC + HighLTV + Occp + UnitL)/100_x000d__x000a_into #tempLLPA_x000d__x000a_from report.LLPAFicoLTV f_x000d__x000a_join report.LLPAAMDC a _x000d__x000a_on f.FicoStart = a.FicoStart _x000d__x000a_and f.FicoEnd = a.FicoEnd _x000d__x000a_and f.LtvStart = a.LtvStart_x000d__x000a_and f.LtvEnd = a.LtvEnd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f.AsofDate = '2015-01-07'_x000d__x000a_and a.AsofDate = '2014-01-08'_x000d__x000a_and l.asofdate = '2013-12-16'_x000d__x000a_and o.asofdate = '2013-11-14'_x000d__x000a_and u.asofdate = '2013-11-14'_x000d__x000a__x000d__x000a_select AsOfDate,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_x000d__x000a__x000d__x000a_select t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year(t.asOfDate) * 100 + month(t.asOfDate) = year(lh.asOf)* 100 + month(lh.asOf)_x000d__x000a_and t.asOfDate &gt;= '20110101'_x000d__x000a_and l.occType = tl.occType_x000d__x000a_and l.cs &gt; tl.FicoStart and l.cs &lt;= tl.FicoEnd_x000d__x000a_and l.origLTV &gt; tl.ltvStart and l.origLTV &lt;= tl.LtvEnd_x000d__x000a_and l.numUnits = tl.numUnits_x000d__x000a_--and l.calcorigmonth_LL &gt; 200906_x000d__x000a_group by t.asOfDate_x000d__x000a_order by t.asOfDate"/>
  </connection>
  <connection id="8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9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1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2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<sst xmlns="http://schemas.openxmlformats.org/spreadsheetml/2006/main" count="104" uniqueCount="53">
  <si>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</si>
  <si>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</si>
  <si>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</si>
  <si>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</si>
  <si>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</si>
  <si>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</si>
  <si>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</si>
  <si>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</si>
  <si>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</si>
  <si>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</si>
  <si>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</si>
  <si>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</si>
  <si>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</si>
  <si>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</si>
  <si>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</si>
  <si>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</si>
  <si>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</si>
  <si>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</si>
  <si>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</si>
  <si>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</si>
  <si>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</si>
  <si>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</si>
  <si>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</si>
  <si>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</si>
  <si>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</si>
  <si>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</si>
  <si>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</si>
  <si>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Change lag on</t>
  </si>
  <si>
    <t>Volume (M)</t>
  </si>
  <si>
    <t>S:\IT\Production\Daily Reports\Primary Market\tmp\</t>
  </si>
  <si>
    <t>Issue Month:</t>
  </si>
  <si>
    <t>asOfDate</t>
  </si>
  <si>
    <t>refinancible</t>
  </si>
  <si>
    <t>refinancible_satoAdj</t>
  </si>
  <si>
    <t>Conv Refi Index</t>
  </si>
  <si>
    <t>ITMBalance</t>
  </si>
  <si>
    <t>currBalance</t>
  </si>
  <si>
    <t>refinanceible</t>
  </si>
  <si>
    <t>fnma</t>
  </si>
  <si>
    <t>loan</t>
  </si>
  <si>
    <t>pool</t>
  </si>
  <si>
    <t>FHL</t>
  </si>
  <si>
    <t>Loan Level</t>
  </si>
  <si>
    <t>LLPA</t>
  </si>
  <si>
    <t>l.calcorigmonth_LL &gt; 200906</t>
  </si>
  <si>
    <t>Loan with LLPA</t>
  </si>
  <si>
    <t>l.calcorigmonth &gt; 200906</t>
  </si>
  <si>
    <t>Pool</t>
  </si>
  <si>
    <t>Loan</t>
  </si>
  <si>
    <t>Difference</t>
  </si>
  <si>
    <t>datebucket</t>
  </si>
  <si>
    <t>Time Dependent LLPA</t>
  </si>
  <si>
    <t>Time-Dependent LLPA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</si>
</sst>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</numFmts>
  <fonts count="1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4" applyNumberFormat="0"/>
    <xf numFmtId="0" fontId="80" fillId="36" borderId="44" applyNumberFormat="0"/>
    <xf numFmtId="0" fontId="34" fillId="38" borderId="8" applyNumberFormat="0"/>
    <xf numFmtId="0" fontId="136" fillId="65" borderId="44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3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55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164" fontId="8" fillId="7" borderId="38" xfId="0" applyNumberFormat="1" applyFont="1" applyFill="1" applyBorder="1" applyAlignment="1">
      <alignment horizontal="left"/>
    </xf>
    <xf numFmtId="164" fontId="8" fillId="7" borderId="38" xfId="0" applyNumberFormat="1" applyFont="1" applyFill="1" applyBorder="1" applyAlignment="1">
      <alignment horizontal="center"/>
    </xf>
    <xf numFmtId="164" fontId="8" fillId="7" borderId="39" xfId="0" applyNumberFormat="1" applyFont="1" applyFill="1" applyBorder="1" applyAlignment="1">
      <alignment horizontal="center"/>
    </xf>
    <xf numFmtId="164" fontId="7" fillId="0" borderId="38" xfId="1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4" fontId="7" fillId="0" borderId="39" xfId="1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4" fontId="4" fillId="0" borderId="38" xfId="1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0" xfId="0" applyNumberFormat="1" applyFont="1"/>
    <xf numFmtId="9" fontId="7" fillId="0" borderId="0" xfId="1" applyFont="1"/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4" fontId="7" fillId="0" borderId="41" xfId="1" applyNumberFormat="1" applyFont="1" applyBorder="1" applyAlignment="1">
      <alignment horizontal="center"/>
    </xf>
    <xf numFmtId="195" fontId="7" fillId="0" borderId="42" xfId="1" applyNumberFormat="1" applyFont="1" applyBorder="1" applyAlignment="1">
      <alignment horizontal="center"/>
    </xf>
    <xf numFmtId="195" fontId="7" fillId="0" borderId="42" xfId="0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9" fontId="0" fillId="0" borderId="0" xfId="1" applyFon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9" fontId="138" fillId="0" borderId="0" xfId="1" applyFont="1" applyAlignment="1">
      <alignment horizontal="center"/>
    </xf>
    <xf numFmtId="9" fontId="138" fillId="0" borderId="0" xfId="0" applyNumberFormat="1" applyFont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14" fontId="0" fillId="0" borderId="48" xfId="0" applyNumberFormat="1" applyBorder="1" applyAlignment="1">
      <alignment horizontal="center"/>
    </xf>
    <xf numFmtId="9" fontId="0" fillId="0" borderId="0" xfId="1" applyFont="1" applyBorder="1" applyAlignment="1">
      <alignment horizontal="center"/>
    </xf>
    <xf numFmtId="9" fontId="0" fillId="0" borderId="0" xfId="1" applyFont="1" applyBorder="1"/>
    <xf numFmtId="9" fontId="138" fillId="0" borderId="49" xfId="1" applyFont="1" applyBorder="1" applyAlignment="1">
      <alignment horizontal="center"/>
    </xf>
    <xf numFmtId="14" fontId="0" fillId="0" borderId="50" xfId="0" applyNumberFormat="1" applyBorder="1" applyAlignment="1">
      <alignment horizontal="center"/>
    </xf>
    <xf numFmtId="9" fontId="0" fillId="0" borderId="30" xfId="1" applyFont="1" applyBorder="1" applyAlignment="1">
      <alignment horizontal="center"/>
    </xf>
    <xf numFmtId="9" fontId="0" fillId="0" borderId="30" xfId="1" applyFont="1" applyBorder="1"/>
    <xf numFmtId="9" fontId="138" fillId="0" borderId="51" xfId="1" applyFont="1" applyBorder="1" applyAlignment="1">
      <alignment horizontal="center"/>
    </xf>
    <xf numFmtId="14" fontId="0" fillId="0" borderId="0" xfId="1" applyNumberFormat="1" applyFont="1"/>
    <xf numFmtId="10" fontId="0" fillId="0" borderId="0" xfId="1" applyNumberFormat="1" applyFont="1"/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22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2E8A60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379264"/>
        <c:axId val="164376576"/>
      </c:barChar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284032"/>
        <c:axId val="154285568"/>
      </c:lineChart>
      <c:catAx>
        <c:axId val="154284032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154285568"/>
        <c:crosses val="autoZero"/>
        <c:auto val="1"/>
        <c:lblAlgn val="ctr"/>
        <c:lblOffset val="100"/>
        <c:tickLblSkip val="2"/>
        <c:noMultiLvlLbl val="1"/>
      </c:catAx>
      <c:valAx>
        <c:axId val="154285568"/>
        <c:scaling>
          <c:orientation val="minMax"/>
          <c:max val="0.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4284032"/>
        <c:crosses val="autoZero"/>
        <c:crossBetween val="between"/>
      </c:valAx>
      <c:valAx>
        <c:axId val="164376576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164379264"/>
        <c:crosses val="max"/>
        <c:crossBetween val="between"/>
        <c:dispUnits>
          <c:builtInUnit val="billions"/>
        </c:dispUnits>
      </c:valAx>
      <c:catAx>
        <c:axId val="164379264"/>
        <c:scaling>
          <c:orientation val="minMax"/>
        </c:scaling>
        <c:delete val="1"/>
        <c:axPos val="b"/>
        <c:majorTickMark val="out"/>
        <c:minorTickMark val="none"/>
        <c:tickLblPos val="nextTo"/>
        <c:crossAx val="16437657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42144"/>
        <c:axId val="257228160"/>
      </c:barChart>
      <c:catAx>
        <c:axId val="25514214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overlay val="0"/>
        </c:title>
        <c:majorTickMark val="out"/>
        <c:minorTickMark val="none"/>
        <c:tickLblPos val="nextTo"/>
        <c:crossAx val="257228160"/>
        <c:crosses val="autoZero"/>
        <c:auto val="1"/>
        <c:lblAlgn val="ctr"/>
        <c:lblOffset val="100"/>
        <c:noMultiLvlLbl val="0"/>
      </c:catAx>
      <c:valAx>
        <c:axId val="257228160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high"/>
        <c:crossAx val="2551421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refinancible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31328"/>
        <c:axId val="403536128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950592"/>
        <c:axId val="403947520"/>
      </c:lineChart>
      <c:dateAx>
        <c:axId val="348531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3536128"/>
        <c:crosses val="autoZero"/>
        <c:auto val="1"/>
        <c:lblOffset val="100"/>
        <c:baseTimeUnit val="days"/>
      </c:dateAx>
      <c:valAx>
        <c:axId val="4035361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48531328"/>
        <c:crosses val="autoZero"/>
        <c:crossBetween val="between"/>
      </c:valAx>
      <c:valAx>
        <c:axId val="403947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03950592"/>
        <c:crosses val="max"/>
        <c:crossBetween val="between"/>
      </c:valAx>
      <c:dateAx>
        <c:axId val="4039505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03947520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Pool Level</c:v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PoolRefinancible!$F$3:$F$227</c:f>
              <c:numCache>
                <c:formatCode>0%</c:formatCode>
                <c:ptCount val="225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val>
            <c:numRef>
              <c:f>PoolRefinancible!$G$3:$G$227</c:f>
              <c:numCache>
                <c:formatCode>0%</c:formatCode>
                <c:ptCount val="225"/>
                <c:pt idx="0">
                  <c:v>0.39250464718271383</c:v>
                </c:pt>
                <c:pt idx="1">
                  <c:v>0.41493050243405694</c:v>
                </c:pt>
                <c:pt idx="2">
                  <c:v>0.39264268515317635</c:v>
                </c:pt>
                <c:pt idx="3">
                  <c:v>0.39248462972856413</c:v>
                </c:pt>
                <c:pt idx="4">
                  <c:v>0.35166351779672061</c:v>
                </c:pt>
                <c:pt idx="5">
                  <c:v>0.30118120941044296</c:v>
                </c:pt>
                <c:pt idx="6">
                  <c:v>0.31536412629340738</c:v>
                </c:pt>
                <c:pt idx="7">
                  <c:v>0.33537426304924495</c:v>
                </c:pt>
                <c:pt idx="8">
                  <c:v>0.34253463480268398</c:v>
                </c:pt>
                <c:pt idx="9">
                  <c:v>0.3424192138403398</c:v>
                </c:pt>
                <c:pt idx="10">
                  <c:v>0.39114797845648158</c:v>
                </c:pt>
                <c:pt idx="11">
                  <c:v>0.36952670052259512</c:v>
                </c:pt>
                <c:pt idx="12">
                  <c:v>0.34256260481459744</c:v>
                </c:pt>
                <c:pt idx="13">
                  <c:v>0.3347984498822521</c:v>
                </c:pt>
                <c:pt idx="14">
                  <c:v>0.33467518812275754</c:v>
                </c:pt>
                <c:pt idx="15">
                  <c:v>0.36193150295895826</c:v>
                </c:pt>
                <c:pt idx="16">
                  <c:v>0.36201877353801432</c:v>
                </c:pt>
                <c:pt idx="17">
                  <c:v>0.37743538404941046</c:v>
                </c:pt>
                <c:pt idx="18">
                  <c:v>0.43530454861865053</c:v>
                </c:pt>
                <c:pt idx="19">
                  <c:v>0.43548629341943101</c:v>
                </c:pt>
                <c:pt idx="20">
                  <c:v>0.43555598618784247</c:v>
                </c:pt>
                <c:pt idx="21">
                  <c:v>0.46833004093796882</c:v>
                </c:pt>
                <c:pt idx="22">
                  <c:v>0.49669725190003489</c:v>
                </c:pt>
                <c:pt idx="23">
                  <c:v>0.49664385093217528</c:v>
                </c:pt>
                <c:pt idx="24">
                  <c:v>0.46833004093796882</c:v>
                </c:pt>
                <c:pt idx="25">
                  <c:v>0.49558485830124249</c:v>
                </c:pt>
                <c:pt idx="26">
                  <c:v>0.4231622022976208</c:v>
                </c:pt>
                <c:pt idx="27">
                  <c:v>0.4891408433280437</c:v>
                </c:pt>
                <c:pt idx="28">
                  <c:v>0.46188508246971671</c:v>
                </c:pt>
                <c:pt idx="29">
                  <c:v>0.46038198187588519</c:v>
                </c:pt>
                <c:pt idx="30">
                  <c:v>0.54649100919559479</c:v>
                </c:pt>
                <c:pt idx="31">
                  <c:v>0.67200434208070026</c:v>
                </c:pt>
                <c:pt idx="32">
                  <c:v>0.7663996274481748</c:v>
                </c:pt>
                <c:pt idx="33">
                  <c:v>0.71511546513717161</c:v>
                </c:pt>
                <c:pt idx="34">
                  <c:v>0.70671480720576585</c:v>
                </c:pt>
                <c:pt idx="35">
                  <c:v>0.78365106016665087</c:v>
                </c:pt>
                <c:pt idx="36">
                  <c:v>0.7837514446358208</c:v>
                </c:pt>
                <c:pt idx="37">
                  <c:v>0.7837514446358208</c:v>
                </c:pt>
                <c:pt idx="38">
                  <c:v>0.83498862515913175</c:v>
                </c:pt>
                <c:pt idx="39">
                  <c:v>0.82464608861521083</c:v>
                </c:pt>
                <c:pt idx="40">
                  <c:v>0.74680883180338908</c:v>
                </c:pt>
                <c:pt idx="41">
                  <c:v>0.77166909679426787</c:v>
                </c:pt>
                <c:pt idx="42">
                  <c:v>0.77177730779426668</c:v>
                </c:pt>
                <c:pt idx="43">
                  <c:v>0.81210214976440742</c:v>
                </c:pt>
                <c:pt idx="44">
                  <c:v>0.81212237068018323</c:v>
                </c:pt>
                <c:pt idx="45">
                  <c:v>0.81210214976440742</c:v>
                </c:pt>
                <c:pt idx="46">
                  <c:v>0.81214333713123688</c:v>
                </c:pt>
                <c:pt idx="47">
                  <c:v>0.80131714106218799</c:v>
                </c:pt>
                <c:pt idx="48">
                  <c:v>0.80133697224368616</c:v>
                </c:pt>
                <c:pt idx="49">
                  <c:v>0.80138641481181627</c:v>
                </c:pt>
                <c:pt idx="50">
                  <c:v>0.83345797278415235</c:v>
                </c:pt>
                <c:pt idx="51">
                  <c:v>0.83326986939749803</c:v>
                </c:pt>
                <c:pt idx="52">
                  <c:v>0.81925494810495469</c:v>
                </c:pt>
                <c:pt idx="53">
                  <c:v>0.82032067926847052</c:v>
                </c:pt>
                <c:pt idx="54">
                  <c:v>0.81933976111781182</c:v>
                </c:pt>
                <c:pt idx="55">
                  <c:v>0.78644763675568363</c:v>
                </c:pt>
                <c:pt idx="56">
                  <c:v>0.79931718417277497</c:v>
                </c:pt>
                <c:pt idx="57">
                  <c:v>0.79931718417277497</c:v>
                </c:pt>
                <c:pt idx="58">
                  <c:v>0.79931718417277497</c:v>
                </c:pt>
                <c:pt idx="59">
                  <c:v>0.76607100832003672</c:v>
                </c:pt>
                <c:pt idx="60">
                  <c:v>0.78263387351827951</c:v>
                </c:pt>
                <c:pt idx="61">
                  <c:v>0.782706832693848</c:v>
                </c:pt>
                <c:pt idx="62">
                  <c:v>0.78249923273561073</c:v>
                </c:pt>
                <c:pt idx="63">
                  <c:v>0.695774514370883</c:v>
                </c:pt>
                <c:pt idx="64">
                  <c:v>0.74903823932138114</c:v>
                </c:pt>
                <c:pt idx="65">
                  <c:v>0.7329832638367505</c:v>
                </c:pt>
                <c:pt idx="66">
                  <c:v>0.78681677365055769</c:v>
                </c:pt>
                <c:pt idx="67">
                  <c:v>0.7666034363277634</c:v>
                </c:pt>
                <c:pt idx="68">
                  <c:v>0.78681677365055769</c:v>
                </c:pt>
                <c:pt idx="69">
                  <c:v>0.77448600402584433</c:v>
                </c:pt>
                <c:pt idx="70">
                  <c:v>0.77460419728488739</c:v>
                </c:pt>
                <c:pt idx="71">
                  <c:v>0.80814877886269387</c:v>
                </c:pt>
                <c:pt idx="72">
                  <c:v>0.80807788235194289</c:v>
                </c:pt>
                <c:pt idx="73">
                  <c:v>0.80822737928750754</c:v>
                </c:pt>
                <c:pt idx="74">
                  <c:v>0.83217237158769797</c:v>
                </c:pt>
                <c:pt idx="75">
                  <c:v>0.80737164426751362</c:v>
                </c:pt>
                <c:pt idx="76">
                  <c:v>0.83221454455554378</c:v>
                </c:pt>
                <c:pt idx="77">
                  <c:v>0.83221454455554378</c:v>
                </c:pt>
                <c:pt idx="78">
                  <c:v>0.8184354026404238</c:v>
                </c:pt>
                <c:pt idx="79">
                  <c:v>0.85105546980459501</c:v>
                </c:pt>
                <c:pt idx="80">
                  <c:v>0.85112560389089653</c:v>
                </c:pt>
                <c:pt idx="81">
                  <c:v>0.86623530993162101</c:v>
                </c:pt>
                <c:pt idx="82">
                  <c:v>0.83077759203159907</c:v>
                </c:pt>
                <c:pt idx="83">
                  <c:v>0.83071682400201974</c:v>
                </c:pt>
                <c:pt idx="84">
                  <c:v>0.80960790838516705</c:v>
                </c:pt>
                <c:pt idx="85">
                  <c:v>0.79639257160094001</c:v>
                </c:pt>
                <c:pt idx="86">
                  <c:v>0.83071682400201974</c:v>
                </c:pt>
                <c:pt idx="87">
                  <c:v>0.81165285451317482</c:v>
                </c:pt>
                <c:pt idx="88">
                  <c:v>0.81245274787408683</c:v>
                </c:pt>
                <c:pt idx="89">
                  <c:v>0.82872113777665324</c:v>
                </c:pt>
                <c:pt idx="90">
                  <c:v>0.87984589665782953</c:v>
                </c:pt>
                <c:pt idx="91">
                  <c:v>0.85766490262917261</c:v>
                </c:pt>
                <c:pt idx="92">
                  <c:v>0.83900327791396834</c:v>
                </c:pt>
                <c:pt idx="93">
                  <c:v>0.85729125490537361</c:v>
                </c:pt>
                <c:pt idx="94">
                  <c:v>0.83658971912185232</c:v>
                </c:pt>
                <c:pt idx="95">
                  <c:v>0.80940641392759149</c:v>
                </c:pt>
                <c:pt idx="96">
                  <c:v>0.80844518185204484</c:v>
                </c:pt>
                <c:pt idx="97">
                  <c:v>0.8290284928264865</c:v>
                </c:pt>
                <c:pt idx="98">
                  <c:v>0.85731372591467903</c:v>
                </c:pt>
                <c:pt idx="99">
                  <c:v>0.82902156132584415</c:v>
                </c:pt>
                <c:pt idx="100">
                  <c:v>0.81232353401430979</c:v>
                </c:pt>
                <c:pt idx="101">
                  <c:v>0.84119158160478291</c:v>
                </c:pt>
                <c:pt idx="102">
                  <c:v>0.81217683647199035</c:v>
                </c:pt>
                <c:pt idx="103">
                  <c:v>0.81230697941230379</c:v>
                </c:pt>
                <c:pt idx="104">
                  <c:v>0.78796669783307383</c:v>
                </c:pt>
                <c:pt idx="105">
                  <c:v>0.76674305612199489</c:v>
                </c:pt>
                <c:pt idx="106">
                  <c:v>0.78719387288686149</c:v>
                </c:pt>
                <c:pt idx="107">
                  <c:v>0.76516212286562191</c:v>
                </c:pt>
                <c:pt idx="108">
                  <c:v>0.71242242253610366</c:v>
                </c:pt>
                <c:pt idx="109">
                  <c:v>0.68795380166393372</c:v>
                </c:pt>
                <c:pt idx="110">
                  <c:v>0.68795380166393372</c:v>
                </c:pt>
                <c:pt idx="111">
                  <c:v>0.66527052489956673</c:v>
                </c:pt>
                <c:pt idx="112">
                  <c:v>0.68801658762886242</c:v>
                </c:pt>
                <c:pt idx="113">
                  <c:v>0.66023914901594483</c:v>
                </c:pt>
                <c:pt idx="114">
                  <c:v>0.62405117397860987</c:v>
                </c:pt>
                <c:pt idx="115">
                  <c:v>0.65942285533422573</c:v>
                </c:pt>
                <c:pt idx="116">
                  <c:v>0.63701169097985455</c:v>
                </c:pt>
                <c:pt idx="117">
                  <c:v>0.63343769966874808</c:v>
                </c:pt>
                <c:pt idx="118">
                  <c:v>0.65224285256199233</c:v>
                </c:pt>
                <c:pt idx="119">
                  <c:v>0.68649237366387494</c:v>
                </c:pt>
                <c:pt idx="120">
                  <c:v>0.6864085485611654</c:v>
                </c:pt>
                <c:pt idx="121">
                  <c:v>0.69100166934434826</c:v>
                </c:pt>
                <c:pt idx="122">
                  <c:v>0.66649978336337867</c:v>
                </c:pt>
                <c:pt idx="123">
                  <c:v>0.62919502956765949</c:v>
                </c:pt>
                <c:pt idx="124">
                  <c:v>0.58921758890022713</c:v>
                </c:pt>
                <c:pt idx="125">
                  <c:v>0.50936534163609115</c:v>
                </c:pt>
                <c:pt idx="126">
                  <c:v>0.47041374406845632</c:v>
                </c:pt>
                <c:pt idx="127">
                  <c:v>0.44520827635909999</c:v>
                </c:pt>
                <c:pt idx="128">
                  <c:v>0.4452594848021294</c:v>
                </c:pt>
                <c:pt idx="129">
                  <c:v>0.23463898934716346</c:v>
                </c:pt>
                <c:pt idx="130">
                  <c:v>0.32060598857260031</c:v>
                </c:pt>
                <c:pt idx="131">
                  <c:v>0.20898917614909965</c:v>
                </c:pt>
                <c:pt idx="132">
                  <c:v>0.27836070890439996</c:v>
                </c:pt>
                <c:pt idx="133">
                  <c:v>0.27857814762696204</c:v>
                </c:pt>
                <c:pt idx="134">
                  <c:v>0.2429898977759116</c:v>
                </c:pt>
                <c:pt idx="135">
                  <c:v>0.24283976794437015</c:v>
                </c:pt>
                <c:pt idx="136">
                  <c:v>0.24283976794437015</c:v>
                </c:pt>
                <c:pt idx="137">
                  <c:v>0.18037831575230645</c:v>
                </c:pt>
                <c:pt idx="138">
                  <c:v>0.21191256226433611</c:v>
                </c:pt>
                <c:pt idx="139">
                  <c:v>0.1897069664050729</c:v>
                </c:pt>
                <c:pt idx="140">
                  <c:v>0.17275208794808761</c:v>
                </c:pt>
                <c:pt idx="141">
                  <c:v>0.20395578514239021</c:v>
                </c:pt>
                <c:pt idx="142">
                  <c:v>0.29542728169686178</c:v>
                </c:pt>
                <c:pt idx="143">
                  <c:v>0.3112630235510917</c:v>
                </c:pt>
                <c:pt idx="144">
                  <c:v>0.31122960499877506</c:v>
                </c:pt>
                <c:pt idx="145">
                  <c:v>0.28860950368886767</c:v>
                </c:pt>
                <c:pt idx="146">
                  <c:v>0.34162421928019632</c:v>
                </c:pt>
                <c:pt idx="147">
                  <c:v>0.35876134051568048</c:v>
                </c:pt>
                <c:pt idx="148">
                  <c:v>0.33674671087730557</c:v>
                </c:pt>
                <c:pt idx="149">
                  <c:v>0.24269693250447563</c:v>
                </c:pt>
                <c:pt idx="150">
                  <c:v>0.3055299351989304</c:v>
                </c:pt>
                <c:pt idx="151">
                  <c:v>0.28269813653547565</c:v>
                </c:pt>
                <c:pt idx="152">
                  <c:v>0.21457168979065847</c:v>
                </c:pt>
                <c:pt idx="153">
                  <c:v>0.21453214735661943</c:v>
                </c:pt>
                <c:pt idx="154">
                  <c:v>0.18637808162354447</c:v>
                </c:pt>
                <c:pt idx="155">
                  <c:v>0.18634998394757121</c:v>
                </c:pt>
                <c:pt idx="156">
                  <c:v>0.16785607555882864</c:v>
                </c:pt>
                <c:pt idx="157">
                  <c:v>0.18043555474043901</c:v>
                </c:pt>
                <c:pt idx="158">
                  <c:v>0.20877580875994006</c:v>
                </c:pt>
                <c:pt idx="159">
                  <c:v>0.20925174983631745</c:v>
                </c:pt>
                <c:pt idx="160">
                  <c:v>0.26908499548561948</c:v>
                </c:pt>
                <c:pt idx="161">
                  <c:v>0.28664398800430652</c:v>
                </c:pt>
                <c:pt idx="162">
                  <c:v>0.26406176269101833</c:v>
                </c:pt>
                <c:pt idx="163">
                  <c:v>0.22520487559188238</c:v>
                </c:pt>
                <c:pt idx="164">
                  <c:v>0.22499222573411515</c:v>
                </c:pt>
                <c:pt idx="165">
                  <c:v>0.25999785989651375</c:v>
                </c:pt>
                <c:pt idx="166">
                  <c:v>0.22113373603983741</c:v>
                </c:pt>
                <c:pt idx="167">
                  <c:v>0.25993711403288727</c:v>
                </c:pt>
                <c:pt idx="168">
                  <c:v>0.22102075851993844</c:v>
                </c:pt>
                <c:pt idx="169">
                  <c:v>0.19554396569408161</c:v>
                </c:pt>
                <c:pt idx="170">
                  <c:v>0.21645273042175073</c:v>
                </c:pt>
                <c:pt idx="171">
                  <c:v>0.25509482603250799</c:v>
                </c:pt>
                <c:pt idx="172">
                  <c:v>0.25494407537878599</c:v>
                </c:pt>
                <c:pt idx="173">
                  <c:v>0.24989208685370806</c:v>
                </c:pt>
                <c:pt idx="174">
                  <c:v>0.30572082850185778</c:v>
                </c:pt>
                <c:pt idx="175">
                  <c:v>0.30574922904136204</c:v>
                </c:pt>
                <c:pt idx="176">
                  <c:v>0.3263360956031372</c:v>
                </c:pt>
                <c:pt idx="177">
                  <c:v>0.32643936863839501</c:v>
                </c:pt>
                <c:pt idx="178">
                  <c:v>0.32185129183708511</c:v>
                </c:pt>
                <c:pt idx="179">
                  <c:v>0.3006175039125803</c:v>
                </c:pt>
                <c:pt idx="180">
                  <c:v>0.30084926565806314</c:v>
                </c:pt>
                <c:pt idx="181">
                  <c:v>0.32185129183708511</c:v>
                </c:pt>
                <c:pt idx="182">
                  <c:v>0.35132432667845787</c:v>
                </c:pt>
                <c:pt idx="183">
                  <c:v>0.2948978928650251</c:v>
                </c:pt>
                <c:pt idx="184">
                  <c:v>0.3159632904010618</c:v>
                </c:pt>
                <c:pt idx="185">
                  <c:v>0.3159632904010618</c:v>
                </c:pt>
                <c:pt idx="186">
                  <c:v>0.31600900021944722</c:v>
                </c:pt>
                <c:pt idx="187">
                  <c:v>0.28733011041556866</c:v>
                </c:pt>
                <c:pt idx="188">
                  <c:v>0.30830019444277207</c:v>
                </c:pt>
                <c:pt idx="189">
                  <c:v>0.34437174010246324</c:v>
                </c:pt>
                <c:pt idx="190">
                  <c:v>0.34437174010246324</c:v>
                </c:pt>
                <c:pt idx="191">
                  <c:v>0.33726082939012031</c:v>
                </c:pt>
                <c:pt idx="192">
                  <c:v>0.33678501276371153</c:v>
                </c:pt>
                <c:pt idx="193">
                  <c:v>0.27981611822773694</c:v>
                </c:pt>
                <c:pt idx="194">
                  <c:v>0.28004211900809872</c:v>
                </c:pt>
                <c:pt idx="195">
                  <c:v>0.29380964358931005</c:v>
                </c:pt>
                <c:pt idx="196">
                  <c:v>0.32975158761790646</c:v>
                </c:pt>
                <c:pt idx="197">
                  <c:v>0.40035994569645555</c:v>
                </c:pt>
                <c:pt idx="198">
                  <c:v>0.42711521034968225</c:v>
                </c:pt>
                <c:pt idx="199">
                  <c:v>0.400301956309697</c:v>
                </c:pt>
                <c:pt idx="200">
                  <c:v>0.34917536792990039</c:v>
                </c:pt>
                <c:pt idx="201">
                  <c:v>0.34929307036197271</c:v>
                </c:pt>
                <c:pt idx="202">
                  <c:v>0.39399253026177061</c:v>
                </c:pt>
                <c:pt idx="203">
                  <c:v>0.39417650647062941</c:v>
                </c:pt>
                <c:pt idx="204">
                  <c:v>0.41597067153264483</c:v>
                </c:pt>
                <c:pt idx="205">
                  <c:v>0.41537289181588677</c:v>
                </c:pt>
                <c:pt idx="206">
                  <c:v>0.46161085086277337</c:v>
                </c:pt>
                <c:pt idx="207">
                  <c:v>0.46117511096236979</c:v>
                </c:pt>
                <c:pt idx="208">
                  <c:v>0.41592950207254004</c:v>
                </c:pt>
                <c:pt idx="209">
                  <c:v>0.48381650914486973</c:v>
                </c:pt>
                <c:pt idx="210">
                  <c:v>0.55730670722396602</c:v>
                </c:pt>
                <c:pt idx="211">
                  <c:v>0.55738219771125852</c:v>
                </c:pt>
                <c:pt idx="212">
                  <c:v>0.55730670722396602</c:v>
                </c:pt>
                <c:pt idx="213">
                  <c:v>0.55188644277087107</c:v>
                </c:pt>
                <c:pt idx="214">
                  <c:v>0.52542346882534408</c:v>
                </c:pt>
                <c:pt idx="215">
                  <c:v>0.47549418723780823</c:v>
                </c:pt>
                <c:pt idx="216">
                  <c:v>0.44609473340861772</c:v>
                </c:pt>
                <c:pt idx="217">
                  <c:v>0.46598988131295854</c:v>
                </c:pt>
                <c:pt idx="218">
                  <c:v>0.3915254717887095</c:v>
                </c:pt>
                <c:pt idx="219">
                  <c:v>0.46543670330005138</c:v>
                </c:pt>
                <c:pt idx="220">
                  <c:v>0.51569075130954989</c:v>
                </c:pt>
                <c:pt idx="221">
                  <c:v>0.50146616730291116</c:v>
                </c:pt>
                <c:pt idx="222">
                  <c:v>0.52791282596991962</c:v>
                </c:pt>
                <c:pt idx="223">
                  <c:v>0.50155254519477754</c:v>
                </c:pt>
                <c:pt idx="224">
                  <c:v>0.52829595632810067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467264"/>
        <c:axId val="403489536"/>
      </c:lineChart>
      <c:dateAx>
        <c:axId val="403467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3489536"/>
        <c:crosses val="autoZero"/>
        <c:auto val="1"/>
        <c:lblOffset val="100"/>
        <c:baseTimeUnit val="days"/>
      </c:dateAx>
      <c:valAx>
        <c:axId val="403489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 Refinancible</a:t>
                </a:r>
                <a:r>
                  <a:rPr lang="en-US" baseline="0"/>
                  <a:t> </a:t>
                </a:r>
                <a:r>
                  <a:rPr lang="en-US"/>
                  <a:t>Percentage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4034672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/>
              <a:t>Historical Conventional Refi Index vs. FNCL Refinancible Universe (50</a:t>
            </a:r>
            <a:r>
              <a:rPr lang="en-US" sz="1100" baseline="0"/>
              <a:t> bp incentive) -- From Chunnip</a:t>
            </a:r>
            <a:endParaRPr lang="en-US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782071222578659"/>
          <c:y val="0.17223125335139558"/>
          <c:w val="0.7563854055280127"/>
          <c:h val="0.54053029661614882"/>
        </c:manualLayout>
      </c:layout>
      <c:lineChart>
        <c:grouping val="standard"/>
        <c:varyColors val="0"/>
        <c:ser>
          <c:idx val="0"/>
          <c:order val="0"/>
          <c:tx>
            <c:v>MBA Conventional Refi Index</c:v>
          </c:tx>
          <c:marker>
            <c:symbol val="none"/>
          </c:marker>
          <c:cat>
            <c:numRef>
              <c:f>'[3]all FNCL'!$I$180:$I$403</c:f>
              <c:numCache>
                <c:formatCode>General</c:formatCode>
                <c:ptCount val="224"/>
                <c:pt idx="0">
                  <c:v>40550</c:v>
                </c:pt>
                <c:pt idx="1">
                  <c:v>40557</c:v>
                </c:pt>
                <c:pt idx="2">
                  <c:v>40564</c:v>
                </c:pt>
                <c:pt idx="3">
                  <c:v>40571</c:v>
                </c:pt>
                <c:pt idx="4">
                  <c:v>40578</c:v>
                </c:pt>
                <c:pt idx="5">
                  <c:v>40585</c:v>
                </c:pt>
                <c:pt idx="6">
                  <c:v>40592</c:v>
                </c:pt>
                <c:pt idx="7">
                  <c:v>40599</c:v>
                </c:pt>
                <c:pt idx="8">
                  <c:v>40606</c:v>
                </c:pt>
                <c:pt idx="9">
                  <c:v>40613</c:v>
                </c:pt>
                <c:pt idx="10">
                  <c:v>40620</c:v>
                </c:pt>
                <c:pt idx="11">
                  <c:v>40627</c:v>
                </c:pt>
                <c:pt idx="12">
                  <c:v>40634</c:v>
                </c:pt>
                <c:pt idx="13">
                  <c:v>40641</c:v>
                </c:pt>
                <c:pt idx="14">
                  <c:v>40648</c:v>
                </c:pt>
                <c:pt idx="15">
                  <c:v>40654</c:v>
                </c:pt>
                <c:pt idx="16">
                  <c:v>40662</c:v>
                </c:pt>
                <c:pt idx="17">
                  <c:v>40669</c:v>
                </c:pt>
                <c:pt idx="18">
                  <c:v>40676</c:v>
                </c:pt>
                <c:pt idx="19">
                  <c:v>40683</c:v>
                </c:pt>
                <c:pt idx="20">
                  <c:v>40690</c:v>
                </c:pt>
                <c:pt idx="21">
                  <c:v>40697</c:v>
                </c:pt>
                <c:pt idx="22">
                  <c:v>40704</c:v>
                </c:pt>
                <c:pt idx="23">
                  <c:v>40711</c:v>
                </c:pt>
                <c:pt idx="24">
                  <c:v>40718</c:v>
                </c:pt>
                <c:pt idx="25">
                  <c:v>40725</c:v>
                </c:pt>
                <c:pt idx="26">
                  <c:v>40732</c:v>
                </c:pt>
                <c:pt idx="27">
                  <c:v>40739</c:v>
                </c:pt>
                <c:pt idx="28">
                  <c:v>40746</c:v>
                </c:pt>
                <c:pt idx="29">
                  <c:v>40753</c:v>
                </c:pt>
                <c:pt idx="30">
                  <c:v>40760</c:v>
                </c:pt>
                <c:pt idx="31">
                  <c:v>40767</c:v>
                </c:pt>
                <c:pt idx="32">
                  <c:v>40774</c:v>
                </c:pt>
                <c:pt idx="33">
                  <c:v>40781</c:v>
                </c:pt>
                <c:pt idx="34">
                  <c:v>40788</c:v>
                </c:pt>
                <c:pt idx="35">
                  <c:v>40795</c:v>
                </c:pt>
                <c:pt idx="36">
                  <c:v>40802</c:v>
                </c:pt>
                <c:pt idx="37">
                  <c:v>40809</c:v>
                </c:pt>
                <c:pt idx="38">
                  <c:v>40816</c:v>
                </c:pt>
                <c:pt idx="39">
                  <c:v>40823</c:v>
                </c:pt>
                <c:pt idx="40">
                  <c:v>40830</c:v>
                </c:pt>
                <c:pt idx="41">
                  <c:v>40837</c:v>
                </c:pt>
                <c:pt idx="42">
                  <c:v>40844</c:v>
                </c:pt>
                <c:pt idx="43">
                  <c:v>40851</c:v>
                </c:pt>
                <c:pt idx="44">
                  <c:v>40858</c:v>
                </c:pt>
                <c:pt idx="45">
                  <c:v>40865</c:v>
                </c:pt>
                <c:pt idx="46">
                  <c:v>40872</c:v>
                </c:pt>
                <c:pt idx="47">
                  <c:v>40879</c:v>
                </c:pt>
                <c:pt idx="48">
                  <c:v>40886</c:v>
                </c:pt>
                <c:pt idx="49">
                  <c:v>40893</c:v>
                </c:pt>
                <c:pt idx="50">
                  <c:v>40900</c:v>
                </c:pt>
                <c:pt idx="51">
                  <c:v>40907</c:v>
                </c:pt>
                <c:pt idx="52">
                  <c:v>40914</c:v>
                </c:pt>
                <c:pt idx="53">
                  <c:v>40921</c:v>
                </c:pt>
                <c:pt idx="54">
                  <c:v>40928</c:v>
                </c:pt>
                <c:pt idx="55">
                  <c:v>40935</c:v>
                </c:pt>
                <c:pt idx="56">
                  <c:v>40942</c:v>
                </c:pt>
                <c:pt idx="57">
                  <c:v>40949</c:v>
                </c:pt>
                <c:pt idx="58">
                  <c:v>40956</c:v>
                </c:pt>
                <c:pt idx="59">
                  <c:v>40963</c:v>
                </c:pt>
                <c:pt idx="60">
                  <c:v>40970</c:v>
                </c:pt>
                <c:pt idx="61">
                  <c:v>40977</c:v>
                </c:pt>
                <c:pt idx="62">
                  <c:v>40984</c:v>
                </c:pt>
                <c:pt idx="63">
                  <c:v>40991</c:v>
                </c:pt>
                <c:pt idx="64">
                  <c:v>40998</c:v>
                </c:pt>
                <c:pt idx="65">
                  <c:v>41005</c:v>
                </c:pt>
                <c:pt idx="66">
                  <c:v>41012</c:v>
                </c:pt>
                <c:pt idx="67">
                  <c:v>41019</c:v>
                </c:pt>
                <c:pt idx="68">
                  <c:v>41026</c:v>
                </c:pt>
                <c:pt idx="69">
                  <c:v>41033</c:v>
                </c:pt>
                <c:pt idx="70">
                  <c:v>41040</c:v>
                </c:pt>
                <c:pt idx="71">
                  <c:v>41047</c:v>
                </c:pt>
                <c:pt idx="72">
                  <c:v>41054</c:v>
                </c:pt>
                <c:pt idx="73">
                  <c:v>41061</c:v>
                </c:pt>
                <c:pt idx="74">
                  <c:v>41068</c:v>
                </c:pt>
                <c:pt idx="75">
                  <c:v>41075</c:v>
                </c:pt>
                <c:pt idx="76">
                  <c:v>41082</c:v>
                </c:pt>
                <c:pt idx="77">
                  <c:v>41089</c:v>
                </c:pt>
                <c:pt idx="78">
                  <c:v>41096</c:v>
                </c:pt>
                <c:pt idx="79">
                  <c:v>41103</c:v>
                </c:pt>
                <c:pt idx="80">
                  <c:v>41110</c:v>
                </c:pt>
                <c:pt idx="81">
                  <c:v>41117</c:v>
                </c:pt>
                <c:pt idx="82">
                  <c:v>41124</c:v>
                </c:pt>
                <c:pt idx="83">
                  <c:v>41131</c:v>
                </c:pt>
                <c:pt idx="84">
                  <c:v>41138</c:v>
                </c:pt>
                <c:pt idx="85">
                  <c:v>41145</c:v>
                </c:pt>
                <c:pt idx="86">
                  <c:v>41152</c:v>
                </c:pt>
                <c:pt idx="87">
                  <c:v>41159</c:v>
                </c:pt>
                <c:pt idx="88">
                  <c:v>41166</c:v>
                </c:pt>
                <c:pt idx="89">
                  <c:v>41173</c:v>
                </c:pt>
                <c:pt idx="90">
                  <c:v>41180</c:v>
                </c:pt>
                <c:pt idx="91">
                  <c:v>41187</c:v>
                </c:pt>
                <c:pt idx="92">
                  <c:v>41194</c:v>
                </c:pt>
                <c:pt idx="93">
                  <c:v>41201</c:v>
                </c:pt>
                <c:pt idx="94">
                  <c:v>41208</c:v>
                </c:pt>
                <c:pt idx="95">
                  <c:v>41215</c:v>
                </c:pt>
                <c:pt idx="96">
                  <c:v>41222</c:v>
                </c:pt>
                <c:pt idx="97">
                  <c:v>41229</c:v>
                </c:pt>
                <c:pt idx="98">
                  <c:v>41236</c:v>
                </c:pt>
                <c:pt idx="99">
                  <c:v>41243</c:v>
                </c:pt>
                <c:pt idx="100">
                  <c:v>41250</c:v>
                </c:pt>
                <c:pt idx="101">
                  <c:v>41257</c:v>
                </c:pt>
                <c:pt idx="102">
                  <c:v>41264</c:v>
                </c:pt>
                <c:pt idx="103">
                  <c:v>41271</c:v>
                </c:pt>
                <c:pt idx="104">
                  <c:v>41278</c:v>
                </c:pt>
                <c:pt idx="105">
                  <c:v>41285</c:v>
                </c:pt>
                <c:pt idx="106">
                  <c:v>41292</c:v>
                </c:pt>
                <c:pt idx="107">
                  <c:v>41299</c:v>
                </c:pt>
                <c:pt idx="108">
                  <c:v>41306</c:v>
                </c:pt>
                <c:pt idx="109">
                  <c:v>41313</c:v>
                </c:pt>
                <c:pt idx="110">
                  <c:v>41320</c:v>
                </c:pt>
                <c:pt idx="111">
                  <c:v>41327</c:v>
                </c:pt>
                <c:pt idx="112">
                  <c:v>41334</c:v>
                </c:pt>
                <c:pt idx="113">
                  <c:v>41341</c:v>
                </c:pt>
                <c:pt idx="114">
                  <c:v>41348</c:v>
                </c:pt>
                <c:pt idx="115">
                  <c:v>41355</c:v>
                </c:pt>
                <c:pt idx="116">
                  <c:v>41361</c:v>
                </c:pt>
                <c:pt idx="117">
                  <c:v>41369</c:v>
                </c:pt>
                <c:pt idx="118">
                  <c:v>41376</c:v>
                </c:pt>
                <c:pt idx="119">
                  <c:v>41383</c:v>
                </c:pt>
                <c:pt idx="120">
                  <c:v>41390</c:v>
                </c:pt>
                <c:pt idx="121">
                  <c:v>41397</c:v>
                </c:pt>
                <c:pt idx="122">
                  <c:v>41404</c:v>
                </c:pt>
                <c:pt idx="123">
                  <c:v>41409</c:v>
                </c:pt>
                <c:pt idx="124">
                  <c:v>41418</c:v>
                </c:pt>
                <c:pt idx="125">
                  <c:v>41425</c:v>
                </c:pt>
                <c:pt idx="126">
                  <c:v>41432</c:v>
                </c:pt>
                <c:pt idx="127">
                  <c:v>41439</c:v>
                </c:pt>
                <c:pt idx="128">
                  <c:v>41446</c:v>
                </c:pt>
                <c:pt idx="129">
                  <c:v>41453</c:v>
                </c:pt>
                <c:pt idx="130">
                  <c:v>41460</c:v>
                </c:pt>
                <c:pt idx="131">
                  <c:v>41467</c:v>
                </c:pt>
                <c:pt idx="132">
                  <c:v>41474</c:v>
                </c:pt>
                <c:pt idx="133">
                  <c:v>41481</c:v>
                </c:pt>
                <c:pt idx="134">
                  <c:v>41488</c:v>
                </c:pt>
                <c:pt idx="135">
                  <c:v>41495</c:v>
                </c:pt>
                <c:pt idx="136">
                  <c:v>41508</c:v>
                </c:pt>
                <c:pt idx="137">
                  <c:v>41509</c:v>
                </c:pt>
                <c:pt idx="138">
                  <c:v>41516</c:v>
                </c:pt>
                <c:pt idx="139">
                  <c:v>41523</c:v>
                </c:pt>
                <c:pt idx="140">
                  <c:v>41530</c:v>
                </c:pt>
                <c:pt idx="141">
                  <c:v>41537</c:v>
                </c:pt>
                <c:pt idx="142">
                  <c:v>41544</c:v>
                </c:pt>
                <c:pt idx="143">
                  <c:v>41551</c:v>
                </c:pt>
                <c:pt idx="144">
                  <c:v>41558</c:v>
                </c:pt>
                <c:pt idx="145">
                  <c:v>41565</c:v>
                </c:pt>
                <c:pt idx="146">
                  <c:v>41572</c:v>
                </c:pt>
                <c:pt idx="147">
                  <c:v>41579</c:v>
                </c:pt>
                <c:pt idx="148">
                  <c:v>41586</c:v>
                </c:pt>
                <c:pt idx="149">
                  <c:v>41593</c:v>
                </c:pt>
                <c:pt idx="150">
                  <c:v>41600</c:v>
                </c:pt>
                <c:pt idx="151">
                  <c:v>41605</c:v>
                </c:pt>
                <c:pt idx="152">
                  <c:v>41614</c:v>
                </c:pt>
                <c:pt idx="153">
                  <c:v>41621</c:v>
                </c:pt>
                <c:pt idx="154">
                  <c:v>41628</c:v>
                </c:pt>
                <c:pt idx="155">
                  <c:v>41635</c:v>
                </c:pt>
                <c:pt idx="156">
                  <c:v>41642</c:v>
                </c:pt>
                <c:pt idx="157">
                  <c:v>41649</c:v>
                </c:pt>
                <c:pt idx="158">
                  <c:v>41656</c:v>
                </c:pt>
                <c:pt idx="159">
                  <c:v>41663</c:v>
                </c:pt>
                <c:pt idx="160">
                  <c:v>41670</c:v>
                </c:pt>
                <c:pt idx="161">
                  <c:v>41677</c:v>
                </c:pt>
                <c:pt idx="162">
                  <c:v>41684</c:v>
                </c:pt>
                <c:pt idx="163">
                  <c:v>41691</c:v>
                </c:pt>
                <c:pt idx="164">
                  <c:v>41698</c:v>
                </c:pt>
                <c:pt idx="165">
                  <c:v>41705</c:v>
                </c:pt>
                <c:pt idx="166">
                  <c:v>41712</c:v>
                </c:pt>
                <c:pt idx="167">
                  <c:v>41719</c:v>
                </c:pt>
                <c:pt idx="168">
                  <c:v>41726</c:v>
                </c:pt>
                <c:pt idx="169">
                  <c:v>41733</c:v>
                </c:pt>
                <c:pt idx="170">
                  <c:v>41740</c:v>
                </c:pt>
                <c:pt idx="171">
                  <c:v>41746</c:v>
                </c:pt>
                <c:pt idx="172">
                  <c:v>41754</c:v>
                </c:pt>
                <c:pt idx="173">
                  <c:v>41761</c:v>
                </c:pt>
                <c:pt idx="174">
                  <c:v>41768</c:v>
                </c:pt>
                <c:pt idx="175">
                  <c:v>41775</c:v>
                </c:pt>
                <c:pt idx="176">
                  <c:v>41782</c:v>
                </c:pt>
                <c:pt idx="177">
                  <c:v>41789</c:v>
                </c:pt>
                <c:pt idx="178">
                  <c:v>41796</c:v>
                </c:pt>
                <c:pt idx="179">
                  <c:v>41803</c:v>
                </c:pt>
                <c:pt idx="180">
                  <c:v>41810</c:v>
                </c:pt>
                <c:pt idx="181">
                  <c:v>41817</c:v>
                </c:pt>
                <c:pt idx="182">
                  <c:v>41823</c:v>
                </c:pt>
                <c:pt idx="183">
                  <c:v>41831</c:v>
                </c:pt>
                <c:pt idx="184">
                  <c:v>41838</c:v>
                </c:pt>
                <c:pt idx="185">
                  <c:v>41845</c:v>
                </c:pt>
                <c:pt idx="186">
                  <c:v>41852</c:v>
                </c:pt>
                <c:pt idx="187">
                  <c:v>41859</c:v>
                </c:pt>
                <c:pt idx="188">
                  <c:v>41866</c:v>
                </c:pt>
                <c:pt idx="189">
                  <c:v>41873</c:v>
                </c:pt>
                <c:pt idx="190">
                  <c:v>41880</c:v>
                </c:pt>
                <c:pt idx="191">
                  <c:v>41887</c:v>
                </c:pt>
                <c:pt idx="192">
                  <c:v>41894</c:v>
                </c:pt>
                <c:pt idx="193">
                  <c:v>41901</c:v>
                </c:pt>
                <c:pt idx="194">
                  <c:v>41908</c:v>
                </c:pt>
                <c:pt idx="195">
                  <c:v>41915</c:v>
                </c:pt>
                <c:pt idx="196">
                  <c:v>41922</c:v>
                </c:pt>
                <c:pt idx="197">
                  <c:v>41929</c:v>
                </c:pt>
                <c:pt idx="198">
                  <c:v>41936</c:v>
                </c:pt>
                <c:pt idx="199">
                  <c:v>41943</c:v>
                </c:pt>
                <c:pt idx="200">
                  <c:v>41950</c:v>
                </c:pt>
                <c:pt idx="201">
                  <c:v>41957</c:v>
                </c:pt>
                <c:pt idx="202">
                  <c:v>41964</c:v>
                </c:pt>
                <c:pt idx="203">
                  <c:v>41971</c:v>
                </c:pt>
                <c:pt idx="204">
                  <c:v>41978</c:v>
                </c:pt>
                <c:pt idx="205">
                  <c:v>41985</c:v>
                </c:pt>
                <c:pt idx="206">
                  <c:v>41992</c:v>
                </c:pt>
                <c:pt idx="207">
                  <c:v>41999</c:v>
                </c:pt>
                <c:pt idx="208">
                  <c:v>42006</c:v>
                </c:pt>
                <c:pt idx="209">
                  <c:v>42013</c:v>
                </c:pt>
                <c:pt idx="210">
                  <c:v>42020</c:v>
                </c:pt>
                <c:pt idx="211">
                  <c:v>42027</c:v>
                </c:pt>
                <c:pt idx="212">
                  <c:v>42034</c:v>
                </c:pt>
                <c:pt idx="213">
                  <c:v>42041</c:v>
                </c:pt>
                <c:pt idx="214">
                  <c:v>42048</c:v>
                </c:pt>
                <c:pt idx="215">
                  <c:v>42055</c:v>
                </c:pt>
                <c:pt idx="216">
                  <c:v>42062</c:v>
                </c:pt>
                <c:pt idx="217">
                  <c:v>42069</c:v>
                </c:pt>
                <c:pt idx="218">
                  <c:v>42076</c:v>
                </c:pt>
                <c:pt idx="219">
                  <c:v>42083</c:v>
                </c:pt>
                <c:pt idx="220">
                  <c:v>42090</c:v>
                </c:pt>
                <c:pt idx="221">
                  <c:v>42097</c:v>
                </c:pt>
                <c:pt idx="222">
                  <c:v>42104</c:v>
                </c:pt>
                <c:pt idx="223">
                  <c:v>42111</c:v>
                </c:pt>
              </c:numCache>
            </c:numRef>
          </c:cat>
          <c:val>
            <c:numRef>
              <c:f>'[3]all FNCL'!$J$180:$J$403</c:f>
              <c:numCache>
                <c:formatCode>General</c:formatCode>
                <c:ptCount val="224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4033.78</c:v>
                </c:pt>
                <c:pt idx="37">
                  <c:v>4512.13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2941.3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4423</c:v>
                </c:pt>
                <c:pt idx="86">
                  <c:v>4273.1000000000004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4666.8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2417.8000000000002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1561.6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1366.6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1164.2</c:v>
                </c:pt>
                <c:pt idx="208">
                  <c:v>1347.6</c:v>
                </c:pt>
                <c:pt idx="209">
                  <c:v>2308.6999999999998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045120"/>
        <c:axId val="265046656"/>
      </c:lineChart>
      <c:lineChart>
        <c:grouping val="standard"/>
        <c:varyColors val="0"/>
        <c:ser>
          <c:idx val="1"/>
          <c:order val="1"/>
          <c:tx>
            <c:v>FNCL Refinancible Universe</c:v>
          </c:tx>
          <c:marker>
            <c:symbol val="none"/>
          </c:marker>
          <c:val>
            <c:numRef>
              <c:f>'[3]all FNCL'!$L$180:$L$403</c:f>
              <c:numCache>
                <c:formatCode>General</c:formatCode>
                <c:ptCount val="224"/>
                <c:pt idx="0">
                  <c:v>0.62402170072443097</c:v>
                </c:pt>
                <c:pt idx="1">
                  <c:v>0.62817294477626895</c:v>
                </c:pt>
                <c:pt idx="2">
                  <c:v>0.62597730951219799</c:v>
                </c:pt>
                <c:pt idx="3">
                  <c:v>0.62392159162868699</c:v>
                </c:pt>
                <c:pt idx="4">
                  <c:v>0.60653142223595202</c:v>
                </c:pt>
                <c:pt idx="5">
                  <c:v>0.50868797673712296</c:v>
                </c:pt>
                <c:pt idx="6">
                  <c:v>0.52965901814335503</c:v>
                </c:pt>
                <c:pt idx="7">
                  <c:v>0.57709503787578098</c:v>
                </c:pt>
                <c:pt idx="8">
                  <c:v>0.59224775585706502</c:v>
                </c:pt>
                <c:pt idx="9">
                  <c:v>0.590905707896624</c:v>
                </c:pt>
                <c:pt idx="10">
                  <c:v>0.60261779474869903</c:v>
                </c:pt>
                <c:pt idx="11">
                  <c:v>0.59950595681897501</c:v>
                </c:pt>
                <c:pt idx="12">
                  <c:v>0.59322570820163401</c:v>
                </c:pt>
                <c:pt idx="13">
                  <c:v>0.58542144661011897</c:v>
                </c:pt>
                <c:pt idx="14">
                  <c:v>0.58155199492979504</c:v>
                </c:pt>
                <c:pt idx="15">
                  <c:v>0.59356262313394503</c:v>
                </c:pt>
                <c:pt idx="16">
                  <c:v>0.59445921362542897</c:v>
                </c:pt>
                <c:pt idx="17">
                  <c:v>0.59391131067456004</c:v>
                </c:pt>
                <c:pt idx="18">
                  <c:v>0.60662155942019902</c:v>
                </c:pt>
                <c:pt idx="19">
                  <c:v>0.61264076908113696</c:v>
                </c:pt>
                <c:pt idx="20">
                  <c:v>0.615993636080996</c:v>
                </c:pt>
                <c:pt idx="21">
                  <c:v>0.66311590107349005</c:v>
                </c:pt>
                <c:pt idx="22">
                  <c:v>0.74517189360077896</c:v>
                </c:pt>
                <c:pt idx="23">
                  <c:v>0.72397022872334404</c:v>
                </c:pt>
                <c:pt idx="24">
                  <c:v>0.66311590107349005</c:v>
                </c:pt>
                <c:pt idx="25">
                  <c:v>0.69050447134038195</c:v>
                </c:pt>
                <c:pt idx="26">
                  <c:v>0.60410549631050603</c:v>
                </c:pt>
                <c:pt idx="27">
                  <c:v>0.684475421712614</c:v>
                </c:pt>
                <c:pt idx="28">
                  <c:v>0.66675683999516899</c:v>
                </c:pt>
                <c:pt idx="29">
                  <c:v>0.61660059317974703</c:v>
                </c:pt>
                <c:pt idx="30">
                  <c:v>0.81803711941746404</c:v>
                </c:pt>
                <c:pt idx="31">
                  <c:v>0.83404184296119299</c:v>
                </c:pt>
                <c:pt idx="32">
                  <c:v>0.86117434904403201</c:v>
                </c:pt>
                <c:pt idx="33">
                  <c:v>0.84714025108084801</c:v>
                </c:pt>
                <c:pt idx="34">
                  <c:v>0.84129278814437103</c:v>
                </c:pt>
                <c:pt idx="35">
                  <c:v>0.87859103936280603</c:v>
                </c:pt>
                <c:pt idx="36">
                  <c:v>0.90242289630358996</c:v>
                </c:pt>
                <c:pt idx="37">
                  <c:v>0.90242289630358996</c:v>
                </c:pt>
                <c:pt idx="38">
                  <c:v>0.94644262124543399</c:v>
                </c:pt>
                <c:pt idx="39">
                  <c:v>0.967252006042155</c:v>
                </c:pt>
                <c:pt idx="40">
                  <c:v>0.84917694017596201</c:v>
                </c:pt>
                <c:pt idx="41">
                  <c:v>0.85635864773186399</c:v>
                </c:pt>
                <c:pt idx="42">
                  <c:v>0.86512672485653097</c:v>
                </c:pt>
                <c:pt idx="43">
                  <c:v>0.93485323798856301</c:v>
                </c:pt>
                <c:pt idx="44">
                  <c:v>0.94404770550683104</c:v>
                </c:pt>
                <c:pt idx="45">
                  <c:v>0.93485323798856301</c:v>
                </c:pt>
                <c:pt idx="46">
                  <c:v>0.94997170807452402</c:v>
                </c:pt>
                <c:pt idx="47">
                  <c:v>0.91542628506626</c:v>
                </c:pt>
                <c:pt idx="48">
                  <c:v>0.92487460681698297</c:v>
                </c:pt>
                <c:pt idx="49">
                  <c:v>0.93969161247928701</c:v>
                </c:pt>
                <c:pt idx="50">
                  <c:v>0.96019586623642394</c:v>
                </c:pt>
                <c:pt idx="51">
                  <c:v>0.94762260030460199</c:v>
                </c:pt>
                <c:pt idx="52">
                  <c:v>0.94481773750585696</c:v>
                </c:pt>
                <c:pt idx="53">
                  <c:v>0.95320351892281396</c:v>
                </c:pt>
                <c:pt idx="54">
                  <c:v>0.95182771809710398</c:v>
                </c:pt>
                <c:pt idx="55">
                  <c:v>0.91861521434498905</c:v>
                </c:pt>
                <c:pt idx="56">
                  <c:v>0.94107838104995301</c:v>
                </c:pt>
                <c:pt idx="57">
                  <c:v>0.94107838104995301</c:v>
                </c:pt>
                <c:pt idx="58">
                  <c:v>0.94107838104995301</c:v>
                </c:pt>
                <c:pt idx="59">
                  <c:v>0.90921329115869698</c:v>
                </c:pt>
                <c:pt idx="60">
                  <c:v>0.91584710240533496</c:v>
                </c:pt>
                <c:pt idx="61">
                  <c:v>0.91902765125865904</c:v>
                </c:pt>
                <c:pt idx="62">
                  <c:v>0.90514599034862198</c:v>
                </c:pt>
                <c:pt idx="63">
                  <c:v>0.78959380464288298</c:v>
                </c:pt>
                <c:pt idx="64">
                  <c:v>0.87490910290764401</c:v>
                </c:pt>
                <c:pt idx="65">
                  <c:v>0.86928745494692705</c:v>
                </c:pt>
                <c:pt idx="66">
                  <c:v>0.90849340717481797</c:v>
                </c:pt>
                <c:pt idx="67">
                  <c:v>0.90349839031693802</c:v>
                </c:pt>
                <c:pt idx="68">
                  <c:v>0.90849340717481797</c:v>
                </c:pt>
                <c:pt idx="69">
                  <c:v>0.89225108632442696</c:v>
                </c:pt>
                <c:pt idx="70">
                  <c:v>0.89337268606647202</c:v>
                </c:pt>
                <c:pt idx="71">
                  <c:v>0.89489979671430897</c:v>
                </c:pt>
                <c:pt idx="72">
                  <c:v>0.89443957907281701</c:v>
                </c:pt>
                <c:pt idx="73">
                  <c:v>0.895121220846959</c:v>
                </c:pt>
                <c:pt idx="74">
                  <c:v>0.89201954495855595</c:v>
                </c:pt>
                <c:pt idx="75">
                  <c:v>0.886674497978159</c:v>
                </c:pt>
                <c:pt idx="76">
                  <c:v>0.89407594990163797</c:v>
                </c:pt>
                <c:pt idx="77">
                  <c:v>0.89407594990163797</c:v>
                </c:pt>
                <c:pt idx="78">
                  <c:v>0.88191141048608501</c:v>
                </c:pt>
                <c:pt idx="79">
                  <c:v>0.94551237246929398</c:v>
                </c:pt>
                <c:pt idx="80">
                  <c:v>0.97186924857157997</c:v>
                </c:pt>
                <c:pt idx="81">
                  <c:v>0.98451993370244095</c:v>
                </c:pt>
                <c:pt idx="82">
                  <c:v>0.93852225394978095</c:v>
                </c:pt>
                <c:pt idx="83">
                  <c:v>0.92408794393225502</c:v>
                </c:pt>
                <c:pt idx="84">
                  <c:v>0.88445471641937101</c:v>
                </c:pt>
                <c:pt idx="85">
                  <c:v>0.85694996797233802</c:v>
                </c:pt>
                <c:pt idx="86">
                  <c:v>0.92408794393225502</c:v>
                </c:pt>
                <c:pt idx="87">
                  <c:v>0.91761037893987496</c:v>
                </c:pt>
                <c:pt idx="88">
                  <c:v>0.940476462565773</c:v>
                </c:pt>
                <c:pt idx="89">
                  <c:v>0.95891425076544701</c:v>
                </c:pt>
                <c:pt idx="90">
                  <c:v>0.96459917415866603</c:v>
                </c:pt>
                <c:pt idx="91">
                  <c:v>0.95362908529618595</c:v>
                </c:pt>
                <c:pt idx="92">
                  <c:v>0.95159604304738399</c:v>
                </c:pt>
                <c:pt idx="93">
                  <c:v>0.95277295236812298</c:v>
                </c:pt>
                <c:pt idx="94">
                  <c:v>0.95079229345734495</c:v>
                </c:pt>
                <c:pt idx="95">
                  <c:v>0.92571311512973697</c:v>
                </c:pt>
                <c:pt idx="96">
                  <c:v>0.92529425270600996</c:v>
                </c:pt>
                <c:pt idx="97">
                  <c:v>0.92772026190850898</c:v>
                </c:pt>
                <c:pt idx="98">
                  <c:v>0.92993011952820803</c:v>
                </c:pt>
                <c:pt idx="99">
                  <c:v>0.92756020040727505</c:v>
                </c:pt>
                <c:pt idx="100">
                  <c:v>0.91054790878492298</c:v>
                </c:pt>
                <c:pt idx="101">
                  <c:v>0.91261368517922603</c:v>
                </c:pt>
                <c:pt idx="102">
                  <c:v>0.909651579188403</c:v>
                </c:pt>
                <c:pt idx="103">
                  <c:v>0.91018597538933199</c:v>
                </c:pt>
                <c:pt idx="104">
                  <c:v>0.88829814088555903</c:v>
                </c:pt>
                <c:pt idx="105">
                  <c:v>0.88507237465235999</c:v>
                </c:pt>
                <c:pt idx="106">
                  <c:v>0.88631407683414698</c:v>
                </c:pt>
                <c:pt idx="107">
                  <c:v>0.88379536104531298</c:v>
                </c:pt>
                <c:pt idx="108">
                  <c:v>0.84748759806752005</c:v>
                </c:pt>
                <c:pt idx="109">
                  <c:v>0.79744674672768501</c:v>
                </c:pt>
                <c:pt idx="110">
                  <c:v>0.79744674672768501</c:v>
                </c:pt>
                <c:pt idx="111">
                  <c:v>0.75767121274966998</c:v>
                </c:pt>
                <c:pt idx="112">
                  <c:v>0.81599621049204496</c:v>
                </c:pt>
                <c:pt idx="113">
                  <c:v>0.81254588826988305</c:v>
                </c:pt>
                <c:pt idx="114">
                  <c:v>0.70260073761186803</c:v>
                </c:pt>
                <c:pt idx="115">
                  <c:v>0.76832708554350604</c:v>
                </c:pt>
                <c:pt idx="116">
                  <c:v>0.73085022058809701</c:v>
                </c:pt>
                <c:pt idx="117">
                  <c:v>0.74812714109915801</c:v>
                </c:pt>
                <c:pt idx="118">
                  <c:v>0.81951890925716098</c:v>
                </c:pt>
                <c:pt idx="119">
                  <c:v>0.82637993200499604</c:v>
                </c:pt>
                <c:pt idx="120">
                  <c:v>0.82478602429419601</c:v>
                </c:pt>
                <c:pt idx="121">
                  <c:v>0.816862820958143</c:v>
                </c:pt>
                <c:pt idx="122">
                  <c:v>0.80807149473903706</c:v>
                </c:pt>
                <c:pt idx="123">
                  <c:v>0.77783403735744605</c:v>
                </c:pt>
                <c:pt idx="124">
                  <c:v>0.69528028144530996</c:v>
                </c:pt>
                <c:pt idx="125">
                  <c:v>0.63267241864898405</c:v>
                </c:pt>
                <c:pt idx="126">
                  <c:v>0.60569175356282701</c:v>
                </c:pt>
                <c:pt idx="127">
                  <c:v>0.57343184072471898</c:v>
                </c:pt>
                <c:pt idx="128">
                  <c:v>0.58795254732817603</c:v>
                </c:pt>
                <c:pt idx="129">
                  <c:v>0.39082116641682302</c:v>
                </c:pt>
                <c:pt idx="130">
                  <c:v>0.43308646421209301</c:v>
                </c:pt>
                <c:pt idx="131">
                  <c:v>0.31856955774356599</c:v>
                </c:pt>
                <c:pt idx="132">
                  <c:v>0.42624975952077698</c:v>
                </c:pt>
                <c:pt idx="133">
                  <c:v>0.42922629610906499</c:v>
                </c:pt>
                <c:pt idx="134">
                  <c:v>0.40917398895536999</c:v>
                </c:pt>
                <c:pt idx="135">
                  <c:v>0.40797811985401</c:v>
                </c:pt>
                <c:pt idx="136">
                  <c:v>0.28211495793674202</c:v>
                </c:pt>
                <c:pt idx="137">
                  <c:v>0.28211495793674202</c:v>
                </c:pt>
                <c:pt idx="138">
                  <c:v>0.32707732602530398</c:v>
                </c:pt>
                <c:pt idx="139">
                  <c:v>0.28186492560364501</c:v>
                </c:pt>
                <c:pt idx="140">
                  <c:v>0.27463010199382099</c:v>
                </c:pt>
                <c:pt idx="141">
                  <c:v>0.33277831045649597</c:v>
                </c:pt>
                <c:pt idx="142">
                  <c:v>0.40445747526612702</c:v>
                </c:pt>
                <c:pt idx="143">
                  <c:v>0.41528178559290602</c:v>
                </c:pt>
                <c:pt idx="144">
                  <c:v>0.41314719259777</c:v>
                </c:pt>
                <c:pt idx="145">
                  <c:v>0.402324815903361</c:v>
                </c:pt>
                <c:pt idx="146">
                  <c:v>0.431569129246685</c:v>
                </c:pt>
                <c:pt idx="147">
                  <c:v>0.46054051472194202</c:v>
                </c:pt>
                <c:pt idx="148">
                  <c:v>0.42159370418067099</c:v>
                </c:pt>
                <c:pt idx="149">
                  <c:v>0.38756459325455</c:v>
                </c:pt>
                <c:pt idx="150">
                  <c:v>0.41410653536495001</c:v>
                </c:pt>
                <c:pt idx="151">
                  <c:v>0.39699815933228</c:v>
                </c:pt>
                <c:pt idx="152">
                  <c:v>0.37338021104571001</c:v>
                </c:pt>
                <c:pt idx="153">
                  <c:v>0.37072062674784101</c:v>
                </c:pt>
                <c:pt idx="154">
                  <c:v>0.339745677776082</c:v>
                </c:pt>
                <c:pt idx="155">
                  <c:v>0.33029809597210902</c:v>
                </c:pt>
                <c:pt idx="156">
                  <c:v>0.26212623729092299</c:v>
                </c:pt>
                <c:pt idx="157">
                  <c:v>0.29022600492529399</c:v>
                </c:pt>
                <c:pt idx="158">
                  <c:v>0.36774882579493101</c:v>
                </c:pt>
                <c:pt idx="159">
                  <c:v>0.37084428304329597</c:v>
                </c:pt>
                <c:pt idx="160">
                  <c:v>0.38160196936392599</c:v>
                </c:pt>
                <c:pt idx="161">
                  <c:v>0.40068103493110202</c:v>
                </c:pt>
                <c:pt idx="162">
                  <c:v>0.38532630107915999</c:v>
                </c:pt>
                <c:pt idx="163">
                  <c:v>0.375571977518594</c:v>
                </c:pt>
                <c:pt idx="164">
                  <c:v>0.36967404481869198</c:v>
                </c:pt>
                <c:pt idx="165">
                  <c:v>0.383169637258365</c:v>
                </c:pt>
                <c:pt idx="166">
                  <c:v>0.36933430427665598</c:v>
                </c:pt>
                <c:pt idx="167">
                  <c:v>0.38030249532079302</c:v>
                </c:pt>
                <c:pt idx="168">
                  <c:v>0.36565400061255998</c:v>
                </c:pt>
                <c:pt idx="169">
                  <c:v>0.35521926568999201</c:v>
                </c:pt>
                <c:pt idx="170">
                  <c:v>0.36683376695248798</c:v>
                </c:pt>
                <c:pt idx="171">
                  <c:v>0.38166972699665502</c:v>
                </c:pt>
                <c:pt idx="172">
                  <c:v>0.37393962817107101</c:v>
                </c:pt>
                <c:pt idx="173">
                  <c:v>0.37360583835556399</c:v>
                </c:pt>
                <c:pt idx="174">
                  <c:v>0.409756747537739</c:v>
                </c:pt>
                <c:pt idx="175">
                  <c:v>0.41321534069517601</c:v>
                </c:pt>
                <c:pt idx="176">
                  <c:v>0.44799454346559803</c:v>
                </c:pt>
                <c:pt idx="177">
                  <c:v>0.463620204949516</c:v>
                </c:pt>
                <c:pt idx="178">
                  <c:v>0.46847875373528802</c:v>
                </c:pt>
                <c:pt idx="179">
                  <c:v>0.41096738430920399</c:v>
                </c:pt>
                <c:pt idx="180">
                  <c:v>0.426359386921487</c:v>
                </c:pt>
                <c:pt idx="181">
                  <c:v>0.46847875373528802</c:v>
                </c:pt>
                <c:pt idx="182">
                  <c:v>0.481783217502605</c:v>
                </c:pt>
                <c:pt idx="183">
                  <c:v>0.42147742037559999</c:v>
                </c:pt>
                <c:pt idx="184">
                  <c:v>0.451552968278365</c:v>
                </c:pt>
                <c:pt idx="185">
                  <c:v>0.451552968278365</c:v>
                </c:pt>
                <c:pt idx="186">
                  <c:v>0.45923072088835198</c:v>
                </c:pt>
                <c:pt idx="187">
                  <c:v>0.42413376349642801</c:v>
                </c:pt>
                <c:pt idx="188">
                  <c:v>0.45575254137027599</c:v>
                </c:pt>
                <c:pt idx="189">
                  <c:v>0.49084413664233301</c:v>
                </c:pt>
                <c:pt idx="190">
                  <c:v>0.49084413664233301</c:v>
                </c:pt>
                <c:pt idx="191">
                  <c:v>0.487326419100717</c:v>
                </c:pt>
                <c:pt idx="192">
                  <c:v>0.47415919522438099</c:v>
                </c:pt>
                <c:pt idx="193">
                  <c:v>0.39816728626756598</c:v>
                </c:pt>
                <c:pt idx="194">
                  <c:v>0.413732301706637</c:v>
                </c:pt>
                <c:pt idx="195">
                  <c:v>0.43232059685066698</c:v>
                </c:pt>
                <c:pt idx="196">
                  <c:v>0.47165449273347199</c:v>
                </c:pt>
                <c:pt idx="197">
                  <c:v>0.57517284737260699</c:v>
                </c:pt>
                <c:pt idx="198">
                  <c:v>0.58745733896979602</c:v>
                </c:pt>
                <c:pt idx="199">
                  <c:v>0.57181297396619601</c:v>
                </c:pt>
                <c:pt idx="200">
                  <c:v>0.548579829179903</c:v>
                </c:pt>
                <c:pt idx="201">
                  <c:v>0.55497671209744104</c:v>
                </c:pt>
                <c:pt idx="202">
                  <c:v>0.56606721089043699</c:v>
                </c:pt>
                <c:pt idx="203">
                  <c:v>0.57290983086857505</c:v>
                </c:pt>
                <c:pt idx="204">
                  <c:v>0.59279776197128298</c:v>
                </c:pt>
                <c:pt idx="205">
                  <c:v>0.57867105076839898</c:v>
                </c:pt>
                <c:pt idx="206">
                  <c:v>0.61554969638107904</c:v>
                </c:pt>
                <c:pt idx="207">
                  <c:v>0.605746362235419</c:v>
                </c:pt>
                <c:pt idx="208">
                  <c:v>0.59072795930158895</c:v>
                </c:pt>
                <c:pt idx="209">
                  <c:v>0.63580141506138299</c:v>
                </c:pt>
                <c:pt idx="210">
                  <c:v>0.66264885680248997</c:v>
                </c:pt>
                <c:pt idx="211">
                  <c:v>0.664741267487021</c:v>
                </c:pt>
                <c:pt idx="212">
                  <c:v>0.66264885680248997</c:v>
                </c:pt>
                <c:pt idx="213">
                  <c:v>0.68438167594716104</c:v>
                </c:pt>
                <c:pt idx="214">
                  <c:v>0.64890841265420796</c:v>
                </c:pt>
                <c:pt idx="215">
                  <c:v>0.62651628119673397</c:v>
                </c:pt>
                <c:pt idx="216">
                  <c:v>0.61098575112407705</c:v>
                </c:pt>
                <c:pt idx="217">
                  <c:v>0.61966926616186602</c:v>
                </c:pt>
                <c:pt idx="218">
                  <c:v>0.57559445438514301</c:v>
                </c:pt>
                <c:pt idx="219">
                  <c:v>0.609371962286406</c:v>
                </c:pt>
                <c:pt idx="220">
                  <c:v>0.64195316325793905</c:v>
                </c:pt>
                <c:pt idx="221">
                  <c:v>0.62812472062617597</c:v>
                </c:pt>
                <c:pt idx="222">
                  <c:v>0.64478767281568505</c:v>
                </c:pt>
                <c:pt idx="223">
                  <c:v>0.63088888629855699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062656"/>
        <c:axId val="265061120"/>
      </c:lineChart>
      <c:catAx>
        <c:axId val="26504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65046656"/>
        <c:crosses val="autoZero"/>
        <c:auto val="1"/>
        <c:lblAlgn val="ctr"/>
        <c:lblOffset val="100"/>
        <c:noMultiLvlLbl val="1"/>
      </c:catAx>
      <c:valAx>
        <c:axId val="265046656"/>
        <c:scaling>
          <c:orientation val="minMax"/>
          <c:max val="6500"/>
          <c:min val="5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Refi</a:t>
                </a:r>
                <a:r>
                  <a:rPr lang="en-US" baseline="0"/>
                  <a:t> Index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65045120"/>
        <c:crosses val="autoZero"/>
        <c:crossBetween val="between"/>
      </c:valAx>
      <c:valAx>
        <c:axId val="265061120"/>
        <c:scaling>
          <c:orientation val="minMax"/>
          <c:max val="1.1000000000000001"/>
          <c:min val="0.2"/>
        </c:scaling>
        <c:delete val="0"/>
        <c:axPos val="r"/>
        <c:numFmt formatCode="General" sourceLinked="1"/>
        <c:majorTickMark val="out"/>
        <c:minorTickMark val="none"/>
        <c:tickLblPos val="nextTo"/>
        <c:crossAx val="265062656"/>
        <c:crosses val="max"/>
        <c:crossBetween val="between"/>
      </c:valAx>
      <c:catAx>
        <c:axId val="265062656"/>
        <c:scaling>
          <c:orientation val="minMax"/>
        </c:scaling>
        <c:delete val="1"/>
        <c:axPos val="b"/>
        <c:majorTickMark val="out"/>
        <c:minorTickMark val="none"/>
        <c:tickLblPos val="nextTo"/>
        <c:crossAx val="265061120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Pool Level</c:v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PoolRefinancible!$F$3:$F$227</c:f>
              <c:numCache>
                <c:formatCode>0%</c:formatCode>
                <c:ptCount val="225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PoolRefinancible!$G$3:$G$227</c:f>
              <c:numCache>
                <c:formatCode>0%</c:formatCode>
                <c:ptCount val="225"/>
                <c:pt idx="0">
                  <c:v>0.39250464718271383</c:v>
                </c:pt>
                <c:pt idx="1">
                  <c:v>0.41493050243405694</c:v>
                </c:pt>
                <c:pt idx="2">
                  <c:v>0.39264268515317635</c:v>
                </c:pt>
                <c:pt idx="3">
                  <c:v>0.39248462972856413</c:v>
                </c:pt>
                <c:pt idx="4">
                  <c:v>0.35166351779672061</c:v>
                </c:pt>
                <c:pt idx="5">
                  <c:v>0.30118120941044296</c:v>
                </c:pt>
                <c:pt idx="6">
                  <c:v>0.31536412629340738</c:v>
                </c:pt>
                <c:pt idx="7">
                  <c:v>0.33537426304924495</c:v>
                </c:pt>
                <c:pt idx="8">
                  <c:v>0.34253463480268398</c:v>
                </c:pt>
                <c:pt idx="9">
                  <c:v>0.3424192138403398</c:v>
                </c:pt>
                <c:pt idx="10">
                  <c:v>0.39114797845648158</c:v>
                </c:pt>
                <c:pt idx="11">
                  <c:v>0.36952670052259512</c:v>
                </c:pt>
                <c:pt idx="12">
                  <c:v>0.34256260481459744</c:v>
                </c:pt>
                <c:pt idx="13">
                  <c:v>0.3347984498822521</c:v>
                </c:pt>
                <c:pt idx="14">
                  <c:v>0.33467518812275754</c:v>
                </c:pt>
                <c:pt idx="15">
                  <c:v>0.36193150295895826</c:v>
                </c:pt>
                <c:pt idx="16">
                  <c:v>0.36201877353801432</c:v>
                </c:pt>
                <c:pt idx="17">
                  <c:v>0.37743538404941046</c:v>
                </c:pt>
                <c:pt idx="18">
                  <c:v>0.43530454861865053</c:v>
                </c:pt>
                <c:pt idx="19">
                  <c:v>0.43548629341943101</c:v>
                </c:pt>
                <c:pt idx="20">
                  <c:v>0.43555598618784247</c:v>
                </c:pt>
                <c:pt idx="21">
                  <c:v>0.46833004093796882</c:v>
                </c:pt>
                <c:pt idx="22">
                  <c:v>0.49669725190003489</c:v>
                </c:pt>
                <c:pt idx="23">
                  <c:v>0.49664385093217528</c:v>
                </c:pt>
                <c:pt idx="24">
                  <c:v>0.46833004093796882</c:v>
                </c:pt>
                <c:pt idx="25">
                  <c:v>0.49558485830124249</c:v>
                </c:pt>
                <c:pt idx="26">
                  <c:v>0.4231622022976208</c:v>
                </c:pt>
                <c:pt idx="27">
                  <c:v>0.4891408433280437</c:v>
                </c:pt>
                <c:pt idx="28">
                  <c:v>0.46188508246971671</c:v>
                </c:pt>
                <c:pt idx="29">
                  <c:v>0.46038198187588519</c:v>
                </c:pt>
                <c:pt idx="30">
                  <c:v>0.54649100919559479</c:v>
                </c:pt>
                <c:pt idx="31">
                  <c:v>0.67200434208070026</c:v>
                </c:pt>
                <c:pt idx="32">
                  <c:v>0.7663996274481748</c:v>
                </c:pt>
                <c:pt idx="33">
                  <c:v>0.71511546513717161</c:v>
                </c:pt>
                <c:pt idx="34">
                  <c:v>0.70671480720576585</c:v>
                </c:pt>
                <c:pt idx="35">
                  <c:v>0.78365106016665087</c:v>
                </c:pt>
                <c:pt idx="36">
                  <c:v>0.7837514446358208</c:v>
                </c:pt>
                <c:pt idx="37">
                  <c:v>0.7837514446358208</c:v>
                </c:pt>
                <c:pt idx="38">
                  <c:v>0.83498862515913175</c:v>
                </c:pt>
                <c:pt idx="39">
                  <c:v>0.82464608861521083</c:v>
                </c:pt>
                <c:pt idx="40">
                  <c:v>0.74680883180338908</c:v>
                </c:pt>
                <c:pt idx="41">
                  <c:v>0.77166909679426787</c:v>
                </c:pt>
                <c:pt idx="42">
                  <c:v>0.77177730779426668</c:v>
                </c:pt>
                <c:pt idx="43">
                  <c:v>0.81210214976440742</c:v>
                </c:pt>
                <c:pt idx="44">
                  <c:v>0.81212237068018323</c:v>
                </c:pt>
                <c:pt idx="45">
                  <c:v>0.81210214976440742</c:v>
                </c:pt>
                <c:pt idx="46">
                  <c:v>0.81214333713123688</c:v>
                </c:pt>
                <c:pt idx="47">
                  <c:v>0.80131714106218799</c:v>
                </c:pt>
                <c:pt idx="48">
                  <c:v>0.80133697224368616</c:v>
                </c:pt>
                <c:pt idx="49">
                  <c:v>0.80138641481181627</c:v>
                </c:pt>
                <c:pt idx="50">
                  <c:v>0.83345797278415235</c:v>
                </c:pt>
                <c:pt idx="51">
                  <c:v>0.83326986939749803</c:v>
                </c:pt>
                <c:pt idx="52">
                  <c:v>0.81925494810495469</c:v>
                </c:pt>
                <c:pt idx="53">
                  <c:v>0.82032067926847052</c:v>
                </c:pt>
                <c:pt idx="54">
                  <c:v>0.81933976111781182</c:v>
                </c:pt>
                <c:pt idx="55">
                  <c:v>0.78644763675568363</c:v>
                </c:pt>
                <c:pt idx="56">
                  <c:v>0.79931718417277497</c:v>
                </c:pt>
                <c:pt idx="57">
                  <c:v>0.79931718417277497</c:v>
                </c:pt>
                <c:pt idx="58">
                  <c:v>0.79931718417277497</c:v>
                </c:pt>
                <c:pt idx="59">
                  <c:v>0.76607100832003672</c:v>
                </c:pt>
                <c:pt idx="60">
                  <c:v>0.78263387351827951</c:v>
                </c:pt>
                <c:pt idx="61">
                  <c:v>0.782706832693848</c:v>
                </c:pt>
                <c:pt idx="62">
                  <c:v>0.78249923273561073</c:v>
                </c:pt>
                <c:pt idx="63">
                  <c:v>0.695774514370883</c:v>
                </c:pt>
                <c:pt idx="64">
                  <c:v>0.74903823932138114</c:v>
                </c:pt>
                <c:pt idx="65">
                  <c:v>0.7329832638367505</c:v>
                </c:pt>
                <c:pt idx="66">
                  <c:v>0.78681677365055769</c:v>
                </c:pt>
                <c:pt idx="67">
                  <c:v>0.7666034363277634</c:v>
                </c:pt>
                <c:pt idx="68">
                  <c:v>0.78681677365055769</c:v>
                </c:pt>
                <c:pt idx="69">
                  <c:v>0.77448600402584433</c:v>
                </c:pt>
                <c:pt idx="70">
                  <c:v>0.77460419728488739</c:v>
                </c:pt>
                <c:pt idx="71">
                  <c:v>0.80814877886269387</c:v>
                </c:pt>
                <c:pt idx="72">
                  <c:v>0.80807788235194289</c:v>
                </c:pt>
                <c:pt idx="73">
                  <c:v>0.80822737928750754</c:v>
                </c:pt>
                <c:pt idx="74">
                  <c:v>0.83217237158769797</c:v>
                </c:pt>
                <c:pt idx="75">
                  <c:v>0.80737164426751362</c:v>
                </c:pt>
                <c:pt idx="76">
                  <c:v>0.83221454455554378</c:v>
                </c:pt>
                <c:pt idx="77">
                  <c:v>0.83221454455554378</c:v>
                </c:pt>
                <c:pt idx="78">
                  <c:v>0.8184354026404238</c:v>
                </c:pt>
                <c:pt idx="79">
                  <c:v>0.85105546980459501</c:v>
                </c:pt>
                <c:pt idx="80">
                  <c:v>0.85112560389089653</c:v>
                </c:pt>
                <c:pt idx="81">
                  <c:v>0.86623530993162101</c:v>
                </c:pt>
                <c:pt idx="82">
                  <c:v>0.83077759203159907</c:v>
                </c:pt>
                <c:pt idx="83">
                  <c:v>0.83071682400201974</c:v>
                </c:pt>
                <c:pt idx="84">
                  <c:v>0.80960790838516705</c:v>
                </c:pt>
                <c:pt idx="85">
                  <c:v>0.79639257160094001</c:v>
                </c:pt>
                <c:pt idx="86">
                  <c:v>0.83071682400201974</c:v>
                </c:pt>
                <c:pt idx="87">
                  <c:v>0.81165285451317482</c:v>
                </c:pt>
                <c:pt idx="88">
                  <c:v>0.81245274787408683</c:v>
                </c:pt>
                <c:pt idx="89">
                  <c:v>0.82872113777665324</c:v>
                </c:pt>
                <c:pt idx="90">
                  <c:v>0.87984589665782953</c:v>
                </c:pt>
                <c:pt idx="91">
                  <c:v>0.85766490262917261</c:v>
                </c:pt>
                <c:pt idx="92">
                  <c:v>0.83900327791396834</c:v>
                </c:pt>
                <c:pt idx="93">
                  <c:v>0.85729125490537361</c:v>
                </c:pt>
                <c:pt idx="94">
                  <c:v>0.83658971912185232</c:v>
                </c:pt>
                <c:pt idx="95">
                  <c:v>0.80940641392759149</c:v>
                </c:pt>
                <c:pt idx="96">
                  <c:v>0.80844518185204484</c:v>
                </c:pt>
                <c:pt idx="97">
                  <c:v>0.8290284928264865</c:v>
                </c:pt>
                <c:pt idx="98">
                  <c:v>0.85731372591467903</c:v>
                </c:pt>
                <c:pt idx="99">
                  <c:v>0.82902156132584415</c:v>
                </c:pt>
                <c:pt idx="100">
                  <c:v>0.81232353401430979</c:v>
                </c:pt>
                <c:pt idx="101">
                  <c:v>0.84119158160478291</c:v>
                </c:pt>
                <c:pt idx="102">
                  <c:v>0.81217683647199035</c:v>
                </c:pt>
                <c:pt idx="103">
                  <c:v>0.81230697941230379</c:v>
                </c:pt>
                <c:pt idx="104">
                  <c:v>0.78796669783307383</c:v>
                </c:pt>
                <c:pt idx="105">
                  <c:v>0.76674305612199489</c:v>
                </c:pt>
                <c:pt idx="106">
                  <c:v>0.78719387288686149</c:v>
                </c:pt>
                <c:pt idx="107">
                  <c:v>0.76516212286562191</c:v>
                </c:pt>
                <c:pt idx="108">
                  <c:v>0.71242242253610366</c:v>
                </c:pt>
                <c:pt idx="109">
                  <c:v>0.68795380166393372</c:v>
                </c:pt>
                <c:pt idx="110">
                  <c:v>0.68795380166393372</c:v>
                </c:pt>
                <c:pt idx="111">
                  <c:v>0.66527052489956673</c:v>
                </c:pt>
                <c:pt idx="112">
                  <c:v>0.68801658762886242</c:v>
                </c:pt>
                <c:pt idx="113">
                  <c:v>0.66023914901594483</c:v>
                </c:pt>
                <c:pt idx="114">
                  <c:v>0.62405117397860987</c:v>
                </c:pt>
                <c:pt idx="115">
                  <c:v>0.65942285533422573</c:v>
                </c:pt>
                <c:pt idx="116">
                  <c:v>0.63701169097985455</c:v>
                </c:pt>
                <c:pt idx="117">
                  <c:v>0.63343769966874808</c:v>
                </c:pt>
                <c:pt idx="118">
                  <c:v>0.65224285256199233</c:v>
                </c:pt>
                <c:pt idx="119">
                  <c:v>0.68649237366387494</c:v>
                </c:pt>
                <c:pt idx="120">
                  <c:v>0.6864085485611654</c:v>
                </c:pt>
                <c:pt idx="121">
                  <c:v>0.69100166934434826</c:v>
                </c:pt>
                <c:pt idx="122">
                  <c:v>0.66649978336337867</c:v>
                </c:pt>
                <c:pt idx="123">
                  <c:v>0.62919502956765949</c:v>
                </c:pt>
                <c:pt idx="124">
                  <c:v>0.58921758890022713</c:v>
                </c:pt>
                <c:pt idx="125">
                  <c:v>0.50936534163609115</c:v>
                </c:pt>
                <c:pt idx="126">
                  <c:v>0.47041374406845632</c:v>
                </c:pt>
                <c:pt idx="127">
                  <c:v>0.44520827635909999</c:v>
                </c:pt>
                <c:pt idx="128">
                  <c:v>0.4452594848021294</c:v>
                </c:pt>
                <c:pt idx="129">
                  <c:v>0.23463898934716346</c:v>
                </c:pt>
                <c:pt idx="130">
                  <c:v>0.32060598857260031</c:v>
                </c:pt>
                <c:pt idx="131">
                  <c:v>0.20898917614909965</c:v>
                </c:pt>
                <c:pt idx="132">
                  <c:v>0.27836070890439996</c:v>
                </c:pt>
                <c:pt idx="133">
                  <c:v>0.27857814762696204</c:v>
                </c:pt>
                <c:pt idx="134">
                  <c:v>0.2429898977759116</c:v>
                </c:pt>
                <c:pt idx="135">
                  <c:v>0.24283976794437015</c:v>
                </c:pt>
                <c:pt idx="136">
                  <c:v>0.24283976794437015</c:v>
                </c:pt>
                <c:pt idx="137">
                  <c:v>0.18037831575230645</c:v>
                </c:pt>
                <c:pt idx="138">
                  <c:v>0.21191256226433611</c:v>
                </c:pt>
                <c:pt idx="139">
                  <c:v>0.1897069664050729</c:v>
                </c:pt>
                <c:pt idx="140">
                  <c:v>0.17275208794808761</c:v>
                </c:pt>
                <c:pt idx="141">
                  <c:v>0.20395578514239021</c:v>
                </c:pt>
                <c:pt idx="142">
                  <c:v>0.29542728169686178</c:v>
                </c:pt>
                <c:pt idx="143">
                  <c:v>0.3112630235510917</c:v>
                </c:pt>
                <c:pt idx="144">
                  <c:v>0.31122960499877506</c:v>
                </c:pt>
                <c:pt idx="145">
                  <c:v>0.28860950368886767</c:v>
                </c:pt>
                <c:pt idx="146">
                  <c:v>0.34162421928019632</c:v>
                </c:pt>
                <c:pt idx="147">
                  <c:v>0.35876134051568048</c:v>
                </c:pt>
                <c:pt idx="148">
                  <c:v>0.33674671087730557</c:v>
                </c:pt>
                <c:pt idx="149">
                  <c:v>0.24269693250447563</c:v>
                </c:pt>
                <c:pt idx="150">
                  <c:v>0.3055299351989304</c:v>
                </c:pt>
                <c:pt idx="151">
                  <c:v>0.28269813653547565</c:v>
                </c:pt>
                <c:pt idx="152">
                  <c:v>0.21457168979065847</c:v>
                </c:pt>
                <c:pt idx="153">
                  <c:v>0.21453214735661943</c:v>
                </c:pt>
                <c:pt idx="154">
                  <c:v>0.18637808162354447</c:v>
                </c:pt>
                <c:pt idx="155">
                  <c:v>0.18634998394757121</c:v>
                </c:pt>
                <c:pt idx="156">
                  <c:v>0.16785607555882864</c:v>
                </c:pt>
                <c:pt idx="157">
                  <c:v>0.18043555474043901</c:v>
                </c:pt>
                <c:pt idx="158">
                  <c:v>0.20877580875994006</c:v>
                </c:pt>
                <c:pt idx="159">
                  <c:v>0.20925174983631745</c:v>
                </c:pt>
                <c:pt idx="160">
                  <c:v>0.26908499548561948</c:v>
                </c:pt>
                <c:pt idx="161">
                  <c:v>0.28664398800430652</c:v>
                </c:pt>
                <c:pt idx="162">
                  <c:v>0.26406176269101833</c:v>
                </c:pt>
                <c:pt idx="163">
                  <c:v>0.22520487559188238</c:v>
                </c:pt>
                <c:pt idx="164">
                  <c:v>0.22499222573411515</c:v>
                </c:pt>
                <c:pt idx="165">
                  <c:v>0.25999785989651375</c:v>
                </c:pt>
                <c:pt idx="166">
                  <c:v>0.22113373603983741</c:v>
                </c:pt>
                <c:pt idx="167">
                  <c:v>0.25993711403288727</c:v>
                </c:pt>
                <c:pt idx="168">
                  <c:v>0.22102075851993844</c:v>
                </c:pt>
                <c:pt idx="169">
                  <c:v>0.19554396569408161</c:v>
                </c:pt>
                <c:pt idx="170">
                  <c:v>0.21645273042175073</c:v>
                </c:pt>
                <c:pt idx="171">
                  <c:v>0.25509482603250799</c:v>
                </c:pt>
                <c:pt idx="172">
                  <c:v>0.25494407537878599</c:v>
                </c:pt>
                <c:pt idx="173">
                  <c:v>0.24989208685370806</c:v>
                </c:pt>
                <c:pt idx="174">
                  <c:v>0.30572082850185778</c:v>
                </c:pt>
                <c:pt idx="175">
                  <c:v>0.30574922904136204</c:v>
                </c:pt>
                <c:pt idx="176">
                  <c:v>0.3263360956031372</c:v>
                </c:pt>
                <c:pt idx="177">
                  <c:v>0.32643936863839501</c:v>
                </c:pt>
                <c:pt idx="178">
                  <c:v>0.32185129183708511</c:v>
                </c:pt>
                <c:pt idx="179">
                  <c:v>0.3006175039125803</c:v>
                </c:pt>
                <c:pt idx="180">
                  <c:v>0.30084926565806314</c:v>
                </c:pt>
                <c:pt idx="181">
                  <c:v>0.32185129183708511</c:v>
                </c:pt>
                <c:pt idx="182">
                  <c:v>0.35132432667845787</c:v>
                </c:pt>
                <c:pt idx="183">
                  <c:v>0.2948978928650251</c:v>
                </c:pt>
                <c:pt idx="184">
                  <c:v>0.3159632904010618</c:v>
                </c:pt>
                <c:pt idx="185">
                  <c:v>0.3159632904010618</c:v>
                </c:pt>
                <c:pt idx="186">
                  <c:v>0.31600900021944722</c:v>
                </c:pt>
                <c:pt idx="187">
                  <c:v>0.28733011041556866</c:v>
                </c:pt>
                <c:pt idx="188">
                  <c:v>0.30830019444277207</c:v>
                </c:pt>
                <c:pt idx="189">
                  <c:v>0.34437174010246324</c:v>
                </c:pt>
                <c:pt idx="190">
                  <c:v>0.34437174010246324</c:v>
                </c:pt>
                <c:pt idx="191">
                  <c:v>0.33726082939012031</c:v>
                </c:pt>
                <c:pt idx="192">
                  <c:v>0.33678501276371153</c:v>
                </c:pt>
                <c:pt idx="193">
                  <c:v>0.27981611822773694</c:v>
                </c:pt>
                <c:pt idx="194">
                  <c:v>0.28004211900809872</c:v>
                </c:pt>
                <c:pt idx="195">
                  <c:v>0.29380964358931005</c:v>
                </c:pt>
                <c:pt idx="196">
                  <c:v>0.32975158761790646</c:v>
                </c:pt>
                <c:pt idx="197">
                  <c:v>0.40035994569645555</c:v>
                </c:pt>
                <c:pt idx="198">
                  <c:v>0.42711521034968225</c:v>
                </c:pt>
                <c:pt idx="199">
                  <c:v>0.400301956309697</c:v>
                </c:pt>
                <c:pt idx="200">
                  <c:v>0.34917536792990039</c:v>
                </c:pt>
                <c:pt idx="201">
                  <c:v>0.34929307036197271</c:v>
                </c:pt>
                <c:pt idx="202">
                  <c:v>0.39399253026177061</c:v>
                </c:pt>
                <c:pt idx="203">
                  <c:v>0.39417650647062941</c:v>
                </c:pt>
                <c:pt idx="204">
                  <c:v>0.41597067153264483</c:v>
                </c:pt>
                <c:pt idx="205">
                  <c:v>0.41537289181588677</c:v>
                </c:pt>
                <c:pt idx="206">
                  <c:v>0.46161085086277337</c:v>
                </c:pt>
                <c:pt idx="207">
                  <c:v>0.46117511096236979</c:v>
                </c:pt>
                <c:pt idx="208">
                  <c:v>0.41592950207254004</c:v>
                </c:pt>
                <c:pt idx="209">
                  <c:v>0.48381650914486973</c:v>
                </c:pt>
                <c:pt idx="210">
                  <c:v>0.55730670722396602</c:v>
                </c:pt>
                <c:pt idx="211">
                  <c:v>0.55738219771125852</c:v>
                </c:pt>
                <c:pt idx="212">
                  <c:v>0.55730670722396602</c:v>
                </c:pt>
                <c:pt idx="213">
                  <c:v>0.55188644277087107</c:v>
                </c:pt>
                <c:pt idx="214">
                  <c:v>0.52542346882534408</c:v>
                </c:pt>
                <c:pt idx="215">
                  <c:v>0.47549418723780823</c:v>
                </c:pt>
                <c:pt idx="216">
                  <c:v>0.44609473340861772</c:v>
                </c:pt>
                <c:pt idx="217">
                  <c:v>0.46598988131295854</c:v>
                </c:pt>
                <c:pt idx="218">
                  <c:v>0.3915254717887095</c:v>
                </c:pt>
                <c:pt idx="219">
                  <c:v>0.46543670330005138</c:v>
                </c:pt>
                <c:pt idx="220">
                  <c:v>0.51569075130954989</c:v>
                </c:pt>
                <c:pt idx="221">
                  <c:v>0.50146616730291116</c:v>
                </c:pt>
                <c:pt idx="222">
                  <c:v>0.52791282596991962</c:v>
                </c:pt>
                <c:pt idx="223">
                  <c:v>0.50155254519477754</c:v>
                </c:pt>
                <c:pt idx="224">
                  <c:v>0.52829595632810067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820544"/>
        <c:axId val="427822464"/>
      </c:lineChart>
      <c:dateAx>
        <c:axId val="427820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822464"/>
        <c:crosses val="autoZero"/>
        <c:auto val="1"/>
        <c:lblOffset val="100"/>
        <c:baseTimeUnit val="days"/>
      </c:dateAx>
      <c:valAx>
        <c:axId val="4278224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278205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5"/>
          <c:order val="1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752512"/>
        <c:axId val="304996352"/>
      </c:lineChart>
      <c:lineChart>
        <c:grouping val="standard"/>
        <c:varyColors val="0"/>
        <c:ser>
          <c:idx val="2"/>
          <c:order val="0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965376"/>
        <c:axId val="374995584"/>
      </c:lineChart>
      <c:dateAx>
        <c:axId val="304752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4996352"/>
        <c:crosses val="autoZero"/>
        <c:auto val="1"/>
        <c:lblOffset val="100"/>
        <c:baseTimeUnit val="days"/>
      </c:dateAx>
      <c:valAx>
        <c:axId val="3049963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04752512"/>
        <c:crosses val="autoZero"/>
        <c:crossBetween val="between"/>
      </c:valAx>
      <c:valAx>
        <c:axId val="374995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74965376"/>
        <c:crosses val="max"/>
        <c:crossBetween val="between"/>
      </c:valAx>
      <c:dateAx>
        <c:axId val="374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74995584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refinancible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855296"/>
        <c:axId val="304294912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025984"/>
        <c:axId val="304685056"/>
      </c:lineChart>
      <c:dateAx>
        <c:axId val="262855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4294912"/>
        <c:crosses val="autoZero"/>
        <c:auto val="1"/>
        <c:lblOffset val="100"/>
        <c:baseTimeUnit val="days"/>
      </c:dateAx>
      <c:valAx>
        <c:axId val="3042949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62855296"/>
        <c:crosses val="autoZero"/>
        <c:crossBetween val="between"/>
      </c:valAx>
      <c:valAx>
        <c:axId val="3046850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06025984"/>
        <c:crosses val="max"/>
        <c:crossBetween val="between"/>
      </c:valAx>
      <c:dateAx>
        <c:axId val="3060259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04685056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Sources:Fannie</a:t>
          </a:r>
          <a:r>
            <a:rPr lang="en-US" sz="900" baseline="0"/>
            <a:t> Mae; IQ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5</xdr:col>
      <xdr:colOff>1038225</xdr:colOff>
      <xdr:row>59</xdr:row>
      <xdr:rowOff>47625</xdr:rowOff>
    </xdr:to>
    <xdr:sp macro="" textlink="">
      <xdr:nvSpPr>
        <xdr:cNvPr id="7" name="TextBox 6"/>
        <xdr:cNvSpPr txBox="1"/>
      </xdr:nvSpPr>
      <xdr:spPr>
        <a:xfrm>
          <a:off x="3067050" y="9429749"/>
          <a:ext cx="23336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New data</a:t>
          </a:r>
          <a:r>
            <a:rPr lang="en-US" sz="900" baseline="0"/>
            <a:t> will be updated on the 4th business day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567358</xdr:colOff>
      <xdr:row>25</xdr:row>
      <xdr:rowOff>173312</xdr:rowOff>
    </xdr:from>
    <xdr:to>
      <xdr:col>28</xdr:col>
      <xdr:colOff>130865</xdr:colOff>
      <xdr:row>43</xdr:row>
      <xdr:rowOff>35200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604630</xdr:colOff>
      <xdr:row>45</xdr:row>
      <xdr:rowOff>140804</xdr:rowOff>
    </xdr:from>
    <xdr:to>
      <xdr:col>28</xdr:col>
      <xdr:colOff>231913</xdr:colOff>
      <xdr:row>60</xdr:row>
      <xdr:rowOff>26504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596349</xdr:colOff>
      <xdr:row>5</xdr:row>
      <xdr:rowOff>74544</xdr:rowOff>
    </xdr:from>
    <xdr:to>
      <xdr:col>26</xdr:col>
      <xdr:colOff>530088</xdr:colOff>
      <xdr:row>23</xdr:row>
      <xdr:rowOff>188844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612912</xdr:colOff>
      <xdr:row>63</xdr:row>
      <xdr:rowOff>0</xdr:rowOff>
    </xdr:from>
    <xdr:to>
      <xdr:col>28</xdr:col>
      <xdr:colOff>273326</xdr:colOff>
      <xdr:row>77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79</xdr:row>
      <xdr:rowOff>0</xdr:rowOff>
    </xdr:from>
    <xdr:to>
      <xdr:col>28</xdr:col>
      <xdr:colOff>157370</xdr:colOff>
      <xdr:row>93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8283</xdr:colOff>
      <xdr:row>93</xdr:row>
      <xdr:rowOff>173935</xdr:rowOff>
    </xdr:from>
    <xdr:to>
      <xdr:col>28</xdr:col>
      <xdr:colOff>184703</xdr:colOff>
      <xdr:row>111</xdr:row>
      <xdr:rowOff>35823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0.93673</cdr:x>
      <cdr:y>0.28763</cdr:y>
    </cdr:from>
    <cdr:to>
      <cdr:x>0.98148</cdr:x>
      <cdr:y>0.70968</cdr:y>
    </cdr:to>
    <cdr:sp macro="" textlink="">
      <cdr:nvSpPr>
        <cdr:cNvPr id="2" name="TextBox 1"/>
        <cdr:cNvSpPr txBox="1"/>
      </cdr:nvSpPr>
      <cdr:spPr>
        <a:xfrm xmlns:a="http://schemas.openxmlformats.org/drawingml/2006/main" rot="5400000">
          <a:off x="5172074" y="1628775"/>
          <a:ext cx="1495425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Refinancible</a:t>
          </a:r>
          <a:r>
            <a:rPr lang="en-US" sz="1100" b="1" baseline="0"/>
            <a:t> Universe</a:t>
          </a:r>
          <a:endParaRPr lang="en-US" sz="1100" b="1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Lien\14.Portfolio%20Data%20Query\1.MBA%20Refi%20vs%20FNMA%20Refinancible%20Universe\MBA%20refi%20index%20vs%20FNMA%20refinancible%20universe%20April%2027%202015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all FNCL"/>
      <sheetName val="projection"/>
      <sheetName val="Bloomberg"/>
    </sheetNames>
    <sheetDataSet>
      <sheetData sheetId="0"/>
      <sheetData sheetId="1">
        <row r="180">
          <cell r="I180">
            <v>40550</v>
          </cell>
          <cell r="J180">
            <v>2344.3000000000002</v>
          </cell>
          <cell r="L180">
            <v>0.62402170072443097</v>
          </cell>
        </row>
        <row r="181">
          <cell r="I181">
            <v>40557</v>
          </cell>
          <cell r="J181">
            <v>2528.6999999999998</v>
          </cell>
          <cell r="L181">
            <v>0.62817294477626895</v>
          </cell>
        </row>
        <row r="182">
          <cell r="I182">
            <v>40564</v>
          </cell>
          <cell r="J182">
            <v>2129.6999999999998</v>
          </cell>
          <cell r="L182">
            <v>0.62597730951219799</v>
          </cell>
        </row>
        <row r="183">
          <cell r="I183">
            <v>40571</v>
          </cell>
          <cell r="J183">
            <v>2371.1</v>
          </cell>
          <cell r="L183">
            <v>0.62392159162868699</v>
          </cell>
        </row>
        <row r="184">
          <cell r="I184">
            <v>40578</v>
          </cell>
          <cell r="J184">
            <v>2190.4</v>
          </cell>
          <cell r="L184">
            <v>0.60653142223595202</v>
          </cell>
        </row>
        <row r="185">
          <cell r="I185">
            <v>40585</v>
          </cell>
          <cell r="J185">
            <v>1953.2</v>
          </cell>
          <cell r="L185">
            <v>0.50868797673712296</v>
          </cell>
        </row>
        <row r="186">
          <cell r="I186">
            <v>40592</v>
          </cell>
          <cell r="J186">
            <v>2325.3000000000002</v>
          </cell>
          <cell r="L186">
            <v>0.52965901814335503</v>
          </cell>
        </row>
        <row r="187">
          <cell r="I187">
            <v>40599</v>
          </cell>
          <cell r="J187">
            <v>2155.5</v>
          </cell>
          <cell r="L187">
            <v>0.57709503787578098</v>
          </cell>
        </row>
        <row r="188">
          <cell r="I188">
            <v>40606</v>
          </cell>
          <cell r="J188">
            <v>2539.4</v>
          </cell>
          <cell r="L188">
            <v>0.59224775585706502</v>
          </cell>
        </row>
        <row r="189">
          <cell r="I189">
            <v>40613</v>
          </cell>
          <cell r="J189">
            <v>2563.6</v>
          </cell>
          <cell r="L189">
            <v>0.590905707896624</v>
          </cell>
        </row>
        <row r="190">
          <cell r="I190">
            <v>40620</v>
          </cell>
          <cell r="J190">
            <v>2620.8000000000002</v>
          </cell>
          <cell r="L190">
            <v>0.60261779474869903</v>
          </cell>
        </row>
        <row r="191">
          <cell r="I191">
            <v>40627</v>
          </cell>
          <cell r="J191">
            <v>2350.6999999999998</v>
          </cell>
          <cell r="L191">
            <v>0.59950595681897501</v>
          </cell>
        </row>
        <row r="192">
          <cell r="I192">
            <v>40634</v>
          </cell>
          <cell r="J192">
            <v>2194.4</v>
          </cell>
          <cell r="L192">
            <v>0.59322570820163401</v>
          </cell>
        </row>
        <row r="193">
          <cell r="I193">
            <v>40641</v>
          </cell>
          <cell r="J193">
            <v>2010.6</v>
          </cell>
          <cell r="L193">
            <v>0.58542144661011897</v>
          </cell>
        </row>
        <row r="194">
          <cell r="I194">
            <v>40648</v>
          </cell>
          <cell r="J194">
            <v>2065.3000000000002</v>
          </cell>
          <cell r="L194">
            <v>0.58155199492979504</v>
          </cell>
        </row>
        <row r="195">
          <cell r="I195">
            <v>40654</v>
          </cell>
          <cell r="J195">
            <v>2091.4</v>
          </cell>
          <cell r="L195">
            <v>0.59356262313394503</v>
          </cell>
        </row>
        <row r="196">
          <cell r="I196">
            <v>40662</v>
          </cell>
          <cell r="J196">
            <v>2220.1</v>
          </cell>
          <cell r="L196">
            <v>0.59445921362542897</v>
          </cell>
        </row>
        <row r="197">
          <cell r="I197">
            <v>40669</v>
          </cell>
          <cell r="J197">
            <v>2414.9</v>
          </cell>
          <cell r="L197">
            <v>0.59391131067456004</v>
          </cell>
        </row>
        <row r="198">
          <cell r="I198">
            <v>40676</v>
          </cell>
          <cell r="J198">
            <v>2742.2</v>
          </cell>
          <cell r="L198">
            <v>0.60662155942019902</v>
          </cell>
        </row>
        <row r="199">
          <cell r="I199">
            <v>40683</v>
          </cell>
          <cell r="J199">
            <v>2764.6</v>
          </cell>
          <cell r="L199">
            <v>0.61264076908113696</v>
          </cell>
        </row>
        <row r="200">
          <cell r="I200">
            <v>40690</v>
          </cell>
          <cell r="J200">
            <v>2619.6999999999998</v>
          </cell>
          <cell r="L200">
            <v>0.615993636080996</v>
          </cell>
        </row>
        <row r="201">
          <cell r="I201">
            <v>40697</v>
          </cell>
          <cell r="J201">
            <v>2648</v>
          </cell>
          <cell r="L201">
            <v>0.66311590107349005</v>
          </cell>
        </row>
        <row r="202">
          <cell r="I202">
            <v>40704</v>
          </cell>
          <cell r="J202">
            <v>3101.7</v>
          </cell>
          <cell r="L202">
            <v>0.74517189360077896</v>
          </cell>
        </row>
        <row r="203">
          <cell r="I203">
            <v>40711</v>
          </cell>
          <cell r="J203">
            <v>2857.9</v>
          </cell>
          <cell r="L203">
            <v>0.72397022872334404</v>
          </cell>
        </row>
        <row r="204">
          <cell r="I204">
            <v>40718</v>
          </cell>
          <cell r="J204">
            <v>2809.5</v>
          </cell>
          <cell r="L204">
            <v>0.66311590107349005</v>
          </cell>
        </row>
        <row r="205">
          <cell r="I205">
            <v>40725</v>
          </cell>
          <cell r="J205">
            <v>2527.5</v>
          </cell>
          <cell r="L205">
            <v>0.69050447134038195</v>
          </cell>
        </row>
        <row r="206">
          <cell r="I206">
            <v>40732</v>
          </cell>
          <cell r="J206">
            <v>2362.6999999999998</v>
          </cell>
          <cell r="L206">
            <v>0.60410549631050603</v>
          </cell>
        </row>
        <row r="207">
          <cell r="I207">
            <v>40739</v>
          </cell>
          <cell r="J207">
            <v>2923.8</v>
          </cell>
          <cell r="L207">
            <v>0.684475421712614</v>
          </cell>
        </row>
        <row r="208">
          <cell r="I208">
            <v>40746</v>
          </cell>
          <cell r="J208">
            <v>2769.6</v>
          </cell>
          <cell r="L208">
            <v>0.66675683999516899</v>
          </cell>
        </row>
        <row r="209">
          <cell r="I209">
            <v>40753</v>
          </cell>
          <cell r="J209">
            <v>2974.1</v>
          </cell>
          <cell r="L209">
            <v>0.61660059317974703</v>
          </cell>
        </row>
        <row r="210">
          <cell r="I210">
            <v>40760</v>
          </cell>
          <cell r="J210">
            <v>3880.9</v>
          </cell>
          <cell r="L210">
            <v>0.81803711941746404</v>
          </cell>
        </row>
        <row r="211">
          <cell r="I211">
            <v>40767</v>
          </cell>
          <cell r="J211">
            <v>4184.3999999999996</v>
          </cell>
          <cell r="L211">
            <v>0.83404184296119299</v>
          </cell>
        </row>
        <row r="212">
          <cell r="I212">
            <v>40774</v>
          </cell>
          <cell r="J212">
            <v>4110.8</v>
          </cell>
          <cell r="L212">
            <v>0.86117434904403201</v>
          </cell>
        </row>
        <row r="213">
          <cell r="I213">
            <v>40781</v>
          </cell>
          <cell r="J213">
            <v>3601.3</v>
          </cell>
          <cell r="L213">
            <v>0.84714025108084801</v>
          </cell>
        </row>
        <row r="214">
          <cell r="I214">
            <v>40788</v>
          </cell>
          <cell r="J214">
            <v>3372</v>
          </cell>
          <cell r="L214">
            <v>0.84129278814437103</v>
          </cell>
        </row>
        <row r="215">
          <cell r="I215">
            <v>40795</v>
          </cell>
          <cell r="J215">
            <v>3571.7</v>
          </cell>
          <cell r="L215">
            <v>0.87859103936280603</v>
          </cell>
        </row>
        <row r="216">
          <cell r="I216">
            <v>40802</v>
          </cell>
          <cell r="J216">
            <v>4033.78</v>
          </cell>
          <cell r="L216">
            <v>0.90242289630358996</v>
          </cell>
        </row>
        <row r="217">
          <cell r="I217">
            <v>40809</v>
          </cell>
          <cell r="J217">
            <v>4512.13</v>
          </cell>
          <cell r="L217">
            <v>0.90242289630358996</v>
          </cell>
        </row>
        <row r="218">
          <cell r="I218">
            <v>40816</v>
          </cell>
          <cell r="J218">
            <v>4241.8</v>
          </cell>
          <cell r="L218">
            <v>0.94644262124543399</v>
          </cell>
        </row>
        <row r="219">
          <cell r="I219">
            <v>40823</v>
          </cell>
          <cell r="J219">
            <v>4251.1000000000004</v>
          </cell>
          <cell r="L219">
            <v>0.967252006042155</v>
          </cell>
        </row>
        <row r="220">
          <cell r="I220">
            <v>40830</v>
          </cell>
          <cell r="J220">
            <v>3553.2</v>
          </cell>
          <cell r="L220">
            <v>0.84917694017596201</v>
          </cell>
        </row>
        <row r="221">
          <cell r="I221">
            <v>40837</v>
          </cell>
          <cell r="J221">
            <v>3719.3</v>
          </cell>
          <cell r="L221">
            <v>0.85635864773186399</v>
          </cell>
        </row>
        <row r="222">
          <cell r="I222">
            <v>40844</v>
          </cell>
          <cell r="J222">
            <v>3695</v>
          </cell>
          <cell r="L222">
            <v>0.86512672485653097</v>
          </cell>
        </row>
        <row r="223">
          <cell r="I223">
            <v>40851</v>
          </cell>
          <cell r="J223">
            <v>4137.6000000000004</v>
          </cell>
          <cell r="L223">
            <v>0.93485323798856301</v>
          </cell>
        </row>
        <row r="224">
          <cell r="I224">
            <v>40858</v>
          </cell>
          <cell r="J224">
            <v>3664.5</v>
          </cell>
          <cell r="L224">
            <v>0.94404770550683104</v>
          </cell>
        </row>
        <row r="225">
          <cell r="I225">
            <v>40865</v>
          </cell>
          <cell r="J225">
            <v>3466.8</v>
          </cell>
          <cell r="L225">
            <v>0.93485323798856301</v>
          </cell>
        </row>
        <row r="226">
          <cell r="I226">
            <v>40872</v>
          </cell>
          <cell r="J226">
            <v>2941.3</v>
          </cell>
          <cell r="L226">
            <v>0.94997170807452402</v>
          </cell>
        </row>
        <row r="227">
          <cell r="I227">
            <v>40879</v>
          </cell>
          <cell r="J227">
            <v>3394.7</v>
          </cell>
          <cell r="L227">
            <v>0.91542628506626</v>
          </cell>
        </row>
        <row r="228">
          <cell r="I228">
            <v>40886</v>
          </cell>
          <cell r="J228">
            <v>3708.6</v>
          </cell>
          <cell r="L228">
            <v>0.92487460681698297</v>
          </cell>
        </row>
        <row r="229">
          <cell r="I229">
            <v>40893</v>
          </cell>
          <cell r="J229">
            <v>3676.1</v>
          </cell>
          <cell r="L229">
            <v>0.93969161247928701</v>
          </cell>
        </row>
        <row r="230">
          <cell r="I230">
            <v>40900</v>
          </cell>
          <cell r="J230">
            <v>3684.5</v>
          </cell>
          <cell r="L230">
            <v>0.96019586623642394</v>
          </cell>
        </row>
        <row r="231">
          <cell r="I231">
            <v>40907</v>
          </cell>
          <cell r="J231">
            <v>3608.1</v>
          </cell>
          <cell r="L231">
            <v>0.94762260030460199</v>
          </cell>
        </row>
        <row r="232">
          <cell r="I232">
            <v>40914</v>
          </cell>
          <cell r="J232">
            <v>3668.3</v>
          </cell>
          <cell r="L232">
            <v>0.94481773750585696</v>
          </cell>
        </row>
        <row r="233">
          <cell r="I233">
            <v>40921</v>
          </cell>
          <cell r="J233">
            <v>4626.5</v>
          </cell>
          <cell r="L233">
            <v>0.95320351892281396</v>
          </cell>
        </row>
        <row r="234">
          <cell r="I234">
            <v>40928</v>
          </cell>
          <cell r="J234">
            <v>4326.3999999999996</v>
          </cell>
          <cell r="L234">
            <v>0.95182771809710398</v>
          </cell>
        </row>
        <row r="235">
          <cell r="I235">
            <v>40935</v>
          </cell>
          <cell r="J235">
            <v>4184.3</v>
          </cell>
          <cell r="L235">
            <v>0.91861521434498905</v>
          </cell>
        </row>
        <row r="236">
          <cell r="I236">
            <v>40942</v>
          </cell>
          <cell r="J236">
            <v>4617.1000000000004</v>
          </cell>
          <cell r="L236">
            <v>0.94107838104995301</v>
          </cell>
        </row>
        <row r="237">
          <cell r="I237">
            <v>40949</v>
          </cell>
          <cell r="J237">
            <v>4716.1000000000004</v>
          </cell>
          <cell r="L237">
            <v>0.94107838104995301</v>
          </cell>
        </row>
        <row r="238">
          <cell r="I238">
            <v>40956</v>
          </cell>
          <cell r="J238">
            <v>4466.8999999999996</v>
          </cell>
          <cell r="L238">
            <v>0.94107838104995301</v>
          </cell>
        </row>
        <row r="239">
          <cell r="I239">
            <v>40963</v>
          </cell>
          <cell r="J239">
            <v>4379.1000000000004</v>
          </cell>
          <cell r="L239">
            <v>0.90921329115869698</v>
          </cell>
        </row>
        <row r="240">
          <cell r="I240">
            <v>40970</v>
          </cell>
          <cell r="J240">
            <v>4277.6000000000004</v>
          </cell>
          <cell r="L240">
            <v>0.91584710240533496</v>
          </cell>
        </row>
        <row r="241">
          <cell r="I241">
            <v>40977</v>
          </cell>
          <cell r="J241">
            <v>4063.4</v>
          </cell>
          <cell r="L241">
            <v>0.91902765125865904</v>
          </cell>
        </row>
        <row r="242">
          <cell r="I242">
            <v>40984</v>
          </cell>
          <cell r="J242">
            <v>3715.2</v>
          </cell>
          <cell r="L242">
            <v>0.90514599034862198</v>
          </cell>
        </row>
        <row r="243">
          <cell r="I243">
            <v>40991</v>
          </cell>
          <cell r="J243">
            <v>3588.4</v>
          </cell>
          <cell r="L243">
            <v>0.78959380464288298</v>
          </cell>
        </row>
        <row r="244">
          <cell r="I244">
            <v>40998</v>
          </cell>
          <cell r="J244">
            <v>3699.5</v>
          </cell>
          <cell r="L244">
            <v>0.87490910290764401</v>
          </cell>
        </row>
        <row r="245">
          <cell r="I245">
            <v>41005</v>
          </cell>
          <cell r="J245">
            <v>3549.3</v>
          </cell>
          <cell r="L245">
            <v>0.86928745494692705</v>
          </cell>
        </row>
        <row r="246">
          <cell r="I246">
            <v>41012</v>
          </cell>
          <cell r="J246">
            <v>4144.3</v>
          </cell>
          <cell r="L246">
            <v>0.90849340717481797</v>
          </cell>
        </row>
        <row r="247">
          <cell r="I247">
            <v>41019</v>
          </cell>
          <cell r="J247">
            <v>3892.2</v>
          </cell>
          <cell r="L247">
            <v>0.90349839031693802</v>
          </cell>
        </row>
        <row r="248">
          <cell r="I248">
            <v>41026</v>
          </cell>
          <cell r="J248">
            <v>3856</v>
          </cell>
          <cell r="L248">
            <v>0.90849340717481797</v>
          </cell>
        </row>
        <row r="249">
          <cell r="I249">
            <v>41033</v>
          </cell>
          <cell r="J249">
            <v>3924.4</v>
          </cell>
          <cell r="L249">
            <v>0.89225108632442696</v>
          </cell>
        </row>
        <row r="250">
          <cell r="I250">
            <v>41040</v>
          </cell>
          <cell r="J250">
            <v>4482</v>
          </cell>
          <cell r="L250">
            <v>0.89337268606647202</v>
          </cell>
        </row>
        <row r="251">
          <cell r="I251">
            <v>41047</v>
          </cell>
          <cell r="J251">
            <v>4732</v>
          </cell>
          <cell r="L251">
            <v>0.89489979671430897</v>
          </cell>
        </row>
        <row r="252">
          <cell r="I252">
            <v>41054</v>
          </cell>
          <cell r="J252">
            <v>4675.8999999999996</v>
          </cell>
          <cell r="L252">
            <v>0.89443957907281701</v>
          </cell>
        </row>
        <row r="253">
          <cell r="I253">
            <v>41061</v>
          </cell>
          <cell r="J253">
            <v>4736</v>
          </cell>
          <cell r="L253">
            <v>0.895121220846959</v>
          </cell>
        </row>
        <row r="254">
          <cell r="I254">
            <v>41068</v>
          </cell>
          <cell r="J254">
            <v>5590</v>
          </cell>
          <cell r="L254">
            <v>0.89201954495855595</v>
          </cell>
        </row>
        <row r="255">
          <cell r="I255">
            <v>41075</v>
          </cell>
          <cell r="J255">
            <v>4719.6000000000004</v>
          </cell>
          <cell r="L255">
            <v>0.886674497978159</v>
          </cell>
        </row>
        <row r="256">
          <cell r="I256">
            <v>41082</v>
          </cell>
          <cell r="J256">
            <v>4585.8</v>
          </cell>
          <cell r="L256">
            <v>0.89407594990163797</v>
          </cell>
        </row>
        <row r="257">
          <cell r="I257">
            <v>41089</v>
          </cell>
          <cell r="J257">
            <v>4372.2</v>
          </cell>
          <cell r="L257">
            <v>0.89407594990163797</v>
          </cell>
        </row>
        <row r="258">
          <cell r="I258">
            <v>41096</v>
          </cell>
          <cell r="J258">
            <v>4267.8999999999996</v>
          </cell>
          <cell r="L258">
            <v>0.88191141048608501</v>
          </cell>
        </row>
        <row r="259">
          <cell r="I259">
            <v>41103</v>
          </cell>
          <cell r="J259">
            <v>5246.8</v>
          </cell>
          <cell r="L259">
            <v>0.94551237246929398</v>
          </cell>
        </row>
        <row r="260">
          <cell r="I260">
            <v>41110</v>
          </cell>
          <cell r="J260">
            <v>5383.1</v>
          </cell>
          <cell r="L260">
            <v>0.97186924857157997</v>
          </cell>
        </row>
        <row r="261">
          <cell r="I261">
            <v>41117</v>
          </cell>
          <cell r="J261">
            <v>5492.1</v>
          </cell>
          <cell r="L261">
            <v>0.98451993370244095</v>
          </cell>
        </row>
        <row r="262">
          <cell r="I262">
            <v>41124</v>
          </cell>
          <cell r="J262">
            <v>5444.3</v>
          </cell>
          <cell r="L262">
            <v>0.93852225394978095</v>
          </cell>
        </row>
        <row r="263">
          <cell r="I263">
            <v>41131</v>
          </cell>
          <cell r="J263">
            <v>5172.2</v>
          </cell>
          <cell r="L263">
            <v>0.92408794393225502</v>
          </cell>
        </row>
        <row r="264">
          <cell r="I264">
            <v>41138</v>
          </cell>
          <cell r="J264">
            <v>4671.1000000000004</v>
          </cell>
          <cell r="L264">
            <v>0.88445471641937101</v>
          </cell>
        </row>
        <row r="265">
          <cell r="I265">
            <v>41145</v>
          </cell>
          <cell r="J265">
            <v>4423</v>
          </cell>
          <cell r="L265">
            <v>0.85694996797233802</v>
          </cell>
        </row>
        <row r="266">
          <cell r="I266">
            <v>41152</v>
          </cell>
          <cell r="J266">
            <v>4273.1000000000004</v>
          </cell>
          <cell r="L266">
            <v>0.92408794393225502</v>
          </cell>
        </row>
        <row r="267">
          <cell r="I267">
            <v>41159</v>
          </cell>
          <cell r="J267">
            <v>4779.1000000000004</v>
          </cell>
          <cell r="L267">
            <v>0.91761037893987496</v>
          </cell>
        </row>
        <row r="268">
          <cell r="I268">
            <v>41166</v>
          </cell>
          <cell r="J268">
            <v>4823.3</v>
          </cell>
          <cell r="L268">
            <v>0.940476462565773</v>
          </cell>
        </row>
        <row r="269">
          <cell r="I269">
            <v>41173</v>
          </cell>
          <cell r="J269">
            <v>4979</v>
          </cell>
          <cell r="L269">
            <v>0.95891425076544701</v>
          </cell>
        </row>
        <row r="270">
          <cell r="I270">
            <v>41180</v>
          </cell>
          <cell r="J270">
            <v>5965.5</v>
          </cell>
          <cell r="L270">
            <v>0.96459917415866603</v>
          </cell>
        </row>
        <row r="271">
          <cell r="I271">
            <v>41187</v>
          </cell>
          <cell r="J271">
            <v>5892.5</v>
          </cell>
          <cell r="L271">
            <v>0.95362908529618595</v>
          </cell>
        </row>
        <row r="272">
          <cell r="I272">
            <v>41194</v>
          </cell>
          <cell r="J272">
            <v>5572.2</v>
          </cell>
          <cell r="L272">
            <v>0.95159604304738399</v>
          </cell>
        </row>
        <row r="273">
          <cell r="I273">
            <v>41201</v>
          </cell>
          <cell r="J273">
            <v>4847.2</v>
          </cell>
          <cell r="L273">
            <v>0.95277295236812298</v>
          </cell>
        </row>
        <row r="274">
          <cell r="I274">
            <v>41208</v>
          </cell>
          <cell r="J274">
            <v>4550.7</v>
          </cell>
          <cell r="L274">
            <v>0.95079229345734495</v>
          </cell>
        </row>
        <row r="275">
          <cell r="I275">
            <v>41215</v>
          </cell>
          <cell r="J275">
            <v>4297.7</v>
          </cell>
          <cell r="L275">
            <v>0.92571311512973697</v>
          </cell>
        </row>
        <row r="276">
          <cell r="I276">
            <v>41222</v>
          </cell>
          <cell r="J276">
            <v>4856.1000000000004</v>
          </cell>
          <cell r="L276">
            <v>0.92529425270600996</v>
          </cell>
        </row>
        <row r="277">
          <cell r="I277">
            <v>41229</v>
          </cell>
          <cell r="J277">
            <v>4702.3999999999996</v>
          </cell>
          <cell r="L277">
            <v>0.92772026190850898</v>
          </cell>
        </row>
        <row r="278">
          <cell r="I278">
            <v>41236</v>
          </cell>
          <cell r="J278">
            <v>4666.8</v>
          </cell>
          <cell r="L278">
            <v>0.92993011952820803</v>
          </cell>
        </row>
        <row r="279">
          <cell r="I279">
            <v>41243</v>
          </cell>
          <cell r="J279">
            <v>4943</v>
          </cell>
          <cell r="L279">
            <v>0.92756020040727505</v>
          </cell>
        </row>
        <row r="280">
          <cell r="I280">
            <v>41250</v>
          </cell>
          <cell r="J280">
            <v>5368.1</v>
          </cell>
          <cell r="L280">
            <v>0.91054790878492298</v>
          </cell>
        </row>
        <row r="281">
          <cell r="I281">
            <v>41257</v>
          </cell>
          <cell r="J281">
            <v>4564.3999999999996</v>
          </cell>
          <cell r="L281">
            <v>0.91261368517922603</v>
          </cell>
        </row>
        <row r="282">
          <cell r="I282">
            <v>41264</v>
          </cell>
          <cell r="J282">
            <v>3983.2</v>
          </cell>
          <cell r="L282">
            <v>0.909651579188403</v>
          </cell>
        </row>
        <row r="283">
          <cell r="I283">
            <v>41271</v>
          </cell>
          <cell r="J283">
            <v>3488.9</v>
          </cell>
          <cell r="L283">
            <v>0.91018597538933199</v>
          </cell>
        </row>
        <row r="284">
          <cell r="I284">
            <v>41278</v>
          </cell>
          <cell r="J284">
            <v>3896.4</v>
          </cell>
          <cell r="L284">
            <v>0.88829814088555903</v>
          </cell>
        </row>
        <row r="285">
          <cell r="I285">
            <v>41285</v>
          </cell>
          <cell r="J285">
            <v>4554.3999999999996</v>
          </cell>
          <cell r="L285">
            <v>0.88507237465235999</v>
          </cell>
        </row>
        <row r="286">
          <cell r="I286">
            <v>41292</v>
          </cell>
          <cell r="J286">
            <v>4937.3999999999996</v>
          </cell>
          <cell r="L286">
            <v>0.88631407683414698</v>
          </cell>
        </row>
        <row r="287">
          <cell r="I287">
            <v>41299</v>
          </cell>
          <cell r="J287">
            <v>4433.6000000000004</v>
          </cell>
          <cell r="L287">
            <v>0.88379536104531298</v>
          </cell>
        </row>
        <row r="288">
          <cell r="I288">
            <v>41306</v>
          </cell>
          <cell r="J288">
            <v>4579</v>
          </cell>
          <cell r="L288">
            <v>0.84748759806752005</v>
          </cell>
        </row>
        <row r="289">
          <cell r="I289">
            <v>41313</v>
          </cell>
          <cell r="J289">
            <v>4284.3</v>
          </cell>
          <cell r="L289">
            <v>0.79744674672768501</v>
          </cell>
        </row>
        <row r="290">
          <cell r="I290">
            <v>41320</v>
          </cell>
          <cell r="J290">
            <v>4261.8</v>
          </cell>
          <cell r="L290">
            <v>0.79744674672768501</v>
          </cell>
        </row>
        <row r="291">
          <cell r="I291">
            <v>41327</v>
          </cell>
          <cell r="J291">
            <v>4136.3</v>
          </cell>
          <cell r="L291">
            <v>0.75767121274966998</v>
          </cell>
        </row>
        <row r="292">
          <cell r="I292">
            <v>41334</v>
          </cell>
          <cell r="J292">
            <v>4724.8999999999996</v>
          </cell>
          <cell r="L292">
            <v>0.81599621049204496</v>
          </cell>
        </row>
        <row r="293">
          <cell r="I293">
            <v>41341</v>
          </cell>
          <cell r="J293">
            <v>4485.2</v>
          </cell>
          <cell r="L293">
            <v>0.81254588826988305</v>
          </cell>
        </row>
        <row r="294">
          <cell r="I294">
            <v>41348</v>
          </cell>
          <cell r="J294">
            <v>4111.3</v>
          </cell>
          <cell r="L294">
            <v>0.70260073761186803</v>
          </cell>
        </row>
        <row r="295">
          <cell r="I295">
            <v>41355</v>
          </cell>
          <cell r="J295">
            <v>4412.8999999999996</v>
          </cell>
          <cell r="L295">
            <v>0.76832708554350604</v>
          </cell>
        </row>
        <row r="296">
          <cell r="I296">
            <v>41361</v>
          </cell>
          <cell r="J296">
            <v>4119.2</v>
          </cell>
          <cell r="L296">
            <v>0.73085022058809701</v>
          </cell>
        </row>
        <row r="297">
          <cell r="I297">
            <v>41369</v>
          </cell>
          <cell r="J297">
            <v>4528.8999999999996</v>
          </cell>
          <cell r="L297">
            <v>0.74812714109915801</v>
          </cell>
        </row>
        <row r="298">
          <cell r="I298">
            <v>41376</v>
          </cell>
          <cell r="J298">
            <v>4726.8999999999996</v>
          </cell>
          <cell r="L298">
            <v>0.81951890925716098</v>
          </cell>
        </row>
        <row r="299">
          <cell r="I299">
            <v>41383</v>
          </cell>
          <cell r="J299">
            <v>4672.1000000000004</v>
          </cell>
          <cell r="L299">
            <v>0.82637993200499604</v>
          </cell>
        </row>
        <row r="300">
          <cell r="I300">
            <v>41390</v>
          </cell>
          <cell r="J300">
            <v>4854.1000000000004</v>
          </cell>
          <cell r="L300">
            <v>0.82478602429419601</v>
          </cell>
        </row>
        <row r="301">
          <cell r="I301">
            <v>41397</v>
          </cell>
          <cell r="J301">
            <v>5279.9</v>
          </cell>
          <cell r="L301">
            <v>0.816862820958143</v>
          </cell>
        </row>
        <row r="302">
          <cell r="I302">
            <v>41404</v>
          </cell>
          <cell r="J302">
            <v>4797.2</v>
          </cell>
          <cell r="L302">
            <v>0.80807149473903706</v>
          </cell>
        </row>
        <row r="303">
          <cell r="I303">
            <v>41409</v>
          </cell>
          <cell r="J303">
            <v>4241.5</v>
          </cell>
          <cell r="L303">
            <v>0.77783403735744605</v>
          </cell>
        </row>
        <row r="304">
          <cell r="I304">
            <v>41418</v>
          </cell>
          <cell r="J304">
            <v>3709.4</v>
          </cell>
          <cell r="L304">
            <v>0.69528028144530996</v>
          </cell>
        </row>
        <row r="305">
          <cell r="I305">
            <v>41425</v>
          </cell>
          <cell r="J305">
            <v>3163.6</v>
          </cell>
          <cell r="L305">
            <v>0.63267241864898405</v>
          </cell>
        </row>
        <row r="306">
          <cell r="I306">
            <v>41432</v>
          </cell>
          <cell r="J306">
            <v>3339.8</v>
          </cell>
          <cell r="L306">
            <v>0.60569175356282701</v>
          </cell>
        </row>
        <row r="307">
          <cell r="I307">
            <v>41439</v>
          </cell>
          <cell r="J307">
            <v>3214.4</v>
          </cell>
          <cell r="L307">
            <v>0.57343184072471898</v>
          </cell>
        </row>
        <row r="308">
          <cell r="I308">
            <v>41446</v>
          </cell>
          <cell r="J308">
            <v>3040.1</v>
          </cell>
          <cell r="L308">
            <v>0.58795254732817603</v>
          </cell>
        </row>
        <row r="309">
          <cell r="I309">
            <v>41453</v>
          </cell>
          <cell r="J309">
            <v>2573.4</v>
          </cell>
          <cell r="L309">
            <v>0.39082116641682302</v>
          </cell>
        </row>
        <row r="310">
          <cell r="I310">
            <v>41460</v>
          </cell>
          <cell r="J310">
            <v>2417.8000000000002</v>
          </cell>
          <cell r="L310">
            <v>0.43308646421209301</v>
          </cell>
        </row>
        <row r="311">
          <cell r="I311">
            <v>41467</v>
          </cell>
          <cell r="J311">
            <v>2242.1999999999998</v>
          </cell>
          <cell r="L311">
            <v>0.31856955774356599</v>
          </cell>
        </row>
        <row r="312">
          <cell r="I312">
            <v>41474</v>
          </cell>
          <cell r="J312">
            <v>2288</v>
          </cell>
          <cell r="L312">
            <v>0.42624975952077698</v>
          </cell>
        </row>
        <row r="313">
          <cell r="I313">
            <v>41481</v>
          </cell>
          <cell r="J313">
            <v>2218.3000000000002</v>
          </cell>
          <cell r="L313">
            <v>0.42922629610906499</v>
          </cell>
        </row>
        <row r="314">
          <cell r="I314">
            <v>41488</v>
          </cell>
          <cell r="J314">
            <v>2228.9</v>
          </cell>
          <cell r="L314">
            <v>0.40917398895536999</v>
          </cell>
        </row>
        <row r="315">
          <cell r="I315">
            <v>41495</v>
          </cell>
          <cell r="J315">
            <v>2110.6</v>
          </cell>
          <cell r="L315">
            <v>0.40797811985401</v>
          </cell>
        </row>
        <row r="316">
          <cell r="I316">
            <v>41508</v>
          </cell>
          <cell r="J316">
            <v>1935.1</v>
          </cell>
          <cell r="L316">
            <v>0.28211495793674202</v>
          </cell>
        </row>
        <row r="317">
          <cell r="I317">
            <v>41509</v>
          </cell>
          <cell r="J317">
            <v>1842.6</v>
          </cell>
          <cell r="L317">
            <v>0.28211495793674202</v>
          </cell>
        </row>
        <row r="318">
          <cell r="I318">
            <v>41516</v>
          </cell>
          <cell r="J318">
            <v>1909</v>
          </cell>
          <cell r="L318">
            <v>0.32707732602530398</v>
          </cell>
        </row>
        <row r="319">
          <cell r="I319">
            <v>41523</v>
          </cell>
          <cell r="J319">
            <v>1512.9</v>
          </cell>
          <cell r="L319">
            <v>0.28186492560364501</v>
          </cell>
        </row>
        <row r="320">
          <cell r="I320">
            <v>41530</v>
          </cell>
          <cell r="J320">
            <v>1814</v>
          </cell>
          <cell r="L320">
            <v>0.27463010199382099</v>
          </cell>
        </row>
        <row r="321">
          <cell r="I321">
            <v>41537</v>
          </cell>
          <cell r="J321">
            <v>1922.9</v>
          </cell>
          <cell r="L321">
            <v>0.33277831045649597</v>
          </cell>
        </row>
        <row r="322">
          <cell r="I322">
            <v>41544</v>
          </cell>
          <cell r="J322">
            <v>1956.6</v>
          </cell>
          <cell r="L322">
            <v>0.40445747526612702</v>
          </cell>
        </row>
        <row r="323">
          <cell r="I323">
            <v>41551</v>
          </cell>
          <cell r="J323">
            <v>2025.3</v>
          </cell>
          <cell r="L323">
            <v>0.41528178559290602</v>
          </cell>
        </row>
        <row r="324">
          <cell r="I324">
            <v>41558</v>
          </cell>
          <cell r="J324">
            <v>2102.6999999999998</v>
          </cell>
          <cell r="L324">
            <v>0.41314719259777</v>
          </cell>
        </row>
        <row r="325">
          <cell r="I325">
            <v>41565</v>
          </cell>
          <cell r="J325">
            <v>2033.7</v>
          </cell>
          <cell r="L325">
            <v>0.402324815903361</v>
          </cell>
        </row>
        <row r="326">
          <cell r="I326">
            <v>41572</v>
          </cell>
          <cell r="J326">
            <v>2211.8000000000002</v>
          </cell>
          <cell r="L326">
            <v>0.431569129246685</v>
          </cell>
        </row>
        <row r="327">
          <cell r="I327">
            <v>41579</v>
          </cell>
          <cell r="J327">
            <v>2105.6</v>
          </cell>
          <cell r="L327">
            <v>0.46054051472194202</v>
          </cell>
        </row>
        <row r="328">
          <cell r="I328">
            <v>41586</v>
          </cell>
          <cell r="J328">
            <v>2056.9</v>
          </cell>
          <cell r="L328">
            <v>0.42159370418067099</v>
          </cell>
        </row>
        <row r="329">
          <cell r="I329">
            <v>41593</v>
          </cell>
          <cell r="J329">
            <v>1903.5</v>
          </cell>
          <cell r="L329">
            <v>0.38756459325455</v>
          </cell>
        </row>
        <row r="330">
          <cell r="I330">
            <v>41600</v>
          </cell>
          <cell r="J330">
            <v>1917.2</v>
          </cell>
          <cell r="L330">
            <v>0.41410653536495001</v>
          </cell>
        </row>
        <row r="331">
          <cell r="I331">
            <v>41605</v>
          </cell>
          <cell r="J331">
            <v>1561.6</v>
          </cell>
          <cell r="L331">
            <v>0.39699815933228</v>
          </cell>
        </row>
        <row r="332">
          <cell r="I332">
            <v>41614</v>
          </cell>
          <cell r="J332">
            <v>1599.4</v>
          </cell>
          <cell r="L332">
            <v>0.37338021104571001</v>
          </cell>
        </row>
        <row r="333">
          <cell r="I333">
            <v>41621</v>
          </cell>
          <cell r="J333">
            <v>1529.8</v>
          </cell>
          <cell r="L333">
            <v>0.37072062674784101</v>
          </cell>
        </row>
        <row r="334">
          <cell r="I334">
            <v>41628</v>
          </cell>
          <cell r="J334">
            <v>1426.7</v>
          </cell>
          <cell r="L334">
            <v>0.339745677776082</v>
          </cell>
        </row>
        <row r="335">
          <cell r="I335">
            <v>41635</v>
          </cell>
          <cell r="J335">
            <v>1277.8</v>
          </cell>
          <cell r="L335">
            <v>0.33029809597210902</v>
          </cell>
        </row>
        <row r="336">
          <cell r="I336">
            <v>41642</v>
          </cell>
          <cell r="J336">
            <v>1352.7</v>
          </cell>
          <cell r="L336">
            <v>0.26212623729092299</v>
          </cell>
        </row>
        <row r="337">
          <cell r="I337">
            <v>41649</v>
          </cell>
          <cell r="J337">
            <v>1507</v>
          </cell>
          <cell r="L337">
            <v>0.29022600492529399</v>
          </cell>
        </row>
        <row r="338">
          <cell r="I338">
            <v>41656</v>
          </cell>
          <cell r="J338">
            <v>1675.8</v>
          </cell>
          <cell r="L338">
            <v>0.36774882579493101</v>
          </cell>
        </row>
        <row r="339">
          <cell r="I339">
            <v>41663</v>
          </cell>
          <cell r="J339">
            <v>1601.2</v>
          </cell>
          <cell r="L339">
            <v>0.37084428304329597</v>
          </cell>
        </row>
        <row r="340">
          <cell r="I340">
            <v>41670</v>
          </cell>
          <cell r="J340">
            <v>1667.5</v>
          </cell>
          <cell r="L340">
            <v>0.38160196936392599</v>
          </cell>
        </row>
        <row r="341">
          <cell r="I341">
            <v>41677</v>
          </cell>
          <cell r="J341">
            <v>1674.2</v>
          </cell>
          <cell r="L341">
            <v>0.40068103493110202</v>
          </cell>
        </row>
        <row r="342">
          <cell r="I342">
            <v>41684</v>
          </cell>
          <cell r="J342">
            <v>1650.6</v>
          </cell>
          <cell r="L342">
            <v>0.38532630107915999</v>
          </cell>
        </row>
        <row r="343">
          <cell r="I343">
            <v>41691</v>
          </cell>
          <cell r="J343">
            <v>1442.3</v>
          </cell>
          <cell r="L343">
            <v>0.375571977518594</v>
          </cell>
        </row>
        <row r="344">
          <cell r="I344">
            <v>41698</v>
          </cell>
          <cell r="J344">
            <v>1600.6</v>
          </cell>
          <cell r="L344">
            <v>0.36967404481869198</v>
          </cell>
        </row>
        <row r="345">
          <cell r="I345">
            <v>41705</v>
          </cell>
          <cell r="J345">
            <v>1528</v>
          </cell>
          <cell r="L345">
            <v>0.383169637258365</v>
          </cell>
        </row>
        <row r="346">
          <cell r="I346">
            <v>41712</v>
          </cell>
          <cell r="J346">
            <v>1552.1</v>
          </cell>
          <cell r="L346">
            <v>0.36933430427665598</v>
          </cell>
        </row>
        <row r="347">
          <cell r="I347">
            <v>41719</v>
          </cell>
          <cell r="J347">
            <v>1426.3</v>
          </cell>
          <cell r="L347">
            <v>0.38030249532079302</v>
          </cell>
        </row>
        <row r="348">
          <cell r="I348">
            <v>41726</v>
          </cell>
          <cell r="J348">
            <v>1383.5</v>
          </cell>
          <cell r="L348">
            <v>0.36565400061255998</v>
          </cell>
        </row>
        <row r="349">
          <cell r="I349">
            <v>41733</v>
          </cell>
          <cell r="J349">
            <v>1324.7</v>
          </cell>
          <cell r="L349">
            <v>0.35521926568999201</v>
          </cell>
        </row>
        <row r="350">
          <cell r="I350">
            <v>41740</v>
          </cell>
          <cell r="J350">
            <v>1429.9</v>
          </cell>
          <cell r="L350">
            <v>0.36683376695248798</v>
          </cell>
        </row>
        <row r="351">
          <cell r="I351">
            <v>41746</v>
          </cell>
          <cell r="J351">
            <v>1370.9</v>
          </cell>
          <cell r="L351">
            <v>0.38166972699665502</v>
          </cell>
        </row>
        <row r="352">
          <cell r="I352">
            <v>41754</v>
          </cell>
          <cell r="J352">
            <v>1298.0999999999999</v>
          </cell>
          <cell r="L352">
            <v>0.37393962817107101</v>
          </cell>
        </row>
        <row r="353">
          <cell r="I353">
            <v>41761</v>
          </cell>
          <cell r="J353">
            <v>1323.9</v>
          </cell>
          <cell r="L353">
            <v>0.37360583835556399</v>
          </cell>
        </row>
        <row r="354">
          <cell r="I354">
            <v>41768</v>
          </cell>
          <cell r="J354">
            <v>1400.9</v>
          </cell>
          <cell r="L354">
            <v>0.409756747537739</v>
          </cell>
        </row>
        <row r="355">
          <cell r="I355">
            <v>41775</v>
          </cell>
          <cell r="J355">
            <v>1460.6</v>
          </cell>
          <cell r="L355">
            <v>0.41321534069517601</v>
          </cell>
        </row>
        <row r="356">
          <cell r="I356">
            <v>41782</v>
          </cell>
          <cell r="J356">
            <v>1453.4</v>
          </cell>
          <cell r="L356">
            <v>0.44799454346559803</v>
          </cell>
        </row>
        <row r="357">
          <cell r="I357">
            <v>41789</v>
          </cell>
          <cell r="J357">
            <v>1382.6</v>
          </cell>
          <cell r="L357">
            <v>0.463620204949516</v>
          </cell>
        </row>
        <row r="358">
          <cell r="I358">
            <v>41796</v>
          </cell>
          <cell r="J358">
            <v>1516.9</v>
          </cell>
          <cell r="L358">
            <v>0.46847875373528802</v>
          </cell>
        </row>
        <row r="359">
          <cell r="I359">
            <v>41803</v>
          </cell>
          <cell r="J359">
            <v>1321.3</v>
          </cell>
          <cell r="L359">
            <v>0.41096738430920399</v>
          </cell>
        </row>
        <row r="360">
          <cell r="I360">
            <v>41810</v>
          </cell>
          <cell r="J360">
            <v>1333.5</v>
          </cell>
          <cell r="L360">
            <v>0.426359386921487</v>
          </cell>
        </row>
        <row r="361">
          <cell r="I361">
            <v>41817</v>
          </cell>
          <cell r="J361">
            <v>1341.8</v>
          </cell>
          <cell r="L361">
            <v>0.46847875373528802</v>
          </cell>
        </row>
        <row r="362">
          <cell r="I362">
            <v>41823</v>
          </cell>
          <cell r="J362">
            <v>1346.8</v>
          </cell>
          <cell r="L362">
            <v>0.481783217502605</v>
          </cell>
        </row>
        <row r="363">
          <cell r="I363">
            <v>41831</v>
          </cell>
          <cell r="J363">
            <v>1329.7</v>
          </cell>
          <cell r="L363">
            <v>0.42147742037559999</v>
          </cell>
        </row>
        <row r="364">
          <cell r="I364">
            <v>41838</v>
          </cell>
          <cell r="J364">
            <v>1400.7</v>
          </cell>
          <cell r="L364">
            <v>0.451552968278365</v>
          </cell>
        </row>
        <row r="365">
          <cell r="I365">
            <v>41845</v>
          </cell>
          <cell r="J365">
            <v>1327.5</v>
          </cell>
          <cell r="L365">
            <v>0.451552968278365</v>
          </cell>
        </row>
        <row r="366">
          <cell r="I366">
            <v>41852</v>
          </cell>
          <cell r="J366">
            <v>1373.9</v>
          </cell>
          <cell r="L366">
            <v>0.45923072088835198</v>
          </cell>
        </row>
        <row r="367">
          <cell r="I367">
            <v>41859</v>
          </cell>
          <cell r="J367">
            <v>1342.6</v>
          </cell>
          <cell r="L367">
            <v>0.42413376349642801</v>
          </cell>
        </row>
        <row r="368">
          <cell r="I368">
            <v>41866</v>
          </cell>
          <cell r="J368">
            <v>1404.9</v>
          </cell>
          <cell r="L368">
            <v>0.45575254137027599</v>
          </cell>
        </row>
        <row r="369">
          <cell r="I369">
            <v>41873</v>
          </cell>
          <cell r="J369">
            <v>1439.4</v>
          </cell>
          <cell r="L369">
            <v>0.49084413664233301</v>
          </cell>
        </row>
        <row r="370">
          <cell r="I370">
            <v>41880</v>
          </cell>
          <cell r="J370">
            <v>1436</v>
          </cell>
          <cell r="L370">
            <v>0.49084413664233301</v>
          </cell>
        </row>
        <row r="371">
          <cell r="I371">
            <v>41887</v>
          </cell>
          <cell r="J371">
            <v>1275.8</v>
          </cell>
          <cell r="L371">
            <v>0.487326419100717</v>
          </cell>
        </row>
        <row r="372">
          <cell r="I372">
            <v>41894</v>
          </cell>
          <cell r="J372">
            <v>1398.4</v>
          </cell>
          <cell r="L372">
            <v>0.47415919522438099</v>
          </cell>
        </row>
        <row r="373">
          <cell r="I373">
            <v>41901</v>
          </cell>
          <cell r="J373">
            <v>1335.1</v>
          </cell>
          <cell r="L373">
            <v>0.39816728626756598</v>
          </cell>
        </row>
        <row r="374">
          <cell r="I374">
            <v>41908</v>
          </cell>
          <cell r="J374">
            <v>1326.2</v>
          </cell>
          <cell r="L374">
            <v>0.413732301706637</v>
          </cell>
        </row>
        <row r="375">
          <cell r="I375">
            <v>41915</v>
          </cell>
          <cell r="J375">
            <v>1387.1</v>
          </cell>
          <cell r="L375">
            <v>0.43232059685066698</v>
          </cell>
        </row>
        <row r="376">
          <cell r="I376">
            <v>41922</v>
          </cell>
          <cell r="J376">
            <v>1560.6</v>
          </cell>
          <cell r="L376">
            <v>0.47165449273347199</v>
          </cell>
        </row>
        <row r="377">
          <cell r="I377">
            <v>41929</v>
          </cell>
          <cell r="J377">
            <v>1898.2</v>
          </cell>
          <cell r="L377">
            <v>0.57517284737260699</v>
          </cell>
        </row>
        <row r="378">
          <cell r="I378">
            <v>41936</v>
          </cell>
          <cell r="J378">
            <v>1713.6</v>
          </cell>
          <cell r="L378">
            <v>0.58745733896979602</v>
          </cell>
        </row>
        <row r="379">
          <cell r="I379">
            <v>41943</v>
          </cell>
          <cell r="J379">
            <v>1604.8</v>
          </cell>
          <cell r="L379">
            <v>0.57181297396619601</v>
          </cell>
        </row>
        <row r="380">
          <cell r="I380">
            <v>41950</v>
          </cell>
          <cell r="J380">
            <v>1565.3</v>
          </cell>
          <cell r="L380">
            <v>0.548579829179903</v>
          </cell>
        </row>
        <row r="381">
          <cell r="I381">
            <v>41957</v>
          </cell>
          <cell r="J381">
            <v>1563.2</v>
          </cell>
          <cell r="L381">
            <v>0.55497671209744104</v>
          </cell>
        </row>
        <row r="382">
          <cell r="I382">
            <v>41964</v>
          </cell>
          <cell r="J382">
            <v>1547.9</v>
          </cell>
          <cell r="L382">
            <v>0.56606721089043699</v>
          </cell>
        </row>
        <row r="383">
          <cell r="I383">
            <v>41971</v>
          </cell>
          <cell r="J383">
            <v>1366.6</v>
          </cell>
          <cell r="L383">
            <v>0.57290983086857505</v>
          </cell>
        </row>
        <row r="384">
          <cell r="I384">
            <v>41978</v>
          </cell>
          <cell r="J384">
            <v>1548.6</v>
          </cell>
          <cell r="L384">
            <v>0.59279776197128298</v>
          </cell>
        </row>
        <row r="385">
          <cell r="I385">
            <v>41985</v>
          </cell>
          <cell r="J385">
            <v>1518.8</v>
          </cell>
          <cell r="L385">
            <v>0.57867105076839898</v>
          </cell>
        </row>
        <row r="386">
          <cell r="I386">
            <v>41992</v>
          </cell>
          <cell r="J386">
            <v>1538.7</v>
          </cell>
          <cell r="L386">
            <v>0.61554969638107904</v>
          </cell>
        </row>
        <row r="387">
          <cell r="I387">
            <v>41999</v>
          </cell>
          <cell r="J387">
            <v>1164.2</v>
          </cell>
          <cell r="L387">
            <v>0.605746362235419</v>
          </cell>
        </row>
        <row r="388">
          <cell r="I388">
            <v>42006</v>
          </cell>
          <cell r="J388">
            <v>1347.6</v>
          </cell>
          <cell r="L388">
            <v>0.59072795930158895</v>
          </cell>
        </row>
        <row r="389">
          <cell r="I389">
            <v>42013</v>
          </cell>
          <cell r="J389">
            <v>2308.6999999999998</v>
          </cell>
          <cell r="L389">
            <v>0.63580141506138299</v>
          </cell>
        </row>
        <row r="390">
          <cell r="I390">
            <v>42020</v>
          </cell>
          <cell r="J390">
            <v>2799.3</v>
          </cell>
          <cell r="L390">
            <v>0.66264885680248997</v>
          </cell>
        </row>
        <row r="391">
          <cell r="I391">
            <v>42027</v>
          </cell>
          <cell r="J391">
            <v>2572.3000000000002</v>
          </cell>
          <cell r="L391">
            <v>0.664741267487021</v>
          </cell>
        </row>
        <row r="392">
          <cell r="I392">
            <v>42034</v>
          </cell>
          <cell r="J392">
            <v>2584.8000000000002</v>
          </cell>
          <cell r="L392">
            <v>0.66264885680248997</v>
          </cell>
        </row>
        <row r="393">
          <cell r="I393">
            <v>42041</v>
          </cell>
          <cell r="J393">
            <v>2291.3000000000002</v>
          </cell>
          <cell r="L393">
            <v>0.68438167594716104</v>
          </cell>
        </row>
        <row r="394">
          <cell r="I394">
            <v>42048</v>
          </cell>
          <cell r="J394">
            <v>1904.2</v>
          </cell>
          <cell r="L394">
            <v>0.64890841265420796</v>
          </cell>
        </row>
        <row r="395">
          <cell r="I395">
            <v>42055</v>
          </cell>
          <cell r="J395">
            <v>1703.1</v>
          </cell>
          <cell r="L395">
            <v>0.62651628119673397</v>
          </cell>
        </row>
        <row r="396">
          <cell r="I396">
            <v>42062</v>
          </cell>
          <cell r="J396">
            <v>1740.3</v>
          </cell>
          <cell r="L396">
            <v>0.61098575112407705</v>
          </cell>
        </row>
        <row r="397">
          <cell r="I397">
            <v>42069</v>
          </cell>
          <cell r="J397">
            <v>1685.7</v>
          </cell>
          <cell r="L397">
            <v>0.61966926616186602</v>
          </cell>
        </row>
        <row r="398">
          <cell r="I398">
            <v>42076</v>
          </cell>
          <cell r="J398">
            <v>1623.6</v>
          </cell>
          <cell r="L398">
            <v>0.57559445438514301</v>
          </cell>
        </row>
        <row r="399">
          <cell r="I399">
            <v>42083</v>
          </cell>
          <cell r="J399">
            <v>1860.8</v>
          </cell>
          <cell r="L399">
            <v>0.609371962286406</v>
          </cell>
        </row>
        <row r="400">
          <cell r="I400">
            <v>42090</v>
          </cell>
          <cell r="J400">
            <v>1941.6</v>
          </cell>
          <cell r="L400">
            <v>0.64195316325793905</v>
          </cell>
        </row>
        <row r="401">
          <cell r="I401">
            <v>42097</v>
          </cell>
          <cell r="J401">
            <v>1854.7</v>
          </cell>
          <cell r="L401">
            <v>0.62812472062617597</v>
          </cell>
        </row>
        <row r="402">
          <cell r="I402">
            <v>42104</v>
          </cell>
          <cell r="J402">
            <v>1804.6</v>
          </cell>
          <cell r="L402">
            <v>0.64478767281568505</v>
          </cell>
        </row>
        <row r="403">
          <cell r="I403">
            <v>42111</v>
          </cell>
          <cell r="J403">
            <v>1817</v>
          </cell>
          <cell r="L403">
            <v>0.63088888629855699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5" autoFormatId="16" applyNumberFormats="0" applyBorderFormats="0" applyFontFormats="0" applyPatternFormats="0" applyAlignmentFormats="0" applyWidthHeightFormats="0">
  <queryTableRefresh nextId="71" unboundColumnsRight="4">
    <queryTableFields count="7">
      <queryTableField id="62" name="AsOfDate" tableColumnId="1"/>
      <queryTableField id="64" name="refinancible" tableColumnId="3"/>
      <queryTableField id="65" name="refinancible_satoAdj" tableColumnId="4"/>
      <queryTableField id="66" dataBound="0" tableColumnId="5"/>
      <queryTableField id="67" dataBound="0" tableColumnId="6"/>
      <queryTableField id="68" dataBound="0" tableColumnId="2"/>
      <queryTableField id="70" dataBound="0" tableColumnId="8"/>
    </queryTableFields>
  </queryTableRefresh>
</queryTable>
</file>

<file path=xl/queryTables/queryTable2.xml><?xml version="1.0" encoding="utf-8"?>
<queryTable xmlns="http://schemas.openxmlformats.org/spreadsheetml/2006/main" name="Query from Agency_7" backgroundRefresh="0" adjustColumnWidth="0" connectionId="6" autoFormatId="16" applyNumberFormats="0" applyBorderFormats="0" applyFontFormats="0" applyPatternFormats="0" applyAlignmentFormats="0" applyWidthHeightFormats="0">
  <queryTableRefresh nextId="70" unboundColumnsRight="1">
    <queryTableFields count="3">
      <queryTableField id="62" name="AsOfDate" tableColumnId="1"/>
      <queryTableField id="67" name="refinanceible" tableColumnId="6"/>
      <queryTableField id="66" dataBound="0" tableColumnId="5"/>
    </queryTableFields>
  </queryTableRefresh>
</queryTable>
</file>

<file path=xl/queryTables/queryTable3.xml><?xml version="1.0" encoding="utf-8"?>
<queryTable xmlns="http://schemas.openxmlformats.org/spreadsheetml/2006/main" name="Query from Agency_8" backgroundRefresh="0" adjustColumnWidth="0" connectionId="7" autoFormatId="16" applyNumberFormats="0" applyBorderFormats="0" applyFontFormats="0" applyPatternFormats="0" applyAlignmentFormats="0" applyWidthHeightFormats="0">
  <queryTableRefresh nextId="72">
    <queryTableFields count="2">
      <queryTableField id="62" name="AsOfDate" tableColumnId="1"/>
      <queryTableField id="67" name="refinanceible" tableColumnId="6"/>
    </queryTableFields>
  </queryTableRefresh>
</queryTable>
</file>

<file path=xl/queryTables/queryTable4.xml><?xml version="1.0" encoding="utf-8"?>
<queryTable xmlns="http://schemas.openxmlformats.org/spreadsheetml/2006/main" name="Query from Agency_9" backgroundRefresh="0" adjustColumnWidth="0" connectionId="8" autoFormatId="16" applyNumberFormats="0" applyBorderFormats="0" applyFontFormats="0" applyPatternFormats="0" applyAlignmentFormats="0" applyWidthHeightFormats="0">
  <queryTableRefresh nextId="76">
    <queryTableFields count="2">
      <queryTableField id="62" name="AsOfDate" tableColumnId="1"/>
      <queryTableField id="75" name="refinanceible" tableColumnId="7"/>
    </queryTableFields>
  </queryTableRefresh>
</queryTable>
</file>

<file path=xl/queryTables/queryTable5.xml><?xml version="1.0" encoding="utf-8"?>
<queryTable xmlns="http://schemas.openxmlformats.org/spreadsheetml/2006/main" name="temp1" connectionId="10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CurrentMtgRatesDataTable825" displayName="CurrentMtgRatesDataTable825" ref="B2:H227" tableType="queryTable" totalsRowShown="0" headerRowDxfId="21" dataDxfId="20">
  <tableColumns count="7">
    <tableColumn id="1" uniqueName="1" name="asOfDate" queryTableFieldId="62" dataDxfId="19"/>
    <tableColumn id="3" uniqueName="3" name="refinancible" queryTableFieldId="64" dataDxfId="18"/>
    <tableColumn id="4" uniqueName="4" name="refinancible_satoAdj" queryTableFieldId="65" dataDxfId="17"/>
    <tableColumn id="5" uniqueName="5" name="Conv Refi Index" queryTableFieldId="66" dataDxfId="16">
      <calculatedColumnFormula>VLOOKUP(CurrentMtgRatesDataTable825[[#This Row],[asOfDate]]+1,Bloomberg!B:C,2,0)</calculatedColumnFormula>
    </tableColumn>
    <tableColumn id="6" uniqueName="6" name="Loan Level" queryTableFieldId="67" dataDxfId="15" dataCellStyle="Percent">
      <calculatedColumnFormula>VLOOKUP(CurrentMtgRatesDataTable825[[#This Row],[asOfDate]],CurrentMtgRatesDataTable8256[#All],2,0)</calculatedColumnFormula>
    </tableColumn>
    <tableColumn id="2" uniqueName="2" name="Loan with LLPA" queryTableFieldId="68" dataDxfId="5" dataCellStyle="Percent">
      <calculatedColumnFormula>VLOOKUP(CurrentMtgRatesDataTable825[[#This Row],[asOfDate]],CurrentMtgRatesDataTable82562[],2,0)</calculatedColumnFormula>
    </tableColumn>
    <tableColumn id="8" uniqueName="8" name="Time-Dependent LLPA" queryTableFieldId="70" dataDxfId="0" dataCellStyle="Percent">
      <calculatedColumnFormula>VLOOKUP(CurrentMtgRatesDataTable825[[#This Row],[asOfDate]],CurrentMtgRatesDataTable825623[#All],2,0)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5" name="CurrentMtgRatesDataTable8256" displayName="CurrentMtgRatesDataTable8256" ref="J2:L227" tableType="queryTable" totalsRowShown="0" headerRowDxfId="14" dataDxfId="13">
  <tableColumns count="3">
    <tableColumn id="1" uniqueName="1" name="asOfDate" queryTableFieldId="62" dataDxfId="12"/>
    <tableColumn id="6" uniqueName="6" name="refinanceible" queryTableFieldId="67" dataDxfId="11"/>
    <tableColumn id="5" uniqueName="5" name="Conv Refi Index" queryTableFieldId="66" dataDxfId="10">
      <calculatedColumnFormula>VLOOKUP(CurrentMtgRatesDataTable8256[[#This Row],[asOfDate]]+1,Bloomberg!B:C,2,0)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" name="CurrentMtgRatesDataTable82562" displayName="CurrentMtgRatesDataTable82562" ref="N2:O228" tableType="queryTable" totalsRowShown="0" headerRowDxfId="9" dataDxfId="8">
  <tableColumns count="2">
    <tableColumn id="1" uniqueName="1" name="asOfDate" queryTableFieldId="62" dataDxfId="7"/>
    <tableColumn id="6" uniqueName="6" name="refinanceible" queryTableFieldId="67" dataDxfId="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CurrentMtgRatesDataTable825623" displayName="CurrentMtgRatesDataTable825623" ref="Q2:R228" tableType="queryTable" totalsRowShown="0" headerRowDxfId="4" dataDxfId="3">
  <tableColumns count="2">
    <tableColumn id="1" uniqueName="1" name="asOfDate" queryTableFieldId="62" dataDxfId="2"/>
    <tableColumn id="7" uniqueName="7" name="refinanceible" queryTableFieldId="75" dataDxfId="1" dataCellStyle="Percent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zoomScaleNormal="100" workbookViewId="0">
      <selection activeCell="K66" sqref="K66"/>
    </sheetView>
  </sheetViews>
  <sheetFormatPr defaultRowHeight="12.75"/>
  <cols>
    <col min="1" max="1" width="9.140625" style="6" customWidth="1"/>
    <col min="2" max="2" width="9.140625" style="6"/>
    <col min="3" max="11" width="15.7109375" style="6" customWidth="1"/>
    <col min="12" max="14" width="10.28515625" style="6" customWidth="1"/>
    <col min="15" max="15" width="13.140625" style="6" customWidth="1"/>
    <col min="16" max="16" width="15.85546875" style="6" bestFit="1" customWidth="1"/>
    <col min="17" max="17" width="7.5703125" style="6" customWidth="1"/>
    <col min="18" max="18" width="10.28515625" style="6" customWidth="1"/>
    <col min="19" max="19" width="9.140625" style="6"/>
    <col min="20" max="20" width="14.140625" style="6" customWidth="1"/>
    <col min="21" max="21" width="40.85546875" style="6" bestFit="1" customWidth="1"/>
    <col min="22" max="22" width="14.85546875" style="6" bestFit="1" customWidth="1"/>
    <col min="23" max="16384" width="9.140625" style="6"/>
  </cols>
  <sheetData>
    <row r="1" spans="3:23">
      <c r="T1" s="2" t="s">
        <v>1</v>
      </c>
      <c r="U1" s="3" t="s">
        <v>2</v>
      </c>
      <c r="V1" s="6" t="s">
        <v>3</v>
      </c>
      <c r="W1" s="3" t="s">
        <v>4</v>
      </c>
    </row>
    <row r="2" spans="3:23">
      <c r="T2" s="2" t="s">
        <v>5</v>
      </c>
      <c r="U2" s="4">
        <v>42095</v>
      </c>
    </row>
    <row r="3" spans="3:23">
      <c r="T3" s="2" t="s">
        <v>26</v>
      </c>
      <c r="U3" s="25" t="s">
        <v>29</v>
      </c>
    </row>
    <row r="4" spans="3:23">
      <c r="T4" s="2" t="s">
        <v>6</v>
      </c>
      <c r="U4" s="3" t="str">
        <f>PDFReportDir&amp;"Market Concentration " &amp; TEXT(CurrentCloseDate, "yyyy-mm-dd") &amp; ".pdf"</f>
        <v>S:\IT\Production\Daily Reports\Primary Market\tmp\Market Concentration 2015-04-01.pdf</v>
      </c>
    </row>
    <row r="5" spans="3:23">
      <c r="T5" s="11"/>
    </row>
    <row r="6" spans="3:23">
      <c r="T6" s="11"/>
    </row>
    <row r="9" spans="3:23" s="12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Q9" s="6"/>
      <c r="R9" s="6"/>
      <c r="T9" s="12" t="s">
        <v>21</v>
      </c>
      <c r="U9" s="18">
        <f>IF(DAY(CurrentCloseDate)&lt;5,(CurrentCloseDate-DAY(CurrentCloseDate))-DAY((CurrentCloseDate-DAY(CurrentCloseDate)))+1,CurrentCloseDate-DAY(CurrentCloseDate)+1)</f>
        <v>42064</v>
      </c>
    </row>
    <row r="10" spans="3:23" s="13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Q10" s="6"/>
      <c r="R10" s="6"/>
      <c r="T10" s="13" t="s">
        <v>22</v>
      </c>
      <c r="U10" s="19">
        <f>(U9-1)-DAY((U9-1))+1</f>
        <v>42036</v>
      </c>
    </row>
    <row r="11" spans="3:23" s="13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Q11" s="6"/>
      <c r="R11" s="6"/>
    </row>
    <row r="12" spans="3:23" s="13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Q12" s="6"/>
      <c r="R12" s="6"/>
      <c r="T12" s="13" t="s">
        <v>27</v>
      </c>
      <c r="U12" s="19">
        <v>40695</v>
      </c>
    </row>
    <row r="13" spans="3:23" s="13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Q13" s="6"/>
      <c r="R13" s="6"/>
    </row>
    <row r="14" spans="3:23" s="13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Q14" s="6"/>
      <c r="R14" s="6"/>
    </row>
    <row r="15" spans="3:23" s="13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Q15" s="6"/>
      <c r="R15" s="6"/>
    </row>
    <row r="16" spans="3:23" s="13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Q16" s="6"/>
      <c r="R16" s="6"/>
    </row>
    <row r="17" spans="3:18" s="13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Q17" s="6"/>
      <c r="R17" s="6"/>
    </row>
    <row r="18" spans="3:18" s="13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Q18" s="6"/>
      <c r="R18" s="6"/>
    </row>
    <row r="19" spans="3:18" s="13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Q19" s="6"/>
      <c r="R19" s="6"/>
    </row>
    <row r="20" spans="3:18" s="13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Q20" s="6"/>
      <c r="R20" s="6"/>
    </row>
    <row r="21" spans="3:18" s="13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Q21" s="6"/>
      <c r="R21" s="6"/>
    </row>
    <row r="40" spans="3:11">
      <c r="D40" s="7"/>
      <c r="E40" s="8" t="s">
        <v>15</v>
      </c>
      <c r="F40" s="9" t="s">
        <v>16</v>
      </c>
      <c r="G40" s="9" t="s">
        <v>17</v>
      </c>
      <c r="H40" s="9" t="s">
        <v>18</v>
      </c>
      <c r="I40" s="9" t="s">
        <v>19</v>
      </c>
    </row>
    <row r="41" spans="3:11">
      <c r="D41" s="10" t="s">
        <v>12</v>
      </c>
      <c r="E41" s="20" t="e">
        <f>#REF!</f>
        <v>#REF!</v>
      </c>
      <c r="F41" s="14" t="e">
        <f>#REF!-#REF!</f>
        <v>#REF!</v>
      </c>
      <c r="G41" s="14" t="e">
        <f>#REF!-#REF!</f>
        <v>#REF!</v>
      </c>
      <c r="H41" s="14" t="e">
        <f>#REF!-#REF!</f>
        <v>#REF!</v>
      </c>
      <c r="I41" s="14" t="e">
        <f>#REF!-#REF!</f>
        <v>#REF!</v>
      </c>
    </row>
    <row r="42" spans="3:11">
      <c r="D42" s="10" t="s">
        <v>13</v>
      </c>
      <c r="E42" s="20" t="e">
        <f>#REF!</f>
        <v>#REF!</v>
      </c>
      <c r="F42" s="14" t="e">
        <f>#REF!-#REF!</f>
        <v>#REF!</v>
      </c>
      <c r="G42" s="14" t="e">
        <f>#REF!-#REF!</f>
        <v>#REF!</v>
      </c>
      <c r="H42" s="14" t="e">
        <f>#REF!-#REF!</f>
        <v>#REF!</v>
      </c>
      <c r="I42" s="14" t="e">
        <f>#REF!-#REF!</f>
        <v>#REF!</v>
      </c>
    </row>
    <row r="43" spans="3:11">
      <c r="D43" s="10" t="s">
        <v>14</v>
      </c>
      <c r="E43" s="20" t="e">
        <f>#REF!</f>
        <v>#REF!</v>
      </c>
      <c r="F43" s="14" t="e">
        <f>#REF!-#REF!</f>
        <v>#REF!</v>
      </c>
      <c r="G43" s="14" t="e">
        <f>#REF!-#REF!</f>
        <v>#REF!</v>
      </c>
      <c r="H43" s="14" t="e">
        <f>#REF!-#REF!</f>
        <v>#REF!</v>
      </c>
      <c r="I43" s="14" t="e">
        <f>#REF!-#REF!</f>
        <v>#REF!</v>
      </c>
      <c r="J43" s="23"/>
    </row>
    <row r="44" spans="3:11">
      <c r="D44" s="21"/>
      <c r="E44" s="22"/>
      <c r="F44" s="22"/>
      <c r="G44" s="23"/>
      <c r="H44" s="23"/>
      <c r="I44" s="23"/>
      <c r="J44" s="23"/>
    </row>
    <row r="47" spans="3:11" ht="15">
      <c r="C47" s="5" t="s">
        <v>24</v>
      </c>
      <c r="E47" s="35" t="s">
        <v>30</v>
      </c>
      <c r="F47" s="36">
        <f>U9</f>
        <v>42064</v>
      </c>
      <c r="H47" s="5" t="s">
        <v>25</v>
      </c>
      <c r="J47" s="35" t="s">
        <v>30</v>
      </c>
      <c r="K47" s="36">
        <f>U10</f>
        <v>42036</v>
      </c>
    </row>
    <row r="48" spans="3:11">
      <c r="C48" s="28" t="s">
        <v>0</v>
      </c>
      <c r="D48" s="29" t="s">
        <v>23</v>
      </c>
      <c r="E48" s="29" t="s">
        <v>20</v>
      </c>
      <c r="F48" s="30" t="s">
        <v>28</v>
      </c>
      <c r="H48" s="28" t="s">
        <v>0</v>
      </c>
      <c r="I48" s="29" t="s">
        <v>23</v>
      </c>
      <c r="J48" s="29" t="s">
        <v>20</v>
      </c>
      <c r="K48" s="30" t="s">
        <v>28</v>
      </c>
    </row>
    <row r="49" spans="3:11">
      <c r="C49" s="28">
        <v>1</v>
      </c>
      <c r="D49" s="31" t="e">
        <f t="array" ref="D49">VLOOKUP(C49&amp;$U$9,IF({1,0},#REF!&amp;#REF!,#REF!),2,0)</f>
        <v>#N/A</v>
      </c>
      <c r="E49" s="32" t="e">
        <f t="array" ref="E49">VLOOKUP(C49&amp;$U$9,IF({1,0},#REF!&amp;#REF!,#REF!),2,0)/VLOOKUP($U$9,#REF!,2,0)</f>
        <v>#N/A</v>
      </c>
      <c r="F49" s="33" t="e">
        <f t="array" ref="F49">VLOOKUP(C49&amp;$U$9,IF({1,0},#REF!&amp;#REF!,#REF!),2,0)/1000000</f>
        <v>#N/A</v>
      </c>
      <c r="H49" s="28">
        <v>1</v>
      </c>
      <c r="I49" s="31" t="e">
        <f t="array" ref="I49">VLOOKUP(C49&amp;$U$10,IF({1,0},#REF!&amp;#REF!,#REF!),2,0)</f>
        <v>#N/A</v>
      </c>
      <c r="J49" s="32" t="e">
        <f t="array" ref="J49">VLOOKUP(C49&amp;$U$10,IF({1,0},#REF!&amp;#REF!,#REF!),2,0)/VLOOKUP($U$10,#REF!,2,0)</f>
        <v>#N/A</v>
      </c>
      <c r="K49" s="34" t="e">
        <f t="array" ref="K49">VLOOKUP(C49&amp;$U$10,IF({1,0},#REF!&amp;#REF!,#REF!),2,0)/1000000</f>
        <v>#N/A</v>
      </c>
    </row>
    <row r="50" spans="3:11">
      <c r="C50" s="28">
        <v>2</v>
      </c>
      <c r="D50" s="31" t="e">
        <f t="array" ref="D50">VLOOKUP(C50&amp;$U$9,IF({1,0},#REF!&amp;#REF!,#REF!),2,0)</f>
        <v>#N/A</v>
      </c>
      <c r="E50" s="32" t="e">
        <f t="array" ref="E50">VLOOKUP(C50&amp;$U$9,IF({1,0},#REF!&amp;#REF!,#REF!),2,0)/VLOOKUP($U$9,#REF!,2,0)</f>
        <v>#N/A</v>
      </c>
      <c r="F50" s="33" t="e">
        <f t="array" ref="F50">VLOOKUP(C50&amp;$U$9,IF({1,0},#REF!&amp;#REF!,#REF!),2,0)/1000000</f>
        <v>#N/A</v>
      </c>
      <c r="H50" s="28">
        <v>2</v>
      </c>
      <c r="I50" s="31" t="e">
        <f t="array" ref="I50">VLOOKUP(C50&amp;$U$10,IF({1,0},#REF!&amp;#REF!,#REF!),2,0)</f>
        <v>#N/A</v>
      </c>
      <c r="J50" s="32" t="e">
        <f t="array" ref="J50">VLOOKUP(C50&amp;$U$10,IF({1,0},#REF!&amp;#REF!,#REF!),2,0)/VLOOKUP($U$10,#REF!,2,0)</f>
        <v>#N/A</v>
      </c>
      <c r="K50" s="34" t="e">
        <f t="array" ref="K50">VLOOKUP(C50&amp;$U$10,IF({1,0},#REF!&amp;#REF!,#REF!),2,0)/1000000</f>
        <v>#N/A</v>
      </c>
    </row>
    <row r="51" spans="3:11">
      <c r="C51" s="28">
        <v>3</v>
      </c>
      <c r="D51" s="31" t="e">
        <f t="array" ref="D51">VLOOKUP(C51&amp;$U$9,IF({1,0},#REF!&amp;#REF!,#REF!),2,0)</f>
        <v>#N/A</v>
      </c>
      <c r="E51" s="32" t="e">
        <f t="array" ref="E51">VLOOKUP(C51&amp;$U$9,IF({1,0},#REF!&amp;#REF!,#REF!),2,0)/VLOOKUP($U$9,#REF!,2,0)</f>
        <v>#N/A</v>
      </c>
      <c r="F51" s="33" t="e">
        <f t="array" ref="F51">VLOOKUP(C51&amp;$U$9,IF({1,0},#REF!&amp;#REF!,#REF!),2,0)/1000000</f>
        <v>#N/A</v>
      </c>
      <c r="H51" s="28">
        <v>3</v>
      </c>
      <c r="I51" s="31" t="e">
        <f t="array" ref="I51">VLOOKUP(C51&amp;$U$10,IF({1,0},#REF!&amp;#REF!,#REF!),2,0)</f>
        <v>#N/A</v>
      </c>
      <c r="J51" s="32" t="e">
        <f t="array" ref="J51">VLOOKUP(C51&amp;$U$10,IF({1,0},#REF!&amp;#REF!,#REF!),2,0)/VLOOKUP($U$10,#REF!,2,0)</f>
        <v>#N/A</v>
      </c>
      <c r="K51" s="34" t="e">
        <f t="array" ref="K51">VLOOKUP(C51&amp;$U$10,IF({1,0},#REF!&amp;#REF!,#REF!),2,0)/1000000</f>
        <v>#N/A</v>
      </c>
    </row>
    <row r="52" spans="3:11">
      <c r="C52" s="28">
        <v>4</v>
      </c>
      <c r="D52" s="31" t="e">
        <f t="array" ref="D52">VLOOKUP(C52&amp;$U$9,IF({1,0},#REF!&amp;#REF!,#REF!),2,0)</f>
        <v>#N/A</v>
      </c>
      <c r="E52" s="32" t="e">
        <f t="array" ref="E52">VLOOKUP(C52&amp;$U$9,IF({1,0},#REF!&amp;#REF!,#REF!),2,0)/VLOOKUP($U$9,#REF!,2,0)</f>
        <v>#N/A</v>
      </c>
      <c r="F52" s="33" t="e">
        <f t="array" ref="F52">VLOOKUP(C52&amp;$U$9,IF({1,0},#REF!&amp;#REF!,#REF!),2,0)/1000000</f>
        <v>#N/A</v>
      </c>
      <c r="H52" s="28">
        <v>4</v>
      </c>
      <c r="I52" s="31" t="e">
        <f t="array" ref="I52">VLOOKUP(C52&amp;$U$10,IF({1,0},#REF!&amp;#REF!,#REF!),2,0)</f>
        <v>#N/A</v>
      </c>
      <c r="J52" s="32" t="e">
        <f t="array" ref="J52">VLOOKUP(C52&amp;$U$10,IF({1,0},#REF!&amp;#REF!,#REF!),2,0)/VLOOKUP($U$10,#REF!,2,0)</f>
        <v>#N/A</v>
      </c>
      <c r="K52" s="34" t="e">
        <f t="array" ref="K52">VLOOKUP(C52&amp;$U$10,IF({1,0},#REF!&amp;#REF!,#REF!),2,0)/1000000</f>
        <v>#N/A</v>
      </c>
    </row>
    <row r="53" spans="3:11">
      <c r="C53" s="28">
        <v>5</v>
      </c>
      <c r="D53" s="31" t="e">
        <f t="array" ref="D53">VLOOKUP(C53&amp;$U$9,IF({1,0},#REF!&amp;#REF!,#REF!),2,0)</f>
        <v>#N/A</v>
      </c>
      <c r="E53" s="32" t="e">
        <f t="array" ref="E53">VLOOKUP(C53&amp;$U$9,IF({1,0},#REF!&amp;#REF!,#REF!),2,0)/VLOOKUP($U$9,#REF!,2,0)</f>
        <v>#N/A</v>
      </c>
      <c r="F53" s="33" t="e">
        <f t="array" ref="F53">VLOOKUP(C53&amp;$U$9,IF({1,0},#REF!&amp;#REF!,#REF!),2,0)/1000000</f>
        <v>#N/A</v>
      </c>
      <c r="H53" s="28">
        <v>5</v>
      </c>
      <c r="I53" s="31" t="e">
        <f t="array" ref="I53">VLOOKUP(C53&amp;$U$10,IF({1,0},#REF!&amp;#REF!,#REF!),2,0)</f>
        <v>#N/A</v>
      </c>
      <c r="J53" s="32" t="e">
        <f t="array" ref="J53">VLOOKUP(C53&amp;$U$10,IF({1,0},#REF!&amp;#REF!,#REF!),2,0)/VLOOKUP($U$10,#REF!,2,0)</f>
        <v>#N/A</v>
      </c>
      <c r="K53" s="34" t="e">
        <f t="array" ref="K53">VLOOKUP(C53&amp;$U$10,IF({1,0},#REF!&amp;#REF!,#REF!),2,0)/1000000</f>
        <v>#N/A</v>
      </c>
    </row>
    <row r="54" spans="3:11">
      <c r="C54" s="28">
        <v>6</v>
      </c>
      <c r="D54" s="31" t="e">
        <f t="array" ref="D54">VLOOKUP(C54&amp;$U$9,IF({1,0},#REF!&amp;#REF!,#REF!),2,0)</f>
        <v>#N/A</v>
      </c>
      <c r="E54" s="32" t="e">
        <f t="array" ref="E54">VLOOKUP(C54&amp;$U$9,IF({1,0},#REF!&amp;#REF!,#REF!),2,0)/VLOOKUP($U$9,#REF!,2,0)</f>
        <v>#N/A</v>
      </c>
      <c r="F54" s="33" t="e">
        <f t="array" ref="F54">VLOOKUP(C54&amp;$U$9,IF({1,0},#REF!&amp;#REF!,#REF!),2,0)/1000000</f>
        <v>#N/A</v>
      </c>
      <c r="H54" s="28">
        <v>6</v>
      </c>
      <c r="I54" s="31" t="e">
        <f t="array" ref="I54">VLOOKUP(C54&amp;$U$10,IF({1,0},#REF!&amp;#REF!,#REF!),2,0)</f>
        <v>#N/A</v>
      </c>
      <c r="J54" s="32" t="e">
        <f t="array" ref="J54">VLOOKUP(C54&amp;$U$10,IF({1,0},#REF!&amp;#REF!,#REF!),2,0)/VLOOKUP($U$10,#REF!,2,0)</f>
        <v>#N/A</v>
      </c>
      <c r="K54" s="34" t="e">
        <f t="array" ref="K54">VLOOKUP(C54&amp;$U$10,IF({1,0},#REF!&amp;#REF!,#REF!),2,0)/1000000</f>
        <v>#N/A</v>
      </c>
    </row>
    <row r="55" spans="3:11">
      <c r="C55" s="28">
        <v>7</v>
      </c>
      <c r="D55" s="31" t="e">
        <f t="array" ref="D55">VLOOKUP(C55&amp;$U$9,IF({1,0},#REF!&amp;#REF!,#REF!),2,0)</f>
        <v>#N/A</v>
      </c>
      <c r="E55" s="32" t="e">
        <f t="array" ref="E55">VLOOKUP(C55&amp;$U$9,IF({1,0},#REF!&amp;#REF!,#REF!),2,0)/VLOOKUP($U$9,#REF!,2,0)</f>
        <v>#N/A</v>
      </c>
      <c r="F55" s="33" t="e">
        <f t="array" ref="F55">VLOOKUP(C55&amp;$U$9,IF({1,0},#REF!&amp;#REF!,#REF!),2,0)/1000000</f>
        <v>#N/A</v>
      </c>
      <c r="H55" s="28">
        <v>7</v>
      </c>
      <c r="I55" s="31" t="e">
        <f t="array" ref="I55">VLOOKUP(C55&amp;$U$10,IF({1,0},#REF!&amp;#REF!,#REF!),2,0)</f>
        <v>#N/A</v>
      </c>
      <c r="J55" s="32" t="e">
        <f t="array" ref="J55">VLOOKUP(C55&amp;$U$10,IF({1,0},#REF!&amp;#REF!,#REF!),2,0)/VLOOKUP($U$10,#REF!,2,0)</f>
        <v>#N/A</v>
      </c>
      <c r="K55" s="34" t="e">
        <f t="array" ref="K55">VLOOKUP(C55&amp;$U$10,IF({1,0},#REF!&amp;#REF!,#REF!),2,0)/1000000</f>
        <v>#N/A</v>
      </c>
    </row>
    <row r="56" spans="3:11">
      <c r="C56" s="28">
        <v>8</v>
      </c>
      <c r="D56" s="31" t="e">
        <f t="array" ref="D56">VLOOKUP(C56&amp;$U$9,IF({1,0},#REF!&amp;#REF!,#REF!),2,0)</f>
        <v>#N/A</v>
      </c>
      <c r="E56" s="32" t="e">
        <f t="array" ref="E56">VLOOKUP(C56&amp;$U$9,IF({1,0},#REF!&amp;#REF!,#REF!),2,0)/VLOOKUP($U$9,#REF!,2,0)</f>
        <v>#N/A</v>
      </c>
      <c r="F56" s="33" t="e">
        <f t="array" ref="F56">VLOOKUP(C56&amp;$U$9,IF({1,0},#REF!&amp;#REF!,#REF!),2,0)/1000000</f>
        <v>#N/A</v>
      </c>
      <c r="H56" s="28">
        <v>8</v>
      </c>
      <c r="I56" s="31" t="e">
        <f t="array" ref="I56">VLOOKUP(C56&amp;$U$10,IF({1,0},#REF!&amp;#REF!,#REF!),2,0)</f>
        <v>#N/A</v>
      </c>
      <c r="J56" s="32" t="e">
        <f t="array" ref="J56">VLOOKUP(C56&amp;$U$10,IF({1,0},#REF!&amp;#REF!,#REF!),2,0)/VLOOKUP($U$10,#REF!,2,0)</f>
        <v>#N/A</v>
      </c>
      <c r="K56" s="34" t="e">
        <f t="array" ref="K56">VLOOKUP(C56&amp;$U$10,IF({1,0},#REF!&amp;#REF!,#REF!),2,0)/1000000</f>
        <v>#N/A</v>
      </c>
    </row>
    <row r="57" spans="3:11">
      <c r="C57" s="28">
        <v>9</v>
      </c>
      <c r="D57" s="31" t="e">
        <f t="array" ref="D57">VLOOKUP(C57&amp;$U$9,IF({1,0},#REF!&amp;#REF!,#REF!),2,0)</f>
        <v>#N/A</v>
      </c>
      <c r="E57" s="32" t="e">
        <f t="array" ref="E57">VLOOKUP(C57&amp;$U$9,IF({1,0},#REF!&amp;#REF!,#REF!),2,0)/VLOOKUP($U$9,#REF!,2,0)</f>
        <v>#N/A</v>
      </c>
      <c r="F57" s="33" t="e">
        <f t="array" ref="F57">VLOOKUP(C57&amp;$U$9,IF({1,0},#REF!&amp;#REF!,#REF!),2,0)/1000000</f>
        <v>#N/A</v>
      </c>
      <c r="H57" s="28">
        <v>9</v>
      </c>
      <c r="I57" s="31" t="e">
        <f t="array" ref="I57">VLOOKUP(C57&amp;$U$10,IF({1,0},#REF!&amp;#REF!,#REF!),2,0)</f>
        <v>#N/A</v>
      </c>
      <c r="J57" s="32" t="e">
        <f t="array" ref="J57">VLOOKUP(C57&amp;$U$10,IF({1,0},#REF!&amp;#REF!,#REF!),2,0)/VLOOKUP($U$10,#REF!,2,0)</f>
        <v>#N/A</v>
      </c>
      <c r="K57" s="34" t="e">
        <f t="array" ref="K57">VLOOKUP(C57&amp;$U$10,IF({1,0},#REF!&amp;#REF!,#REF!),2,0)/1000000</f>
        <v>#N/A</v>
      </c>
    </row>
    <row r="58" spans="3:11">
      <c r="C58" s="28">
        <v>10</v>
      </c>
      <c r="D58" s="31" t="e">
        <f t="array" ref="D58">VLOOKUP(C58&amp;$U$9,IF({1,0},#REF!&amp;#REF!,#REF!),2,0)</f>
        <v>#N/A</v>
      </c>
      <c r="E58" s="32" t="e">
        <f t="array" ref="E58">VLOOKUP(C58&amp;$U$9,IF({1,0},#REF!&amp;#REF!,#REF!),2,0)/VLOOKUP($U$9,#REF!,2,0)</f>
        <v>#N/A</v>
      </c>
      <c r="F58" s="33" t="e">
        <f t="array" ref="F58">VLOOKUP(C58&amp;$U$9,IF({1,0},#REF!&amp;#REF!,#REF!),2,0)/1000000</f>
        <v>#N/A</v>
      </c>
      <c r="H58" s="28">
        <v>10</v>
      </c>
      <c r="I58" s="31" t="e">
        <f t="array" ref="I58">VLOOKUP(C58&amp;$U$10,IF({1,0},#REF!&amp;#REF!,#REF!),2,0)</f>
        <v>#N/A</v>
      </c>
      <c r="J58" s="32" t="e">
        <f t="array" ref="J58">VLOOKUP(C58&amp;$U$10,IF({1,0},#REF!&amp;#REF!,#REF!),2,0)/VLOOKUP($U$10,#REF!,2,0)</f>
        <v>#N/A</v>
      </c>
      <c r="K58" s="34" t="e">
        <f t="array" ref="K58">VLOOKUP(C58&amp;$U$10,IF({1,0},#REF!&amp;#REF!,#REF!),2,0)/1000000</f>
        <v>#N/A</v>
      </c>
    </row>
    <row r="84" spans="16:17">
      <c r="P84" s="15" t="s">
        <v>11</v>
      </c>
      <c r="Q84" s="16" t="s">
        <v>7</v>
      </c>
    </row>
    <row r="85" spans="16:17">
      <c r="Q85" s="16" t="s">
        <v>8</v>
      </c>
    </row>
    <row r="86" spans="16:17">
      <c r="Q86" s="16" t="s">
        <v>9</v>
      </c>
    </row>
    <row r="87" spans="16:17">
      <c r="Q87" s="17" t="s">
        <v>10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2" orientation="landscape" horizontalDpi="1200" verticalDpi="1200" r:id="rId5"/>
  <headerFooter scaleWithDoc="0">
    <oddHeader>&amp;L&amp;G&amp;C&amp;"-,Bold"&amp;10&amp;K2E398A
&amp;15Origination Market Concentration &amp;R&amp;"-,Bold"&amp;10&amp;K2E398A
As of 04/01/2015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R228"/>
  <sheetViews>
    <sheetView topLeftCell="F59" zoomScale="115" zoomScaleNormal="115" workbookViewId="0">
      <selection activeCell="AA116" sqref="AA116"/>
    </sheetView>
  </sheetViews>
  <sheetFormatPr defaultRowHeight="15"/>
  <cols>
    <col min="2" max="2" width="10.42578125" bestFit="1" customWidth="1"/>
    <col min="11" max="11" width="9.28515625" bestFit="1" customWidth="1"/>
    <col min="12" max="13" width="11.7109375" bestFit="1" customWidth="1"/>
    <col min="17" max="17" width="11.85546875" bestFit="1" customWidth="1"/>
    <col min="18" max="21" width="11.85546875" customWidth="1"/>
    <col min="22" max="22" width="13.42578125" bestFit="1" customWidth="1"/>
    <col min="26" max="26" width="9.7109375" bestFit="1" customWidth="1"/>
  </cols>
  <sheetData>
    <row r="2" spans="2:18">
      <c r="B2" s="6" t="s">
        <v>31</v>
      </c>
      <c r="C2" s="6" t="s">
        <v>32</v>
      </c>
      <c r="D2" s="6" t="s">
        <v>33</v>
      </c>
      <c r="E2" s="6" t="s">
        <v>34</v>
      </c>
      <c r="F2" s="6" t="s">
        <v>42</v>
      </c>
      <c r="G2" s="6" t="s">
        <v>45</v>
      </c>
      <c r="H2" s="6" t="s">
        <v>52</v>
      </c>
      <c r="J2" s="6" t="s">
        <v>31</v>
      </c>
      <c r="K2" s="6" t="s">
        <v>37</v>
      </c>
      <c r="L2" s="6" t="s">
        <v>34</v>
      </c>
      <c r="N2" s="6" t="s">
        <v>31</v>
      </c>
      <c r="O2" s="6" t="s">
        <v>37</v>
      </c>
      <c r="Q2" s="6" t="s">
        <v>31</v>
      </c>
      <c r="R2" s="6" t="s">
        <v>37</v>
      </c>
    </row>
    <row r="3" spans="2:18">
      <c r="B3" s="24">
        <v>40549</v>
      </c>
      <c r="C3" s="27">
        <v>0.62402170072443153</v>
      </c>
      <c r="D3" s="27">
        <v>0.57596095925238433</v>
      </c>
      <c r="E3" s="6">
        <f ca="1">VLOOKUP(CurrentMtgRatesDataTable825[[#This Row],[asOfDate]]+1,Bloomberg!B:C,2,0)</f>
        <v>2344.3000000000002</v>
      </c>
      <c r="F3" s="27">
        <f>VLOOKUP(CurrentMtgRatesDataTable825[[#This Row],[asOfDate]],CurrentMtgRatesDataTable8256[#All],2,0)</f>
        <v>0.53095286512326811</v>
      </c>
      <c r="G3" s="27">
        <f>VLOOKUP(CurrentMtgRatesDataTable825[[#This Row],[asOfDate]],CurrentMtgRatesDataTable82562[],2,0)</f>
        <v>0.39250464718271383</v>
      </c>
      <c r="H3" s="27">
        <f>VLOOKUP(CurrentMtgRatesDataTable825[[#This Row],[asOfDate]],CurrentMtgRatesDataTable825623[#All],2,0)</f>
        <v>0.29339129549199244</v>
      </c>
      <c r="J3" s="24">
        <v>40549</v>
      </c>
      <c r="K3" s="26">
        <v>0.53095286512326811</v>
      </c>
      <c r="L3" s="6">
        <f ca="1">VLOOKUP(CurrentMtgRatesDataTable8256[[#This Row],[asOfDate]]+1,Bloomberg!B:C,2,0)</f>
        <v>2344.3000000000002</v>
      </c>
      <c r="N3" s="24">
        <v>40549</v>
      </c>
      <c r="O3" s="26">
        <v>0.39250464718271383</v>
      </c>
      <c r="Q3" s="24">
        <v>40549</v>
      </c>
      <c r="R3" s="27">
        <v>0.29339129549199244</v>
      </c>
    </row>
    <row r="4" spans="2:18">
      <c r="B4" s="24">
        <v>40556</v>
      </c>
      <c r="C4" s="27">
        <v>0.62817294477626939</v>
      </c>
      <c r="D4" s="27">
        <v>0.60211055226578758</v>
      </c>
      <c r="E4" s="6">
        <f ca="1">VLOOKUP(CurrentMtgRatesDataTable825[[#This Row],[asOfDate]]+1,Bloomberg!B:C,2,0)</f>
        <v>2528.6999999999998</v>
      </c>
      <c r="F4" s="27">
        <f>VLOOKUP(CurrentMtgRatesDataTable825[[#This Row],[asOfDate]],CurrentMtgRatesDataTable8256[#All],2,0)</f>
        <v>0.53151414802717445</v>
      </c>
      <c r="G4" s="27">
        <f>VLOOKUP(CurrentMtgRatesDataTable825[[#This Row],[asOfDate]],CurrentMtgRatesDataTable82562[],2,0)</f>
        <v>0.41493050243405694</v>
      </c>
      <c r="H4" s="27">
        <f>VLOOKUP(CurrentMtgRatesDataTable825[[#This Row],[asOfDate]],CurrentMtgRatesDataTable825623[#All],2,0)</f>
        <v>0.31216038149568309</v>
      </c>
      <c r="J4" s="24">
        <v>40556</v>
      </c>
      <c r="K4" s="26">
        <v>0.53151414802717445</v>
      </c>
      <c r="L4" s="6">
        <f ca="1">VLOOKUP(CurrentMtgRatesDataTable8256[[#This Row],[asOfDate]]+1,Bloomberg!B:C,2,0)</f>
        <v>2528.6999999999998</v>
      </c>
      <c r="N4" s="24">
        <v>40556</v>
      </c>
      <c r="O4" s="26">
        <v>0.41493050243405694</v>
      </c>
      <c r="Q4" s="24">
        <v>40556</v>
      </c>
      <c r="R4" s="27">
        <v>0.31216038149568309</v>
      </c>
    </row>
    <row r="5" spans="2:18">
      <c r="B5" s="24">
        <v>40563</v>
      </c>
      <c r="C5" s="27">
        <v>0.62597730951219899</v>
      </c>
      <c r="D5" s="27">
        <v>0.58771291656274882</v>
      </c>
      <c r="E5" s="6">
        <f ca="1">VLOOKUP(CurrentMtgRatesDataTable825[[#This Row],[asOfDate]]+1,Bloomberg!B:C,2,0)</f>
        <v>2129.6999999999998</v>
      </c>
      <c r="F5" s="27">
        <f>VLOOKUP(CurrentMtgRatesDataTable825[[#This Row],[asOfDate]],CurrentMtgRatesDataTable8256[#All],2,0)</f>
        <v>0.53128369296391043</v>
      </c>
      <c r="G5" s="27">
        <f>VLOOKUP(CurrentMtgRatesDataTable825[[#This Row],[asOfDate]],CurrentMtgRatesDataTable82562[],2,0)</f>
        <v>0.39264268515317635</v>
      </c>
      <c r="H5" s="27">
        <f>VLOOKUP(CurrentMtgRatesDataTable825[[#This Row],[asOfDate]],CurrentMtgRatesDataTable825623[#All],2,0)</f>
        <v>0.29352345631455612</v>
      </c>
      <c r="J5" s="24">
        <v>40563</v>
      </c>
      <c r="K5" s="26">
        <v>0.53128369296391043</v>
      </c>
      <c r="L5" s="6">
        <f ca="1">VLOOKUP(CurrentMtgRatesDataTable8256[[#This Row],[asOfDate]]+1,Bloomberg!B:C,2,0)</f>
        <v>2129.6999999999998</v>
      </c>
      <c r="N5" s="24">
        <v>40563</v>
      </c>
      <c r="O5" s="26">
        <v>0.39264268515317635</v>
      </c>
      <c r="Q5" s="24">
        <v>40563</v>
      </c>
      <c r="R5" s="27">
        <v>0.29352345631455612</v>
      </c>
    </row>
    <row r="6" spans="2:18">
      <c r="B6" s="24">
        <v>40570</v>
      </c>
      <c r="C6" s="27">
        <v>0.62392159162868732</v>
      </c>
      <c r="D6" s="27">
        <v>0.57596095925238433</v>
      </c>
      <c r="E6" s="6">
        <f ca="1">VLOOKUP(CurrentMtgRatesDataTable825[[#This Row],[asOfDate]]+1,Bloomberg!B:C,2,0)</f>
        <v>2371.1</v>
      </c>
      <c r="F6" s="27">
        <f>VLOOKUP(CurrentMtgRatesDataTable825[[#This Row],[asOfDate]],CurrentMtgRatesDataTable8256[#All],2,0)</f>
        <v>0.53088486817209324</v>
      </c>
      <c r="G6" s="27">
        <f>VLOOKUP(CurrentMtgRatesDataTable825[[#This Row],[asOfDate]],CurrentMtgRatesDataTable82562[],2,0)</f>
        <v>0.39248462972856413</v>
      </c>
      <c r="H6" s="27">
        <f>VLOOKUP(CurrentMtgRatesDataTable825[[#This Row],[asOfDate]],CurrentMtgRatesDataTable825623[#All],2,0)</f>
        <v>0.29337181673036272</v>
      </c>
      <c r="J6" s="24">
        <v>40570</v>
      </c>
      <c r="K6" s="26">
        <v>0.53088486817209324</v>
      </c>
      <c r="L6" s="6">
        <f ca="1">VLOOKUP(CurrentMtgRatesDataTable8256[[#This Row],[asOfDate]]+1,Bloomberg!B:C,2,0)</f>
        <v>2371.1</v>
      </c>
      <c r="N6" s="24">
        <v>40570</v>
      </c>
      <c r="O6" s="26">
        <v>0.39248462972856413</v>
      </c>
      <c r="Q6" s="24">
        <v>40570</v>
      </c>
      <c r="R6" s="27">
        <v>0.29337181673036272</v>
      </c>
    </row>
    <row r="7" spans="2:18">
      <c r="B7" s="24">
        <v>40577</v>
      </c>
      <c r="C7" s="27">
        <v>0.60653142223595213</v>
      </c>
      <c r="D7" s="27">
        <v>0.5527274379046524</v>
      </c>
      <c r="E7" s="6">
        <f ca="1">VLOOKUP(CurrentMtgRatesDataTable825[[#This Row],[asOfDate]]+1,Bloomberg!B:C,2,0)</f>
        <v>2190.4</v>
      </c>
      <c r="F7" s="27">
        <f>VLOOKUP(CurrentMtgRatesDataTable825[[#This Row],[asOfDate]],CurrentMtgRatesDataTable8256[#All],2,0)</f>
        <v>0.45470305131111477</v>
      </c>
      <c r="G7" s="27">
        <f>VLOOKUP(CurrentMtgRatesDataTable825[[#This Row],[asOfDate]],CurrentMtgRatesDataTable82562[],2,0)</f>
        <v>0.35166351779672061</v>
      </c>
      <c r="H7" s="27">
        <f>VLOOKUP(CurrentMtgRatesDataTable825[[#This Row],[asOfDate]],CurrentMtgRatesDataTable825623[#All],2,0)</f>
        <v>0.25001180569005516</v>
      </c>
      <c r="J7" s="24">
        <v>40577</v>
      </c>
      <c r="K7" s="26">
        <v>0.45470305131111477</v>
      </c>
      <c r="L7" s="6">
        <f ca="1">VLOOKUP(CurrentMtgRatesDataTable8256[[#This Row],[asOfDate]]+1,Bloomberg!B:C,2,0)</f>
        <v>2190.4</v>
      </c>
      <c r="N7" s="24">
        <v>40577</v>
      </c>
      <c r="O7" s="26">
        <v>0.35166351779672061</v>
      </c>
      <c r="Q7" s="24">
        <v>40577</v>
      </c>
      <c r="R7" s="27">
        <v>0.25001180569005516</v>
      </c>
    </row>
    <row r="8" spans="2:18">
      <c r="B8" s="24">
        <v>40584</v>
      </c>
      <c r="C8" s="27">
        <v>0.50868797673712363</v>
      </c>
      <c r="D8" s="27">
        <v>0.53684731925134999</v>
      </c>
      <c r="E8" s="6">
        <f ca="1">VLOOKUP(CurrentMtgRatesDataTable825[[#This Row],[asOfDate]]+1,Bloomberg!B:C,2,0)</f>
        <v>1953.2</v>
      </c>
      <c r="F8" s="27">
        <f>VLOOKUP(CurrentMtgRatesDataTable825[[#This Row],[asOfDate]],CurrentMtgRatesDataTable8256[#All],2,0)</f>
        <v>0.40745494442377123</v>
      </c>
      <c r="G8" s="27">
        <f>VLOOKUP(CurrentMtgRatesDataTable825[[#This Row],[asOfDate]],CurrentMtgRatesDataTable82562[],2,0)</f>
        <v>0.30118120941044296</v>
      </c>
      <c r="H8" s="27">
        <f>VLOOKUP(CurrentMtgRatesDataTable825[[#This Row],[asOfDate]],CurrentMtgRatesDataTable825623[#All],2,0)</f>
        <v>0.20884941022700101</v>
      </c>
      <c r="J8" s="24">
        <v>40584</v>
      </c>
      <c r="K8" s="26">
        <v>0.40745494442377123</v>
      </c>
      <c r="L8" s="6">
        <f ca="1">VLOOKUP(CurrentMtgRatesDataTable8256[[#This Row],[asOfDate]]+1,Bloomberg!B:C,2,0)</f>
        <v>1953.2</v>
      </c>
      <c r="N8" s="24">
        <v>40584</v>
      </c>
      <c r="O8" s="26">
        <v>0.30118120941044296</v>
      </c>
      <c r="Q8" s="24">
        <v>40584</v>
      </c>
      <c r="R8" s="27">
        <v>0.20884941022700101</v>
      </c>
    </row>
    <row r="9" spans="2:18">
      <c r="B9" s="24">
        <v>40591</v>
      </c>
      <c r="C9" s="27">
        <v>0.52965901814335548</v>
      </c>
      <c r="D9" s="27">
        <v>0.53684731925134999</v>
      </c>
      <c r="E9" s="6">
        <f ca="1">VLOOKUP(CurrentMtgRatesDataTable825[[#This Row],[asOfDate]]+1,Bloomberg!B:C,2,0)</f>
        <v>2325.3000000000002</v>
      </c>
      <c r="F9" s="27">
        <f>VLOOKUP(CurrentMtgRatesDataTable825[[#This Row],[asOfDate]],CurrentMtgRatesDataTable8256[#All],2,0)</f>
        <v>0.40754568633496746</v>
      </c>
      <c r="G9" s="27">
        <f>VLOOKUP(CurrentMtgRatesDataTable825[[#This Row],[asOfDate]],CurrentMtgRatesDataTable82562[],2,0)</f>
        <v>0.31536412629340738</v>
      </c>
      <c r="H9" s="27">
        <f>VLOOKUP(CurrentMtgRatesDataTable825[[#This Row],[asOfDate]],CurrentMtgRatesDataTable825623[#All],2,0)</f>
        <v>0.21937474831597803</v>
      </c>
      <c r="J9" s="24">
        <v>40591</v>
      </c>
      <c r="K9" s="26">
        <v>0.40754568633496746</v>
      </c>
      <c r="L9" s="6">
        <f ca="1">VLOOKUP(CurrentMtgRatesDataTable8256[[#This Row],[asOfDate]]+1,Bloomberg!B:C,2,0)</f>
        <v>2325.3000000000002</v>
      </c>
      <c r="N9" s="24">
        <v>40591</v>
      </c>
      <c r="O9" s="26">
        <v>0.31536412629340738</v>
      </c>
      <c r="Q9" s="24">
        <v>40591</v>
      </c>
      <c r="R9" s="27">
        <v>0.21937474831597803</v>
      </c>
    </row>
    <row r="10" spans="2:18">
      <c r="B10" s="24">
        <v>40598</v>
      </c>
      <c r="C10" s="27">
        <v>0.57709503787578109</v>
      </c>
      <c r="D10" s="27">
        <v>0.5527274379046524</v>
      </c>
      <c r="E10" s="6">
        <f ca="1">VLOOKUP(CurrentMtgRatesDataTable825[[#This Row],[asOfDate]]+1,Bloomberg!B:C,2,0)</f>
        <v>2155.5</v>
      </c>
      <c r="F10" s="27">
        <f>VLOOKUP(CurrentMtgRatesDataTable825[[#This Row],[asOfDate]],CurrentMtgRatesDataTable8256[#All],2,0)</f>
        <v>0.45432862067371088</v>
      </c>
      <c r="G10" s="27">
        <f>VLOOKUP(CurrentMtgRatesDataTable825[[#This Row],[asOfDate]],CurrentMtgRatesDataTable82562[],2,0)</f>
        <v>0.33537426304924495</v>
      </c>
      <c r="H10" s="27">
        <f>VLOOKUP(CurrentMtgRatesDataTable825[[#This Row],[asOfDate]],CurrentMtgRatesDataTable825623[#All],2,0)</f>
        <v>0.23756924071282229</v>
      </c>
      <c r="J10" s="24">
        <v>40598</v>
      </c>
      <c r="K10" s="26">
        <v>0.45432862067371088</v>
      </c>
      <c r="L10" s="6">
        <f ca="1">VLOOKUP(CurrentMtgRatesDataTable8256[[#This Row],[asOfDate]]+1,Bloomberg!B:C,2,0)</f>
        <v>2155.5</v>
      </c>
      <c r="N10" s="24">
        <v>40598</v>
      </c>
      <c r="O10" s="26">
        <v>0.33537426304924495</v>
      </c>
      <c r="Q10" s="24">
        <v>40598</v>
      </c>
      <c r="R10" s="27">
        <v>0.23756924071282229</v>
      </c>
    </row>
    <row r="11" spans="2:18">
      <c r="B11" s="24">
        <v>40605</v>
      </c>
      <c r="C11" s="27">
        <v>0.59224775585706535</v>
      </c>
      <c r="D11" s="27">
        <v>0.53959666161684006</v>
      </c>
      <c r="E11" s="6">
        <f ca="1">VLOOKUP(CurrentMtgRatesDataTable825[[#This Row],[asOfDate]]+1,Bloomberg!B:C,2,0)</f>
        <v>2539.4</v>
      </c>
      <c r="F11" s="27">
        <f>VLOOKUP(CurrentMtgRatesDataTable825[[#This Row],[asOfDate]],CurrentMtgRatesDataTable8256[#All],2,0)</f>
        <v>0.44537925133640238</v>
      </c>
      <c r="G11" s="27">
        <f>VLOOKUP(CurrentMtgRatesDataTable825[[#This Row],[asOfDate]],CurrentMtgRatesDataTable82562[],2,0)</f>
        <v>0.34253463480268398</v>
      </c>
      <c r="H11" s="27">
        <f>VLOOKUP(CurrentMtgRatesDataTable825[[#This Row],[asOfDate]],CurrentMtgRatesDataTable825623[#All],2,0)</f>
        <v>0.23580697378092402</v>
      </c>
      <c r="J11" s="24">
        <v>40605</v>
      </c>
      <c r="K11" s="26">
        <v>0.44537925133640238</v>
      </c>
      <c r="L11" s="26">
        <f ca="1">VLOOKUP(CurrentMtgRatesDataTable8256[[#This Row],[asOfDate]]+1,Bloomberg!B:C,2,0)</f>
        <v>2539.4</v>
      </c>
      <c r="N11" s="24">
        <v>40605</v>
      </c>
      <c r="O11" s="26">
        <v>0.34253463480268398</v>
      </c>
      <c r="Q11" s="24">
        <v>40605</v>
      </c>
      <c r="R11" s="27">
        <v>0.23580697378092402</v>
      </c>
    </row>
    <row r="12" spans="2:18">
      <c r="B12" s="24">
        <v>40612</v>
      </c>
      <c r="C12" s="27">
        <v>0.59090570789662444</v>
      </c>
      <c r="D12" s="27">
        <v>0.53959666161684006</v>
      </c>
      <c r="E12" s="6">
        <f ca="1">VLOOKUP(CurrentMtgRatesDataTable825[[#This Row],[asOfDate]]+1,Bloomberg!B:C,2,0)</f>
        <v>2563.6</v>
      </c>
      <c r="F12" s="27">
        <f>VLOOKUP(CurrentMtgRatesDataTable825[[#This Row],[asOfDate]],CurrentMtgRatesDataTable8256[#All],2,0)</f>
        <v>0.44531343502837423</v>
      </c>
      <c r="G12" s="27">
        <f>VLOOKUP(CurrentMtgRatesDataTable825[[#This Row],[asOfDate]],CurrentMtgRatesDataTable82562[],2,0)</f>
        <v>0.3424192138403398</v>
      </c>
      <c r="H12" s="27">
        <f>VLOOKUP(CurrentMtgRatesDataTable825[[#This Row],[asOfDate]],CurrentMtgRatesDataTable825623[#All],2,0)</f>
        <v>0.23575738208426369</v>
      </c>
      <c r="J12" s="24">
        <v>40612</v>
      </c>
      <c r="K12" s="26">
        <v>0.44531343502837423</v>
      </c>
      <c r="L12" s="26">
        <f ca="1">VLOOKUP(CurrentMtgRatesDataTable8256[[#This Row],[asOfDate]]+1,Bloomberg!B:C,2,0)</f>
        <v>2563.6</v>
      </c>
      <c r="N12" s="24">
        <v>40612</v>
      </c>
      <c r="O12" s="26">
        <v>0.3424192138403398</v>
      </c>
      <c r="Q12" s="24">
        <v>40612</v>
      </c>
      <c r="R12" s="27">
        <v>0.23575738208426369</v>
      </c>
    </row>
    <row r="13" spans="2:18">
      <c r="B13" s="24">
        <v>40619</v>
      </c>
      <c r="C13" s="27">
        <v>0.60261779474869925</v>
      </c>
      <c r="D13" s="27">
        <v>0.57514662575669562</v>
      </c>
      <c r="E13" s="6">
        <f ca="1">VLOOKUP(CurrentMtgRatesDataTable825[[#This Row],[asOfDate]]+1,Bloomberg!B:C,2,0)</f>
        <v>2620.8000000000002</v>
      </c>
      <c r="F13" s="27">
        <f>VLOOKUP(CurrentMtgRatesDataTable825[[#This Row],[asOfDate]],CurrentMtgRatesDataTable8256[#All],2,0)</f>
        <v>0.50756853544493263</v>
      </c>
      <c r="G13" s="27">
        <f>VLOOKUP(CurrentMtgRatesDataTable825[[#This Row],[asOfDate]],CurrentMtgRatesDataTable82562[],2,0)</f>
        <v>0.39114797845648158</v>
      </c>
      <c r="H13" s="27">
        <f>VLOOKUP(CurrentMtgRatesDataTable825[[#This Row],[asOfDate]],CurrentMtgRatesDataTable825623[#All],2,0)</f>
        <v>0.27772990136821168</v>
      </c>
      <c r="J13" s="24">
        <v>40619</v>
      </c>
      <c r="K13" s="26">
        <v>0.50756853544493263</v>
      </c>
      <c r="L13" s="26">
        <f ca="1">VLOOKUP(CurrentMtgRatesDataTable8256[[#This Row],[asOfDate]]+1,Bloomberg!B:C,2,0)</f>
        <v>2620.8000000000002</v>
      </c>
      <c r="N13" s="24">
        <v>40619</v>
      </c>
      <c r="O13" s="26">
        <v>0.39114797845648158</v>
      </c>
      <c r="Q13" s="24">
        <v>40619</v>
      </c>
      <c r="R13" s="27">
        <v>0.27772990136821168</v>
      </c>
    </row>
    <row r="14" spans="2:18">
      <c r="B14" s="24">
        <v>40626</v>
      </c>
      <c r="C14" s="27">
        <v>0.59950595681897523</v>
      </c>
      <c r="D14" s="27">
        <v>0.53959666161684006</v>
      </c>
      <c r="E14" s="6">
        <f ca="1">VLOOKUP(CurrentMtgRatesDataTable825[[#This Row],[asOfDate]]+1,Bloomberg!B:C,2,0)</f>
        <v>2350.6999999999998</v>
      </c>
      <c r="F14" s="27">
        <f>VLOOKUP(CurrentMtgRatesDataTable825[[#This Row],[asOfDate]],CurrentMtgRatesDataTable8256[#All],2,0)</f>
        <v>0.50709598627705932</v>
      </c>
      <c r="G14" s="27">
        <f>VLOOKUP(CurrentMtgRatesDataTable825[[#This Row],[asOfDate]],CurrentMtgRatesDataTable82562[],2,0)</f>
        <v>0.36952670052259512</v>
      </c>
      <c r="H14" s="27">
        <f>VLOOKUP(CurrentMtgRatesDataTable825[[#This Row],[asOfDate]],CurrentMtgRatesDataTable825623[#All],2,0)</f>
        <v>0.26081219543552103</v>
      </c>
      <c r="J14" s="24">
        <v>40626</v>
      </c>
      <c r="K14" s="26">
        <v>0.50709598627705932</v>
      </c>
      <c r="L14" s="26">
        <f ca="1">VLOOKUP(CurrentMtgRatesDataTable8256[[#This Row],[asOfDate]]+1,Bloomberg!B:C,2,0)</f>
        <v>2350.6999999999998</v>
      </c>
      <c r="N14" s="24">
        <v>40626</v>
      </c>
      <c r="O14" s="26">
        <v>0.36952670052259512</v>
      </c>
      <c r="Q14" s="24">
        <v>40626</v>
      </c>
      <c r="R14" s="27">
        <v>0.26081219543552103</v>
      </c>
    </row>
    <row r="15" spans="2:18">
      <c r="B15" s="24">
        <v>40633</v>
      </c>
      <c r="C15" s="27">
        <v>0.593225708201635</v>
      </c>
      <c r="D15" s="27">
        <v>0.53959666161684006</v>
      </c>
      <c r="E15" s="6">
        <f ca="1">VLOOKUP(CurrentMtgRatesDataTable825[[#This Row],[asOfDate]]+1,Bloomberg!B:C,2,0)</f>
        <v>2194.4</v>
      </c>
      <c r="F15" s="27">
        <f>VLOOKUP(CurrentMtgRatesDataTable825[[#This Row],[asOfDate]],CurrentMtgRatesDataTable8256[#All],2,0)</f>
        <v>0.44540607652299313</v>
      </c>
      <c r="G15" s="27">
        <f>VLOOKUP(CurrentMtgRatesDataTable825[[#This Row],[asOfDate]],CurrentMtgRatesDataTable82562[],2,0)</f>
        <v>0.34256260481459744</v>
      </c>
      <c r="H15" s="27">
        <f>VLOOKUP(CurrentMtgRatesDataTable825[[#This Row],[asOfDate]],CurrentMtgRatesDataTable825623[#All],2,0)</f>
        <v>0.23582915359045858</v>
      </c>
      <c r="J15" s="24">
        <v>40633</v>
      </c>
      <c r="K15" s="26">
        <v>0.44540607652299313</v>
      </c>
      <c r="L15" s="26">
        <f ca="1">VLOOKUP(CurrentMtgRatesDataTable8256[[#This Row],[asOfDate]]+1,Bloomberg!B:C,2,0)</f>
        <v>2194.4</v>
      </c>
      <c r="N15" s="24">
        <v>40633</v>
      </c>
      <c r="O15" s="26">
        <v>0.34256260481459744</v>
      </c>
      <c r="Q15" s="24">
        <v>40633</v>
      </c>
      <c r="R15" s="27">
        <v>0.23582915359045858</v>
      </c>
    </row>
    <row r="16" spans="2:18">
      <c r="B16" s="24">
        <v>40640</v>
      </c>
      <c r="C16" s="27">
        <v>0.58542144661011908</v>
      </c>
      <c r="D16" s="27">
        <v>0.52974513410801005</v>
      </c>
      <c r="E16" s="6">
        <f ca="1">VLOOKUP(CurrentMtgRatesDataTable825[[#This Row],[asOfDate]]+1,Bloomberg!B:C,2,0)</f>
        <v>2010.6</v>
      </c>
      <c r="F16" s="27">
        <f>VLOOKUP(CurrentMtgRatesDataTable825[[#This Row],[asOfDate]],CurrentMtgRatesDataTable8256[#All],2,0)</f>
        <v>0.43752802947744701</v>
      </c>
      <c r="G16" s="27">
        <f>VLOOKUP(CurrentMtgRatesDataTable825[[#This Row],[asOfDate]],CurrentMtgRatesDataTable82562[],2,0)</f>
        <v>0.3347984498822521</v>
      </c>
      <c r="H16" s="27">
        <f>VLOOKUP(CurrentMtgRatesDataTable825[[#This Row],[asOfDate]],CurrentMtgRatesDataTable825623[#All],2,0)</f>
        <v>0.23398840657953646</v>
      </c>
      <c r="J16" s="24">
        <v>40640</v>
      </c>
      <c r="K16" s="26">
        <v>0.43752802947744701</v>
      </c>
      <c r="L16" s="26">
        <f ca="1">VLOOKUP(CurrentMtgRatesDataTable8256[[#This Row],[asOfDate]]+1,Bloomberg!B:C,2,0)</f>
        <v>2010.6</v>
      </c>
      <c r="N16" s="24">
        <v>40640</v>
      </c>
      <c r="O16" s="26">
        <v>0.3347984498822521</v>
      </c>
      <c r="Q16" s="24">
        <v>40640</v>
      </c>
      <c r="R16" s="27">
        <v>0.23398840657953646</v>
      </c>
    </row>
    <row r="17" spans="2:18">
      <c r="B17" s="24">
        <v>40647</v>
      </c>
      <c r="C17" s="27">
        <v>0.58155199492979581</v>
      </c>
      <c r="D17" s="27">
        <v>0.52974513410801005</v>
      </c>
      <c r="E17" s="6">
        <f ca="1">VLOOKUP(CurrentMtgRatesDataTable825[[#This Row],[asOfDate]]+1,Bloomberg!B:C,2,0)</f>
        <v>2065.3000000000002</v>
      </c>
      <c r="F17" s="27">
        <f>VLOOKUP(CurrentMtgRatesDataTable825[[#This Row],[asOfDate]],CurrentMtgRatesDataTable8256[#All],2,0)</f>
        <v>0.43743055763305833</v>
      </c>
      <c r="G17" s="27">
        <f>VLOOKUP(CurrentMtgRatesDataTable825[[#This Row],[asOfDate]],CurrentMtgRatesDataTable82562[],2,0)</f>
        <v>0.33467518812275754</v>
      </c>
      <c r="H17" s="27">
        <f>VLOOKUP(CurrentMtgRatesDataTable825[[#This Row],[asOfDate]],CurrentMtgRatesDataTable825623[#All],2,0)</f>
        <v>0.23392925226898756</v>
      </c>
      <c r="J17" s="24">
        <v>40647</v>
      </c>
      <c r="K17" s="26">
        <v>0.43743055763305833</v>
      </c>
      <c r="L17" s="26">
        <f ca="1">VLOOKUP(CurrentMtgRatesDataTable8256[[#This Row],[asOfDate]]+1,Bloomberg!B:C,2,0)</f>
        <v>2065.3000000000002</v>
      </c>
      <c r="N17" s="24">
        <v>40647</v>
      </c>
      <c r="O17" s="26">
        <v>0.33467518812275754</v>
      </c>
      <c r="Q17" s="24">
        <v>40647</v>
      </c>
      <c r="R17" s="27">
        <v>0.23392925226898756</v>
      </c>
    </row>
    <row r="18" spans="2:18">
      <c r="B18" s="24">
        <v>40654</v>
      </c>
      <c r="C18" s="27">
        <v>0.59356262313394537</v>
      </c>
      <c r="D18" s="27">
        <v>0.53944483941175059</v>
      </c>
      <c r="E18" s="6">
        <f ca="1">VLOOKUP(CurrentMtgRatesDataTable825[[#This Row],[asOfDate]]+1,Bloomberg!B:C,2,0)</f>
        <v>2091.4</v>
      </c>
      <c r="F18" s="27">
        <f>VLOOKUP(CurrentMtgRatesDataTable825[[#This Row],[asOfDate]],CurrentMtgRatesDataTable8256[#All],2,0)</f>
        <v>0.50071367537414391</v>
      </c>
      <c r="G18" s="27">
        <f>VLOOKUP(CurrentMtgRatesDataTable825[[#This Row],[asOfDate]],CurrentMtgRatesDataTable82562[],2,0)</f>
        <v>0.36193150295895826</v>
      </c>
      <c r="H18" s="27">
        <f>VLOOKUP(CurrentMtgRatesDataTable825[[#This Row],[asOfDate]],CurrentMtgRatesDataTable825623[#All],2,0)</f>
        <v>0.25931046586102646</v>
      </c>
      <c r="J18" s="24">
        <v>40654</v>
      </c>
      <c r="K18" s="26">
        <v>0.50071367537414391</v>
      </c>
      <c r="L18" s="26">
        <f ca="1">VLOOKUP(CurrentMtgRatesDataTable8256[[#This Row],[asOfDate]]+1,Bloomberg!B:C,2,0)</f>
        <v>2091.4</v>
      </c>
      <c r="N18" s="24">
        <v>40654</v>
      </c>
      <c r="O18" s="26">
        <v>0.36193150295895826</v>
      </c>
      <c r="Q18" s="24">
        <v>40654</v>
      </c>
      <c r="R18" s="27">
        <v>0.25931046586102646</v>
      </c>
    </row>
    <row r="19" spans="2:18">
      <c r="B19" s="24">
        <v>40661</v>
      </c>
      <c r="C19" s="27">
        <v>0.59445921362542997</v>
      </c>
      <c r="D19" s="27">
        <v>0.53944483941175059</v>
      </c>
      <c r="E19" s="6">
        <f ca="1">VLOOKUP(CurrentMtgRatesDataTable825[[#This Row],[asOfDate]]+1,Bloomberg!B:C,2,0)</f>
        <v>2220.1</v>
      </c>
      <c r="F19" s="27">
        <f>VLOOKUP(CurrentMtgRatesDataTable825[[#This Row],[asOfDate]],CurrentMtgRatesDataTable8256[#All],2,0)</f>
        <v>0.50084038538064524</v>
      </c>
      <c r="G19" s="27">
        <f>VLOOKUP(CurrentMtgRatesDataTable825[[#This Row],[asOfDate]],CurrentMtgRatesDataTable82562[],2,0)</f>
        <v>0.36201877353801432</v>
      </c>
      <c r="H19" s="27">
        <f>VLOOKUP(CurrentMtgRatesDataTable825[[#This Row],[asOfDate]],CurrentMtgRatesDataTable825623[#All],2,0)</f>
        <v>0.25939108420754325</v>
      </c>
      <c r="J19" s="24">
        <v>40661</v>
      </c>
      <c r="K19" s="26">
        <v>0.50084038538064524</v>
      </c>
      <c r="L19" s="26">
        <f ca="1">VLOOKUP(CurrentMtgRatesDataTable8256[[#This Row],[asOfDate]]+1,Bloomberg!B:C,2,0)</f>
        <v>2220.1</v>
      </c>
      <c r="N19" s="24">
        <v>40661</v>
      </c>
      <c r="O19" s="26">
        <v>0.36201877353801432</v>
      </c>
      <c r="Q19" s="24">
        <v>40661</v>
      </c>
      <c r="R19" s="27">
        <v>0.25939108420754325</v>
      </c>
    </row>
    <row r="20" spans="2:18">
      <c r="B20" s="24">
        <v>40668</v>
      </c>
      <c r="C20" s="27">
        <v>0.59391131067456038</v>
      </c>
      <c r="D20" s="27">
        <v>0.56321713725117084</v>
      </c>
      <c r="E20" s="6">
        <f ca="1">VLOOKUP(CurrentMtgRatesDataTable825[[#This Row],[asOfDate]]+1,Bloomberg!B:C,2,0)</f>
        <v>2414.9</v>
      </c>
      <c r="F20" s="27">
        <f>VLOOKUP(CurrentMtgRatesDataTable825[[#This Row],[asOfDate]],CurrentMtgRatesDataTable8256[#All],2,0)</f>
        <v>0.49619981605913671</v>
      </c>
      <c r="G20" s="27">
        <f>VLOOKUP(CurrentMtgRatesDataTable825[[#This Row],[asOfDate]],CurrentMtgRatesDataTable82562[],2,0)</f>
        <v>0.37743538404941046</v>
      </c>
      <c r="H20" s="27">
        <f>VLOOKUP(CurrentMtgRatesDataTable825[[#This Row],[asOfDate]],CurrentMtgRatesDataTable825623[#All],2,0)</f>
        <v>0.2767705840929231</v>
      </c>
      <c r="J20" s="24">
        <v>40668</v>
      </c>
      <c r="K20" s="26">
        <v>0.49619981605913671</v>
      </c>
      <c r="L20" s="26">
        <f ca="1">VLOOKUP(CurrentMtgRatesDataTable8256[[#This Row],[asOfDate]]+1,Bloomberg!B:C,2,0)</f>
        <v>2414.9</v>
      </c>
      <c r="N20" s="24">
        <v>40668</v>
      </c>
      <c r="O20" s="26">
        <v>0.37743538404941046</v>
      </c>
      <c r="Q20" s="24">
        <v>40668</v>
      </c>
      <c r="R20" s="27">
        <v>0.2767705840929231</v>
      </c>
    </row>
    <row r="21" spans="2:18">
      <c r="B21" s="24">
        <v>40675</v>
      </c>
      <c r="C21" s="27">
        <v>0.60662155942020002</v>
      </c>
      <c r="D21" s="27">
        <v>0.65730689383743934</v>
      </c>
      <c r="E21" s="6">
        <f ca="1">VLOOKUP(CurrentMtgRatesDataTable825[[#This Row],[asOfDate]]+1,Bloomberg!B:C,2,0)</f>
        <v>2742.2</v>
      </c>
      <c r="F21" s="27">
        <f>VLOOKUP(CurrentMtgRatesDataTable825[[#This Row],[asOfDate]],CurrentMtgRatesDataTable8256[#All],2,0)</f>
        <v>0.54734510927234215</v>
      </c>
      <c r="G21" s="27">
        <f>VLOOKUP(CurrentMtgRatesDataTable825[[#This Row],[asOfDate]],CurrentMtgRatesDataTable82562[],2,0)</f>
        <v>0.43530454861865053</v>
      </c>
      <c r="H21" s="27">
        <f>VLOOKUP(CurrentMtgRatesDataTable825[[#This Row],[asOfDate]],CurrentMtgRatesDataTable825623[#All],2,0)</f>
        <v>0.33101736528723608</v>
      </c>
      <c r="J21" s="24">
        <v>40675</v>
      </c>
      <c r="K21" s="26">
        <v>0.54734510927234215</v>
      </c>
      <c r="L21" s="26">
        <f ca="1">VLOOKUP(CurrentMtgRatesDataTable8256[[#This Row],[asOfDate]]+1,Bloomberg!B:C,2,0)</f>
        <v>2742.2</v>
      </c>
      <c r="N21" s="24">
        <v>40675</v>
      </c>
      <c r="O21" s="26">
        <v>0.43530454861865053</v>
      </c>
      <c r="Q21" s="24">
        <v>40675</v>
      </c>
      <c r="R21" s="27">
        <v>0.33101736528723608</v>
      </c>
    </row>
    <row r="22" spans="2:18">
      <c r="B22" s="24">
        <v>40682</v>
      </c>
      <c r="C22" s="27">
        <v>0.61264076908113763</v>
      </c>
      <c r="D22" s="27">
        <v>0.66267947259057558</v>
      </c>
      <c r="E22" s="6">
        <f ca="1">VLOOKUP(CurrentMtgRatesDataTable825[[#This Row],[asOfDate]]+1,Bloomberg!B:C,2,0)</f>
        <v>2764.6</v>
      </c>
      <c r="F22" s="27">
        <f>VLOOKUP(CurrentMtgRatesDataTable825[[#This Row],[asOfDate]],CurrentMtgRatesDataTable8256[#All],2,0)</f>
        <v>0.54747259610785104</v>
      </c>
      <c r="G22" s="27">
        <f>VLOOKUP(CurrentMtgRatesDataTable825[[#This Row],[asOfDate]],CurrentMtgRatesDataTable82562[],2,0)</f>
        <v>0.43548629341943101</v>
      </c>
      <c r="H22" s="27">
        <f>VLOOKUP(CurrentMtgRatesDataTable825[[#This Row],[asOfDate]],CurrentMtgRatesDataTable825623[#All],2,0)</f>
        <v>0.33118276104512157</v>
      </c>
      <c r="J22" s="24">
        <v>40682</v>
      </c>
      <c r="K22" s="26">
        <v>0.54747259610785104</v>
      </c>
      <c r="L22" s="26">
        <f ca="1">VLOOKUP(CurrentMtgRatesDataTable8256[[#This Row],[asOfDate]]+1,Bloomberg!B:C,2,0)</f>
        <v>2764.6</v>
      </c>
      <c r="N22" s="24">
        <v>40682</v>
      </c>
      <c r="O22" s="26">
        <v>0.43548629341943101</v>
      </c>
      <c r="Q22" s="24">
        <v>40682</v>
      </c>
      <c r="R22" s="27">
        <v>0.33118276104512157</v>
      </c>
    </row>
    <row r="23" spans="2:18">
      <c r="B23" s="24">
        <v>40689</v>
      </c>
      <c r="C23" s="27">
        <v>0.61599363608099678</v>
      </c>
      <c r="D23" s="27">
        <v>0.66267947259057558</v>
      </c>
      <c r="E23" s="6">
        <f ca="1">VLOOKUP(CurrentMtgRatesDataTable825[[#This Row],[asOfDate]]+1,Bloomberg!B:C,2,0)</f>
        <v>2619.6999999999998</v>
      </c>
      <c r="F23" s="27">
        <f>VLOOKUP(CurrentMtgRatesDataTable825[[#This Row],[asOfDate]],CurrentMtgRatesDataTable8256[#All],2,0)</f>
        <v>0.54749050352200102</v>
      </c>
      <c r="G23" s="27">
        <f>VLOOKUP(CurrentMtgRatesDataTable825[[#This Row],[asOfDate]],CurrentMtgRatesDataTable82562[],2,0)</f>
        <v>0.43555598618784247</v>
      </c>
      <c r="H23" s="27">
        <f>VLOOKUP(CurrentMtgRatesDataTable825[[#This Row],[asOfDate]],CurrentMtgRatesDataTable825623[#All],2,0)</f>
        <v>0.33125092721379307</v>
      </c>
      <c r="J23" s="24">
        <v>40689</v>
      </c>
      <c r="K23" s="26">
        <v>0.54749050352200102</v>
      </c>
      <c r="L23" s="26">
        <f ca="1">VLOOKUP(CurrentMtgRatesDataTable8256[[#This Row],[asOfDate]]+1,Bloomberg!B:C,2,0)</f>
        <v>2619.6999999999998</v>
      </c>
      <c r="N23" s="24">
        <v>40689</v>
      </c>
      <c r="O23" s="26">
        <v>0.43555598618784247</v>
      </c>
      <c r="Q23" s="24">
        <v>40689</v>
      </c>
      <c r="R23" s="27">
        <v>0.33125092721379307</v>
      </c>
    </row>
    <row r="24" spans="2:18">
      <c r="B24" s="24">
        <v>40696</v>
      </c>
      <c r="C24" s="27">
        <v>0.66311590107349083</v>
      </c>
      <c r="D24" s="27">
        <v>0.7347059091300473</v>
      </c>
      <c r="E24" s="6">
        <f ca="1">VLOOKUP(CurrentMtgRatesDataTable825[[#This Row],[asOfDate]]+1,Bloomberg!B:C,2,0)</f>
        <v>2648</v>
      </c>
      <c r="F24" s="27">
        <f>VLOOKUP(CurrentMtgRatesDataTable825[[#This Row],[asOfDate]],CurrentMtgRatesDataTable8256[#All],2,0)</f>
        <v>0.61801719649367404</v>
      </c>
      <c r="G24" s="27">
        <f>VLOOKUP(CurrentMtgRatesDataTable825[[#This Row],[asOfDate]],CurrentMtgRatesDataTable82562[],2,0)</f>
        <v>0.46833004093796882</v>
      </c>
      <c r="H24" s="27">
        <f>VLOOKUP(CurrentMtgRatesDataTable825[[#This Row],[asOfDate]],CurrentMtgRatesDataTable825623[#All],2,0)</f>
        <v>0.3691835869311077</v>
      </c>
      <c r="J24" s="24">
        <v>40696</v>
      </c>
      <c r="K24" s="26">
        <v>0.61801719649367404</v>
      </c>
      <c r="L24" s="26">
        <f ca="1">VLOOKUP(CurrentMtgRatesDataTable8256[[#This Row],[asOfDate]]+1,Bloomberg!B:C,2,0)</f>
        <v>2648</v>
      </c>
      <c r="N24" s="24">
        <v>40696</v>
      </c>
      <c r="O24" s="26">
        <v>0.46833004093796882</v>
      </c>
      <c r="Q24" s="24">
        <v>40696</v>
      </c>
      <c r="R24" s="27">
        <v>0.3691835869311077</v>
      </c>
    </row>
    <row r="25" spans="2:18">
      <c r="B25" s="24">
        <v>40703</v>
      </c>
      <c r="C25" s="27">
        <v>0.74517189360077984</v>
      </c>
      <c r="D25" s="27">
        <v>0.76041153985573084</v>
      </c>
      <c r="E25" s="6">
        <f ca="1">VLOOKUP(CurrentMtgRatesDataTable825[[#This Row],[asOfDate]]+1,Bloomberg!B:C,2,0)</f>
        <v>3101.7</v>
      </c>
      <c r="F25" s="27">
        <f>VLOOKUP(CurrentMtgRatesDataTable825[[#This Row],[asOfDate]],CurrentMtgRatesDataTable8256[#All],2,0)</f>
        <v>0.61814735042604474</v>
      </c>
      <c r="G25" s="27">
        <f>VLOOKUP(CurrentMtgRatesDataTable825[[#This Row],[asOfDate]],CurrentMtgRatesDataTable82562[],2,0)</f>
        <v>0.49669725190003489</v>
      </c>
      <c r="H25" s="27">
        <f>VLOOKUP(CurrentMtgRatesDataTable825[[#This Row],[asOfDate]],CurrentMtgRatesDataTable825623[#All],2,0)</f>
        <v>0.39508524505835663</v>
      </c>
      <c r="J25" s="24">
        <v>40703</v>
      </c>
      <c r="K25" s="26">
        <v>0.61814735042604474</v>
      </c>
      <c r="L25" s="26">
        <f ca="1">VLOOKUP(CurrentMtgRatesDataTable8256[[#This Row],[asOfDate]]+1,Bloomberg!B:C,2,0)</f>
        <v>3101.7</v>
      </c>
      <c r="N25" s="24">
        <v>40703</v>
      </c>
      <c r="O25" s="26">
        <v>0.49669725190003489</v>
      </c>
      <c r="Q25" s="24">
        <v>40703</v>
      </c>
      <c r="R25" s="27">
        <v>0.39508524505835663</v>
      </c>
    </row>
    <row r="26" spans="2:18">
      <c r="B26" s="24">
        <v>40710</v>
      </c>
      <c r="C26" s="27">
        <v>0.72397022872334449</v>
      </c>
      <c r="D26" s="27">
        <v>0.7347059091300473</v>
      </c>
      <c r="E26" s="6">
        <f ca="1">VLOOKUP(CurrentMtgRatesDataTable825[[#This Row],[asOfDate]]+1,Bloomberg!B:C,2,0)</f>
        <v>2857.9</v>
      </c>
      <c r="F26" s="27">
        <f>VLOOKUP(CurrentMtgRatesDataTable825[[#This Row],[asOfDate]],CurrentMtgRatesDataTable8256[#All],2,0)</f>
        <v>0.61809095300776584</v>
      </c>
      <c r="G26" s="27">
        <f>VLOOKUP(CurrentMtgRatesDataTable825[[#This Row],[asOfDate]],CurrentMtgRatesDataTable82562[],2,0)</f>
        <v>0.49664385093217528</v>
      </c>
      <c r="H26" s="27">
        <f>VLOOKUP(CurrentMtgRatesDataTable825[[#This Row],[asOfDate]],CurrentMtgRatesDataTable825623[#All],2,0)</f>
        <v>0.39503378326956207</v>
      </c>
      <c r="J26" s="24">
        <v>40710</v>
      </c>
      <c r="K26" s="26">
        <v>0.61809095300776584</v>
      </c>
      <c r="L26" s="26">
        <f ca="1">VLOOKUP(CurrentMtgRatesDataTable8256[[#This Row],[asOfDate]]+1,Bloomberg!B:C,2,0)</f>
        <v>2857.9</v>
      </c>
      <c r="N26" s="24">
        <v>40710</v>
      </c>
      <c r="O26" s="26">
        <v>0.49664385093217528</v>
      </c>
      <c r="Q26" s="24">
        <v>40710</v>
      </c>
      <c r="R26" s="27">
        <v>0.39503378326956207</v>
      </c>
    </row>
    <row r="27" spans="2:18">
      <c r="B27" s="24">
        <v>40717</v>
      </c>
      <c r="C27" s="27">
        <v>0.66311590107349083</v>
      </c>
      <c r="D27" s="27">
        <v>0.7347059091300473</v>
      </c>
      <c r="E27" s="6">
        <f ca="1">VLOOKUP(CurrentMtgRatesDataTable825[[#This Row],[asOfDate]]+1,Bloomberg!B:C,2,0)</f>
        <v>2809.5</v>
      </c>
      <c r="F27" s="27">
        <f>VLOOKUP(CurrentMtgRatesDataTable825[[#This Row],[asOfDate]],CurrentMtgRatesDataTable8256[#All],2,0)</f>
        <v>0.61801719649367404</v>
      </c>
      <c r="G27" s="27">
        <f>VLOOKUP(CurrentMtgRatesDataTable825[[#This Row],[asOfDate]],CurrentMtgRatesDataTable82562[],2,0)</f>
        <v>0.46833004093796882</v>
      </c>
      <c r="H27" s="27">
        <f>VLOOKUP(CurrentMtgRatesDataTable825[[#This Row],[asOfDate]],CurrentMtgRatesDataTable825623[#All],2,0)</f>
        <v>0.3691835869311077</v>
      </c>
      <c r="J27" s="24">
        <v>40717</v>
      </c>
      <c r="K27" s="26">
        <v>0.61801719649367404</v>
      </c>
      <c r="L27" s="26">
        <f ca="1">VLOOKUP(CurrentMtgRatesDataTable8256[[#This Row],[asOfDate]]+1,Bloomberg!B:C,2,0)</f>
        <v>2809.5</v>
      </c>
      <c r="N27" s="24">
        <v>40717</v>
      </c>
      <c r="O27" s="26">
        <v>0.46833004093796882</v>
      </c>
      <c r="Q27" s="24">
        <v>40717</v>
      </c>
      <c r="R27" s="27">
        <v>0.3691835869311077</v>
      </c>
    </row>
    <row r="28" spans="2:18">
      <c r="B28" s="24">
        <v>40724</v>
      </c>
      <c r="C28" s="27">
        <v>0.69050447134038251</v>
      </c>
      <c r="D28" s="27">
        <v>0.7347059091300473</v>
      </c>
      <c r="E28" s="6">
        <f ca="1">VLOOKUP(CurrentMtgRatesDataTable825[[#This Row],[asOfDate]]+1,Bloomberg!B:C,2,0)</f>
        <v>2527.5</v>
      </c>
      <c r="F28" s="27">
        <f>VLOOKUP(CurrentMtgRatesDataTable825[[#This Row],[asOfDate]],CurrentMtgRatesDataTable8256[#All],2,0)</f>
        <v>0.61807450623887938</v>
      </c>
      <c r="G28" s="27">
        <f>VLOOKUP(CurrentMtgRatesDataTable825[[#This Row],[asOfDate]],CurrentMtgRatesDataTable82562[],2,0)</f>
        <v>0.49558485830124249</v>
      </c>
      <c r="H28" s="27">
        <f>VLOOKUP(CurrentMtgRatesDataTable825[[#This Row],[asOfDate]],CurrentMtgRatesDataTable825623[#All],2,0)</f>
        <v>0.39407405863936062</v>
      </c>
      <c r="J28" s="24">
        <v>40724</v>
      </c>
      <c r="K28" s="26">
        <v>0.61807450623887938</v>
      </c>
      <c r="L28" s="26">
        <f ca="1">VLOOKUP(CurrentMtgRatesDataTable8256[[#This Row],[asOfDate]]+1,Bloomberg!B:C,2,0)</f>
        <v>2527.5</v>
      </c>
      <c r="N28" s="24">
        <v>40724</v>
      </c>
      <c r="O28" s="26">
        <v>0.49558485830124249</v>
      </c>
      <c r="Q28" s="24">
        <v>40724</v>
      </c>
      <c r="R28" s="27">
        <v>0.39407405863936062</v>
      </c>
    </row>
    <row r="29" spans="2:18">
      <c r="B29" s="24">
        <v>40731</v>
      </c>
      <c r="C29" s="27">
        <v>0.60410549631050647</v>
      </c>
      <c r="D29" s="27">
        <v>0.64909255345717498</v>
      </c>
      <c r="E29" s="6">
        <f ca="1">VLOOKUP(CurrentMtgRatesDataTable825[[#This Row],[asOfDate]]+1,Bloomberg!B:C,2,0)</f>
        <v>2362.6999999999998</v>
      </c>
      <c r="F29" s="27">
        <f>VLOOKUP(CurrentMtgRatesDataTable825[[#This Row],[asOfDate]],CurrentMtgRatesDataTable8256[#All],2,0)</f>
        <v>0.5369732812748057</v>
      </c>
      <c r="G29" s="27">
        <f>VLOOKUP(CurrentMtgRatesDataTable825[[#This Row],[asOfDate]],CurrentMtgRatesDataTable82562[],2,0)</f>
        <v>0.4231622022976208</v>
      </c>
      <c r="H29" s="27">
        <f>VLOOKUP(CurrentMtgRatesDataTable825[[#This Row],[asOfDate]],CurrentMtgRatesDataTable825623[#All],2,0)</f>
        <v>0.32953309642129813</v>
      </c>
      <c r="J29" s="24">
        <v>40731</v>
      </c>
      <c r="K29" s="26">
        <v>0.5369732812748057</v>
      </c>
      <c r="L29" s="26">
        <f ca="1">VLOOKUP(CurrentMtgRatesDataTable8256[[#This Row],[asOfDate]]+1,Bloomberg!B:C,2,0)</f>
        <v>2362.6999999999998</v>
      </c>
      <c r="N29" s="24">
        <v>40731</v>
      </c>
      <c r="O29" s="26">
        <v>0.4231622022976208</v>
      </c>
      <c r="Q29" s="24">
        <v>40731</v>
      </c>
      <c r="R29" s="27">
        <v>0.32953309642129813</v>
      </c>
    </row>
    <row r="30" spans="2:18">
      <c r="B30" s="24">
        <v>40738</v>
      </c>
      <c r="C30" s="27">
        <v>0.684475421712615</v>
      </c>
      <c r="D30" s="27">
        <v>0.7284188578245433</v>
      </c>
      <c r="E30" s="6">
        <f ca="1">VLOOKUP(CurrentMtgRatesDataTable825[[#This Row],[asOfDate]]+1,Bloomberg!B:C,2,0)</f>
        <v>2923.8</v>
      </c>
      <c r="F30" s="27">
        <f>VLOOKUP(CurrentMtgRatesDataTable825[[#This Row],[asOfDate]],CurrentMtgRatesDataTable8256[#All],2,0)</f>
        <v>0.61264472977114681</v>
      </c>
      <c r="G30" s="27">
        <f>VLOOKUP(CurrentMtgRatesDataTable825[[#This Row],[asOfDate]],CurrentMtgRatesDataTable82562[],2,0)</f>
        <v>0.4891408433280437</v>
      </c>
      <c r="H30" s="27">
        <f>VLOOKUP(CurrentMtgRatesDataTable825[[#This Row],[asOfDate]],CurrentMtgRatesDataTable825623[#All],2,0)</f>
        <v>0.39198068984469925</v>
      </c>
      <c r="J30" s="24">
        <v>40738</v>
      </c>
      <c r="K30" s="26">
        <v>0.61264472977114681</v>
      </c>
      <c r="L30" s="26">
        <f ca="1">VLOOKUP(CurrentMtgRatesDataTable8256[[#This Row],[asOfDate]]+1,Bloomberg!B:C,2,0)</f>
        <v>2923.8</v>
      </c>
      <c r="N30" s="24">
        <v>40738</v>
      </c>
      <c r="O30" s="26">
        <v>0.4891408433280437</v>
      </c>
      <c r="Q30" s="24">
        <v>40738</v>
      </c>
      <c r="R30" s="27">
        <v>0.39198068984469925</v>
      </c>
    </row>
    <row r="31" spans="2:18">
      <c r="B31" s="24">
        <v>40745</v>
      </c>
      <c r="C31" s="27">
        <v>0.66675683999516944</v>
      </c>
      <c r="D31" s="27">
        <v>0.7284188578245433</v>
      </c>
      <c r="E31" s="6">
        <f ca="1">VLOOKUP(CurrentMtgRatesDataTable825[[#This Row],[asOfDate]]+1,Bloomberg!B:C,2,0)</f>
        <v>2769.6</v>
      </c>
      <c r="F31" s="27">
        <f>VLOOKUP(CurrentMtgRatesDataTable825[[#This Row],[asOfDate]],CurrentMtgRatesDataTable8256[#All],2,0)</f>
        <v>0.61259676686406817</v>
      </c>
      <c r="G31" s="27">
        <f>VLOOKUP(CurrentMtgRatesDataTable825[[#This Row],[asOfDate]],CurrentMtgRatesDataTable82562[],2,0)</f>
        <v>0.46188508246971671</v>
      </c>
      <c r="H31" s="27">
        <f>VLOOKUP(CurrentMtgRatesDataTable825[[#This Row],[asOfDate]],CurrentMtgRatesDataTable825623[#All],2,0)</f>
        <v>0.36688328154710265</v>
      </c>
      <c r="J31" s="24">
        <v>40745</v>
      </c>
      <c r="K31" s="26">
        <v>0.61259676686406817</v>
      </c>
      <c r="L31" s="26">
        <f ca="1">VLOOKUP(CurrentMtgRatesDataTable8256[[#This Row],[asOfDate]]+1,Bloomberg!B:C,2,0)</f>
        <v>2769.6</v>
      </c>
      <c r="N31" s="24">
        <v>40745</v>
      </c>
      <c r="O31" s="26">
        <v>0.46188508246971671</v>
      </c>
      <c r="Q31" s="24">
        <v>40745</v>
      </c>
      <c r="R31" s="27">
        <v>0.36688328154710265</v>
      </c>
    </row>
    <row r="32" spans="2:18">
      <c r="B32" s="24">
        <v>40752</v>
      </c>
      <c r="C32" s="27">
        <v>0.61660059317974736</v>
      </c>
      <c r="D32" s="27">
        <v>0.69852231146178889</v>
      </c>
      <c r="E32" s="6">
        <f ca="1">VLOOKUP(CurrentMtgRatesDataTable825[[#This Row],[asOfDate]]+1,Bloomberg!B:C,2,0)</f>
        <v>2974.1</v>
      </c>
      <c r="F32" s="27">
        <f>VLOOKUP(CurrentMtgRatesDataTable825[[#This Row],[asOfDate]],CurrentMtgRatesDataTable8256[#All],2,0)</f>
        <v>0.60542736860140534</v>
      </c>
      <c r="G32" s="27">
        <f>VLOOKUP(CurrentMtgRatesDataTable825[[#This Row],[asOfDate]],CurrentMtgRatesDataTable82562[],2,0)</f>
        <v>0.46038198187588519</v>
      </c>
      <c r="H32" s="27">
        <f>VLOOKUP(CurrentMtgRatesDataTable825[[#This Row],[asOfDate]],CurrentMtgRatesDataTable825623[#All],2,0)</f>
        <v>0.36550585923079215</v>
      </c>
      <c r="J32" s="24">
        <v>40752</v>
      </c>
      <c r="K32" s="26">
        <v>0.60542736860140534</v>
      </c>
      <c r="L32" s="26">
        <f ca="1">VLOOKUP(CurrentMtgRatesDataTable8256[[#This Row],[asOfDate]]+1,Bloomberg!B:C,2,0)</f>
        <v>2974.1</v>
      </c>
      <c r="N32" s="24">
        <v>40752</v>
      </c>
      <c r="O32" s="26">
        <v>0.46038198187588519</v>
      </c>
      <c r="Q32" s="24">
        <v>40752</v>
      </c>
      <c r="R32" s="27">
        <v>0.36550585923079215</v>
      </c>
    </row>
    <row r="33" spans="2:18">
      <c r="B33" s="24">
        <v>40759</v>
      </c>
      <c r="C33" s="27">
        <v>0.81803711941746404</v>
      </c>
      <c r="D33" s="27">
        <v>0.83492534711256061</v>
      </c>
      <c r="E33" s="6">
        <f ca="1">VLOOKUP(CurrentMtgRatesDataTable825[[#This Row],[asOfDate]]+1,Bloomberg!B:C,2,0)</f>
        <v>3880.9</v>
      </c>
      <c r="F33" s="27">
        <f>VLOOKUP(CurrentMtgRatesDataTable825[[#This Row],[asOfDate]],CurrentMtgRatesDataTable8256[#All],2,0)</f>
        <v>0.74150202177436741</v>
      </c>
      <c r="G33" s="27">
        <f>VLOOKUP(CurrentMtgRatesDataTable825[[#This Row],[asOfDate]],CurrentMtgRatesDataTable82562[],2,0)</f>
        <v>0.54649100919559479</v>
      </c>
      <c r="H33" s="27">
        <f>VLOOKUP(CurrentMtgRatesDataTable825[[#This Row],[asOfDate]],CurrentMtgRatesDataTable825623[#All],2,0)</f>
        <v>0.45050394711351643</v>
      </c>
      <c r="J33" s="24">
        <v>40759</v>
      </c>
      <c r="K33" s="26">
        <v>0.74150202177436741</v>
      </c>
      <c r="L33" s="26">
        <f ca="1">VLOOKUP(CurrentMtgRatesDataTable8256[[#This Row],[asOfDate]]+1,Bloomberg!B:C,2,0)</f>
        <v>3880.9</v>
      </c>
      <c r="N33" s="24">
        <v>40759</v>
      </c>
      <c r="O33" s="26">
        <v>0.54649100919559479</v>
      </c>
      <c r="Q33" s="24">
        <v>40759</v>
      </c>
      <c r="R33" s="27">
        <v>0.45050394711351643</v>
      </c>
    </row>
    <row r="34" spans="2:18">
      <c r="B34" s="24">
        <v>40766</v>
      </c>
      <c r="C34" s="27">
        <v>0.83404184296119399</v>
      </c>
      <c r="D34" s="27">
        <v>0.88875019752941409</v>
      </c>
      <c r="E34" s="6">
        <f ca="1">VLOOKUP(CurrentMtgRatesDataTable825[[#This Row],[asOfDate]]+1,Bloomberg!B:C,2,0)</f>
        <v>4184.3999999999996</v>
      </c>
      <c r="F34" s="27">
        <f>VLOOKUP(CurrentMtgRatesDataTable825[[#This Row],[asOfDate]],CurrentMtgRatesDataTable8256[#All],2,0)</f>
        <v>0.84590073793359044</v>
      </c>
      <c r="G34" s="27">
        <f>VLOOKUP(CurrentMtgRatesDataTable825[[#This Row],[asOfDate]],CurrentMtgRatesDataTable82562[],2,0)</f>
        <v>0.67200434208070026</v>
      </c>
      <c r="H34" s="27">
        <f>VLOOKUP(CurrentMtgRatesDataTable825[[#This Row],[asOfDate]],CurrentMtgRatesDataTable825623[#All],2,0)</f>
        <v>0.57202234451964995</v>
      </c>
      <c r="J34" s="24">
        <v>40766</v>
      </c>
      <c r="K34" s="26">
        <v>0.84590073793359044</v>
      </c>
      <c r="L34" s="26">
        <f ca="1">VLOOKUP(CurrentMtgRatesDataTable8256[[#This Row],[asOfDate]]+1,Bloomberg!B:C,2,0)</f>
        <v>4184.3999999999996</v>
      </c>
      <c r="N34" s="24">
        <v>40766</v>
      </c>
      <c r="O34" s="26">
        <v>0.67200434208070026</v>
      </c>
      <c r="Q34" s="24">
        <v>40766</v>
      </c>
      <c r="R34" s="27">
        <v>0.57202234451964995</v>
      </c>
    </row>
    <row r="35" spans="2:18">
      <c r="B35" s="24">
        <v>40773</v>
      </c>
      <c r="C35" s="27">
        <v>0.86117434904403212</v>
      </c>
      <c r="D35" s="27">
        <v>0.91199672693643297</v>
      </c>
      <c r="E35" s="6">
        <f ca="1">VLOOKUP(CurrentMtgRatesDataTable825[[#This Row],[asOfDate]]+1,Bloomberg!B:C,2,0)</f>
        <v>4110.8</v>
      </c>
      <c r="F35" s="27">
        <f>VLOOKUP(CurrentMtgRatesDataTable825[[#This Row],[asOfDate]],CurrentMtgRatesDataTable8256[#All],2,0)</f>
        <v>0.88586751140233078</v>
      </c>
      <c r="G35" s="27">
        <f>VLOOKUP(CurrentMtgRatesDataTable825[[#This Row],[asOfDate]],CurrentMtgRatesDataTable82562[],2,0)</f>
        <v>0.7663996274481748</v>
      </c>
      <c r="H35" s="27">
        <f>VLOOKUP(CurrentMtgRatesDataTable825[[#This Row],[asOfDate]],CurrentMtgRatesDataTable825623[#All],2,0)</f>
        <v>0.66665601955240716</v>
      </c>
      <c r="J35" s="24">
        <v>40773</v>
      </c>
      <c r="K35" s="26">
        <v>0.88586751140233078</v>
      </c>
      <c r="L35" s="26">
        <f ca="1">VLOOKUP(CurrentMtgRatesDataTable8256[[#This Row],[asOfDate]]+1,Bloomberg!B:C,2,0)</f>
        <v>4110.8</v>
      </c>
      <c r="N35" s="24">
        <v>40773</v>
      </c>
      <c r="O35" s="26">
        <v>0.7663996274481748</v>
      </c>
      <c r="Q35" s="24">
        <v>40773</v>
      </c>
      <c r="R35" s="27">
        <v>0.66665601955240716</v>
      </c>
    </row>
    <row r="36" spans="2:18">
      <c r="B36" s="24">
        <v>40780</v>
      </c>
      <c r="C36" s="27">
        <v>0.84714025108084823</v>
      </c>
      <c r="D36" s="27">
        <v>0.91191601669342437</v>
      </c>
      <c r="E36" s="6">
        <f ca="1">VLOOKUP(CurrentMtgRatesDataTable825[[#This Row],[asOfDate]]+1,Bloomberg!B:C,2,0)</f>
        <v>3601.3</v>
      </c>
      <c r="F36" s="27">
        <f>VLOOKUP(CurrentMtgRatesDataTable825[[#This Row],[asOfDate]],CurrentMtgRatesDataTable8256[#All],2,0)</f>
        <v>0.8463192849236576</v>
      </c>
      <c r="G36" s="27">
        <f>VLOOKUP(CurrentMtgRatesDataTable825[[#This Row],[asOfDate]],CurrentMtgRatesDataTable82562[],2,0)</f>
        <v>0.71511546513717161</v>
      </c>
      <c r="H36" s="27">
        <f>VLOOKUP(CurrentMtgRatesDataTable825[[#This Row],[asOfDate]],CurrentMtgRatesDataTable825623[#All],2,0)</f>
        <v>0.61340669597098385</v>
      </c>
      <c r="J36" s="24">
        <v>40780</v>
      </c>
      <c r="K36" s="26">
        <v>0.8463192849236576</v>
      </c>
      <c r="L36" s="26">
        <f ca="1">VLOOKUP(CurrentMtgRatesDataTable8256[[#This Row],[asOfDate]]+1,Bloomberg!B:C,2,0)</f>
        <v>3601.3</v>
      </c>
      <c r="N36" s="24">
        <v>40780</v>
      </c>
      <c r="O36" s="26">
        <v>0.71511546513717161</v>
      </c>
      <c r="Q36" s="24">
        <v>40780</v>
      </c>
      <c r="R36" s="27">
        <v>0.61340669597098385</v>
      </c>
    </row>
    <row r="37" spans="2:18">
      <c r="B37" s="24">
        <v>40787</v>
      </c>
      <c r="C37" s="27">
        <v>0.84129278814437181</v>
      </c>
      <c r="D37" s="27">
        <v>0.90450950912657213</v>
      </c>
      <c r="E37" s="6">
        <f ca="1">VLOOKUP(CurrentMtgRatesDataTable825[[#This Row],[asOfDate]]+1,Bloomberg!B:C,2,0)</f>
        <v>3372</v>
      </c>
      <c r="F37" s="27">
        <f>VLOOKUP(CurrentMtgRatesDataTable825[[#This Row],[asOfDate]],CurrentMtgRatesDataTable8256[#All],2,0)</f>
        <v>0.84045690434216458</v>
      </c>
      <c r="G37" s="27">
        <f>VLOOKUP(CurrentMtgRatesDataTable825[[#This Row],[asOfDate]],CurrentMtgRatesDataTable82562[],2,0)</f>
        <v>0.70671480720576585</v>
      </c>
      <c r="H37" s="27">
        <f>VLOOKUP(CurrentMtgRatesDataTable825[[#This Row],[asOfDate]],CurrentMtgRatesDataTable825623[#All],2,0)</f>
        <v>0.61043584134215234</v>
      </c>
      <c r="J37" s="24">
        <v>40787</v>
      </c>
      <c r="K37" s="26">
        <v>0.84045690434216458</v>
      </c>
      <c r="L37" s="26">
        <f ca="1">VLOOKUP(CurrentMtgRatesDataTable8256[[#This Row],[asOfDate]]+1,Bloomberg!B:C,2,0)</f>
        <v>3372</v>
      </c>
      <c r="N37" s="24">
        <v>40787</v>
      </c>
      <c r="O37" s="26">
        <v>0.70671480720576585</v>
      </c>
      <c r="Q37" s="24">
        <v>40787</v>
      </c>
      <c r="R37" s="27">
        <v>0.61043584134215234</v>
      </c>
    </row>
    <row r="38" spans="2:18">
      <c r="B38" s="24">
        <v>40794</v>
      </c>
      <c r="C38" s="27">
        <v>0.87859103936280614</v>
      </c>
      <c r="D38" s="27">
        <v>0.93360184365154009</v>
      </c>
      <c r="E38" s="6">
        <f ca="1">VLOOKUP(CurrentMtgRatesDataTable825[[#This Row],[asOfDate]]+1,Bloomberg!B:C,2,0)</f>
        <v>3571.7</v>
      </c>
      <c r="F38" s="27">
        <f>VLOOKUP(CurrentMtgRatesDataTable825[[#This Row],[asOfDate]],CurrentMtgRatesDataTable8256[#All],2,0)</f>
        <v>0.88186934327029209</v>
      </c>
      <c r="G38" s="27">
        <f>VLOOKUP(CurrentMtgRatesDataTable825[[#This Row],[asOfDate]],CurrentMtgRatesDataTable82562[],2,0)</f>
        <v>0.78365106016665087</v>
      </c>
      <c r="H38" s="27">
        <f>VLOOKUP(CurrentMtgRatesDataTable825[[#This Row],[asOfDate]],CurrentMtgRatesDataTable825623[#All],2,0)</f>
        <v>0.68911896233120773</v>
      </c>
      <c r="J38" s="24">
        <v>40794</v>
      </c>
      <c r="K38" s="26">
        <v>0.88186934327029209</v>
      </c>
      <c r="L38" s="26">
        <f ca="1">VLOOKUP(CurrentMtgRatesDataTable8256[[#This Row],[asOfDate]]+1,Bloomberg!B:C,2,0)</f>
        <v>3571.7</v>
      </c>
      <c r="N38" s="24">
        <v>40794</v>
      </c>
      <c r="O38" s="26">
        <v>0.78365106016665087</v>
      </c>
      <c r="Q38" s="24">
        <v>40794</v>
      </c>
      <c r="R38" s="27">
        <v>0.68911896233120773</v>
      </c>
    </row>
    <row r="39" spans="2:18">
      <c r="B39" s="24">
        <v>40801</v>
      </c>
      <c r="C39" s="27">
        <v>0.90242289630359074</v>
      </c>
      <c r="D39" s="27">
        <v>0.93360184365154009</v>
      </c>
      <c r="E39" s="6">
        <f ca="1">VLOOKUP(CurrentMtgRatesDataTable825[[#This Row],[asOfDate]]+1,Bloomberg!B:C,2,0)</f>
        <v>4033.8</v>
      </c>
      <c r="F39" s="27">
        <f>VLOOKUP(CurrentMtgRatesDataTable825[[#This Row],[asOfDate]],CurrentMtgRatesDataTable8256[#All],2,0)</f>
        <v>0.88191978475653932</v>
      </c>
      <c r="G39" s="27">
        <f>VLOOKUP(CurrentMtgRatesDataTable825[[#This Row],[asOfDate]],CurrentMtgRatesDataTable82562[],2,0)</f>
        <v>0.7837514446358208</v>
      </c>
      <c r="H39" s="27">
        <f>VLOOKUP(CurrentMtgRatesDataTable825[[#This Row],[asOfDate]],CurrentMtgRatesDataTable825623[#All],2,0)</f>
        <v>0.68921930805544263</v>
      </c>
      <c r="J39" s="24">
        <v>40801</v>
      </c>
      <c r="K39" s="26">
        <v>0.88191978475653932</v>
      </c>
      <c r="L39" s="26">
        <f ca="1">VLOOKUP(CurrentMtgRatesDataTable8256[[#This Row],[asOfDate]]+1,Bloomberg!B:C,2,0)</f>
        <v>4033.8</v>
      </c>
      <c r="N39" s="24">
        <v>40801</v>
      </c>
      <c r="O39" s="26">
        <v>0.7837514446358208</v>
      </c>
      <c r="Q39" s="24">
        <v>40801</v>
      </c>
      <c r="R39" s="27">
        <v>0.68921930805544263</v>
      </c>
    </row>
    <row r="40" spans="2:18">
      <c r="B40" s="24">
        <v>40808</v>
      </c>
      <c r="C40" s="27">
        <v>0.90242289630359074</v>
      </c>
      <c r="D40" s="27">
        <v>0.93360184365154009</v>
      </c>
      <c r="E40" s="6">
        <f ca="1">VLOOKUP(CurrentMtgRatesDataTable825[[#This Row],[asOfDate]]+1,Bloomberg!B:C,2,0)</f>
        <v>4512.1000000000004</v>
      </c>
      <c r="F40" s="27">
        <f>VLOOKUP(CurrentMtgRatesDataTable825[[#This Row],[asOfDate]],CurrentMtgRatesDataTable8256[#All],2,0)</f>
        <v>0.88191978475653932</v>
      </c>
      <c r="G40" s="27">
        <f>VLOOKUP(CurrentMtgRatesDataTable825[[#This Row],[asOfDate]],CurrentMtgRatesDataTable82562[],2,0)</f>
        <v>0.7837514446358208</v>
      </c>
      <c r="H40" s="27">
        <f>VLOOKUP(CurrentMtgRatesDataTable825[[#This Row],[asOfDate]],CurrentMtgRatesDataTable825623[#All],2,0)</f>
        <v>0.68921930805544263</v>
      </c>
      <c r="J40" s="24">
        <v>40808</v>
      </c>
      <c r="K40" s="26">
        <v>0.88191978475653932</v>
      </c>
      <c r="L40" s="26">
        <f ca="1">VLOOKUP(CurrentMtgRatesDataTable8256[[#This Row],[asOfDate]]+1,Bloomberg!B:C,2,0)</f>
        <v>4512.1000000000004</v>
      </c>
      <c r="N40" s="24">
        <v>40808</v>
      </c>
      <c r="O40" s="26">
        <v>0.7837514446358208</v>
      </c>
      <c r="Q40" s="24">
        <v>40808</v>
      </c>
      <c r="R40" s="27">
        <v>0.68921930805544263</v>
      </c>
    </row>
    <row r="41" spans="2:18">
      <c r="B41" s="24">
        <v>40815</v>
      </c>
      <c r="C41" s="27">
        <v>0.94644262124543443</v>
      </c>
      <c r="D41" s="27">
        <v>0.97670030100241489</v>
      </c>
      <c r="E41" s="6">
        <f ca="1">VLOOKUP(CurrentMtgRatesDataTable825[[#This Row],[asOfDate]]+1,Bloomberg!B:C,2,0)</f>
        <v>4241.8</v>
      </c>
      <c r="F41" s="27">
        <f>VLOOKUP(CurrentMtgRatesDataTable825[[#This Row],[asOfDate]],CurrentMtgRatesDataTable8256[#All],2,0)</f>
        <v>0.92481236623397145</v>
      </c>
      <c r="G41" s="27">
        <f>VLOOKUP(CurrentMtgRatesDataTable825[[#This Row],[asOfDate]],CurrentMtgRatesDataTable82562[],2,0)</f>
        <v>0.83498862515913175</v>
      </c>
      <c r="H41" s="27">
        <f>VLOOKUP(CurrentMtgRatesDataTable825[[#This Row],[asOfDate]],CurrentMtgRatesDataTable825623[#All],2,0)</f>
        <v>0.74085165408919718</v>
      </c>
      <c r="J41" s="24">
        <v>40815</v>
      </c>
      <c r="K41" s="26">
        <v>0.92481236623397145</v>
      </c>
      <c r="L41" s="26">
        <f ca="1">VLOOKUP(CurrentMtgRatesDataTable8256[[#This Row],[asOfDate]]+1,Bloomberg!B:C,2,0)</f>
        <v>4241.8</v>
      </c>
      <c r="N41" s="24">
        <v>40815</v>
      </c>
      <c r="O41" s="26">
        <v>0.83498862515913175</v>
      </c>
      <c r="Q41" s="24">
        <v>40815</v>
      </c>
      <c r="R41" s="27">
        <v>0.74085165408919718</v>
      </c>
    </row>
    <row r="42" spans="2:18">
      <c r="B42" s="24">
        <v>40822</v>
      </c>
      <c r="C42" s="27">
        <v>0.96725200604215567</v>
      </c>
      <c r="D42" s="27">
        <v>0.99979065637593989</v>
      </c>
      <c r="E42" s="6">
        <f ca="1">VLOOKUP(CurrentMtgRatesDataTable825[[#This Row],[asOfDate]]+1,Bloomberg!B:C,2,0)</f>
        <v>4251.1000000000004</v>
      </c>
      <c r="F42" s="27">
        <f>VLOOKUP(CurrentMtgRatesDataTable825[[#This Row],[asOfDate]],CurrentMtgRatesDataTable8256[#All],2,0)</f>
        <v>0.91682101113682013</v>
      </c>
      <c r="G42" s="27">
        <f>VLOOKUP(CurrentMtgRatesDataTable825[[#This Row],[asOfDate]],CurrentMtgRatesDataTable82562[],2,0)</f>
        <v>0.82464608861521083</v>
      </c>
      <c r="H42" s="27">
        <f>VLOOKUP(CurrentMtgRatesDataTable825[[#This Row],[asOfDate]],CurrentMtgRatesDataTable825623[#All],2,0)</f>
        <v>0.7283352335565505</v>
      </c>
      <c r="J42" s="24">
        <v>40822</v>
      </c>
      <c r="K42" s="26">
        <v>0.91682101113682013</v>
      </c>
      <c r="L42" s="26">
        <f ca="1">VLOOKUP(CurrentMtgRatesDataTable8256[[#This Row],[asOfDate]]+1,Bloomberg!B:C,2,0)</f>
        <v>4251.1000000000004</v>
      </c>
      <c r="N42" s="24">
        <v>40822</v>
      </c>
      <c r="O42" s="26">
        <v>0.82464608861521083</v>
      </c>
      <c r="Q42" s="24">
        <v>40822</v>
      </c>
      <c r="R42" s="27">
        <v>0.7283352335565505</v>
      </c>
    </row>
    <row r="43" spans="2:18">
      <c r="B43" s="24">
        <v>40829</v>
      </c>
      <c r="C43" s="27">
        <v>0.84917694017596268</v>
      </c>
      <c r="D43" s="27">
        <v>0.92382582368575217</v>
      </c>
      <c r="E43" s="6">
        <f ca="1">VLOOKUP(CurrentMtgRatesDataTable825[[#This Row],[asOfDate]]+1,Bloomberg!B:C,2,0)</f>
        <v>3553.2</v>
      </c>
      <c r="F43" s="27">
        <f>VLOOKUP(CurrentMtgRatesDataTable825[[#This Row],[asOfDate]],CurrentMtgRatesDataTable8256[#All],2,0)</f>
        <v>0.87184341688215217</v>
      </c>
      <c r="G43" s="27">
        <f>VLOOKUP(CurrentMtgRatesDataTable825[[#This Row],[asOfDate]],CurrentMtgRatesDataTable82562[],2,0)</f>
        <v>0.74680883180338908</v>
      </c>
      <c r="H43" s="27">
        <f>VLOOKUP(CurrentMtgRatesDataTable825[[#This Row],[asOfDate]],CurrentMtgRatesDataTable825623[#All],2,0)</f>
        <v>0.65022815919416987</v>
      </c>
      <c r="J43" s="24">
        <v>40829</v>
      </c>
      <c r="K43" s="26">
        <v>0.87184341688215217</v>
      </c>
      <c r="L43" s="26">
        <f ca="1">VLOOKUP(CurrentMtgRatesDataTable8256[[#This Row],[asOfDate]]+1,Bloomberg!B:C,2,0)</f>
        <v>3553.2</v>
      </c>
      <c r="N43" s="24">
        <v>40829</v>
      </c>
      <c r="O43" s="26">
        <v>0.74680883180338908</v>
      </c>
      <c r="Q43" s="24">
        <v>40829</v>
      </c>
      <c r="R43" s="27">
        <v>0.65022815919416987</v>
      </c>
    </row>
    <row r="44" spans="2:18">
      <c r="B44" s="24">
        <v>40836</v>
      </c>
      <c r="C44" s="27">
        <v>0.85635864773186432</v>
      </c>
      <c r="D44" s="27">
        <v>0.92382582368575217</v>
      </c>
      <c r="E44" s="6">
        <f ca="1">VLOOKUP(CurrentMtgRatesDataTable825[[#This Row],[asOfDate]]+1,Bloomberg!B:C,2,0)</f>
        <v>3719.3</v>
      </c>
      <c r="F44" s="27">
        <f>VLOOKUP(CurrentMtgRatesDataTable825[[#This Row],[asOfDate]],CurrentMtgRatesDataTable8256[#All],2,0)</f>
        <v>0.87184733410546966</v>
      </c>
      <c r="G44" s="27">
        <f>VLOOKUP(CurrentMtgRatesDataTable825[[#This Row],[asOfDate]],CurrentMtgRatesDataTable82562[],2,0)</f>
        <v>0.77166909679426787</v>
      </c>
      <c r="H44" s="27">
        <f>VLOOKUP(CurrentMtgRatesDataTable825[[#This Row],[asOfDate]],CurrentMtgRatesDataTable825623[#All],2,0)</f>
        <v>0.67496554048719415</v>
      </c>
      <c r="J44" s="24">
        <v>40836</v>
      </c>
      <c r="K44" s="26">
        <v>0.87184733410546966</v>
      </c>
      <c r="L44" s="26">
        <f ca="1">VLOOKUP(CurrentMtgRatesDataTable8256[[#This Row],[asOfDate]]+1,Bloomberg!B:C,2,0)</f>
        <v>3719.3</v>
      </c>
      <c r="N44" s="24">
        <v>40836</v>
      </c>
      <c r="O44" s="26">
        <v>0.77166909679426787</v>
      </c>
      <c r="Q44" s="24">
        <v>40836</v>
      </c>
      <c r="R44" s="27">
        <v>0.67496554048719415</v>
      </c>
    </row>
    <row r="45" spans="2:18">
      <c r="B45" s="24">
        <v>40843</v>
      </c>
      <c r="C45" s="27">
        <v>0.86512672485653175</v>
      </c>
      <c r="D45" s="27">
        <v>0.92382582368575217</v>
      </c>
      <c r="E45" s="6">
        <f ca="1">VLOOKUP(CurrentMtgRatesDataTable825[[#This Row],[asOfDate]]+1,Bloomberg!B:C,2,0)</f>
        <v>3695</v>
      </c>
      <c r="F45" s="27">
        <f>VLOOKUP(CurrentMtgRatesDataTable825[[#This Row],[asOfDate]],CurrentMtgRatesDataTable8256[#All],2,0)</f>
        <v>0.87190767917521173</v>
      </c>
      <c r="G45" s="27">
        <f>VLOOKUP(CurrentMtgRatesDataTable825[[#This Row],[asOfDate]],CurrentMtgRatesDataTable82562[],2,0)</f>
        <v>0.77177730779426668</v>
      </c>
      <c r="H45" s="27">
        <f>VLOOKUP(CurrentMtgRatesDataTable825[[#This Row],[asOfDate]],CurrentMtgRatesDataTable825623[#All],2,0)</f>
        <v>0.67510900125173667</v>
      </c>
      <c r="J45" s="24">
        <v>40843</v>
      </c>
      <c r="K45" s="26">
        <v>0.87190767917521173</v>
      </c>
      <c r="L45" s="26">
        <f ca="1">VLOOKUP(CurrentMtgRatesDataTable8256[[#This Row],[asOfDate]]+1,Bloomberg!B:C,2,0)</f>
        <v>3695</v>
      </c>
      <c r="N45" s="24">
        <v>40843</v>
      </c>
      <c r="O45" s="26">
        <v>0.77177730779426668</v>
      </c>
      <c r="Q45" s="24">
        <v>40843</v>
      </c>
      <c r="R45" s="27">
        <v>0.67510900125173667</v>
      </c>
    </row>
    <row r="46" spans="2:18">
      <c r="B46" s="24">
        <v>40850</v>
      </c>
      <c r="C46" s="27">
        <v>0.93485323798856346</v>
      </c>
      <c r="D46" s="27">
        <v>0.94896087986943234</v>
      </c>
      <c r="E46" s="6">
        <f ca="1">VLOOKUP(CurrentMtgRatesDataTable825[[#This Row],[asOfDate]]+1,Bloomberg!B:C,2,0)</f>
        <v>4137.6000000000004</v>
      </c>
      <c r="F46" s="27">
        <f>VLOOKUP(CurrentMtgRatesDataTable825[[#This Row],[asOfDate]],CurrentMtgRatesDataTable8256[#All],2,0)</f>
        <v>0.90632973266278982</v>
      </c>
      <c r="G46" s="27">
        <f>VLOOKUP(CurrentMtgRatesDataTable825[[#This Row],[asOfDate]],CurrentMtgRatesDataTable82562[],2,0)</f>
        <v>0.81210214976440742</v>
      </c>
      <c r="H46" s="27">
        <f>VLOOKUP(CurrentMtgRatesDataTable825[[#This Row],[asOfDate]],CurrentMtgRatesDataTable825623[#All],2,0)</f>
        <v>0.71321272785210488</v>
      </c>
      <c r="J46" s="24">
        <v>40850</v>
      </c>
      <c r="K46" s="26">
        <v>0.90632973266278982</v>
      </c>
      <c r="L46" s="26">
        <f ca="1">VLOOKUP(CurrentMtgRatesDataTable8256[[#This Row],[asOfDate]]+1,Bloomberg!B:C,2,0)</f>
        <v>4137.6000000000004</v>
      </c>
      <c r="N46" s="24">
        <v>40850</v>
      </c>
      <c r="O46" s="26">
        <v>0.81210214976440742</v>
      </c>
      <c r="Q46" s="24">
        <v>40850</v>
      </c>
      <c r="R46" s="27">
        <v>0.71321272785210488</v>
      </c>
    </row>
    <row r="47" spans="2:18">
      <c r="B47" s="24">
        <v>40857</v>
      </c>
      <c r="C47" s="27">
        <v>0.94404770550683115</v>
      </c>
      <c r="D47" s="27">
        <v>0.97193701769959251</v>
      </c>
      <c r="E47" s="6">
        <f ca="1">VLOOKUP(CurrentMtgRatesDataTable825[[#This Row],[asOfDate]]+1,Bloomberg!B:C,2,0)</f>
        <v>3664.5</v>
      </c>
      <c r="F47" s="27">
        <f>VLOOKUP(CurrentMtgRatesDataTable825[[#This Row],[asOfDate]],CurrentMtgRatesDataTable8256[#All],2,0)</f>
        <v>0.9063475730739603</v>
      </c>
      <c r="G47" s="27">
        <f>VLOOKUP(CurrentMtgRatesDataTable825[[#This Row],[asOfDate]],CurrentMtgRatesDataTable82562[],2,0)</f>
        <v>0.81212237068018323</v>
      </c>
      <c r="H47" s="27">
        <f>VLOOKUP(CurrentMtgRatesDataTable825[[#This Row],[asOfDate]],CurrentMtgRatesDataTable825623[#All],2,0)</f>
        <v>0.71323324235131957</v>
      </c>
      <c r="J47" s="24">
        <v>40857</v>
      </c>
      <c r="K47" s="26">
        <v>0.9063475730739603</v>
      </c>
      <c r="L47" s="26">
        <f ca="1">VLOOKUP(CurrentMtgRatesDataTable8256[[#This Row],[asOfDate]]+1,Bloomberg!B:C,2,0)</f>
        <v>3664.5</v>
      </c>
      <c r="N47" s="24">
        <v>40857</v>
      </c>
      <c r="O47" s="26">
        <v>0.81212237068018323</v>
      </c>
      <c r="Q47" s="24">
        <v>40857</v>
      </c>
      <c r="R47" s="27">
        <v>0.71323324235131957</v>
      </c>
    </row>
    <row r="48" spans="2:18">
      <c r="B48" s="24">
        <v>40864</v>
      </c>
      <c r="C48" s="27">
        <v>0.93485323798856346</v>
      </c>
      <c r="D48" s="27">
        <v>0.94896087986943234</v>
      </c>
      <c r="E48" s="6">
        <f ca="1">VLOOKUP(CurrentMtgRatesDataTable825[[#This Row],[asOfDate]]+1,Bloomberg!B:C,2,0)</f>
        <v>3466.8</v>
      </c>
      <c r="F48" s="27">
        <f>VLOOKUP(CurrentMtgRatesDataTable825[[#This Row],[asOfDate]],CurrentMtgRatesDataTable8256[#All],2,0)</f>
        <v>0.90632973266278982</v>
      </c>
      <c r="G48" s="27">
        <f>VLOOKUP(CurrentMtgRatesDataTable825[[#This Row],[asOfDate]],CurrentMtgRatesDataTable82562[],2,0)</f>
        <v>0.81210214976440742</v>
      </c>
      <c r="H48" s="27">
        <f>VLOOKUP(CurrentMtgRatesDataTable825[[#This Row],[asOfDate]],CurrentMtgRatesDataTable825623[#All],2,0)</f>
        <v>0.71321272785210488</v>
      </c>
      <c r="J48" s="24">
        <v>40864</v>
      </c>
      <c r="K48" s="26">
        <v>0.90632973266278982</v>
      </c>
      <c r="L48" s="26">
        <f ca="1">VLOOKUP(CurrentMtgRatesDataTable8256[[#This Row],[asOfDate]]+1,Bloomberg!B:C,2,0)</f>
        <v>3466.8</v>
      </c>
      <c r="N48" s="24">
        <v>40864</v>
      </c>
      <c r="O48" s="26">
        <v>0.81210214976440742</v>
      </c>
      <c r="Q48" s="24">
        <v>40864</v>
      </c>
      <c r="R48" s="27">
        <v>0.71321272785210488</v>
      </c>
    </row>
    <row r="49" spans="2:18">
      <c r="B49" s="24">
        <v>40870</v>
      </c>
      <c r="C49" s="27">
        <v>0.94997170807452469</v>
      </c>
      <c r="D49" s="27">
        <v>0.97193701769959251</v>
      </c>
      <c r="E49" s="6" t="e">
        <f ca="1">VLOOKUP(CurrentMtgRatesDataTable825[[#This Row],[asOfDate]]+1,Bloomberg!B:C,2,0)</f>
        <v>#N/A</v>
      </c>
      <c r="F49" s="27">
        <f>VLOOKUP(CurrentMtgRatesDataTable825[[#This Row],[asOfDate]],CurrentMtgRatesDataTable8256[#All],2,0)</f>
        <v>0.90635487345396593</v>
      </c>
      <c r="G49" s="27">
        <f>VLOOKUP(CurrentMtgRatesDataTable825[[#This Row],[asOfDate]],CurrentMtgRatesDataTable82562[],2,0)</f>
        <v>0.81214333713123688</v>
      </c>
      <c r="H49" s="27">
        <f>VLOOKUP(CurrentMtgRatesDataTable825[[#This Row],[asOfDate]],CurrentMtgRatesDataTable825623[#All],2,0)</f>
        <v>0.71325364250112233</v>
      </c>
      <c r="J49" s="24">
        <v>40870</v>
      </c>
      <c r="K49" s="26">
        <v>0.90635487345396593</v>
      </c>
      <c r="L49" s="26" t="e">
        <f ca="1">VLOOKUP(CurrentMtgRatesDataTable8256[[#This Row],[asOfDate]]+1,Bloomberg!B:C,2,0)</f>
        <v>#N/A</v>
      </c>
      <c r="N49" s="24">
        <v>40870</v>
      </c>
      <c r="O49" s="26">
        <v>0.81214333713123688</v>
      </c>
      <c r="Q49" s="24">
        <v>40870</v>
      </c>
      <c r="R49" s="27">
        <v>0.71325364250112233</v>
      </c>
    </row>
    <row r="50" spans="2:18">
      <c r="B50" s="24">
        <v>40878</v>
      </c>
      <c r="C50" s="27">
        <v>0.91542628506626045</v>
      </c>
      <c r="D50" s="27">
        <v>0.92419999876805836</v>
      </c>
      <c r="E50" s="6">
        <f ca="1">VLOOKUP(CurrentMtgRatesDataTable825[[#This Row],[asOfDate]]+1,Bloomberg!B:C,2,0)</f>
        <v>3394.7</v>
      </c>
      <c r="F50" s="27">
        <f>VLOOKUP(CurrentMtgRatesDataTable825[[#This Row],[asOfDate]],CurrentMtgRatesDataTable8256[#All],2,0)</f>
        <v>0.89703139526962428</v>
      </c>
      <c r="G50" s="27">
        <f>VLOOKUP(CurrentMtgRatesDataTable825[[#This Row],[asOfDate]],CurrentMtgRatesDataTable82562[],2,0)</f>
        <v>0.80131714106218799</v>
      </c>
      <c r="H50" s="27">
        <f>VLOOKUP(CurrentMtgRatesDataTable825[[#This Row],[asOfDate]],CurrentMtgRatesDataTable825623[#All],2,0)</f>
        <v>0.69921469866784125</v>
      </c>
      <c r="J50" s="24">
        <v>40878</v>
      </c>
      <c r="K50" s="26">
        <v>0.89703139526962428</v>
      </c>
      <c r="L50" s="26">
        <f ca="1">VLOOKUP(CurrentMtgRatesDataTable8256[[#This Row],[asOfDate]]+1,Bloomberg!B:C,2,0)</f>
        <v>3394.7</v>
      </c>
      <c r="N50" s="24">
        <v>40878</v>
      </c>
      <c r="O50" s="26">
        <v>0.80131714106218799</v>
      </c>
      <c r="Q50" s="24">
        <v>40878</v>
      </c>
      <c r="R50" s="27">
        <v>0.69921469866784125</v>
      </c>
    </row>
    <row r="51" spans="2:18">
      <c r="B51" s="24">
        <v>40885</v>
      </c>
      <c r="C51" s="27">
        <v>0.9248746068169833</v>
      </c>
      <c r="D51" s="27">
        <v>0.94688538908647324</v>
      </c>
      <c r="E51" s="6">
        <f ca="1">VLOOKUP(CurrentMtgRatesDataTable825[[#This Row],[asOfDate]]+1,Bloomberg!B:C,2,0)</f>
        <v>3708.6</v>
      </c>
      <c r="F51" s="27">
        <f>VLOOKUP(CurrentMtgRatesDataTable825[[#This Row],[asOfDate]],CurrentMtgRatesDataTable8256[#All],2,0)</f>
        <v>0.89704903447944062</v>
      </c>
      <c r="G51" s="27">
        <f>VLOOKUP(CurrentMtgRatesDataTable825[[#This Row],[asOfDate]],CurrentMtgRatesDataTable82562[],2,0)</f>
        <v>0.80133697224368616</v>
      </c>
      <c r="H51" s="27">
        <f>VLOOKUP(CurrentMtgRatesDataTable825[[#This Row],[asOfDate]],CurrentMtgRatesDataTable825623[#All],2,0)</f>
        <v>0.69923497192416595</v>
      </c>
      <c r="J51" s="24">
        <v>40885</v>
      </c>
      <c r="K51" s="26">
        <v>0.89704903447944062</v>
      </c>
      <c r="L51" s="26">
        <f ca="1">VLOOKUP(CurrentMtgRatesDataTable8256[[#This Row],[asOfDate]]+1,Bloomberg!B:C,2,0)</f>
        <v>3708.6</v>
      </c>
      <c r="N51" s="24">
        <v>40885</v>
      </c>
      <c r="O51" s="26">
        <v>0.80133697224368616</v>
      </c>
      <c r="Q51" s="24">
        <v>40885</v>
      </c>
      <c r="R51" s="27">
        <v>0.69923497192416595</v>
      </c>
    </row>
    <row r="52" spans="2:18">
      <c r="B52" s="24">
        <v>40892</v>
      </c>
      <c r="C52" s="27">
        <v>0.93969161247928745</v>
      </c>
      <c r="D52" s="27">
        <v>0.9637001459402228</v>
      </c>
      <c r="E52" s="6">
        <f ca="1">VLOOKUP(CurrentMtgRatesDataTable825[[#This Row],[asOfDate]]+1,Bloomberg!B:C,2,0)</f>
        <v>3676.1</v>
      </c>
      <c r="F52" s="27">
        <f>VLOOKUP(CurrentMtgRatesDataTable825[[#This Row],[asOfDate]],CurrentMtgRatesDataTable8256[#All],2,0)</f>
        <v>0.89709375429273885</v>
      </c>
      <c r="G52" s="27">
        <f>VLOOKUP(CurrentMtgRatesDataTable825[[#This Row],[asOfDate]],CurrentMtgRatesDataTable82562[],2,0)</f>
        <v>0.80138641481181627</v>
      </c>
      <c r="H52" s="27">
        <f>VLOOKUP(CurrentMtgRatesDataTable825[[#This Row],[asOfDate]],CurrentMtgRatesDataTable825623[#All],2,0)</f>
        <v>0.69928350198009037</v>
      </c>
      <c r="J52" s="24">
        <v>40892</v>
      </c>
      <c r="K52" s="26">
        <v>0.89709375429273885</v>
      </c>
      <c r="L52" s="26">
        <f ca="1">VLOOKUP(CurrentMtgRatesDataTable8256[[#This Row],[asOfDate]]+1,Bloomberg!B:C,2,0)</f>
        <v>3676.1</v>
      </c>
      <c r="N52" s="24">
        <v>40892</v>
      </c>
      <c r="O52" s="26">
        <v>0.80138641481181627</v>
      </c>
      <c r="Q52" s="24">
        <v>40892</v>
      </c>
      <c r="R52" s="27">
        <v>0.69928350198009037</v>
      </c>
    </row>
    <row r="53" spans="2:18">
      <c r="B53" s="24">
        <v>40899</v>
      </c>
      <c r="C53" s="27">
        <v>0.9601958662364245</v>
      </c>
      <c r="D53" s="27">
        <v>0.9637001459402228</v>
      </c>
      <c r="E53" s="6">
        <f ca="1">VLOOKUP(CurrentMtgRatesDataTable825[[#This Row],[asOfDate]]+1,Bloomberg!B:C,2,0)</f>
        <v>3684.5</v>
      </c>
      <c r="F53" s="27">
        <f>VLOOKUP(CurrentMtgRatesDataTable825[[#This Row],[asOfDate]],CurrentMtgRatesDataTable8256[#All],2,0)</f>
        <v>0.94137030351529016</v>
      </c>
      <c r="G53" s="27">
        <f>VLOOKUP(CurrentMtgRatesDataTable825[[#This Row],[asOfDate]],CurrentMtgRatesDataTable82562[],2,0)</f>
        <v>0.83345797278415235</v>
      </c>
      <c r="H53" s="27">
        <f>VLOOKUP(CurrentMtgRatesDataTable825[[#This Row],[asOfDate]],CurrentMtgRatesDataTable825623[#All],2,0)</f>
        <v>0.73130536310420036</v>
      </c>
      <c r="J53" s="24">
        <v>40899</v>
      </c>
      <c r="K53" s="26">
        <v>0.94137030351529016</v>
      </c>
      <c r="L53" s="26">
        <f ca="1">VLOOKUP(CurrentMtgRatesDataTable8256[[#This Row],[asOfDate]]+1,Bloomberg!B:C,2,0)</f>
        <v>3684.5</v>
      </c>
      <c r="N53" s="24">
        <v>40899</v>
      </c>
      <c r="O53" s="26">
        <v>0.83345797278415235</v>
      </c>
      <c r="Q53" s="24">
        <v>40899</v>
      </c>
      <c r="R53" s="27">
        <v>0.73130536310420036</v>
      </c>
    </row>
    <row r="54" spans="2:18">
      <c r="B54" s="24">
        <v>40906</v>
      </c>
      <c r="C54" s="27">
        <v>0.94762260030460288</v>
      </c>
      <c r="D54" s="27">
        <v>0.9637001459402228</v>
      </c>
      <c r="E54" s="6">
        <f ca="1">VLOOKUP(CurrentMtgRatesDataTable825[[#This Row],[asOfDate]]+1,Bloomberg!B:C,2,0)</f>
        <v>3608.1</v>
      </c>
      <c r="F54" s="27">
        <f>VLOOKUP(CurrentMtgRatesDataTable825[[#This Row],[asOfDate]],CurrentMtgRatesDataTable8256[#All],2,0)</f>
        <v>0.94128842871061857</v>
      </c>
      <c r="G54" s="27">
        <f>VLOOKUP(CurrentMtgRatesDataTable825[[#This Row],[asOfDate]],CurrentMtgRatesDataTable82562[],2,0)</f>
        <v>0.83326986939749803</v>
      </c>
      <c r="H54" s="27">
        <f>VLOOKUP(CurrentMtgRatesDataTable825[[#This Row],[asOfDate]],CurrentMtgRatesDataTable825623[#All],2,0)</f>
        <v>0.7311164441815301</v>
      </c>
      <c r="J54" s="24">
        <v>40906</v>
      </c>
      <c r="K54" s="26">
        <v>0.94128842871061857</v>
      </c>
      <c r="L54" s="26">
        <f ca="1">VLOOKUP(CurrentMtgRatesDataTable8256[[#This Row],[asOfDate]]+1,Bloomberg!B:C,2,0)</f>
        <v>3608.1</v>
      </c>
      <c r="N54" s="24">
        <v>40906</v>
      </c>
      <c r="O54" s="26">
        <v>0.83326986939749803</v>
      </c>
      <c r="Q54" s="24">
        <v>40906</v>
      </c>
      <c r="R54" s="27">
        <v>0.7311164441815301</v>
      </c>
    </row>
    <row r="55" spans="2:18">
      <c r="B55" s="24">
        <v>40913</v>
      </c>
      <c r="C55" s="27">
        <v>0.94481773750585774</v>
      </c>
      <c r="D55" s="27">
        <v>0.94521629687954278</v>
      </c>
      <c r="E55" s="6">
        <f ca="1">VLOOKUP(CurrentMtgRatesDataTable825[[#This Row],[asOfDate]]+1,Bloomberg!B:C,2,0)</f>
        <v>3668.3</v>
      </c>
      <c r="F55" s="27">
        <f>VLOOKUP(CurrentMtgRatesDataTable825[[#This Row],[asOfDate]],CurrentMtgRatesDataTable8256[#All],2,0)</f>
        <v>0.93080329806075279</v>
      </c>
      <c r="G55" s="27">
        <f>VLOOKUP(CurrentMtgRatesDataTable825[[#This Row],[asOfDate]],CurrentMtgRatesDataTable82562[],2,0)</f>
        <v>0.81925494810495469</v>
      </c>
      <c r="H55" s="27">
        <f>VLOOKUP(CurrentMtgRatesDataTable825[[#This Row],[asOfDate]],CurrentMtgRatesDataTable825623[#All],2,0)</f>
        <v>0.71872246623497638</v>
      </c>
      <c r="J55" s="24">
        <v>40913</v>
      </c>
      <c r="K55" s="26">
        <v>0.93080329806075279</v>
      </c>
      <c r="L55" s="26">
        <f ca="1">VLOOKUP(CurrentMtgRatesDataTable8256[[#This Row],[asOfDate]]+1,Bloomberg!B:C,2,0)</f>
        <v>3668.3</v>
      </c>
      <c r="N55" s="24">
        <v>40913</v>
      </c>
      <c r="O55" s="26">
        <v>0.81925494810495469</v>
      </c>
      <c r="Q55" s="24">
        <v>40913</v>
      </c>
      <c r="R55" s="27">
        <v>0.71872246623497638</v>
      </c>
    </row>
    <row r="56" spans="2:18">
      <c r="B56" s="24">
        <v>40920</v>
      </c>
      <c r="C56" s="27">
        <v>0.95320351892281485</v>
      </c>
      <c r="D56" s="27">
        <v>0.94521629687954278</v>
      </c>
      <c r="E56" s="6">
        <f ca="1">VLOOKUP(CurrentMtgRatesDataTable825[[#This Row],[asOfDate]]+1,Bloomberg!B:C,2,0)</f>
        <v>4626.5</v>
      </c>
      <c r="F56" s="27">
        <f>VLOOKUP(CurrentMtgRatesDataTable825[[#This Row],[asOfDate]],CurrentMtgRatesDataTable8256[#All],2,0)</f>
        <v>0.93090646498108043</v>
      </c>
      <c r="G56" s="27">
        <f>VLOOKUP(CurrentMtgRatesDataTable825[[#This Row],[asOfDate]],CurrentMtgRatesDataTable82562[],2,0)</f>
        <v>0.82032067926847052</v>
      </c>
      <c r="H56" s="27">
        <f>VLOOKUP(CurrentMtgRatesDataTable825[[#This Row],[asOfDate]],CurrentMtgRatesDataTable825623[#All],2,0)</f>
        <v>0.71892720085282324</v>
      </c>
      <c r="J56" s="24">
        <v>40920</v>
      </c>
      <c r="K56" s="26">
        <v>0.93090646498108043</v>
      </c>
      <c r="L56" s="26">
        <f ca="1">VLOOKUP(CurrentMtgRatesDataTable8256[[#This Row],[asOfDate]]+1,Bloomberg!B:C,2,0)</f>
        <v>4626.5</v>
      </c>
      <c r="N56" s="24">
        <v>40920</v>
      </c>
      <c r="O56" s="26">
        <v>0.82032067926847052</v>
      </c>
      <c r="Q56" s="24">
        <v>40920</v>
      </c>
      <c r="R56" s="27">
        <v>0.71892720085282324</v>
      </c>
    </row>
    <row r="57" spans="2:18">
      <c r="B57" s="24">
        <v>40927</v>
      </c>
      <c r="C57" s="27">
        <v>0.95182771809710431</v>
      </c>
      <c r="D57" s="27">
        <v>0.94521629687954278</v>
      </c>
      <c r="E57" s="6">
        <f ca="1">VLOOKUP(CurrentMtgRatesDataTable825[[#This Row],[asOfDate]]+1,Bloomberg!B:C,2,0)</f>
        <v>4326.3999999999996</v>
      </c>
      <c r="F57" s="27">
        <f>VLOOKUP(CurrentMtgRatesDataTable825[[#This Row],[asOfDate]],CurrentMtgRatesDataTable8256[#All],2,0)</f>
        <v>0.93088678298606131</v>
      </c>
      <c r="G57" s="27">
        <f>VLOOKUP(CurrentMtgRatesDataTable825[[#This Row],[asOfDate]],CurrentMtgRatesDataTable82562[],2,0)</f>
        <v>0.81933976111781182</v>
      </c>
      <c r="H57" s="27">
        <f>VLOOKUP(CurrentMtgRatesDataTable825[[#This Row],[asOfDate]],CurrentMtgRatesDataTable825623[#All],2,0)</f>
        <v>0.71880362926806407</v>
      </c>
      <c r="J57" s="24">
        <v>40927</v>
      </c>
      <c r="K57" s="26">
        <v>0.93088678298606131</v>
      </c>
      <c r="L57" s="26">
        <f ca="1">VLOOKUP(CurrentMtgRatesDataTable8256[[#This Row],[asOfDate]]+1,Bloomberg!B:C,2,0)</f>
        <v>4326.3999999999996</v>
      </c>
      <c r="N57" s="24">
        <v>40927</v>
      </c>
      <c r="O57" s="26">
        <v>0.81933976111781182</v>
      </c>
      <c r="Q57" s="24">
        <v>40927</v>
      </c>
      <c r="R57" s="27">
        <v>0.71880362926806407</v>
      </c>
    </row>
    <row r="58" spans="2:18">
      <c r="B58" s="24">
        <v>40934</v>
      </c>
      <c r="C58" s="27">
        <v>0.91861521434498927</v>
      </c>
      <c r="D58" s="27">
        <v>0.92836813009332531</v>
      </c>
      <c r="E58" s="6">
        <f ca="1">VLOOKUP(CurrentMtgRatesDataTable825[[#This Row],[asOfDate]]+1,Bloomberg!B:C,2,0)</f>
        <v>4184.3</v>
      </c>
      <c r="F58" s="27">
        <f>VLOOKUP(CurrentMtgRatesDataTable825[[#This Row],[asOfDate]],CurrentMtgRatesDataTable8256[#All],2,0)</f>
        <v>0.88426645621178879</v>
      </c>
      <c r="G58" s="27">
        <f>VLOOKUP(CurrentMtgRatesDataTable825[[#This Row],[asOfDate]],CurrentMtgRatesDataTable82562[],2,0)</f>
        <v>0.78644763675568363</v>
      </c>
      <c r="H58" s="27">
        <f>VLOOKUP(CurrentMtgRatesDataTable825[[#This Row],[asOfDate]],CurrentMtgRatesDataTable825623[#All],2,0)</f>
        <v>0.68591641414675153</v>
      </c>
      <c r="J58" s="24">
        <v>40934</v>
      </c>
      <c r="K58" s="26">
        <v>0.88426645621178879</v>
      </c>
      <c r="L58" s="26">
        <f ca="1">VLOOKUP(CurrentMtgRatesDataTable8256[[#This Row],[asOfDate]]+1,Bloomberg!B:C,2,0)</f>
        <v>4184.3</v>
      </c>
      <c r="N58" s="24">
        <v>40934</v>
      </c>
      <c r="O58" s="26">
        <v>0.78644763675568363</v>
      </c>
      <c r="Q58" s="24">
        <v>40934</v>
      </c>
      <c r="R58" s="27">
        <v>0.68591641414675153</v>
      </c>
    </row>
    <row r="59" spans="2:18">
      <c r="B59" s="24">
        <v>40941</v>
      </c>
      <c r="C59" s="27">
        <v>0.94107838104995334</v>
      </c>
      <c r="D59" s="27">
        <v>0.92614028462655573</v>
      </c>
      <c r="E59" s="6">
        <f ca="1">VLOOKUP(CurrentMtgRatesDataTable825[[#This Row],[asOfDate]]+1,Bloomberg!B:C,2,0)</f>
        <v>4617.1000000000004</v>
      </c>
      <c r="F59" s="27">
        <f>VLOOKUP(CurrentMtgRatesDataTable825[[#This Row],[asOfDate]],CurrentMtgRatesDataTable8256[#All],2,0)</f>
        <v>0.91360112522716286</v>
      </c>
      <c r="G59" s="27">
        <f>VLOOKUP(CurrentMtgRatesDataTable825[[#This Row],[asOfDate]],CurrentMtgRatesDataTable82562[],2,0)</f>
        <v>0.79931718417277497</v>
      </c>
      <c r="H59" s="27">
        <f>VLOOKUP(CurrentMtgRatesDataTable825[[#This Row],[asOfDate]],CurrentMtgRatesDataTable825623[#All],2,0)</f>
        <v>0.70090674609623727</v>
      </c>
      <c r="J59" s="24">
        <v>40941</v>
      </c>
      <c r="K59" s="26">
        <v>0.91360112522716286</v>
      </c>
      <c r="L59" s="26">
        <f ca="1">VLOOKUP(CurrentMtgRatesDataTable8256[[#This Row],[asOfDate]]+1,Bloomberg!B:C,2,0)</f>
        <v>4617.1000000000004</v>
      </c>
      <c r="N59" s="24">
        <v>40941</v>
      </c>
      <c r="O59" s="26">
        <v>0.79931718417277497</v>
      </c>
      <c r="Q59" s="24">
        <v>40941</v>
      </c>
      <c r="R59" s="27">
        <v>0.70090674609623727</v>
      </c>
    </row>
    <row r="60" spans="2:18">
      <c r="B60" s="24">
        <v>40948</v>
      </c>
      <c r="C60" s="27">
        <v>0.94107838104995334</v>
      </c>
      <c r="D60" s="27">
        <v>0.92614028462655573</v>
      </c>
      <c r="E60" s="6">
        <f ca="1">VLOOKUP(CurrentMtgRatesDataTable825[[#This Row],[asOfDate]]+1,Bloomberg!B:C,2,0)</f>
        <v>4716.1000000000004</v>
      </c>
      <c r="F60" s="27">
        <f>VLOOKUP(CurrentMtgRatesDataTable825[[#This Row],[asOfDate]],CurrentMtgRatesDataTable8256[#All],2,0)</f>
        <v>0.91360112522716286</v>
      </c>
      <c r="G60" s="27">
        <f>VLOOKUP(CurrentMtgRatesDataTable825[[#This Row],[asOfDate]],CurrentMtgRatesDataTable82562[],2,0)</f>
        <v>0.79931718417277497</v>
      </c>
      <c r="H60" s="27">
        <f>VLOOKUP(CurrentMtgRatesDataTable825[[#This Row],[asOfDate]],CurrentMtgRatesDataTable825623[#All],2,0)</f>
        <v>0.70090674609623727</v>
      </c>
      <c r="J60" s="24">
        <v>40948</v>
      </c>
      <c r="K60" s="26">
        <v>0.91360112522716286</v>
      </c>
      <c r="L60" s="26">
        <f ca="1">VLOOKUP(CurrentMtgRatesDataTable8256[[#This Row],[asOfDate]]+1,Bloomberg!B:C,2,0)</f>
        <v>4716.1000000000004</v>
      </c>
      <c r="N60" s="24">
        <v>40948</v>
      </c>
      <c r="O60" s="26">
        <v>0.79931718417277497</v>
      </c>
      <c r="Q60" s="24">
        <v>40948</v>
      </c>
      <c r="R60" s="27">
        <v>0.70090674609623727</v>
      </c>
    </row>
    <row r="61" spans="2:18">
      <c r="B61" s="24">
        <v>40955</v>
      </c>
      <c r="C61" s="27">
        <v>0.94107838104995334</v>
      </c>
      <c r="D61" s="27">
        <v>0.92614028462655573</v>
      </c>
      <c r="E61" s="6">
        <f ca="1">VLOOKUP(CurrentMtgRatesDataTable825[[#This Row],[asOfDate]]+1,Bloomberg!B:C,2,0)</f>
        <v>4466.8999999999996</v>
      </c>
      <c r="F61" s="27">
        <f>VLOOKUP(CurrentMtgRatesDataTable825[[#This Row],[asOfDate]],CurrentMtgRatesDataTable8256[#All],2,0)</f>
        <v>0.91360112522716286</v>
      </c>
      <c r="G61" s="27">
        <f>VLOOKUP(CurrentMtgRatesDataTable825[[#This Row],[asOfDate]],CurrentMtgRatesDataTable82562[],2,0)</f>
        <v>0.79931718417277497</v>
      </c>
      <c r="H61" s="27">
        <f>VLOOKUP(CurrentMtgRatesDataTable825[[#This Row],[asOfDate]],CurrentMtgRatesDataTable825623[#All],2,0)</f>
        <v>0.70090674609623727</v>
      </c>
      <c r="J61" s="24">
        <v>40955</v>
      </c>
      <c r="K61" s="26">
        <v>0.91360112522716286</v>
      </c>
      <c r="L61" s="26">
        <f ca="1">VLOOKUP(CurrentMtgRatesDataTable8256[[#This Row],[asOfDate]]+1,Bloomberg!B:C,2,0)</f>
        <v>4466.8999999999996</v>
      </c>
      <c r="N61" s="24">
        <v>40955</v>
      </c>
      <c r="O61" s="26">
        <v>0.79931718417277497</v>
      </c>
      <c r="Q61" s="24">
        <v>40955</v>
      </c>
      <c r="R61" s="27">
        <v>0.70090674609623727</v>
      </c>
    </row>
    <row r="62" spans="2:18">
      <c r="B62" s="24">
        <v>40962</v>
      </c>
      <c r="C62" s="27">
        <v>0.90921329115869776</v>
      </c>
      <c r="D62" s="27">
        <v>0.90939509439675226</v>
      </c>
      <c r="E62" s="6">
        <f ca="1">VLOOKUP(CurrentMtgRatesDataTable825[[#This Row],[asOfDate]]+1,Bloomberg!B:C,2,0)</f>
        <v>4379.1000000000004</v>
      </c>
      <c r="F62" s="27">
        <f>VLOOKUP(CurrentMtgRatesDataTable825[[#This Row],[asOfDate]],CurrentMtgRatesDataTable8256[#All],2,0)</f>
        <v>0.86453426929410926</v>
      </c>
      <c r="G62" s="27">
        <f>VLOOKUP(CurrentMtgRatesDataTable825[[#This Row],[asOfDate]],CurrentMtgRatesDataTable82562[],2,0)</f>
        <v>0.76607100832003672</v>
      </c>
      <c r="H62" s="27">
        <f>VLOOKUP(CurrentMtgRatesDataTable825[[#This Row],[asOfDate]],CurrentMtgRatesDataTable825623[#All],2,0)</f>
        <v>0.66768685957234042</v>
      </c>
      <c r="J62" s="24">
        <v>40962</v>
      </c>
      <c r="K62" s="26">
        <v>0.86453426929410926</v>
      </c>
      <c r="L62" s="26">
        <f ca="1">VLOOKUP(CurrentMtgRatesDataTable8256[[#This Row],[asOfDate]]+1,Bloomberg!B:C,2,0)</f>
        <v>4379.1000000000004</v>
      </c>
      <c r="N62" s="24">
        <v>40962</v>
      </c>
      <c r="O62" s="26">
        <v>0.76607100832003672</v>
      </c>
      <c r="Q62" s="24">
        <v>40962</v>
      </c>
      <c r="R62" s="27">
        <v>0.66768685957234042</v>
      </c>
    </row>
    <row r="63" spans="2:18">
      <c r="B63" s="24">
        <v>40969</v>
      </c>
      <c r="C63" s="27">
        <v>0.91584710240533518</v>
      </c>
      <c r="D63" s="27">
        <v>0.89500065288885389</v>
      </c>
      <c r="E63" s="6">
        <f ca="1">VLOOKUP(CurrentMtgRatesDataTable825[[#This Row],[asOfDate]]+1,Bloomberg!B:C,2,0)</f>
        <v>4277.6000000000004</v>
      </c>
      <c r="F63" s="27">
        <f>VLOOKUP(CurrentMtgRatesDataTable825[[#This Row],[asOfDate]],CurrentMtgRatesDataTable8256[#All],2,0)</f>
        <v>0.8998965016430206</v>
      </c>
      <c r="G63" s="27">
        <f>VLOOKUP(CurrentMtgRatesDataTable825[[#This Row],[asOfDate]],CurrentMtgRatesDataTable82562[],2,0)</f>
        <v>0.78263387351827951</v>
      </c>
      <c r="H63" s="27">
        <f>VLOOKUP(CurrentMtgRatesDataTable825[[#This Row],[asOfDate]],CurrentMtgRatesDataTable825623[#All],2,0)</f>
        <v>0.68578772853860537</v>
      </c>
      <c r="J63" s="24">
        <v>40969</v>
      </c>
      <c r="K63" s="26">
        <v>0.8998965016430206</v>
      </c>
      <c r="L63" s="26">
        <f ca="1">VLOOKUP(CurrentMtgRatesDataTable8256[[#This Row],[asOfDate]]+1,Bloomberg!B:C,2,0)</f>
        <v>4277.6000000000004</v>
      </c>
      <c r="N63" s="24">
        <v>40969</v>
      </c>
      <c r="O63" s="26">
        <v>0.78263387351827951</v>
      </c>
      <c r="Q63" s="24">
        <v>40969</v>
      </c>
      <c r="R63" s="27">
        <v>0.68578772853860537</v>
      </c>
    </row>
    <row r="64" spans="2:18">
      <c r="B64" s="24">
        <v>40976</v>
      </c>
      <c r="C64" s="27">
        <v>0.91902765125865959</v>
      </c>
      <c r="D64" s="27">
        <v>0.89500065288885389</v>
      </c>
      <c r="E64" s="6">
        <f ca="1">VLOOKUP(CurrentMtgRatesDataTable825[[#This Row],[asOfDate]]+1,Bloomberg!B:C,2,0)</f>
        <v>4063.4</v>
      </c>
      <c r="F64" s="27">
        <f>VLOOKUP(CurrentMtgRatesDataTable825[[#This Row],[asOfDate]],CurrentMtgRatesDataTable8256[#All],2,0)</f>
        <v>0.89998685767725373</v>
      </c>
      <c r="G64" s="27">
        <f>VLOOKUP(CurrentMtgRatesDataTable825[[#This Row],[asOfDate]],CurrentMtgRatesDataTable82562[],2,0)</f>
        <v>0.782706832693848</v>
      </c>
      <c r="H64" s="27">
        <f>VLOOKUP(CurrentMtgRatesDataTable825[[#This Row],[asOfDate]],CurrentMtgRatesDataTable825623[#All],2,0)</f>
        <v>0.68585905113025258</v>
      </c>
      <c r="J64" s="24">
        <v>40976</v>
      </c>
      <c r="K64" s="26">
        <v>0.89998685767725373</v>
      </c>
      <c r="L64" s="26">
        <f ca="1">VLOOKUP(CurrentMtgRatesDataTable8256[[#This Row],[asOfDate]]+1,Bloomberg!B:C,2,0)</f>
        <v>4063.4</v>
      </c>
      <c r="N64" s="24">
        <v>40976</v>
      </c>
      <c r="O64" s="26">
        <v>0.782706832693848</v>
      </c>
      <c r="Q64" s="24">
        <v>40976</v>
      </c>
      <c r="R64" s="27">
        <v>0.68585905113025258</v>
      </c>
    </row>
    <row r="65" spans="2:18">
      <c r="B65" s="24">
        <v>40983</v>
      </c>
      <c r="C65" s="27">
        <v>0.90514599034862198</v>
      </c>
      <c r="D65" s="27">
        <v>0.89500065288885389</v>
      </c>
      <c r="E65" s="6">
        <f ca="1">VLOOKUP(CurrentMtgRatesDataTable825[[#This Row],[asOfDate]]+1,Bloomberg!B:C,2,0)</f>
        <v>3715.2</v>
      </c>
      <c r="F65" s="27">
        <f>VLOOKUP(CurrentMtgRatesDataTable825[[#This Row],[asOfDate]],CurrentMtgRatesDataTable8256[#All],2,0)</f>
        <v>0.89987035776157298</v>
      </c>
      <c r="G65" s="27">
        <f>VLOOKUP(CurrentMtgRatesDataTable825[[#This Row],[asOfDate]],CurrentMtgRatesDataTable82562[],2,0)</f>
        <v>0.78249923273561073</v>
      </c>
      <c r="H65" s="27">
        <f>VLOOKUP(CurrentMtgRatesDataTable825[[#This Row],[asOfDate]],CurrentMtgRatesDataTable825623[#All],2,0)</f>
        <v>0.68564931358979331</v>
      </c>
      <c r="J65" s="24">
        <v>40983</v>
      </c>
      <c r="K65" s="26">
        <v>0.89987035776157298</v>
      </c>
      <c r="L65" s="26">
        <f ca="1">VLOOKUP(CurrentMtgRatesDataTable8256[[#This Row],[asOfDate]]+1,Bloomberg!B:C,2,0)</f>
        <v>3715.2</v>
      </c>
      <c r="N65" s="24">
        <v>40983</v>
      </c>
      <c r="O65" s="26">
        <v>0.78249923273561073</v>
      </c>
      <c r="Q65" s="24">
        <v>40983</v>
      </c>
      <c r="R65" s="27">
        <v>0.68564931358979331</v>
      </c>
    </row>
    <row r="66" spans="2:18">
      <c r="B66" s="24">
        <v>40990</v>
      </c>
      <c r="C66" s="27">
        <v>0.78959380464288376</v>
      </c>
      <c r="D66" s="27">
        <v>0.81610794501974793</v>
      </c>
      <c r="E66" s="6">
        <f ca="1">VLOOKUP(CurrentMtgRatesDataTable825[[#This Row],[asOfDate]]+1,Bloomberg!B:C,2,0)</f>
        <v>3588.4</v>
      </c>
      <c r="F66" s="27">
        <f>VLOOKUP(CurrentMtgRatesDataTable825[[#This Row],[asOfDate]],CurrentMtgRatesDataTable8256[#All],2,0)</f>
        <v>0.79963025534966692</v>
      </c>
      <c r="G66" s="27">
        <f>VLOOKUP(CurrentMtgRatesDataTable825[[#This Row],[asOfDate]],CurrentMtgRatesDataTable82562[],2,0)</f>
        <v>0.695774514370883</v>
      </c>
      <c r="H66" s="27">
        <f>VLOOKUP(CurrentMtgRatesDataTable825[[#This Row],[asOfDate]],CurrentMtgRatesDataTable825623[#All],2,0)</f>
        <v>0.59885812506806924</v>
      </c>
      <c r="J66" s="24">
        <v>40990</v>
      </c>
      <c r="K66" s="26">
        <v>0.79963025534966692</v>
      </c>
      <c r="L66" s="26">
        <f ca="1">VLOOKUP(CurrentMtgRatesDataTable8256[[#This Row],[asOfDate]]+1,Bloomberg!B:C,2,0)</f>
        <v>3588.4</v>
      </c>
      <c r="N66" s="24">
        <v>40990</v>
      </c>
      <c r="O66" s="26">
        <v>0.695774514370883</v>
      </c>
      <c r="Q66" s="24">
        <v>40990</v>
      </c>
      <c r="R66" s="27">
        <v>0.59885812506806924</v>
      </c>
    </row>
    <row r="67" spans="2:18">
      <c r="B67" s="24">
        <v>40997</v>
      </c>
      <c r="C67" s="27">
        <v>0.87490910290764468</v>
      </c>
      <c r="D67" s="27">
        <v>0.87861592060091576</v>
      </c>
      <c r="E67" s="6">
        <f ca="1">VLOOKUP(CurrentMtgRatesDataTable825[[#This Row],[asOfDate]]+1,Bloomberg!B:C,2,0)</f>
        <v>3699.5</v>
      </c>
      <c r="F67" s="27">
        <f>VLOOKUP(CurrentMtgRatesDataTable825[[#This Row],[asOfDate]],CurrentMtgRatesDataTable8256[#All],2,0)</f>
        <v>0.84935496597160542</v>
      </c>
      <c r="G67" s="27">
        <f>VLOOKUP(CurrentMtgRatesDataTable825[[#This Row],[asOfDate]],CurrentMtgRatesDataTable82562[],2,0)</f>
        <v>0.74903823932138114</v>
      </c>
      <c r="H67" s="27">
        <f>VLOOKUP(CurrentMtgRatesDataTable825[[#This Row],[asOfDate]],CurrentMtgRatesDataTable825623[#All],2,0)</f>
        <v>0.65228379705075934</v>
      </c>
      <c r="J67" s="24">
        <v>40997</v>
      </c>
      <c r="K67" s="26">
        <v>0.84935496597160542</v>
      </c>
      <c r="L67" s="26">
        <f ca="1">VLOOKUP(CurrentMtgRatesDataTable8256[[#This Row],[asOfDate]]+1,Bloomberg!B:C,2,0)</f>
        <v>3699.5</v>
      </c>
      <c r="N67" s="24">
        <v>40997</v>
      </c>
      <c r="O67" s="26">
        <v>0.74903823932138114</v>
      </c>
      <c r="Q67" s="24">
        <v>40997</v>
      </c>
      <c r="R67" s="27">
        <v>0.65228379705075934</v>
      </c>
    </row>
    <row r="68" spans="2:18">
      <c r="B68" s="24">
        <v>41004</v>
      </c>
      <c r="C68" s="27">
        <v>0.86928745494692716</v>
      </c>
      <c r="D68" s="27">
        <v>0.86207936315662148</v>
      </c>
      <c r="E68" s="6">
        <f ca="1">VLOOKUP(CurrentMtgRatesDataTable825[[#This Row],[asOfDate]]+1,Bloomberg!B:C,2,0)</f>
        <v>3549.3</v>
      </c>
      <c r="F68" s="27">
        <f>VLOOKUP(CurrentMtgRatesDataTable825[[#This Row],[asOfDate]],CurrentMtgRatesDataTable8256[#All],2,0)</f>
        <v>0.83420792590434467</v>
      </c>
      <c r="G68" s="27">
        <f>VLOOKUP(CurrentMtgRatesDataTable825[[#This Row],[asOfDate]],CurrentMtgRatesDataTable82562[],2,0)</f>
        <v>0.7329832638367505</v>
      </c>
      <c r="H68" s="27">
        <f>VLOOKUP(CurrentMtgRatesDataTable825[[#This Row],[asOfDate]],CurrentMtgRatesDataTable825623[#All],2,0)</f>
        <v>0.65610516867504221</v>
      </c>
      <c r="J68" s="24">
        <v>41004</v>
      </c>
      <c r="K68" s="26">
        <v>0.83420792590434467</v>
      </c>
      <c r="L68" s="26">
        <f ca="1">VLOOKUP(CurrentMtgRatesDataTable8256[[#This Row],[asOfDate]]+1,Bloomberg!B:C,2,0)</f>
        <v>3549.3</v>
      </c>
      <c r="N68" s="24">
        <v>41004</v>
      </c>
      <c r="O68" s="26">
        <v>0.7329832638367505</v>
      </c>
      <c r="Q68" s="24">
        <v>41004</v>
      </c>
      <c r="R68" s="27">
        <v>0.65610516867504221</v>
      </c>
    </row>
    <row r="69" spans="2:18">
      <c r="B69" s="24">
        <v>41011</v>
      </c>
      <c r="C69" s="27">
        <v>0.90849340717481886</v>
      </c>
      <c r="D69" s="27">
        <v>0.87832051991835292</v>
      </c>
      <c r="E69" s="6">
        <f ca="1">VLOOKUP(CurrentMtgRatesDataTable825[[#This Row],[asOfDate]]+1,Bloomberg!B:C,2,0)</f>
        <v>4144.3</v>
      </c>
      <c r="F69" s="27">
        <f>VLOOKUP(CurrentMtgRatesDataTable825[[#This Row],[asOfDate]],CurrentMtgRatesDataTable8256[#All],2,0)</f>
        <v>0.88546928546811865</v>
      </c>
      <c r="G69" s="27">
        <f>VLOOKUP(CurrentMtgRatesDataTable825[[#This Row],[asOfDate]],CurrentMtgRatesDataTable82562[],2,0)</f>
        <v>0.78681677365055769</v>
      </c>
      <c r="H69" s="27">
        <f>VLOOKUP(CurrentMtgRatesDataTable825[[#This Row],[asOfDate]],CurrentMtgRatesDataTable825623[#All],2,0)</f>
        <v>0.70976914085945686</v>
      </c>
      <c r="J69" s="24">
        <v>41011</v>
      </c>
      <c r="K69" s="26">
        <v>0.88546928546811865</v>
      </c>
      <c r="L69" s="26">
        <f ca="1">VLOOKUP(CurrentMtgRatesDataTable8256[[#This Row],[asOfDate]]+1,Bloomberg!B:C,2,0)</f>
        <v>4144.3</v>
      </c>
      <c r="N69" s="24">
        <v>41011</v>
      </c>
      <c r="O69" s="26">
        <v>0.78681677365055769</v>
      </c>
      <c r="Q69" s="24">
        <v>41011</v>
      </c>
      <c r="R69" s="27">
        <v>0.70976914085945686</v>
      </c>
    </row>
    <row r="70" spans="2:18">
      <c r="B70" s="24">
        <v>41018</v>
      </c>
      <c r="C70" s="27">
        <v>0.9034983903169389</v>
      </c>
      <c r="D70" s="27">
        <v>0.87832051991835292</v>
      </c>
      <c r="E70" s="6">
        <f ca="1">VLOOKUP(CurrentMtgRatesDataTable825[[#This Row],[asOfDate]]+1,Bloomberg!B:C,2,0)</f>
        <v>3892.2</v>
      </c>
      <c r="F70" s="27">
        <f>VLOOKUP(CurrentMtgRatesDataTable825[[#This Row],[asOfDate]],CurrentMtgRatesDataTable8256[#All],2,0)</f>
        <v>0.88532092394225137</v>
      </c>
      <c r="G70" s="27">
        <f>VLOOKUP(CurrentMtgRatesDataTable825[[#This Row],[asOfDate]],CurrentMtgRatesDataTable82562[],2,0)</f>
        <v>0.7666034363277634</v>
      </c>
      <c r="H70" s="27">
        <f>VLOOKUP(CurrentMtgRatesDataTable825[[#This Row],[asOfDate]],CurrentMtgRatesDataTable825623[#All],2,0)</f>
        <v>0.68977407029497229</v>
      </c>
      <c r="J70" s="24">
        <v>41018</v>
      </c>
      <c r="K70" s="26">
        <v>0.88532092394225137</v>
      </c>
      <c r="L70" s="26">
        <f ca="1">VLOOKUP(CurrentMtgRatesDataTable8256[[#This Row],[asOfDate]]+1,Bloomberg!B:C,2,0)</f>
        <v>3892.2</v>
      </c>
      <c r="N70" s="24">
        <v>41018</v>
      </c>
      <c r="O70" s="26">
        <v>0.7666034363277634</v>
      </c>
      <c r="Q70" s="24">
        <v>41018</v>
      </c>
      <c r="R70" s="27">
        <v>0.68977407029497229</v>
      </c>
    </row>
    <row r="71" spans="2:18">
      <c r="B71" s="24">
        <v>41025</v>
      </c>
      <c r="C71" s="27">
        <v>0.90849340717481886</v>
      </c>
      <c r="D71" s="27">
        <v>0.87832051991835292</v>
      </c>
      <c r="E71" s="6">
        <f ca="1">VLOOKUP(CurrentMtgRatesDataTable825[[#This Row],[asOfDate]]+1,Bloomberg!B:C,2,0)</f>
        <v>3856</v>
      </c>
      <c r="F71" s="27">
        <f>VLOOKUP(CurrentMtgRatesDataTable825[[#This Row],[asOfDate]],CurrentMtgRatesDataTable8256[#All],2,0)</f>
        <v>0.88546928546811865</v>
      </c>
      <c r="G71" s="27">
        <f>VLOOKUP(CurrentMtgRatesDataTable825[[#This Row],[asOfDate]],CurrentMtgRatesDataTable82562[],2,0)</f>
        <v>0.78681677365055769</v>
      </c>
      <c r="H71" s="27">
        <f>VLOOKUP(CurrentMtgRatesDataTable825[[#This Row],[asOfDate]],CurrentMtgRatesDataTable825623[#All],2,0)</f>
        <v>0.70976914085945686</v>
      </c>
      <c r="J71" s="24">
        <v>41025</v>
      </c>
      <c r="K71" s="26">
        <v>0.88546928546811865</v>
      </c>
      <c r="L71" s="26">
        <f ca="1">VLOOKUP(CurrentMtgRatesDataTable8256[[#This Row],[asOfDate]]+1,Bloomberg!B:C,2,0)</f>
        <v>3856</v>
      </c>
      <c r="N71" s="24">
        <v>41025</v>
      </c>
      <c r="O71" s="26">
        <v>0.78681677365055769</v>
      </c>
      <c r="Q71" s="24">
        <v>41025</v>
      </c>
      <c r="R71" s="27">
        <v>0.70976914085945686</v>
      </c>
    </row>
    <row r="72" spans="2:18">
      <c r="B72" s="24">
        <v>41032</v>
      </c>
      <c r="C72" s="27">
        <v>0.89225108632442729</v>
      </c>
      <c r="D72" s="27">
        <v>0.85500521260680606</v>
      </c>
      <c r="E72" s="6">
        <f ca="1">VLOOKUP(CurrentMtgRatesDataTable825[[#This Row],[asOfDate]]+1,Bloomberg!B:C,2,0)</f>
        <v>3924.4</v>
      </c>
      <c r="F72" s="27">
        <f>VLOOKUP(CurrentMtgRatesDataTable825[[#This Row],[asOfDate]],CurrentMtgRatesDataTable8256[#All],2,0)</f>
        <v>0.875279554781354</v>
      </c>
      <c r="G72" s="27">
        <f>VLOOKUP(CurrentMtgRatesDataTable825[[#This Row],[asOfDate]],CurrentMtgRatesDataTable82562[],2,0)</f>
        <v>0.77448600402584433</v>
      </c>
      <c r="H72" s="27">
        <f>VLOOKUP(CurrentMtgRatesDataTable825[[#This Row],[asOfDate]],CurrentMtgRatesDataTable825623[#All],2,0)</f>
        <v>0.71778894613505184</v>
      </c>
      <c r="J72" s="24">
        <v>41032</v>
      </c>
      <c r="K72" s="26">
        <v>0.875279554781354</v>
      </c>
      <c r="L72" s="26">
        <f ca="1">VLOOKUP(CurrentMtgRatesDataTable8256[[#This Row],[asOfDate]]+1,Bloomberg!B:C,2,0)</f>
        <v>3924.4</v>
      </c>
      <c r="N72" s="24">
        <v>41032</v>
      </c>
      <c r="O72" s="26">
        <v>0.77448600402584433</v>
      </c>
      <c r="Q72" s="24">
        <v>41032</v>
      </c>
      <c r="R72" s="27">
        <v>0.71778894613505184</v>
      </c>
    </row>
    <row r="73" spans="2:18">
      <c r="B73" s="24">
        <v>41039</v>
      </c>
      <c r="C73" s="27">
        <v>0.89337268606647302</v>
      </c>
      <c r="D73" s="27">
        <v>0.87637065206662057</v>
      </c>
      <c r="E73" s="6">
        <f ca="1">VLOOKUP(CurrentMtgRatesDataTable825[[#This Row],[asOfDate]]+1,Bloomberg!B:C,2,0)</f>
        <v>4482</v>
      </c>
      <c r="F73" s="27">
        <f>VLOOKUP(CurrentMtgRatesDataTable825[[#This Row],[asOfDate]],CurrentMtgRatesDataTable8256[#All],2,0)</f>
        <v>0.87534475648983412</v>
      </c>
      <c r="G73" s="27">
        <f>VLOOKUP(CurrentMtgRatesDataTable825[[#This Row],[asOfDate]],CurrentMtgRatesDataTable82562[],2,0)</f>
        <v>0.77460419728488739</v>
      </c>
      <c r="H73" s="27">
        <f>VLOOKUP(CurrentMtgRatesDataTable825[[#This Row],[asOfDate]],CurrentMtgRatesDataTable825623[#All],2,0)</f>
        <v>0.71790603687606236</v>
      </c>
      <c r="J73" s="24">
        <v>41039</v>
      </c>
      <c r="K73" s="26">
        <v>0.87534475648983412</v>
      </c>
      <c r="L73" s="26">
        <f ca="1">VLOOKUP(CurrentMtgRatesDataTable8256[[#This Row],[asOfDate]]+1,Bloomberg!B:C,2,0)</f>
        <v>4482</v>
      </c>
      <c r="N73" s="24">
        <v>41039</v>
      </c>
      <c r="O73" s="26">
        <v>0.77460419728488739</v>
      </c>
      <c r="Q73" s="24">
        <v>41039</v>
      </c>
      <c r="R73" s="27">
        <v>0.71790603687606236</v>
      </c>
    </row>
    <row r="74" spans="2:18">
      <c r="B74" s="24">
        <v>41046</v>
      </c>
      <c r="C74" s="27">
        <v>0.8948997967143093</v>
      </c>
      <c r="D74" s="27">
        <v>0.89867761026928339</v>
      </c>
      <c r="E74" s="6">
        <f ca="1">VLOOKUP(CurrentMtgRatesDataTable825[[#This Row],[asOfDate]]+1,Bloomberg!B:C,2,0)</f>
        <v>4732</v>
      </c>
      <c r="F74" s="27">
        <f>VLOOKUP(CurrentMtgRatesDataTable825[[#This Row],[asOfDate]],CurrentMtgRatesDataTable8256[#All],2,0)</f>
        <v>0.91993589788714725</v>
      </c>
      <c r="G74" s="27">
        <f>VLOOKUP(CurrentMtgRatesDataTable825[[#This Row],[asOfDate]],CurrentMtgRatesDataTable82562[],2,0)</f>
        <v>0.80814877886269387</v>
      </c>
      <c r="H74" s="27">
        <f>VLOOKUP(CurrentMtgRatesDataTable825[[#This Row],[asOfDate]],CurrentMtgRatesDataTable825623[#All],2,0)</f>
        <v>0.7511226293764568</v>
      </c>
      <c r="J74" s="24">
        <v>41046</v>
      </c>
      <c r="K74" s="26">
        <v>0.91993589788714725</v>
      </c>
      <c r="L74" s="26">
        <f ca="1">VLOOKUP(CurrentMtgRatesDataTable8256[[#This Row],[asOfDate]]+1,Bloomberg!B:C,2,0)</f>
        <v>4732</v>
      </c>
      <c r="N74" s="24">
        <v>41046</v>
      </c>
      <c r="O74" s="26">
        <v>0.80814877886269387</v>
      </c>
      <c r="Q74" s="24">
        <v>41046</v>
      </c>
      <c r="R74" s="27">
        <v>0.7511226293764568</v>
      </c>
    </row>
    <row r="75" spans="2:18">
      <c r="B75" s="24">
        <v>41053</v>
      </c>
      <c r="C75" s="27">
        <v>0.89443957907281746</v>
      </c>
      <c r="D75" s="27">
        <v>0.89867761026928339</v>
      </c>
      <c r="E75" s="6">
        <f ca="1">VLOOKUP(CurrentMtgRatesDataTable825[[#This Row],[asOfDate]]+1,Bloomberg!B:C,2,0)</f>
        <v>4675.8999999999996</v>
      </c>
      <c r="F75" s="27">
        <f>VLOOKUP(CurrentMtgRatesDataTable825[[#This Row],[asOfDate]],CurrentMtgRatesDataTable8256[#All],2,0)</f>
        <v>0.91989879371783623</v>
      </c>
      <c r="G75" s="27">
        <f>VLOOKUP(CurrentMtgRatesDataTable825[[#This Row],[asOfDate]],CurrentMtgRatesDataTable82562[],2,0)</f>
        <v>0.80807788235194289</v>
      </c>
      <c r="H75" s="27">
        <f>VLOOKUP(CurrentMtgRatesDataTable825[[#This Row],[asOfDate]],CurrentMtgRatesDataTable825623[#All],2,0)</f>
        <v>0.75105035429874611</v>
      </c>
      <c r="J75" s="24">
        <v>41053</v>
      </c>
      <c r="K75" s="26">
        <v>0.91989879371783623</v>
      </c>
      <c r="L75" s="26">
        <f ca="1">VLOOKUP(CurrentMtgRatesDataTable8256[[#This Row],[asOfDate]]+1,Bloomberg!B:C,2,0)</f>
        <v>4675.8999999999996</v>
      </c>
      <c r="N75" s="24">
        <v>41053</v>
      </c>
      <c r="O75" s="26">
        <v>0.80807788235194289</v>
      </c>
      <c r="Q75" s="24">
        <v>41053</v>
      </c>
      <c r="R75" s="27">
        <v>0.75105035429874611</v>
      </c>
    </row>
    <row r="76" spans="2:18">
      <c r="B76" s="24">
        <v>41060</v>
      </c>
      <c r="C76" s="27">
        <v>0.89512122084695944</v>
      </c>
      <c r="D76" s="27">
        <v>0.89867761026928339</v>
      </c>
      <c r="E76" s="6">
        <f ca="1">VLOOKUP(CurrentMtgRatesDataTable825[[#This Row],[asOfDate]]+1,Bloomberg!B:C,2,0)</f>
        <v>4736</v>
      </c>
      <c r="F76" s="27">
        <f>VLOOKUP(CurrentMtgRatesDataTable825[[#This Row],[asOfDate]],CurrentMtgRatesDataTable8256[#All],2,0)</f>
        <v>0.92005776451854027</v>
      </c>
      <c r="G76" s="27">
        <f>VLOOKUP(CurrentMtgRatesDataTable825[[#This Row],[asOfDate]],CurrentMtgRatesDataTable82562[],2,0)</f>
        <v>0.80822737928750754</v>
      </c>
      <c r="H76" s="27">
        <f>VLOOKUP(CurrentMtgRatesDataTable825[[#This Row],[asOfDate]],CurrentMtgRatesDataTable825623[#All],2,0)</f>
        <v>0.7512041517176814</v>
      </c>
      <c r="J76" s="24">
        <v>41060</v>
      </c>
      <c r="K76" s="26">
        <v>0.92005776451854027</v>
      </c>
      <c r="L76" s="26">
        <f ca="1">VLOOKUP(CurrentMtgRatesDataTable8256[[#This Row],[asOfDate]]+1,Bloomberg!B:C,2,0)</f>
        <v>4736</v>
      </c>
      <c r="N76" s="24">
        <v>41060</v>
      </c>
      <c r="O76" s="26">
        <v>0.80822737928750754</v>
      </c>
      <c r="Q76" s="24">
        <v>41060</v>
      </c>
      <c r="R76" s="27">
        <v>0.7512041517176814</v>
      </c>
    </row>
    <row r="77" spans="2:18">
      <c r="B77" s="24">
        <v>41067</v>
      </c>
      <c r="C77" s="27">
        <v>0.8920195449585564</v>
      </c>
      <c r="D77" s="27">
        <v>0.99958558352539784</v>
      </c>
      <c r="E77" s="6">
        <f ca="1">VLOOKUP(CurrentMtgRatesDataTable825[[#This Row],[asOfDate]]+1,Bloomberg!B:C,2,0)</f>
        <v>5590</v>
      </c>
      <c r="F77" s="27">
        <f>VLOOKUP(CurrentMtgRatesDataTable825[[#This Row],[asOfDate]],CurrentMtgRatesDataTable8256[#All],2,0)</f>
        <v>0.92441254418745433</v>
      </c>
      <c r="G77" s="27">
        <f>VLOOKUP(CurrentMtgRatesDataTable825[[#This Row],[asOfDate]],CurrentMtgRatesDataTable82562[],2,0)</f>
        <v>0.83217237158769797</v>
      </c>
      <c r="H77" s="27">
        <f>VLOOKUP(CurrentMtgRatesDataTable825[[#This Row],[asOfDate]],CurrentMtgRatesDataTable825623[#All],2,0)</f>
        <v>0.79329641551681107</v>
      </c>
      <c r="J77" s="24">
        <v>41067</v>
      </c>
      <c r="K77" s="26">
        <v>0.92441254418745433</v>
      </c>
      <c r="L77" s="26">
        <f ca="1">VLOOKUP(CurrentMtgRatesDataTable8256[[#This Row],[asOfDate]]+1,Bloomberg!B:C,2,0)</f>
        <v>5590</v>
      </c>
      <c r="N77" s="24">
        <v>41067</v>
      </c>
      <c r="O77" s="26">
        <v>0.83217237158769797</v>
      </c>
      <c r="Q77" s="24">
        <v>41067</v>
      </c>
      <c r="R77" s="27">
        <v>0.79329641551681107</v>
      </c>
    </row>
    <row r="78" spans="2:18">
      <c r="B78" s="24">
        <v>41074</v>
      </c>
      <c r="C78" s="27">
        <v>0.88667449797815956</v>
      </c>
      <c r="D78" s="27">
        <v>0.93682363320593387</v>
      </c>
      <c r="E78" s="6">
        <f ca="1">VLOOKUP(CurrentMtgRatesDataTable825[[#This Row],[asOfDate]]+1,Bloomberg!B:C,2,0)</f>
        <v>4719.6000000000004</v>
      </c>
      <c r="F78" s="27">
        <f>VLOOKUP(CurrentMtgRatesDataTable825[[#This Row],[asOfDate]],CurrentMtgRatesDataTable8256[#All],2,0)</f>
        <v>0.90289735225778367</v>
      </c>
      <c r="G78" s="27">
        <f>VLOOKUP(CurrentMtgRatesDataTable825[[#This Row],[asOfDate]],CurrentMtgRatesDataTable82562[],2,0)</f>
        <v>0.80737164426751362</v>
      </c>
      <c r="H78" s="27">
        <f>VLOOKUP(CurrentMtgRatesDataTable825[[#This Row],[asOfDate]],CurrentMtgRatesDataTable825623[#All],2,0)</f>
        <v>0.77022399573729294</v>
      </c>
      <c r="J78" s="24">
        <v>41074</v>
      </c>
      <c r="K78" s="26">
        <v>0.90289735225778367</v>
      </c>
      <c r="L78" s="26">
        <f ca="1">VLOOKUP(CurrentMtgRatesDataTable8256[[#This Row],[asOfDate]]+1,Bloomberg!B:C,2,0)</f>
        <v>4719.6000000000004</v>
      </c>
      <c r="N78" s="24">
        <v>41074</v>
      </c>
      <c r="O78" s="26">
        <v>0.80737164426751362</v>
      </c>
      <c r="Q78" s="24">
        <v>41074</v>
      </c>
      <c r="R78" s="27">
        <v>0.77022399573729294</v>
      </c>
    </row>
    <row r="79" spans="2:18">
      <c r="B79" s="24">
        <v>41081</v>
      </c>
      <c r="C79" s="27">
        <v>0.89407594990163874</v>
      </c>
      <c r="D79" s="27">
        <v>0.99958558352539784</v>
      </c>
      <c r="E79" s="6">
        <f ca="1">VLOOKUP(CurrentMtgRatesDataTable825[[#This Row],[asOfDate]]+1,Bloomberg!B:C,2,0)</f>
        <v>4585.8</v>
      </c>
      <c r="F79" s="27">
        <f>VLOOKUP(CurrentMtgRatesDataTable825[[#This Row],[asOfDate]],CurrentMtgRatesDataTable8256[#All],2,0)</f>
        <v>0.9244242433615838</v>
      </c>
      <c r="G79" s="27">
        <f>VLOOKUP(CurrentMtgRatesDataTable825[[#This Row],[asOfDate]],CurrentMtgRatesDataTable82562[],2,0)</f>
        <v>0.83221454455554378</v>
      </c>
      <c r="H79" s="27">
        <f>VLOOKUP(CurrentMtgRatesDataTable825[[#This Row],[asOfDate]],CurrentMtgRatesDataTable825623[#All],2,0)</f>
        <v>0.79333577564121049</v>
      </c>
      <c r="J79" s="24">
        <v>41081</v>
      </c>
      <c r="K79" s="26">
        <v>0.9244242433615838</v>
      </c>
      <c r="L79" s="26">
        <f ca="1">VLOOKUP(CurrentMtgRatesDataTable8256[[#This Row],[asOfDate]]+1,Bloomberg!B:C,2,0)</f>
        <v>4585.8</v>
      </c>
      <c r="N79" s="24">
        <v>41081</v>
      </c>
      <c r="O79" s="26">
        <v>0.83221454455554378</v>
      </c>
      <c r="Q79" s="24">
        <v>41081</v>
      </c>
      <c r="R79" s="27">
        <v>0.79333577564121049</v>
      </c>
    </row>
    <row r="80" spans="2:18">
      <c r="B80" s="24">
        <v>41088</v>
      </c>
      <c r="C80" s="27">
        <v>0.89407594990163874</v>
      </c>
      <c r="D80" s="27">
        <v>0.99958558352539784</v>
      </c>
      <c r="E80" s="6">
        <f ca="1">VLOOKUP(CurrentMtgRatesDataTable825[[#This Row],[asOfDate]]+1,Bloomberg!B:C,2,0)</f>
        <v>4372.2</v>
      </c>
      <c r="F80" s="27">
        <f>VLOOKUP(CurrentMtgRatesDataTable825[[#This Row],[asOfDate]],CurrentMtgRatesDataTable8256[#All],2,0)</f>
        <v>0.9244242433615838</v>
      </c>
      <c r="G80" s="27">
        <f>VLOOKUP(CurrentMtgRatesDataTable825[[#This Row],[asOfDate]],CurrentMtgRatesDataTable82562[],2,0)</f>
        <v>0.83221454455554378</v>
      </c>
      <c r="H80" s="27">
        <f>VLOOKUP(CurrentMtgRatesDataTable825[[#This Row],[asOfDate]],CurrentMtgRatesDataTable825623[#All],2,0)</f>
        <v>0.79333577564121049</v>
      </c>
      <c r="J80" s="24">
        <v>41088</v>
      </c>
      <c r="K80" s="26">
        <v>0.9244242433615838</v>
      </c>
      <c r="L80" s="26">
        <f ca="1">VLOOKUP(CurrentMtgRatesDataTable8256[[#This Row],[asOfDate]]+1,Bloomberg!B:C,2,0)</f>
        <v>4372.2</v>
      </c>
      <c r="N80" s="24">
        <v>41088</v>
      </c>
      <c r="O80" s="26">
        <v>0.83221454455554378</v>
      </c>
      <c r="Q80" s="24">
        <v>41088</v>
      </c>
      <c r="R80" s="27">
        <v>0.79333577564121049</v>
      </c>
    </row>
    <row r="81" spans="2:18">
      <c r="B81" s="24">
        <v>41095</v>
      </c>
      <c r="C81" s="27">
        <v>0.8819114104860859</v>
      </c>
      <c r="D81" s="27">
        <v>0.98422936854987308</v>
      </c>
      <c r="E81" s="6">
        <f ca="1">VLOOKUP(CurrentMtgRatesDataTable825[[#This Row],[asOfDate]]+1,Bloomberg!B:C,2,0)</f>
        <v>4267.8999999999996</v>
      </c>
      <c r="F81" s="27">
        <f>VLOOKUP(CurrentMtgRatesDataTable825[[#This Row],[asOfDate]],CurrentMtgRatesDataTable8256[#All],2,0)</f>
        <v>0.91386483587378442</v>
      </c>
      <c r="G81" s="27">
        <f>VLOOKUP(CurrentMtgRatesDataTable825[[#This Row],[asOfDate]],CurrentMtgRatesDataTable82562[],2,0)</f>
        <v>0.8184354026404238</v>
      </c>
      <c r="H81" s="27">
        <f>VLOOKUP(CurrentMtgRatesDataTable825[[#This Row],[asOfDate]],CurrentMtgRatesDataTable825623[#All],2,0)</f>
        <v>0.78742350246505088</v>
      </c>
      <c r="J81" s="24">
        <v>41095</v>
      </c>
      <c r="K81" s="26">
        <v>0.91386483587378442</v>
      </c>
      <c r="L81" s="26">
        <f ca="1">VLOOKUP(CurrentMtgRatesDataTable8256[[#This Row],[asOfDate]]+1,Bloomberg!B:C,2,0)</f>
        <v>4267.8999999999996</v>
      </c>
      <c r="N81" s="24">
        <v>41095</v>
      </c>
      <c r="O81" s="26">
        <v>0.8184354026404238</v>
      </c>
      <c r="Q81" s="24">
        <v>41095</v>
      </c>
      <c r="R81" s="27">
        <v>0.78742350246505088</v>
      </c>
    </row>
    <row r="82" spans="2:18">
      <c r="B82" s="24">
        <v>41102</v>
      </c>
      <c r="C82" s="27">
        <v>0.94551237246929465</v>
      </c>
      <c r="D82" s="27">
        <v>0.98422936854987308</v>
      </c>
      <c r="E82" s="6">
        <f ca="1">VLOOKUP(CurrentMtgRatesDataTable825[[#This Row],[asOfDate]]+1,Bloomberg!B:C,2,0)</f>
        <v>5246.8</v>
      </c>
      <c r="F82" s="27">
        <f>VLOOKUP(CurrentMtgRatesDataTable825[[#This Row],[asOfDate]],CurrentMtgRatesDataTable8256[#All],2,0)</f>
        <v>0.94968585268042571</v>
      </c>
      <c r="G82" s="27">
        <f>VLOOKUP(CurrentMtgRatesDataTable825[[#This Row],[asOfDate]],CurrentMtgRatesDataTable82562[],2,0)</f>
        <v>0.85105546980459501</v>
      </c>
      <c r="H82" s="27">
        <f>VLOOKUP(CurrentMtgRatesDataTable825[[#This Row],[asOfDate]],CurrentMtgRatesDataTable825623[#All],2,0)</f>
        <v>0.81997698463178614</v>
      </c>
      <c r="J82" s="24">
        <v>41102</v>
      </c>
      <c r="K82" s="26">
        <v>0.94968585268042571</v>
      </c>
      <c r="L82" s="26">
        <f ca="1">VLOOKUP(CurrentMtgRatesDataTable8256[[#This Row],[asOfDate]]+1,Bloomberg!B:C,2,0)</f>
        <v>5246.8</v>
      </c>
      <c r="N82" s="24">
        <v>41102</v>
      </c>
      <c r="O82" s="26">
        <v>0.85105546980459501</v>
      </c>
      <c r="Q82" s="24">
        <v>41102</v>
      </c>
      <c r="R82" s="27">
        <v>0.81997698463178614</v>
      </c>
    </row>
    <row r="83" spans="2:18">
      <c r="B83" s="24">
        <v>41109</v>
      </c>
      <c r="C83" s="27">
        <v>0.97186924857158052</v>
      </c>
      <c r="D83" s="27">
        <v>0.99946935696259642</v>
      </c>
      <c r="E83" s="6">
        <f ca="1">VLOOKUP(CurrentMtgRatesDataTable825[[#This Row],[asOfDate]]+1,Bloomberg!B:C,2,0)</f>
        <v>5383.1</v>
      </c>
      <c r="F83" s="27">
        <f>VLOOKUP(CurrentMtgRatesDataTable825[[#This Row],[asOfDate]],CurrentMtgRatesDataTable8256[#All],2,0)</f>
        <v>0.94974571127352658</v>
      </c>
      <c r="G83" s="27">
        <f>VLOOKUP(CurrentMtgRatesDataTable825[[#This Row],[asOfDate]],CurrentMtgRatesDataTable82562[],2,0)</f>
        <v>0.85112560389089653</v>
      </c>
      <c r="H83" s="27">
        <f>VLOOKUP(CurrentMtgRatesDataTable825[[#This Row],[asOfDate]],CurrentMtgRatesDataTable825623[#All],2,0)</f>
        <v>0.82005106161314656</v>
      </c>
      <c r="J83" s="24">
        <v>41109</v>
      </c>
      <c r="K83" s="26">
        <v>0.94974571127352658</v>
      </c>
      <c r="L83" s="26">
        <f ca="1">VLOOKUP(CurrentMtgRatesDataTable8256[[#This Row],[asOfDate]]+1,Bloomberg!B:C,2,0)</f>
        <v>5383.1</v>
      </c>
      <c r="N83" s="24">
        <v>41109</v>
      </c>
      <c r="O83" s="26">
        <v>0.85112560389089653</v>
      </c>
      <c r="Q83" s="24">
        <v>41109</v>
      </c>
      <c r="R83" s="27">
        <v>0.82005106161314656</v>
      </c>
    </row>
    <row r="84" spans="2:18">
      <c r="B84" s="24">
        <v>41116</v>
      </c>
      <c r="C84" s="27">
        <v>0.98451993370244106</v>
      </c>
      <c r="D84" s="27">
        <v>0.99946935696259642</v>
      </c>
      <c r="E84" s="6">
        <f ca="1">VLOOKUP(CurrentMtgRatesDataTable825[[#This Row],[asOfDate]]+1,Bloomberg!B:C,2,0)</f>
        <v>5492.1</v>
      </c>
      <c r="F84" s="27">
        <f>VLOOKUP(CurrentMtgRatesDataTable825[[#This Row],[asOfDate]],CurrentMtgRatesDataTable8256[#All],2,0)</f>
        <v>0.95271926668027695</v>
      </c>
      <c r="G84" s="27">
        <f>VLOOKUP(CurrentMtgRatesDataTable825[[#This Row],[asOfDate]],CurrentMtgRatesDataTable82562[],2,0)</f>
        <v>0.86623530993162101</v>
      </c>
      <c r="H84" s="27">
        <f>VLOOKUP(CurrentMtgRatesDataTable825[[#This Row],[asOfDate]],CurrentMtgRatesDataTable825623[#All],2,0)</f>
        <v>0.83574642345813432</v>
      </c>
      <c r="J84" s="24">
        <v>41116</v>
      </c>
      <c r="K84" s="26">
        <v>0.95271926668027695</v>
      </c>
      <c r="L84" s="26">
        <f ca="1">VLOOKUP(CurrentMtgRatesDataTable8256[[#This Row],[asOfDate]]+1,Bloomberg!B:C,2,0)</f>
        <v>5492.1</v>
      </c>
      <c r="N84" s="24">
        <v>41116</v>
      </c>
      <c r="O84" s="26">
        <v>0.86623530993162101</v>
      </c>
      <c r="Q84" s="24">
        <v>41116</v>
      </c>
      <c r="R84" s="27">
        <v>0.83574642345813432</v>
      </c>
    </row>
    <row r="85" spans="2:18">
      <c r="B85" s="24">
        <v>41123</v>
      </c>
      <c r="C85" s="27">
        <v>0.9385222539497815</v>
      </c>
      <c r="D85" s="27">
        <v>0.95794218428734701</v>
      </c>
      <c r="E85" s="6">
        <f ca="1">VLOOKUP(CurrentMtgRatesDataTable825[[#This Row],[asOfDate]]+1,Bloomberg!B:C,2,0)</f>
        <v>5444.3</v>
      </c>
      <c r="F85" s="27">
        <f>VLOOKUP(CurrentMtgRatesDataTable825[[#This Row],[asOfDate]],CurrentMtgRatesDataTable8256[#All],2,0)</f>
        <v>0.93570894150236794</v>
      </c>
      <c r="G85" s="27">
        <f>VLOOKUP(CurrentMtgRatesDataTable825[[#This Row],[asOfDate]],CurrentMtgRatesDataTable82562[],2,0)</f>
        <v>0.83077759203159907</v>
      </c>
      <c r="H85" s="27">
        <f>VLOOKUP(CurrentMtgRatesDataTable825[[#This Row],[asOfDate]],CurrentMtgRatesDataTable825623[#All],2,0)</f>
        <v>0.80667448116643814</v>
      </c>
      <c r="J85" s="24">
        <v>41123</v>
      </c>
      <c r="K85" s="26">
        <v>0.93570894150236794</v>
      </c>
      <c r="L85" s="26">
        <f ca="1">VLOOKUP(CurrentMtgRatesDataTable8256[[#This Row],[asOfDate]]+1,Bloomberg!B:C,2,0)</f>
        <v>5444.3</v>
      </c>
      <c r="N85" s="24">
        <v>41123</v>
      </c>
      <c r="O85" s="26">
        <v>0.83077759203159907</v>
      </c>
      <c r="Q85" s="24">
        <v>41123</v>
      </c>
      <c r="R85" s="27">
        <v>0.80667448116643814</v>
      </c>
    </row>
    <row r="86" spans="2:18">
      <c r="B86" s="24">
        <v>41130</v>
      </c>
      <c r="C86" s="27">
        <v>0.92408794393225557</v>
      </c>
      <c r="D86" s="27">
        <v>0.95794218428734701</v>
      </c>
      <c r="E86" s="6">
        <f ca="1">VLOOKUP(CurrentMtgRatesDataTable825[[#This Row],[asOfDate]]+1,Bloomberg!B:C,2,0)</f>
        <v>5172.2</v>
      </c>
      <c r="F86" s="27">
        <f>VLOOKUP(CurrentMtgRatesDataTable825[[#This Row],[asOfDate]],CurrentMtgRatesDataTable8256[#All],2,0)</f>
        <v>0.9356798644507448</v>
      </c>
      <c r="G86" s="27">
        <f>VLOOKUP(CurrentMtgRatesDataTable825[[#This Row],[asOfDate]],CurrentMtgRatesDataTable82562[],2,0)</f>
        <v>0.83071682400201974</v>
      </c>
      <c r="H86" s="27">
        <f>VLOOKUP(CurrentMtgRatesDataTable825[[#This Row],[asOfDate]],CurrentMtgRatesDataTable825623[#All],2,0)</f>
        <v>0.80661010872786376</v>
      </c>
      <c r="J86" s="24">
        <v>41130</v>
      </c>
      <c r="K86" s="26">
        <v>0.9356798644507448</v>
      </c>
      <c r="L86" s="26">
        <f ca="1">VLOOKUP(CurrentMtgRatesDataTable8256[[#This Row],[asOfDate]]+1,Bloomberg!B:C,2,0)</f>
        <v>5172.2</v>
      </c>
      <c r="N86" s="24">
        <v>41130</v>
      </c>
      <c r="O86" s="26">
        <v>0.83071682400201974</v>
      </c>
      <c r="Q86" s="24">
        <v>41130</v>
      </c>
      <c r="R86" s="27">
        <v>0.80661010872786376</v>
      </c>
    </row>
    <row r="87" spans="2:18">
      <c r="B87" s="24">
        <v>41137</v>
      </c>
      <c r="C87" s="27">
        <v>0.88445471641937157</v>
      </c>
      <c r="D87" s="27">
        <v>0.95794218428734701</v>
      </c>
      <c r="E87" s="6">
        <f ca="1">VLOOKUP(CurrentMtgRatesDataTable825[[#This Row],[asOfDate]]+1,Bloomberg!B:C,2,0)</f>
        <v>4671.1000000000004</v>
      </c>
      <c r="F87" s="27">
        <f>VLOOKUP(CurrentMtgRatesDataTable825[[#This Row],[asOfDate]],CurrentMtgRatesDataTable8256[#All],2,0)</f>
        <v>0.89511007451891311</v>
      </c>
      <c r="G87" s="27">
        <f>VLOOKUP(CurrentMtgRatesDataTable825[[#This Row],[asOfDate]],CurrentMtgRatesDataTable82562[],2,0)</f>
        <v>0.80960790838516705</v>
      </c>
      <c r="H87" s="27">
        <f>VLOOKUP(CurrentMtgRatesDataTable825[[#This Row],[asOfDate]],CurrentMtgRatesDataTable825623[#All],2,0)</f>
        <v>0.7859411996742075</v>
      </c>
      <c r="J87" s="24">
        <v>41137</v>
      </c>
      <c r="K87" s="26">
        <v>0.89511007451891311</v>
      </c>
      <c r="L87" s="26">
        <f ca="1">VLOOKUP(CurrentMtgRatesDataTable8256[[#This Row],[asOfDate]]+1,Bloomberg!B:C,2,0)</f>
        <v>4671.1000000000004</v>
      </c>
      <c r="N87" s="24">
        <v>41137</v>
      </c>
      <c r="O87" s="26">
        <v>0.80960790838516705</v>
      </c>
      <c r="Q87" s="24">
        <v>41137</v>
      </c>
      <c r="R87" s="27">
        <v>0.7859411996742075</v>
      </c>
    </row>
    <row r="88" spans="2:18">
      <c r="B88" s="24">
        <v>41144</v>
      </c>
      <c r="C88" s="27">
        <v>0.85694996797233836</v>
      </c>
      <c r="D88" s="27">
        <v>0.95794218428734701</v>
      </c>
      <c r="E88" s="6">
        <f ca="1">VLOOKUP(CurrentMtgRatesDataTable825[[#This Row],[asOfDate]]+1,Bloomberg!B:C,2,0)</f>
        <v>4414.6000000000004</v>
      </c>
      <c r="F88" s="27">
        <f>VLOOKUP(CurrentMtgRatesDataTable825[[#This Row],[asOfDate]],CurrentMtgRatesDataTable8256[#All],2,0)</f>
        <v>0.89495866041217464</v>
      </c>
      <c r="G88" s="27">
        <f>VLOOKUP(CurrentMtgRatesDataTable825[[#This Row],[asOfDate]],CurrentMtgRatesDataTable82562[],2,0)</f>
        <v>0.79639257160094001</v>
      </c>
      <c r="H88" s="27">
        <f>VLOOKUP(CurrentMtgRatesDataTable825[[#This Row],[asOfDate]],CurrentMtgRatesDataTable825623[#All],2,0)</f>
        <v>0.77233085778339827</v>
      </c>
      <c r="J88" s="24">
        <v>41144</v>
      </c>
      <c r="K88" s="26">
        <v>0.89495866041217464</v>
      </c>
      <c r="L88" s="26">
        <f ca="1">VLOOKUP(CurrentMtgRatesDataTable8256[[#This Row],[asOfDate]]+1,Bloomberg!B:C,2,0)</f>
        <v>4414.6000000000004</v>
      </c>
      <c r="N88" s="24">
        <v>41144</v>
      </c>
      <c r="O88" s="26">
        <v>0.79639257160094001</v>
      </c>
      <c r="Q88" s="24">
        <v>41144</v>
      </c>
      <c r="R88" s="27">
        <v>0.77233085778339827</v>
      </c>
    </row>
    <row r="89" spans="2:18">
      <c r="B89" s="24">
        <v>41151</v>
      </c>
      <c r="C89" s="27">
        <v>0.92408794393225557</v>
      </c>
      <c r="D89" s="27">
        <v>0.95794218428734701</v>
      </c>
      <c r="E89" s="6">
        <f ca="1">VLOOKUP(CurrentMtgRatesDataTable825[[#This Row],[asOfDate]]+1,Bloomberg!B:C,2,0)</f>
        <v>4274.8</v>
      </c>
      <c r="F89" s="27">
        <f>VLOOKUP(CurrentMtgRatesDataTable825[[#This Row],[asOfDate]],CurrentMtgRatesDataTable8256[#All],2,0)</f>
        <v>0.9356798644507448</v>
      </c>
      <c r="G89" s="27">
        <f>VLOOKUP(CurrentMtgRatesDataTable825[[#This Row],[asOfDate]],CurrentMtgRatesDataTable82562[],2,0)</f>
        <v>0.83071682400201974</v>
      </c>
      <c r="H89" s="27">
        <f>VLOOKUP(CurrentMtgRatesDataTable825[[#This Row],[asOfDate]],CurrentMtgRatesDataTable825623[#All],2,0)</f>
        <v>0.80661010872786376</v>
      </c>
      <c r="J89" s="24">
        <v>41151</v>
      </c>
      <c r="K89" s="26">
        <v>0.9356798644507448</v>
      </c>
      <c r="L89" s="26">
        <f ca="1">VLOOKUP(CurrentMtgRatesDataTable8256[[#This Row],[asOfDate]]+1,Bloomberg!B:C,2,0)</f>
        <v>4274.8</v>
      </c>
      <c r="N89" s="24">
        <v>41151</v>
      </c>
      <c r="O89" s="26">
        <v>0.83071682400201974</v>
      </c>
      <c r="Q89" s="24">
        <v>41151</v>
      </c>
      <c r="R89" s="27">
        <v>0.80661010872786376</v>
      </c>
    </row>
    <row r="90" spans="2:18">
      <c r="B90" s="24">
        <v>41158</v>
      </c>
      <c r="C90" s="27">
        <v>0.91761037893987563</v>
      </c>
      <c r="D90" s="27">
        <v>0.9298312103237808</v>
      </c>
      <c r="E90" s="6">
        <f ca="1">VLOOKUP(CurrentMtgRatesDataTable825[[#This Row],[asOfDate]]+1,Bloomberg!B:C,2,0)</f>
        <v>4779.1000000000004</v>
      </c>
      <c r="F90" s="27">
        <f>VLOOKUP(CurrentMtgRatesDataTable825[[#This Row],[asOfDate]],CurrentMtgRatesDataTable8256[#All],2,0)</f>
        <v>0.921376249797624</v>
      </c>
      <c r="G90" s="27">
        <f>VLOOKUP(CurrentMtgRatesDataTable825[[#This Row],[asOfDate]],CurrentMtgRatesDataTable82562[],2,0)</f>
        <v>0.81165285451317482</v>
      </c>
      <c r="H90" s="27">
        <f>VLOOKUP(CurrentMtgRatesDataTable825[[#This Row],[asOfDate]],CurrentMtgRatesDataTable825623[#All],2,0)</f>
        <v>0.79385522628191763</v>
      </c>
      <c r="J90" s="24">
        <v>41158</v>
      </c>
      <c r="K90" s="26">
        <v>0.921376249797624</v>
      </c>
      <c r="L90" s="26">
        <f ca="1">VLOOKUP(CurrentMtgRatesDataTable8256[[#This Row],[asOfDate]]+1,Bloomberg!B:C,2,0)</f>
        <v>4779.1000000000004</v>
      </c>
      <c r="N90" s="24">
        <v>41158</v>
      </c>
      <c r="O90" s="26">
        <v>0.81165285451317482</v>
      </c>
      <c r="Q90" s="24">
        <v>41158</v>
      </c>
      <c r="R90" s="27">
        <v>0.79385522628191763</v>
      </c>
    </row>
    <row r="91" spans="2:18">
      <c r="B91" s="24">
        <v>41165</v>
      </c>
      <c r="C91" s="27">
        <v>0.94047646256577366</v>
      </c>
      <c r="D91" s="27">
        <v>0.95393620317385996</v>
      </c>
      <c r="E91" s="6">
        <f ca="1">VLOOKUP(CurrentMtgRatesDataTable825[[#This Row],[asOfDate]]+1,Bloomberg!B:C,2,0)</f>
        <v>4823.3</v>
      </c>
      <c r="F91" s="27">
        <f>VLOOKUP(CurrentMtgRatesDataTable825[[#This Row],[asOfDate]],CurrentMtgRatesDataTable8256[#All],2,0)</f>
        <v>0.9248916494900683</v>
      </c>
      <c r="G91" s="27">
        <f>VLOOKUP(CurrentMtgRatesDataTable825[[#This Row],[asOfDate]],CurrentMtgRatesDataTable82562[],2,0)</f>
        <v>0.81245274787408683</v>
      </c>
      <c r="H91" s="27">
        <f>VLOOKUP(CurrentMtgRatesDataTable825[[#This Row],[asOfDate]],CurrentMtgRatesDataTable825623[#All],2,0)</f>
        <v>0.79476488314048044</v>
      </c>
      <c r="J91" s="24">
        <v>41165</v>
      </c>
      <c r="K91" s="26">
        <v>0.9248916494900683</v>
      </c>
      <c r="L91" s="26">
        <f ca="1">VLOOKUP(CurrentMtgRatesDataTable8256[[#This Row],[asOfDate]]+1,Bloomberg!B:C,2,0)</f>
        <v>4823.3</v>
      </c>
      <c r="N91" s="24">
        <v>41165</v>
      </c>
      <c r="O91" s="26">
        <v>0.81245274787408683</v>
      </c>
      <c r="Q91" s="24">
        <v>41165</v>
      </c>
      <c r="R91" s="27">
        <v>0.79476488314048044</v>
      </c>
    </row>
    <row r="92" spans="2:18">
      <c r="B92" s="24">
        <v>41172</v>
      </c>
      <c r="C92" s="27">
        <v>0.95891425076544745</v>
      </c>
      <c r="D92" s="27">
        <v>0.95393620317385996</v>
      </c>
      <c r="E92" s="6">
        <f ca="1">VLOOKUP(CurrentMtgRatesDataTable825[[#This Row],[asOfDate]]+1,Bloomberg!B:C,2,0)</f>
        <v>4979</v>
      </c>
      <c r="F92" s="27">
        <f>VLOOKUP(CurrentMtgRatesDataTable825[[#This Row],[asOfDate]],CurrentMtgRatesDataTable8256[#All],2,0)</f>
        <v>0.92514591669223734</v>
      </c>
      <c r="G92" s="27">
        <f>VLOOKUP(CurrentMtgRatesDataTable825[[#This Row],[asOfDate]],CurrentMtgRatesDataTable82562[],2,0)</f>
        <v>0.82872113777665324</v>
      </c>
      <c r="H92" s="27">
        <f>VLOOKUP(CurrentMtgRatesDataTable825[[#This Row],[asOfDate]],CurrentMtgRatesDataTable825623[#All],2,0)</f>
        <v>0.81215273598629645</v>
      </c>
      <c r="J92" s="24">
        <v>41172</v>
      </c>
      <c r="K92" s="26">
        <v>0.92514591669223734</v>
      </c>
      <c r="L92" s="26">
        <f ca="1">VLOOKUP(CurrentMtgRatesDataTable8256[[#This Row],[asOfDate]]+1,Bloomberg!B:C,2,0)</f>
        <v>4979</v>
      </c>
      <c r="N92" s="24">
        <v>41172</v>
      </c>
      <c r="O92" s="26">
        <v>0.82872113777665324</v>
      </c>
      <c r="Q92" s="24">
        <v>41172</v>
      </c>
      <c r="R92" s="27">
        <v>0.81215273598629645</v>
      </c>
    </row>
    <row r="93" spans="2:18">
      <c r="B93" s="24">
        <v>41179</v>
      </c>
      <c r="C93" s="27">
        <v>0.96459917415866681</v>
      </c>
      <c r="D93" s="27">
        <v>0.97816944988478083</v>
      </c>
      <c r="E93" s="6">
        <f ca="1">VLOOKUP(CurrentMtgRatesDataTable825[[#This Row],[asOfDate]]+1,Bloomberg!B:C,2,0)</f>
        <v>5965.5</v>
      </c>
      <c r="F93" s="27">
        <f>VLOOKUP(CurrentMtgRatesDataTable825[[#This Row],[asOfDate]],CurrentMtgRatesDataTable8256[#All],2,0)</f>
        <v>0.96960771050923455</v>
      </c>
      <c r="G93" s="27">
        <f>VLOOKUP(CurrentMtgRatesDataTable825[[#This Row],[asOfDate]],CurrentMtgRatesDataTable82562[],2,0)</f>
        <v>0.87984589665782953</v>
      </c>
      <c r="H93" s="27">
        <f>VLOOKUP(CurrentMtgRatesDataTable825[[#This Row],[asOfDate]],CurrentMtgRatesDataTable825623[#All],2,0)</f>
        <v>0.86283075587771796</v>
      </c>
      <c r="J93" s="24">
        <v>41179</v>
      </c>
      <c r="K93" s="26">
        <v>0.96960771050923455</v>
      </c>
      <c r="L93" s="26">
        <f ca="1">VLOOKUP(CurrentMtgRatesDataTable8256[[#This Row],[asOfDate]]+1,Bloomberg!B:C,2,0)</f>
        <v>5965.5</v>
      </c>
      <c r="N93" s="24">
        <v>41179</v>
      </c>
      <c r="O93" s="26">
        <v>0.87984589665782953</v>
      </c>
      <c r="Q93" s="24">
        <v>41179</v>
      </c>
      <c r="R93" s="27">
        <v>0.86283075587771796</v>
      </c>
    </row>
    <row r="94" spans="2:18">
      <c r="B94" s="24">
        <v>41186</v>
      </c>
      <c r="C94" s="27">
        <v>0.95362908529618629</v>
      </c>
      <c r="D94" s="27">
        <v>0.98629620260036188</v>
      </c>
      <c r="E94" s="6">
        <f ca="1">VLOOKUP(CurrentMtgRatesDataTable825[[#This Row],[asOfDate]]+1,Bloomberg!B:C,2,0)</f>
        <v>5892.5</v>
      </c>
      <c r="F94" s="27">
        <f>VLOOKUP(CurrentMtgRatesDataTable825[[#This Row],[asOfDate]],CurrentMtgRatesDataTable8256[#All],2,0)</f>
        <v>0.95173821154236116</v>
      </c>
      <c r="G94" s="27">
        <f>VLOOKUP(CurrentMtgRatesDataTable825[[#This Row],[asOfDate]],CurrentMtgRatesDataTable82562[],2,0)</f>
        <v>0.85766490262917261</v>
      </c>
      <c r="H94" s="27">
        <f>VLOOKUP(CurrentMtgRatesDataTable825[[#This Row],[asOfDate]],CurrentMtgRatesDataTable825623[#All],2,0)</f>
        <v>0.84379634926171598</v>
      </c>
      <c r="J94" s="24">
        <v>41186</v>
      </c>
      <c r="K94" s="26">
        <v>0.95173821154236116</v>
      </c>
      <c r="L94" s="26">
        <f ca="1">VLOOKUP(CurrentMtgRatesDataTable8256[[#This Row],[asOfDate]]+1,Bloomberg!B:C,2,0)</f>
        <v>5892.5</v>
      </c>
      <c r="N94" s="24">
        <v>41186</v>
      </c>
      <c r="O94" s="26">
        <v>0.85766490262917261</v>
      </c>
      <c r="Q94" s="24">
        <v>41186</v>
      </c>
      <c r="R94" s="27">
        <v>0.84379634926171598</v>
      </c>
    </row>
    <row r="95" spans="2:18">
      <c r="B95" s="24">
        <v>41193</v>
      </c>
      <c r="C95" s="27">
        <v>0.95159604304738465</v>
      </c>
      <c r="D95" s="27">
        <v>0.95825995770483319</v>
      </c>
      <c r="E95" s="6">
        <f ca="1">VLOOKUP(CurrentMtgRatesDataTable825[[#This Row],[asOfDate]]+1,Bloomberg!B:C,2,0)</f>
        <v>5572.2</v>
      </c>
      <c r="F95" s="27">
        <f>VLOOKUP(CurrentMtgRatesDataTable825[[#This Row],[asOfDate]],CurrentMtgRatesDataTable8256[#All],2,0)</f>
        <v>0.9516214910186106</v>
      </c>
      <c r="G95" s="27">
        <f>VLOOKUP(CurrentMtgRatesDataTable825[[#This Row],[asOfDate]],CurrentMtgRatesDataTable82562[],2,0)</f>
        <v>0.83900327791396834</v>
      </c>
      <c r="H95" s="27">
        <f>VLOOKUP(CurrentMtgRatesDataTable825[[#This Row],[asOfDate]],CurrentMtgRatesDataTable825623[#All],2,0)</f>
        <v>0.82335914163118795</v>
      </c>
      <c r="J95" s="24">
        <v>41193</v>
      </c>
      <c r="K95" s="26">
        <v>0.9516214910186106</v>
      </c>
      <c r="L95" s="26">
        <f ca="1">VLOOKUP(CurrentMtgRatesDataTable8256[[#This Row],[asOfDate]]+1,Bloomberg!B:C,2,0)</f>
        <v>5572.2</v>
      </c>
      <c r="N95" s="24">
        <v>41193</v>
      </c>
      <c r="O95" s="26">
        <v>0.83900327791396834</v>
      </c>
      <c r="Q95" s="24">
        <v>41193</v>
      </c>
      <c r="R95" s="27">
        <v>0.82335914163118795</v>
      </c>
    </row>
    <row r="96" spans="2:18">
      <c r="B96" s="24">
        <v>41200</v>
      </c>
      <c r="C96" s="27">
        <v>0.95277295236812309</v>
      </c>
      <c r="D96" s="27">
        <v>0.95825995770483319</v>
      </c>
      <c r="E96" s="6">
        <f ca="1">VLOOKUP(CurrentMtgRatesDataTable825[[#This Row],[asOfDate]]+1,Bloomberg!B:C,2,0)</f>
        <v>4847.2</v>
      </c>
      <c r="F96" s="27">
        <f>VLOOKUP(CurrentMtgRatesDataTable825[[#This Row],[asOfDate]],CurrentMtgRatesDataTable8256[#All],2,0)</f>
        <v>0.95171433528773408</v>
      </c>
      <c r="G96" s="27">
        <f>VLOOKUP(CurrentMtgRatesDataTable825[[#This Row],[asOfDate]],CurrentMtgRatesDataTable82562[],2,0)</f>
        <v>0.85729125490537361</v>
      </c>
      <c r="H96" s="27">
        <f>VLOOKUP(CurrentMtgRatesDataTable825[[#This Row],[asOfDate]],CurrentMtgRatesDataTable825623[#All],2,0)</f>
        <v>0.84345556360039442</v>
      </c>
      <c r="J96" s="24">
        <v>41200</v>
      </c>
      <c r="K96" s="26">
        <v>0.95171433528773408</v>
      </c>
      <c r="L96" s="26">
        <f ca="1">VLOOKUP(CurrentMtgRatesDataTable8256[[#This Row],[asOfDate]]+1,Bloomberg!B:C,2,0)</f>
        <v>4847.2</v>
      </c>
      <c r="N96" s="24">
        <v>41200</v>
      </c>
      <c r="O96" s="26">
        <v>0.85729125490537361</v>
      </c>
      <c r="Q96" s="24">
        <v>41200</v>
      </c>
      <c r="R96" s="27">
        <v>0.84345556360039442</v>
      </c>
    </row>
    <row r="97" spans="2:18">
      <c r="B97" s="24">
        <v>41207</v>
      </c>
      <c r="C97" s="27">
        <v>0.95079229345734595</v>
      </c>
      <c r="D97" s="27">
        <v>0.95825995770483319</v>
      </c>
      <c r="E97" s="6">
        <f ca="1">VLOOKUP(CurrentMtgRatesDataTable825[[#This Row],[asOfDate]]+1,Bloomberg!B:C,2,0)</f>
        <v>4550.7</v>
      </c>
      <c r="F97" s="27">
        <f>VLOOKUP(CurrentMtgRatesDataTable825[[#This Row],[asOfDate]],CurrentMtgRatesDataTable8256[#All],2,0)</f>
        <v>0.95160314091355924</v>
      </c>
      <c r="G97" s="27">
        <f>VLOOKUP(CurrentMtgRatesDataTable825[[#This Row],[asOfDate]],CurrentMtgRatesDataTable82562[],2,0)</f>
        <v>0.83658971912185232</v>
      </c>
      <c r="H97" s="27">
        <f>VLOOKUP(CurrentMtgRatesDataTable825[[#This Row],[asOfDate]],CurrentMtgRatesDataTable825623[#All],2,0)</f>
        <v>0.82205123015040049</v>
      </c>
      <c r="J97" s="24">
        <v>41207</v>
      </c>
      <c r="K97" s="26">
        <v>0.95160314091355924</v>
      </c>
      <c r="L97" s="26">
        <f ca="1">VLOOKUP(CurrentMtgRatesDataTable8256[[#This Row],[asOfDate]]+1,Bloomberg!B:C,2,0)</f>
        <v>4550.7</v>
      </c>
      <c r="N97" s="24">
        <v>41207</v>
      </c>
      <c r="O97" s="26">
        <v>0.83658971912185232</v>
      </c>
      <c r="Q97" s="24">
        <v>41207</v>
      </c>
      <c r="R97" s="27">
        <v>0.82205123015040049</v>
      </c>
    </row>
    <row r="98" spans="2:18">
      <c r="B98" s="24">
        <v>41214</v>
      </c>
      <c r="C98" s="27">
        <v>0.92571311512973709</v>
      </c>
      <c r="D98" s="27">
        <v>0.92056571627750461</v>
      </c>
      <c r="E98" s="6">
        <f ca="1">VLOOKUP(CurrentMtgRatesDataTable825[[#This Row],[asOfDate]]+1,Bloomberg!B:C,2,0)</f>
        <v>4297.7</v>
      </c>
      <c r="F98" s="27">
        <f>VLOOKUP(CurrentMtgRatesDataTable825[[#This Row],[asOfDate]],CurrentMtgRatesDataTable8256[#All],2,0)</f>
        <v>0.92867980817147811</v>
      </c>
      <c r="G98" s="27">
        <f>VLOOKUP(CurrentMtgRatesDataTable825[[#This Row],[asOfDate]],CurrentMtgRatesDataTable82562[],2,0)</f>
        <v>0.80940641392759149</v>
      </c>
      <c r="H98" s="27">
        <f>VLOOKUP(CurrentMtgRatesDataTable825[[#This Row],[asOfDate]],CurrentMtgRatesDataTable825623[#All],2,0)</f>
        <v>0.79712077418900507</v>
      </c>
      <c r="J98" s="24">
        <v>41214</v>
      </c>
      <c r="K98" s="26">
        <v>0.92867980817147811</v>
      </c>
      <c r="L98" s="26">
        <f ca="1">VLOOKUP(CurrentMtgRatesDataTable8256[[#This Row],[asOfDate]]+1,Bloomberg!B:C,2,0)</f>
        <v>4297.7</v>
      </c>
      <c r="N98" s="24">
        <v>41214</v>
      </c>
      <c r="O98" s="26">
        <v>0.80940641392759149</v>
      </c>
      <c r="Q98" s="24">
        <v>41214</v>
      </c>
      <c r="R98" s="27">
        <v>0.79712077418900507</v>
      </c>
    </row>
    <row r="99" spans="2:18">
      <c r="B99" s="24">
        <v>41221</v>
      </c>
      <c r="C99" s="27">
        <v>0.9252942527060104</v>
      </c>
      <c r="D99" s="27">
        <v>0.92056571627750461</v>
      </c>
      <c r="E99" s="6">
        <f ca="1">VLOOKUP(CurrentMtgRatesDataTable825[[#This Row],[asOfDate]]+1,Bloomberg!B:C,2,0)</f>
        <v>4856.1000000000004</v>
      </c>
      <c r="F99" s="27">
        <f>VLOOKUP(CurrentMtgRatesDataTable825[[#This Row],[asOfDate]],CurrentMtgRatesDataTable8256[#All],2,0)</f>
        <v>0.92867016836240179</v>
      </c>
      <c r="G99" s="27">
        <f>VLOOKUP(CurrentMtgRatesDataTable825[[#This Row],[asOfDate]],CurrentMtgRatesDataTable82562[],2,0)</f>
        <v>0.80844518185204484</v>
      </c>
      <c r="H99" s="27">
        <f>VLOOKUP(CurrentMtgRatesDataTable825[[#This Row],[asOfDate]],CurrentMtgRatesDataTable825623[#All],2,0)</f>
        <v>0.79698536593342428</v>
      </c>
      <c r="J99" s="24">
        <v>41221</v>
      </c>
      <c r="K99" s="26">
        <v>0.92867016836240179</v>
      </c>
      <c r="L99" s="26">
        <f ca="1">VLOOKUP(CurrentMtgRatesDataTable8256[[#This Row],[asOfDate]]+1,Bloomberg!B:C,2,0)</f>
        <v>4856.1000000000004</v>
      </c>
      <c r="N99" s="24">
        <v>41221</v>
      </c>
      <c r="O99" s="26">
        <v>0.80844518185204484</v>
      </c>
      <c r="Q99" s="24">
        <v>41221</v>
      </c>
      <c r="R99" s="27">
        <v>0.79698536593342428</v>
      </c>
    </row>
    <row r="100" spans="2:18">
      <c r="B100" s="24">
        <v>41228</v>
      </c>
      <c r="C100" s="27">
        <v>0.92772026190850965</v>
      </c>
      <c r="D100" s="27">
        <v>0.94844051510610683</v>
      </c>
      <c r="E100" s="6">
        <f ca="1">VLOOKUP(CurrentMtgRatesDataTable825[[#This Row],[asOfDate]]+1,Bloomberg!B:C,2,0)</f>
        <v>4702.3999999999996</v>
      </c>
      <c r="F100" s="27">
        <f>VLOOKUP(CurrentMtgRatesDataTable825[[#This Row],[asOfDate]],CurrentMtgRatesDataTable8256[#All],2,0)</f>
        <v>0.92880125520801771</v>
      </c>
      <c r="G100" s="27">
        <f>VLOOKUP(CurrentMtgRatesDataTable825[[#This Row],[asOfDate]],CurrentMtgRatesDataTable82562[],2,0)</f>
        <v>0.8290284928264865</v>
      </c>
      <c r="H100" s="27">
        <f>VLOOKUP(CurrentMtgRatesDataTable825[[#This Row],[asOfDate]],CurrentMtgRatesDataTable825623[#All],2,0)</f>
        <v>0.81850077597759319</v>
      </c>
      <c r="J100" s="24">
        <v>41228</v>
      </c>
      <c r="K100" s="26">
        <v>0.92880125520801771</v>
      </c>
      <c r="L100" s="26">
        <f ca="1">VLOOKUP(CurrentMtgRatesDataTable8256[[#This Row],[asOfDate]]+1,Bloomberg!B:C,2,0)</f>
        <v>4702.3999999999996</v>
      </c>
      <c r="N100" s="24">
        <v>41228</v>
      </c>
      <c r="O100" s="26">
        <v>0.8290284928264865</v>
      </c>
      <c r="Q100" s="24">
        <v>41228</v>
      </c>
      <c r="R100" s="27">
        <v>0.81850077597759319</v>
      </c>
    </row>
    <row r="101" spans="2:18">
      <c r="B101" s="24">
        <v>41234</v>
      </c>
      <c r="C101" s="27">
        <v>0.9299301195282087</v>
      </c>
      <c r="D101" s="27">
        <v>0.97623387233301817</v>
      </c>
      <c r="E101" s="6" t="e">
        <f ca="1">VLOOKUP(CurrentMtgRatesDataTable825[[#This Row],[asOfDate]]+1,Bloomberg!B:C,2,0)</f>
        <v>#N/A</v>
      </c>
      <c r="F101" s="27">
        <f>VLOOKUP(CurrentMtgRatesDataTable825[[#This Row],[asOfDate]],CurrentMtgRatesDataTable8256[#All],2,0)</f>
        <v>0.95306397070735893</v>
      </c>
      <c r="G101" s="27">
        <f>VLOOKUP(CurrentMtgRatesDataTable825[[#This Row],[asOfDate]],CurrentMtgRatesDataTable82562[],2,0)</f>
        <v>0.85731372591467903</v>
      </c>
      <c r="H101" s="27">
        <f>VLOOKUP(CurrentMtgRatesDataTable825[[#This Row],[asOfDate]],CurrentMtgRatesDataTable825623[#All],2,0)</f>
        <v>0.84439089185574212</v>
      </c>
      <c r="J101" s="24">
        <v>41234</v>
      </c>
      <c r="K101" s="26">
        <v>0.95306397070735893</v>
      </c>
      <c r="L101" s="26" t="e">
        <f ca="1">VLOOKUP(CurrentMtgRatesDataTable8256[[#This Row],[asOfDate]]+1,Bloomberg!B:C,2,0)</f>
        <v>#N/A</v>
      </c>
      <c r="N101" s="24">
        <v>41234</v>
      </c>
      <c r="O101" s="26">
        <v>0.85731372591467903</v>
      </c>
      <c r="Q101" s="24">
        <v>41234</v>
      </c>
      <c r="R101" s="27">
        <v>0.84439089185574212</v>
      </c>
    </row>
    <row r="102" spans="2:18">
      <c r="B102" s="24">
        <v>41242</v>
      </c>
      <c r="C102" s="27">
        <v>0.92756020040727527</v>
      </c>
      <c r="D102" s="27">
        <v>0.94844051510610683</v>
      </c>
      <c r="E102" s="6">
        <f ca="1">VLOOKUP(CurrentMtgRatesDataTable825[[#This Row],[asOfDate]]+1,Bloomberg!B:C,2,0)</f>
        <v>4943</v>
      </c>
      <c r="F102" s="27">
        <f>VLOOKUP(CurrentMtgRatesDataTable825[[#This Row],[asOfDate]],CurrentMtgRatesDataTable8256[#All],2,0)</f>
        <v>0.92879920649220771</v>
      </c>
      <c r="G102" s="27">
        <f>VLOOKUP(CurrentMtgRatesDataTable825[[#This Row],[asOfDate]],CurrentMtgRatesDataTable82562[],2,0)</f>
        <v>0.82902156132584415</v>
      </c>
      <c r="H102" s="27">
        <f>VLOOKUP(CurrentMtgRatesDataTable825[[#This Row],[asOfDate]],CurrentMtgRatesDataTable825623[#All],2,0)</f>
        <v>0.81849486720040165</v>
      </c>
      <c r="J102" s="24">
        <v>41242</v>
      </c>
      <c r="K102" s="26">
        <v>0.92879920649220771</v>
      </c>
      <c r="L102" s="26">
        <f ca="1">VLOOKUP(CurrentMtgRatesDataTable8256[[#This Row],[asOfDate]]+1,Bloomberg!B:C,2,0)</f>
        <v>4943</v>
      </c>
      <c r="N102" s="24">
        <v>41242</v>
      </c>
      <c r="O102" s="26">
        <v>0.82902156132584415</v>
      </c>
      <c r="Q102" s="24">
        <v>41242</v>
      </c>
      <c r="R102" s="27">
        <v>0.81849486720040165</v>
      </c>
    </row>
    <row r="103" spans="2:18">
      <c r="B103" s="24">
        <v>41249</v>
      </c>
      <c r="C103" s="27">
        <v>0.9105479087849232</v>
      </c>
      <c r="D103" s="27">
        <v>0.92580210181792555</v>
      </c>
      <c r="E103" s="6">
        <f ca="1">VLOOKUP(CurrentMtgRatesDataTable825[[#This Row],[asOfDate]]+1,Bloomberg!B:C,2,0)</f>
        <v>5368.1</v>
      </c>
      <c r="F103" s="27">
        <f>VLOOKUP(CurrentMtgRatesDataTable825[[#This Row],[asOfDate]],CurrentMtgRatesDataTable8256[#All],2,0)</f>
        <v>0.91462867250042379</v>
      </c>
      <c r="G103" s="27">
        <f>VLOOKUP(CurrentMtgRatesDataTable825[[#This Row],[asOfDate]],CurrentMtgRatesDataTable82562[],2,0)</f>
        <v>0.81232353401430979</v>
      </c>
      <c r="H103" s="27">
        <f>VLOOKUP(CurrentMtgRatesDataTable825[[#This Row],[asOfDate]],CurrentMtgRatesDataTable825623[#All],2,0)</f>
        <v>0.80509322996926413</v>
      </c>
      <c r="J103" s="24">
        <v>41249</v>
      </c>
      <c r="K103" s="26">
        <v>0.91462867250042379</v>
      </c>
      <c r="L103" s="26">
        <f ca="1">VLOOKUP(CurrentMtgRatesDataTable8256[[#This Row],[asOfDate]]+1,Bloomberg!B:C,2,0)</f>
        <v>5368.1</v>
      </c>
      <c r="N103" s="24">
        <v>41249</v>
      </c>
      <c r="O103" s="26">
        <v>0.81232353401430979</v>
      </c>
      <c r="Q103" s="24">
        <v>41249</v>
      </c>
      <c r="R103" s="27">
        <v>0.80509322996926413</v>
      </c>
    </row>
    <row r="104" spans="2:18">
      <c r="B104" s="24">
        <v>41256</v>
      </c>
      <c r="C104" s="27">
        <v>0.9126136851792267</v>
      </c>
      <c r="D104" s="27">
        <v>0.95384496957531795</v>
      </c>
      <c r="E104" s="6">
        <f ca="1">VLOOKUP(CurrentMtgRatesDataTable825[[#This Row],[asOfDate]]+1,Bloomberg!B:C,2,0)</f>
        <v>4564.3999999999996</v>
      </c>
      <c r="F104" s="27">
        <f>VLOOKUP(CurrentMtgRatesDataTable825[[#This Row],[asOfDate]],CurrentMtgRatesDataTable8256[#All],2,0)</f>
        <v>0.94167657117439885</v>
      </c>
      <c r="G104" s="27">
        <f>VLOOKUP(CurrentMtgRatesDataTable825[[#This Row],[asOfDate]],CurrentMtgRatesDataTable82562[],2,0)</f>
        <v>0.84119158160478291</v>
      </c>
      <c r="H104" s="27">
        <f>VLOOKUP(CurrentMtgRatesDataTable825[[#This Row],[asOfDate]],CurrentMtgRatesDataTable825623[#All],2,0)</f>
        <v>0.83135770301903678</v>
      </c>
      <c r="J104" s="24">
        <v>41256</v>
      </c>
      <c r="K104" s="26">
        <v>0.94167657117439885</v>
      </c>
      <c r="L104" s="26">
        <f ca="1">VLOOKUP(CurrentMtgRatesDataTable8256[[#This Row],[asOfDate]]+1,Bloomberg!B:C,2,0)</f>
        <v>4564.3999999999996</v>
      </c>
      <c r="N104" s="24">
        <v>41256</v>
      </c>
      <c r="O104" s="26">
        <v>0.84119158160478291</v>
      </c>
      <c r="Q104" s="24">
        <v>41256</v>
      </c>
      <c r="R104" s="27">
        <v>0.83135770301903678</v>
      </c>
    </row>
    <row r="105" spans="2:18">
      <c r="B105" s="24">
        <v>41263</v>
      </c>
      <c r="C105" s="27">
        <v>0.90965157918840345</v>
      </c>
      <c r="D105" s="27">
        <v>0.89780697954618993</v>
      </c>
      <c r="E105" s="6">
        <f ca="1">VLOOKUP(CurrentMtgRatesDataTable825[[#This Row],[asOfDate]]+1,Bloomberg!B:C,2,0)</f>
        <v>3983.2</v>
      </c>
      <c r="F105" s="27">
        <f>VLOOKUP(CurrentMtgRatesDataTable825[[#This Row],[asOfDate]],CurrentMtgRatesDataTable8256[#All],2,0)</f>
        <v>0.91459695563417198</v>
      </c>
      <c r="G105" s="27">
        <f>VLOOKUP(CurrentMtgRatesDataTable825[[#This Row],[asOfDate]],CurrentMtgRatesDataTable82562[],2,0)</f>
        <v>0.81217683647199035</v>
      </c>
      <c r="H105" s="27">
        <f>VLOOKUP(CurrentMtgRatesDataTable825[[#This Row],[asOfDate]],CurrentMtgRatesDataTable825623[#All],2,0)</f>
        <v>0.80495713977092143</v>
      </c>
      <c r="J105" s="24">
        <v>41263</v>
      </c>
      <c r="K105" s="26">
        <v>0.91459695563417198</v>
      </c>
      <c r="L105" s="26">
        <f ca="1">VLOOKUP(CurrentMtgRatesDataTable8256[[#This Row],[asOfDate]]+1,Bloomberg!B:C,2,0)</f>
        <v>3983.2</v>
      </c>
      <c r="N105" s="24">
        <v>41263</v>
      </c>
      <c r="O105" s="26">
        <v>0.81217683647199035</v>
      </c>
      <c r="Q105" s="24">
        <v>41263</v>
      </c>
      <c r="R105" s="27">
        <v>0.80495713977092143</v>
      </c>
    </row>
    <row r="106" spans="2:18">
      <c r="B106" s="24">
        <v>41270</v>
      </c>
      <c r="C106" s="27">
        <v>0.91018597538933266</v>
      </c>
      <c r="D106" s="27">
        <v>0.92580210181792555</v>
      </c>
      <c r="E106" s="6">
        <f ca="1">VLOOKUP(CurrentMtgRatesDataTable825[[#This Row],[asOfDate]]+1,Bloomberg!B:C,2,0)</f>
        <v>3488.9</v>
      </c>
      <c r="F106" s="27">
        <f>VLOOKUP(CurrentMtgRatesDataTable825[[#This Row],[asOfDate]],CurrentMtgRatesDataTable8256[#All],2,0)</f>
        <v>0.91462311468400781</v>
      </c>
      <c r="G106" s="27">
        <f>VLOOKUP(CurrentMtgRatesDataTable825[[#This Row],[asOfDate]],CurrentMtgRatesDataTable82562[],2,0)</f>
        <v>0.81230697941230379</v>
      </c>
      <c r="H106" s="27">
        <f>VLOOKUP(CurrentMtgRatesDataTable825[[#This Row],[asOfDate]],CurrentMtgRatesDataTable825623[#All],2,0)</f>
        <v>0.80507982737116601</v>
      </c>
      <c r="J106" s="24">
        <v>41270</v>
      </c>
      <c r="K106" s="26">
        <v>0.91462311468400781</v>
      </c>
      <c r="L106" s="26">
        <f ca="1">VLOOKUP(CurrentMtgRatesDataTable8256[[#This Row],[asOfDate]]+1,Bloomberg!B:C,2,0)</f>
        <v>3488.9</v>
      </c>
      <c r="N106" s="24">
        <v>41270</v>
      </c>
      <c r="O106" s="26">
        <v>0.81230697941230379</v>
      </c>
      <c r="Q106" s="24">
        <v>41270</v>
      </c>
      <c r="R106" s="27">
        <v>0.80507982737116601</v>
      </c>
    </row>
    <row r="107" spans="2:18">
      <c r="B107" s="24">
        <v>41277</v>
      </c>
      <c r="C107" s="27">
        <v>0.88829814088555981</v>
      </c>
      <c r="D107" s="27">
        <v>0.89631993228766282</v>
      </c>
      <c r="E107" s="6">
        <f ca="1">VLOOKUP(CurrentMtgRatesDataTable825[[#This Row],[asOfDate]]+1,Bloomberg!B:C,2,0)</f>
        <v>3896.4</v>
      </c>
      <c r="F107" s="27">
        <f>VLOOKUP(CurrentMtgRatesDataTable825[[#This Row],[asOfDate]],CurrentMtgRatesDataTable8256[#All],2,0)</f>
        <v>0.89326181251225278</v>
      </c>
      <c r="G107" s="27">
        <f>VLOOKUP(CurrentMtgRatesDataTable825[[#This Row],[asOfDate]],CurrentMtgRatesDataTable82562[],2,0)</f>
        <v>0.78796669783307383</v>
      </c>
      <c r="H107" s="27">
        <f>VLOOKUP(CurrentMtgRatesDataTable825[[#This Row],[asOfDate]],CurrentMtgRatesDataTable825623[#All],2,0)</f>
        <v>0.78587704060014518</v>
      </c>
      <c r="J107" s="24">
        <v>41277</v>
      </c>
      <c r="K107" s="26">
        <v>0.89326181251225278</v>
      </c>
      <c r="L107" s="26">
        <f ca="1">VLOOKUP(CurrentMtgRatesDataTable8256[[#This Row],[asOfDate]]+1,Bloomberg!B:C,2,0)</f>
        <v>3896.4</v>
      </c>
      <c r="N107" s="24">
        <v>41277</v>
      </c>
      <c r="O107" s="26">
        <v>0.78796669783307383</v>
      </c>
      <c r="Q107" s="24">
        <v>41277</v>
      </c>
      <c r="R107" s="27">
        <v>0.78587704060014518</v>
      </c>
    </row>
    <row r="108" spans="2:18">
      <c r="B108" s="24">
        <v>41284</v>
      </c>
      <c r="C108" s="27">
        <v>0.88507237465236011</v>
      </c>
      <c r="D108" s="27">
        <v>0.86829940875669753</v>
      </c>
      <c r="E108" s="6">
        <f ca="1">VLOOKUP(CurrentMtgRatesDataTable825[[#This Row],[asOfDate]]+1,Bloomberg!B:C,2,0)</f>
        <v>4554.3999999999996</v>
      </c>
      <c r="F108" s="27">
        <f>VLOOKUP(CurrentMtgRatesDataTable825[[#This Row],[asOfDate]],CurrentMtgRatesDataTable8256[#All],2,0)</f>
        <v>0.89311387348630478</v>
      </c>
      <c r="G108" s="27">
        <f>VLOOKUP(CurrentMtgRatesDataTable825[[#This Row],[asOfDate]],CurrentMtgRatesDataTable82562[],2,0)</f>
        <v>0.76674305612199489</v>
      </c>
      <c r="H108" s="27">
        <f>VLOOKUP(CurrentMtgRatesDataTable825[[#This Row],[asOfDate]],CurrentMtgRatesDataTable825623[#All],2,0)</f>
        <v>0.76318717011624149</v>
      </c>
      <c r="J108" s="24">
        <v>41284</v>
      </c>
      <c r="K108" s="26">
        <v>0.89311387348630478</v>
      </c>
      <c r="L108" s="26">
        <f ca="1">VLOOKUP(CurrentMtgRatesDataTable8256[[#This Row],[asOfDate]]+1,Bloomberg!B:C,2,0)</f>
        <v>4554.3999999999996</v>
      </c>
      <c r="N108" s="24">
        <v>41284</v>
      </c>
      <c r="O108" s="26">
        <v>0.76674305612199489</v>
      </c>
      <c r="Q108" s="24">
        <v>41284</v>
      </c>
      <c r="R108" s="27">
        <v>0.76318717011624149</v>
      </c>
    </row>
    <row r="109" spans="2:18">
      <c r="B109" s="24">
        <v>41291</v>
      </c>
      <c r="C109" s="27">
        <v>0.88631407683414742</v>
      </c>
      <c r="D109" s="27">
        <v>0.86829940875669753</v>
      </c>
      <c r="E109" s="6">
        <f ca="1">VLOOKUP(CurrentMtgRatesDataTable825[[#This Row],[asOfDate]]+1,Bloomberg!B:C,2,0)</f>
        <v>4937.3999999999996</v>
      </c>
      <c r="F109" s="27">
        <f>VLOOKUP(CurrentMtgRatesDataTable825[[#This Row],[asOfDate]],CurrentMtgRatesDataTable8256[#All],2,0)</f>
        <v>0.89313594354940329</v>
      </c>
      <c r="G109" s="27">
        <f>VLOOKUP(CurrentMtgRatesDataTable825[[#This Row],[asOfDate]],CurrentMtgRatesDataTable82562[],2,0)</f>
        <v>0.78719387288686149</v>
      </c>
      <c r="H109" s="27">
        <f>VLOOKUP(CurrentMtgRatesDataTable825[[#This Row],[asOfDate]],CurrentMtgRatesDataTable825623[#All],2,0)</f>
        <v>0.785144217858876</v>
      </c>
      <c r="J109" s="24">
        <v>41291</v>
      </c>
      <c r="K109" s="26">
        <v>0.89313594354940329</v>
      </c>
      <c r="L109" s="26">
        <f ca="1">VLOOKUP(CurrentMtgRatesDataTable8256[[#This Row],[asOfDate]]+1,Bloomberg!B:C,2,0)</f>
        <v>4937.3999999999996</v>
      </c>
      <c r="N109" s="24">
        <v>41291</v>
      </c>
      <c r="O109" s="26">
        <v>0.78719387288686149</v>
      </c>
      <c r="Q109" s="24">
        <v>41291</v>
      </c>
      <c r="R109" s="27">
        <v>0.785144217858876</v>
      </c>
    </row>
    <row r="110" spans="2:18">
      <c r="B110" s="24">
        <v>41298</v>
      </c>
      <c r="C110" s="27">
        <v>0.88379536104531342</v>
      </c>
      <c r="D110" s="27">
        <v>0.86829940875669753</v>
      </c>
      <c r="E110" s="6">
        <f ca="1">VLOOKUP(CurrentMtgRatesDataTable825[[#This Row],[asOfDate]]+1,Bloomberg!B:C,2,0)</f>
        <v>4433.6000000000004</v>
      </c>
      <c r="F110" s="27">
        <f>VLOOKUP(CurrentMtgRatesDataTable825[[#This Row],[asOfDate]],CurrentMtgRatesDataTable8256[#All],2,0)</f>
        <v>0.89309005512837913</v>
      </c>
      <c r="G110" s="27">
        <f>VLOOKUP(CurrentMtgRatesDataTable825[[#This Row],[asOfDate]],CurrentMtgRatesDataTable82562[],2,0)</f>
        <v>0.76516212286562191</v>
      </c>
      <c r="H110" s="27">
        <f>VLOOKUP(CurrentMtgRatesDataTable825[[#This Row],[asOfDate]],CurrentMtgRatesDataTable825623[#All],2,0)</f>
        <v>0.76190943399436351</v>
      </c>
      <c r="J110" s="24">
        <v>41298</v>
      </c>
      <c r="K110" s="26">
        <v>0.89309005512837913</v>
      </c>
      <c r="L110" s="26">
        <f ca="1">VLOOKUP(CurrentMtgRatesDataTable8256[[#This Row],[asOfDate]]+1,Bloomberg!B:C,2,0)</f>
        <v>4433.6000000000004</v>
      </c>
      <c r="N110" s="24">
        <v>41298</v>
      </c>
      <c r="O110" s="26">
        <v>0.76516212286562191</v>
      </c>
      <c r="Q110" s="24">
        <v>41298</v>
      </c>
      <c r="R110" s="27">
        <v>0.76190943399436351</v>
      </c>
    </row>
    <row r="111" spans="2:18">
      <c r="B111" s="24">
        <v>41305</v>
      </c>
      <c r="C111" s="27">
        <v>0.84748759806752005</v>
      </c>
      <c r="D111" s="27">
        <v>0.84429162931833102</v>
      </c>
      <c r="E111" s="6">
        <f ca="1">VLOOKUP(CurrentMtgRatesDataTable825[[#This Row],[asOfDate]]+1,Bloomberg!B:C,2,0)</f>
        <v>4579</v>
      </c>
      <c r="F111" s="27">
        <f>VLOOKUP(CurrentMtgRatesDataTable825[[#This Row],[asOfDate]],CurrentMtgRatesDataTable8256[#All],2,0)</f>
        <v>0.8331952647990043</v>
      </c>
      <c r="G111" s="27">
        <f>VLOOKUP(CurrentMtgRatesDataTable825[[#This Row],[asOfDate]],CurrentMtgRatesDataTable82562[],2,0)</f>
        <v>0.71242242253610366</v>
      </c>
      <c r="H111" s="27">
        <f>VLOOKUP(CurrentMtgRatesDataTable825[[#This Row],[asOfDate]],CurrentMtgRatesDataTable825623[#All],2,0)</f>
        <v>0.70861609938717229</v>
      </c>
      <c r="J111" s="24">
        <v>41305</v>
      </c>
      <c r="K111" s="26">
        <v>0.8331952647990043</v>
      </c>
      <c r="L111" s="26">
        <f ca="1">VLOOKUP(CurrentMtgRatesDataTable8256[[#This Row],[asOfDate]]+1,Bloomberg!B:C,2,0)</f>
        <v>4579</v>
      </c>
      <c r="N111" s="24">
        <v>41305</v>
      </c>
      <c r="O111" s="26">
        <v>0.71242242253610366</v>
      </c>
      <c r="Q111" s="24">
        <v>41305</v>
      </c>
      <c r="R111" s="27">
        <v>0.70861609938717229</v>
      </c>
    </row>
    <row r="112" spans="2:18">
      <c r="B112" s="24">
        <v>41312</v>
      </c>
      <c r="C112" s="27">
        <v>0.79744674672768578</v>
      </c>
      <c r="D112" s="27">
        <v>0.79280272472703261</v>
      </c>
      <c r="E112" s="6">
        <f ca="1">VLOOKUP(CurrentMtgRatesDataTable825[[#This Row],[asOfDate]]+1,Bloomberg!B:C,2,0)</f>
        <v>4284.3</v>
      </c>
      <c r="F112" s="27">
        <f>VLOOKUP(CurrentMtgRatesDataTable825[[#This Row],[asOfDate]],CurrentMtgRatesDataTable8256[#All],2,0)</f>
        <v>0.81023525759205761</v>
      </c>
      <c r="G112" s="27">
        <f>VLOOKUP(CurrentMtgRatesDataTable825[[#This Row],[asOfDate]],CurrentMtgRatesDataTable82562[],2,0)</f>
        <v>0.68795380166393372</v>
      </c>
      <c r="H112" s="27">
        <f>VLOOKUP(CurrentMtgRatesDataTable825[[#This Row],[asOfDate]],CurrentMtgRatesDataTable825623[#All],2,0)</f>
        <v>0.6884953726397457</v>
      </c>
      <c r="J112" s="24">
        <v>41312</v>
      </c>
      <c r="K112" s="26">
        <v>0.81023525759205761</v>
      </c>
      <c r="L112" s="26">
        <f ca="1">VLOOKUP(CurrentMtgRatesDataTable8256[[#This Row],[asOfDate]]+1,Bloomberg!B:C,2,0)</f>
        <v>4284.3</v>
      </c>
      <c r="N112" s="24">
        <v>41312</v>
      </c>
      <c r="O112" s="26">
        <v>0.68795380166393372</v>
      </c>
      <c r="Q112" s="24">
        <v>41312</v>
      </c>
      <c r="R112" s="27">
        <v>0.6884953726397457</v>
      </c>
    </row>
    <row r="113" spans="2:18">
      <c r="B113" s="24">
        <v>41319</v>
      </c>
      <c r="C113" s="27">
        <v>0.79744674672768578</v>
      </c>
      <c r="D113" s="27">
        <v>0.79280272472703261</v>
      </c>
      <c r="E113" s="6">
        <f ca="1">VLOOKUP(CurrentMtgRatesDataTable825[[#This Row],[asOfDate]]+1,Bloomberg!B:C,2,0)</f>
        <v>4261.8</v>
      </c>
      <c r="F113" s="27">
        <f>VLOOKUP(CurrentMtgRatesDataTable825[[#This Row],[asOfDate]],CurrentMtgRatesDataTable8256[#All],2,0)</f>
        <v>0.81023525759205761</v>
      </c>
      <c r="G113" s="27">
        <f>VLOOKUP(CurrentMtgRatesDataTable825[[#This Row],[asOfDate]],CurrentMtgRatesDataTable82562[],2,0)</f>
        <v>0.68795380166393372</v>
      </c>
      <c r="H113" s="27">
        <f>VLOOKUP(CurrentMtgRatesDataTable825[[#This Row],[asOfDate]],CurrentMtgRatesDataTable825623[#All],2,0)</f>
        <v>0.6884953726397457</v>
      </c>
      <c r="J113" s="24">
        <v>41319</v>
      </c>
      <c r="K113" s="26">
        <v>0.81023525759205761</v>
      </c>
      <c r="L113" s="26">
        <f ca="1">VLOOKUP(CurrentMtgRatesDataTable8256[[#This Row],[asOfDate]]+1,Bloomberg!B:C,2,0)</f>
        <v>4261.8</v>
      </c>
      <c r="N113" s="24">
        <v>41319</v>
      </c>
      <c r="O113" s="26">
        <v>0.68795380166393372</v>
      </c>
      <c r="Q113" s="24">
        <v>41319</v>
      </c>
      <c r="R113" s="27">
        <v>0.6884953726397457</v>
      </c>
    </row>
    <row r="114" spans="2:18">
      <c r="B114" s="24">
        <v>41326</v>
      </c>
      <c r="C114" s="27">
        <v>0.75767121274967097</v>
      </c>
      <c r="D114" s="27">
        <v>0.79280272472703261</v>
      </c>
      <c r="E114" s="6">
        <f ca="1">VLOOKUP(CurrentMtgRatesDataTable825[[#This Row],[asOfDate]]+1,Bloomberg!B:C,2,0)</f>
        <v>4136.3</v>
      </c>
      <c r="F114" s="27">
        <f>VLOOKUP(CurrentMtgRatesDataTable825[[#This Row],[asOfDate]],CurrentMtgRatesDataTable8256[#All],2,0)</f>
        <v>0.75933345466765345</v>
      </c>
      <c r="G114" s="27">
        <f>VLOOKUP(CurrentMtgRatesDataTable825[[#This Row],[asOfDate]],CurrentMtgRatesDataTable82562[],2,0)</f>
        <v>0.66527052489956673</v>
      </c>
      <c r="H114" s="27">
        <f>VLOOKUP(CurrentMtgRatesDataTable825[[#This Row],[asOfDate]],CurrentMtgRatesDataTable825623[#All],2,0)</f>
        <v>0.66613472475485569</v>
      </c>
      <c r="J114" s="24">
        <v>41326</v>
      </c>
      <c r="K114" s="26">
        <v>0.75933345466765345</v>
      </c>
      <c r="L114" s="26">
        <f ca="1">VLOOKUP(CurrentMtgRatesDataTable8256[[#This Row],[asOfDate]]+1,Bloomberg!B:C,2,0)</f>
        <v>4136.3</v>
      </c>
      <c r="N114" s="24">
        <v>41326</v>
      </c>
      <c r="O114" s="26">
        <v>0.66527052489956673</v>
      </c>
      <c r="Q114" s="24">
        <v>41326</v>
      </c>
      <c r="R114" s="27">
        <v>0.66613472475485569</v>
      </c>
    </row>
    <row r="115" spans="2:18">
      <c r="B115" s="24">
        <v>41333</v>
      </c>
      <c r="C115" s="27">
        <v>0.81599621049204552</v>
      </c>
      <c r="D115" s="27">
        <v>0.81605505896187003</v>
      </c>
      <c r="E115" s="6">
        <f ca="1">VLOOKUP(CurrentMtgRatesDataTable825[[#This Row],[asOfDate]]+1,Bloomberg!B:C,2,0)</f>
        <v>4724.8999999999996</v>
      </c>
      <c r="F115" s="27">
        <f>VLOOKUP(CurrentMtgRatesDataTable825[[#This Row],[asOfDate]],CurrentMtgRatesDataTable8256[#All],2,0)</f>
        <v>0.81029528984572785</v>
      </c>
      <c r="G115" s="27">
        <f>VLOOKUP(CurrentMtgRatesDataTable825[[#This Row],[asOfDate]],CurrentMtgRatesDataTable82562[],2,0)</f>
        <v>0.68801658762886242</v>
      </c>
      <c r="H115" s="27">
        <f>VLOOKUP(CurrentMtgRatesDataTable825[[#This Row],[asOfDate]],CurrentMtgRatesDataTable825623[#All],2,0)</f>
        <v>0.68856460743428471</v>
      </c>
      <c r="J115" s="24">
        <v>41333</v>
      </c>
      <c r="K115" s="26">
        <v>0.81029528984572785</v>
      </c>
      <c r="L115" s="26">
        <f ca="1">VLOOKUP(CurrentMtgRatesDataTable8256[[#This Row],[asOfDate]]+1,Bloomberg!B:C,2,0)</f>
        <v>4724.8999999999996</v>
      </c>
      <c r="N115" s="24">
        <v>41333</v>
      </c>
      <c r="O115" s="26">
        <v>0.68801658762886242</v>
      </c>
      <c r="Q115" s="24">
        <v>41333</v>
      </c>
      <c r="R115" s="27">
        <v>0.68856460743428471</v>
      </c>
    </row>
    <row r="116" spans="2:18">
      <c r="B116" s="24">
        <v>41340</v>
      </c>
      <c r="C116" s="27">
        <v>0.81254588826988361</v>
      </c>
      <c r="D116" s="27">
        <v>0.7933657220903958</v>
      </c>
      <c r="E116" s="6">
        <f ca="1">VLOOKUP(CurrentMtgRatesDataTable825[[#This Row],[asOfDate]]+1,Bloomberg!B:C,2,0)</f>
        <v>4485.2</v>
      </c>
      <c r="F116" s="27">
        <f>VLOOKUP(CurrentMtgRatesDataTable825[[#This Row],[asOfDate]],CurrentMtgRatesDataTable8256[#All],2,0)</f>
        <v>0.78624166702839782</v>
      </c>
      <c r="G116" s="27">
        <f>VLOOKUP(CurrentMtgRatesDataTable825[[#This Row],[asOfDate]],CurrentMtgRatesDataTable82562[],2,0)</f>
        <v>0.66023914901594483</v>
      </c>
      <c r="H116" s="27">
        <f>VLOOKUP(CurrentMtgRatesDataTable825[[#This Row],[asOfDate]],CurrentMtgRatesDataTable825623[#All],2,0)</f>
        <v>0.66492754235269635</v>
      </c>
      <c r="J116" s="24">
        <v>41340</v>
      </c>
      <c r="K116" s="26">
        <v>0.78624166702839782</v>
      </c>
      <c r="L116" s="26">
        <f ca="1">VLOOKUP(CurrentMtgRatesDataTable8256[[#This Row],[asOfDate]]+1,Bloomberg!B:C,2,0)</f>
        <v>4485.2</v>
      </c>
      <c r="N116" s="24">
        <v>41340</v>
      </c>
      <c r="O116" s="26">
        <v>0.66023914901594483</v>
      </c>
      <c r="Q116" s="24">
        <v>41340</v>
      </c>
      <c r="R116" s="27">
        <v>0.66492754235269635</v>
      </c>
    </row>
    <row r="117" spans="2:18">
      <c r="B117" s="24">
        <v>41347</v>
      </c>
      <c r="C117" s="27">
        <v>0.70260073761186825</v>
      </c>
      <c r="D117" s="27">
        <v>0.7703005838019461</v>
      </c>
      <c r="E117" s="6">
        <f ca="1">VLOOKUP(CurrentMtgRatesDataTable825[[#This Row],[asOfDate]]+1,Bloomberg!B:C,2,0)</f>
        <v>4111.3</v>
      </c>
      <c r="F117" s="27">
        <f>VLOOKUP(CurrentMtgRatesDataTable825[[#This Row],[asOfDate]],CurrentMtgRatesDataTable8256[#All],2,0)</f>
        <v>0.73111655922691299</v>
      </c>
      <c r="G117" s="27">
        <f>VLOOKUP(CurrentMtgRatesDataTable825[[#This Row],[asOfDate]],CurrentMtgRatesDataTable82562[],2,0)</f>
        <v>0.62405117397860987</v>
      </c>
      <c r="H117" s="27">
        <f>VLOOKUP(CurrentMtgRatesDataTable825[[#This Row],[asOfDate]],CurrentMtgRatesDataTable825623[#All],2,0)</f>
        <v>0.62785527997640145</v>
      </c>
      <c r="J117" s="24">
        <v>41347</v>
      </c>
      <c r="K117" s="26">
        <v>0.73111655922691299</v>
      </c>
      <c r="L117" s="26">
        <f ca="1">VLOOKUP(CurrentMtgRatesDataTable8256[[#This Row],[asOfDate]]+1,Bloomberg!B:C,2,0)</f>
        <v>4111.3</v>
      </c>
      <c r="N117" s="24">
        <v>41347</v>
      </c>
      <c r="O117" s="26">
        <v>0.62405117397860987</v>
      </c>
      <c r="Q117" s="24">
        <v>41347</v>
      </c>
      <c r="R117" s="27">
        <v>0.62785527997640145</v>
      </c>
    </row>
    <row r="118" spans="2:18">
      <c r="B118" s="24">
        <v>41354</v>
      </c>
      <c r="C118" s="27">
        <v>0.76832708554350626</v>
      </c>
      <c r="D118" s="27">
        <v>0.7703005838019461</v>
      </c>
      <c r="E118" s="6">
        <f ca="1">VLOOKUP(CurrentMtgRatesDataTable825[[#This Row],[asOfDate]]+1,Bloomberg!B:C,2,0)</f>
        <v>4412.8999999999996</v>
      </c>
      <c r="F118" s="27">
        <f>VLOOKUP(CurrentMtgRatesDataTable825[[#This Row],[asOfDate]],CurrentMtgRatesDataTable8256[#All],2,0)</f>
        <v>0.78232504101034894</v>
      </c>
      <c r="G118" s="27">
        <f>VLOOKUP(CurrentMtgRatesDataTable825[[#This Row],[asOfDate]],CurrentMtgRatesDataTable82562[],2,0)</f>
        <v>0.65942285533422573</v>
      </c>
      <c r="H118" s="27">
        <f>VLOOKUP(CurrentMtgRatesDataTable825[[#This Row],[asOfDate]],CurrentMtgRatesDataTable825623[#All],2,0)</f>
        <v>0.66394223169170952</v>
      </c>
      <c r="J118" s="24">
        <v>41354</v>
      </c>
      <c r="K118" s="26">
        <v>0.78232504101034894</v>
      </c>
      <c r="L118" s="26">
        <f ca="1">VLOOKUP(CurrentMtgRatesDataTable8256[[#This Row],[asOfDate]]+1,Bloomberg!B:C,2,0)</f>
        <v>4412.8999999999996</v>
      </c>
      <c r="N118" s="24">
        <v>41354</v>
      </c>
      <c r="O118" s="26">
        <v>0.65942285533422573</v>
      </c>
      <c r="Q118" s="24">
        <v>41354</v>
      </c>
      <c r="R118" s="27">
        <v>0.66394223169170952</v>
      </c>
    </row>
    <row r="119" spans="2:18">
      <c r="B119" s="24">
        <v>41361</v>
      </c>
      <c r="C119" s="27">
        <v>0.73085022058809757</v>
      </c>
      <c r="D119" s="27">
        <v>0.7703005838019461</v>
      </c>
      <c r="E119" s="6">
        <f ca="1">VLOOKUP(CurrentMtgRatesDataTable825[[#This Row],[asOfDate]]+1,Bloomberg!B:C,2,0)</f>
        <v>4119.2</v>
      </c>
      <c r="F119" s="27">
        <f>VLOOKUP(CurrentMtgRatesDataTable825[[#This Row],[asOfDate]],CurrentMtgRatesDataTable8256[#All],2,0)</f>
        <v>0.73126322983221848</v>
      </c>
      <c r="G119" s="27">
        <f>VLOOKUP(CurrentMtgRatesDataTable825[[#This Row],[asOfDate]],CurrentMtgRatesDataTable82562[],2,0)</f>
        <v>0.63701169097985455</v>
      </c>
      <c r="H119" s="27">
        <f>VLOOKUP(CurrentMtgRatesDataTable825[[#This Row],[asOfDate]],CurrentMtgRatesDataTable825623[#All],2,0)</f>
        <v>0.64182776636199401</v>
      </c>
      <c r="J119" s="24">
        <v>41361</v>
      </c>
      <c r="K119" s="26">
        <v>0.73126322983221848</v>
      </c>
      <c r="L119" s="26">
        <f ca="1">VLOOKUP(CurrentMtgRatesDataTable8256[[#This Row],[asOfDate]]+1,Bloomberg!B:C,2,0)</f>
        <v>4119.2</v>
      </c>
      <c r="N119" s="24">
        <v>41361</v>
      </c>
      <c r="O119" s="26">
        <v>0.63701169097985455</v>
      </c>
      <c r="Q119" s="24">
        <v>41361</v>
      </c>
      <c r="R119" s="27">
        <v>0.64182776636199401</v>
      </c>
    </row>
    <row r="120" spans="2:18">
      <c r="B120" s="24">
        <v>41368</v>
      </c>
      <c r="C120" s="27">
        <v>0.74812714109915845</v>
      </c>
      <c r="D120" s="27">
        <v>0.74540194436003504</v>
      </c>
      <c r="E120" s="6">
        <f ca="1">VLOOKUP(CurrentMtgRatesDataTable825[[#This Row],[asOfDate]]+1,Bloomberg!B:C,2,0)</f>
        <v>4528.8999999999996</v>
      </c>
      <c r="F120" s="27">
        <f>VLOOKUP(CurrentMtgRatesDataTable825[[#This Row],[asOfDate]],CurrentMtgRatesDataTable8256[#All],2,0)</f>
        <v>0.75888961446246717</v>
      </c>
      <c r="G120" s="27">
        <f>VLOOKUP(CurrentMtgRatesDataTable825[[#This Row],[asOfDate]],CurrentMtgRatesDataTable82562[],2,0)</f>
        <v>0.63343769966874808</v>
      </c>
      <c r="H120" s="27">
        <f>VLOOKUP(CurrentMtgRatesDataTable825[[#This Row],[asOfDate]],CurrentMtgRatesDataTable825623[#All],2,0)</f>
        <v>0.64790815234902699</v>
      </c>
      <c r="J120" s="24">
        <v>41368</v>
      </c>
      <c r="K120" s="26">
        <v>0.75888961446246717</v>
      </c>
      <c r="L120" s="26">
        <f ca="1">VLOOKUP(CurrentMtgRatesDataTable8256[[#This Row],[asOfDate]]+1,Bloomberg!B:C,2,0)</f>
        <v>4528.8999999999996</v>
      </c>
      <c r="N120" s="24">
        <v>41368</v>
      </c>
      <c r="O120" s="26">
        <v>0.63343769966874808</v>
      </c>
      <c r="Q120" s="24">
        <v>41368</v>
      </c>
      <c r="R120" s="27">
        <v>0.64790815234902699</v>
      </c>
    </row>
    <row r="121" spans="2:18">
      <c r="B121" s="24">
        <v>41375</v>
      </c>
      <c r="C121" s="27">
        <v>0.81951890925716175</v>
      </c>
      <c r="D121" s="27">
        <v>0.7916439665927314</v>
      </c>
      <c r="E121" s="6">
        <f ca="1">VLOOKUP(CurrentMtgRatesDataTable825[[#This Row],[asOfDate]]+1,Bloomberg!B:C,2,0)</f>
        <v>4726.8999999999996</v>
      </c>
      <c r="F121" s="27">
        <f>VLOOKUP(CurrentMtgRatesDataTable825[[#This Row],[asOfDate]],CurrentMtgRatesDataTable8256[#All],2,0)</f>
        <v>0.76309932434523087</v>
      </c>
      <c r="G121" s="27">
        <f>VLOOKUP(CurrentMtgRatesDataTable825[[#This Row],[asOfDate]],CurrentMtgRatesDataTable82562[],2,0)</f>
        <v>0.65224285256199233</v>
      </c>
      <c r="H121" s="27">
        <f>VLOOKUP(CurrentMtgRatesDataTable825[[#This Row],[asOfDate]],CurrentMtgRatesDataTable825623[#All],2,0)</f>
        <v>0.67093986203227984</v>
      </c>
      <c r="J121" s="24">
        <v>41375</v>
      </c>
      <c r="K121" s="26">
        <v>0.76309932434523087</v>
      </c>
      <c r="L121" s="26">
        <f ca="1">VLOOKUP(CurrentMtgRatesDataTable8256[[#This Row],[asOfDate]]+1,Bloomberg!B:C,2,0)</f>
        <v>4726.8999999999996</v>
      </c>
      <c r="N121" s="24">
        <v>41375</v>
      </c>
      <c r="O121" s="26">
        <v>0.65224285256199233</v>
      </c>
      <c r="Q121" s="24">
        <v>41375</v>
      </c>
      <c r="R121" s="27">
        <v>0.67093986203227984</v>
      </c>
    </row>
    <row r="122" spans="2:18">
      <c r="B122" s="24">
        <v>41382</v>
      </c>
      <c r="C122" s="27">
        <v>0.8263799320049966</v>
      </c>
      <c r="D122" s="27">
        <v>0.7916439665927314</v>
      </c>
      <c r="E122" s="6">
        <f ca="1">VLOOKUP(CurrentMtgRatesDataTable825[[#This Row],[asOfDate]]+1,Bloomberg!B:C,2,0)</f>
        <v>4672.1000000000004</v>
      </c>
      <c r="F122" s="27">
        <f>VLOOKUP(CurrentMtgRatesDataTable825[[#This Row],[asOfDate]],CurrentMtgRatesDataTable8256[#All],2,0)</f>
        <v>0.82449537522534488</v>
      </c>
      <c r="G122" s="27">
        <f>VLOOKUP(CurrentMtgRatesDataTable825[[#This Row],[asOfDate]],CurrentMtgRatesDataTable82562[],2,0)</f>
        <v>0.68649237366387494</v>
      </c>
      <c r="H122" s="27">
        <f>VLOOKUP(CurrentMtgRatesDataTable825[[#This Row],[asOfDate]],CurrentMtgRatesDataTable825623[#All],2,0)</f>
        <v>0.70290697718981421</v>
      </c>
      <c r="J122" s="24">
        <v>41382</v>
      </c>
      <c r="K122" s="26">
        <v>0.82449537522534488</v>
      </c>
      <c r="L122" s="26">
        <f ca="1">VLOOKUP(CurrentMtgRatesDataTable8256[[#This Row],[asOfDate]]+1,Bloomberg!B:C,2,0)</f>
        <v>4672.1000000000004</v>
      </c>
      <c r="N122" s="24">
        <v>41382</v>
      </c>
      <c r="O122" s="26">
        <v>0.68649237366387494</v>
      </c>
      <c r="Q122" s="24">
        <v>41382</v>
      </c>
      <c r="R122" s="27">
        <v>0.70290697718981421</v>
      </c>
    </row>
    <row r="123" spans="2:18">
      <c r="B123" s="24">
        <v>41389</v>
      </c>
      <c r="C123" s="27">
        <v>0.82478602429419701</v>
      </c>
      <c r="D123" s="27">
        <v>0.7916439665927314</v>
      </c>
      <c r="E123" s="6">
        <f ca="1">VLOOKUP(CurrentMtgRatesDataTable825[[#This Row],[asOfDate]]+1,Bloomberg!B:C,2,0)</f>
        <v>4854.1000000000004</v>
      </c>
      <c r="F123" s="27">
        <f>VLOOKUP(CurrentMtgRatesDataTable825[[#This Row],[asOfDate]],CurrentMtgRatesDataTable8256[#All],2,0)</f>
        <v>0.82447540826292098</v>
      </c>
      <c r="G123" s="27">
        <f>VLOOKUP(CurrentMtgRatesDataTable825[[#This Row],[asOfDate]],CurrentMtgRatesDataTable82562[],2,0)</f>
        <v>0.6864085485611654</v>
      </c>
      <c r="H123" s="27">
        <f>VLOOKUP(CurrentMtgRatesDataTable825[[#This Row],[asOfDate]],CurrentMtgRatesDataTable825623[#All],2,0)</f>
        <v>0.70281611264171606</v>
      </c>
      <c r="J123" s="24">
        <v>41389</v>
      </c>
      <c r="K123" s="26">
        <v>0.82447540826292098</v>
      </c>
      <c r="L123" s="26">
        <f ca="1">VLOOKUP(CurrentMtgRatesDataTable8256[[#This Row],[asOfDate]]+1,Bloomberg!B:C,2,0)</f>
        <v>4854.1000000000004</v>
      </c>
      <c r="N123" s="24">
        <v>41389</v>
      </c>
      <c r="O123" s="26">
        <v>0.6864085485611654</v>
      </c>
      <c r="Q123" s="24">
        <v>41389</v>
      </c>
      <c r="R123" s="27">
        <v>0.70281611264171606</v>
      </c>
    </row>
    <row r="124" spans="2:18">
      <c r="B124" s="24">
        <v>41396</v>
      </c>
      <c r="C124" s="27">
        <v>0.81686282095814366</v>
      </c>
      <c r="D124" s="27">
        <v>0.83940764810845248</v>
      </c>
      <c r="E124" s="6">
        <f ca="1">VLOOKUP(CurrentMtgRatesDataTable825[[#This Row],[asOfDate]]+1,Bloomberg!B:C,2,0)</f>
        <v>5279.9</v>
      </c>
      <c r="F124" s="27">
        <f>VLOOKUP(CurrentMtgRatesDataTable825[[#This Row],[asOfDate]],CurrentMtgRatesDataTable8256[#All],2,0)</f>
        <v>0.81093209114269571</v>
      </c>
      <c r="G124" s="27">
        <f>VLOOKUP(CurrentMtgRatesDataTable825[[#This Row],[asOfDate]],CurrentMtgRatesDataTable82562[],2,0)</f>
        <v>0.69100166934434826</v>
      </c>
      <c r="H124" s="27">
        <f>VLOOKUP(CurrentMtgRatesDataTable825[[#This Row],[asOfDate]],CurrentMtgRatesDataTable825623[#All],2,0)</f>
        <v>0.72094528388633183</v>
      </c>
      <c r="J124" s="24">
        <v>41396</v>
      </c>
      <c r="K124" s="26">
        <v>0.81093209114269571</v>
      </c>
      <c r="L124" s="26">
        <f ca="1">VLOOKUP(CurrentMtgRatesDataTable8256[[#This Row],[asOfDate]]+1,Bloomberg!B:C,2,0)</f>
        <v>5279.9</v>
      </c>
      <c r="N124" s="24">
        <v>41396</v>
      </c>
      <c r="O124" s="26">
        <v>0.69100166934434826</v>
      </c>
      <c r="Q124" s="24">
        <v>41396</v>
      </c>
      <c r="R124" s="27">
        <v>0.72094528388633183</v>
      </c>
    </row>
    <row r="125" spans="2:18">
      <c r="B125" s="24">
        <v>41403</v>
      </c>
      <c r="C125" s="27">
        <v>0.80807149473903783</v>
      </c>
      <c r="D125" s="27">
        <v>0.76613803294782268</v>
      </c>
      <c r="E125" s="6">
        <f ca="1">VLOOKUP(CurrentMtgRatesDataTable825[[#This Row],[asOfDate]]+1,Bloomberg!B:C,2,0)</f>
        <v>4797.2</v>
      </c>
      <c r="F125" s="27">
        <f>VLOOKUP(CurrentMtgRatesDataTable825[[#This Row],[asOfDate]],CurrentMtgRatesDataTable8256[#All],2,0)</f>
        <v>0.81067760043559867</v>
      </c>
      <c r="G125" s="27">
        <f>VLOOKUP(CurrentMtgRatesDataTable825[[#This Row],[asOfDate]],CurrentMtgRatesDataTable82562[],2,0)</f>
        <v>0.66649978336337867</v>
      </c>
      <c r="H125" s="27">
        <f>VLOOKUP(CurrentMtgRatesDataTable825[[#This Row],[asOfDate]],CurrentMtgRatesDataTable825623[#All],2,0)</f>
        <v>0.69246979917415841</v>
      </c>
      <c r="J125" s="24">
        <v>41403</v>
      </c>
      <c r="K125" s="26">
        <v>0.81067760043559867</v>
      </c>
      <c r="L125" s="26">
        <f ca="1">VLOOKUP(CurrentMtgRatesDataTable8256[[#This Row],[asOfDate]]+1,Bloomberg!B:C,2,0)</f>
        <v>4797.2</v>
      </c>
      <c r="N125" s="24">
        <v>41403</v>
      </c>
      <c r="O125" s="26">
        <v>0.66649978336337867</v>
      </c>
      <c r="Q125" s="24">
        <v>41403</v>
      </c>
      <c r="R125" s="27">
        <v>0.69246979917415841</v>
      </c>
    </row>
    <row r="126" spans="2:18">
      <c r="B126" s="24">
        <v>41410</v>
      </c>
      <c r="C126" s="27">
        <v>0.77783403735744605</v>
      </c>
      <c r="D126" s="27">
        <v>0.7429853496983293</v>
      </c>
      <c r="E126" s="6">
        <f ca="1">VLOOKUP(CurrentMtgRatesDataTable825[[#This Row],[asOfDate]]+1,Bloomberg!B:C,2,0)</f>
        <v>4241.5</v>
      </c>
      <c r="F126" s="27">
        <f>VLOOKUP(CurrentMtgRatesDataTable825[[#This Row],[asOfDate]],CurrentMtgRatesDataTable8256[#All],2,0)</f>
        <v>0.74620755103308722</v>
      </c>
      <c r="G126" s="27">
        <f>VLOOKUP(CurrentMtgRatesDataTable825[[#This Row],[asOfDate]],CurrentMtgRatesDataTable82562[],2,0)</f>
        <v>0.62919502956765949</v>
      </c>
      <c r="H126" s="27">
        <f>VLOOKUP(CurrentMtgRatesDataTable825[[#This Row],[asOfDate]],CurrentMtgRatesDataTable825623[#All],2,0)</f>
        <v>0.65667808288144003</v>
      </c>
      <c r="J126" s="24">
        <v>41410</v>
      </c>
      <c r="K126" s="26">
        <v>0.74620755103308722</v>
      </c>
      <c r="L126" s="26">
        <f ca="1">VLOOKUP(CurrentMtgRatesDataTable8256[[#This Row],[asOfDate]]+1,Bloomberg!B:C,2,0)</f>
        <v>4241.5</v>
      </c>
      <c r="N126" s="24">
        <v>41410</v>
      </c>
      <c r="O126" s="26">
        <v>0.62919502956765949</v>
      </c>
      <c r="Q126" s="24">
        <v>41410</v>
      </c>
      <c r="R126" s="27">
        <v>0.65667808288144003</v>
      </c>
    </row>
    <row r="127" spans="2:18">
      <c r="B127" s="24">
        <v>41417</v>
      </c>
      <c r="C127" s="27">
        <v>0.69528028144531095</v>
      </c>
      <c r="D127" s="27">
        <v>0.72025605083465527</v>
      </c>
      <c r="E127" s="6">
        <f ca="1">VLOOKUP(CurrentMtgRatesDataTable825[[#This Row],[asOfDate]]+1,Bloomberg!B:C,2,0)</f>
        <v>3709.4</v>
      </c>
      <c r="F127" s="27">
        <f>VLOOKUP(CurrentMtgRatesDataTable825[[#This Row],[asOfDate]],CurrentMtgRatesDataTable8256[#All],2,0)</f>
        <v>0.68879869829190365</v>
      </c>
      <c r="G127" s="27">
        <f>VLOOKUP(CurrentMtgRatesDataTable825[[#This Row],[asOfDate]],CurrentMtgRatesDataTable82562[],2,0)</f>
        <v>0.58921758890022713</v>
      </c>
      <c r="H127" s="27">
        <f>VLOOKUP(CurrentMtgRatesDataTable825[[#This Row],[asOfDate]],CurrentMtgRatesDataTable825623[#All],2,0)</f>
        <v>0.61265051606608523</v>
      </c>
      <c r="J127" s="24">
        <v>41417</v>
      </c>
      <c r="K127" s="26">
        <v>0.68879869829190365</v>
      </c>
      <c r="L127" s="26">
        <f ca="1">VLOOKUP(CurrentMtgRatesDataTable8256[[#This Row],[asOfDate]]+1,Bloomberg!B:C,2,0)</f>
        <v>3709.4</v>
      </c>
      <c r="N127" s="24">
        <v>41417</v>
      </c>
      <c r="O127" s="26">
        <v>0.58921758890022713</v>
      </c>
      <c r="Q127" s="24">
        <v>41417</v>
      </c>
      <c r="R127" s="27">
        <v>0.61265051606608523</v>
      </c>
    </row>
    <row r="128" spans="2:18">
      <c r="B128" s="24">
        <v>41424</v>
      </c>
      <c r="C128" s="27">
        <v>0.63267241864898449</v>
      </c>
      <c r="D128" s="27">
        <v>0.59179617087919623</v>
      </c>
      <c r="E128" s="6">
        <f ca="1">VLOOKUP(CurrentMtgRatesDataTable825[[#This Row],[asOfDate]]+1,Bloomberg!B:C,2,0)</f>
        <v>3163.6</v>
      </c>
      <c r="F128" s="27">
        <f>VLOOKUP(CurrentMtgRatesDataTable825[[#This Row],[asOfDate]],CurrentMtgRatesDataTable8256[#All],2,0)</f>
        <v>0.60503526915664596</v>
      </c>
      <c r="G128" s="27">
        <f>VLOOKUP(CurrentMtgRatesDataTable825[[#This Row],[asOfDate]],CurrentMtgRatesDataTable82562[],2,0)</f>
        <v>0.50936534163609115</v>
      </c>
      <c r="H128" s="27">
        <f>VLOOKUP(CurrentMtgRatesDataTable825[[#This Row],[asOfDate]],CurrentMtgRatesDataTable825623[#All],2,0)</f>
        <v>0.53483965838657976</v>
      </c>
      <c r="J128" s="24">
        <v>41424</v>
      </c>
      <c r="K128" s="26">
        <v>0.60503526915664596</v>
      </c>
      <c r="L128" s="26">
        <f ca="1">VLOOKUP(CurrentMtgRatesDataTable8256[[#This Row],[asOfDate]]+1,Bloomberg!B:C,2,0)</f>
        <v>3163.6</v>
      </c>
      <c r="N128" s="24">
        <v>41424</v>
      </c>
      <c r="O128" s="26">
        <v>0.50936534163609115</v>
      </c>
      <c r="Q128" s="24">
        <v>41424</v>
      </c>
      <c r="R128" s="27">
        <v>0.53483965838657976</v>
      </c>
    </row>
    <row r="129" spans="2:18">
      <c r="B129" s="24">
        <v>41431</v>
      </c>
      <c r="C129" s="27">
        <v>0.60569175356282723</v>
      </c>
      <c r="D129" s="27">
        <v>0.55408508468166706</v>
      </c>
      <c r="E129" s="6">
        <f ca="1">VLOOKUP(CurrentMtgRatesDataTable825[[#This Row],[asOfDate]]+1,Bloomberg!B:C,2,0)</f>
        <v>3339.8</v>
      </c>
      <c r="F129" s="27">
        <f>VLOOKUP(CurrentMtgRatesDataTable825[[#This Row],[asOfDate]],CurrentMtgRatesDataTable8256[#All],2,0)</f>
        <v>0.58039665812793095</v>
      </c>
      <c r="G129" s="27">
        <f>VLOOKUP(CurrentMtgRatesDataTable825[[#This Row],[asOfDate]],CurrentMtgRatesDataTable82562[],2,0)</f>
        <v>0.47041374406845632</v>
      </c>
      <c r="H129" s="27">
        <f>VLOOKUP(CurrentMtgRatesDataTable825[[#This Row],[asOfDate]],CurrentMtgRatesDataTable825623[#All],2,0)</f>
        <v>0.49694449948610975</v>
      </c>
      <c r="J129" s="24">
        <v>41431</v>
      </c>
      <c r="K129" s="26">
        <v>0.58039665812793095</v>
      </c>
      <c r="L129" s="26">
        <f ca="1">VLOOKUP(CurrentMtgRatesDataTable8256[[#This Row],[asOfDate]]+1,Bloomberg!B:C,2,0)</f>
        <v>3339.8</v>
      </c>
      <c r="N129" s="24">
        <v>41431</v>
      </c>
      <c r="O129" s="26">
        <v>0.47041374406845632</v>
      </c>
      <c r="Q129" s="24">
        <v>41431</v>
      </c>
      <c r="R129" s="27">
        <v>0.49694449948610975</v>
      </c>
    </row>
    <row r="130" spans="2:18">
      <c r="B130" s="24">
        <v>41438</v>
      </c>
      <c r="C130" s="27">
        <v>0.57343184072471942</v>
      </c>
      <c r="D130" s="27">
        <v>0.5423764184565868</v>
      </c>
      <c r="E130" s="6">
        <f ca="1">VLOOKUP(CurrentMtgRatesDataTable825[[#This Row],[asOfDate]]+1,Bloomberg!B:C,2,0)</f>
        <v>3214.4</v>
      </c>
      <c r="F130" s="27">
        <f>VLOOKUP(CurrentMtgRatesDataTable825[[#This Row],[asOfDate]],CurrentMtgRatesDataTable8256[#All],2,0)</f>
        <v>0.53516783439685534</v>
      </c>
      <c r="G130" s="27">
        <f>VLOOKUP(CurrentMtgRatesDataTable825[[#This Row],[asOfDate]],CurrentMtgRatesDataTable82562[],2,0)</f>
        <v>0.44520827635909999</v>
      </c>
      <c r="H130" s="27">
        <f>VLOOKUP(CurrentMtgRatesDataTable825[[#This Row],[asOfDate]],CurrentMtgRatesDataTable825623[#All],2,0)</f>
        <v>0.47397924667640279</v>
      </c>
      <c r="J130" s="24">
        <v>41438</v>
      </c>
      <c r="K130" s="26">
        <v>0.53516783439685534</v>
      </c>
      <c r="L130" s="26">
        <f ca="1">VLOOKUP(CurrentMtgRatesDataTable8256[[#This Row],[asOfDate]]+1,Bloomberg!B:C,2,0)</f>
        <v>3214.4</v>
      </c>
      <c r="N130" s="24">
        <v>41438</v>
      </c>
      <c r="O130" s="26">
        <v>0.44520827635909999</v>
      </c>
      <c r="Q130" s="24">
        <v>41438</v>
      </c>
      <c r="R130" s="27">
        <v>0.47397924667640279</v>
      </c>
    </row>
    <row r="131" spans="2:18">
      <c r="B131" s="24">
        <v>41445</v>
      </c>
      <c r="C131" s="27">
        <v>0.58795254732817659</v>
      </c>
      <c r="D131" s="27">
        <v>0.55408508468166706</v>
      </c>
      <c r="E131" s="6">
        <f ca="1">VLOOKUP(CurrentMtgRatesDataTable825[[#This Row],[asOfDate]]+1,Bloomberg!B:C,2,0)</f>
        <v>3040.1</v>
      </c>
      <c r="F131" s="27">
        <f>VLOOKUP(CurrentMtgRatesDataTable825[[#This Row],[asOfDate]],CurrentMtgRatesDataTable8256[#All],2,0)</f>
        <v>0.5352370883375368</v>
      </c>
      <c r="G131" s="27">
        <f>VLOOKUP(CurrentMtgRatesDataTable825[[#This Row],[asOfDate]],CurrentMtgRatesDataTable82562[],2,0)</f>
        <v>0.4452594848021294</v>
      </c>
      <c r="H131" s="27">
        <f>VLOOKUP(CurrentMtgRatesDataTable825[[#This Row],[asOfDate]],CurrentMtgRatesDataTable825623[#All],2,0)</f>
        <v>0.47403756846371675</v>
      </c>
      <c r="J131" s="24">
        <v>41445</v>
      </c>
      <c r="K131" s="26">
        <v>0.5352370883375368</v>
      </c>
      <c r="L131" s="26">
        <f ca="1">VLOOKUP(CurrentMtgRatesDataTable8256[[#This Row],[asOfDate]]+1,Bloomberg!B:C,2,0)</f>
        <v>3040.1</v>
      </c>
      <c r="N131" s="24">
        <v>41445</v>
      </c>
      <c r="O131" s="26">
        <v>0.4452594848021294</v>
      </c>
      <c r="Q131" s="24">
        <v>41445</v>
      </c>
      <c r="R131" s="27">
        <v>0.47403756846371675</v>
      </c>
    </row>
    <row r="132" spans="2:18">
      <c r="B132" s="24">
        <v>41452</v>
      </c>
      <c r="C132" s="27">
        <v>0.39082116641682313</v>
      </c>
      <c r="D132" s="27">
        <v>0.38650251809514186</v>
      </c>
      <c r="E132" s="6">
        <f ca="1">VLOOKUP(CurrentMtgRatesDataTable825[[#This Row],[asOfDate]]+1,Bloomberg!B:C,2,0)</f>
        <v>2573.4</v>
      </c>
      <c r="F132" s="27">
        <f>VLOOKUP(CurrentMtgRatesDataTable825[[#This Row],[asOfDate]],CurrentMtgRatesDataTable8256[#All],2,0)</f>
        <v>0.31802392696495574</v>
      </c>
      <c r="G132" s="27">
        <f>VLOOKUP(CurrentMtgRatesDataTable825[[#This Row],[asOfDate]],CurrentMtgRatesDataTable82562[],2,0)</f>
        <v>0.23463898934716346</v>
      </c>
      <c r="H132" s="27">
        <f>VLOOKUP(CurrentMtgRatesDataTable825[[#This Row],[asOfDate]],CurrentMtgRatesDataTable825623[#All],2,0)</f>
        <v>0.25403206756592833</v>
      </c>
      <c r="J132" s="24">
        <v>41452</v>
      </c>
      <c r="K132" s="26">
        <v>0.31802392696495574</v>
      </c>
      <c r="L132" s="26">
        <f ca="1">VLOOKUP(CurrentMtgRatesDataTable8256[[#This Row],[asOfDate]]+1,Bloomberg!B:C,2,0)</f>
        <v>2573.4</v>
      </c>
      <c r="N132" s="24">
        <v>41452</v>
      </c>
      <c r="O132" s="26">
        <v>0.23463898934716346</v>
      </c>
      <c r="Q132" s="24">
        <v>41452</v>
      </c>
      <c r="R132" s="27">
        <v>0.25403206756592833</v>
      </c>
    </row>
    <row r="133" spans="2:18">
      <c r="B133" s="24">
        <v>41458</v>
      </c>
      <c r="C133" s="27">
        <v>0.4330864642120939</v>
      </c>
      <c r="D133" s="27">
        <v>0.4413483888067033</v>
      </c>
      <c r="E133" s="6" t="e">
        <f ca="1">VLOOKUP(CurrentMtgRatesDataTable825[[#This Row],[asOfDate]]+1,Bloomberg!B:C,2,0)</f>
        <v>#N/A</v>
      </c>
      <c r="F133" s="27">
        <f>VLOOKUP(CurrentMtgRatesDataTable825[[#This Row],[asOfDate]],CurrentMtgRatesDataTable8256[#All],2,0)</f>
        <v>0.44137433773261886</v>
      </c>
      <c r="G133" s="27">
        <f>VLOOKUP(CurrentMtgRatesDataTable825[[#This Row],[asOfDate]],CurrentMtgRatesDataTable82562[],2,0)</f>
        <v>0.32060598857260031</v>
      </c>
      <c r="H133" s="27">
        <f>VLOOKUP(CurrentMtgRatesDataTable825[[#This Row],[asOfDate]],CurrentMtgRatesDataTable825623[#All],2,0)</f>
        <v>0.34777149804179863</v>
      </c>
      <c r="J133" s="24">
        <v>41458</v>
      </c>
      <c r="K133" s="26">
        <v>0.44137433773261886</v>
      </c>
      <c r="L133" s="26" t="e">
        <f ca="1">VLOOKUP(CurrentMtgRatesDataTable8256[[#This Row],[asOfDate]]+1,Bloomberg!B:C,2,0)</f>
        <v>#N/A</v>
      </c>
      <c r="N133" s="24">
        <v>41458</v>
      </c>
      <c r="O133" s="26">
        <v>0.32060598857260031</v>
      </c>
      <c r="Q133" s="24">
        <v>41458</v>
      </c>
      <c r="R133" s="27">
        <v>0.34777149804179863</v>
      </c>
    </row>
    <row r="134" spans="2:18">
      <c r="B134" s="24">
        <v>41466</v>
      </c>
      <c r="C134" s="27">
        <v>0.31856955774356621</v>
      </c>
      <c r="D134" s="27">
        <v>0.33963235301832578</v>
      </c>
      <c r="E134" s="6">
        <f ca="1">VLOOKUP(CurrentMtgRatesDataTable825[[#This Row],[asOfDate]]+1,Bloomberg!B:C,2,0)</f>
        <v>2242.1999999999998</v>
      </c>
      <c r="F134" s="27">
        <f>VLOOKUP(CurrentMtgRatesDataTable825[[#This Row],[asOfDate]],CurrentMtgRatesDataTable8256[#All],2,0)</f>
        <v>0.30323693087397197</v>
      </c>
      <c r="G134" s="27">
        <f>VLOOKUP(CurrentMtgRatesDataTable825[[#This Row],[asOfDate]],CurrentMtgRatesDataTable82562[],2,0)</f>
        <v>0.20898917614909965</v>
      </c>
      <c r="H134" s="27">
        <f>VLOOKUP(CurrentMtgRatesDataTable825[[#This Row],[asOfDate]],CurrentMtgRatesDataTable825623[#All],2,0)</f>
        <v>0.22534397246731291</v>
      </c>
      <c r="J134" s="24">
        <v>41466</v>
      </c>
      <c r="K134" s="26">
        <v>0.30323693087397197</v>
      </c>
      <c r="L134" s="26">
        <f ca="1">VLOOKUP(CurrentMtgRatesDataTable8256[[#This Row],[asOfDate]]+1,Bloomberg!B:C,2,0)</f>
        <v>2242.1999999999998</v>
      </c>
      <c r="N134" s="24">
        <v>41466</v>
      </c>
      <c r="O134" s="26">
        <v>0.20898917614909965</v>
      </c>
      <c r="Q134" s="24">
        <v>41466</v>
      </c>
      <c r="R134" s="27">
        <v>0.22534397246731291</v>
      </c>
    </row>
    <row r="135" spans="2:18">
      <c r="B135" s="24">
        <v>41473</v>
      </c>
      <c r="C135" s="27">
        <v>0.42624975952077765</v>
      </c>
      <c r="D135" s="27">
        <v>0.42258876241454896</v>
      </c>
      <c r="E135" s="6">
        <f ca="1">VLOOKUP(CurrentMtgRatesDataTable825[[#This Row],[asOfDate]]+1,Bloomberg!B:C,2,0)</f>
        <v>2288</v>
      </c>
      <c r="F135" s="27">
        <f>VLOOKUP(CurrentMtgRatesDataTable825[[#This Row],[asOfDate]],CurrentMtgRatesDataTable8256[#All],2,0)</f>
        <v>0.38224036528758815</v>
      </c>
      <c r="G135" s="27">
        <f>VLOOKUP(CurrentMtgRatesDataTable825[[#This Row],[asOfDate]],CurrentMtgRatesDataTable82562[],2,0)</f>
        <v>0.27836070890439996</v>
      </c>
      <c r="H135" s="27">
        <f>VLOOKUP(CurrentMtgRatesDataTable825[[#This Row],[asOfDate]],CurrentMtgRatesDataTable825623[#All],2,0)</f>
        <v>0.31268318581252624</v>
      </c>
      <c r="J135" s="24">
        <v>41473</v>
      </c>
      <c r="K135" s="26">
        <v>0.38224036528758815</v>
      </c>
      <c r="L135" s="26">
        <f ca="1">VLOOKUP(CurrentMtgRatesDataTable8256[[#This Row],[asOfDate]]+1,Bloomberg!B:C,2,0)</f>
        <v>2288</v>
      </c>
      <c r="N135" s="24">
        <v>41473</v>
      </c>
      <c r="O135" s="26">
        <v>0.27836070890439996</v>
      </c>
      <c r="Q135" s="24">
        <v>41473</v>
      </c>
      <c r="R135" s="27">
        <v>0.31268318581252624</v>
      </c>
    </row>
    <row r="136" spans="2:18">
      <c r="B136" s="24">
        <v>41480</v>
      </c>
      <c r="C136" s="27">
        <v>0.42922629610906576</v>
      </c>
      <c r="D136" s="27">
        <v>0.43288655726990638</v>
      </c>
      <c r="E136" s="6">
        <f ca="1">VLOOKUP(CurrentMtgRatesDataTable825[[#This Row],[asOfDate]]+1,Bloomberg!B:C,2,0)</f>
        <v>2218.3000000000002</v>
      </c>
      <c r="F136" s="27">
        <f>VLOOKUP(CurrentMtgRatesDataTable825[[#This Row],[asOfDate]],CurrentMtgRatesDataTable8256[#All],2,0)</f>
        <v>0.38235673657078234</v>
      </c>
      <c r="G136" s="27">
        <f>VLOOKUP(CurrentMtgRatesDataTable825[[#This Row],[asOfDate]],CurrentMtgRatesDataTable82562[],2,0)</f>
        <v>0.27857814762696204</v>
      </c>
      <c r="H136" s="27">
        <f>VLOOKUP(CurrentMtgRatesDataTable825[[#This Row],[asOfDate]],CurrentMtgRatesDataTable825623[#All],2,0)</f>
        <v>0.312913492244701</v>
      </c>
      <c r="J136" s="24">
        <v>41480</v>
      </c>
      <c r="K136" s="26">
        <v>0.38235673657078234</v>
      </c>
      <c r="L136" s="26">
        <f ca="1">VLOOKUP(CurrentMtgRatesDataTable8256[[#This Row],[asOfDate]]+1,Bloomberg!B:C,2,0)</f>
        <v>2218.3000000000002</v>
      </c>
      <c r="N136" s="24">
        <v>41480</v>
      </c>
      <c r="O136" s="26">
        <v>0.27857814762696204</v>
      </c>
      <c r="Q136" s="24">
        <v>41480</v>
      </c>
      <c r="R136" s="27">
        <v>0.312913492244701</v>
      </c>
    </row>
    <row r="137" spans="2:18">
      <c r="B137" s="24">
        <v>41487</v>
      </c>
      <c r="C137" s="27">
        <v>0.40917398895537016</v>
      </c>
      <c r="D137" s="27">
        <v>0.40514213578765113</v>
      </c>
      <c r="E137" s="6">
        <f ca="1">VLOOKUP(CurrentMtgRatesDataTable825[[#This Row],[asOfDate]]+1,Bloomberg!B:C,2,0)</f>
        <v>2228.9</v>
      </c>
      <c r="F137" s="27">
        <f>VLOOKUP(CurrentMtgRatesDataTable825[[#This Row],[asOfDate]],CurrentMtgRatesDataTable8256[#All],2,0)</f>
        <v>0.366090471734486</v>
      </c>
      <c r="G137" s="27">
        <f>VLOOKUP(CurrentMtgRatesDataTable825[[#This Row],[asOfDate]],CurrentMtgRatesDataTable82562[],2,0)</f>
        <v>0.2429898977759116</v>
      </c>
      <c r="H137" s="27">
        <f>VLOOKUP(CurrentMtgRatesDataTable825[[#This Row],[asOfDate]],CurrentMtgRatesDataTable825623[#All],2,0)</f>
        <v>0.26851632698808114</v>
      </c>
      <c r="J137" s="24">
        <v>41487</v>
      </c>
      <c r="K137" s="26">
        <v>0.366090471734486</v>
      </c>
      <c r="L137" s="26">
        <f ca="1">VLOOKUP(CurrentMtgRatesDataTable8256[[#This Row],[asOfDate]]+1,Bloomberg!B:C,2,0)</f>
        <v>2228.9</v>
      </c>
      <c r="N137" s="24">
        <v>41487</v>
      </c>
      <c r="O137" s="26">
        <v>0.2429898977759116</v>
      </c>
      <c r="Q137" s="24">
        <v>41487</v>
      </c>
      <c r="R137" s="27">
        <v>0.26851632698808114</v>
      </c>
    </row>
    <row r="138" spans="2:18">
      <c r="B138" s="24">
        <v>41494</v>
      </c>
      <c r="C138" s="27">
        <v>0.40797811985401045</v>
      </c>
      <c r="D138" s="27">
        <v>0.38923445313101573</v>
      </c>
      <c r="E138" s="6">
        <f ca="1">VLOOKUP(CurrentMtgRatesDataTable825[[#This Row],[asOfDate]]+1,Bloomberg!B:C,2,0)</f>
        <v>2110.6</v>
      </c>
      <c r="F138" s="27">
        <f>VLOOKUP(CurrentMtgRatesDataTable825[[#This Row],[asOfDate]],CurrentMtgRatesDataTable8256[#All],2,0)</f>
        <v>0.36607182581429965</v>
      </c>
      <c r="G138" s="27">
        <f>VLOOKUP(CurrentMtgRatesDataTable825[[#This Row],[asOfDate]],CurrentMtgRatesDataTable82562[],2,0)</f>
        <v>0.24283976794437015</v>
      </c>
      <c r="H138" s="27">
        <f>VLOOKUP(CurrentMtgRatesDataTable825[[#This Row],[asOfDate]],CurrentMtgRatesDataTable825623[#All],2,0)</f>
        <v>0.26848961945490407</v>
      </c>
      <c r="J138" s="24">
        <v>41494</v>
      </c>
      <c r="K138" s="26">
        <v>0.36607182581429965</v>
      </c>
      <c r="L138" s="26">
        <f ca="1">VLOOKUP(CurrentMtgRatesDataTable8256[[#This Row],[asOfDate]]+1,Bloomberg!B:C,2,0)</f>
        <v>2110.6</v>
      </c>
      <c r="N138" s="24">
        <v>41494</v>
      </c>
      <c r="O138" s="26">
        <v>0.24283976794437015</v>
      </c>
      <c r="Q138" s="24">
        <v>41494</v>
      </c>
      <c r="R138" s="27">
        <v>0.26848961945490407</v>
      </c>
    </row>
    <row r="139" spans="2:18">
      <c r="B139" s="24">
        <v>41501</v>
      </c>
      <c r="C139" s="27">
        <v>0.40797811985401045</v>
      </c>
      <c r="D139" s="27">
        <v>0.38923445313101573</v>
      </c>
      <c r="E139" s="6">
        <f ca="1">VLOOKUP(CurrentMtgRatesDataTable825[[#This Row],[asOfDate]]+1,Bloomberg!B:C,2,0)</f>
        <v>1935.1</v>
      </c>
      <c r="F139" s="27">
        <f>VLOOKUP(CurrentMtgRatesDataTable825[[#This Row],[asOfDate]],CurrentMtgRatesDataTable8256[#All],2,0)</f>
        <v>0.36607182581429965</v>
      </c>
      <c r="G139" s="27">
        <f>VLOOKUP(CurrentMtgRatesDataTable825[[#This Row],[asOfDate]],CurrentMtgRatesDataTable82562[],2,0)</f>
        <v>0.24283976794437015</v>
      </c>
      <c r="H139" s="27">
        <f>VLOOKUP(CurrentMtgRatesDataTable825[[#This Row],[asOfDate]],CurrentMtgRatesDataTable825623[#All],2,0)</f>
        <v>0.26848961945490407</v>
      </c>
      <c r="J139" s="24">
        <v>41501</v>
      </c>
      <c r="K139" s="26">
        <v>0.36607182581429965</v>
      </c>
      <c r="L139" s="26">
        <f ca="1">VLOOKUP(CurrentMtgRatesDataTable8256[[#This Row],[asOfDate]]+1,Bloomberg!B:C,2,0)</f>
        <v>1935.1</v>
      </c>
      <c r="N139" s="24">
        <v>41501</v>
      </c>
      <c r="O139" s="26">
        <v>0.24283976794437015</v>
      </c>
      <c r="Q139" s="24">
        <v>41501</v>
      </c>
      <c r="R139" s="27">
        <v>0.26848961945490407</v>
      </c>
    </row>
    <row r="140" spans="2:18">
      <c r="B140" s="24">
        <v>41508</v>
      </c>
      <c r="C140" s="27">
        <v>0.28211495793674252</v>
      </c>
      <c r="D140" s="27">
        <v>0.29693315237834977</v>
      </c>
      <c r="E140" s="6">
        <f ca="1">VLOOKUP(CurrentMtgRatesDataTable825[[#This Row],[asOfDate]]+1,Bloomberg!B:C,2,0)</f>
        <v>1842.6</v>
      </c>
      <c r="F140" s="27">
        <f>VLOOKUP(CurrentMtgRatesDataTable825[[#This Row],[asOfDate]],CurrentMtgRatesDataTable8256[#All],2,0)</f>
        <v>0.25066720783636109</v>
      </c>
      <c r="G140" s="27">
        <f>VLOOKUP(CurrentMtgRatesDataTable825[[#This Row],[asOfDate]],CurrentMtgRatesDataTable82562[],2,0)</f>
        <v>0.18037831575230645</v>
      </c>
      <c r="H140" s="27">
        <f>VLOOKUP(CurrentMtgRatesDataTable825[[#This Row],[asOfDate]],CurrentMtgRatesDataTable825623[#All],2,0)</f>
        <v>0.19897551419907808</v>
      </c>
      <c r="J140" s="24">
        <v>41508</v>
      </c>
      <c r="K140" s="26">
        <v>0.25066720783636109</v>
      </c>
      <c r="L140" s="26">
        <f ca="1">VLOOKUP(CurrentMtgRatesDataTable8256[[#This Row],[asOfDate]]+1,Bloomberg!B:C,2,0)</f>
        <v>1842.6</v>
      </c>
      <c r="N140" s="24">
        <v>41508</v>
      </c>
      <c r="O140" s="26">
        <v>0.18037831575230645</v>
      </c>
      <c r="Q140" s="24">
        <v>41508</v>
      </c>
      <c r="R140" s="27">
        <v>0.19897551419907808</v>
      </c>
    </row>
    <row r="141" spans="2:18">
      <c r="B141" s="24">
        <v>41515</v>
      </c>
      <c r="C141" s="27">
        <v>0.32707732602530493</v>
      </c>
      <c r="D141" s="27">
        <v>0.33208289269783886</v>
      </c>
      <c r="E141" s="6">
        <f ca="1">VLOOKUP(CurrentMtgRatesDataTable825[[#This Row],[asOfDate]]+1,Bloomberg!B:C,2,0)</f>
        <v>1909</v>
      </c>
      <c r="F141" s="27">
        <f>VLOOKUP(CurrentMtgRatesDataTable825[[#This Row],[asOfDate]],CurrentMtgRatesDataTable8256[#All],2,0)</f>
        <v>0.29050117748807303</v>
      </c>
      <c r="G141" s="27">
        <f>VLOOKUP(CurrentMtgRatesDataTable825[[#This Row],[asOfDate]],CurrentMtgRatesDataTable82562[],2,0)</f>
        <v>0.21191256226433611</v>
      </c>
      <c r="H141" s="27">
        <f>VLOOKUP(CurrentMtgRatesDataTable825[[#This Row],[asOfDate]],CurrentMtgRatesDataTable825623[#All],2,0)</f>
        <v>0.2352153173287943</v>
      </c>
      <c r="J141" s="24">
        <v>41515</v>
      </c>
      <c r="K141" s="26">
        <v>0.29050117748807303</v>
      </c>
      <c r="L141" s="26">
        <f ca="1">VLOOKUP(CurrentMtgRatesDataTable8256[[#This Row],[asOfDate]]+1,Bloomberg!B:C,2,0)</f>
        <v>1909</v>
      </c>
      <c r="N141" s="24">
        <v>41515</v>
      </c>
      <c r="O141" s="26">
        <v>0.21191256226433611</v>
      </c>
      <c r="Q141" s="24">
        <v>41515</v>
      </c>
      <c r="R141" s="27">
        <v>0.2352153173287943</v>
      </c>
    </row>
    <row r="142" spans="2:18">
      <c r="B142" s="24">
        <v>41522</v>
      </c>
      <c r="C142" s="27">
        <v>0.2818649256036454</v>
      </c>
      <c r="D142" s="27">
        <v>0.30651467832121571</v>
      </c>
      <c r="E142" s="6">
        <f ca="1">VLOOKUP(CurrentMtgRatesDataTable825[[#This Row],[asOfDate]]+1,Bloomberg!B:C,2,0)</f>
        <v>1512.9</v>
      </c>
      <c r="F142" s="27">
        <f>VLOOKUP(CurrentMtgRatesDataTable825[[#This Row],[asOfDate]],CurrentMtgRatesDataTable8256[#All],2,0)</f>
        <v>0.27649551668926681</v>
      </c>
      <c r="G142" s="27">
        <f>VLOOKUP(CurrentMtgRatesDataTable825[[#This Row],[asOfDate]],CurrentMtgRatesDataTable82562[],2,0)</f>
        <v>0.1897069664050729</v>
      </c>
      <c r="H142" s="27">
        <f>VLOOKUP(CurrentMtgRatesDataTable825[[#This Row],[asOfDate]],CurrentMtgRatesDataTable825623[#All],2,0)</f>
        <v>0.20985102278531986</v>
      </c>
      <c r="J142" s="24">
        <v>41522</v>
      </c>
      <c r="K142" s="26">
        <v>0.27649551668926681</v>
      </c>
      <c r="L142" s="26">
        <f ca="1">VLOOKUP(CurrentMtgRatesDataTable8256[[#This Row],[asOfDate]]+1,Bloomberg!B:C,2,0)</f>
        <v>1512.9</v>
      </c>
      <c r="N142" s="24">
        <v>41522</v>
      </c>
      <c r="O142" s="26">
        <v>0.1897069664050729</v>
      </c>
      <c r="Q142" s="24">
        <v>41522</v>
      </c>
      <c r="R142" s="27">
        <v>0.20985102278531986</v>
      </c>
    </row>
    <row r="143" spans="2:18">
      <c r="B143" s="24">
        <v>41529</v>
      </c>
      <c r="C143" s="27">
        <v>0.27463010199382165</v>
      </c>
      <c r="D143" s="27">
        <v>0.28526437258549869</v>
      </c>
      <c r="E143" s="6">
        <f ca="1">VLOOKUP(CurrentMtgRatesDataTable825[[#This Row],[asOfDate]]+1,Bloomberg!B:C,2,0)</f>
        <v>1814</v>
      </c>
      <c r="F143" s="27">
        <f>VLOOKUP(CurrentMtgRatesDataTable825[[#This Row],[asOfDate]],CurrentMtgRatesDataTable8256[#All],2,0)</f>
        <v>0.24165122804318193</v>
      </c>
      <c r="G143" s="27">
        <f>VLOOKUP(CurrentMtgRatesDataTable825[[#This Row],[asOfDate]],CurrentMtgRatesDataTable82562[],2,0)</f>
        <v>0.17275208794808761</v>
      </c>
      <c r="H143" s="27">
        <f>VLOOKUP(CurrentMtgRatesDataTable825[[#This Row],[asOfDate]],CurrentMtgRatesDataTable825623[#All],2,0)</f>
        <v>0.1933013159773479</v>
      </c>
      <c r="J143" s="24">
        <v>41529</v>
      </c>
      <c r="K143" s="26">
        <v>0.24165122804318193</v>
      </c>
      <c r="L143" s="26">
        <f ca="1">VLOOKUP(CurrentMtgRatesDataTable8256[[#This Row],[asOfDate]]+1,Bloomberg!B:C,2,0)</f>
        <v>1814</v>
      </c>
      <c r="N143" s="24">
        <v>41529</v>
      </c>
      <c r="O143" s="26">
        <v>0.17275208794808761</v>
      </c>
      <c r="Q143" s="24">
        <v>41529</v>
      </c>
      <c r="R143" s="27">
        <v>0.1933013159773479</v>
      </c>
    </row>
    <row r="144" spans="2:18">
      <c r="B144" s="24">
        <v>41536</v>
      </c>
      <c r="C144" s="27">
        <v>0.33277831045649614</v>
      </c>
      <c r="D144" s="27">
        <v>0.3196034646266166</v>
      </c>
      <c r="E144" s="6">
        <f ca="1">VLOOKUP(CurrentMtgRatesDataTable825[[#This Row],[asOfDate]]+1,Bloomberg!B:C,2,0)</f>
        <v>1922.9</v>
      </c>
      <c r="F144" s="27">
        <f>VLOOKUP(CurrentMtgRatesDataTable825[[#This Row],[asOfDate]],CurrentMtgRatesDataTable8256[#All],2,0)</f>
        <v>0.28087782506985004</v>
      </c>
      <c r="G144" s="27">
        <f>VLOOKUP(CurrentMtgRatesDataTable825[[#This Row],[asOfDate]],CurrentMtgRatesDataTable82562[],2,0)</f>
        <v>0.20395578514239021</v>
      </c>
      <c r="H144" s="27">
        <f>VLOOKUP(CurrentMtgRatesDataTable825[[#This Row],[asOfDate]],CurrentMtgRatesDataTable825623[#All],2,0)</f>
        <v>0.22981537322953327</v>
      </c>
      <c r="J144" s="24">
        <v>41536</v>
      </c>
      <c r="K144" s="26">
        <v>0.28087782506985004</v>
      </c>
      <c r="L144" s="26">
        <f ca="1">VLOOKUP(CurrentMtgRatesDataTable8256[[#This Row],[asOfDate]]+1,Bloomberg!B:C,2,0)</f>
        <v>1922.9</v>
      </c>
      <c r="N144" s="24">
        <v>41536</v>
      </c>
      <c r="O144" s="26">
        <v>0.20395578514239021</v>
      </c>
      <c r="Q144" s="24">
        <v>41536</v>
      </c>
      <c r="R144" s="27">
        <v>0.22981537322953327</v>
      </c>
    </row>
    <row r="145" spans="2:18">
      <c r="B145" s="24">
        <v>41543</v>
      </c>
      <c r="C145" s="27">
        <v>0.40445747526612724</v>
      </c>
      <c r="D145" s="27">
        <v>0.40900622841362555</v>
      </c>
      <c r="E145" s="6">
        <f ca="1">VLOOKUP(CurrentMtgRatesDataTable825[[#This Row],[asOfDate]]+1,Bloomberg!B:C,2,0)</f>
        <v>1956.6</v>
      </c>
      <c r="F145" s="27">
        <f>VLOOKUP(CurrentMtgRatesDataTable825[[#This Row],[asOfDate]],CurrentMtgRatesDataTable8256[#All],2,0)</f>
        <v>0.41495307542117416</v>
      </c>
      <c r="G145" s="27">
        <f>VLOOKUP(CurrentMtgRatesDataTable825[[#This Row],[asOfDate]],CurrentMtgRatesDataTable82562[],2,0)</f>
        <v>0.29542728169686178</v>
      </c>
      <c r="H145" s="27">
        <f>VLOOKUP(CurrentMtgRatesDataTable825[[#This Row],[asOfDate]],CurrentMtgRatesDataTable825623[#All],2,0)</f>
        <v>0.32752583432106064</v>
      </c>
      <c r="J145" s="24">
        <v>41543</v>
      </c>
      <c r="K145" s="26">
        <v>0.41495307542117416</v>
      </c>
      <c r="L145" s="26">
        <f ca="1">VLOOKUP(CurrentMtgRatesDataTable8256[[#This Row],[asOfDate]]+1,Bloomberg!B:C,2,0)</f>
        <v>1956.6</v>
      </c>
      <c r="N145" s="24">
        <v>41543</v>
      </c>
      <c r="O145" s="26">
        <v>0.29542728169686178</v>
      </c>
      <c r="Q145" s="24">
        <v>41543</v>
      </c>
      <c r="R145" s="27">
        <v>0.32752583432106064</v>
      </c>
    </row>
    <row r="146" spans="2:18">
      <c r="B146" s="24">
        <v>41550</v>
      </c>
      <c r="C146" s="27">
        <v>0.41528178559290679</v>
      </c>
      <c r="D146" s="27">
        <v>0.42830267803114297</v>
      </c>
      <c r="E146" s="6">
        <f ca="1">VLOOKUP(CurrentMtgRatesDataTable825[[#This Row],[asOfDate]]+1,Bloomberg!B:C,2,0)</f>
        <v>2025.3</v>
      </c>
      <c r="F146" s="27">
        <f>VLOOKUP(CurrentMtgRatesDataTable825[[#This Row],[asOfDate]],CurrentMtgRatesDataTable8256[#All],2,0)</f>
        <v>0.40987337416034908</v>
      </c>
      <c r="G146" s="27">
        <f>VLOOKUP(CurrentMtgRatesDataTable825[[#This Row],[asOfDate]],CurrentMtgRatesDataTable82562[],2,0)</f>
        <v>0.3112630235510917</v>
      </c>
      <c r="H146" s="27">
        <f>VLOOKUP(CurrentMtgRatesDataTable825[[#This Row],[asOfDate]],CurrentMtgRatesDataTable825623[#All],2,0)</f>
        <v>0.34934694100582447</v>
      </c>
      <c r="J146" s="24">
        <v>41550</v>
      </c>
      <c r="K146" s="26">
        <v>0.40987337416034908</v>
      </c>
      <c r="L146" s="26">
        <f ca="1">VLOOKUP(CurrentMtgRatesDataTable8256[[#This Row],[asOfDate]]+1,Bloomberg!B:C,2,0)</f>
        <v>2025.3</v>
      </c>
      <c r="N146" s="24">
        <v>41550</v>
      </c>
      <c r="O146" s="26">
        <v>0.3112630235510917</v>
      </c>
      <c r="Q146" s="24">
        <v>41550</v>
      </c>
      <c r="R146" s="27">
        <v>0.34934694100582447</v>
      </c>
    </row>
    <row r="147" spans="2:18">
      <c r="B147" s="24">
        <v>41557</v>
      </c>
      <c r="C147" s="27">
        <v>0.41314719259777027</v>
      </c>
      <c r="D147" s="27">
        <v>0.42096435905073254</v>
      </c>
      <c r="E147" s="6">
        <f ca="1">VLOOKUP(CurrentMtgRatesDataTable825[[#This Row],[asOfDate]]+1,Bloomberg!B:C,2,0)</f>
        <v>2102.6999999999998</v>
      </c>
      <c r="F147" s="27">
        <f>VLOOKUP(CurrentMtgRatesDataTable825[[#This Row],[asOfDate]],CurrentMtgRatesDataTable8256[#All],2,0)</f>
        <v>0.40982657529658695</v>
      </c>
      <c r="G147" s="27">
        <f>VLOOKUP(CurrentMtgRatesDataTable825[[#This Row],[asOfDate]],CurrentMtgRatesDataTable82562[],2,0)</f>
        <v>0.31122960499877506</v>
      </c>
      <c r="H147" s="27">
        <f>VLOOKUP(CurrentMtgRatesDataTable825[[#This Row],[asOfDate]],CurrentMtgRatesDataTable825623[#All],2,0)</f>
        <v>0.34930953319751107</v>
      </c>
      <c r="J147" s="24">
        <v>41557</v>
      </c>
      <c r="K147" s="26">
        <v>0.40982657529658695</v>
      </c>
      <c r="L147" s="26">
        <f ca="1">VLOOKUP(CurrentMtgRatesDataTable8256[[#This Row],[asOfDate]]+1,Bloomberg!B:C,2,0)</f>
        <v>2102.6999999999998</v>
      </c>
      <c r="N147" s="24">
        <v>41557</v>
      </c>
      <c r="O147" s="26">
        <v>0.31122960499877506</v>
      </c>
      <c r="Q147" s="24">
        <v>41557</v>
      </c>
      <c r="R147" s="27">
        <v>0.34930953319751107</v>
      </c>
    </row>
    <row r="148" spans="2:18">
      <c r="B148" s="24">
        <v>41564</v>
      </c>
      <c r="C148" s="27">
        <v>0.40232481590336117</v>
      </c>
      <c r="D148" s="27">
        <v>0.39699178515137024</v>
      </c>
      <c r="E148" s="6">
        <f ca="1">VLOOKUP(CurrentMtgRatesDataTable825[[#This Row],[asOfDate]]+1,Bloomberg!B:C,2,0)</f>
        <v>2033.7</v>
      </c>
      <c r="F148" s="27">
        <f>VLOOKUP(CurrentMtgRatesDataTable825[[#This Row],[asOfDate]],CurrentMtgRatesDataTable8256[#All],2,0)</f>
        <v>0.40960480873930216</v>
      </c>
      <c r="G148" s="27">
        <f>VLOOKUP(CurrentMtgRatesDataTable825[[#This Row],[asOfDate]],CurrentMtgRatesDataTable82562[],2,0)</f>
        <v>0.28860950368886767</v>
      </c>
      <c r="H148" s="27">
        <f>VLOOKUP(CurrentMtgRatesDataTable825[[#This Row],[asOfDate]],CurrentMtgRatesDataTable825623[#All],2,0)</f>
        <v>0.32051900820894169</v>
      </c>
      <c r="J148" s="24">
        <v>41564</v>
      </c>
      <c r="K148" s="26">
        <v>0.40960480873930216</v>
      </c>
      <c r="L148" s="26">
        <f ca="1">VLOOKUP(CurrentMtgRatesDataTable8256[[#This Row],[asOfDate]]+1,Bloomberg!B:C,2,0)</f>
        <v>2033.7</v>
      </c>
      <c r="N148" s="24">
        <v>41564</v>
      </c>
      <c r="O148" s="26">
        <v>0.28860950368886767</v>
      </c>
      <c r="Q148" s="24">
        <v>41564</v>
      </c>
      <c r="R148" s="27">
        <v>0.32051900820894169</v>
      </c>
    </row>
    <row r="149" spans="2:18">
      <c r="B149" s="24">
        <v>41571</v>
      </c>
      <c r="C149" s="27">
        <v>0.43156912924668556</v>
      </c>
      <c r="D149" s="27">
        <v>0.44669826910791532</v>
      </c>
      <c r="E149" s="6">
        <f ca="1">VLOOKUP(CurrentMtgRatesDataTable825[[#This Row],[asOfDate]]+1,Bloomberg!B:C,2,0)</f>
        <v>2211.8000000000002</v>
      </c>
      <c r="F149" s="27">
        <f>VLOOKUP(CurrentMtgRatesDataTable825[[#This Row],[asOfDate]],CurrentMtgRatesDataTable8256[#All],2,0)</f>
        <v>0.44702204362509623</v>
      </c>
      <c r="G149" s="27">
        <f>VLOOKUP(CurrentMtgRatesDataTable825[[#This Row],[asOfDate]],CurrentMtgRatesDataTable82562[],2,0)</f>
        <v>0.34162421928019632</v>
      </c>
      <c r="H149" s="27">
        <f>VLOOKUP(CurrentMtgRatesDataTable825[[#This Row],[asOfDate]],CurrentMtgRatesDataTable825623[#All],2,0)</f>
        <v>0.37185328450087929</v>
      </c>
      <c r="J149" s="24">
        <v>41571</v>
      </c>
      <c r="K149" s="26">
        <v>0.44702204362509623</v>
      </c>
      <c r="L149" s="26">
        <f ca="1">VLOOKUP(CurrentMtgRatesDataTable8256[[#This Row],[asOfDate]]+1,Bloomberg!B:C,2,0)</f>
        <v>2211.8000000000002</v>
      </c>
      <c r="N149" s="24">
        <v>41571</v>
      </c>
      <c r="O149" s="26">
        <v>0.34162421928019632</v>
      </c>
      <c r="Q149" s="24">
        <v>41571</v>
      </c>
      <c r="R149" s="27">
        <v>0.37185328450087929</v>
      </c>
    </row>
    <row r="150" spans="2:18">
      <c r="B150" s="24">
        <v>41578</v>
      </c>
      <c r="C150" s="27">
        <v>0.4605405147219428</v>
      </c>
      <c r="D150" s="27">
        <v>0.45964385308807565</v>
      </c>
      <c r="E150" s="6">
        <f ca="1">VLOOKUP(CurrentMtgRatesDataTable825[[#This Row],[asOfDate]]+1,Bloomberg!B:C,2,0)</f>
        <v>2105.6</v>
      </c>
      <c r="F150" s="27">
        <f>VLOOKUP(CurrentMtgRatesDataTable825[[#This Row],[asOfDate]],CurrentMtgRatesDataTable8256[#All],2,0)</f>
        <v>0.44722315120204531</v>
      </c>
      <c r="G150" s="27">
        <f>VLOOKUP(CurrentMtgRatesDataTable825[[#This Row],[asOfDate]],CurrentMtgRatesDataTable82562[],2,0)</f>
        <v>0.35876134051568048</v>
      </c>
      <c r="H150" s="27">
        <f>VLOOKUP(CurrentMtgRatesDataTable825[[#This Row],[asOfDate]],CurrentMtgRatesDataTable825623[#All],2,0)</f>
        <v>0.39063551189178952</v>
      </c>
      <c r="J150" s="24">
        <v>41578</v>
      </c>
      <c r="K150" s="26">
        <v>0.44722315120204531</v>
      </c>
      <c r="L150" s="26">
        <f ca="1">VLOOKUP(CurrentMtgRatesDataTable8256[[#This Row],[asOfDate]]+1,Bloomberg!B:C,2,0)</f>
        <v>2105.6</v>
      </c>
      <c r="N150" s="24">
        <v>41578</v>
      </c>
      <c r="O150" s="26">
        <v>0.35876134051568048</v>
      </c>
      <c r="Q150" s="24">
        <v>41578</v>
      </c>
      <c r="R150" s="27">
        <v>0.39063551189178952</v>
      </c>
    </row>
    <row r="151" spans="2:18">
      <c r="B151" s="24">
        <v>41585</v>
      </c>
      <c r="C151" s="27">
        <v>0.42159370418067171</v>
      </c>
      <c r="D151" s="27">
        <v>0.43261391338339328</v>
      </c>
      <c r="E151" s="6">
        <f ca="1">VLOOKUP(CurrentMtgRatesDataTable825[[#This Row],[asOfDate]]+1,Bloomberg!B:C,2,0)</f>
        <v>2056.9</v>
      </c>
      <c r="F151" s="27">
        <f>VLOOKUP(CurrentMtgRatesDataTable825[[#This Row],[asOfDate]],CurrentMtgRatesDataTable8256[#All],2,0)</f>
        <v>0.44656189112559813</v>
      </c>
      <c r="G151" s="27">
        <f>VLOOKUP(CurrentMtgRatesDataTable825[[#This Row],[asOfDate]],CurrentMtgRatesDataTable82562[],2,0)</f>
        <v>0.33674671087730557</v>
      </c>
      <c r="H151" s="27">
        <f>VLOOKUP(CurrentMtgRatesDataTable825[[#This Row],[asOfDate]],CurrentMtgRatesDataTable825623[#All],2,0)</f>
        <v>0.36662430427029247</v>
      </c>
      <c r="J151" s="24">
        <v>41585</v>
      </c>
      <c r="K151" s="26">
        <v>0.44656189112559813</v>
      </c>
      <c r="L151" s="26">
        <f ca="1">VLOOKUP(CurrentMtgRatesDataTable8256[[#This Row],[asOfDate]]+1,Bloomberg!B:C,2,0)</f>
        <v>2056.9</v>
      </c>
      <c r="N151" s="24">
        <v>41585</v>
      </c>
      <c r="O151" s="26">
        <v>0.33674671087730557</v>
      </c>
      <c r="Q151" s="24">
        <v>41585</v>
      </c>
      <c r="R151" s="27">
        <v>0.36662430427029247</v>
      </c>
    </row>
    <row r="152" spans="2:18">
      <c r="B152" s="24">
        <v>41592</v>
      </c>
      <c r="C152" s="27">
        <v>0.38756459325455095</v>
      </c>
      <c r="D152" s="27">
        <v>0.37880317277622449</v>
      </c>
      <c r="E152" s="6">
        <f ca="1">VLOOKUP(CurrentMtgRatesDataTable825[[#This Row],[asOfDate]]+1,Bloomberg!B:C,2,0)</f>
        <v>1903.5</v>
      </c>
      <c r="F152" s="27">
        <f>VLOOKUP(CurrentMtgRatesDataTable825[[#This Row],[asOfDate]],CurrentMtgRatesDataTable8256[#All],2,0)</f>
        <v>0.34376188323838874</v>
      </c>
      <c r="G152" s="27">
        <f>VLOOKUP(CurrentMtgRatesDataTable825[[#This Row],[asOfDate]],CurrentMtgRatesDataTable82562[],2,0)</f>
        <v>0.24269693250447563</v>
      </c>
      <c r="H152" s="27">
        <f>VLOOKUP(CurrentMtgRatesDataTable825[[#This Row],[asOfDate]],CurrentMtgRatesDataTable825623[#All],2,0)</f>
        <v>0.28071881128362103</v>
      </c>
      <c r="J152" s="24">
        <v>41592</v>
      </c>
      <c r="K152" s="26">
        <v>0.34376188323838874</v>
      </c>
      <c r="L152" s="26">
        <f ca="1">VLOOKUP(CurrentMtgRatesDataTable8256[[#This Row],[asOfDate]]+1,Bloomberg!B:C,2,0)</f>
        <v>1903.5</v>
      </c>
      <c r="N152" s="24">
        <v>41592</v>
      </c>
      <c r="O152" s="26">
        <v>0.24269693250447563</v>
      </c>
      <c r="Q152" s="24">
        <v>41592</v>
      </c>
      <c r="R152" s="27">
        <v>0.28071881128362103</v>
      </c>
    </row>
    <row r="153" spans="2:18">
      <c r="B153" s="24">
        <v>41599</v>
      </c>
      <c r="C153" s="27">
        <v>0.41410653536495057</v>
      </c>
      <c r="D153" s="27">
        <v>0.43261391338339328</v>
      </c>
      <c r="E153" s="6">
        <f ca="1">VLOOKUP(CurrentMtgRatesDataTable825[[#This Row],[asOfDate]]+1,Bloomberg!B:C,2,0)</f>
        <v>1917.2</v>
      </c>
      <c r="F153" s="27">
        <f>VLOOKUP(CurrentMtgRatesDataTable825[[#This Row],[asOfDate]],CurrentMtgRatesDataTable8256[#All],2,0)</f>
        <v>0.40633426574889947</v>
      </c>
      <c r="G153" s="27">
        <f>VLOOKUP(CurrentMtgRatesDataTable825[[#This Row],[asOfDate]],CurrentMtgRatesDataTable82562[],2,0)</f>
        <v>0.3055299351989304</v>
      </c>
      <c r="H153" s="27">
        <f>VLOOKUP(CurrentMtgRatesDataTable825[[#This Row],[asOfDate]],CurrentMtgRatesDataTable825623[#All],2,0)</f>
        <v>0.34304694481314357</v>
      </c>
      <c r="J153" s="24">
        <v>41599</v>
      </c>
      <c r="K153" s="26">
        <v>0.40633426574889947</v>
      </c>
      <c r="L153" s="26">
        <f ca="1">VLOOKUP(CurrentMtgRatesDataTable8256[[#This Row],[asOfDate]]+1,Bloomberg!B:C,2,0)</f>
        <v>1917.2</v>
      </c>
      <c r="N153" s="24">
        <v>41599</v>
      </c>
      <c r="O153" s="26">
        <v>0.3055299351989304</v>
      </c>
      <c r="Q153" s="24">
        <v>41599</v>
      </c>
      <c r="R153" s="27">
        <v>0.34304694481314357</v>
      </c>
    </row>
    <row r="154" spans="2:18">
      <c r="B154" s="24">
        <v>41605</v>
      </c>
      <c r="C154" s="27">
        <v>0.3969981593322805</v>
      </c>
      <c r="D154" s="27">
        <v>0.38673083730274427</v>
      </c>
      <c r="E154" s="6" t="e">
        <f ca="1">VLOOKUP(CurrentMtgRatesDataTable825[[#This Row],[asOfDate]]+1,Bloomberg!B:C,2,0)</f>
        <v>#N/A</v>
      </c>
      <c r="F154" s="27">
        <f>VLOOKUP(CurrentMtgRatesDataTable825[[#This Row],[asOfDate]],CurrentMtgRatesDataTable8256[#All],2,0)</f>
        <v>0.40599486098742238</v>
      </c>
      <c r="G154" s="27">
        <f>VLOOKUP(CurrentMtgRatesDataTable825[[#This Row],[asOfDate]],CurrentMtgRatesDataTable82562[],2,0)</f>
        <v>0.28269813653547565</v>
      </c>
      <c r="H154" s="27">
        <f>VLOOKUP(CurrentMtgRatesDataTable825[[#This Row],[asOfDate]],CurrentMtgRatesDataTable825623[#All],2,0)</f>
        <v>0.31428622705242126</v>
      </c>
      <c r="J154" s="24">
        <v>41605</v>
      </c>
      <c r="K154" s="26">
        <v>0.40599486098742238</v>
      </c>
      <c r="L154" s="26" t="e">
        <f ca="1">VLOOKUP(CurrentMtgRatesDataTable8256[[#This Row],[asOfDate]]+1,Bloomberg!B:C,2,0)</f>
        <v>#N/A</v>
      </c>
      <c r="N154" s="24">
        <v>41605</v>
      </c>
      <c r="O154" s="26">
        <v>0.28269813653547565</v>
      </c>
      <c r="Q154" s="24">
        <v>41605</v>
      </c>
      <c r="R154" s="27">
        <v>0.31428622705242126</v>
      </c>
    </row>
    <row r="155" spans="2:18">
      <c r="B155" s="24">
        <v>41613</v>
      </c>
      <c r="C155" s="27">
        <v>0.37338021104571051</v>
      </c>
      <c r="D155" s="27">
        <v>0.34590013117591406</v>
      </c>
      <c r="E155" s="6">
        <f ca="1">VLOOKUP(CurrentMtgRatesDataTable825[[#This Row],[asOfDate]]+1,Bloomberg!B:C,2,0)</f>
        <v>1599.4</v>
      </c>
      <c r="F155" s="27">
        <f>VLOOKUP(CurrentMtgRatesDataTable825[[#This Row],[asOfDate]],CurrentMtgRatesDataTable8256[#All],2,0)</f>
        <v>0.33663336734019467</v>
      </c>
      <c r="G155" s="27">
        <f>VLOOKUP(CurrentMtgRatesDataTable825[[#This Row],[asOfDate]],CurrentMtgRatesDataTable82562[],2,0)</f>
        <v>0.21457168979065847</v>
      </c>
      <c r="H155" s="27">
        <f>VLOOKUP(CurrentMtgRatesDataTable825[[#This Row],[asOfDate]],CurrentMtgRatesDataTable825623[#All],2,0)</f>
        <v>0.24226678471994609</v>
      </c>
      <c r="J155" s="24">
        <v>41613</v>
      </c>
      <c r="K155" s="26">
        <v>0.33663336734019467</v>
      </c>
      <c r="L155" s="26">
        <f ca="1">VLOOKUP(CurrentMtgRatesDataTable8256[[#This Row],[asOfDate]]+1,Bloomberg!B:C,2,0)</f>
        <v>1599.4</v>
      </c>
      <c r="N155" s="24">
        <v>41613</v>
      </c>
      <c r="O155" s="26">
        <v>0.21457168979065847</v>
      </c>
      <c r="Q155" s="24">
        <v>41613</v>
      </c>
      <c r="R155" s="27">
        <v>0.24226678471994609</v>
      </c>
    </row>
    <row r="156" spans="2:18">
      <c r="B156" s="24">
        <v>41620</v>
      </c>
      <c r="C156" s="27">
        <v>0.3707206267478419</v>
      </c>
      <c r="D156" s="27">
        <v>0.334440948803849</v>
      </c>
      <c r="E156" s="6">
        <f ca="1">VLOOKUP(CurrentMtgRatesDataTable825[[#This Row],[asOfDate]]+1,Bloomberg!B:C,2,0)</f>
        <v>1529.8</v>
      </c>
      <c r="F156" s="27">
        <f>VLOOKUP(CurrentMtgRatesDataTable825[[#This Row],[asOfDate]],CurrentMtgRatesDataTable8256[#All],2,0)</f>
        <v>0.33659925585033085</v>
      </c>
      <c r="G156" s="27">
        <f>VLOOKUP(CurrentMtgRatesDataTable825[[#This Row],[asOfDate]],CurrentMtgRatesDataTable82562[],2,0)</f>
        <v>0.21453214735661943</v>
      </c>
      <c r="H156" s="27">
        <f>VLOOKUP(CurrentMtgRatesDataTable825[[#This Row],[asOfDate]],CurrentMtgRatesDataTable825623[#All],2,0)</f>
        <v>0.24222415354324153</v>
      </c>
      <c r="J156" s="24">
        <v>41620</v>
      </c>
      <c r="K156" s="26">
        <v>0.33659925585033085</v>
      </c>
      <c r="L156" s="26">
        <f ca="1">VLOOKUP(CurrentMtgRatesDataTable8256[[#This Row],[asOfDate]]+1,Bloomberg!B:C,2,0)</f>
        <v>1529.8</v>
      </c>
      <c r="N156" s="24">
        <v>41620</v>
      </c>
      <c r="O156" s="26">
        <v>0.21453214735661943</v>
      </c>
      <c r="Q156" s="24">
        <v>41620</v>
      </c>
      <c r="R156" s="27">
        <v>0.24222415354324153</v>
      </c>
    </row>
    <row r="157" spans="2:18">
      <c r="B157" s="24">
        <v>41627</v>
      </c>
      <c r="C157" s="27">
        <v>0.33974567777608206</v>
      </c>
      <c r="D157" s="27">
        <v>0.3194569274159329</v>
      </c>
      <c r="E157" s="6">
        <f ca="1">VLOOKUP(CurrentMtgRatesDataTable825[[#This Row],[asOfDate]]+1,Bloomberg!B:C,2,0)</f>
        <v>1426.7</v>
      </c>
      <c r="F157" s="27">
        <f>VLOOKUP(CurrentMtgRatesDataTable825[[#This Row],[asOfDate]],CurrentMtgRatesDataTable8256[#All],2,0)</f>
        <v>0.26251314123023178</v>
      </c>
      <c r="G157" s="27">
        <f>VLOOKUP(CurrentMtgRatesDataTable825[[#This Row],[asOfDate]],CurrentMtgRatesDataTable82562[],2,0)</f>
        <v>0.18637808162354447</v>
      </c>
      <c r="H157" s="27">
        <f>VLOOKUP(CurrentMtgRatesDataTable825[[#This Row],[asOfDate]],CurrentMtgRatesDataTable825623[#All],2,0)</f>
        <v>0.20141162346005181</v>
      </c>
      <c r="J157" s="24">
        <v>41627</v>
      </c>
      <c r="K157" s="26">
        <v>0.26251314123023178</v>
      </c>
      <c r="L157" s="26">
        <f ca="1">VLOOKUP(CurrentMtgRatesDataTable8256[[#This Row],[asOfDate]]+1,Bloomberg!B:C,2,0)</f>
        <v>1426.7</v>
      </c>
      <c r="N157" s="24">
        <v>41627</v>
      </c>
      <c r="O157" s="26">
        <v>0.18637808162354447</v>
      </c>
      <c r="Q157" s="24">
        <v>41627</v>
      </c>
      <c r="R157" s="27">
        <v>0.20141162346005181</v>
      </c>
    </row>
    <row r="158" spans="2:18">
      <c r="B158" s="24">
        <v>41634</v>
      </c>
      <c r="C158" s="27">
        <v>0.33029809597210952</v>
      </c>
      <c r="D158" s="27">
        <v>0.31270972005474035</v>
      </c>
      <c r="E158" s="6">
        <f ca="1">VLOOKUP(CurrentMtgRatesDataTable825[[#This Row],[asOfDate]]+1,Bloomberg!B:C,2,0)</f>
        <v>1277.8</v>
      </c>
      <c r="F158" s="27">
        <f>VLOOKUP(CurrentMtgRatesDataTable825[[#This Row],[asOfDate]],CurrentMtgRatesDataTable8256[#All],2,0)</f>
        <v>0.2624253850951212</v>
      </c>
      <c r="G158" s="27">
        <f>VLOOKUP(CurrentMtgRatesDataTable825[[#This Row],[asOfDate]],CurrentMtgRatesDataTable82562[],2,0)</f>
        <v>0.18634998394757121</v>
      </c>
      <c r="H158" s="27">
        <f>VLOOKUP(CurrentMtgRatesDataTable825[[#This Row],[asOfDate]],CurrentMtgRatesDataTable825623[#All],2,0)</f>
        <v>0.2013640996379655</v>
      </c>
      <c r="J158" s="24">
        <v>41634</v>
      </c>
      <c r="K158" s="26">
        <v>0.2624253850951212</v>
      </c>
      <c r="L158" s="26">
        <f ca="1">VLOOKUP(CurrentMtgRatesDataTable8256[[#This Row],[asOfDate]]+1,Bloomberg!B:C,2,0)</f>
        <v>1277.8</v>
      </c>
      <c r="N158" s="24">
        <v>41634</v>
      </c>
      <c r="O158" s="26">
        <v>0.18634998394757121</v>
      </c>
      <c r="Q158" s="24">
        <v>41634</v>
      </c>
      <c r="R158" s="27">
        <v>0.2013640996379655</v>
      </c>
    </row>
    <row r="159" spans="2:18">
      <c r="B159" s="24">
        <v>41641</v>
      </c>
      <c r="C159" s="27">
        <v>0.26212623729092371</v>
      </c>
      <c r="D159" s="27">
        <v>0.28003425204115806</v>
      </c>
      <c r="E159" s="6">
        <f ca="1">VLOOKUP(CurrentMtgRatesDataTable825[[#This Row],[asOfDate]]+1,Bloomberg!B:C,2,0)</f>
        <v>1352.7</v>
      </c>
      <c r="F159" s="27">
        <f>VLOOKUP(CurrentMtgRatesDataTable825[[#This Row],[asOfDate]],CurrentMtgRatesDataTable8256[#All],2,0)</f>
        <v>0.25542920246734474</v>
      </c>
      <c r="G159" s="27">
        <f>VLOOKUP(CurrentMtgRatesDataTable825[[#This Row],[asOfDate]],CurrentMtgRatesDataTable82562[],2,0)</f>
        <v>0.16785607555882864</v>
      </c>
      <c r="H159" s="27">
        <f>VLOOKUP(CurrentMtgRatesDataTable825[[#This Row],[asOfDate]],CurrentMtgRatesDataTable825623[#All],2,0)</f>
        <v>0.17802959709068786</v>
      </c>
      <c r="J159" s="24">
        <v>41641</v>
      </c>
      <c r="K159" s="26">
        <v>0.25542920246734474</v>
      </c>
      <c r="L159" s="26">
        <f ca="1">VLOOKUP(CurrentMtgRatesDataTable8256[[#This Row],[asOfDate]]+1,Bloomberg!B:C,2,0)</f>
        <v>1352.7</v>
      </c>
      <c r="N159" s="24">
        <v>41641</v>
      </c>
      <c r="O159" s="26">
        <v>0.16785607555882864</v>
      </c>
      <c r="Q159" s="24">
        <v>41641</v>
      </c>
      <c r="R159" s="27">
        <v>0.17802959709068786</v>
      </c>
    </row>
    <row r="160" spans="2:18">
      <c r="B160" s="24">
        <v>41648</v>
      </c>
      <c r="C160" s="27">
        <v>0.2902260049252946</v>
      </c>
      <c r="D160" s="27">
        <v>0.28637334307655832</v>
      </c>
      <c r="E160" s="6">
        <f ca="1">VLOOKUP(CurrentMtgRatesDataTable825[[#This Row],[asOfDate]]+1,Bloomberg!B:C,2,0)</f>
        <v>1507</v>
      </c>
      <c r="F160" s="27">
        <f>VLOOKUP(CurrentMtgRatesDataTable825[[#This Row],[asOfDate]],CurrentMtgRatesDataTable8256[#All],2,0)</f>
        <v>0.25657721618559615</v>
      </c>
      <c r="G160" s="27">
        <f>VLOOKUP(CurrentMtgRatesDataTable825[[#This Row],[asOfDate]],CurrentMtgRatesDataTable82562[],2,0)</f>
        <v>0.18043555474043901</v>
      </c>
      <c r="H160" s="27">
        <f>VLOOKUP(CurrentMtgRatesDataTable825[[#This Row],[asOfDate]],CurrentMtgRatesDataTable825623[#All],2,0)</f>
        <v>0.19750176495775237</v>
      </c>
      <c r="J160" s="24">
        <v>41648</v>
      </c>
      <c r="K160" s="26">
        <v>0.25657721618559615</v>
      </c>
      <c r="L160" s="26">
        <f ca="1">VLOOKUP(CurrentMtgRatesDataTable8256[[#This Row],[asOfDate]]+1,Bloomberg!B:C,2,0)</f>
        <v>1507</v>
      </c>
      <c r="N160" s="24">
        <v>41648</v>
      </c>
      <c r="O160" s="26">
        <v>0.18043555474043901</v>
      </c>
      <c r="Q160" s="24">
        <v>41648</v>
      </c>
      <c r="R160" s="27">
        <v>0.19750176495775237</v>
      </c>
    </row>
    <row r="161" spans="2:18">
      <c r="B161" s="24">
        <v>41655</v>
      </c>
      <c r="C161" s="27">
        <v>0.36774882579493112</v>
      </c>
      <c r="D161" s="27">
        <v>0.33866034155246999</v>
      </c>
      <c r="E161" s="6">
        <f ca="1">VLOOKUP(CurrentMtgRatesDataTable825[[#This Row],[asOfDate]]+1,Bloomberg!B:C,2,0)</f>
        <v>1675.8</v>
      </c>
      <c r="F161" s="27">
        <f>VLOOKUP(CurrentMtgRatesDataTable825[[#This Row],[asOfDate]],CurrentMtgRatesDataTable8256[#All],2,0)</f>
        <v>0.3304592378060357</v>
      </c>
      <c r="G161" s="27">
        <f>VLOOKUP(CurrentMtgRatesDataTable825[[#This Row],[asOfDate]],CurrentMtgRatesDataTable82562[],2,0)</f>
        <v>0.20877580875994006</v>
      </c>
      <c r="H161" s="27">
        <f>VLOOKUP(CurrentMtgRatesDataTable825[[#This Row],[asOfDate]],CurrentMtgRatesDataTable825623[#All],2,0)</f>
        <v>0.22917295307652799</v>
      </c>
      <c r="J161" s="24">
        <v>41655</v>
      </c>
      <c r="K161" s="26">
        <v>0.3304592378060357</v>
      </c>
      <c r="L161" s="26">
        <f ca="1">VLOOKUP(CurrentMtgRatesDataTable8256[[#This Row],[asOfDate]]+1,Bloomberg!B:C,2,0)</f>
        <v>1675.8</v>
      </c>
      <c r="N161" s="24">
        <v>41655</v>
      </c>
      <c r="O161" s="26">
        <v>0.20877580875994006</v>
      </c>
      <c r="Q161" s="24">
        <v>41655</v>
      </c>
      <c r="R161" s="27">
        <v>0.22917295307652799</v>
      </c>
    </row>
    <row r="162" spans="2:18">
      <c r="B162" s="24">
        <v>41662</v>
      </c>
      <c r="C162" s="27">
        <v>0.37084428304329614</v>
      </c>
      <c r="D162" s="27">
        <v>0.35314898703532416</v>
      </c>
      <c r="E162" s="6">
        <f ca="1">VLOOKUP(CurrentMtgRatesDataTable825[[#This Row],[asOfDate]]+1,Bloomberg!B:C,2,0)</f>
        <v>1601.2</v>
      </c>
      <c r="F162" s="27">
        <f>VLOOKUP(CurrentMtgRatesDataTable825[[#This Row],[asOfDate]],CurrentMtgRatesDataTable8256[#All],2,0)</f>
        <v>0.33051418127812865</v>
      </c>
      <c r="G162" s="27">
        <f>VLOOKUP(CurrentMtgRatesDataTable825[[#This Row],[asOfDate]],CurrentMtgRatesDataTable82562[],2,0)</f>
        <v>0.20925174983631745</v>
      </c>
      <c r="H162" s="27">
        <f>VLOOKUP(CurrentMtgRatesDataTable825[[#This Row],[asOfDate]],CurrentMtgRatesDataTable825623[#All],2,0)</f>
        <v>0.22951003472904788</v>
      </c>
      <c r="J162" s="24">
        <v>41662</v>
      </c>
      <c r="K162" s="26">
        <v>0.33051418127812865</v>
      </c>
      <c r="L162" s="26">
        <f ca="1">VLOOKUP(CurrentMtgRatesDataTable8256[[#This Row],[asOfDate]]+1,Bloomberg!B:C,2,0)</f>
        <v>1601.2</v>
      </c>
      <c r="N162" s="24">
        <v>41662</v>
      </c>
      <c r="O162" s="26">
        <v>0.20925174983631745</v>
      </c>
      <c r="Q162" s="24">
        <v>41662</v>
      </c>
      <c r="R162" s="27">
        <v>0.22951003472904788</v>
      </c>
    </row>
    <row r="163" spans="2:18">
      <c r="B163" s="24">
        <v>41669</v>
      </c>
      <c r="C163" s="27">
        <v>0.38160196936392621</v>
      </c>
      <c r="D163" s="27">
        <v>0.37036145413835853</v>
      </c>
      <c r="E163" s="6">
        <f ca="1">VLOOKUP(CurrentMtgRatesDataTable825[[#This Row],[asOfDate]]+1,Bloomberg!B:C,2,0)</f>
        <v>1667.5</v>
      </c>
      <c r="F163" s="27">
        <f>VLOOKUP(CurrentMtgRatesDataTable825[[#This Row],[asOfDate]],CurrentMtgRatesDataTable8256[#All],2,0)</f>
        <v>0.39423204709456816</v>
      </c>
      <c r="G163" s="27">
        <f>VLOOKUP(CurrentMtgRatesDataTable825[[#This Row],[asOfDate]],CurrentMtgRatesDataTable82562[],2,0)</f>
        <v>0.26908499548561948</v>
      </c>
      <c r="H163" s="27">
        <f>VLOOKUP(CurrentMtgRatesDataTable825[[#This Row],[asOfDate]],CurrentMtgRatesDataTable825623[#All],2,0)</f>
        <v>0.29231353005395816</v>
      </c>
      <c r="J163" s="24">
        <v>41669</v>
      </c>
      <c r="K163" s="26">
        <v>0.39423204709456816</v>
      </c>
      <c r="L163" s="26">
        <f ca="1">VLOOKUP(CurrentMtgRatesDataTable8256[[#This Row],[asOfDate]]+1,Bloomberg!B:C,2,0)</f>
        <v>1667.5</v>
      </c>
      <c r="N163" s="24">
        <v>41669</v>
      </c>
      <c r="O163" s="26">
        <v>0.26908499548561948</v>
      </c>
      <c r="Q163" s="24">
        <v>41669</v>
      </c>
      <c r="R163" s="27">
        <v>0.29231353005395816</v>
      </c>
    </row>
    <row r="164" spans="2:18">
      <c r="B164" s="24">
        <v>41676</v>
      </c>
      <c r="C164" s="27">
        <v>0.40068103493110224</v>
      </c>
      <c r="D164" s="27">
        <v>0.4115978073311492</v>
      </c>
      <c r="E164" s="6">
        <f ca="1">VLOOKUP(CurrentMtgRatesDataTable825[[#This Row],[asOfDate]]+1,Bloomberg!B:C,2,0)</f>
        <v>1674.2</v>
      </c>
      <c r="F164" s="27">
        <f>VLOOKUP(CurrentMtgRatesDataTable825[[#This Row],[asOfDate]],CurrentMtgRatesDataTable8256[#All],2,0)</f>
        <v>0.39101792197108992</v>
      </c>
      <c r="G164" s="27">
        <f>VLOOKUP(CurrentMtgRatesDataTable825[[#This Row],[asOfDate]],CurrentMtgRatesDataTable82562[],2,0)</f>
        <v>0.28664398800430652</v>
      </c>
      <c r="H164" s="27">
        <f>VLOOKUP(CurrentMtgRatesDataTable825[[#This Row],[asOfDate]],CurrentMtgRatesDataTable825623[#All],2,0)</f>
        <v>0.31520979957393219</v>
      </c>
      <c r="J164" s="24">
        <v>41676</v>
      </c>
      <c r="K164" s="26">
        <v>0.39101792197108992</v>
      </c>
      <c r="L164" s="26">
        <f ca="1">VLOOKUP(CurrentMtgRatesDataTable8256[[#This Row],[asOfDate]]+1,Bloomberg!B:C,2,0)</f>
        <v>1674.2</v>
      </c>
      <c r="N164" s="24">
        <v>41676</v>
      </c>
      <c r="O164" s="26">
        <v>0.28664398800430652</v>
      </c>
      <c r="Q164" s="24">
        <v>41676</v>
      </c>
      <c r="R164" s="27">
        <v>0.31520979957393219</v>
      </c>
    </row>
    <row r="165" spans="2:18">
      <c r="B165" s="24">
        <v>41683</v>
      </c>
      <c r="C165" s="27">
        <v>0.38532630107916044</v>
      </c>
      <c r="D165" s="27">
        <v>0.36940979825988263</v>
      </c>
      <c r="E165" s="6">
        <f ca="1">VLOOKUP(CurrentMtgRatesDataTable825[[#This Row],[asOfDate]]+1,Bloomberg!B:C,2,0)</f>
        <v>1650.6</v>
      </c>
      <c r="F165" s="27">
        <f>VLOOKUP(CurrentMtgRatesDataTable825[[#This Row],[asOfDate]],CurrentMtgRatesDataTable8256[#All],2,0)</f>
        <v>0.39068366290434636</v>
      </c>
      <c r="G165" s="27">
        <f>VLOOKUP(CurrentMtgRatesDataTable825[[#This Row],[asOfDate]],CurrentMtgRatesDataTable82562[],2,0)</f>
        <v>0.26406176269101833</v>
      </c>
      <c r="H165" s="27">
        <f>VLOOKUP(CurrentMtgRatesDataTable825[[#This Row],[asOfDate]],CurrentMtgRatesDataTable825623[#All],2,0)</f>
        <v>0.28764958142832198</v>
      </c>
      <c r="J165" s="24">
        <v>41683</v>
      </c>
      <c r="K165" s="26">
        <v>0.39068366290434636</v>
      </c>
      <c r="L165" s="26">
        <f ca="1">VLOOKUP(CurrentMtgRatesDataTable8256[[#This Row],[asOfDate]]+1,Bloomberg!B:C,2,0)</f>
        <v>1650.6</v>
      </c>
      <c r="N165" s="24">
        <v>41683</v>
      </c>
      <c r="O165" s="26">
        <v>0.26406176269101833</v>
      </c>
      <c r="Q165" s="24">
        <v>41683</v>
      </c>
      <c r="R165" s="27">
        <v>0.28764958142832198</v>
      </c>
    </row>
    <row r="166" spans="2:18">
      <c r="B166" s="24">
        <v>41690</v>
      </c>
      <c r="C166" s="27">
        <v>0.3755719775185945</v>
      </c>
      <c r="D166" s="27">
        <v>0.35582170567845778</v>
      </c>
      <c r="E166" s="6">
        <f ca="1">VLOOKUP(CurrentMtgRatesDataTable825[[#This Row],[asOfDate]]+1,Bloomberg!B:C,2,0)</f>
        <v>1442.3</v>
      </c>
      <c r="F166" s="27">
        <f>VLOOKUP(CurrentMtgRatesDataTable825[[#This Row],[asOfDate]],CurrentMtgRatesDataTable8256[#All],2,0)</f>
        <v>0.32596209420558231</v>
      </c>
      <c r="G166" s="27">
        <f>VLOOKUP(CurrentMtgRatesDataTable825[[#This Row],[asOfDate]],CurrentMtgRatesDataTable82562[],2,0)</f>
        <v>0.22520487559188238</v>
      </c>
      <c r="H166" s="27">
        <f>VLOOKUP(CurrentMtgRatesDataTable825[[#This Row],[asOfDate]],CurrentMtgRatesDataTable825623[#All],2,0)</f>
        <v>0.25489738506230836</v>
      </c>
      <c r="J166" s="24">
        <v>41690</v>
      </c>
      <c r="K166" s="26">
        <v>0.32596209420558231</v>
      </c>
      <c r="L166" s="26">
        <f ca="1">VLOOKUP(CurrentMtgRatesDataTable8256[[#This Row],[asOfDate]]+1,Bloomberg!B:C,2,0)</f>
        <v>1442.3</v>
      </c>
      <c r="N166" s="24">
        <v>41690</v>
      </c>
      <c r="O166" s="26">
        <v>0.22520487559188238</v>
      </c>
      <c r="Q166" s="24">
        <v>41690</v>
      </c>
      <c r="R166" s="27">
        <v>0.25489738506230836</v>
      </c>
    </row>
    <row r="167" spans="2:18">
      <c r="B167" s="24">
        <v>41697</v>
      </c>
      <c r="C167" s="27">
        <v>0.36967404481869215</v>
      </c>
      <c r="D167" s="27">
        <v>0.34649297693691988</v>
      </c>
      <c r="E167" s="6">
        <f ca="1">VLOOKUP(CurrentMtgRatesDataTable825[[#This Row],[asOfDate]]+1,Bloomberg!B:C,2,0)</f>
        <v>1600.6</v>
      </c>
      <c r="F167" s="27">
        <f>VLOOKUP(CurrentMtgRatesDataTable825[[#This Row],[asOfDate]],CurrentMtgRatesDataTable8256[#All],2,0)</f>
        <v>0.32584125763891397</v>
      </c>
      <c r="G167" s="27">
        <f>VLOOKUP(CurrentMtgRatesDataTable825[[#This Row],[asOfDate]],CurrentMtgRatesDataTable82562[],2,0)</f>
        <v>0.22499222573411515</v>
      </c>
      <c r="H167" s="27">
        <f>VLOOKUP(CurrentMtgRatesDataTable825[[#This Row],[asOfDate]],CurrentMtgRatesDataTable825623[#All],2,0)</f>
        <v>0.25467923398674452</v>
      </c>
      <c r="J167" s="24">
        <v>41697</v>
      </c>
      <c r="K167" s="26">
        <v>0.32584125763891397</v>
      </c>
      <c r="L167" s="26">
        <f ca="1">VLOOKUP(CurrentMtgRatesDataTable8256[[#This Row],[asOfDate]]+1,Bloomberg!B:C,2,0)</f>
        <v>1600.6</v>
      </c>
      <c r="N167" s="24">
        <v>41697</v>
      </c>
      <c r="O167" s="26">
        <v>0.22499222573411515</v>
      </c>
      <c r="Q167" s="24">
        <v>41697</v>
      </c>
      <c r="R167" s="27">
        <v>0.25467923398674452</v>
      </c>
    </row>
    <row r="168" spans="2:18">
      <c r="B168" s="24">
        <v>41704</v>
      </c>
      <c r="C168" s="27">
        <v>0.38316963725836589</v>
      </c>
      <c r="D168" s="27">
        <v>0.36594725304775116</v>
      </c>
      <c r="E168" s="6">
        <f ca="1">VLOOKUP(CurrentMtgRatesDataTable825[[#This Row],[asOfDate]]+1,Bloomberg!B:C,2,0)</f>
        <v>1528</v>
      </c>
      <c r="F168" s="27">
        <f>VLOOKUP(CurrentMtgRatesDataTable825[[#This Row],[asOfDate]],CurrentMtgRatesDataTable8256[#All],2,0)</f>
        <v>0.3880906059489676</v>
      </c>
      <c r="G168" s="27">
        <f>VLOOKUP(CurrentMtgRatesDataTable825[[#This Row],[asOfDate]],CurrentMtgRatesDataTable82562[],2,0)</f>
        <v>0.25999785989651375</v>
      </c>
      <c r="H168" s="27">
        <f>VLOOKUP(CurrentMtgRatesDataTable825[[#This Row],[asOfDate]],CurrentMtgRatesDataTable825623[#All],2,0)</f>
        <v>0.28397099180873842</v>
      </c>
      <c r="J168" s="24">
        <v>41704</v>
      </c>
      <c r="K168" s="26">
        <v>0.3880906059489676</v>
      </c>
      <c r="L168" s="26">
        <f ca="1">VLOOKUP(CurrentMtgRatesDataTable8256[[#This Row],[asOfDate]]+1,Bloomberg!B:C,2,0)</f>
        <v>1528</v>
      </c>
      <c r="N168" s="24">
        <v>41704</v>
      </c>
      <c r="O168" s="26">
        <v>0.25999785989651375</v>
      </c>
      <c r="Q168" s="24">
        <v>41704</v>
      </c>
      <c r="R168" s="27">
        <v>0.28397099180873842</v>
      </c>
    </row>
    <row r="169" spans="2:18">
      <c r="B169" s="24">
        <v>41711</v>
      </c>
      <c r="C169" s="27">
        <v>0.36933430427665681</v>
      </c>
      <c r="D169" s="27">
        <v>0.34988680837895592</v>
      </c>
      <c r="E169" s="6">
        <f ca="1">VLOOKUP(CurrentMtgRatesDataTable825[[#This Row],[asOfDate]]+1,Bloomberg!B:C,2,0)</f>
        <v>1552.1</v>
      </c>
      <c r="F169" s="27">
        <f>VLOOKUP(CurrentMtgRatesDataTable825[[#This Row],[asOfDate]],CurrentMtgRatesDataTable8256[#All],2,0)</f>
        <v>0.32243239988824457</v>
      </c>
      <c r="G169" s="27">
        <f>VLOOKUP(CurrentMtgRatesDataTable825[[#This Row],[asOfDate]],CurrentMtgRatesDataTable82562[],2,0)</f>
        <v>0.22113373603983741</v>
      </c>
      <c r="H169" s="27">
        <f>VLOOKUP(CurrentMtgRatesDataTable825[[#This Row],[asOfDate]],CurrentMtgRatesDataTable825623[#All],2,0)</f>
        <v>0.25100221815672541</v>
      </c>
      <c r="J169" s="24">
        <v>41711</v>
      </c>
      <c r="K169" s="26">
        <v>0.32243239988824457</v>
      </c>
      <c r="L169" s="26">
        <f ca="1">VLOOKUP(CurrentMtgRatesDataTable8256[[#This Row],[asOfDate]]+1,Bloomberg!B:C,2,0)</f>
        <v>1552.1</v>
      </c>
      <c r="N169" s="24">
        <v>41711</v>
      </c>
      <c r="O169" s="26">
        <v>0.22113373603983741</v>
      </c>
      <c r="Q169" s="24">
        <v>41711</v>
      </c>
      <c r="R169" s="27">
        <v>0.25100221815672541</v>
      </c>
    </row>
    <row r="170" spans="2:18">
      <c r="B170" s="24">
        <v>41718</v>
      </c>
      <c r="C170" s="27">
        <v>0.38030249532079374</v>
      </c>
      <c r="D170" s="27">
        <v>0.3574673638560138</v>
      </c>
      <c r="E170" s="6">
        <f ca="1">VLOOKUP(CurrentMtgRatesDataTable825[[#This Row],[asOfDate]]+1,Bloomberg!B:C,2,0)</f>
        <v>1426.3</v>
      </c>
      <c r="F170" s="27">
        <f>VLOOKUP(CurrentMtgRatesDataTable825[[#This Row],[asOfDate]],CurrentMtgRatesDataTable8256[#All],2,0)</f>
        <v>0.38803155963126795</v>
      </c>
      <c r="G170" s="27">
        <f>VLOOKUP(CurrentMtgRatesDataTable825[[#This Row],[asOfDate]],CurrentMtgRatesDataTable82562[],2,0)</f>
        <v>0.25993711403288727</v>
      </c>
      <c r="H170" s="27">
        <f>VLOOKUP(CurrentMtgRatesDataTable825[[#This Row],[asOfDate]],CurrentMtgRatesDataTable825623[#All],2,0)</f>
        <v>0.28391182536273768</v>
      </c>
      <c r="J170" s="24">
        <v>41718</v>
      </c>
      <c r="K170" s="26">
        <v>0.38803155963126795</v>
      </c>
      <c r="L170" s="26">
        <f ca="1">VLOOKUP(CurrentMtgRatesDataTable8256[[#This Row],[asOfDate]]+1,Bloomberg!B:C,2,0)</f>
        <v>1426.3</v>
      </c>
      <c r="N170" s="24">
        <v>41718</v>
      </c>
      <c r="O170" s="26">
        <v>0.25993711403288727</v>
      </c>
      <c r="Q170" s="24">
        <v>41718</v>
      </c>
      <c r="R170" s="27">
        <v>0.28391182536273768</v>
      </c>
    </row>
    <row r="171" spans="2:18">
      <c r="B171" s="24">
        <v>41725</v>
      </c>
      <c r="C171" s="27">
        <v>0.36565400061256043</v>
      </c>
      <c r="D171" s="27">
        <v>0.34076202088993646</v>
      </c>
      <c r="E171" s="6">
        <f ca="1">VLOOKUP(CurrentMtgRatesDataTable825[[#This Row],[asOfDate]]+1,Bloomberg!B:C,2,0)</f>
        <v>1383.5</v>
      </c>
      <c r="F171" s="27">
        <f>VLOOKUP(CurrentMtgRatesDataTable825[[#This Row],[asOfDate]],CurrentMtgRatesDataTable8256[#All],2,0)</f>
        <v>0.32225376577204623</v>
      </c>
      <c r="G171" s="27">
        <f>VLOOKUP(CurrentMtgRatesDataTable825[[#This Row],[asOfDate]],CurrentMtgRatesDataTable82562[],2,0)</f>
        <v>0.22102075851993844</v>
      </c>
      <c r="H171" s="27">
        <f>VLOOKUP(CurrentMtgRatesDataTable825[[#This Row],[asOfDate]],CurrentMtgRatesDataTable825623[#All],2,0)</f>
        <v>0.25088103362043407</v>
      </c>
      <c r="J171" s="24">
        <v>41725</v>
      </c>
      <c r="K171" s="26">
        <v>0.32225376577204623</v>
      </c>
      <c r="L171" s="26">
        <f ca="1">VLOOKUP(CurrentMtgRatesDataTable8256[[#This Row],[asOfDate]]+1,Bloomberg!B:C,2,0)</f>
        <v>1383.5</v>
      </c>
      <c r="N171" s="24">
        <v>41725</v>
      </c>
      <c r="O171" s="26">
        <v>0.22102075851993844</v>
      </c>
      <c r="Q171" s="24">
        <v>41725</v>
      </c>
      <c r="R171" s="27">
        <v>0.25088103362043407</v>
      </c>
    </row>
    <row r="172" spans="2:18">
      <c r="B172" s="24">
        <v>41732</v>
      </c>
      <c r="C172" s="27">
        <v>0.35521926568999218</v>
      </c>
      <c r="D172" s="27">
        <v>0.32045868201101552</v>
      </c>
      <c r="E172" s="6">
        <f ca="1">VLOOKUP(CurrentMtgRatesDataTable825[[#This Row],[asOfDate]]+1,Bloomberg!B:C,2,0)</f>
        <v>1324.7</v>
      </c>
      <c r="F172" s="27">
        <f>VLOOKUP(CurrentMtgRatesDataTable825[[#This Row],[asOfDate]],CurrentMtgRatesDataTable8256[#All],2,0)</f>
        <v>0.31763867857518779</v>
      </c>
      <c r="G172" s="27">
        <f>VLOOKUP(CurrentMtgRatesDataTable825[[#This Row],[asOfDate]],CurrentMtgRatesDataTable82562[],2,0)</f>
        <v>0.19554396569408161</v>
      </c>
      <c r="H172" s="27">
        <f>VLOOKUP(CurrentMtgRatesDataTable825[[#This Row],[asOfDate]],CurrentMtgRatesDataTable825623[#All],2,0)</f>
        <v>0.22052709973522447</v>
      </c>
      <c r="J172" s="24">
        <v>41732</v>
      </c>
      <c r="K172" s="26">
        <v>0.31763867857518779</v>
      </c>
      <c r="L172" s="26">
        <f ca="1">VLOOKUP(CurrentMtgRatesDataTable8256[[#This Row],[asOfDate]]+1,Bloomberg!B:C,2,0)</f>
        <v>1324.7</v>
      </c>
      <c r="N172" s="24">
        <v>41732</v>
      </c>
      <c r="O172" s="26">
        <v>0.19554396569408161</v>
      </c>
      <c r="Q172" s="24">
        <v>41732</v>
      </c>
      <c r="R172" s="27">
        <v>0.22052709973522447</v>
      </c>
    </row>
    <row r="173" spans="2:18">
      <c r="B173" s="24">
        <v>41739</v>
      </c>
      <c r="C173" s="27">
        <v>0.36683376695248865</v>
      </c>
      <c r="D173" s="27">
        <v>0.34341616068980968</v>
      </c>
      <c r="E173" s="6">
        <f ca="1">VLOOKUP(CurrentMtgRatesDataTable825[[#This Row],[asOfDate]]+1,Bloomberg!B:C,2,0)</f>
        <v>1429.9</v>
      </c>
      <c r="F173" s="27">
        <f>VLOOKUP(CurrentMtgRatesDataTable825[[#This Row],[asOfDate]],CurrentMtgRatesDataTable8256[#All],2,0)</f>
        <v>0.3179400498756681</v>
      </c>
      <c r="G173" s="27">
        <f>VLOOKUP(CurrentMtgRatesDataTable825[[#This Row],[asOfDate]],CurrentMtgRatesDataTable82562[],2,0)</f>
        <v>0.21645273042175073</v>
      </c>
      <c r="H173" s="27">
        <f>VLOOKUP(CurrentMtgRatesDataTable825[[#This Row],[asOfDate]],CurrentMtgRatesDataTable825623[#All],2,0)</f>
        <v>0.25015107339443698</v>
      </c>
      <c r="J173" s="24">
        <v>41739</v>
      </c>
      <c r="K173" s="26">
        <v>0.3179400498756681</v>
      </c>
      <c r="L173" s="26">
        <f ca="1">VLOOKUP(CurrentMtgRatesDataTable8256[[#This Row],[asOfDate]]+1,Bloomberg!B:C,2,0)</f>
        <v>1429.9</v>
      </c>
      <c r="N173" s="24">
        <v>41739</v>
      </c>
      <c r="O173" s="26">
        <v>0.21645273042175073</v>
      </c>
      <c r="Q173" s="24">
        <v>41739</v>
      </c>
      <c r="R173" s="27">
        <v>0.25015107339443698</v>
      </c>
    </row>
    <row r="174" spans="2:18">
      <c r="B174" s="24">
        <v>41746</v>
      </c>
      <c r="C174" s="27">
        <v>0.38166972699665563</v>
      </c>
      <c r="D174" s="27">
        <v>0.35961933021833942</v>
      </c>
      <c r="E174" s="6">
        <f ca="1">VLOOKUP(CurrentMtgRatesDataTable825[[#This Row],[asOfDate]]+1,Bloomberg!B:C,2,0)</f>
        <v>1370.9</v>
      </c>
      <c r="F174" s="27">
        <f>VLOOKUP(CurrentMtgRatesDataTable825[[#This Row],[asOfDate]],CurrentMtgRatesDataTable8256[#All],2,0)</f>
        <v>0.38470598100767872</v>
      </c>
      <c r="G174" s="27">
        <f>VLOOKUP(CurrentMtgRatesDataTable825[[#This Row],[asOfDate]],CurrentMtgRatesDataTable82562[],2,0)</f>
        <v>0.25509482603250799</v>
      </c>
      <c r="H174" s="27">
        <f>VLOOKUP(CurrentMtgRatesDataTable825[[#This Row],[asOfDate]],CurrentMtgRatesDataTable825623[#All],2,0)</f>
        <v>0.28299748708911909</v>
      </c>
      <c r="J174" s="24">
        <v>41746</v>
      </c>
      <c r="K174" s="26">
        <v>0.38470598100767872</v>
      </c>
      <c r="L174" s="26">
        <f ca="1">VLOOKUP(CurrentMtgRatesDataTable8256[[#This Row],[asOfDate]]+1,Bloomberg!B:C,2,0)</f>
        <v>1370.9</v>
      </c>
      <c r="N174" s="24">
        <v>41746</v>
      </c>
      <c r="O174" s="26">
        <v>0.25509482603250799</v>
      </c>
      <c r="Q174" s="24">
        <v>41746</v>
      </c>
      <c r="R174" s="27">
        <v>0.28299748708911909</v>
      </c>
    </row>
    <row r="175" spans="2:18">
      <c r="B175" s="24">
        <v>41753</v>
      </c>
      <c r="C175" s="27">
        <v>0.37393962817107157</v>
      </c>
      <c r="D175" s="27">
        <v>0.35091869592461744</v>
      </c>
      <c r="E175" s="6">
        <f ca="1">VLOOKUP(CurrentMtgRatesDataTable825[[#This Row],[asOfDate]]+1,Bloomberg!B:C,2,0)</f>
        <v>1298.0999999999999</v>
      </c>
      <c r="F175" s="27">
        <f>VLOOKUP(CurrentMtgRatesDataTable825[[#This Row],[asOfDate]],CurrentMtgRatesDataTable8256[#All],2,0)</f>
        <v>0.38440732841326453</v>
      </c>
      <c r="G175" s="27">
        <f>VLOOKUP(CurrentMtgRatesDataTable825[[#This Row],[asOfDate]],CurrentMtgRatesDataTable82562[],2,0)</f>
        <v>0.25494407537878599</v>
      </c>
      <c r="H175" s="27">
        <f>VLOOKUP(CurrentMtgRatesDataTable825[[#This Row],[asOfDate]],CurrentMtgRatesDataTable825623[#All],2,0)</f>
        <v>0.28284593551814341</v>
      </c>
      <c r="J175" s="24">
        <v>41753</v>
      </c>
      <c r="K175" s="26">
        <v>0.38440732841326453</v>
      </c>
      <c r="L175" s="26">
        <f ca="1">VLOOKUP(CurrentMtgRatesDataTable8256[[#This Row],[asOfDate]]+1,Bloomberg!B:C,2,0)</f>
        <v>1298.0999999999999</v>
      </c>
      <c r="N175" s="24">
        <v>41753</v>
      </c>
      <c r="O175" s="26">
        <v>0.25494407537878599</v>
      </c>
      <c r="Q175" s="24">
        <v>41753</v>
      </c>
      <c r="R175" s="27">
        <v>0.28284593551814341</v>
      </c>
    </row>
    <row r="176" spans="2:18">
      <c r="B176" s="24">
        <v>41760</v>
      </c>
      <c r="C176" s="27">
        <v>0.37360583835556432</v>
      </c>
      <c r="D176" s="27">
        <v>0.35322598118738113</v>
      </c>
      <c r="E176" s="6">
        <f ca="1">VLOOKUP(CurrentMtgRatesDataTable825[[#This Row],[asOfDate]]+1,Bloomberg!B:C,2,0)</f>
        <v>1323.9</v>
      </c>
      <c r="F176" s="27">
        <f>VLOOKUP(CurrentMtgRatesDataTable825[[#This Row],[asOfDate]],CurrentMtgRatesDataTable8256[#All],2,0)</f>
        <v>0.38059841454921201</v>
      </c>
      <c r="G176" s="27">
        <f>VLOOKUP(CurrentMtgRatesDataTable825[[#This Row],[asOfDate]],CurrentMtgRatesDataTable82562[],2,0)</f>
        <v>0.24989208685370806</v>
      </c>
      <c r="H176" s="27">
        <f>VLOOKUP(CurrentMtgRatesDataTable825[[#This Row],[asOfDate]],CurrentMtgRatesDataTable825623[#All],2,0)</f>
        <v>0.28069096324496473</v>
      </c>
      <c r="J176" s="24">
        <v>41760</v>
      </c>
      <c r="K176" s="26">
        <v>0.38059841454921201</v>
      </c>
      <c r="L176" s="26">
        <f ca="1">VLOOKUP(CurrentMtgRatesDataTable8256[[#This Row],[asOfDate]]+1,Bloomberg!B:C,2,0)</f>
        <v>1323.9</v>
      </c>
      <c r="N176" s="24">
        <v>41760</v>
      </c>
      <c r="O176" s="26">
        <v>0.24989208685370806</v>
      </c>
      <c r="Q176" s="24">
        <v>41760</v>
      </c>
      <c r="R176" s="27">
        <v>0.28069096324496473</v>
      </c>
    </row>
    <row r="177" spans="2:18">
      <c r="B177" s="24">
        <v>41767</v>
      </c>
      <c r="C177" s="27">
        <v>0.40975674753773905</v>
      </c>
      <c r="D177" s="27">
        <v>0.4177195327389831</v>
      </c>
      <c r="E177" s="6">
        <f ca="1">VLOOKUP(CurrentMtgRatesDataTable825[[#This Row],[asOfDate]]+1,Bloomberg!B:C,2,0)</f>
        <v>1400.9</v>
      </c>
      <c r="F177" s="27">
        <f>VLOOKUP(CurrentMtgRatesDataTable825[[#This Row],[asOfDate]],CurrentMtgRatesDataTable8256[#All],2,0)</f>
        <v>0.43450609291099734</v>
      </c>
      <c r="G177" s="27">
        <f>VLOOKUP(CurrentMtgRatesDataTable825[[#This Row],[asOfDate]],CurrentMtgRatesDataTable82562[],2,0)</f>
        <v>0.30572082850185778</v>
      </c>
      <c r="H177" s="27">
        <f>VLOOKUP(CurrentMtgRatesDataTable825[[#This Row],[asOfDate]],CurrentMtgRatesDataTable825623[#All],2,0)</f>
        <v>0.33387849823041243</v>
      </c>
      <c r="J177" s="24">
        <v>41767</v>
      </c>
      <c r="K177" s="26">
        <v>0.43450609291099734</v>
      </c>
      <c r="L177" s="26">
        <f ca="1">VLOOKUP(CurrentMtgRatesDataTable8256[[#This Row],[asOfDate]]+1,Bloomberg!B:C,2,0)</f>
        <v>1400.9</v>
      </c>
      <c r="N177" s="24">
        <v>41767</v>
      </c>
      <c r="O177" s="26">
        <v>0.30572082850185778</v>
      </c>
      <c r="Q177" s="24">
        <v>41767</v>
      </c>
      <c r="R177" s="27">
        <v>0.33387849823041243</v>
      </c>
    </row>
    <row r="178" spans="2:18">
      <c r="B178" s="24">
        <v>41774</v>
      </c>
      <c r="C178" s="27">
        <v>0.4132153406951769</v>
      </c>
      <c r="D178" s="27">
        <v>0.4285818825724782</v>
      </c>
      <c r="E178" s="6">
        <f ca="1">VLOOKUP(CurrentMtgRatesDataTable825[[#This Row],[asOfDate]]+1,Bloomberg!B:C,2,0)</f>
        <v>1460.6</v>
      </c>
      <c r="F178" s="27">
        <f>VLOOKUP(CurrentMtgRatesDataTable825[[#This Row],[asOfDate]],CurrentMtgRatesDataTable8256[#All],2,0)</f>
        <v>0.43452030184865936</v>
      </c>
      <c r="G178" s="27">
        <f>VLOOKUP(CurrentMtgRatesDataTable825[[#This Row],[asOfDate]],CurrentMtgRatesDataTable82562[],2,0)</f>
        <v>0.30574922904136204</v>
      </c>
      <c r="H178" s="27">
        <f>VLOOKUP(CurrentMtgRatesDataTable825[[#This Row],[asOfDate]],CurrentMtgRatesDataTable825623[#All],2,0)</f>
        <v>0.33390062435369622</v>
      </c>
      <c r="J178" s="24">
        <v>41774</v>
      </c>
      <c r="K178" s="26">
        <v>0.43452030184865936</v>
      </c>
      <c r="L178" s="26">
        <f ca="1">VLOOKUP(CurrentMtgRatesDataTable8256[[#This Row],[asOfDate]]+1,Bloomberg!B:C,2,0)</f>
        <v>1460.6</v>
      </c>
      <c r="N178" s="24">
        <v>41774</v>
      </c>
      <c r="O178" s="26">
        <v>0.30574922904136204</v>
      </c>
      <c r="Q178" s="24">
        <v>41774</v>
      </c>
      <c r="R178" s="27">
        <v>0.33390062435369622</v>
      </c>
    </row>
    <row r="179" spans="2:18">
      <c r="B179" s="24">
        <v>41781</v>
      </c>
      <c r="C179" s="27">
        <v>0.44799454346559853</v>
      </c>
      <c r="D179" s="27">
        <v>0.47209485247367544</v>
      </c>
      <c r="E179" s="6">
        <f ca="1">VLOOKUP(CurrentMtgRatesDataTable825[[#This Row],[asOfDate]]+1,Bloomberg!B:C,2,0)</f>
        <v>1453.4</v>
      </c>
      <c r="F179" s="27">
        <f>VLOOKUP(CurrentMtgRatesDataTable825[[#This Row],[asOfDate]],CurrentMtgRatesDataTable8256[#All],2,0)</f>
        <v>0.43535189728112444</v>
      </c>
      <c r="G179" s="27">
        <f>VLOOKUP(CurrentMtgRatesDataTable825[[#This Row],[asOfDate]],CurrentMtgRatesDataTable82562[],2,0)</f>
        <v>0.3263360956031372</v>
      </c>
      <c r="H179" s="27">
        <f>VLOOKUP(CurrentMtgRatesDataTable825[[#This Row],[asOfDate]],CurrentMtgRatesDataTable825623[#All],2,0)</f>
        <v>0.35622497076114035</v>
      </c>
      <c r="J179" s="24">
        <v>41781</v>
      </c>
      <c r="K179" s="26">
        <v>0.43535189728112444</v>
      </c>
      <c r="L179" s="26">
        <f ca="1">VLOOKUP(CurrentMtgRatesDataTable8256[[#This Row],[asOfDate]]+1,Bloomberg!B:C,2,0)</f>
        <v>1453.4</v>
      </c>
      <c r="N179" s="24">
        <v>41781</v>
      </c>
      <c r="O179" s="26">
        <v>0.3263360956031372</v>
      </c>
      <c r="Q179" s="24">
        <v>41781</v>
      </c>
      <c r="R179" s="27">
        <v>0.35622497076114035</v>
      </c>
    </row>
    <row r="180" spans="2:18">
      <c r="B180" s="24">
        <v>41788</v>
      </c>
      <c r="C180" s="27">
        <v>0.46362020494951672</v>
      </c>
      <c r="D180" s="27">
        <v>0.47209485247367544</v>
      </c>
      <c r="E180" s="6">
        <f ca="1">VLOOKUP(CurrentMtgRatesDataTable825[[#This Row],[asOfDate]]+1,Bloomberg!B:C,2,0)</f>
        <v>1382.6</v>
      </c>
      <c r="F180" s="27">
        <f>VLOOKUP(CurrentMtgRatesDataTable825[[#This Row],[asOfDate]],CurrentMtgRatesDataTable8256[#All],2,0)</f>
        <v>0.43540610404364999</v>
      </c>
      <c r="G180" s="27">
        <f>VLOOKUP(CurrentMtgRatesDataTable825[[#This Row],[asOfDate]],CurrentMtgRatesDataTable82562[],2,0)</f>
        <v>0.32643936863839501</v>
      </c>
      <c r="H180" s="27">
        <f>VLOOKUP(CurrentMtgRatesDataTable825[[#This Row],[asOfDate]],CurrentMtgRatesDataTable825623[#All],2,0)</f>
        <v>0.35633423706395456</v>
      </c>
      <c r="J180" s="24">
        <v>41788</v>
      </c>
      <c r="K180" s="26">
        <v>0.43540610404364999</v>
      </c>
      <c r="L180" s="26">
        <f ca="1">VLOOKUP(CurrentMtgRatesDataTable8256[[#This Row],[asOfDate]]+1,Bloomberg!B:C,2,0)</f>
        <v>1382.6</v>
      </c>
      <c r="N180" s="24">
        <v>41788</v>
      </c>
      <c r="O180" s="26">
        <v>0.32643936863839501</v>
      </c>
      <c r="Q180" s="24">
        <v>41788</v>
      </c>
      <c r="R180" s="27">
        <v>0.35633423706395456</v>
      </c>
    </row>
    <row r="181" spans="2:18">
      <c r="B181" s="24">
        <v>41795</v>
      </c>
      <c r="C181" s="27">
        <v>0.46847875373528863</v>
      </c>
      <c r="D181" s="27">
        <v>0.48826900818732566</v>
      </c>
      <c r="E181" s="6">
        <f ca="1">VLOOKUP(CurrentMtgRatesDataTable825[[#This Row],[asOfDate]]+1,Bloomberg!B:C,2,0)</f>
        <v>1516.9</v>
      </c>
      <c r="F181" s="27">
        <f>VLOOKUP(CurrentMtgRatesDataTable825[[#This Row],[asOfDate]],CurrentMtgRatesDataTable8256[#All],2,0)</f>
        <v>0.43456496283175705</v>
      </c>
      <c r="G181" s="27">
        <f>VLOOKUP(CurrentMtgRatesDataTable825[[#This Row],[asOfDate]],CurrentMtgRatesDataTable82562[],2,0)</f>
        <v>0.32185129183708511</v>
      </c>
      <c r="H181" s="27">
        <f>VLOOKUP(CurrentMtgRatesDataTable825[[#This Row],[asOfDate]],CurrentMtgRatesDataTable825623[#All],2,0)</f>
        <v>0.35489250561464825</v>
      </c>
      <c r="J181" s="24">
        <v>41795</v>
      </c>
      <c r="K181" s="26">
        <v>0.43456496283175705</v>
      </c>
      <c r="L181" s="26">
        <f ca="1">VLOOKUP(CurrentMtgRatesDataTable8256[[#This Row],[asOfDate]]+1,Bloomberg!B:C,2,0)</f>
        <v>1516.9</v>
      </c>
      <c r="N181" s="24">
        <v>41795</v>
      </c>
      <c r="O181" s="26">
        <v>0.32185129183708511</v>
      </c>
      <c r="Q181" s="24">
        <v>41795</v>
      </c>
      <c r="R181" s="27">
        <v>0.35489250561464825</v>
      </c>
    </row>
    <row r="182" spans="2:18">
      <c r="B182" s="24">
        <v>41802</v>
      </c>
      <c r="C182" s="27">
        <v>0.41096738430920449</v>
      </c>
      <c r="D182" s="27">
        <v>0.42483689780598433</v>
      </c>
      <c r="E182" s="6">
        <f ca="1">VLOOKUP(CurrentMtgRatesDataTable825[[#This Row],[asOfDate]]+1,Bloomberg!B:C,2,0)</f>
        <v>1321.3</v>
      </c>
      <c r="F182" s="27">
        <f>VLOOKUP(CurrentMtgRatesDataTable825[[#This Row],[asOfDate]],CurrentMtgRatesDataTable8256[#All],2,0)</f>
        <v>0.43354196734760481</v>
      </c>
      <c r="G182" s="27">
        <f>VLOOKUP(CurrentMtgRatesDataTable825[[#This Row],[asOfDate]],CurrentMtgRatesDataTable82562[],2,0)</f>
        <v>0.3006175039125803</v>
      </c>
      <c r="H182" s="27">
        <f>VLOOKUP(CurrentMtgRatesDataTable825[[#This Row],[asOfDate]],CurrentMtgRatesDataTable825623[#All],2,0)</f>
        <v>0.33139268056260768</v>
      </c>
      <c r="J182" s="24">
        <v>41802</v>
      </c>
      <c r="K182" s="26">
        <v>0.43354196734760481</v>
      </c>
      <c r="L182" s="26">
        <f ca="1">VLOOKUP(CurrentMtgRatesDataTable8256[[#This Row],[asOfDate]]+1,Bloomberg!B:C,2,0)</f>
        <v>1321.3</v>
      </c>
      <c r="N182" s="24">
        <v>41802</v>
      </c>
      <c r="O182" s="26">
        <v>0.3006175039125803</v>
      </c>
      <c r="Q182" s="24">
        <v>41802</v>
      </c>
      <c r="R182" s="27">
        <v>0.33139268056260768</v>
      </c>
    </row>
    <row r="183" spans="2:18">
      <c r="B183" s="24">
        <v>41809</v>
      </c>
      <c r="C183" s="27">
        <v>0.42635938692148717</v>
      </c>
      <c r="D183" s="27">
        <v>0.46330444951825156</v>
      </c>
      <c r="E183" s="6">
        <f ca="1">VLOOKUP(CurrentMtgRatesDataTable825[[#This Row],[asOfDate]]+1,Bloomberg!B:C,2,0)</f>
        <v>1333.5</v>
      </c>
      <c r="F183" s="27">
        <f>VLOOKUP(CurrentMtgRatesDataTable825[[#This Row],[asOfDate]],CurrentMtgRatesDataTable8256[#All],2,0)</f>
        <v>0.43404253553300182</v>
      </c>
      <c r="G183" s="27">
        <f>VLOOKUP(CurrentMtgRatesDataTable825[[#This Row],[asOfDate]],CurrentMtgRatesDataTable82562[],2,0)</f>
        <v>0.30084926565806314</v>
      </c>
      <c r="H183" s="27">
        <f>VLOOKUP(CurrentMtgRatesDataTable825[[#This Row],[asOfDate]],CurrentMtgRatesDataTable825623[#All],2,0)</f>
        <v>0.33161272059622571</v>
      </c>
      <c r="J183" s="24">
        <v>41809</v>
      </c>
      <c r="K183" s="26">
        <v>0.43404253553300182</v>
      </c>
      <c r="L183" s="26">
        <f ca="1">VLOOKUP(CurrentMtgRatesDataTable8256[[#This Row],[asOfDate]]+1,Bloomberg!B:C,2,0)</f>
        <v>1333.5</v>
      </c>
      <c r="N183" s="24">
        <v>41809</v>
      </c>
      <c r="O183" s="26">
        <v>0.30084926565806314</v>
      </c>
      <c r="Q183" s="24">
        <v>41809</v>
      </c>
      <c r="R183" s="27">
        <v>0.33161272059622571</v>
      </c>
    </row>
    <row r="184" spans="2:18">
      <c r="B184" s="24">
        <v>41816</v>
      </c>
      <c r="C184" s="27">
        <v>0.46847875373528863</v>
      </c>
      <c r="D184" s="27">
        <v>0.48826900818732566</v>
      </c>
      <c r="E184" s="6">
        <f ca="1">VLOOKUP(CurrentMtgRatesDataTable825[[#This Row],[asOfDate]]+1,Bloomberg!B:C,2,0)</f>
        <v>1341.8</v>
      </c>
      <c r="F184" s="27">
        <f>VLOOKUP(CurrentMtgRatesDataTable825[[#This Row],[asOfDate]],CurrentMtgRatesDataTable8256[#All],2,0)</f>
        <v>0.43456496283175705</v>
      </c>
      <c r="G184" s="27">
        <f>VLOOKUP(CurrentMtgRatesDataTable825[[#This Row],[asOfDate]],CurrentMtgRatesDataTable82562[],2,0)</f>
        <v>0.32185129183708511</v>
      </c>
      <c r="H184" s="27">
        <f>VLOOKUP(CurrentMtgRatesDataTable825[[#This Row],[asOfDate]],CurrentMtgRatesDataTable825623[#All],2,0)</f>
        <v>0.35489250561464825</v>
      </c>
      <c r="J184" s="24">
        <v>41816</v>
      </c>
      <c r="K184" s="26">
        <v>0.43456496283175705</v>
      </c>
      <c r="L184" s="26">
        <f ca="1">VLOOKUP(CurrentMtgRatesDataTable8256[[#This Row],[asOfDate]]+1,Bloomberg!B:C,2,0)</f>
        <v>1341.8</v>
      </c>
      <c r="N184" s="24">
        <v>41816</v>
      </c>
      <c r="O184" s="26">
        <v>0.32185129183708511</v>
      </c>
      <c r="Q184" s="24">
        <v>41816</v>
      </c>
      <c r="R184" s="27">
        <v>0.35489250561464825</v>
      </c>
    </row>
    <row r="185" spans="2:18">
      <c r="B185" s="24">
        <v>41823</v>
      </c>
      <c r="C185" s="27">
        <v>0.48178321750260522</v>
      </c>
      <c r="D185" s="27">
        <v>0.49448613562379851</v>
      </c>
      <c r="E185" s="6">
        <f ca="1">VLOOKUP(CurrentMtgRatesDataTable825[[#This Row],[asOfDate]]+1,Bloomberg!B:C,2,0)</f>
        <v>1346.8</v>
      </c>
      <c r="F185" s="27">
        <f>VLOOKUP(CurrentMtgRatesDataTable825[[#This Row],[asOfDate]],CurrentMtgRatesDataTable8256[#All],2,0)</f>
        <v>0.49845248288256383</v>
      </c>
      <c r="G185" s="27">
        <f>VLOOKUP(CurrentMtgRatesDataTable825[[#This Row],[asOfDate]],CurrentMtgRatesDataTable82562[],2,0)</f>
        <v>0.35132432667845787</v>
      </c>
      <c r="H185" s="27">
        <f>VLOOKUP(CurrentMtgRatesDataTable825[[#This Row],[asOfDate]],CurrentMtgRatesDataTable825623[#All],2,0)</f>
        <v>0.38369257635845216</v>
      </c>
      <c r="J185" s="24">
        <v>41823</v>
      </c>
      <c r="K185" s="26">
        <v>0.49845248288256383</v>
      </c>
      <c r="L185" s="26">
        <f ca="1">VLOOKUP(CurrentMtgRatesDataTable8256[[#This Row],[asOfDate]]+1,Bloomberg!B:C,2,0)</f>
        <v>1346.8</v>
      </c>
      <c r="N185" s="24">
        <v>41823</v>
      </c>
      <c r="O185" s="26">
        <v>0.35132432667845787</v>
      </c>
      <c r="Q185" s="24">
        <v>41823</v>
      </c>
      <c r="R185" s="27">
        <v>0.38369257635845216</v>
      </c>
    </row>
    <row r="186" spans="2:18">
      <c r="B186" s="24">
        <v>41830</v>
      </c>
      <c r="C186" s="27">
        <v>0.42147742037560049</v>
      </c>
      <c r="D186" s="27">
        <v>0.45837254417463458</v>
      </c>
      <c r="E186" s="6">
        <f ca="1">VLOOKUP(CurrentMtgRatesDataTable825[[#This Row],[asOfDate]]+1,Bloomberg!B:C,2,0)</f>
        <v>1329.7</v>
      </c>
      <c r="F186" s="27">
        <f>VLOOKUP(CurrentMtgRatesDataTable825[[#This Row],[asOfDate]],CurrentMtgRatesDataTable8256[#All],2,0)</f>
        <v>0.43035217131462522</v>
      </c>
      <c r="G186" s="27">
        <f>VLOOKUP(CurrentMtgRatesDataTable825[[#This Row],[asOfDate]],CurrentMtgRatesDataTable82562[],2,0)</f>
        <v>0.2948978928650251</v>
      </c>
      <c r="H186" s="27">
        <f>VLOOKUP(CurrentMtgRatesDataTable825[[#This Row],[asOfDate]],CurrentMtgRatesDataTable825623[#All],2,0)</f>
        <v>0.32616027597080055</v>
      </c>
      <c r="J186" s="24">
        <v>41830</v>
      </c>
      <c r="K186" s="26">
        <v>0.43035217131462522</v>
      </c>
      <c r="L186" s="26">
        <f ca="1">VLOOKUP(CurrentMtgRatesDataTable8256[[#This Row],[asOfDate]]+1,Bloomberg!B:C,2,0)</f>
        <v>1329.7</v>
      </c>
      <c r="N186" s="24">
        <v>41830</v>
      </c>
      <c r="O186" s="26">
        <v>0.2948978928650251</v>
      </c>
      <c r="Q186" s="24">
        <v>41830</v>
      </c>
      <c r="R186" s="27">
        <v>0.32616027597080055</v>
      </c>
    </row>
    <row r="187" spans="2:18">
      <c r="B187" s="24">
        <v>41837</v>
      </c>
      <c r="C187" s="27">
        <v>0.45155296827836544</v>
      </c>
      <c r="D187" s="27">
        <v>0.47157959219647871</v>
      </c>
      <c r="E187" s="6">
        <f ca="1">VLOOKUP(CurrentMtgRatesDataTable825[[#This Row],[asOfDate]]+1,Bloomberg!B:C,2,0)</f>
        <v>1400.7</v>
      </c>
      <c r="F187" s="27">
        <f>VLOOKUP(CurrentMtgRatesDataTable825[[#This Row],[asOfDate]],CurrentMtgRatesDataTable8256[#All],2,0)</f>
        <v>0.43087417454638577</v>
      </c>
      <c r="G187" s="27">
        <f>VLOOKUP(CurrentMtgRatesDataTable825[[#This Row],[asOfDate]],CurrentMtgRatesDataTable82562[],2,0)</f>
        <v>0.3159632904010618</v>
      </c>
      <c r="H187" s="27">
        <f>VLOOKUP(CurrentMtgRatesDataTable825[[#This Row],[asOfDate]],CurrentMtgRatesDataTable825623[#All],2,0)</f>
        <v>0.34980501428845279</v>
      </c>
      <c r="J187" s="24">
        <v>41837</v>
      </c>
      <c r="K187" s="26">
        <v>0.43087417454638577</v>
      </c>
      <c r="L187" s="26">
        <f ca="1">VLOOKUP(CurrentMtgRatesDataTable8256[[#This Row],[asOfDate]]+1,Bloomberg!B:C,2,0)</f>
        <v>1400.7</v>
      </c>
      <c r="N187" s="24">
        <v>41837</v>
      </c>
      <c r="O187" s="26">
        <v>0.3159632904010618</v>
      </c>
      <c r="Q187" s="24">
        <v>41837</v>
      </c>
      <c r="R187" s="27">
        <v>0.34980501428845279</v>
      </c>
    </row>
    <row r="188" spans="2:18">
      <c r="B188" s="24">
        <v>41844</v>
      </c>
      <c r="C188" s="27">
        <v>0.45155296827836544</v>
      </c>
      <c r="D188" s="27">
        <v>0.47157959219647871</v>
      </c>
      <c r="E188" s="6">
        <f ca="1">VLOOKUP(CurrentMtgRatesDataTable825[[#This Row],[asOfDate]]+1,Bloomberg!B:C,2,0)</f>
        <v>1327.5</v>
      </c>
      <c r="F188" s="27">
        <f>VLOOKUP(CurrentMtgRatesDataTable825[[#This Row],[asOfDate]],CurrentMtgRatesDataTable8256[#All],2,0)</f>
        <v>0.43087417454638577</v>
      </c>
      <c r="G188" s="27">
        <f>VLOOKUP(CurrentMtgRatesDataTable825[[#This Row],[asOfDate]],CurrentMtgRatesDataTable82562[],2,0)</f>
        <v>0.3159632904010618</v>
      </c>
      <c r="H188" s="27">
        <f>VLOOKUP(CurrentMtgRatesDataTable825[[#This Row],[asOfDate]],CurrentMtgRatesDataTable825623[#All],2,0)</f>
        <v>0.34980501428845279</v>
      </c>
      <c r="J188" s="24">
        <v>41844</v>
      </c>
      <c r="K188" s="26">
        <v>0.43087417454638577</v>
      </c>
      <c r="L188" s="26">
        <f ca="1">VLOOKUP(CurrentMtgRatesDataTable8256[[#This Row],[asOfDate]]+1,Bloomberg!B:C,2,0)</f>
        <v>1327.5</v>
      </c>
      <c r="N188" s="24">
        <v>41844</v>
      </c>
      <c r="O188" s="26">
        <v>0.3159632904010618</v>
      </c>
      <c r="Q188" s="24">
        <v>41844</v>
      </c>
      <c r="R188" s="27">
        <v>0.34980501428845279</v>
      </c>
    </row>
    <row r="189" spans="2:18">
      <c r="B189" s="24">
        <v>41851</v>
      </c>
      <c r="C189" s="27">
        <v>0.45923072088835232</v>
      </c>
      <c r="D189" s="27">
        <v>0.47157959219647871</v>
      </c>
      <c r="E189" s="6">
        <f ca="1">VLOOKUP(CurrentMtgRatesDataTable825[[#This Row],[asOfDate]]+1,Bloomberg!B:C,2,0)</f>
        <v>1373.9</v>
      </c>
      <c r="F189" s="27">
        <f>VLOOKUP(CurrentMtgRatesDataTable825[[#This Row],[asOfDate]],CurrentMtgRatesDataTable8256[#All],2,0)</f>
        <v>0.4308956555661862</v>
      </c>
      <c r="G189" s="27">
        <f>VLOOKUP(CurrentMtgRatesDataTable825[[#This Row],[asOfDate]],CurrentMtgRatesDataTable82562[],2,0)</f>
        <v>0.31600900021944722</v>
      </c>
      <c r="H189" s="27">
        <f>VLOOKUP(CurrentMtgRatesDataTable825[[#This Row],[asOfDate]],CurrentMtgRatesDataTable825623[#All],2,0)</f>
        <v>0.34984761232802325</v>
      </c>
      <c r="J189" s="24">
        <v>41851</v>
      </c>
      <c r="K189" s="26">
        <v>0.4308956555661862</v>
      </c>
      <c r="L189" s="26">
        <f ca="1">VLOOKUP(CurrentMtgRatesDataTable8256[[#This Row],[asOfDate]]+1,Bloomberg!B:C,2,0)</f>
        <v>1373.9</v>
      </c>
      <c r="N189" s="24">
        <v>41851</v>
      </c>
      <c r="O189" s="26">
        <v>0.31600900021944722</v>
      </c>
      <c r="Q189" s="24">
        <v>41851</v>
      </c>
      <c r="R189" s="27">
        <v>0.34984761232802325</v>
      </c>
    </row>
    <row r="190" spans="2:18">
      <c r="B190" s="24">
        <v>41858</v>
      </c>
      <c r="C190" s="27">
        <v>0.42413376349642812</v>
      </c>
      <c r="D190" s="27">
        <v>0.46314495912161646</v>
      </c>
      <c r="E190" s="6">
        <f ca="1">VLOOKUP(CurrentMtgRatesDataTable825[[#This Row],[asOfDate]]+1,Bloomberg!B:C,2,0)</f>
        <v>1342.6</v>
      </c>
      <c r="F190" s="27">
        <f>VLOOKUP(CurrentMtgRatesDataTable825[[#This Row],[asOfDate]],CurrentMtgRatesDataTable8256[#All],2,0)</f>
        <v>0.42439769838835339</v>
      </c>
      <c r="G190" s="27">
        <f>VLOOKUP(CurrentMtgRatesDataTable825[[#This Row],[asOfDate]],CurrentMtgRatesDataTable82562[],2,0)</f>
        <v>0.28733011041556866</v>
      </c>
      <c r="H190" s="27">
        <f>VLOOKUP(CurrentMtgRatesDataTable825[[#This Row],[asOfDate]],CurrentMtgRatesDataTable825623[#All],2,0)</f>
        <v>0.31880210030046374</v>
      </c>
      <c r="J190" s="24">
        <v>41858</v>
      </c>
      <c r="K190" s="26">
        <v>0.42439769838835339</v>
      </c>
      <c r="L190" s="26">
        <f ca="1">VLOOKUP(CurrentMtgRatesDataTable8256[[#This Row],[asOfDate]]+1,Bloomberg!B:C,2,0)</f>
        <v>1342.6</v>
      </c>
      <c r="N190" s="24">
        <v>41858</v>
      </c>
      <c r="O190" s="26">
        <v>0.28733011041556866</v>
      </c>
      <c r="Q190" s="24">
        <v>41858</v>
      </c>
      <c r="R190" s="27">
        <v>0.31880210030046374</v>
      </c>
    </row>
    <row r="191" spans="2:18">
      <c r="B191" s="24">
        <v>41865</v>
      </c>
      <c r="C191" s="27">
        <v>0.45575254137027688</v>
      </c>
      <c r="D191" s="27">
        <v>0.46314495912161646</v>
      </c>
      <c r="E191" s="6">
        <f ca="1">VLOOKUP(CurrentMtgRatesDataTable825[[#This Row],[asOfDate]]+1,Bloomberg!B:C,2,0)</f>
        <v>1404.9</v>
      </c>
      <c r="F191" s="27">
        <f>VLOOKUP(CurrentMtgRatesDataTable825[[#This Row],[asOfDate]],CurrentMtgRatesDataTable8256[#All],2,0)</f>
        <v>0.42491168993334688</v>
      </c>
      <c r="G191" s="27">
        <f>VLOOKUP(CurrentMtgRatesDataTable825[[#This Row],[asOfDate]],CurrentMtgRatesDataTable82562[],2,0)</f>
        <v>0.30830019444277207</v>
      </c>
      <c r="H191" s="27">
        <f>VLOOKUP(CurrentMtgRatesDataTable825[[#This Row],[asOfDate]],CurrentMtgRatesDataTable825623[#All],2,0)</f>
        <v>0.34253304807104173</v>
      </c>
      <c r="J191" s="24">
        <v>41865</v>
      </c>
      <c r="K191" s="26">
        <v>0.42491168993334688</v>
      </c>
      <c r="L191" s="26">
        <f ca="1">VLOOKUP(CurrentMtgRatesDataTable8256[[#This Row],[asOfDate]]+1,Bloomberg!B:C,2,0)</f>
        <v>1404.9</v>
      </c>
      <c r="N191" s="24">
        <v>41865</v>
      </c>
      <c r="O191" s="26">
        <v>0.30830019444277207</v>
      </c>
      <c r="Q191" s="24">
        <v>41865</v>
      </c>
      <c r="R191" s="27">
        <v>0.34253304807104173</v>
      </c>
    </row>
    <row r="192" spans="2:18">
      <c r="B192" s="24">
        <v>41872</v>
      </c>
      <c r="C192" s="27">
        <v>0.49084413664233395</v>
      </c>
      <c r="D192" s="27">
        <v>0.49826533757051966</v>
      </c>
      <c r="E192" s="6">
        <f ca="1">VLOOKUP(CurrentMtgRatesDataTable825[[#This Row],[asOfDate]]+1,Bloomberg!B:C,2,0)</f>
        <v>1439.4</v>
      </c>
      <c r="F192" s="27">
        <f>VLOOKUP(CurrentMtgRatesDataTable825[[#This Row],[asOfDate]],CurrentMtgRatesDataTable8256[#All],2,0)</f>
        <v>0.49522669245285544</v>
      </c>
      <c r="G192" s="27">
        <f>VLOOKUP(CurrentMtgRatesDataTable825[[#This Row],[asOfDate]],CurrentMtgRatesDataTable82562[],2,0)</f>
        <v>0.34437174010246324</v>
      </c>
      <c r="H192" s="27">
        <f>VLOOKUP(CurrentMtgRatesDataTable825[[#This Row],[asOfDate]],CurrentMtgRatesDataTable825623[#All],2,0)</f>
        <v>0.37707642116327283</v>
      </c>
      <c r="J192" s="24">
        <v>41872</v>
      </c>
      <c r="K192" s="26">
        <v>0.49522669245285544</v>
      </c>
      <c r="L192" s="26">
        <f ca="1">VLOOKUP(CurrentMtgRatesDataTable8256[[#This Row],[asOfDate]]+1,Bloomberg!B:C,2,0)</f>
        <v>1439.4</v>
      </c>
      <c r="N192" s="24">
        <v>41872</v>
      </c>
      <c r="O192" s="26">
        <v>0.34437174010246324</v>
      </c>
      <c r="Q192" s="24">
        <v>41872</v>
      </c>
      <c r="R192" s="27">
        <v>0.37707642116327283</v>
      </c>
    </row>
    <row r="193" spans="2:18">
      <c r="B193" s="24">
        <v>41879</v>
      </c>
      <c r="C193" s="27">
        <v>0.49084413664233395</v>
      </c>
      <c r="D193" s="27">
        <v>0.49826533757051966</v>
      </c>
      <c r="E193" s="6">
        <f ca="1">VLOOKUP(CurrentMtgRatesDataTable825[[#This Row],[asOfDate]]+1,Bloomberg!B:C,2,0)</f>
        <v>1436</v>
      </c>
      <c r="F193" s="27">
        <f>VLOOKUP(CurrentMtgRatesDataTable825[[#This Row],[asOfDate]],CurrentMtgRatesDataTable8256[#All],2,0)</f>
        <v>0.49522669245285544</v>
      </c>
      <c r="G193" s="27">
        <f>VLOOKUP(CurrentMtgRatesDataTable825[[#This Row],[asOfDate]],CurrentMtgRatesDataTable82562[],2,0)</f>
        <v>0.34437174010246324</v>
      </c>
      <c r="H193" s="27">
        <f>VLOOKUP(CurrentMtgRatesDataTable825[[#This Row],[asOfDate]],CurrentMtgRatesDataTable825623[#All],2,0)</f>
        <v>0.37707642116327283</v>
      </c>
      <c r="J193" s="24">
        <v>41879</v>
      </c>
      <c r="K193" s="26">
        <v>0.49522669245285544</v>
      </c>
      <c r="L193" s="26">
        <f ca="1">VLOOKUP(CurrentMtgRatesDataTable8256[[#This Row],[asOfDate]]+1,Bloomberg!B:C,2,0)</f>
        <v>1436</v>
      </c>
      <c r="N193" s="24">
        <v>41879</v>
      </c>
      <c r="O193" s="26">
        <v>0.34437174010246324</v>
      </c>
      <c r="Q193" s="24">
        <v>41879</v>
      </c>
      <c r="R193" s="27">
        <v>0.37707642116327283</v>
      </c>
    </row>
    <row r="194" spans="2:18">
      <c r="B194" s="24">
        <v>41886</v>
      </c>
      <c r="C194" s="27">
        <v>0.4873264191007175</v>
      </c>
      <c r="D194" s="27">
        <v>0.4903334080735352</v>
      </c>
      <c r="E194" s="6">
        <f ca="1">VLOOKUP(CurrentMtgRatesDataTable825[[#This Row],[asOfDate]]+1,Bloomberg!B:C,2,0)</f>
        <v>1275.8</v>
      </c>
      <c r="F194" s="27">
        <f>VLOOKUP(CurrentMtgRatesDataTable825[[#This Row],[asOfDate]],CurrentMtgRatesDataTable8256[#All],2,0)</f>
        <v>0.49109889772075627</v>
      </c>
      <c r="G194" s="27">
        <f>VLOOKUP(CurrentMtgRatesDataTable825[[#This Row],[asOfDate]],CurrentMtgRatesDataTable82562[],2,0)</f>
        <v>0.33726082939012031</v>
      </c>
      <c r="H194" s="27">
        <f>VLOOKUP(CurrentMtgRatesDataTable825[[#This Row],[asOfDate]],CurrentMtgRatesDataTable825623[#All],2,0)</f>
        <v>0.37038222757969602</v>
      </c>
      <c r="J194" s="24">
        <v>41886</v>
      </c>
      <c r="K194" s="26">
        <v>0.49109889772075627</v>
      </c>
      <c r="L194" s="26">
        <f ca="1">VLOOKUP(CurrentMtgRatesDataTable8256[[#This Row],[asOfDate]]+1,Bloomberg!B:C,2,0)</f>
        <v>1275.8</v>
      </c>
      <c r="N194" s="24">
        <v>41886</v>
      </c>
      <c r="O194" s="26">
        <v>0.33726082939012031</v>
      </c>
      <c r="Q194" s="24">
        <v>41886</v>
      </c>
      <c r="R194" s="27">
        <v>0.37038222757969602</v>
      </c>
    </row>
    <row r="195" spans="2:18">
      <c r="B195" s="24">
        <v>41893</v>
      </c>
      <c r="C195" s="27">
        <v>0.4741591952243816</v>
      </c>
      <c r="D195" s="27">
        <v>0.47792137674563318</v>
      </c>
      <c r="E195" s="6">
        <f ca="1">VLOOKUP(CurrentMtgRatesDataTable825[[#This Row],[asOfDate]]+1,Bloomberg!B:C,2,0)</f>
        <v>1398.4</v>
      </c>
      <c r="F195" s="27">
        <f>VLOOKUP(CurrentMtgRatesDataTable825[[#This Row],[asOfDate]],CurrentMtgRatesDataTable8256[#All],2,0)</f>
        <v>0.49012736819164349</v>
      </c>
      <c r="G195" s="27">
        <f>VLOOKUP(CurrentMtgRatesDataTable825[[#This Row],[asOfDate]],CurrentMtgRatesDataTable82562[],2,0)</f>
        <v>0.33678501276371153</v>
      </c>
      <c r="H195" s="27">
        <f>VLOOKUP(CurrentMtgRatesDataTable825[[#This Row],[asOfDate]],CurrentMtgRatesDataTable825623[#All],2,0)</f>
        <v>0.36989684152089741</v>
      </c>
      <c r="J195" s="24">
        <v>41893</v>
      </c>
      <c r="K195" s="26">
        <v>0.49012736819164349</v>
      </c>
      <c r="L195" s="26">
        <f ca="1">VLOOKUP(CurrentMtgRatesDataTable8256[[#This Row],[asOfDate]]+1,Bloomberg!B:C,2,0)</f>
        <v>1398.4</v>
      </c>
      <c r="N195" s="24">
        <v>41893</v>
      </c>
      <c r="O195" s="26">
        <v>0.33678501276371153</v>
      </c>
      <c r="Q195" s="24">
        <v>41893</v>
      </c>
      <c r="R195" s="27">
        <v>0.36989684152089741</v>
      </c>
    </row>
    <row r="196" spans="2:18">
      <c r="B196" s="24">
        <v>41900</v>
      </c>
      <c r="C196" s="27">
        <v>0.3981672862675662</v>
      </c>
      <c r="D196" s="27">
        <v>0.40100959377370793</v>
      </c>
      <c r="E196" s="6">
        <f ca="1">VLOOKUP(CurrentMtgRatesDataTable825[[#This Row],[asOfDate]]+1,Bloomberg!B:C,2,0)</f>
        <v>1335.1</v>
      </c>
      <c r="F196" s="27">
        <f>VLOOKUP(CurrentMtgRatesDataTable825[[#This Row],[asOfDate]],CurrentMtgRatesDataTable8256[#All],2,0)</f>
        <v>0.41802491804441944</v>
      </c>
      <c r="G196" s="27">
        <f>VLOOKUP(CurrentMtgRatesDataTable825[[#This Row],[asOfDate]],CurrentMtgRatesDataTable82562[],2,0)</f>
        <v>0.27981611822773694</v>
      </c>
      <c r="H196" s="27">
        <f>VLOOKUP(CurrentMtgRatesDataTable825[[#This Row],[asOfDate]],CurrentMtgRatesDataTable825623[#All],2,0)</f>
        <v>0.31156063649874671</v>
      </c>
      <c r="J196" s="24">
        <v>41900</v>
      </c>
      <c r="K196" s="26">
        <v>0.41802491804441944</v>
      </c>
      <c r="L196" s="26">
        <f ca="1">VLOOKUP(CurrentMtgRatesDataTable8256[[#This Row],[asOfDate]]+1,Bloomberg!B:C,2,0)</f>
        <v>1335.1</v>
      </c>
      <c r="N196" s="24">
        <v>41900</v>
      </c>
      <c r="O196" s="26">
        <v>0.27981611822773694</v>
      </c>
      <c r="Q196" s="24">
        <v>41900</v>
      </c>
      <c r="R196" s="27">
        <v>0.31156063649874671</v>
      </c>
    </row>
    <row r="197" spans="2:18">
      <c r="B197" s="24">
        <v>41907</v>
      </c>
      <c r="C197" s="27">
        <v>0.41373230170663788</v>
      </c>
      <c r="D197" s="27">
        <v>0.44245263602505303</v>
      </c>
      <c r="E197" s="6">
        <f ca="1">VLOOKUP(CurrentMtgRatesDataTable825[[#This Row],[asOfDate]]+1,Bloomberg!B:C,2,0)</f>
        <v>1326.2</v>
      </c>
      <c r="F197" s="27">
        <f>VLOOKUP(CurrentMtgRatesDataTable825[[#This Row],[asOfDate]],CurrentMtgRatesDataTable8256[#All],2,0)</f>
        <v>0.41850850640907544</v>
      </c>
      <c r="G197" s="27">
        <f>VLOOKUP(CurrentMtgRatesDataTable825[[#This Row],[asOfDate]],CurrentMtgRatesDataTable82562[],2,0)</f>
        <v>0.28004211900809872</v>
      </c>
      <c r="H197" s="27">
        <f>VLOOKUP(CurrentMtgRatesDataTable825[[#This Row],[asOfDate]],CurrentMtgRatesDataTable825623[#All],2,0)</f>
        <v>0.31177385303472149</v>
      </c>
      <c r="J197" s="24">
        <v>41907</v>
      </c>
      <c r="K197" s="26">
        <v>0.41850850640907544</v>
      </c>
      <c r="L197" s="26">
        <f ca="1">VLOOKUP(CurrentMtgRatesDataTable8256[[#This Row],[asOfDate]]+1,Bloomberg!B:C,2,0)</f>
        <v>1326.2</v>
      </c>
      <c r="N197" s="24">
        <v>41907</v>
      </c>
      <c r="O197" s="26">
        <v>0.28004211900809872</v>
      </c>
      <c r="Q197" s="24">
        <v>41907</v>
      </c>
      <c r="R197" s="27">
        <v>0.31177385303472149</v>
      </c>
    </row>
    <row r="198" spans="2:18">
      <c r="B198" s="24">
        <v>41914</v>
      </c>
      <c r="C198" s="27">
        <v>0.43232059685066798</v>
      </c>
      <c r="D198" s="27">
        <v>0.44563246463246808</v>
      </c>
      <c r="E198" s="6">
        <f ca="1">VLOOKUP(CurrentMtgRatesDataTable825[[#This Row],[asOfDate]]+1,Bloomberg!B:C,2,0)</f>
        <v>1387.1</v>
      </c>
      <c r="F198" s="27">
        <f>VLOOKUP(CurrentMtgRatesDataTable825[[#This Row],[asOfDate]],CurrentMtgRatesDataTable8256[#All],2,0)</f>
        <v>0.41343470051083375</v>
      </c>
      <c r="G198" s="27">
        <f>VLOOKUP(CurrentMtgRatesDataTable825[[#This Row],[asOfDate]],CurrentMtgRatesDataTable82562[],2,0)</f>
        <v>0.29380964358931005</v>
      </c>
      <c r="H198" s="27">
        <f>VLOOKUP(CurrentMtgRatesDataTable825[[#This Row],[asOfDate]],CurrentMtgRatesDataTable825623[#All],2,0)</f>
        <v>0.32780574578763855</v>
      </c>
      <c r="J198" s="24">
        <v>41914</v>
      </c>
      <c r="K198" s="26">
        <v>0.41343470051083375</v>
      </c>
      <c r="L198" s="26">
        <f ca="1">VLOOKUP(CurrentMtgRatesDataTable8256[[#This Row],[asOfDate]]+1,Bloomberg!B:C,2,0)</f>
        <v>1387.1</v>
      </c>
      <c r="N198" s="24">
        <v>41914</v>
      </c>
      <c r="O198" s="26">
        <v>0.29380964358931005</v>
      </c>
      <c r="Q198" s="24">
        <v>41914</v>
      </c>
      <c r="R198" s="27">
        <v>0.32780574578763855</v>
      </c>
    </row>
    <row r="199" spans="2:18">
      <c r="B199" s="24">
        <v>41921</v>
      </c>
      <c r="C199" s="27">
        <v>0.47165449273347226</v>
      </c>
      <c r="D199" s="27">
        <v>0.46796226178312583</v>
      </c>
      <c r="E199" s="6">
        <f ca="1">VLOOKUP(CurrentMtgRatesDataTable825[[#This Row],[asOfDate]]+1,Bloomberg!B:C,2,0)</f>
        <v>1560.6</v>
      </c>
      <c r="F199" s="27">
        <f>VLOOKUP(CurrentMtgRatesDataTable825[[#This Row],[asOfDate]],CurrentMtgRatesDataTable8256[#All],2,0)</f>
        <v>0.48620694744117765</v>
      </c>
      <c r="G199" s="27">
        <f>VLOOKUP(CurrentMtgRatesDataTable825[[#This Row],[asOfDate]],CurrentMtgRatesDataTable82562[],2,0)</f>
        <v>0.32975158761790646</v>
      </c>
      <c r="H199" s="27">
        <f>VLOOKUP(CurrentMtgRatesDataTable825[[#This Row],[asOfDate]],CurrentMtgRatesDataTable825623[#All],2,0)</f>
        <v>0.36218729223083185</v>
      </c>
      <c r="J199" s="24">
        <v>41921</v>
      </c>
      <c r="K199" s="26">
        <v>0.48620694744117765</v>
      </c>
      <c r="L199" s="26">
        <f ca="1">VLOOKUP(CurrentMtgRatesDataTable8256[[#This Row],[asOfDate]]+1,Bloomberg!B:C,2,0)</f>
        <v>1560.6</v>
      </c>
      <c r="N199" s="24">
        <v>41921</v>
      </c>
      <c r="O199" s="26">
        <v>0.32975158761790646</v>
      </c>
      <c r="Q199" s="24">
        <v>41921</v>
      </c>
      <c r="R199" s="27">
        <v>0.36218729223083185</v>
      </c>
    </row>
    <row r="200" spans="2:18">
      <c r="B200" s="24">
        <v>41928</v>
      </c>
      <c r="C200" s="27">
        <v>0.57517284737260799</v>
      </c>
      <c r="D200" s="27">
        <v>0.55762171395347715</v>
      </c>
      <c r="E200" s="6">
        <f ca="1">VLOOKUP(CurrentMtgRatesDataTable825[[#This Row],[asOfDate]]+1,Bloomberg!B:C,2,0)</f>
        <v>1898.2</v>
      </c>
      <c r="F200" s="27">
        <f>VLOOKUP(CurrentMtgRatesDataTable825[[#This Row],[asOfDate]],CurrentMtgRatesDataTable8256[#All],2,0)</f>
        <v>0.55255700045884115</v>
      </c>
      <c r="G200" s="27">
        <f>VLOOKUP(CurrentMtgRatesDataTable825[[#This Row],[asOfDate]],CurrentMtgRatesDataTable82562[],2,0)</f>
        <v>0.40035994569645555</v>
      </c>
      <c r="H200" s="27">
        <f>VLOOKUP(CurrentMtgRatesDataTable825[[#This Row],[asOfDate]],CurrentMtgRatesDataTable825623[#All],2,0)</f>
        <v>0.4353898175636014</v>
      </c>
      <c r="J200" s="24">
        <v>41928</v>
      </c>
      <c r="K200" s="26">
        <v>0.55255700045884115</v>
      </c>
      <c r="L200" s="26">
        <f ca="1">VLOOKUP(CurrentMtgRatesDataTable8256[[#This Row],[asOfDate]]+1,Bloomberg!B:C,2,0)</f>
        <v>1898.2</v>
      </c>
      <c r="N200" s="24">
        <v>41928</v>
      </c>
      <c r="O200" s="26">
        <v>0.40035994569645555</v>
      </c>
      <c r="Q200" s="24">
        <v>41928</v>
      </c>
      <c r="R200" s="27">
        <v>0.4353898175636014</v>
      </c>
    </row>
    <row r="201" spans="2:18">
      <c r="B201" s="24">
        <v>41935</v>
      </c>
      <c r="C201" s="27">
        <v>0.58745733896979668</v>
      </c>
      <c r="D201" s="27">
        <v>0.55762171395347715</v>
      </c>
      <c r="E201" s="6">
        <f ca="1">VLOOKUP(CurrentMtgRatesDataTable825[[#This Row],[asOfDate]]+1,Bloomberg!B:C,2,0)</f>
        <v>1713.6</v>
      </c>
      <c r="F201" s="27">
        <f>VLOOKUP(CurrentMtgRatesDataTable825[[#This Row],[asOfDate]],CurrentMtgRatesDataTable8256[#All],2,0)</f>
        <v>0.55308845562501008</v>
      </c>
      <c r="G201" s="27">
        <f>VLOOKUP(CurrentMtgRatesDataTable825[[#This Row],[asOfDate]],CurrentMtgRatesDataTable82562[],2,0)</f>
        <v>0.42711521034968225</v>
      </c>
      <c r="H201" s="27">
        <f>VLOOKUP(CurrentMtgRatesDataTable825[[#This Row],[asOfDate]],CurrentMtgRatesDataTable825623[#All],2,0)</f>
        <v>0.46664485443170889</v>
      </c>
      <c r="J201" s="24">
        <v>41935</v>
      </c>
      <c r="K201" s="26">
        <v>0.55308845562501008</v>
      </c>
      <c r="L201" s="26">
        <f ca="1">VLOOKUP(CurrentMtgRatesDataTable8256[[#This Row],[asOfDate]]+1,Bloomberg!B:C,2,0)</f>
        <v>1713.6</v>
      </c>
      <c r="N201" s="24">
        <v>41935</v>
      </c>
      <c r="O201" s="26">
        <v>0.42711521034968225</v>
      </c>
      <c r="Q201" s="24">
        <v>41935</v>
      </c>
      <c r="R201" s="27">
        <v>0.46664485443170889</v>
      </c>
    </row>
    <row r="202" spans="2:18">
      <c r="B202" s="24">
        <v>41942</v>
      </c>
      <c r="C202" s="27">
        <v>0.57181297396619646</v>
      </c>
      <c r="D202" s="27">
        <v>0.55762171395347715</v>
      </c>
      <c r="E202" s="26">
        <f ca="1">VLOOKUP(CurrentMtgRatesDataTable825[[#This Row],[asOfDate]]+1,Bloomberg!B:C,2,0)</f>
        <v>1604.8</v>
      </c>
      <c r="F202" s="27">
        <f>VLOOKUP(CurrentMtgRatesDataTable825[[#This Row],[asOfDate]],CurrentMtgRatesDataTable8256[#All],2,0)</f>
        <v>0.55239173073087677</v>
      </c>
      <c r="G202" s="27">
        <f>VLOOKUP(CurrentMtgRatesDataTable825[[#This Row],[asOfDate]],CurrentMtgRatesDataTable82562[],2,0)</f>
        <v>0.400301956309697</v>
      </c>
      <c r="H202" s="27">
        <f>VLOOKUP(CurrentMtgRatesDataTable825[[#This Row],[asOfDate]],CurrentMtgRatesDataTable825623[#All],2,0)</f>
        <v>0.43532256207051467</v>
      </c>
      <c r="J202" s="24">
        <v>41942</v>
      </c>
      <c r="K202" s="26">
        <v>0.55239173073087677</v>
      </c>
      <c r="L202" s="26">
        <f ca="1">VLOOKUP(CurrentMtgRatesDataTable8256[[#This Row],[asOfDate]]+1,Bloomberg!B:C,2,0)</f>
        <v>1604.8</v>
      </c>
      <c r="N202" s="24">
        <v>41942</v>
      </c>
      <c r="O202" s="26">
        <v>0.400301956309697</v>
      </c>
      <c r="Q202" s="24">
        <v>41942</v>
      </c>
      <c r="R202" s="27">
        <v>0.43532256207051467</v>
      </c>
    </row>
    <row r="203" spans="2:18">
      <c r="B203" s="24">
        <v>41949</v>
      </c>
      <c r="C203" s="27">
        <v>0.54857982917990311</v>
      </c>
      <c r="D203" s="27">
        <v>0.5613445906309068</v>
      </c>
      <c r="E203" s="26">
        <f ca="1">VLOOKUP(CurrentMtgRatesDataTable825[[#This Row],[asOfDate]]+1,Bloomberg!B:C,2,0)</f>
        <v>1565.3</v>
      </c>
      <c r="F203" s="27">
        <f>VLOOKUP(CurrentMtgRatesDataTable825[[#This Row],[asOfDate]],CurrentMtgRatesDataTable8256[#All],2,0)</f>
        <v>0.48321629589156551</v>
      </c>
      <c r="G203" s="27">
        <f>VLOOKUP(CurrentMtgRatesDataTable825[[#This Row],[asOfDate]],CurrentMtgRatesDataTable82562[],2,0)</f>
        <v>0.34917536792990039</v>
      </c>
      <c r="H203" s="27">
        <f>VLOOKUP(CurrentMtgRatesDataTable825[[#This Row],[asOfDate]],CurrentMtgRatesDataTable825623[#All],2,0)</f>
        <v>0.38587687479746474</v>
      </c>
      <c r="J203" s="24">
        <v>41949</v>
      </c>
      <c r="K203" s="26">
        <v>0.48321629589156551</v>
      </c>
      <c r="L203" s="26">
        <f ca="1">VLOOKUP(CurrentMtgRatesDataTable8256[[#This Row],[asOfDate]]+1,Bloomberg!B:C,2,0)</f>
        <v>1565.3</v>
      </c>
      <c r="N203" s="24">
        <v>41949</v>
      </c>
      <c r="O203" s="26">
        <v>0.34917536792990039</v>
      </c>
      <c r="Q203" s="24">
        <v>41949</v>
      </c>
      <c r="R203" s="27">
        <v>0.38587687479746474</v>
      </c>
    </row>
    <row r="204" spans="2:18">
      <c r="B204" s="24">
        <v>41956</v>
      </c>
      <c r="C204" s="27">
        <v>0.55497671209744126</v>
      </c>
      <c r="D204" s="27">
        <v>0.5613445906309068</v>
      </c>
      <c r="E204" s="26">
        <f ca="1">VLOOKUP(CurrentMtgRatesDataTable825[[#This Row],[asOfDate]]+1,Bloomberg!B:C,2,0)</f>
        <v>1563.2</v>
      </c>
      <c r="F204" s="27">
        <f>VLOOKUP(CurrentMtgRatesDataTable825[[#This Row],[asOfDate]],CurrentMtgRatesDataTable8256[#All],2,0)</f>
        <v>0.4832857349268318</v>
      </c>
      <c r="G204" s="27">
        <f>VLOOKUP(CurrentMtgRatesDataTable825[[#This Row],[asOfDate]],CurrentMtgRatesDataTable82562[],2,0)</f>
        <v>0.34929307036197271</v>
      </c>
      <c r="H204" s="27">
        <f>VLOOKUP(CurrentMtgRatesDataTable825[[#This Row],[asOfDate]],CurrentMtgRatesDataTable825623[#All],2,0)</f>
        <v>0.38600681959673633</v>
      </c>
      <c r="J204" s="24">
        <v>41956</v>
      </c>
      <c r="K204" s="26">
        <v>0.4832857349268318</v>
      </c>
      <c r="L204" s="26">
        <f ca="1">VLOOKUP(CurrentMtgRatesDataTable8256[[#This Row],[asOfDate]]+1,Bloomberg!B:C,2,0)</f>
        <v>1563.2</v>
      </c>
      <c r="N204" s="24">
        <v>41956</v>
      </c>
      <c r="O204" s="26">
        <v>0.34929307036197271</v>
      </c>
      <c r="Q204" s="24">
        <v>41956</v>
      </c>
      <c r="R204" s="27">
        <v>0.38600681959673633</v>
      </c>
    </row>
    <row r="205" spans="2:18">
      <c r="B205" s="24">
        <v>41963</v>
      </c>
      <c r="C205" s="27">
        <v>0.56606721089043732</v>
      </c>
      <c r="D205" s="27">
        <v>0.5613445906309068</v>
      </c>
      <c r="E205" s="26">
        <f ca="1">VLOOKUP(CurrentMtgRatesDataTable825[[#This Row],[asOfDate]]+1,Bloomberg!B:C,2,0)</f>
        <v>1547.9</v>
      </c>
      <c r="F205" s="27">
        <f>VLOOKUP(CurrentMtgRatesDataTable825[[#This Row],[asOfDate]],CurrentMtgRatesDataTable8256[#All],2,0)</f>
        <v>0.5490432943232525</v>
      </c>
      <c r="G205" s="27">
        <f>VLOOKUP(CurrentMtgRatesDataTable825[[#This Row],[asOfDate]],CurrentMtgRatesDataTable82562[],2,0)</f>
        <v>0.39399253026177061</v>
      </c>
      <c r="H205" s="27">
        <f>VLOOKUP(CurrentMtgRatesDataTable825[[#This Row],[asOfDate]],CurrentMtgRatesDataTable825623[#All],2,0)</f>
        <v>0.42814045267369355</v>
      </c>
      <c r="J205" s="24">
        <v>41963</v>
      </c>
      <c r="K205" s="26">
        <v>0.5490432943232525</v>
      </c>
      <c r="L205" s="26">
        <f ca="1">VLOOKUP(CurrentMtgRatesDataTable8256[[#This Row],[asOfDate]]+1,Bloomberg!B:C,2,0)</f>
        <v>1547.9</v>
      </c>
      <c r="N205" s="24">
        <v>41963</v>
      </c>
      <c r="O205" s="26">
        <v>0.39399253026177061</v>
      </c>
      <c r="Q205" s="24">
        <v>41963</v>
      </c>
      <c r="R205" s="27">
        <v>0.42814045267369355</v>
      </c>
    </row>
    <row r="206" spans="2:18">
      <c r="B206" s="24">
        <v>41969</v>
      </c>
      <c r="C206" s="27">
        <v>0.57290983086857539</v>
      </c>
      <c r="D206" s="27">
        <v>0.5613445906309068</v>
      </c>
      <c r="E206" s="26" t="e">
        <f ca="1">VLOOKUP(CurrentMtgRatesDataTable825[[#This Row],[asOfDate]]+1,Bloomberg!B:C,2,0)</f>
        <v>#N/A</v>
      </c>
      <c r="F206" s="27">
        <f>VLOOKUP(CurrentMtgRatesDataTable825[[#This Row],[asOfDate]],CurrentMtgRatesDataTable8256[#All],2,0)</f>
        <v>0.54924529031688318</v>
      </c>
      <c r="G206" s="27">
        <f>VLOOKUP(CurrentMtgRatesDataTable825[[#This Row],[asOfDate]],CurrentMtgRatesDataTable82562[],2,0)</f>
        <v>0.39417650647062941</v>
      </c>
      <c r="H206" s="27">
        <f>VLOOKUP(CurrentMtgRatesDataTable825[[#This Row],[asOfDate]],CurrentMtgRatesDataTable825623[#All],2,0)</f>
        <v>0.42832938632971174</v>
      </c>
      <c r="J206" s="24">
        <v>41969</v>
      </c>
      <c r="K206" s="26">
        <v>0.54924529031688318</v>
      </c>
      <c r="L206" s="26" t="e">
        <f ca="1">VLOOKUP(CurrentMtgRatesDataTable8256[[#This Row],[asOfDate]]+1,Bloomberg!B:C,2,0)</f>
        <v>#N/A</v>
      </c>
      <c r="N206" s="24">
        <v>41969</v>
      </c>
      <c r="O206" s="26">
        <v>0.39417650647062941</v>
      </c>
      <c r="Q206" s="24">
        <v>41969</v>
      </c>
      <c r="R206" s="27">
        <v>0.42832938632971174</v>
      </c>
    </row>
    <row r="207" spans="2:18">
      <c r="B207" s="24">
        <v>41977</v>
      </c>
      <c r="C207" s="27">
        <v>0.59279776197128353</v>
      </c>
      <c r="D207" s="27">
        <v>0.60026298112075915</v>
      </c>
      <c r="E207" s="26">
        <f ca="1">VLOOKUP(CurrentMtgRatesDataTable825[[#This Row],[asOfDate]]+1,Bloomberg!B:C,2,0)</f>
        <v>1548.6</v>
      </c>
      <c r="F207" s="27">
        <f>VLOOKUP(CurrentMtgRatesDataTable825[[#This Row],[asOfDate]],CurrentMtgRatesDataTable8256[#All],2,0)</f>
        <v>0.54634536257975941</v>
      </c>
      <c r="G207" s="27">
        <f>VLOOKUP(CurrentMtgRatesDataTable825[[#This Row],[asOfDate]],CurrentMtgRatesDataTable82562[],2,0)</f>
        <v>0.41597067153264483</v>
      </c>
      <c r="H207" s="27">
        <f>VLOOKUP(CurrentMtgRatesDataTable825[[#This Row],[asOfDate]],CurrentMtgRatesDataTable825623[#All],2,0)</f>
        <v>0.45366657462074822</v>
      </c>
      <c r="J207" s="24">
        <v>41977</v>
      </c>
      <c r="K207" s="26">
        <v>0.54634536257975941</v>
      </c>
      <c r="L207" s="26">
        <f ca="1">VLOOKUP(CurrentMtgRatesDataTable8256[[#This Row],[asOfDate]]+1,Bloomberg!B:C,2,0)</f>
        <v>1548.6</v>
      </c>
      <c r="N207" s="24">
        <v>41977</v>
      </c>
      <c r="O207" s="26">
        <v>0.41597067153264483</v>
      </c>
      <c r="Q207" s="24">
        <v>41977</v>
      </c>
      <c r="R207" s="27">
        <v>0.45366657462074822</v>
      </c>
    </row>
    <row r="208" spans="2:18">
      <c r="B208" s="24">
        <v>41984</v>
      </c>
      <c r="C208" s="27">
        <v>0.5786710507683992</v>
      </c>
      <c r="D208" s="27">
        <v>0.55923412101628112</v>
      </c>
      <c r="E208" s="26">
        <f ca="1">VLOOKUP(CurrentMtgRatesDataTable825[[#This Row],[asOfDate]]+1,Bloomberg!B:C,2,0)</f>
        <v>1518.8</v>
      </c>
      <c r="F208" s="27">
        <f>VLOOKUP(CurrentMtgRatesDataTable825[[#This Row],[asOfDate]],CurrentMtgRatesDataTable8256[#All],2,0)</f>
        <v>0.54581015855265858</v>
      </c>
      <c r="G208" s="27">
        <f>VLOOKUP(CurrentMtgRatesDataTable825[[#This Row],[asOfDate]],CurrentMtgRatesDataTable82562[],2,0)</f>
        <v>0.41537289181588677</v>
      </c>
      <c r="H208" s="27">
        <f>VLOOKUP(CurrentMtgRatesDataTable825[[#This Row],[asOfDate]],CurrentMtgRatesDataTable825623[#All],2,0)</f>
        <v>0.45307285506276335</v>
      </c>
      <c r="J208" s="24">
        <v>41984</v>
      </c>
      <c r="K208" s="26">
        <v>0.54581015855265858</v>
      </c>
      <c r="L208" s="26">
        <f ca="1">VLOOKUP(CurrentMtgRatesDataTable8256[[#This Row],[asOfDate]]+1,Bloomberg!B:C,2,0)</f>
        <v>1518.8</v>
      </c>
      <c r="N208" s="24">
        <v>41984</v>
      </c>
      <c r="O208" s="26">
        <v>0.41537289181588677</v>
      </c>
      <c r="Q208" s="24">
        <v>41984</v>
      </c>
      <c r="R208" s="27">
        <v>0.45307285506276335</v>
      </c>
    </row>
    <row r="209" spans="2:18">
      <c r="B209" s="24">
        <v>41991</v>
      </c>
      <c r="C209" s="27">
        <v>0.6155496963810797</v>
      </c>
      <c r="D209" s="27">
        <v>0.61435347220240977</v>
      </c>
      <c r="E209" s="26">
        <f ca="1">VLOOKUP(CurrentMtgRatesDataTable825[[#This Row],[asOfDate]]+1,Bloomberg!B:C,2,0)</f>
        <v>1538.7</v>
      </c>
      <c r="F209" s="27">
        <f>VLOOKUP(CurrentMtgRatesDataTable825[[#This Row],[asOfDate]],CurrentMtgRatesDataTable8256[#All],2,0)</f>
        <v>0.62551576683628252</v>
      </c>
      <c r="G209" s="27">
        <f>VLOOKUP(CurrentMtgRatesDataTable825[[#This Row],[asOfDate]],CurrentMtgRatesDataTable82562[],2,0)</f>
        <v>0.46161085086277337</v>
      </c>
      <c r="H209" s="27">
        <f>VLOOKUP(CurrentMtgRatesDataTable825[[#This Row],[asOfDate]],CurrentMtgRatesDataTable825623[#All],2,0)</f>
        <v>0.49619277574154708</v>
      </c>
      <c r="J209" s="24">
        <v>41991</v>
      </c>
      <c r="K209" s="26">
        <v>0.62551576683628252</v>
      </c>
      <c r="L209" s="26">
        <f ca="1">VLOOKUP(CurrentMtgRatesDataTable8256[[#This Row],[asOfDate]]+1,Bloomberg!B:C,2,0)</f>
        <v>1538.7</v>
      </c>
      <c r="N209" s="24">
        <v>41991</v>
      </c>
      <c r="O209" s="26">
        <v>0.46161085086277337</v>
      </c>
      <c r="Q209" s="24">
        <v>41991</v>
      </c>
      <c r="R209" s="27">
        <v>0.49619277574154708</v>
      </c>
    </row>
    <row r="210" spans="2:18">
      <c r="B210" s="24">
        <v>41997</v>
      </c>
      <c r="C210" s="27">
        <v>0.60574636223541978</v>
      </c>
      <c r="D210" s="27">
        <v>0.61435347220240977</v>
      </c>
      <c r="E210" s="26" t="e">
        <f ca="1">VLOOKUP(CurrentMtgRatesDataTable825[[#This Row],[asOfDate]]+1,Bloomberg!B:C,2,0)</f>
        <v>#N/A</v>
      </c>
      <c r="F210" s="27">
        <f>VLOOKUP(CurrentMtgRatesDataTable825[[#This Row],[asOfDate]],CurrentMtgRatesDataTable8256[#All],2,0)</f>
        <v>0.62486343279989665</v>
      </c>
      <c r="G210" s="27">
        <f>VLOOKUP(CurrentMtgRatesDataTable825[[#This Row],[asOfDate]],CurrentMtgRatesDataTable82562[],2,0)</f>
        <v>0.46117511096236979</v>
      </c>
      <c r="H210" s="27">
        <f>VLOOKUP(CurrentMtgRatesDataTable825[[#This Row],[asOfDate]],CurrentMtgRatesDataTable825623[#All],2,0)</f>
        <v>0.49576374351331026</v>
      </c>
      <c r="J210" s="24">
        <v>41997</v>
      </c>
      <c r="K210" s="26">
        <v>0.62486343279989665</v>
      </c>
      <c r="L210" s="26" t="e">
        <f ca="1">VLOOKUP(CurrentMtgRatesDataTable8256[[#This Row],[asOfDate]]+1,Bloomberg!B:C,2,0)</f>
        <v>#N/A</v>
      </c>
      <c r="N210" s="24">
        <v>41997</v>
      </c>
      <c r="O210" s="26">
        <v>0.46117511096236979</v>
      </c>
      <c r="Q210" s="24">
        <v>41997</v>
      </c>
      <c r="R210" s="27">
        <v>0.49576374351331026</v>
      </c>
    </row>
    <row r="211" spans="2:18">
      <c r="B211" s="24">
        <v>42004</v>
      </c>
      <c r="C211" s="27">
        <v>0.59072795930158906</v>
      </c>
      <c r="D211" s="27">
        <v>0.56662670751274813</v>
      </c>
      <c r="E211" s="26" t="e">
        <f ca="1">VLOOKUP(CurrentMtgRatesDataTable825[[#This Row],[asOfDate]]+1,Bloomberg!B:C,2,0)</f>
        <v>#N/A</v>
      </c>
      <c r="F211" s="27">
        <f>VLOOKUP(CurrentMtgRatesDataTable825[[#This Row],[asOfDate]],CurrentMtgRatesDataTable8256[#All],2,0)</f>
        <v>0.54632026447860305</v>
      </c>
      <c r="G211" s="27">
        <f>VLOOKUP(CurrentMtgRatesDataTable825[[#This Row],[asOfDate]],CurrentMtgRatesDataTable82562[],2,0)</f>
        <v>0.41592950207254004</v>
      </c>
      <c r="H211" s="27">
        <f>VLOOKUP(CurrentMtgRatesDataTable825[[#This Row],[asOfDate]],CurrentMtgRatesDataTable825623[#All],2,0)</f>
        <v>0.45361652490457088</v>
      </c>
      <c r="J211" s="24">
        <v>42004</v>
      </c>
      <c r="K211" s="26">
        <v>0.54632026447860305</v>
      </c>
      <c r="L211" s="26" t="e">
        <f ca="1">VLOOKUP(CurrentMtgRatesDataTable8256[[#This Row],[asOfDate]]+1,Bloomberg!B:C,2,0)</f>
        <v>#N/A</v>
      </c>
      <c r="N211" s="24">
        <v>42004</v>
      </c>
      <c r="O211" s="26">
        <v>0.41592950207254004</v>
      </c>
      <c r="Q211" s="24">
        <v>42004</v>
      </c>
      <c r="R211" s="27">
        <v>0.45361652490457088</v>
      </c>
    </row>
    <row r="212" spans="2:18">
      <c r="B212" s="24">
        <v>42012</v>
      </c>
      <c r="C212" s="27">
        <v>0.63580141506138355</v>
      </c>
      <c r="D212" s="27">
        <v>0.65775903056726748</v>
      </c>
      <c r="E212" s="26">
        <f ca="1">VLOOKUP(CurrentMtgRatesDataTable825[[#This Row],[asOfDate]]+1,Bloomberg!B:C,2,0)</f>
        <v>2271.5</v>
      </c>
      <c r="F212" s="27">
        <f>VLOOKUP(CurrentMtgRatesDataTable825[[#This Row],[asOfDate]],CurrentMtgRatesDataTable8256[#All],2,0)</f>
        <v>0.62197683361271305</v>
      </c>
      <c r="G212" s="27">
        <f>VLOOKUP(CurrentMtgRatesDataTable825[[#This Row],[asOfDate]],CurrentMtgRatesDataTable82562[],2,0)</f>
        <v>0.48381650914486973</v>
      </c>
      <c r="H212" s="27">
        <f>VLOOKUP(CurrentMtgRatesDataTable825[[#This Row],[asOfDate]],CurrentMtgRatesDataTable825623[#All],2,0)</f>
        <v>0.52521506611823021</v>
      </c>
      <c r="J212" s="24">
        <v>42012</v>
      </c>
      <c r="K212" s="26">
        <v>0.62197683361271305</v>
      </c>
      <c r="L212" s="26">
        <f ca="1">VLOOKUP(CurrentMtgRatesDataTable8256[[#This Row],[asOfDate]]+1,Bloomberg!B:C,2,0)</f>
        <v>2271.5</v>
      </c>
      <c r="N212" s="24">
        <v>42012</v>
      </c>
      <c r="O212" s="26">
        <v>0.48381650914486973</v>
      </c>
      <c r="Q212" s="24">
        <v>42012</v>
      </c>
      <c r="R212" s="27">
        <v>0.52521506611823021</v>
      </c>
    </row>
    <row r="213" spans="2:18">
      <c r="B213" s="24">
        <v>42019</v>
      </c>
      <c r="C213" s="27">
        <v>0.66264885680249008</v>
      </c>
      <c r="D213" s="27">
        <v>0.7076051125287891</v>
      </c>
      <c r="E213" s="26">
        <f ca="1">VLOOKUP(CurrentMtgRatesDataTable825[[#This Row],[asOfDate]]+1,Bloomberg!B:C,2,0)</f>
        <v>2799.3</v>
      </c>
      <c r="F213" s="27">
        <f>VLOOKUP(CurrentMtgRatesDataTable825[[#This Row],[asOfDate]],CurrentMtgRatesDataTable8256[#All],2,0)</f>
        <v>0.67978466942559534</v>
      </c>
      <c r="G213" s="27">
        <f>VLOOKUP(CurrentMtgRatesDataTable825[[#This Row],[asOfDate]],CurrentMtgRatesDataTable82562[],2,0)</f>
        <v>0.55730670722396602</v>
      </c>
      <c r="H213" s="27">
        <f>VLOOKUP(CurrentMtgRatesDataTable825[[#This Row],[asOfDate]],CurrentMtgRatesDataTable825623[#All],2,0)</f>
        <v>0.59589441419972755</v>
      </c>
      <c r="J213" s="24">
        <v>42019</v>
      </c>
      <c r="K213" s="26">
        <v>0.67978466942559534</v>
      </c>
      <c r="L213" s="26">
        <f ca="1">VLOOKUP(CurrentMtgRatesDataTable8256[[#This Row],[asOfDate]]+1,Bloomberg!B:C,2,0)</f>
        <v>2799.3</v>
      </c>
      <c r="N213" s="24">
        <v>42019</v>
      </c>
      <c r="O213" s="26">
        <v>0.55730670722396602</v>
      </c>
      <c r="Q213" s="24">
        <v>42019</v>
      </c>
      <c r="R213" s="27">
        <v>0.59589441419972755</v>
      </c>
    </row>
    <row r="214" spans="2:18">
      <c r="B214" s="24">
        <v>42026</v>
      </c>
      <c r="C214" s="27">
        <v>0.66474126748702123</v>
      </c>
      <c r="D214" s="27">
        <v>0.7076051125287891</v>
      </c>
      <c r="E214" s="26">
        <f ca="1">VLOOKUP(CurrentMtgRatesDataTable825[[#This Row],[asOfDate]]+1,Bloomberg!B:C,2,0)</f>
        <v>2572.3000000000002</v>
      </c>
      <c r="F214" s="27">
        <f>VLOOKUP(CurrentMtgRatesDataTable825[[#This Row],[asOfDate]],CurrentMtgRatesDataTable8256[#All],2,0)</f>
        <v>0.67981359258153007</v>
      </c>
      <c r="G214" s="27">
        <f>VLOOKUP(CurrentMtgRatesDataTable825[[#This Row],[asOfDate]],CurrentMtgRatesDataTable82562[],2,0)</f>
        <v>0.55738219771125852</v>
      </c>
      <c r="H214" s="27">
        <f>VLOOKUP(CurrentMtgRatesDataTable825[[#This Row],[asOfDate]],CurrentMtgRatesDataTable825623[#All],2,0)</f>
        <v>0.59596808480105368</v>
      </c>
      <c r="J214" s="24">
        <v>42026</v>
      </c>
      <c r="K214" s="26">
        <v>0.67981359258153007</v>
      </c>
      <c r="L214" s="26">
        <f ca="1">VLOOKUP(CurrentMtgRatesDataTable8256[[#This Row],[asOfDate]]+1,Bloomberg!B:C,2,0)</f>
        <v>2572.3000000000002</v>
      </c>
      <c r="N214" s="24">
        <v>42026</v>
      </c>
      <c r="O214" s="26">
        <v>0.55738219771125852</v>
      </c>
      <c r="Q214" s="24">
        <v>42026</v>
      </c>
      <c r="R214" s="27">
        <v>0.59596808480105368</v>
      </c>
    </row>
    <row r="215" spans="2:18">
      <c r="B215" s="24">
        <v>42033</v>
      </c>
      <c r="C215" s="27">
        <v>0.66264885680249008</v>
      </c>
      <c r="D215" s="27">
        <v>0.7076051125287891</v>
      </c>
      <c r="E215" s="26">
        <f ca="1">VLOOKUP(CurrentMtgRatesDataTable825[[#This Row],[asOfDate]]+1,Bloomberg!B:C,2,0)</f>
        <v>2584.8000000000002</v>
      </c>
      <c r="F215" s="27">
        <f>VLOOKUP(CurrentMtgRatesDataTable825[[#This Row],[asOfDate]],CurrentMtgRatesDataTable8256[#All],2,0)</f>
        <v>0.67978466942559534</v>
      </c>
      <c r="G215" s="27">
        <f>VLOOKUP(CurrentMtgRatesDataTable825[[#This Row],[asOfDate]],CurrentMtgRatesDataTable82562[],2,0)</f>
        <v>0.55730670722396602</v>
      </c>
      <c r="H215" s="27">
        <f>VLOOKUP(CurrentMtgRatesDataTable825[[#This Row],[asOfDate]],CurrentMtgRatesDataTable825623[#All],2,0)</f>
        <v>0.59589441419972755</v>
      </c>
      <c r="J215" s="24">
        <v>42033</v>
      </c>
      <c r="K215" s="26">
        <v>0.67978466942559534</v>
      </c>
      <c r="L215" s="26">
        <f ca="1">VLOOKUP(CurrentMtgRatesDataTable8256[[#This Row],[asOfDate]]+1,Bloomberg!B:C,2,0)</f>
        <v>2584.8000000000002</v>
      </c>
      <c r="N215" s="24">
        <v>42033</v>
      </c>
      <c r="O215" s="26">
        <v>0.55730670722396602</v>
      </c>
      <c r="Q215" s="24">
        <v>42033</v>
      </c>
      <c r="R215" s="27">
        <v>0.59589441419972755</v>
      </c>
    </row>
    <row r="216" spans="2:18">
      <c r="B216" s="24">
        <v>42040</v>
      </c>
      <c r="C216" s="27">
        <v>0.68438167594716182</v>
      </c>
      <c r="D216" s="27">
        <v>0.70979540523133478</v>
      </c>
      <c r="E216" s="26">
        <f ca="1">VLOOKUP(CurrentMtgRatesDataTable825[[#This Row],[asOfDate]]+1,Bloomberg!B:C,2,0)</f>
        <v>2291.3000000000002</v>
      </c>
      <c r="F216" s="27">
        <f>VLOOKUP(CurrentMtgRatesDataTable825[[#This Row],[asOfDate]],CurrentMtgRatesDataTable8256[#All],2,0)</f>
        <v>0.67752750204659062</v>
      </c>
      <c r="G216" s="27">
        <f>VLOOKUP(CurrentMtgRatesDataTable825[[#This Row],[asOfDate]],CurrentMtgRatesDataTable82562[],2,0)</f>
        <v>0.55188644277087107</v>
      </c>
      <c r="H216" s="27">
        <f>VLOOKUP(CurrentMtgRatesDataTable825[[#This Row],[asOfDate]],CurrentMtgRatesDataTable825623[#All],2,0)</f>
        <v>0.59044174111366599</v>
      </c>
      <c r="J216" s="24">
        <v>42040</v>
      </c>
      <c r="K216" s="26">
        <v>0.67752750204659062</v>
      </c>
      <c r="L216" s="26">
        <f ca="1">VLOOKUP(CurrentMtgRatesDataTable8256[[#This Row],[asOfDate]]+1,Bloomberg!B:C,2,0)</f>
        <v>2291.3000000000002</v>
      </c>
      <c r="N216" s="24">
        <v>42040</v>
      </c>
      <c r="O216" s="26">
        <v>0.55188644277087107</v>
      </c>
      <c r="Q216" s="24">
        <v>42040</v>
      </c>
      <c r="R216" s="27">
        <v>0.59044174111366599</v>
      </c>
    </row>
    <row r="217" spans="2:18">
      <c r="B217" s="24">
        <v>42047</v>
      </c>
      <c r="C217" s="27">
        <v>0.64890841265420796</v>
      </c>
      <c r="D217" s="27">
        <v>0.70979540523133478</v>
      </c>
      <c r="E217" s="26">
        <f ca="1">VLOOKUP(CurrentMtgRatesDataTable825[[#This Row],[asOfDate]]+1,Bloomberg!B:C,2,0)</f>
        <v>1904.2</v>
      </c>
      <c r="F217" s="27">
        <f>VLOOKUP(CurrentMtgRatesDataTable825[[#This Row],[asOfDate]],CurrentMtgRatesDataTable8256[#All],2,0)</f>
        <v>0.676983954566723</v>
      </c>
      <c r="G217" s="27">
        <f>VLOOKUP(CurrentMtgRatesDataTable825[[#This Row],[asOfDate]],CurrentMtgRatesDataTable82562[],2,0)</f>
        <v>0.52542346882534408</v>
      </c>
      <c r="H217" s="27">
        <f>VLOOKUP(CurrentMtgRatesDataTable825[[#This Row],[asOfDate]],CurrentMtgRatesDataTable825623[#All],2,0)</f>
        <v>0.56093530260459656</v>
      </c>
      <c r="J217" s="24">
        <v>42047</v>
      </c>
      <c r="K217" s="26">
        <v>0.676983954566723</v>
      </c>
      <c r="L217" s="26">
        <f ca="1">VLOOKUP(CurrentMtgRatesDataTable8256[[#This Row],[asOfDate]]+1,Bloomberg!B:C,2,0)</f>
        <v>1904.2</v>
      </c>
      <c r="N217" s="24">
        <v>42047</v>
      </c>
      <c r="O217" s="26">
        <v>0.52542346882534408</v>
      </c>
      <c r="Q217" s="24">
        <v>42047</v>
      </c>
      <c r="R217" s="27">
        <v>0.56093530260459656</v>
      </c>
    </row>
    <row r="218" spans="2:18">
      <c r="B218" s="24">
        <v>42054</v>
      </c>
      <c r="C218" s="27">
        <v>0.62651628119673453</v>
      </c>
      <c r="D218" s="27">
        <v>0.65221835687993346</v>
      </c>
      <c r="E218" s="26">
        <f ca="1">VLOOKUP(CurrentMtgRatesDataTable825[[#This Row],[asOfDate]]+1,Bloomberg!B:C,2,0)</f>
        <v>1703.1</v>
      </c>
      <c r="F218" s="27">
        <f>VLOOKUP(CurrentMtgRatesDataTable825[[#This Row],[asOfDate]],CurrentMtgRatesDataTable8256[#All],2,0)</f>
        <v>0.61566859790099082</v>
      </c>
      <c r="G218" s="27">
        <f>VLOOKUP(CurrentMtgRatesDataTable825[[#This Row],[asOfDate]],CurrentMtgRatesDataTable82562[],2,0)</f>
        <v>0.47549418723780823</v>
      </c>
      <c r="H218" s="27">
        <f>VLOOKUP(CurrentMtgRatesDataTable825[[#This Row],[asOfDate]],CurrentMtgRatesDataTable825623[#All],2,0)</f>
        <v>0.51672469270397592</v>
      </c>
      <c r="J218" s="24">
        <v>42054</v>
      </c>
      <c r="K218" s="26">
        <v>0.61566859790099082</v>
      </c>
      <c r="L218" s="26">
        <f ca="1">VLOOKUP(CurrentMtgRatesDataTable8256[[#This Row],[asOfDate]]+1,Bloomberg!B:C,2,0)</f>
        <v>1703.1</v>
      </c>
      <c r="N218" s="24">
        <v>42054</v>
      </c>
      <c r="O218" s="26">
        <v>0.47549418723780823</v>
      </c>
      <c r="Q218" s="24">
        <v>42054</v>
      </c>
      <c r="R218" s="27">
        <v>0.51672469270397592</v>
      </c>
    </row>
    <row r="219" spans="2:18">
      <c r="B219" s="24">
        <v>42061</v>
      </c>
      <c r="C219" s="27">
        <v>0.61098575112407738</v>
      </c>
      <c r="D219" s="27">
        <v>0.6133604991940782</v>
      </c>
      <c r="E219" s="26">
        <f ca="1">VLOOKUP(CurrentMtgRatesDataTable825[[#This Row],[asOfDate]]+1,Bloomberg!B:C,2,0)</f>
        <v>1740.3</v>
      </c>
      <c r="F219" s="27">
        <f>VLOOKUP(CurrentMtgRatesDataTable825[[#This Row],[asOfDate]],CurrentMtgRatesDataTable8256[#All],2,0)</f>
        <v>0.6151593401991402</v>
      </c>
      <c r="G219" s="27">
        <f>VLOOKUP(CurrentMtgRatesDataTable825[[#This Row],[asOfDate]],CurrentMtgRatesDataTable82562[],2,0)</f>
        <v>0.44609473340861772</v>
      </c>
      <c r="H219" s="27">
        <f>VLOOKUP(CurrentMtgRatesDataTable825[[#This Row],[asOfDate]],CurrentMtgRatesDataTable825623[#All],2,0)</f>
        <v>0.48350846650958634</v>
      </c>
      <c r="J219" s="24">
        <v>42061</v>
      </c>
      <c r="K219" s="26">
        <v>0.6151593401991402</v>
      </c>
      <c r="L219" s="26">
        <f ca="1">VLOOKUP(CurrentMtgRatesDataTable8256[[#This Row],[asOfDate]]+1,Bloomberg!B:C,2,0)</f>
        <v>1740.3</v>
      </c>
      <c r="N219" s="24">
        <v>42061</v>
      </c>
      <c r="O219" s="26">
        <v>0.44609473340861772</v>
      </c>
      <c r="Q219" s="24">
        <v>42061</v>
      </c>
      <c r="R219" s="27">
        <v>0.48350846650958634</v>
      </c>
    </row>
    <row r="220" spans="2:18">
      <c r="B220" s="24">
        <v>42068</v>
      </c>
      <c r="C220" s="27">
        <v>0.61966926616186646</v>
      </c>
      <c r="D220" s="27">
        <v>0.63839277960313034</v>
      </c>
      <c r="E220" s="26">
        <f ca="1">VLOOKUP(CurrentMtgRatesDataTable825[[#This Row],[asOfDate]]+1,Bloomberg!B:C,2,0)</f>
        <v>1685.7</v>
      </c>
      <c r="F220" s="27">
        <f>VLOOKUP(CurrentMtgRatesDataTable825[[#This Row],[asOfDate]],CurrentMtgRatesDataTable8256[#All],2,0)</f>
        <v>0.60677474487423166</v>
      </c>
      <c r="G220" s="27">
        <f>VLOOKUP(CurrentMtgRatesDataTable825[[#This Row],[asOfDate]],CurrentMtgRatesDataTable82562[],2,0)</f>
        <v>0.46598988131295854</v>
      </c>
      <c r="H220" s="27">
        <f>VLOOKUP(CurrentMtgRatesDataTable825[[#This Row],[asOfDate]],CurrentMtgRatesDataTable825623[#All],2,0)</f>
        <v>0.50718342258638915</v>
      </c>
      <c r="J220" s="24">
        <v>42068</v>
      </c>
      <c r="K220" s="26">
        <v>0.60677474487423166</v>
      </c>
      <c r="L220" s="26">
        <f ca="1">VLOOKUP(CurrentMtgRatesDataTable8256[[#This Row],[asOfDate]]+1,Bloomberg!B:C,2,0)</f>
        <v>1685.7</v>
      </c>
      <c r="N220" s="24">
        <v>42068</v>
      </c>
      <c r="O220" s="26">
        <v>0.46598988131295854</v>
      </c>
      <c r="Q220" s="24">
        <v>42068</v>
      </c>
      <c r="R220" s="27">
        <v>0.50718342258638915</v>
      </c>
    </row>
    <row r="221" spans="2:18">
      <c r="B221" s="24">
        <v>42075</v>
      </c>
      <c r="C221" s="27">
        <v>0.57559445438514367</v>
      </c>
      <c r="D221" s="27">
        <v>0.58727392511180188</v>
      </c>
      <c r="E221" s="26">
        <f ca="1">VLOOKUP(CurrentMtgRatesDataTable825[[#This Row],[asOfDate]]+1,Bloomberg!B:C,2,0)</f>
        <v>1623.6</v>
      </c>
      <c r="F221" s="27">
        <f>VLOOKUP(CurrentMtgRatesDataTable825[[#This Row],[asOfDate]],CurrentMtgRatesDataTable8256[#All],2,0)</f>
        <v>0.52303888200369164</v>
      </c>
      <c r="G221" s="27">
        <f>VLOOKUP(CurrentMtgRatesDataTable825[[#This Row],[asOfDate]],CurrentMtgRatesDataTable82562[],2,0)</f>
        <v>0.3915254717887095</v>
      </c>
      <c r="H221" s="27">
        <f>VLOOKUP(CurrentMtgRatesDataTable825[[#This Row],[asOfDate]],CurrentMtgRatesDataTable825623[#All],2,0)</f>
        <v>0.43124435584172754</v>
      </c>
      <c r="J221" s="24">
        <v>42075</v>
      </c>
      <c r="K221" s="26">
        <v>0.52303888200369164</v>
      </c>
      <c r="L221" s="26">
        <f ca="1">VLOOKUP(CurrentMtgRatesDataTable8256[[#This Row],[asOfDate]]+1,Bloomberg!B:C,2,0)</f>
        <v>1623.6</v>
      </c>
      <c r="N221" s="24">
        <v>42075</v>
      </c>
      <c r="O221" s="26">
        <v>0.3915254717887095</v>
      </c>
      <c r="Q221" s="24">
        <v>42075</v>
      </c>
      <c r="R221" s="27">
        <v>0.43124435584172754</v>
      </c>
    </row>
    <row r="222" spans="2:18">
      <c r="B222" s="24">
        <v>42082</v>
      </c>
      <c r="C222" s="27">
        <v>0.60937196228640689</v>
      </c>
      <c r="D222" s="27">
        <v>0.62435778035201872</v>
      </c>
      <c r="E222" s="26">
        <f ca="1">VLOOKUP(CurrentMtgRatesDataTable825[[#This Row],[asOfDate]]+1,Bloomberg!B:C,2,0)</f>
        <v>1860.8</v>
      </c>
      <c r="F222" s="27">
        <f>VLOOKUP(CurrentMtgRatesDataTable825[[#This Row],[asOfDate]],CurrentMtgRatesDataTable8256[#All],2,0)</f>
        <v>0.60648965415006506</v>
      </c>
      <c r="G222" s="27">
        <f>VLOOKUP(CurrentMtgRatesDataTable825[[#This Row],[asOfDate]],CurrentMtgRatesDataTable82562[],2,0)</f>
        <v>0.46543670330005138</v>
      </c>
      <c r="H222" s="27">
        <f>VLOOKUP(CurrentMtgRatesDataTable825[[#This Row],[asOfDate]],CurrentMtgRatesDataTable825623[#All],2,0)</f>
        <v>0.50666988212578556</v>
      </c>
      <c r="J222" s="24">
        <v>42082</v>
      </c>
      <c r="K222" s="26">
        <v>0.60648965415006506</v>
      </c>
      <c r="L222" s="26">
        <f ca="1">VLOOKUP(CurrentMtgRatesDataTable8256[[#This Row],[asOfDate]]+1,Bloomberg!B:C,2,0)</f>
        <v>1860.8</v>
      </c>
      <c r="N222" s="24">
        <v>42082</v>
      </c>
      <c r="O222" s="26">
        <v>0.46543670330005138</v>
      </c>
      <c r="Q222" s="24">
        <v>42082</v>
      </c>
      <c r="R222" s="27">
        <v>0.50666988212578556</v>
      </c>
    </row>
    <row r="223" spans="2:18">
      <c r="B223" s="24">
        <v>42089</v>
      </c>
      <c r="C223" s="27">
        <v>0.64195316325793905</v>
      </c>
      <c r="D223" s="27">
        <v>0.69977124002475233</v>
      </c>
      <c r="E223" s="26">
        <f ca="1">VLOOKUP(CurrentMtgRatesDataTable825[[#This Row],[asOfDate]]+1,Bloomberg!B:C,2,0)</f>
        <v>1941.6</v>
      </c>
      <c r="F223" s="27">
        <f>VLOOKUP(CurrentMtgRatesDataTable825[[#This Row],[asOfDate]],CurrentMtgRatesDataTable8256[#All],2,0)</f>
        <v>0.66948681688726752</v>
      </c>
      <c r="G223" s="27">
        <f>VLOOKUP(CurrentMtgRatesDataTable825[[#This Row],[asOfDate]],CurrentMtgRatesDataTable82562[],2,0)</f>
        <v>0.51569075130954989</v>
      </c>
      <c r="H223" s="27">
        <f>VLOOKUP(CurrentMtgRatesDataTable825[[#This Row],[asOfDate]],CurrentMtgRatesDataTable825623[#All],2,0)</f>
        <v>0.55138762509375627</v>
      </c>
      <c r="J223" s="24">
        <v>42089</v>
      </c>
      <c r="K223" s="26">
        <v>0.66948681688726752</v>
      </c>
      <c r="L223" s="26">
        <f ca="1">VLOOKUP(CurrentMtgRatesDataTable8256[[#This Row],[asOfDate]]+1,Bloomberg!B:C,2,0)</f>
        <v>1941.6</v>
      </c>
      <c r="N223" s="24">
        <v>42089</v>
      </c>
      <c r="O223" s="26">
        <v>0.51569075130954989</v>
      </c>
      <c r="Q223" s="24">
        <v>42089</v>
      </c>
      <c r="R223" s="27">
        <v>0.55138762509375627</v>
      </c>
    </row>
    <row r="224" spans="2:18">
      <c r="B224" s="24">
        <v>42096</v>
      </c>
      <c r="C224" s="27">
        <v>0.62778439660000751</v>
      </c>
      <c r="D224" s="27">
        <v>0.65173618240403819</v>
      </c>
      <c r="E224" s="26">
        <f ca="1">VLOOKUP(CurrentMtgRatesDataTable825[[#This Row],[asOfDate]]+1,Bloomberg!B:C,2,0)</f>
        <v>1854.7</v>
      </c>
      <c r="F224" s="27">
        <f>VLOOKUP(CurrentMtgRatesDataTable825[[#This Row],[asOfDate]],CurrentMtgRatesDataTable8256[#All],2,0)</f>
        <v>0.65757284583633613</v>
      </c>
      <c r="G224" s="27">
        <f>VLOOKUP(CurrentMtgRatesDataTable825[[#This Row],[asOfDate]],CurrentMtgRatesDataTable82562[],2,0)</f>
        <v>0.50146616730291116</v>
      </c>
      <c r="H224" s="27">
        <f>VLOOKUP(CurrentMtgRatesDataTable825[[#This Row],[asOfDate]],CurrentMtgRatesDataTable825623[#All],2,0)</f>
        <v>0.53682243639344718</v>
      </c>
      <c r="J224" s="24">
        <v>42096</v>
      </c>
      <c r="K224" s="26">
        <v>0.65757284583633613</v>
      </c>
      <c r="L224" s="26">
        <f ca="1">VLOOKUP(CurrentMtgRatesDataTable8256[[#This Row],[asOfDate]]+1,Bloomberg!B:C,2,0)</f>
        <v>1854.7</v>
      </c>
      <c r="N224" s="24">
        <v>42096</v>
      </c>
      <c r="O224" s="26">
        <v>0.50146616730291116</v>
      </c>
      <c r="Q224" s="24">
        <v>42096</v>
      </c>
      <c r="R224" s="27">
        <v>0.53682243639344718</v>
      </c>
    </row>
    <row r="225" spans="2:18">
      <c r="B225" s="24">
        <v>42103</v>
      </c>
      <c r="C225" s="27">
        <v>0.64459292642165245</v>
      </c>
      <c r="D225" s="27">
        <v>0.68385345070646242</v>
      </c>
      <c r="E225" s="26">
        <f ca="1">VLOOKUP(CurrentMtgRatesDataTable825[[#This Row],[asOfDate]]+1,Bloomberg!B:C,2,0)</f>
        <v>1804.6</v>
      </c>
      <c r="F225" s="27">
        <f>VLOOKUP(CurrentMtgRatesDataTable825[[#This Row],[asOfDate]],CurrentMtgRatesDataTable8256[#All],2,0)</f>
        <v>0.65811343479434081</v>
      </c>
      <c r="G225" s="27">
        <f>VLOOKUP(CurrentMtgRatesDataTable825[[#This Row],[asOfDate]],CurrentMtgRatesDataTable82562[],2,0)</f>
        <v>0.52791282596991962</v>
      </c>
      <c r="H225" s="27">
        <f>VLOOKUP(CurrentMtgRatesDataTable825[[#This Row],[asOfDate]],CurrentMtgRatesDataTable825623[#All],2,0)</f>
        <v>0.56624534907007407</v>
      </c>
      <c r="J225" s="24">
        <v>42103</v>
      </c>
      <c r="K225" s="26">
        <v>0.65811343479434081</v>
      </c>
      <c r="L225" s="26">
        <f ca="1">VLOOKUP(CurrentMtgRatesDataTable8256[[#This Row],[asOfDate]]+1,Bloomberg!B:C,2,0)</f>
        <v>1804.6</v>
      </c>
      <c r="N225" s="24">
        <v>42103</v>
      </c>
      <c r="O225" s="26">
        <v>0.52791282596991962</v>
      </c>
      <c r="Q225" s="24">
        <v>42103</v>
      </c>
      <c r="R225" s="27">
        <v>0.56624534907007407</v>
      </c>
    </row>
    <row r="226" spans="2:18">
      <c r="B226" s="24">
        <v>42110</v>
      </c>
      <c r="C226" s="27">
        <v>0.63055503904182508</v>
      </c>
      <c r="D226" s="27">
        <v>0.66541071801949692</v>
      </c>
      <c r="E226" s="26">
        <f ca="1">VLOOKUP(CurrentMtgRatesDataTable825[[#This Row],[asOfDate]]+1,Bloomberg!B:C,2,0)</f>
        <v>1817</v>
      </c>
      <c r="F226" s="27">
        <f>VLOOKUP(CurrentMtgRatesDataTable825[[#This Row],[asOfDate]],CurrentMtgRatesDataTable8256[#All],2,0)</f>
        <v>0.65789565295070052</v>
      </c>
      <c r="G226" s="27">
        <f>VLOOKUP(CurrentMtgRatesDataTable825[[#This Row],[asOfDate]],CurrentMtgRatesDataTable82562[],2,0)</f>
        <v>0.50155254519477754</v>
      </c>
      <c r="H226" s="27">
        <f>VLOOKUP(CurrentMtgRatesDataTable825[[#This Row],[asOfDate]],CurrentMtgRatesDataTable825623[#All],2,0)</f>
        <v>0.5369178318662613</v>
      </c>
      <c r="J226" s="24">
        <v>42110</v>
      </c>
      <c r="K226" s="26">
        <v>0.65789565295070052</v>
      </c>
      <c r="L226" s="26">
        <f ca="1">VLOOKUP(CurrentMtgRatesDataTable8256[[#This Row],[asOfDate]]+1,Bloomberg!B:C,2,0)</f>
        <v>1817</v>
      </c>
      <c r="N226" s="24">
        <v>42110</v>
      </c>
      <c r="O226" s="26">
        <v>0.50155254519477754</v>
      </c>
      <c r="Q226" s="24">
        <v>42110</v>
      </c>
      <c r="R226" s="27">
        <v>0.5369178318662613</v>
      </c>
    </row>
    <row r="227" spans="2:18">
      <c r="B227" s="24">
        <v>42117</v>
      </c>
      <c r="C227" s="27">
        <v>0.64951370522505292</v>
      </c>
      <c r="D227" s="27">
        <v>0.68385345070646242</v>
      </c>
      <c r="E227" s="26" t="e">
        <f ca="1">VLOOKUP(CurrentMtgRatesDataTable825[[#This Row],[asOfDate]]+1,Bloomberg!B:C,2,0)</f>
        <v>#N/A</v>
      </c>
      <c r="F227" s="27">
        <f>VLOOKUP(CurrentMtgRatesDataTable825[[#This Row],[asOfDate]],CurrentMtgRatesDataTable8256[#All],2,0)</f>
        <v>0.65853359306754533</v>
      </c>
      <c r="G227" s="27">
        <f>VLOOKUP(CurrentMtgRatesDataTable825[[#This Row],[asOfDate]],CurrentMtgRatesDataTable82562[],2,0)</f>
        <v>0.52829595632810067</v>
      </c>
      <c r="H227" s="27">
        <f>VLOOKUP(CurrentMtgRatesDataTable825[[#This Row],[asOfDate]],CurrentMtgRatesDataTable825623[#All],2,0)</f>
        <v>0.56669393867683882</v>
      </c>
      <c r="J227" s="24">
        <v>42117</v>
      </c>
      <c r="K227" s="26">
        <v>0.65853359306754533</v>
      </c>
      <c r="L227" s="26" t="e">
        <f ca="1">VLOOKUP(CurrentMtgRatesDataTable8256[[#This Row],[asOfDate]]+1,Bloomberg!B:C,2,0)</f>
        <v>#N/A</v>
      </c>
      <c r="N227" s="24">
        <v>42117</v>
      </c>
      <c r="O227" s="26">
        <v>0.52829595632810067</v>
      </c>
      <c r="Q227" s="24">
        <v>42117</v>
      </c>
      <c r="R227" s="27">
        <v>0.56669393867683882</v>
      </c>
    </row>
    <row r="228" spans="2:18">
      <c r="N228" s="24">
        <v>42124</v>
      </c>
      <c r="O228" s="26">
        <v>0.50169421753464705</v>
      </c>
      <c r="Q228" s="24">
        <v>42124</v>
      </c>
      <c r="R228" s="27">
        <v>0.53705791563411454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433"/>
  <sheetViews>
    <sheetView workbookViewId="0">
      <selection activeCell="H19" sqref="H19"/>
    </sheetView>
  </sheetViews>
  <sheetFormatPr defaultRowHeight="15"/>
  <cols>
    <col min="2" max="2" width="16.28515625" customWidth="1"/>
  </cols>
  <sheetData>
    <row r="1" spans="2:3">
      <c r="B1" s="1" t="e">
        <f ca="1">_xll.BDH("MBAVCMRS Index","PX LAST","8/10/07",TODAY(),"cols=2;rows=402")</f>
        <v>#NAME?</v>
      </c>
      <c r="C1">
        <v>2104.1</v>
      </c>
    </row>
    <row r="2" spans="2:3">
      <c r="B2" s="1">
        <v>39311</v>
      </c>
      <c r="C2">
        <v>1960.1</v>
      </c>
    </row>
    <row r="3" spans="2:3">
      <c r="B3" s="1">
        <v>39318</v>
      </c>
      <c r="C3">
        <v>1871.4</v>
      </c>
    </row>
    <row r="4" spans="2:3">
      <c r="B4" s="1">
        <v>39325</v>
      </c>
      <c r="C4">
        <v>1892.3</v>
      </c>
    </row>
    <row r="5" spans="2:3">
      <c r="B5" s="1">
        <v>39332</v>
      </c>
      <c r="C5">
        <v>2009.3</v>
      </c>
    </row>
    <row r="6" spans="2:3">
      <c r="B6" s="1">
        <v>39339</v>
      </c>
      <c r="C6">
        <v>2091.1</v>
      </c>
    </row>
    <row r="7" spans="2:3">
      <c r="B7" s="1">
        <v>39346</v>
      </c>
      <c r="C7">
        <v>2172.5</v>
      </c>
    </row>
    <row r="8" spans="2:3">
      <c r="B8" s="1">
        <v>39353</v>
      </c>
      <c r="C8">
        <v>2065.6999999999998</v>
      </c>
    </row>
    <row r="9" spans="2:3">
      <c r="B9" s="1">
        <v>39360</v>
      </c>
      <c r="C9">
        <v>2153.3000000000002</v>
      </c>
    </row>
    <row r="10" spans="2:3">
      <c r="B10" s="1">
        <v>39367</v>
      </c>
      <c r="C10">
        <v>2116.6</v>
      </c>
    </row>
    <row r="11" spans="2:3">
      <c r="B11" s="1">
        <v>39374</v>
      </c>
      <c r="C11">
        <v>2221.1</v>
      </c>
    </row>
    <row r="12" spans="2:3">
      <c r="B12" s="1">
        <v>39381</v>
      </c>
      <c r="C12">
        <v>2433.1999999999998</v>
      </c>
    </row>
    <row r="13" spans="2:3">
      <c r="B13" s="1">
        <v>39388</v>
      </c>
      <c r="C13">
        <v>2336.1999999999998</v>
      </c>
    </row>
    <row r="14" spans="2:3">
      <c r="B14" s="1">
        <v>39395</v>
      </c>
      <c r="C14">
        <v>2503.6</v>
      </c>
    </row>
    <row r="15" spans="2:3">
      <c r="B15" s="1">
        <v>39402</v>
      </c>
      <c r="C15">
        <v>2371.1</v>
      </c>
    </row>
    <row r="16" spans="2:3">
      <c r="B16" s="1">
        <v>39409</v>
      </c>
      <c r="C16">
        <v>2283.3000000000002</v>
      </c>
    </row>
    <row r="17" spans="2:3">
      <c r="B17" s="1">
        <v>39416</v>
      </c>
      <c r="C17">
        <v>3006.1</v>
      </c>
    </row>
    <row r="18" spans="2:3">
      <c r="B18" s="1">
        <v>39423</v>
      </c>
      <c r="C18">
        <v>3158.8</v>
      </c>
    </row>
    <row r="19" spans="2:3">
      <c r="B19" s="1">
        <v>39430</v>
      </c>
      <c r="C19">
        <v>2253.1</v>
      </c>
    </row>
    <row r="20" spans="2:3">
      <c r="B20" s="1">
        <v>39437</v>
      </c>
      <c r="C20">
        <v>2066.3000000000002</v>
      </c>
    </row>
    <row r="21" spans="2:3">
      <c r="B21" s="1">
        <v>39444</v>
      </c>
      <c r="C21">
        <v>1732.7</v>
      </c>
    </row>
    <row r="22" spans="2:3">
      <c r="B22" s="1">
        <v>39451</v>
      </c>
      <c r="C22">
        <v>2729.3</v>
      </c>
    </row>
    <row r="23" spans="2:3">
      <c r="B23" s="1">
        <v>39458</v>
      </c>
      <c r="C23">
        <v>3923.5</v>
      </c>
    </row>
    <row r="24" spans="2:3">
      <c r="B24" s="1">
        <v>39465</v>
      </c>
      <c r="C24">
        <v>4588.3999999999996</v>
      </c>
    </row>
    <row r="25" spans="2:3">
      <c r="B25" s="1">
        <v>39472</v>
      </c>
      <c r="C25">
        <v>5682.2</v>
      </c>
    </row>
    <row r="26" spans="2:3">
      <c r="B26" s="1">
        <v>39479</v>
      </c>
      <c r="C26">
        <v>5523.9</v>
      </c>
    </row>
    <row r="27" spans="2:3">
      <c r="B27" s="1">
        <v>39486</v>
      </c>
      <c r="C27">
        <v>5362.6</v>
      </c>
    </row>
    <row r="28" spans="2:3">
      <c r="B28" s="1">
        <v>39493</v>
      </c>
      <c r="C28">
        <v>3784.1</v>
      </c>
    </row>
    <row r="29" spans="2:3">
      <c r="B29" s="1">
        <v>39500</v>
      </c>
      <c r="C29">
        <v>2571.6</v>
      </c>
    </row>
    <row r="30" spans="2:3">
      <c r="B30" s="1">
        <v>39507</v>
      </c>
      <c r="C30">
        <v>2667.8</v>
      </c>
    </row>
    <row r="31" spans="2:3">
      <c r="B31" s="1">
        <v>39514</v>
      </c>
      <c r="C31">
        <v>2519.4</v>
      </c>
    </row>
    <row r="32" spans="2:3">
      <c r="B32" s="1">
        <v>39521</v>
      </c>
      <c r="C32">
        <v>2338.8000000000002</v>
      </c>
    </row>
    <row r="33" spans="2:3">
      <c r="B33" s="1">
        <v>39528</v>
      </c>
      <c r="C33">
        <v>4468.3999999999996</v>
      </c>
    </row>
    <row r="34" spans="2:3">
      <c r="B34" s="1">
        <v>39535</v>
      </c>
      <c r="C34">
        <v>2653.2</v>
      </c>
    </row>
    <row r="35" spans="2:3">
      <c r="B35" s="1">
        <v>39542</v>
      </c>
      <c r="C35">
        <v>2709.1</v>
      </c>
    </row>
    <row r="36" spans="2:3">
      <c r="B36" s="1">
        <v>39549</v>
      </c>
      <c r="C36">
        <v>2880.7</v>
      </c>
    </row>
    <row r="37" spans="2:3">
      <c r="B37" s="1">
        <v>39556</v>
      </c>
      <c r="C37">
        <v>2215.6999999999998</v>
      </c>
    </row>
    <row r="38" spans="2:3">
      <c r="B38" s="1">
        <v>39563</v>
      </c>
      <c r="C38">
        <v>1809.5</v>
      </c>
    </row>
    <row r="39" spans="2:3">
      <c r="B39" s="1">
        <v>39570</v>
      </c>
      <c r="C39">
        <v>2195</v>
      </c>
    </row>
    <row r="40" spans="2:3">
      <c r="B40" s="1">
        <v>39577</v>
      </c>
      <c r="C40">
        <v>2388.8000000000002</v>
      </c>
    </row>
    <row r="41" spans="2:3">
      <c r="B41" s="1">
        <v>39584</v>
      </c>
      <c r="C41">
        <v>2135.8000000000002</v>
      </c>
    </row>
    <row r="42" spans="2:3">
      <c r="B42" s="1">
        <v>39591</v>
      </c>
      <c r="C42">
        <v>1930.4</v>
      </c>
    </row>
    <row r="43" spans="2:3">
      <c r="B43" s="1">
        <v>39598</v>
      </c>
      <c r="C43">
        <v>1387.8</v>
      </c>
    </row>
    <row r="44" spans="2:3">
      <c r="B44" s="1">
        <v>39605</v>
      </c>
      <c r="C44">
        <v>1477.5</v>
      </c>
    </row>
    <row r="45" spans="2:3">
      <c r="B45" s="1">
        <v>39612</v>
      </c>
      <c r="C45">
        <v>1219.7</v>
      </c>
    </row>
    <row r="46" spans="2:3">
      <c r="B46" s="1">
        <v>39619</v>
      </c>
      <c r="C46">
        <v>1044.5999999999999</v>
      </c>
    </row>
    <row r="47" spans="2:3">
      <c r="B47" s="1">
        <v>39626</v>
      </c>
      <c r="C47">
        <v>1111.3</v>
      </c>
    </row>
    <row r="48" spans="2:3">
      <c r="B48" s="1">
        <v>39633</v>
      </c>
      <c r="C48">
        <v>1166.5</v>
      </c>
    </row>
    <row r="49" spans="2:3">
      <c r="B49" s="1">
        <v>39640</v>
      </c>
      <c r="C49">
        <v>1270.5999999999999</v>
      </c>
    </row>
    <row r="50" spans="2:3">
      <c r="B50" s="1">
        <v>39647</v>
      </c>
      <c r="C50">
        <v>1213.9000000000001</v>
      </c>
    </row>
    <row r="51" spans="2:3">
      <c r="B51" s="1">
        <v>39654</v>
      </c>
      <c r="C51">
        <v>874.1</v>
      </c>
    </row>
    <row r="52" spans="2:3">
      <c r="B52" s="1">
        <v>39661</v>
      </c>
      <c r="C52">
        <v>897.7</v>
      </c>
    </row>
    <row r="53" spans="2:3">
      <c r="B53" s="1">
        <v>39668</v>
      </c>
      <c r="C53">
        <v>853.1</v>
      </c>
    </row>
    <row r="54" spans="2:3">
      <c r="B54" s="1">
        <v>39675</v>
      </c>
      <c r="C54">
        <v>815.2</v>
      </c>
    </row>
    <row r="55" spans="2:3">
      <c r="B55" s="1">
        <v>39682</v>
      </c>
      <c r="C55">
        <v>793.9</v>
      </c>
    </row>
    <row r="56" spans="2:3">
      <c r="B56" s="1">
        <v>39689</v>
      </c>
      <c r="C56">
        <v>825</v>
      </c>
    </row>
    <row r="57" spans="2:3">
      <c r="B57" s="1">
        <v>39696</v>
      </c>
      <c r="C57">
        <v>998.3</v>
      </c>
    </row>
    <row r="58" spans="2:3">
      <c r="B58" s="1">
        <v>39703</v>
      </c>
      <c r="C58">
        <v>2068.5</v>
      </c>
    </row>
    <row r="59" spans="2:3">
      <c r="B59" s="1">
        <v>39710</v>
      </c>
      <c r="C59">
        <v>1756.8</v>
      </c>
    </row>
    <row r="60" spans="2:3">
      <c r="B60" s="1">
        <v>39717</v>
      </c>
      <c r="C60">
        <v>1026</v>
      </c>
    </row>
    <row r="61" spans="2:3">
      <c r="B61" s="1">
        <v>39724</v>
      </c>
      <c r="C61">
        <v>999.6</v>
      </c>
    </row>
    <row r="62" spans="2:3">
      <c r="B62" s="1">
        <v>39731</v>
      </c>
      <c r="C62">
        <v>1190.8</v>
      </c>
    </row>
    <row r="63" spans="2:3">
      <c r="B63" s="1">
        <v>39738</v>
      </c>
      <c r="C63">
        <v>798</v>
      </c>
    </row>
    <row r="64" spans="2:3">
      <c r="B64" s="1">
        <v>39745</v>
      </c>
      <c r="C64">
        <v>1135.5999999999999</v>
      </c>
    </row>
    <row r="65" spans="2:3">
      <c r="B65" s="1">
        <v>39752</v>
      </c>
      <c r="C65">
        <v>688.8</v>
      </c>
    </row>
    <row r="66" spans="2:3">
      <c r="B66" s="1">
        <v>39759</v>
      </c>
      <c r="C66">
        <v>907.7</v>
      </c>
    </row>
    <row r="67" spans="2:3">
      <c r="B67" s="1">
        <v>39766</v>
      </c>
      <c r="C67">
        <v>927.3</v>
      </c>
    </row>
    <row r="68" spans="2:3">
      <c r="B68" s="1">
        <v>39773</v>
      </c>
      <c r="C68">
        <v>896.8</v>
      </c>
    </row>
    <row r="69" spans="2:3">
      <c r="B69" s="1">
        <v>39780</v>
      </c>
      <c r="C69">
        <v>3552.9</v>
      </c>
    </row>
    <row r="70" spans="2:3">
      <c r="B70" s="1">
        <v>39787</v>
      </c>
      <c r="C70">
        <v>3746.9</v>
      </c>
    </row>
    <row r="71" spans="2:3">
      <c r="B71" s="1">
        <v>39794</v>
      </c>
      <c r="C71">
        <v>4013.2</v>
      </c>
    </row>
    <row r="72" spans="2:3">
      <c r="B72" s="1">
        <v>39801</v>
      </c>
      <c r="C72">
        <v>7098.9</v>
      </c>
    </row>
    <row r="73" spans="2:3">
      <c r="B73" s="1">
        <v>39808</v>
      </c>
      <c r="C73">
        <v>7132.7</v>
      </c>
    </row>
    <row r="74" spans="2:3">
      <c r="B74" s="1">
        <v>39815</v>
      </c>
      <c r="C74">
        <v>6060.5</v>
      </c>
    </row>
    <row r="75" spans="2:3">
      <c r="B75" s="1">
        <v>39822</v>
      </c>
      <c r="C75">
        <v>7842.7</v>
      </c>
    </row>
    <row r="76" spans="2:3">
      <c r="B76" s="1">
        <v>39829</v>
      </c>
      <c r="C76">
        <v>6768.6</v>
      </c>
    </row>
    <row r="77" spans="2:3">
      <c r="B77" s="1">
        <v>39836</v>
      </c>
      <c r="C77">
        <v>3300.6</v>
      </c>
    </row>
    <row r="78" spans="2:3">
      <c r="B78" s="1">
        <v>39843</v>
      </c>
      <c r="C78">
        <v>3871.3</v>
      </c>
    </row>
    <row r="79" spans="2:3">
      <c r="B79" s="1">
        <v>39850</v>
      </c>
      <c r="C79">
        <v>2611.1</v>
      </c>
    </row>
    <row r="80" spans="2:3">
      <c r="B80" s="1">
        <v>39857</v>
      </c>
      <c r="C80">
        <v>4564.5</v>
      </c>
    </row>
    <row r="81" spans="2:3">
      <c r="B81" s="1">
        <v>39864</v>
      </c>
      <c r="C81">
        <v>3531.5</v>
      </c>
    </row>
    <row r="82" spans="2:3">
      <c r="B82" s="1">
        <v>39871</v>
      </c>
      <c r="C82">
        <v>2945.5</v>
      </c>
    </row>
    <row r="83" spans="2:3">
      <c r="B83" s="1">
        <v>39878</v>
      </c>
      <c r="C83">
        <v>3352.8</v>
      </c>
    </row>
    <row r="84" spans="2:3">
      <c r="B84" s="1">
        <v>39885</v>
      </c>
      <c r="C84">
        <v>4428.1000000000004</v>
      </c>
    </row>
    <row r="85" spans="2:3">
      <c r="B85" s="1">
        <v>39892</v>
      </c>
      <c r="C85">
        <v>6374.7</v>
      </c>
    </row>
    <row r="86" spans="2:3">
      <c r="B86" s="1">
        <v>39899</v>
      </c>
      <c r="C86">
        <v>6522</v>
      </c>
    </row>
    <row r="87" spans="2:3">
      <c r="B87" s="1">
        <v>39906</v>
      </c>
      <c r="C87">
        <v>6734.2</v>
      </c>
    </row>
    <row r="88" spans="2:3">
      <c r="B88" s="1">
        <v>39913</v>
      </c>
      <c r="C88">
        <v>6127.3</v>
      </c>
    </row>
    <row r="89" spans="2:3">
      <c r="B89" s="1">
        <v>39920</v>
      </c>
      <c r="C89">
        <v>6547.2</v>
      </c>
    </row>
    <row r="90" spans="2:3">
      <c r="B90" s="1">
        <v>39927</v>
      </c>
      <c r="C90">
        <v>4957.8999999999996</v>
      </c>
    </row>
    <row r="91" spans="2:3">
      <c r="B91" s="1">
        <v>39934</v>
      </c>
      <c r="C91">
        <v>5084.2</v>
      </c>
    </row>
    <row r="92" spans="2:3">
      <c r="B92" s="1">
        <v>39941</v>
      </c>
      <c r="C92">
        <v>4353.1000000000004</v>
      </c>
    </row>
    <row r="93" spans="2:3">
      <c r="B93" s="1">
        <v>39948</v>
      </c>
      <c r="C93">
        <v>4586.2</v>
      </c>
    </row>
    <row r="94" spans="2:3">
      <c r="B94" s="1">
        <v>39955</v>
      </c>
      <c r="C94">
        <v>3590.1</v>
      </c>
    </row>
    <row r="95" spans="2:3">
      <c r="B95" s="1">
        <v>39962</v>
      </c>
      <c r="C95">
        <v>2583</v>
      </c>
    </row>
    <row r="96" spans="2:3">
      <c r="B96" s="1">
        <v>39969</v>
      </c>
      <c r="C96">
        <v>2156.5</v>
      </c>
    </row>
    <row r="97" spans="2:3">
      <c r="B97" s="1">
        <v>39976</v>
      </c>
      <c r="C97">
        <v>1482.7</v>
      </c>
    </row>
    <row r="98" spans="2:3">
      <c r="B98" s="1">
        <v>39983</v>
      </c>
      <c r="C98">
        <v>1504.6</v>
      </c>
    </row>
    <row r="99" spans="2:3">
      <c r="B99" s="1">
        <v>39990</v>
      </c>
      <c r="C99">
        <v>1328.1</v>
      </c>
    </row>
    <row r="100" spans="2:3">
      <c r="B100" s="1">
        <v>39997</v>
      </c>
      <c r="C100">
        <v>1583.5</v>
      </c>
    </row>
    <row r="101" spans="2:3">
      <c r="B101" s="1">
        <v>40004</v>
      </c>
      <c r="C101">
        <v>1915.5</v>
      </c>
    </row>
    <row r="102" spans="2:3">
      <c r="B102" s="1">
        <v>40011</v>
      </c>
      <c r="C102">
        <v>1982.8</v>
      </c>
    </row>
    <row r="103" spans="2:3">
      <c r="B103" s="1">
        <v>40018</v>
      </c>
      <c r="C103">
        <v>1702.7</v>
      </c>
    </row>
    <row r="104" spans="2:3">
      <c r="B104" s="1">
        <v>40025</v>
      </c>
      <c r="C104">
        <v>1826</v>
      </c>
    </row>
    <row r="105" spans="2:3">
      <c r="B105" s="1">
        <v>40032</v>
      </c>
      <c r="C105">
        <v>1659.1</v>
      </c>
    </row>
    <row r="106" spans="2:3">
      <c r="B106" s="1">
        <v>40039</v>
      </c>
      <c r="C106">
        <v>1782.2</v>
      </c>
    </row>
    <row r="107" spans="2:3">
      <c r="B107" s="1">
        <v>40046</v>
      </c>
      <c r="C107">
        <v>1983.2</v>
      </c>
    </row>
    <row r="108" spans="2:3">
      <c r="B108" s="1">
        <v>40053</v>
      </c>
      <c r="C108">
        <v>1955.9</v>
      </c>
    </row>
    <row r="109" spans="2:3">
      <c r="B109" s="1">
        <v>40060</v>
      </c>
      <c r="C109">
        <v>2383.6999999999998</v>
      </c>
    </row>
    <row r="110" spans="2:3">
      <c r="B110" s="1">
        <v>40067</v>
      </c>
      <c r="C110">
        <v>2216.3000000000002</v>
      </c>
    </row>
    <row r="111" spans="2:3">
      <c r="B111" s="1">
        <v>40074</v>
      </c>
      <c r="C111">
        <v>2632.2</v>
      </c>
    </row>
    <row r="112" spans="2:3">
      <c r="B112" s="1">
        <v>40081</v>
      </c>
      <c r="C112">
        <v>2655.8</v>
      </c>
    </row>
    <row r="113" spans="2:3">
      <c r="B113" s="1">
        <v>40088</v>
      </c>
      <c r="C113">
        <v>3230.9</v>
      </c>
    </row>
    <row r="114" spans="2:3">
      <c r="B114" s="1">
        <v>40095</v>
      </c>
      <c r="C114">
        <v>3280.3</v>
      </c>
    </row>
    <row r="115" spans="2:3">
      <c r="B115" s="1">
        <v>40102</v>
      </c>
      <c r="C115">
        <v>2774.7</v>
      </c>
    </row>
    <row r="116" spans="2:3">
      <c r="B116" s="1">
        <v>40109</v>
      </c>
      <c r="C116">
        <v>2304</v>
      </c>
    </row>
    <row r="117" spans="2:3">
      <c r="B117" s="1">
        <v>40116</v>
      </c>
      <c r="C117">
        <v>2715.2</v>
      </c>
    </row>
    <row r="118" spans="2:3">
      <c r="B118" s="1">
        <v>40123</v>
      </c>
      <c r="C118">
        <v>2996</v>
      </c>
    </row>
    <row r="119" spans="2:3">
      <c r="B119" s="1">
        <v>40130</v>
      </c>
      <c r="C119">
        <v>3117</v>
      </c>
    </row>
    <row r="120" spans="2:3">
      <c r="B120" s="1">
        <v>40137</v>
      </c>
      <c r="C120">
        <v>2815.1</v>
      </c>
    </row>
    <row r="121" spans="2:3">
      <c r="B121" s="1">
        <v>40144</v>
      </c>
      <c r="C121">
        <v>2958.4</v>
      </c>
    </row>
    <row r="122" spans="2:3">
      <c r="B122" s="1">
        <v>40151</v>
      </c>
      <c r="C122">
        <v>3312.7</v>
      </c>
    </row>
    <row r="123" spans="2:3">
      <c r="B123" s="1">
        <v>40158</v>
      </c>
      <c r="C123">
        <v>3354</v>
      </c>
    </row>
    <row r="124" spans="2:3">
      <c r="B124" s="1">
        <v>40165</v>
      </c>
      <c r="C124">
        <v>2988.7</v>
      </c>
    </row>
    <row r="125" spans="2:3">
      <c r="B125" s="1">
        <v>40172</v>
      </c>
      <c r="C125">
        <v>2038.4</v>
      </c>
    </row>
    <row r="126" spans="2:3">
      <c r="B126" s="1">
        <v>40179</v>
      </c>
      <c r="C126">
        <v>2021.1</v>
      </c>
    </row>
    <row r="127" spans="2:3">
      <c r="B127" s="1">
        <v>40186</v>
      </c>
      <c r="C127">
        <v>2430</v>
      </c>
    </row>
    <row r="128" spans="2:3">
      <c r="B128" s="1">
        <v>40193</v>
      </c>
      <c r="C128">
        <v>2638.2</v>
      </c>
    </row>
    <row r="129" spans="2:3">
      <c r="B129" s="1">
        <v>40200</v>
      </c>
      <c r="C129">
        <v>2192.1</v>
      </c>
    </row>
    <row r="130" spans="2:3">
      <c r="B130" s="1">
        <v>40207</v>
      </c>
      <c r="C130">
        <v>2763.6</v>
      </c>
    </row>
    <row r="131" spans="2:3">
      <c r="B131" s="1">
        <v>40214</v>
      </c>
      <c r="C131">
        <v>2807.8</v>
      </c>
    </row>
    <row r="132" spans="2:3">
      <c r="B132" s="1">
        <v>40221</v>
      </c>
      <c r="C132">
        <v>2781.2</v>
      </c>
    </row>
    <row r="133" spans="2:3">
      <c r="B133" s="1">
        <v>40228</v>
      </c>
      <c r="C133">
        <v>2474.9</v>
      </c>
    </row>
    <row r="134" spans="2:3">
      <c r="B134" s="1">
        <v>40235</v>
      </c>
      <c r="C134">
        <v>2971.5</v>
      </c>
    </row>
    <row r="135" spans="2:3">
      <c r="B135" s="1">
        <v>40242</v>
      </c>
      <c r="C135">
        <v>2937.6</v>
      </c>
    </row>
    <row r="136" spans="2:3">
      <c r="B136" s="1">
        <v>40249</v>
      </c>
      <c r="C136">
        <v>2847.2</v>
      </c>
    </row>
    <row r="137" spans="2:3">
      <c r="B137" s="1">
        <v>40256</v>
      </c>
      <c r="C137">
        <v>2617.6999999999998</v>
      </c>
    </row>
    <row r="138" spans="2:3">
      <c r="B138" s="1">
        <v>40263</v>
      </c>
      <c r="C138">
        <v>2577.1999999999998</v>
      </c>
    </row>
    <row r="139" spans="2:3">
      <c r="B139" s="1">
        <v>40270</v>
      </c>
      <c r="C139">
        <v>2051.3000000000002</v>
      </c>
    </row>
    <row r="140" spans="2:3">
      <c r="B140" s="1">
        <v>40277</v>
      </c>
      <c r="C140">
        <v>1892.5</v>
      </c>
    </row>
    <row r="141" spans="2:3">
      <c r="B141" s="1">
        <v>40284</v>
      </c>
      <c r="C141">
        <v>2217</v>
      </c>
    </row>
    <row r="142" spans="2:3">
      <c r="B142" s="1">
        <v>40291</v>
      </c>
      <c r="C142">
        <v>1984.5</v>
      </c>
    </row>
    <row r="143" spans="2:3">
      <c r="B143" s="1">
        <v>40298</v>
      </c>
      <c r="C143">
        <v>1953.3</v>
      </c>
    </row>
    <row r="144" spans="2:3">
      <c r="B144" s="1">
        <v>40305</v>
      </c>
      <c r="C144">
        <v>2303.6</v>
      </c>
    </row>
    <row r="145" spans="2:3">
      <c r="B145" s="1">
        <v>40312</v>
      </c>
      <c r="C145">
        <v>2668.6</v>
      </c>
    </row>
    <row r="146" spans="2:3">
      <c r="B146" s="1">
        <v>40319</v>
      </c>
      <c r="C146">
        <v>3154.9</v>
      </c>
    </row>
    <row r="147" spans="2:3">
      <c r="B147" s="1">
        <v>40326</v>
      </c>
      <c r="C147">
        <v>3239.2</v>
      </c>
    </row>
    <row r="148" spans="2:3">
      <c r="B148" s="1">
        <v>40333</v>
      </c>
      <c r="C148">
        <v>2781.6</v>
      </c>
    </row>
    <row r="149" spans="2:3">
      <c r="B149" s="1">
        <v>40340</v>
      </c>
      <c r="C149">
        <v>3387.8</v>
      </c>
    </row>
    <row r="150" spans="2:3">
      <c r="B150" s="1">
        <v>40347</v>
      </c>
      <c r="C150">
        <v>3107.1</v>
      </c>
    </row>
    <row r="151" spans="2:3">
      <c r="B151" s="1">
        <v>40354</v>
      </c>
      <c r="C151">
        <v>3546.2</v>
      </c>
    </row>
    <row r="152" spans="2:3">
      <c r="B152" s="1">
        <v>40361</v>
      </c>
      <c r="C152">
        <v>3925.9</v>
      </c>
    </row>
    <row r="153" spans="2:3">
      <c r="B153" s="1">
        <v>40368</v>
      </c>
      <c r="C153">
        <v>3925.8</v>
      </c>
    </row>
    <row r="154" spans="2:3">
      <c r="B154" s="1">
        <v>40375</v>
      </c>
      <c r="C154">
        <v>4345.3999999999996</v>
      </c>
    </row>
    <row r="155" spans="2:3">
      <c r="B155" s="1">
        <v>40382</v>
      </c>
      <c r="C155">
        <v>4097.3</v>
      </c>
    </row>
    <row r="156" spans="2:3">
      <c r="B156" s="1">
        <v>40389</v>
      </c>
      <c r="C156">
        <v>4155.5</v>
      </c>
    </row>
    <row r="157" spans="2:3">
      <c r="B157" s="1">
        <v>40396</v>
      </c>
      <c r="C157">
        <v>4147.1000000000004</v>
      </c>
    </row>
    <row r="158" spans="2:3">
      <c r="B158" s="1">
        <v>40403</v>
      </c>
      <c r="C158">
        <v>4940.8999999999996</v>
      </c>
    </row>
    <row r="159" spans="2:3">
      <c r="B159" s="1">
        <v>40410</v>
      </c>
      <c r="C159">
        <v>5260.7</v>
      </c>
    </row>
    <row r="160" spans="2:3">
      <c r="B160" s="1">
        <v>40417</v>
      </c>
      <c r="C160">
        <v>5431.5</v>
      </c>
    </row>
    <row r="161" spans="2:3">
      <c r="B161" s="1">
        <v>40424</v>
      </c>
      <c r="C161">
        <v>5214.6000000000004</v>
      </c>
    </row>
    <row r="162" spans="2:3">
      <c r="B162" s="1">
        <v>40431</v>
      </c>
      <c r="C162">
        <v>4663.8</v>
      </c>
    </row>
    <row r="163" spans="2:3">
      <c r="B163" s="1">
        <v>40438</v>
      </c>
      <c r="C163">
        <v>4624.6000000000004</v>
      </c>
    </row>
    <row r="164" spans="2:3">
      <c r="B164" s="1">
        <v>40445</v>
      </c>
      <c r="C164">
        <v>4549.3</v>
      </c>
    </row>
    <row r="165" spans="2:3">
      <c r="B165" s="1">
        <v>40452</v>
      </c>
      <c r="C165">
        <v>4395.5</v>
      </c>
    </row>
    <row r="166" spans="2:3">
      <c r="B166" s="1">
        <v>40459</v>
      </c>
      <c r="C166">
        <v>5455.4</v>
      </c>
    </row>
    <row r="167" spans="2:3">
      <c r="B167" s="1">
        <v>40466</v>
      </c>
      <c r="C167">
        <v>4768.6000000000004</v>
      </c>
    </row>
    <row r="168" spans="2:3">
      <c r="B168" s="1">
        <v>40473</v>
      </c>
      <c r="C168">
        <v>4904.2</v>
      </c>
    </row>
    <row r="169" spans="2:3">
      <c r="B169" s="1">
        <v>40480</v>
      </c>
      <c r="C169">
        <v>4568.1000000000004</v>
      </c>
    </row>
    <row r="170" spans="2:3">
      <c r="B170" s="1">
        <v>40487</v>
      </c>
      <c r="C170">
        <v>4836.3999999999996</v>
      </c>
    </row>
    <row r="171" spans="2:3">
      <c r="B171" s="1">
        <v>40494</v>
      </c>
      <c r="C171">
        <v>4015.2</v>
      </c>
    </row>
    <row r="172" spans="2:3">
      <c r="B172" s="1">
        <v>40501</v>
      </c>
      <c r="C172">
        <v>4009.2</v>
      </c>
    </row>
    <row r="173" spans="2:3">
      <c r="B173" s="1">
        <v>40508</v>
      </c>
      <c r="C173">
        <v>3151.8</v>
      </c>
    </row>
    <row r="174" spans="2:3">
      <c r="B174" s="1">
        <v>40515</v>
      </c>
      <c r="C174">
        <v>3066.2</v>
      </c>
    </row>
    <row r="175" spans="2:3">
      <c r="B175" s="1">
        <v>40522</v>
      </c>
      <c r="C175">
        <v>3067.3</v>
      </c>
    </row>
    <row r="176" spans="2:3">
      <c r="B176" s="1">
        <v>40529</v>
      </c>
      <c r="C176">
        <v>2319.9</v>
      </c>
    </row>
    <row r="177" spans="2:3">
      <c r="B177" s="1">
        <v>40536</v>
      </c>
      <c r="C177">
        <v>2185.5</v>
      </c>
    </row>
    <row r="178" spans="2:3">
      <c r="B178" s="1">
        <v>40543</v>
      </c>
      <c r="C178">
        <v>2249.6</v>
      </c>
    </row>
    <row r="179" spans="2:3">
      <c r="B179" s="1">
        <v>40550</v>
      </c>
      <c r="C179">
        <v>2344.3000000000002</v>
      </c>
    </row>
    <row r="180" spans="2:3">
      <c r="B180" s="1">
        <v>40557</v>
      </c>
      <c r="C180">
        <v>2528.6999999999998</v>
      </c>
    </row>
    <row r="181" spans="2:3">
      <c r="B181" s="1">
        <v>40564</v>
      </c>
      <c r="C181">
        <v>2129.6999999999998</v>
      </c>
    </row>
    <row r="182" spans="2:3">
      <c r="B182" s="1">
        <v>40571</v>
      </c>
      <c r="C182">
        <v>2371.1</v>
      </c>
    </row>
    <row r="183" spans="2:3">
      <c r="B183" s="1">
        <v>40578</v>
      </c>
      <c r="C183">
        <v>2190.4</v>
      </c>
    </row>
    <row r="184" spans="2:3">
      <c r="B184" s="1">
        <v>40585</v>
      </c>
      <c r="C184">
        <v>1953.2</v>
      </c>
    </row>
    <row r="185" spans="2:3">
      <c r="B185" s="1">
        <v>40592</v>
      </c>
      <c r="C185">
        <v>2325.3000000000002</v>
      </c>
    </row>
    <row r="186" spans="2:3">
      <c r="B186" s="1">
        <v>40599</v>
      </c>
      <c r="C186">
        <v>2155.5</v>
      </c>
    </row>
    <row r="187" spans="2:3">
      <c r="B187" s="1">
        <v>40606</v>
      </c>
      <c r="C187">
        <v>2539.4</v>
      </c>
    </row>
    <row r="188" spans="2:3">
      <c r="B188" s="1">
        <v>40613</v>
      </c>
      <c r="C188">
        <v>2563.6</v>
      </c>
    </row>
    <row r="189" spans="2:3">
      <c r="B189" s="1">
        <v>40620</v>
      </c>
      <c r="C189">
        <v>2620.8000000000002</v>
      </c>
    </row>
    <row r="190" spans="2:3">
      <c r="B190" s="1">
        <v>40627</v>
      </c>
      <c r="C190">
        <v>2350.6999999999998</v>
      </c>
    </row>
    <row r="191" spans="2:3">
      <c r="B191" s="1">
        <v>40634</v>
      </c>
      <c r="C191">
        <v>2194.4</v>
      </c>
    </row>
    <row r="192" spans="2:3">
      <c r="B192" s="1">
        <v>40641</v>
      </c>
      <c r="C192">
        <v>2010.6</v>
      </c>
    </row>
    <row r="193" spans="2:3">
      <c r="B193" s="1">
        <v>40648</v>
      </c>
      <c r="C193">
        <v>2065.3000000000002</v>
      </c>
    </row>
    <row r="194" spans="2:3">
      <c r="B194" s="1">
        <v>40655</v>
      </c>
      <c r="C194">
        <v>2091.4</v>
      </c>
    </row>
    <row r="195" spans="2:3">
      <c r="B195" s="1">
        <v>40662</v>
      </c>
      <c r="C195">
        <v>2220.1</v>
      </c>
    </row>
    <row r="196" spans="2:3">
      <c r="B196" s="1">
        <v>40669</v>
      </c>
      <c r="C196">
        <v>2414.9</v>
      </c>
    </row>
    <row r="197" spans="2:3">
      <c r="B197" s="1">
        <v>40676</v>
      </c>
      <c r="C197">
        <v>2742.2</v>
      </c>
    </row>
    <row r="198" spans="2:3">
      <c r="B198" s="1">
        <v>40683</v>
      </c>
      <c r="C198">
        <v>2764.6</v>
      </c>
    </row>
    <row r="199" spans="2:3">
      <c r="B199" s="1">
        <v>40690</v>
      </c>
      <c r="C199">
        <v>2619.6999999999998</v>
      </c>
    </row>
    <row r="200" spans="2:3">
      <c r="B200" s="1">
        <v>40697</v>
      </c>
      <c r="C200">
        <v>2648</v>
      </c>
    </row>
    <row r="201" spans="2:3">
      <c r="B201" s="1">
        <v>40704</v>
      </c>
      <c r="C201">
        <v>3101.7</v>
      </c>
    </row>
    <row r="202" spans="2:3">
      <c r="B202" s="1">
        <v>40711</v>
      </c>
      <c r="C202">
        <v>2857.9</v>
      </c>
    </row>
    <row r="203" spans="2:3">
      <c r="B203" s="1">
        <v>40718</v>
      </c>
      <c r="C203">
        <v>2809.5</v>
      </c>
    </row>
    <row r="204" spans="2:3">
      <c r="B204" s="1">
        <v>40725</v>
      </c>
      <c r="C204">
        <v>2527.5</v>
      </c>
    </row>
    <row r="205" spans="2:3">
      <c r="B205" s="1">
        <v>40732</v>
      </c>
      <c r="C205">
        <v>2362.6999999999998</v>
      </c>
    </row>
    <row r="206" spans="2:3">
      <c r="B206" s="1">
        <v>40739</v>
      </c>
      <c r="C206">
        <v>2923.8</v>
      </c>
    </row>
    <row r="207" spans="2:3">
      <c r="B207" s="1">
        <v>40746</v>
      </c>
      <c r="C207">
        <v>2769.6</v>
      </c>
    </row>
    <row r="208" spans="2:3">
      <c r="B208" s="1">
        <v>40753</v>
      </c>
      <c r="C208">
        <v>2974.1</v>
      </c>
    </row>
    <row r="209" spans="2:3">
      <c r="B209" s="1">
        <v>40760</v>
      </c>
      <c r="C209">
        <v>3880.9</v>
      </c>
    </row>
    <row r="210" spans="2:3">
      <c r="B210" s="1">
        <v>40767</v>
      </c>
      <c r="C210">
        <v>4184.3999999999996</v>
      </c>
    </row>
    <row r="211" spans="2:3">
      <c r="B211" s="1">
        <v>40774</v>
      </c>
      <c r="C211">
        <v>4110.8</v>
      </c>
    </row>
    <row r="212" spans="2:3">
      <c r="B212" s="1">
        <v>40781</v>
      </c>
      <c r="C212">
        <v>3601.3</v>
      </c>
    </row>
    <row r="213" spans="2:3">
      <c r="B213" s="1">
        <v>40788</v>
      </c>
      <c r="C213">
        <v>3372</v>
      </c>
    </row>
    <row r="214" spans="2:3">
      <c r="B214" s="1">
        <v>40795</v>
      </c>
      <c r="C214">
        <v>3571.7</v>
      </c>
    </row>
    <row r="215" spans="2:3">
      <c r="B215" s="1">
        <v>40802</v>
      </c>
      <c r="C215">
        <v>4033.8</v>
      </c>
    </row>
    <row r="216" spans="2:3">
      <c r="B216" s="1">
        <v>40809</v>
      </c>
      <c r="C216">
        <v>4512.1000000000004</v>
      </c>
    </row>
    <row r="217" spans="2:3">
      <c r="B217" s="1">
        <v>40816</v>
      </c>
      <c r="C217">
        <v>4241.8</v>
      </c>
    </row>
    <row r="218" spans="2:3">
      <c r="B218" s="1">
        <v>40823</v>
      </c>
      <c r="C218">
        <v>4251.1000000000004</v>
      </c>
    </row>
    <row r="219" spans="2:3">
      <c r="B219" s="1">
        <v>40830</v>
      </c>
      <c r="C219">
        <v>3553.2</v>
      </c>
    </row>
    <row r="220" spans="2:3">
      <c r="B220" s="1">
        <v>40837</v>
      </c>
      <c r="C220">
        <v>3719.3</v>
      </c>
    </row>
    <row r="221" spans="2:3">
      <c r="B221" s="1">
        <v>40844</v>
      </c>
      <c r="C221">
        <v>3695</v>
      </c>
    </row>
    <row r="222" spans="2:3">
      <c r="B222" s="1">
        <v>40851</v>
      </c>
      <c r="C222">
        <v>4137.6000000000004</v>
      </c>
    </row>
    <row r="223" spans="2:3">
      <c r="B223" s="1">
        <v>40858</v>
      </c>
      <c r="C223">
        <v>3664.5</v>
      </c>
    </row>
    <row r="224" spans="2:3">
      <c r="B224" s="1">
        <v>40865</v>
      </c>
      <c r="C224">
        <v>3466.8</v>
      </c>
    </row>
    <row r="225" spans="2:3">
      <c r="B225" s="1">
        <v>40872</v>
      </c>
      <c r="C225">
        <v>2941.3</v>
      </c>
    </row>
    <row r="226" spans="2:3">
      <c r="B226" s="1">
        <v>40879</v>
      </c>
      <c r="C226">
        <v>3394.7</v>
      </c>
    </row>
    <row r="227" spans="2:3">
      <c r="B227" s="1">
        <v>40886</v>
      </c>
      <c r="C227">
        <v>3708.6</v>
      </c>
    </row>
    <row r="228" spans="2:3">
      <c r="B228" s="1">
        <v>40893</v>
      </c>
      <c r="C228">
        <v>3676.1</v>
      </c>
    </row>
    <row r="229" spans="2:3">
      <c r="B229" s="1">
        <v>40900</v>
      </c>
      <c r="C229">
        <v>3684.5</v>
      </c>
    </row>
    <row r="230" spans="2:3">
      <c r="B230" s="1">
        <v>40907</v>
      </c>
      <c r="C230">
        <v>3608.1</v>
      </c>
    </row>
    <row r="231" spans="2:3">
      <c r="B231" s="1">
        <v>40914</v>
      </c>
      <c r="C231">
        <v>3668.3</v>
      </c>
    </row>
    <row r="232" spans="2:3">
      <c r="B232" s="1">
        <v>40921</v>
      </c>
      <c r="C232">
        <v>4626.5</v>
      </c>
    </row>
    <row r="233" spans="2:3">
      <c r="B233" s="1">
        <v>40928</v>
      </c>
      <c r="C233">
        <v>4326.3999999999996</v>
      </c>
    </row>
    <row r="234" spans="2:3">
      <c r="B234" s="1">
        <v>40935</v>
      </c>
      <c r="C234">
        <v>4184.3</v>
      </c>
    </row>
    <row r="235" spans="2:3">
      <c r="B235" s="1">
        <v>40942</v>
      </c>
      <c r="C235">
        <v>4617.1000000000004</v>
      </c>
    </row>
    <row r="236" spans="2:3">
      <c r="B236" s="1">
        <v>40949</v>
      </c>
      <c r="C236">
        <v>4716.1000000000004</v>
      </c>
    </row>
    <row r="237" spans="2:3">
      <c r="B237" s="1">
        <v>40956</v>
      </c>
      <c r="C237">
        <v>4466.8999999999996</v>
      </c>
    </row>
    <row r="238" spans="2:3">
      <c r="B238" s="1">
        <v>40963</v>
      </c>
      <c r="C238">
        <v>4379.1000000000004</v>
      </c>
    </row>
    <row r="239" spans="2:3">
      <c r="B239" s="1">
        <v>40970</v>
      </c>
      <c r="C239">
        <v>4277.6000000000004</v>
      </c>
    </row>
    <row r="240" spans="2:3">
      <c r="B240" s="1">
        <v>40977</v>
      </c>
      <c r="C240">
        <v>4063.4</v>
      </c>
    </row>
    <row r="241" spans="2:3">
      <c r="B241" s="1">
        <v>40984</v>
      </c>
      <c r="C241">
        <v>3715.2</v>
      </c>
    </row>
    <row r="242" spans="2:3">
      <c r="B242" s="1">
        <v>40991</v>
      </c>
      <c r="C242">
        <v>3588.4</v>
      </c>
    </row>
    <row r="243" spans="2:3">
      <c r="B243" s="1">
        <v>40998</v>
      </c>
      <c r="C243">
        <v>3699.5</v>
      </c>
    </row>
    <row r="244" spans="2:3">
      <c r="B244" s="1">
        <v>41005</v>
      </c>
      <c r="C244">
        <v>3549.3</v>
      </c>
    </row>
    <row r="245" spans="2:3">
      <c r="B245" s="1">
        <v>41012</v>
      </c>
      <c r="C245">
        <v>4144.3</v>
      </c>
    </row>
    <row r="246" spans="2:3">
      <c r="B246" s="1">
        <v>41019</v>
      </c>
      <c r="C246">
        <v>3892.2</v>
      </c>
    </row>
    <row r="247" spans="2:3">
      <c r="B247" s="1">
        <v>41026</v>
      </c>
      <c r="C247">
        <v>3856</v>
      </c>
    </row>
    <row r="248" spans="2:3">
      <c r="B248" s="1">
        <v>41033</v>
      </c>
      <c r="C248">
        <v>3924.4</v>
      </c>
    </row>
    <row r="249" spans="2:3">
      <c r="B249" s="1">
        <v>41040</v>
      </c>
      <c r="C249">
        <v>4482</v>
      </c>
    </row>
    <row r="250" spans="2:3">
      <c r="B250" s="1">
        <v>41047</v>
      </c>
      <c r="C250">
        <v>4732</v>
      </c>
    </row>
    <row r="251" spans="2:3">
      <c r="B251" s="1">
        <v>41054</v>
      </c>
      <c r="C251">
        <v>4675.8999999999996</v>
      </c>
    </row>
    <row r="252" spans="2:3">
      <c r="B252" s="1">
        <v>41061</v>
      </c>
      <c r="C252">
        <v>4736</v>
      </c>
    </row>
    <row r="253" spans="2:3">
      <c r="B253" s="1">
        <v>41068</v>
      </c>
      <c r="C253">
        <v>5590</v>
      </c>
    </row>
    <row r="254" spans="2:3">
      <c r="B254" s="1">
        <v>41075</v>
      </c>
      <c r="C254">
        <v>4719.6000000000004</v>
      </c>
    </row>
    <row r="255" spans="2:3">
      <c r="B255" s="1">
        <v>41082</v>
      </c>
      <c r="C255">
        <v>4585.8</v>
      </c>
    </row>
    <row r="256" spans="2:3">
      <c r="B256" s="1">
        <v>41089</v>
      </c>
      <c r="C256">
        <v>4372.2</v>
      </c>
    </row>
    <row r="257" spans="2:3">
      <c r="B257" s="1">
        <v>41096</v>
      </c>
      <c r="C257">
        <v>4267.8999999999996</v>
      </c>
    </row>
    <row r="258" spans="2:3">
      <c r="B258" s="1">
        <v>41103</v>
      </c>
      <c r="C258">
        <v>5246.8</v>
      </c>
    </row>
    <row r="259" spans="2:3">
      <c r="B259" s="1">
        <v>41110</v>
      </c>
      <c r="C259">
        <v>5383.1</v>
      </c>
    </row>
    <row r="260" spans="2:3">
      <c r="B260" s="1">
        <v>41117</v>
      </c>
      <c r="C260">
        <v>5492.1</v>
      </c>
    </row>
    <row r="261" spans="2:3">
      <c r="B261" s="1">
        <v>41124</v>
      </c>
      <c r="C261">
        <v>5444.3</v>
      </c>
    </row>
    <row r="262" spans="2:3">
      <c r="B262" s="1">
        <v>41131</v>
      </c>
      <c r="C262">
        <v>5172.2</v>
      </c>
    </row>
    <row r="263" spans="2:3">
      <c r="B263" s="1">
        <v>41138</v>
      </c>
      <c r="C263">
        <v>4671.1000000000004</v>
      </c>
    </row>
    <row r="264" spans="2:3">
      <c r="B264" s="1">
        <v>41145</v>
      </c>
      <c r="C264">
        <v>4414.6000000000004</v>
      </c>
    </row>
    <row r="265" spans="2:3">
      <c r="B265" s="1">
        <v>41152</v>
      </c>
      <c r="C265">
        <v>4274.8</v>
      </c>
    </row>
    <row r="266" spans="2:3">
      <c r="B266" s="1">
        <v>41159</v>
      </c>
      <c r="C266">
        <v>4779.1000000000004</v>
      </c>
    </row>
    <row r="267" spans="2:3">
      <c r="B267" s="1">
        <v>41166</v>
      </c>
      <c r="C267">
        <v>4823.3</v>
      </c>
    </row>
    <row r="268" spans="2:3">
      <c r="B268" s="1">
        <v>41173</v>
      </c>
      <c r="C268">
        <v>4979</v>
      </c>
    </row>
    <row r="269" spans="2:3">
      <c r="B269" s="1">
        <v>41180</v>
      </c>
      <c r="C269">
        <v>5965.5</v>
      </c>
    </row>
    <row r="270" spans="2:3">
      <c r="B270" s="1">
        <v>41187</v>
      </c>
      <c r="C270">
        <v>5892.5</v>
      </c>
    </row>
    <row r="271" spans="2:3">
      <c r="B271" s="1">
        <v>41194</v>
      </c>
      <c r="C271">
        <v>5572.2</v>
      </c>
    </row>
    <row r="272" spans="2:3">
      <c r="B272" s="1">
        <v>41201</v>
      </c>
      <c r="C272">
        <v>4847.2</v>
      </c>
    </row>
    <row r="273" spans="2:3">
      <c r="B273" s="1">
        <v>41208</v>
      </c>
      <c r="C273">
        <v>4550.7</v>
      </c>
    </row>
    <row r="274" spans="2:3">
      <c r="B274" s="1">
        <v>41215</v>
      </c>
      <c r="C274">
        <v>4297.7</v>
      </c>
    </row>
    <row r="275" spans="2:3">
      <c r="B275" s="1">
        <v>41222</v>
      </c>
      <c r="C275">
        <v>4856.1000000000004</v>
      </c>
    </row>
    <row r="276" spans="2:3">
      <c r="B276" s="1">
        <v>41229</v>
      </c>
      <c r="C276">
        <v>4702.3999999999996</v>
      </c>
    </row>
    <row r="277" spans="2:3">
      <c r="B277" s="1">
        <v>41236</v>
      </c>
      <c r="C277">
        <v>4666.8</v>
      </c>
    </row>
    <row r="278" spans="2:3">
      <c r="B278" s="1">
        <v>41243</v>
      </c>
      <c r="C278">
        <v>4943</v>
      </c>
    </row>
    <row r="279" spans="2:3">
      <c r="B279" s="1">
        <v>41250</v>
      </c>
      <c r="C279">
        <v>5368.1</v>
      </c>
    </row>
    <row r="280" spans="2:3">
      <c r="B280" s="1">
        <v>41257</v>
      </c>
      <c r="C280">
        <v>4564.3999999999996</v>
      </c>
    </row>
    <row r="281" spans="2:3">
      <c r="B281" s="1">
        <v>41264</v>
      </c>
      <c r="C281">
        <v>3983.2</v>
      </c>
    </row>
    <row r="282" spans="2:3">
      <c r="B282" s="1">
        <v>41271</v>
      </c>
      <c r="C282">
        <v>3488.9</v>
      </c>
    </row>
    <row r="283" spans="2:3">
      <c r="B283" s="1">
        <v>41278</v>
      </c>
      <c r="C283">
        <v>3896.4</v>
      </c>
    </row>
    <row r="284" spans="2:3">
      <c r="B284" s="1">
        <v>41285</v>
      </c>
      <c r="C284">
        <v>4554.3999999999996</v>
      </c>
    </row>
    <row r="285" spans="2:3">
      <c r="B285" s="1">
        <v>41292</v>
      </c>
      <c r="C285">
        <v>4937.3999999999996</v>
      </c>
    </row>
    <row r="286" spans="2:3">
      <c r="B286" s="1">
        <v>41299</v>
      </c>
      <c r="C286">
        <v>4433.6000000000004</v>
      </c>
    </row>
    <row r="287" spans="2:3">
      <c r="B287" s="1">
        <v>41306</v>
      </c>
      <c r="C287">
        <v>4579</v>
      </c>
    </row>
    <row r="288" spans="2:3">
      <c r="B288" s="1">
        <v>41313</v>
      </c>
      <c r="C288">
        <v>4284.3</v>
      </c>
    </row>
    <row r="289" spans="2:3">
      <c r="B289" s="1">
        <v>41320</v>
      </c>
      <c r="C289">
        <v>4261.8</v>
      </c>
    </row>
    <row r="290" spans="2:3">
      <c r="B290" s="1">
        <v>41327</v>
      </c>
      <c r="C290">
        <v>4136.3</v>
      </c>
    </row>
    <row r="291" spans="2:3">
      <c r="B291" s="1">
        <v>41334</v>
      </c>
      <c r="C291">
        <v>4724.8999999999996</v>
      </c>
    </row>
    <row r="292" spans="2:3">
      <c r="B292" s="1">
        <v>41341</v>
      </c>
      <c r="C292">
        <v>4485.2</v>
      </c>
    </row>
    <row r="293" spans="2:3">
      <c r="B293" s="1">
        <v>41348</v>
      </c>
      <c r="C293">
        <v>4111.3</v>
      </c>
    </row>
    <row r="294" spans="2:3">
      <c r="B294" s="1">
        <v>41355</v>
      </c>
      <c r="C294">
        <v>4412.8999999999996</v>
      </c>
    </row>
    <row r="295" spans="2:3">
      <c r="B295" s="1">
        <v>41362</v>
      </c>
      <c r="C295">
        <v>4119.2</v>
      </c>
    </row>
    <row r="296" spans="2:3">
      <c r="B296" s="1">
        <v>41369</v>
      </c>
      <c r="C296">
        <v>4528.8999999999996</v>
      </c>
    </row>
    <row r="297" spans="2:3">
      <c r="B297" s="1">
        <v>41376</v>
      </c>
      <c r="C297">
        <v>4726.8999999999996</v>
      </c>
    </row>
    <row r="298" spans="2:3">
      <c r="B298" s="1">
        <v>41383</v>
      </c>
      <c r="C298">
        <v>4672.1000000000004</v>
      </c>
    </row>
    <row r="299" spans="2:3">
      <c r="B299" s="1">
        <v>41390</v>
      </c>
      <c r="C299">
        <v>4854.1000000000004</v>
      </c>
    </row>
    <row r="300" spans="2:3">
      <c r="B300" s="1">
        <v>41397</v>
      </c>
      <c r="C300">
        <v>5279.9</v>
      </c>
    </row>
    <row r="301" spans="2:3">
      <c r="B301" s="1">
        <v>41404</v>
      </c>
      <c r="C301">
        <v>4797.2</v>
      </c>
    </row>
    <row r="302" spans="2:3">
      <c r="B302" s="1">
        <v>41411</v>
      </c>
      <c r="C302">
        <v>4241.5</v>
      </c>
    </row>
    <row r="303" spans="2:3">
      <c r="B303" s="1">
        <v>41418</v>
      </c>
      <c r="C303">
        <v>3709.4</v>
      </c>
    </row>
    <row r="304" spans="2:3">
      <c r="B304" s="1">
        <v>41425</v>
      </c>
      <c r="C304">
        <v>3163.6</v>
      </c>
    </row>
    <row r="305" spans="2:3">
      <c r="B305" s="1">
        <v>41432</v>
      </c>
      <c r="C305">
        <v>3339.8</v>
      </c>
    </row>
    <row r="306" spans="2:3">
      <c r="B306" s="1">
        <v>41439</v>
      </c>
      <c r="C306">
        <v>3214.4</v>
      </c>
    </row>
    <row r="307" spans="2:3">
      <c r="B307" s="1">
        <v>41446</v>
      </c>
      <c r="C307">
        <v>3040.1</v>
      </c>
    </row>
    <row r="308" spans="2:3">
      <c r="B308" s="1">
        <v>41453</v>
      </c>
      <c r="C308">
        <v>2573.4</v>
      </c>
    </row>
    <row r="309" spans="2:3">
      <c r="B309" s="1">
        <v>41460</v>
      </c>
      <c r="C309">
        <v>2417.8000000000002</v>
      </c>
    </row>
    <row r="310" spans="2:3">
      <c r="B310" s="1">
        <v>41467</v>
      </c>
      <c r="C310">
        <v>2242.1999999999998</v>
      </c>
    </row>
    <row r="311" spans="2:3">
      <c r="B311" s="1">
        <v>41474</v>
      </c>
      <c r="C311">
        <v>2288</v>
      </c>
    </row>
    <row r="312" spans="2:3">
      <c r="B312" s="1">
        <v>41481</v>
      </c>
      <c r="C312">
        <v>2218.3000000000002</v>
      </c>
    </row>
    <row r="313" spans="2:3">
      <c r="B313" s="1">
        <v>41488</v>
      </c>
      <c r="C313">
        <v>2228.9</v>
      </c>
    </row>
    <row r="314" spans="2:3">
      <c r="B314" s="1">
        <v>41495</v>
      </c>
      <c r="C314">
        <v>2110.6</v>
      </c>
    </row>
    <row r="315" spans="2:3">
      <c r="B315" s="1">
        <v>41502</v>
      </c>
      <c r="C315">
        <v>1935.1</v>
      </c>
    </row>
    <row r="316" spans="2:3">
      <c r="B316" s="1">
        <v>41509</v>
      </c>
      <c r="C316">
        <v>1842.6</v>
      </c>
    </row>
    <row r="317" spans="2:3">
      <c r="B317" s="1">
        <v>41516</v>
      </c>
      <c r="C317">
        <v>1909</v>
      </c>
    </row>
    <row r="318" spans="2:3">
      <c r="B318" s="1">
        <v>41523</v>
      </c>
      <c r="C318">
        <v>1512.9</v>
      </c>
    </row>
    <row r="319" spans="2:3">
      <c r="B319" s="1">
        <v>41530</v>
      </c>
      <c r="C319">
        <v>1814</v>
      </c>
    </row>
    <row r="320" spans="2:3">
      <c r="B320" s="1">
        <v>41537</v>
      </c>
      <c r="C320">
        <v>1922.9</v>
      </c>
    </row>
    <row r="321" spans="2:3">
      <c r="B321" s="1">
        <v>41544</v>
      </c>
      <c r="C321">
        <v>1956.6</v>
      </c>
    </row>
    <row r="322" spans="2:3">
      <c r="B322" s="1">
        <v>41551</v>
      </c>
      <c r="C322">
        <v>2025.3</v>
      </c>
    </row>
    <row r="323" spans="2:3">
      <c r="B323" s="1">
        <v>41558</v>
      </c>
      <c r="C323">
        <v>2102.6999999999998</v>
      </c>
    </row>
    <row r="324" spans="2:3">
      <c r="B324" s="1">
        <v>41565</v>
      </c>
      <c r="C324">
        <v>2033.7</v>
      </c>
    </row>
    <row r="325" spans="2:3">
      <c r="B325" s="1">
        <v>41572</v>
      </c>
      <c r="C325">
        <v>2211.8000000000002</v>
      </c>
    </row>
    <row r="326" spans="2:3">
      <c r="B326" s="1">
        <v>41579</v>
      </c>
      <c r="C326">
        <v>2105.6</v>
      </c>
    </row>
    <row r="327" spans="2:3">
      <c r="B327" s="1">
        <v>41586</v>
      </c>
      <c r="C327">
        <v>2056.9</v>
      </c>
    </row>
    <row r="328" spans="2:3">
      <c r="B328" s="1">
        <v>41593</v>
      </c>
      <c r="C328">
        <v>1903.5</v>
      </c>
    </row>
    <row r="329" spans="2:3">
      <c r="B329" s="1">
        <v>41600</v>
      </c>
      <c r="C329">
        <v>1917.2</v>
      </c>
    </row>
    <row r="330" spans="2:3">
      <c r="B330" s="1">
        <v>41607</v>
      </c>
      <c r="C330">
        <v>1561.6</v>
      </c>
    </row>
    <row r="331" spans="2:3">
      <c r="B331" s="1">
        <v>41614</v>
      </c>
      <c r="C331">
        <v>1599.4</v>
      </c>
    </row>
    <row r="332" spans="2:3">
      <c r="B332" s="1">
        <v>41621</v>
      </c>
      <c r="C332">
        <v>1529.8</v>
      </c>
    </row>
    <row r="333" spans="2:3">
      <c r="B333" s="1">
        <v>41628</v>
      </c>
      <c r="C333">
        <v>1426.7</v>
      </c>
    </row>
    <row r="334" spans="2:3">
      <c r="B334" s="1">
        <v>41635</v>
      </c>
      <c r="C334">
        <v>1277.8</v>
      </c>
    </row>
    <row r="335" spans="2:3">
      <c r="B335" s="1">
        <v>41642</v>
      </c>
      <c r="C335">
        <v>1352.7</v>
      </c>
    </row>
    <row r="336" spans="2:3">
      <c r="B336" s="1">
        <v>41649</v>
      </c>
      <c r="C336">
        <v>1507</v>
      </c>
    </row>
    <row r="337" spans="2:3">
      <c r="B337" s="1">
        <v>41656</v>
      </c>
      <c r="C337">
        <v>1675.8</v>
      </c>
    </row>
    <row r="338" spans="2:3">
      <c r="B338" s="1">
        <v>41663</v>
      </c>
      <c r="C338">
        <v>1601.2</v>
      </c>
    </row>
    <row r="339" spans="2:3">
      <c r="B339" s="1">
        <v>41670</v>
      </c>
      <c r="C339">
        <v>1667.5</v>
      </c>
    </row>
    <row r="340" spans="2:3">
      <c r="B340" s="1">
        <v>41677</v>
      </c>
      <c r="C340">
        <v>1674.2</v>
      </c>
    </row>
    <row r="341" spans="2:3">
      <c r="B341" s="1">
        <v>41684</v>
      </c>
      <c r="C341">
        <v>1650.6</v>
      </c>
    </row>
    <row r="342" spans="2:3">
      <c r="B342" s="1">
        <v>41691</v>
      </c>
      <c r="C342">
        <v>1442.3</v>
      </c>
    </row>
    <row r="343" spans="2:3">
      <c r="B343" s="1">
        <v>41698</v>
      </c>
      <c r="C343">
        <v>1600.6</v>
      </c>
    </row>
    <row r="344" spans="2:3">
      <c r="B344" s="1">
        <v>41705</v>
      </c>
      <c r="C344">
        <v>1528</v>
      </c>
    </row>
    <row r="345" spans="2:3">
      <c r="B345" s="1">
        <v>41712</v>
      </c>
      <c r="C345">
        <v>1552.1</v>
      </c>
    </row>
    <row r="346" spans="2:3">
      <c r="B346" s="1">
        <v>41719</v>
      </c>
      <c r="C346">
        <v>1426.3</v>
      </c>
    </row>
    <row r="347" spans="2:3">
      <c r="B347" s="1">
        <v>41726</v>
      </c>
      <c r="C347">
        <v>1383.5</v>
      </c>
    </row>
    <row r="348" spans="2:3">
      <c r="B348" s="1">
        <v>41733</v>
      </c>
      <c r="C348">
        <v>1324.7</v>
      </c>
    </row>
    <row r="349" spans="2:3">
      <c r="B349" s="1">
        <v>41740</v>
      </c>
      <c r="C349">
        <v>1429.9</v>
      </c>
    </row>
    <row r="350" spans="2:3">
      <c r="B350" s="1">
        <v>41747</v>
      </c>
      <c r="C350">
        <v>1370.9</v>
      </c>
    </row>
    <row r="351" spans="2:3">
      <c r="B351" s="1">
        <v>41754</v>
      </c>
      <c r="C351">
        <v>1298.0999999999999</v>
      </c>
    </row>
    <row r="352" spans="2:3">
      <c r="B352" s="1">
        <v>41761</v>
      </c>
      <c r="C352">
        <v>1323.9</v>
      </c>
    </row>
    <row r="353" spans="2:3">
      <c r="B353" s="1">
        <v>41768</v>
      </c>
      <c r="C353">
        <v>1400.9</v>
      </c>
    </row>
    <row r="354" spans="2:3">
      <c r="B354" s="1">
        <v>41775</v>
      </c>
      <c r="C354">
        <v>1460.6</v>
      </c>
    </row>
    <row r="355" spans="2:3">
      <c r="B355" s="1">
        <v>41782</v>
      </c>
      <c r="C355">
        <v>1453.4</v>
      </c>
    </row>
    <row r="356" spans="2:3">
      <c r="B356" s="1">
        <v>41789</v>
      </c>
      <c r="C356">
        <v>1382.6</v>
      </c>
    </row>
    <row r="357" spans="2:3">
      <c r="B357" s="1">
        <v>41796</v>
      </c>
      <c r="C357">
        <v>1516.9</v>
      </c>
    </row>
    <row r="358" spans="2:3">
      <c r="B358" s="1">
        <v>41803</v>
      </c>
      <c r="C358">
        <v>1321.3</v>
      </c>
    </row>
    <row r="359" spans="2:3">
      <c r="B359" s="1">
        <v>41810</v>
      </c>
      <c r="C359">
        <v>1333.5</v>
      </c>
    </row>
    <row r="360" spans="2:3">
      <c r="B360" s="1">
        <v>41817</v>
      </c>
      <c r="C360">
        <v>1341.8</v>
      </c>
    </row>
    <row r="361" spans="2:3">
      <c r="B361" s="1">
        <v>41824</v>
      </c>
      <c r="C361">
        <v>1346.8</v>
      </c>
    </row>
    <row r="362" spans="2:3">
      <c r="B362" s="1">
        <v>41831</v>
      </c>
      <c r="C362">
        <v>1329.7</v>
      </c>
    </row>
    <row r="363" spans="2:3">
      <c r="B363" s="1">
        <v>41838</v>
      </c>
      <c r="C363">
        <v>1400.7</v>
      </c>
    </row>
    <row r="364" spans="2:3">
      <c r="B364" s="1">
        <v>41845</v>
      </c>
      <c r="C364">
        <v>1327.5</v>
      </c>
    </row>
    <row r="365" spans="2:3">
      <c r="B365" s="1">
        <v>41852</v>
      </c>
      <c r="C365">
        <v>1373.9</v>
      </c>
    </row>
    <row r="366" spans="2:3">
      <c r="B366" s="1">
        <v>41859</v>
      </c>
      <c r="C366">
        <v>1342.6</v>
      </c>
    </row>
    <row r="367" spans="2:3">
      <c r="B367" s="1">
        <v>41866</v>
      </c>
      <c r="C367">
        <v>1404.9</v>
      </c>
    </row>
    <row r="368" spans="2:3">
      <c r="B368" s="1">
        <v>41873</v>
      </c>
      <c r="C368">
        <v>1439.4</v>
      </c>
    </row>
    <row r="369" spans="2:3">
      <c r="B369" s="1">
        <v>41880</v>
      </c>
      <c r="C369">
        <v>1436</v>
      </c>
    </row>
    <row r="370" spans="2:3">
      <c r="B370" s="1">
        <v>41887</v>
      </c>
      <c r="C370">
        <v>1275.8</v>
      </c>
    </row>
    <row r="371" spans="2:3">
      <c r="B371" s="1">
        <v>41894</v>
      </c>
      <c r="C371">
        <v>1398.4</v>
      </c>
    </row>
    <row r="372" spans="2:3">
      <c r="B372" s="1">
        <v>41901</v>
      </c>
      <c r="C372">
        <v>1335.1</v>
      </c>
    </row>
    <row r="373" spans="2:3">
      <c r="B373" s="1">
        <v>41908</v>
      </c>
      <c r="C373">
        <v>1326.2</v>
      </c>
    </row>
    <row r="374" spans="2:3">
      <c r="B374" s="1">
        <v>41915</v>
      </c>
      <c r="C374">
        <v>1387.1</v>
      </c>
    </row>
    <row r="375" spans="2:3">
      <c r="B375" s="1">
        <v>41922</v>
      </c>
      <c r="C375">
        <v>1560.6</v>
      </c>
    </row>
    <row r="376" spans="2:3">
      <c r="B376" s="1">
        <v>41929</v>
      </c>
      <c r="C376">
        <v>1898.2</v>
      </c>
    </row>
    <row r="377" spans="2:3">
      <c r="B377" s="1">
        <v>41936</v>
      </c>
      <c r="C377">
        <v>1713.6</v>
      </c>
    </row>
    <row r="378" spans="2:3">
      <c r="B378" s="1">
        <v>41943</v>
      </c>
      <c r="C378">
        <v>1604.8</v>
      </c>
    </row>
    <row r="379" spans="2:3">
      <c r="B379" s="1">
        <v>41950</v>
      </c>
      <c r="C379">
        <v>1565.3</v>
      </c>
    </row>
    <row r="380" spans="2:3">
      <c r="B380" s="1">
        <v>41957</v>
      </c>
      <c r="C380">
        <v>1563.2</v>
      </c>
    </row>
    <row r="381" spans="2:3">
      <c r="B381" s="1">
        <v>41964</v>
      </c>
      <c r="C381">
        <v>1547.9</v>
      </c>
    </row>
    <row r="382" spans="2:3">
      <c r="B382" s="1">
        <v>41971</v>
      </c>
      <c r="C382">
        <v>1366.6</v>
      </c>
    </row>
    <row r="383" spans="2:3">
      <c r="B383" s="1">
        <v>41978</v>
      </c>
      <c r="C383">
        <v>1548.6</v>
      </c>
    </row>
    <row r="384" spans="2:3">
      <c r="B384" s="1">
        <v>41985</v>
      </c>
      <c r="C384">
        <v>1518.8</v>
      </c>
    </row>
    <row r="385" spans="2:3">
      <c r="B385" s="1">
        <v>41992</v>
      </c>
      <c r="C385">
        <v>1538.7</v>
      </c>
    </row>
    <row r="386" spans="2:3">
      <c r="B386" s="1">
        <v>41999</v>
      </c>
      <c r="C386">
        <v>1164.2</v>
      </c>
    </row>
    <row r="387" spans="2:3">
      <c r="B387" s="1">
        <v>42006</v>
      </c>
      <c r="C387">
        <v>1347.6</v>
      </c>
    </row>
    <row r="388" spans="2:3">
      <c r="B388" s="1">
        <v>42013</v>
      </c>
      <c r="C388">
        <v>2271.5</v>
      </c>
    </row>
    <row r="389" spans="2:3">
      <c r="B389" s="1">
        <v>42020</v>
      </c>
      <c r="C389">
        <v>2799.3</v>
      </c>
    </row>
    <row r="390" spans="2:3">
      <c r="B390" s="1">
        <v>42027</v>
      </c>
      <c r="C390">
        <v>2572.3000000000002</v>
      </c>
    </row>
    <row r="391" spans="2:3">
      <c r="B391" s="1">
        <v>42034</v>
      </c>
      <c r="C391">
        <v>2584.8000000000002</v>
      </c>
    </row>
    <row r="392" spans="2:3">
      <c r="B392" s="1">
        <v>42041</v>
      </c>
      <c r="C392">
        <v>2291.3000000000002</v>
      </c>
    </row>
    <row r="393" spans="2:3">
      <c r="B393" s="1">
        <v>42048</v>
      </c>
      <c r="C393">
        <v>1904.2</v>
      </c>
    </row>
    <row r="394" spans="2:3">
      <c r="B394" s="1">
        <v>42055</v>
      </c>
      <c r="C394">
        <v>1703.1</v>
      </c>
    </row>
    <row r="395" spans="2:3">
      <c r="B395" s="1">
        <v>42062</v>
      </c>
      <c r="C395">
        <v>1740.3</v>
      </c>
    </row>
    <row r="396" spans="2:3">
      <c r="B396" s="1">
        <v>42069</v>
      </c>
      <c r="C396">
        <v>1685.7</v>
      </c>
    </row>
    <row r="397" spans="2:3">
      <c r="B397" s="1">
        <v>42076</v>
      </c>
      <c r="C397">
        <v>1623.6</v>
      </c>
    </row>
    <row r="398" spans="2:3">
      <c r="B398" s="1">
        <v>42083</v>
      </c>
      <c r="C398">
        <v>1860.8</v>
      </c>
    </row>
    <row r="399" spans="2:3">
      <c r="B399" s="1">
        <v>42090</v>
      </c>
      <c r="C399">
        <v>1941.6</v>
      </c>
    </row>
    <row r="400" spans="2:3">
      <c r="B400" s="1">
        <v>42097</v>
      </c>
      <c r="C400">
        <v>1854.7</v>
      </c>
    </row>
    <row r="401" spans="2:3">
      <c r="B401" s="1">
        <v>42104</v>
      </c>
      <c r="C401">
        <v>1804.6</v>
      </c>
    </row>
    <row r="402" spans="2:3">
      <c r="B402" s="1">
        <v>42111</v>
      </c>
      <c r="C402">
        <v>1817</v>
      </c>
    </row>
    <row r="403" spans="2:3">
      <c r="B403" s="1"/>
    </row>
    <row r="404" spans="2:3">
      <c r="B404" s="1"/>
    </row>
    <row r="405" spans="2:3">
      <c r="B405" s="1"/>
    </row>
    <row r="406" spans="2:3">
      <c r="B406" s="1"/>
    </row>
    <row r="407" spans="2:3">
      <c r="B407" s="1"/>
    </row>
    <row r="408" spans="2:3">
      <c r="B408" s="1"/>
    </row>
    <row r="409" spans="2:3">
      <c r="B409" s="1"/>
    </row>
    <row r="410" spans="2:3">
      <c r="B410" s="1"/>
    </row>
    <row r="411" spans="2:3">
      <c r="B411" s="1"/>
    </row>
    <row r="412" spans="2:3">
      <c r="B412" s="1"/>
    </row>
    <row r="413" spans="2:3">
      <c r="B413" s="1"/>
    </row>
    <row r="414" spans="2:3">
      <c r="B414" s="1"/>
    </row>
    <row r="415" spans="2:3">
      <c r="B415" s="1"/>
    </row>
    <row r="416" spans="2:3">
      <c r="B416" s="1"/>
    </row>
    <row r="417" spans="2:2">
      <c r="B417" s="1"/>
    </row>
    <row r="418" spans="2:2">
      <c r="B418" s="1"/>
    </row>
    <row r="419" spans="2:2">
      <c r="B419" s="1"/>
    </row>
    <row r="420" spans="2:2">
      <c r="B420" s="1"/>
    </row>
    <row r="421" spans="2:2">
      <c r="B421" s="1"/>
    </row>
    <row r="422" spans="2:2">
      <c r="B422" s="1"/>
    </row>
    <row r="423" spans="2:2">
      <c r="B423" s="1"/>
    </row>
    <row r="424" spans="2:2">
      <c r="B424" s="1"/>
    </row>
    <row r="425" spans="2:2">
      <c r="B425" s="1"/>
    </row>
    <row r="426" spans="2:2">
      <c r="B426" s="1"/>
    </row>
    <row r="427" spans="2:2">
      <c r="B427" s="1"/>
    </row>
    <row r="428" spans="2:2">
      <c r="B428" s="1"/>
    </row>
    <row r="429" spans="2:2">
      <c r="B429" s="1"/>
    </row>
    <row r="430" spans="2:2">
      <c r="B430" s="1"/>
    </row>
    <row r="431" spans="2:2">
      <c r="B431" s="1"/>
    </row>
    <row r="432" spans="2:2">
      <c r="B432" s="1"/>
    </row>
    <row r="433" spans="2:2">
      <c r="B433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7:AD51"/>
  <sheetViews>
    <sheetView tabSelected="1" workbookViewId="0">
      <selection activeCell="C26" sqref="C26"/>
    </sheetView>
  </sheetViews>
  <sheetFormatPr defaultRowHeight="15"/>
  <cols>
    <col min="6" max="6" width="9.140625" style="37"/>
    <col min="7" max="7" width="12" bestFit="1" customWidth="1"/>
    <col min="11" max="11" width="9.140625" style="37"/>
    <col min="16" max="16" width="9.7109375" bestFit="1" customWidth="1"/>
    <col min="17" max="17" width="9.140625" style="37"/>
    <col min="22" max="22" width="9.7109375" bestFit="1" customWidth="1"/>
    <col min="25" max="25" width="14.28515625" bestFit="1" customWidth="1"/>
  </cols>
  <sheetData>
    <row r="7" spans="5:30">
      <c r="P7" t="s">
        <v>39</v>
      </c>
      <c r="Q7" s="37" t="s">
        <v>43</v>
      </c>
    </row>
    <row r="8" spans="5:30" ht="15.75" thickBot="1">
      <c r="E8" t="s">
        <v>39</v>
      </c>
      <c r="J8" t="s">
        <v>40</v>
      </c>
      <c r="P8" t="s">
        <v>41</v>
      </c>
      <c r="V8" s="38"/>
      <c r="W8" s="38"/>
      <c r="X8" s="38"/>
      <c r="Y8" s="38"/>
      <c r="Z8" s="38"/>
      <c r="AA8" s="38"/>
      <c r="AB8" s="38"/>
      <c r="AC8" s="38" t="s">
        <v>44</v>
      </c>
      <c r="AD8" s="38"/>
    </row>
    <row r="9" spans="5:30">
      <c r="E9" t="s">
        <v>38</v>
      </c>
      <c r="J9" t="s">
        <v>41</v>
      </c>
      <c r="P9" t="s">
        <v>31</v>
      </c>
      <c r="Q9" s="37" t="s">
        <v>37</v>
      </c>
      <c r="R9" t="s">
        <v>35</v>
      </c>
      <c r="S9" t="s">
        <v>36</v>
      </c>
      <c r="V9" s="42"/>
      <c r="W9" s="43" t="s">
        <v>47</v>
      </c>
      <c r="X9" s="43" t="s">
        <v>48</v>
      </c>
      <c r="Y9" s="43" t="s">
        <v>45</v>
      </c>
      <c r="Z9" s="44" t="s">
        <v>49</v>
      </c>
      <c r="AA9" s="38"/>
      <c r="AB9" s="38" t="s">
        <v>47</v>
      </c>
      <c r="AC9" s="38" t="s">
        <v>48</v>
      </c>
      <c r="AD9" s="38" t="s">
        <v>49</v>
      </c>
    </row>
    <row r="10" spans="5:30">
      <c r="E10" t="s">
        <v>31</v>
      </c>
      <c r="F10" s="37" t="s">
        <v>37</v>
      </c>
      <c r="G10" t="s">
        <v>35</v>
      </c>
      <c r="H10" t="s">
        <v>36</v>
      </c>
      <c r="J10" t="s">
        <v>31</v>
      </c>
      <c r="K10" s="37" t="s">
        <v>32</v>
      </c>
      <c r="L10" t="s">
        <v>35</v>
      </c>
      <c r="M10" t="s">
        <v>36</v>
      </c>
      <c r="P10" s="1">
        <v>42068</v>
      </c>
      <c r="Q10" s="37">
        <v>0.46598988131295799</v>
      </c>
      <c r="R10">
        <v>434198472406.90302</v>
      </c>
      <c r="S10">
        <v>931776611079.02002</v>
      </c>
      <c r="V10" s="45">
        <v>42068</v>
      </c>
      <c r="W10" s="46">
        <v>0.64879793947367004</v>
      </c>
      <c r="X10" s="46">
        <v>0.606774744874231</v>
      </c>
      <c r="Y10" s="47">
        <v>0.50718342258638904</v>
      </c>
      <c r="Z10" s="48">
        <f>W10-Y10</f>
        <v>0.14161451688728099</v>
      </c>
      <c r="AA10" s="40"/>
      <c r="AB10" s="39">
        <v>0.57360546117917699</v>
      </c>
      <c r="AC10" s="37">
        <v>0.45066683790268203</v>
      </c>
      <c r="AD10" s="41">
        <f>AB10-AC10</f>
        <v>0.12293862327649496</v>
      </c>
    </row>
    <row r="11" spans="5:30">
      <c r="E11" s="1">
        <v>42068</v>
      </c>
      <c r="F11" s="37">
        <v>0.52105092230652605</v>
      </c>
      <c r="G11">
        <v>377932173398.698</v>
      </c>
      <c r="H11">
        <v>725326752567.12598</v>
      </c>
      <c r="J11" s="1">
        <v>42068</v>
      </c>
      <c r="K11" s="37">
        <v>0.64879793947367004</v>
      </c>
      <c r="L11">
        <v>652223329097.69995</v>
      </c>
      <c r="M11">
        <v>1005279593869.87</v>
      </c>
      <c r="P11" s="1">
        <v>42075</v>
      </c>
      <c r="Q11" s="37">
        <v>0.391525471788709</v>
      </c>
      <c r="R11">
        <v>364814277254.39801</v>
      </c>
      <c r="S11">
        <v>931776611079.02002</v>
      </c>
      <c r="V11" s="45">
        <v>42075</v>
      </c>
      <c r="W11" s="46">
        <v>0.56709086833409394</v>
      </c>
      <c r="X11" s="46">
        <v>0.52303888200369097</v>
      </c>
      <c r="Y11" s="47">
        <v>0.43124435584172699</v>
      </c>
      <c r="Z11" s="48">
        <f t="shared" ref="Z11:Z17" si="0">W11-Y11</f>
        <v>0.13584651249236696</v>
      </c>
      <c r="AA11" s="40"/>
      <c r="AB11" s="39">
        <v>0.47457516158677099</v>
      </c>
      <c r="AC11" s="37">
        <v>0.36713329834181002</v>
      </c>
      <c r="AD11" s="41">
        <f t="shared" ref="AD11:AD17" si="1">AB11-AC11</f>
        <v>0.10744186324496097</v>
      </c>
    </row>
    <row r="12" spans="5:30">
      <c r="E12" s="1">
        <v>42075</v>
      </c>
      <c r="F12" s="37">
        <v>0.411998658833651</v>
      </c>
      <c r="G12">
        <v>298833649273.82397</v>
      </c>
      <c r="H12">
        <v>725326752567.12598</v>
      </c>
      <c r="J12" s="1">
        <v>42075</v>
      </c>
      <c r="K12" s="37">
        <v>0.56709086833409394</v>
      </c>
      <c r="L12">
        <v>570084877806.20996</v>
      </c>
      <c r="M12">
        <v>1005279593869.87</v>
      </c>
      <c r="P12" s="1">
        <v>42082</v>
      </c>
      <c r="Q12" s="37">
        <v>0.46543670330005099</v>
      </c>
      <c r="R12">
        <v>433683034072.71301</v>
      </c>
      <c r="S12">
        <v>931776611079.02002</v>
      </c>
      <c r="V12" s="45">
        <v>42082</v>
      </c>
      <c r="W12" s="46">
        <v>0.62625017100514602</v>
      </c>
      <c r="X12" s="46">
        <v>0.60648965415006495</v>
      </c>
      <c r="Y12" s="47">
        <v>0.50666988212578501</v>
      </c>
      <c r="Z12" s="48">
        <f t="shared" si="0"/>
        <v>0.11958028887936101</v>
      </c>
      <c r="AA12" s="40"/>
      <c r="AB12" s="39">
        <v>0.54622742214646502</v>
      </c>
      <c r="AC12" s="37">
        <v>0.45009137730986898</v>
      </c>
      <c r="AD12" s="41">
        <f t="shared" si="1"/>
        <v>9.6136044836596046E-2</v>
      </c>
    </row>
    <row r="13" spans="5:30">
      <c r="E13" s="1">
        <v>42082</v>
      </c>
      <c r="F13" s="37">
        <v>0.52057047302173598</v>
      </c>
      <c r="G13">
        <v>377583690679.18799</v>
      </c>
      <c r="H13">
        <v>725326752567.12598</v>
      </c>
      <c r="J13" s="1">
        <v>42082</v>
      </c>
      <c r="K13" s="37">
        <v>0.62625017100514602</v>
      </c>
      <c r="L13">
        <v>629556517568.98999</v>
      </c>
      <c r="M13">
        <v>1005279593869.87</v>
      </c>
      <c r="P13" s="1">
        <v>42089</v>
      </c>
      <c r="Q13" s="37">
        <v>0.515690751309549</v>
      </c>
      <c r="R13">
        <v>480508580620.00598</v>
      </c>
      <c r="S13">
        <v>931776611079.02002</v>
      </c>
      <c r="V13" s="45">
        <v>42089</v>
      </c>
      <c r="W13" s="46">
        <v>0.67177281536533096</v>
      </c>
      <c r="X13" s="46">
        <v>0.66948681688726697</v>
      </c>
      <c r="Y13" s="47">
        <v>0.55138762509375605</v>
      </c>
      <c r="Z13" s="48">
        <f t="shared" si="0"/>
        <v>0.1203851902715749</v>
      </c>
      <c r="AA13" s="40"/>
      <c r="AB13" s="39">
        <v>0.60149374984088799</v>
      </c>
      <c r="AC13" s="37">
        <v>0.50024941273507195</v>
      </c>
      <c r="AD13" s="41">
        <f t="shared" si="1"/>
        <v>0.10124433710581604</v>
      </c>
    </row>
    <row r="14" spans="5:30">
      <c r="E14" s="1">
        <v>42089</v>
      </c>
      <c r="F14" s="37">
        <v>0.59163699347118204</v>
      </c>
      <c r="G14">
        <v>429130139173.03101</v>
      </c>
      <c r="H14">
        <v>725326752567.12598</v>
      </c>
      <c r="J14" s="1">
        <v>42089</v>
      </c>
      <c r="K14" s="37">
        <v>0.67177281536533096</v>
      </c>
      <c r="L14">
        <v>675319503003.28003</v>
      </c>
      <c r="M14">
        <v>1005279593869.87</v>
      </c>
      <c r="P14" s="1">
        <v>42096</v>
      </c>
      <c r="Q14" s="37">
        <v>0.50146616730291105</v>
      </c>
      <c r="R14">
        <v>469425547843.58899</v>
      </c>
      <c r="S14">
        <v>936106119318.77698</v>
      </c>
      <c r="V14" s="45">
        <v>42096</v>
      </c>
      <c r="W14" s="46">
        <v>0.65650951013695402</v>
      </c>
      <c r="X14" s="46">
        <v>0.65757284583633602</v>
      </c>
      <c r="Y14" s="47">
        <v>0.53682243639344696</v>
      </c>
      <c r="Z14" s="48">
        <f t="shared" si="0"/>
        <v>0.11968707374350707</v>
      </c>
      <c r="AA14" s="40"/>
      <c r="AB14" s="39">
        <v>0.58566684694845395</v>
      </c>
      <c r="AC14" s="37">
        <v>0.485896410211898</v>
      </c>
      <c r="AD14" s="41">
        <f t="shared" si="1"/>
        <v>9.9770436736555945E-2</v>
      </c>
    </row>
    <row r="15" spans="5:30">
      <c r="E15" s="1">
        <v>42096</v>
      </c>
      <c r="F15" s="37">
        <v>0.57707055634817594</v>
      </c>
      <c r="G15">
        <v>430002385716.53601</v>
      </c>
      <c r="H15">
        <v>745146985903.56396</v>
      </c>
      <c r="J15" s="1">
        <v>42096</v>
      </c>
      <c r="K15" s="37">
        <v>0.65650951013695402</v>
      </c>
      <c r="L15">
        <v>661720898845.93994</v>
      </c>
      <c r="M15">
        <v>1007938024702.64</v>
      </c>
      <c r="P15" s="1">
        <v>42103</v>
      </c>
      <c r="Q15" s="37">
        <v>0.52791282596991895</v>
      </c>
      <c r="R15">
        <v>494182426857.31</v>
      </c>
      <c r="S15">
        <v>936106119318.77698</v>
      </c>
      <c r="V15" s="45">
        <v>42103</v>
      </c>
      <c r="W15" s="46">
        <v>0.67417257610562098</v>
      </c>
      <c r="X15" s="46">
        <v>0.65811343479434004</v>
      </c>
      <c r="Y15" s="47">
        <v>0.56624534907007396</v>
      </c>
      <c r="Z15" s="48">
        <f t="shared" si="0"/>
        <v>0.10792722703554702</v>
      </c>
      <c r="AA15" s="40"/>
      <c r="AB15" s="39">
        <v>0.60696709220630396</v>
      </c>
      <c r="AC15" s="37">
        <v>0.518480147244884</v>
      </c>
      <c r="AD15" s="41">
        <f t="shared" si="1"/>
        <v>8.8486944961419955E-2</v>
      </c>
    </row>
    <row r="16" spans="5:30">
      <c r="E16" s="1">
        <v>42103</v>
      </c>
      <c r="F16" s="37">
        <v>0.57815778139415497</v>
      </c>
      <c r="G16">
        <v>430812528182.54602</v>
      </c>
      <c r="H16">
        <v>745146985903.56396</v>
      </c>
      <c r="J16" s="1">
        <v>42103</v>
      </c>
      <c r="K16" s="37">
        <v>0.67417257610562098</v>
      </c>
      <c r="L16">
        <v>679524174668.58997</v>
      </c>
      <c r="M16">
        <v>1007938024702.64</v>
      </c>
      <c r="P16" s="1">
        <v>42110</v>
      </c>
      <c r="Q16" s="37">
        <v>0.50155254519477699</v>
      </c>
      <c r="R16">
        <v>469506406716.73901</v>
      </c>
      <c r="S16">
        <v>936106119318.77698</v>
      </c>
      <c r="V16" s="45">
        <v>42110</v>
      </c>
      <c r="W16" s="46">
        <v>0.65857343754719699</v>
      </c>
      <c r="X16" s="46">
        <v>0.65789565295069996</v>
      </c>
      <c r="Y16" s="47">
        <v>0.53691783186626096</v>
      </c>
      <c r="Z16" s="48">
        <f t="shared" si="0"/>
        <v>0.12165560568093603</v>
      </c>
      <c r="AA16" s="40"/>
      <c r="AB16" s="39">
        <v>0.588150363186553</v>
      </c>
      <c r="AC16" s="37">
        <v>0.48600286425468497</v>
      </c>
      <c r="AD16" s="41">
        <f t="shared" si="1"/>
        <v>0.10214749893186803</v>
      </c>
    </row>
    <row r="17" spans="5:30" ht="15.75" thickBot="1">
      <c r="E17" s="1">
        <v>42110</v>
      </c>
      <c r="F17" s="37">
        <v>0.57774381580628398</v>
      </c>
      <c r="G17">
        <v>430504062972.47601</v>
      </c>
      <c r="H17">
        <v>745146985903.56396</v>
      </c>
      <c r="J17" s="1">
        <v>42110</v>
      </c>
      <c r="K17" s="37">
        <v>0.65857343754719699</v>
      </c>
      <c r="L17">
        <v>663801209762.94995</v>
      </c>
      <c r="M17">
        <v>1007938024702.64</v>
      </c>
      <c r="P17" s="1">
        <v>42117</v>
      </c>
      <c r="Q17" s="37">
        <v>0.5282959563281</v>
      </c>
      <c r="R17">
        <v>494541077530.09998</v>
      </c>
      <c r="S17">
        <v>936106119318.77698</v>
      </c>
      <c r="V17" s="49">
        <v>42117</v>
      </c>
      <c r="W17" s="50">
        <v>0.68053352147964896</v>
      </c>
      <c r="X17" s="50">
        <v>0.658533593067545</v>
      </c>
      <c r="Y17" s="51">
        <v>0.56669393867683804</v>
      </c>
      <c r="Z17" s="52">
        <f t="shared" si="0"/>
        <v>0.11383958280281092</v>
      </c>
      <c r="AA17" s="40"/>
      <c r="AB17" s="39">
        <v>0.61464069888629802</v>
      </c>
      <c r="AC17" s="37">
        <v>0.51898248125296498</v>
      </c>
      <c r="AD17" s="41">
        <f t="shared" si="1"/>
        <v>9.5658217633333043E-2</v>
      </c>
    </row>
    <row r="18" spans="5:30">
      <c r="E18" s="1">
        <v>42117</v>
      </c>
      <c r="F18" s="37">
        <v>0.57862292832018003</v>
      </c>
      <c r="G18">
        <v>431159131012.47601</v>
      </c>
      <c r="H18">
        <v>745146985903.56396</v>
      </c>
      <c r="J18" s="1">
        <v>42117</v>
      </c>
      <c r="K18" s="37">
        <v>0.68053352147964896</v>
      </c>
      <c r="L18">
        <v>685935613384.13</v>
      </c>
      <c r="M18">
        <v>1007938024702.64</v>
      </c>
      <c r="V18" s="1"/>
      <c r="W18" s="37"/>
      <c r="X18" s="37"/>
      <c r="Y18" s="37"/>
      <c r="AC18" s="37"/>
    </row>
    <row r="19" spans="5:30">
      <c r="E19" s="1"/>
      <c r="J19" s="1">
        <v>42124</v>
      </c>
      <c r="K19" s="37">
        <v>0.66595023399780595</v>
      </c>
      <c r="L19">
        <v>671236563406.01001</v>
      </c>
      <c r="M19">
        <v>1007938024702.64</v>
      </c>
    </row>
    <row r="20" spans="5:30">
      <c r="E20" s="1" t="s">
        <v>41</v>
      </c>
      <c r="J20" t="s">
        <v>41</v>
      </c>
      <c r="K20" t="s">
        <v>46</v>
      </c>
      <c r="P20" t="s">
        <v>44</v>
      </c>
    </row>
    <row r="21" spans="5:30">
      <c r="E21" s="1" t="s">
        <v>31</v>
      </c>
      <c r="F21" s="37" t="s">
        <v>37</v>
      </c>
      <c r="G21" t="s">
        <v>35</v>
      </c>
      <c r="H21" t="s">
        <v>36</v>
      </c>
      <c r="J21" t="s">
        <v>31</v>
      </c>
      <c r="K21" s="37" t="s">
        <v>32</v>
      </c>
      <c r="L21" t="s">
        <v>35</v>
      </c>
      <c r="M21" t="s">
        <v>36</v>
      </c>
      <c r="P21" t="s">
        <v>31</v>
      </c>
      <c r="Q21" s="37" t="s">
        <v>37</v>
      </c>
      <c r="R21" t="s">
        <v>35</v>
      </c>
      <c r="S21" t="s">
        <v>36</v>
      </c>
    </row>
    <row r="22" spans="5:30">
      <c r="E22" s="1">
        <v>42068</v>
      </c>
      <c r="F22" s="37">
        <v>0.606774744874231</v>
      </c>
      <c r="G22">
        <v>565708496345.25</v>
      </c>
      <c r="H22">
        <v>932320438719.81995</v>
      </c>
      <c r="J22" s="1">
        <v>42068</v>
      </c>
      <c r="K22" s="37">
        <v>0.57360546117917699</v>
      </c>
      <c r="L22">
        <v>474899128635.62</v>
      </c>
      <c r="M22">
        <v>827919468652.46997</v>
      </c>
      <c r="P22" s="1">
        <v>42068</v>
      </c>
      <c r="Q22" s="37">
        <v>0.40842490635126</v>
      </c>
      <c r="R22">
        <v>338173227808.89899</v>
      </c>
      <c r="S22">
        <v>827993647179.92505</v>
      </c>
    </row>
    <row r="23" spans="5:30">
      <c r="E23" s="1">
        <v>42075</v>
      </c>
      <c r="F23" s="37">
        <v>0.52303888200369097</v>
      </c>
      <c r="G23">
        <v>487639839937.20599</v>
      </c>
      <c r="H23">
        <v>932320438719.81995</v>
      </c>
      <c r="J23" s="1">
        <v>42075</v>
      </c>
      <c r="K23" s="37">
        <v>0.47457516158677099</v>
      </c>
      <c r="L23">
        <v>392910015616.58002</v>
      </c>
      <c r="M23">
        <v>827919468652.46997</v>
      </c>
      <c r="P23" s="1">
        <v>42075</v>
      </c>
      <c r="Q23" s="37">
        <v>0.32693479951851701</v>
      </c>
      <c r="R23">
        <v>270699937043.37399</v>
      </c>
      <c r="S23">
        <v>827993647179.92505</v>
      </c>
    </row>
    <row r="24" spans="5:30">
      <c r="E24" s="1">
        <v>42082</v>
      </c>
      <c r="F24" s="37">
        <v>0.60648965415006495</v>
      </c>
      <c r="G24">
        <v>565442700436.21997</v>
      </c>
      <c r="H24">
        <v>932320438719.81995</v>
      </c>
      <c r="J24" s="1">
        <v>42082</v>
      </c>
      <c r="K24" s="37">
        <v>0.54622742214646502</v>
      </c>
      <c r="L24">
        <v>452232317106.90997</v>
      </c>
      <c r="M24">
        <v>827919468652.46997</v>
      </c>
      <c r="P24" s="1">
        <v>42082</v>
      </c>
      <c r="Q24" s="37">
        <v>0.40780569116264598</v>
      </c>
      <c r="R24">
        <v>337660521566.48901</v>
      </c>
      <c r="S24">
        <v>827993647179.92505</v>
      </c>
    </row>
    <row r="25" spans="5:30">
      <c r="E25" s="1">
        <v>42089</v>
      </c>
      <c r="F25" s="37">
        <v>0.66948681688726697</v>
      </c>
      <c r="G25">
        <v>624176242837.47302</v>
      </c>
      <c r="H25">
        <v>932320438719.81995</v>
      </c>
      <c r="J25" s="1">
        <v>42089</v>
      </c>
      <c r="K25" s="37">
        <v>0.60149374984088799</v>
      </c>
      <c r="L25">
        <v>497988385766.04999</v>
      </c>
      <c r="M25">
        <v>827919468652.46997</v>
      </c>
      <c r="P25" s="1">
        <v>42089</v>
      </c>
      <c r="Q25" s="37">
        <v>0.46375640488963898</v>
      </c>
      <c r="R25">
        <v>383987357087.62201</v>
      </c>
      <c r="S25">
        <v>827993647179.92505</v>
      </c>
    </row>
    <row r="26" spans="5:30">
      <c r="E26" s="1">
        <v>42096</v>
      </c>
      <c r="F26" s="37">
        <v>0.65757284583633602</v>
      </c>
      <c r="G26">
        <v>615906378746.16797</v>
      </c>
      <c r="H26">
        <v>936635967628.53796</v>
      </c>
      <c r="J26" s="1">
        <v>42096</v>
      </c>
      <c r="K26" s="37">
        <v>0.58566684694845395</v>
      </c>
      <c r="L26">
        <v>489335361261.45001</v>
      </c>
      <c r="M26">
        <v>835518287932.93005</v>
      </c>
      <c r="P26" s="1">
        <v>42096</v>
      </c>
      <c r="Q26" s="37">
        <v>0.44989571596429401</v>
      </c>
      <c r="R26">
        <v>375866872656.16101</v>
      </c>
      <c r="S26">
        <v>835453326890.51904</v>
      </c>
    </row>
    <row r="27" spans="5:30">
      <c r="E27" s="1">
        <v>42103</v>
      </c>
      <c r="F27" s="37">
        <v>0.65811343479434004</v>
      </c>
      <c r="G27">
        <v>616412713807.93799</v>
      </c>
      <c r="H27">
        <v>936635967628.53796</v>
      </c>
      <c r="J27" s="1">
        <v>42103</v>
      </c>
      <c r="K27" s="37">
        <v>0.60696709220630396</v>
      </c>
      <c r="L27">
        <v>507132105711.84003</v>
      </c>
      <c r="M27">
        <v>835518287932.93005</v>
      </c>
      <c r="P27" s="1">
        <v>42103</v>
      </c>
      <c r="Q27" s="37">
        <v>0.479064639663206</v>
      </c>
      <c r="R27">
        <v>400236147002.23297</v>
      </c>
      <c r="S27">
        <v>835453326890.51904</v>
      </c>
    </row>
    <row r="28" spans="5:30">
      <c r="E28" s="1">
        <v>42110</v>
      </c>
      <c r="F28" s="37">
        <v>0.65789565295069996</v>
      </c>
      <c r="G28">
        <v>616208731500.08801</v>
      </c>
      <c r="H28">
        <v>936635967628.53796</v>
      </c>
      <c r="J28" s="1">
        <v>42110</v>
      </c>
      <c r="K28" s="37">
        <v>0.588150363186553</v>
      </c>
      <c r="L28">
        <v>491410384496.76001</v>
      </c>
      <c r="M28">
        <v>835518287932.93005</v>
      </c>
      <c r="P28" s="1">
        <v>42110</v>
      </c>
      <c r="Q28" s="37">
        <v>0.44999247898058498</v>
      </c>
      <c r="R28">
        <v>375947713640.04102</v>
      </c>
      <c r="S28">
        <v>835453326890.51904</v>
      </c>
    </row>
    <row r="29" spans="5:30">
      <c r="E29" s="1">
        <v>42117</v>
      </c>
      <c r="F29" s="37">
        <v>0.658533593067545</v>
      </c>
      <c r="G29">
        <v>616806249158.71802</v>
      </c>
      <c r="H29">
        <v>936635967628.53796</v>
      </c>
      <c r="J29" s="1">
        <v>42117</v>
      </c>
      <c r="K29" s="37">
        <v>0.61464069888629802</v>
      </c>
      <c r="L29">
        <v>513543544427.38</v>
      </c>
      <c r="M29">
        <v>835518287932.93005</v>
      </c>
      <c r="P29" s="1">
        <v>42117</v>
      </c>
      <c r="Q29" s="37">
        <v>0.47949354334078598</v>
      </c>
      <c r="R29">
        <v>400594476006.58301</v>
      </c>
      <c r="S29">
        <v>835453326890.51904</v>
      </c>
    </row>
    <row r="30" spans="5:30">
      <c r="J30" s="1">
        <v>42124</v>
      </c>
      <c r="K30" s="37">
        <v>0.59704945462529901</v>
      </c>
      <c r="L30">
        <v>498845738139.82001</v>
      </c>
      <c r="M30">
        <v>835518287932.93005</v>
      </c>
    </row>
    <row r="32" spans="5:30">
      <c r="S32" t="s">
        <v>44</v>
      </c>
    </row>
    <row r="33" spans="6:21">
      <c r="P33" t="s">
        <v>31</v>
      </c>
      <c r="Q33" s="37" t="s">
        <v>37</v>
      </c>
      <c r="S33" t="s">
        <v>31</v>
      </c>
      <c r="T33" t="s">
        <v>37</v>
      </c>
    </row>
    <row r="34" spans="6:21">
      <c r="P34" s="1">
        <v>42068</v>
      </c>
      <c r="Q34" s="37">
        <v>0.50718342258638904</v>
      </c>
      <c r="S34" s="1">
        <v>42068</v>
      </c>
      <c r="T34" s="37">
        <v>0.45066683790268203</v>
      </c>
    </row>
    <row r="35" spans="6:21">
      <c r="P35" s="1">
        <v>42075</v>
      </c>
      <c r="Q35" s="37">
        <v>0.43124435584172699</v>
      </c>
      <c r="S35" s="1">
        <v>42075</v>
      </c>
      <c r="T35" s="37">
        <v>0.36713329834181002</v>
      </c>
    </row>
    <row r="36" spans="6:21">
      <c r="P36" s="1">
        <v>42082</v>
      </c>
      <c r="Q36" s="37">
        <v>0.50666988212578501</v>
      </c>
      <c r="S36" s="1">
        <v>42082</v>
      </c>
      <c r="T36" s="37">
        <v>0.45009137730986898</v>
      </c>
    </row>
    <row r="37" spans="6:21">
      <c r="P37" s="1">
        <v>42089</v>
      </c>
      <c r="Q37" s="37">
        <v>0.55138762509375605</v>
      </c>
      <c r="S37" s="1">
        <v>42089</v>
      </c>
      <c r="T37" s="37">
        <v>0.50024941273507195</v>
      </c>
    </row>
    <row r="38" spans="6:21">
      <c r="P38" s="1">
        <v>42096</v>
      </c>
      <c r="Q38" s="37">
        <v>0.53682243639344696</v>
      </c>
      <c r="S38" s="1">
        <v>42096</v>
      </c>
      <c r="T38" s="37">
        <v>0.485896410211898</v>
      </c>
    </row>
    <row r="39" spans="6:21">
      <c r="P39" s="1">
        <v>42103</v>
      </c>
      <c r="Q39" s="37">
        <v>0.56624534907007396</v>
      </c>
      <c r="S39" s="1">
        <v>42103</v>
      </c>
      <c r="T39" s="37">
        <v>0.518480147244884</v>
      </c>
    </row>
    <row r="40" spans="6:21">
      <c r="P40" s="1">
        <v>42110</v>
      </c>
      <c r="Q40" s="37">
        <v>0.53691783186626096</v>
      </c>
      <c r="S40" s="1">
        <v>42110</v>
      </c>
      <c r="T40" s="37">
        <v>0.48600286425468497</v>
      </c>
    </row>
    <row r="41" spans="6:21">
      <c r="F41" s="54"/>
      <c r="P41" s="1">
        <v>42117</v>
      </c>
      <c r="Q41" s="37">
        <v>0.56669393867683804</v>
      </c>
      <c r="S41" s="1">
        <v>42117</v>
      </c>
      <c r="T41" s="37">
        <v>0.51898248125296498</v>
      </c>
    </row>
    <row r="42" spans="6:21">
      <c r="P42" s="1">
        <v>42124</v>
      </c>
      <c r="Q42" s="37">
        <v>0.53705791563411398</v>
      </c>
      <c r="S42" s="1">
        <v>42124</v>
      </c>
      <c r="T42" s="37">
        <v>0.48615831819145899</v>
      </c>
    </row>
    <row r="45" spans="6:21">
      <c r="P45" t="s">
        <v>51</v>
      </c>
    </row>
    <row r="46" spans="6:21">
      <c r="P46" t="s">
        <v>31</v>
      </c>
      <c r="Q46" s="37" t="s">
        <v>50</v>
      </c>
      <c r="R46" t="s">
        <v>37</v>
      </c>
      <c r="T46" t="s">
        <v>31</v>
      </c>
      <c r="U46" t="s">
        <v>37</v>
      </c>
    </row>
    <row r="47" spans="6:21">
      <c r="P47" s="1">
        <v>42096</v>
      </c>
      <c r="Q47" s="53">
        <v>42011</v>
      </c>
      <c r="R47" s="54">
        <v>0.53682243639344696</v>
      </c>
      <c r="T47" s="1">
        <v>42096</v>
      </c>
      <c r="U47" s="54">
        <v>0.53682243639344696</v>
      </c>
    </row>
    <row r="48" spans="6:21">
      <c r="P48" s="1">
        <v>42103</v>
      </c>
      <c r="Q48" s="53">
        <v>42011</v>
      </c>
      <c r="R48" s="54">
        <v>0.56624534907007396</v>
      </c>
      <c r="T48" s="1">
        <v>42103</v>
      </c>
      <c r="U48" s="54">
        <v>0.56624534907007396</v>
      </c>
    </row>
    <row r="49" spans="16:21">
      <c r="P49" s="1">
        <v>42110</v>
      </c>
      <c r="Q49" s="53">
        <v>42011</v>
      </c>
      <c r="R49" s="54">
        <v>0.53691783186626096</v>
      </c>
      <c r="T49" s="1">
        <v>42110</v>
      </c>
      <c r="U49" s="54">
        <v>0.53691783186626096</v>
      </c>
    </row>
    <row r="50" spans="16:21">
      <c r="P50" s="1">
        <v>42117</v>
      </c>
      <c r="Q50" s="53">
        <v>42011</v>
      </c>
      <c r="R50" s="54">
        <v>0.56669393867683804</v>
      </c>
      <c r="T50" s="1">
        <v>42117</v>
      </c>
      <c r="U50" s="54">
        <v>0.56669393867683804</v>
      </c>
    </row>
    <row r="51" spans="16:21">
      <c r="P51" s="1">
        <v>42124</v>
      </c>
      <c r="Q51" s="53">
        <v>42011</v>
      </c>
      <c r="R51" s="54">
        <v>0.53705791563411398</v>
      </c>
      <c r="T51" s="1">
        <v>42124</v>
      </c>
      <c r="U51" s="54">
        <v>0.53705791563411398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Report</vt:lpstr>
      <vt:lpstr>PoolRefinancible</vt:lpstr>
      <vt:lpstr>Bloomberg</vt:lpstr>
      <vt:lpstr>Sheet3</vt:lpstr>
      <vt:lpstr>CurrentCloseDate</vt:lpstr>
      <vt:lpstr>DatabaseEnv</vt:lpstr>
      <vt:lpstr>DateToChangeLag</vt:lpstr>
      <vt:lpstr>PDFReportDir</vt:lpstr>
      <vt:lpstr>PDFReportName</vt:lpstr>
      <vt:lpstr>Report!Print_Area</vt:lpstr>
      <vt:lpstr>SaveRatesToDB</vt:lpstr>
      <vt:lpstr>PoolRefinancible!temp1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2015-04-02T17:51:13Z</cp:lastPrinted>
  <dcterms:created xsi:type="dcterms:W3CDTF">2006-09-16T00:00:00Z</dcterms:created>
  <dcterms:modified xsi:type="dcterms:W3CDTF">2015-05-05T12:44:56Z</dcterms:modified>
</cp:coreProperties>
</file>