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8.xml" ContentType="application/vnd.openxmlformats-officedocument.spreadsheetml.table+xml"/>
  <Override PartName="/xl/queryTables/queryTable10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Query!$B$2:$C$237</definedName>
    <definedName name="Query_from_Agency_7" localSheetId="4" hidden="1">'Current Coupon'!$S$4:$U$7</definedName>
    <definedName name="Query_from_Agency_7" localSheetId="1" hidden="1">Query!#REF!</definedName>
    <definedName name="Query_from_Agency_8" localSheetId="4" hidden="1">'Current Coupon'!$A$4:$C$27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5" i="28" l="1"/>
  <c r="D6" i="28"/>
  <c r="D7" i="28"/>
  <c r="F7" i="28" s="1"/>
  <c r="D8" i="28"/>
  <c r="D9" i="28"/>
  <c r="E9" i="28" s="1"/>
  <c r="D10" i="28"/>
  <c r="D11" i="28"/>
  <c r="D12" i="28"/>
  <c r="D13" i="28"/>
  <c r="D14" i="28"/>
  <c r="D15" i="28"/>
  <c r="D16" i="28"/>
  <c r="D17" i="28"/>
  <c r="E17" i="28" s="1"/>
  <c r="D18" i="28"/>
  <c r="D19" i="28"/>
  <c r="D20" i="28"/>
  <c r="E20" i="28" s="1"/>
  <c r="D21" i="28"/>
  <c r="D22" i="28"/>
  <c r="D23" i="28"/>
  <c r="D24" i="28"/>
  <c r="D25" i="28"/>
  <c r="E25" i="28" s="1"/>
  <c r="D26" i="28"/>
  <c r="D27" i="28"/>
  <c r="E5" i="28"/>
  <c r="E6" i="28"/>
  <c r="E8" i="28"/>
  <c r="E13" i="28"/>
  <c r="E14" i="28"/>
  <c r="E16" i="28"/>
  <c r="E21" i="28"/>
  <c r="E22" i="28"/>
  <c r="E24" i="28"/>
  <c r="F5" i="28"/>
  <c r="G5" i="28" s="1"/>
  <c r="F6" i="28"/>
  <c r="M5" i="28"/>
  <c r="T39" i="16"/>
  <c r="B8" i="27"/>
  <c r="C8" i="27" s="1"/>
  <c r="Q38" i="16" s="1"/>
  <c r="G6" i="28" l="1"/>
  <c r="E27" i="28"/>
  <c r="E19" i="28"/>
  <c r="E11" i="28"/>
  <c r="I6" i="28"/>
  <c r="H5" i="28"/>
  <c r="H6" i="28" s="1"/>
  <c r="E26" i="28"/>
  <c r="E18" i="28"/>
  <c r="E10" i="28"/>
  <c r="I5" i="28"/>
  <c r="F8" i="28"/>
  <c r="E23" i="28"/>
  <c r="E15" i="28"/>
  <c r="E7" i="28"/>
  <c r="G7" i="28" s="1"/>
  <c r="E12" i="28"/>
  <c r="M6" i="28" l="1"/>
  <c r="J5" i="28"/>
  <c r="K5" i="28" s="1"/>
  <c r="H7" i="28"/>
  <c r="I7" i="28" s="1"/>
  <c r="G8" i="28"/>
  <c r="F9" i="28"/>
  <c r="I8" i="28"/>
  <c r="H8" i="28"/>
  <c r="M7" i="28"/>
  <c r="J6" i="28"/>
  <c r="K6" i="28" s="1"/>
  <c r="M8" i="28" l="1"/>
  <c r="J7" i="28"/>
  <c r="K7" i="28" s="1"/>
  <c r="J8" i="28"/>
  <c r="K8" i="28" s="1"/>
  <c r="M9" i="28"/>
  <c r="H9" i="28"/>
  <c r="G9" i="28"/>
  <c r="I9" i="28"/>
  <c r="F10" i="28"/>
  <c r="L5" i="28"/>
  <c r="L6" i="28"/>
  <c r="L7" i="28"/>
  <c r="I10" i="28" l="1"/>
  <c r="G10" i="28"/>
  <c r="H10" i="28"/>
  <c r="F11" i="28"/>
  <c r="J9" i="28"/>
  <c r="K9" i="28" s="1"/>
  <c r="L9" i="28" s="1"/>
  <c r="M10" i="28"/>
  <c r="L8" i="28"/>
  <c r="J10" i="28" l="1"/>
  <c r="K10" i="28" s="1"/>
  <c r="M11" i="28"/>
  <c r="H11" i="28"/>
  <c r="G11" i="28"/>
  <c r="F12" i="28"/>
  <c r="I11" i="28" s="1"/>
  <c r="J11" i="28" l="1"/>
  <c r="K11" i="28" s="1"/>
  <c r="M12" i="28"/>
  <c r="L10" i="28"/>
  <c r="H12" i="28"/>
  <c r="G12" i="28"/>
  <c r="I12" i="28" s="1"/>
  <c r="F13" i="28"/>
  <c r="M13" i="28" l="1"/>
  <c r="J12" i="28"/>
  <c r="K12" i="28" s="1"/>
  <c r="L12" i="28"/>
  <c r="F14" i="28"/>
  <c r="I13" i="28" s="1"/>
  <c r="H13" i="28"/>
  <c r="G13" i="28"/>
  <c r="L11" i="28"/>
  <c r="M14" i="28" l="1"/>
  <c r="J13" i="28"/>
  <c r="K13" i="28" s="1"/>
  <c r="L13" i="28" s="1"/>
  <c r="H14" i="28"/>
  <c r="G14" i="28"/>
  <c r="F15" i="28"/>
  <c r="I14" i="28" s="1"/>
  <c r="M15" i="28" l="1"/>
  <c r="J14" i="28"/>
  <c r="K14" i="28" s="1"/>
  <c r="H15" i="28"/>
  <c r="G15" i="28"/>
  <c r="F16" i="28"/>
  <c r="I15" i="28" s="1"/>
  <c r="M16" i="28" l="1"/>
  <c r="J15" i="28"/>
  <c r="K15" i="28" s="1"/>
  <c r="L15" i="28"/>
  <c r="G16" i="28"/>
  <c r="F17" i="28"/>
  <c r="H16" i="28"/>
  <c r="L14" i="28"/>
  <c r="H17" i="28" l="1"/>
  <c r="G17" i="28"/>
  <c r="F18" i="28"/>
  <c r="I16" i="28"/>
  <c r="J16" i="28" l="1"/>
  <c r="K16" i="28" s="1"/>
  <c r="M17" i="28"/>
  <c r="H18" i="28"/>
  <c r="G18" i="28"/>
  <c r="F19" i="28"/>
  <c r="I17" i="28"/>
  <c r="J17" i="28" l="1"/>
  <c r="K17" i="28" s="1"/>
  <c r="M18" i="28"/>
  <c r="H19" i="28"/>
  <c r="G19" i="28"/>
  <c r="F20" i="28"/>
  <c r="I18" i="28"/>
  <c r="L17" i="28"/>
  <c r="L16" i="28"/>
  <c r="H20" i="28" l="1"/>
  <c r="G20" i="28"/>
  <c r="F21" i="28"/>
  <c r="I19" i="28"/>
  <c r="M19" i="28"/>
  <c r="J18" i="28"/>
  <c r="K18" i="28" s="1"/>
  <c r="L18" i="28" s="1"/>
  <c r="J19" i="28" l="1"/>
  <c r="K19" i="28" s="1"/>
  <c r="M20" i="28"/>
  <c r="G21" i="28"/>
  <c r="H21" i="28"/>
  <c r="F22" i="28"/>
  <c r="L19" i="28"/>
  <c r="I20" i="28"/>
  <c r="J20" i="28" l="1"/>
  <c r="K20" i="28" s="1"/>
  <c r="M21" i="28"/>
  <c r="H22" i="28"/>
  <c r="G22" i="28"/>
  <c r="F23" i="28"/>
  <c r="I22" i="28" s="1"/>
  <c r="I21" i="28"/>
  <c r="L20" i="28"/>
  <c r="M23" i="28" l="1"/>
  <c r="J22" i="28"/>
  <c r="K22" i="28" s="1"/>
  <c r="M22" i="28"/>
  <c r="J21" i="28"/>
  <c r="K21" i="28" s="1"/>
  <c r="L22" i="28" s="1"/>
  <c r="H23" i="28"/>
  <c r="G23" i="28"/>
  <c r="F24" i="28"/>
  <c r="G24" i="28" l="1"/>
  <c r="F25" i="28"/>
  <c r="H24" i="28"/>
  <c r="I23" i="28"/>
  <c r="L21" i="28"/>
  <c r="M24" i="28" l="1"/>
  <c r="J23" i="28"/>
  <c r="K23" i="28" s="1"/>
  <c r="H25" i="28"/>
  <c r="G25" i="28"/>
  <c r="F26" i="28"/>
  <c r="I24" i="28"/>
  <c r="G26" i="28" l="1"/>
  <c r="H26" i="28"/>
  <c r="F27" i="28"/>
  <c r="I25" i="28"/>
  <c r="L24" i="28"/>
  <c r="L23" i="28"/>
  <c r="M25" i="28"/>
  <c r="J24" i="28"/>
  <c r="K24" i="28" s="1"/>
  <c r="H27" i="28" l="1"/>
  <c r="G27" i="28"/>
  <c r="I27" i="28" s="1"/>
  <c r="J27" i="28" s="1"/>
  <c r="K27" i="28" s="1"/>
  <c r="J25" i="28"/>
  <c r="K25" i="28" s="1"/>
  <c r="M26" i="28"/>
  <c r="L25" i="28"/>
  <c r="I26" i="28"/>
  <c r="J26" i="28" l="1"/>
  <c r="K26" i="28" s="1"/>
  <c r="L27" i="28" s="1"/>
  <c r="M27" i="28"/>
  <c r="L26" i="28" l="1"/>
  <c r="K39" i="16" l="1"/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AA9" i="16" l="1"/>
  <c r="B2" i="19"/>
  <c r="F5" i="18" l="1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81" i="18"/>
  <c r="F189" i="18"/>
  <c r="F201" i="18"/>
  <c r="F213" i="18"/>
  <c r="F225" i="18"/>
  <c r="F237" i="18"/>
  <c r="F206" i="18"/>
  <c r="F222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202" i="18"/>
  <c r="F214" i="18"/>
  <c r="F230" i="18"/>
  <c r="F3" i="18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F115" i="18"/>
  <c r="F119" i="18"/>
  <c r="F123" i="18"/>
  <c r="F127" i="18"/>
  <c r="F131" i="18"/>
  <c r="F135" i="18"/>
  <c r="F139" i="18"/>
  <c r="F143" i="18"/>
  <c r="F147" i="18"/>
  <c r="F151" i="18"/>
  <c r="F155" i="18"/>
  <c r="F159" i="18"/>
  <c r="F163" i="18"/>
  <c r="F167" i="18"/>
  <c r="F171" i="18"/>
  <c r="F175" i="18"/>
  <c r="F179" i="18"/>
  <c r="F183" i="18"/>
  <c r="F187" i="18"/>
  <c r="F191" i="18"/>
  <c r="F195" i="18"/>
  <c r="F199" i="18"/>
  <c r="F203" i="18"/>
  <c r="F207" i="18"/>
  <c r="F211" i="18"/>
  <c r="F215" i="18"/>
  <c r="F219" i="18"/>
  <c r="F223" i="18"/>
  <c r="F227" i="18"/>
  <c r="F231" i="18"/>
  <c r="F235" i="18"/>
  <c r="F228" i="18"/>
  <c r="F236" i="18"/>
  <c r="F177" i="18"/>
  <c r="F193" i="18"/>
  <c r="F205" i="18"/>
  <c r="F221" i="18"/>
  <c r="F233" i="18"/>
  <c r="F198" i="18"/>
  <c r="F218" i="18"/>
  <c r="F234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184" i="18"/>
  <c r="F188" i="18"/>
  <c r="F192" i="18"/>
  <c r="F196" i="18"/>
  <c r="F200" i="18"/>
  <c r="F204" i="18"/>
  <c r="F208" i="18"/>
  <c r="F212" i="18"/>
  <c r="F216" i="18"/>
  <c r="F220" i="18"/>
  <c r="F224" i="18"/>
  <c r="F232" i="18"/>
  <c r="F173" i="18"/>
  <c r="F185" i="18"/>
  <c r="F197" i="18"/>
  <c r="F209" i="18"/>
  <c r="F217" i="18"/>
  <c r="F229" i="18"/>
  <c r="F194" i="18"/>
  <c r="F210" i="18"/>
  <c r="F226" i="18"/>
  <c r="J47" i="16"/>
  <c r="J48" i="16"/>
  <c r="J49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AA13" i="16" l="1"/>
  <c r="AA4" i="16" l="1"/>
  <c r="M39" i="16" l="1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B9" i="27" s="1"/>
  <c r="C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G50" i="16"/>
  <c r="AA10" i="16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C10" i="27" l="1"/>
  <c r="T38" i="16"/>
  <c r="K15" i="27"/>
  <c r="O47" i="16" s="1"/>
  <c r="Q39" i="16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F92" i="16" l="1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2" i="16" l="1"/>
  <c r="L51" i="16"/>
  <c r="L50" i="16"/>
  <c r="L44" i="16"/>
  <c r="L49" i="16"/>
  <c r="L43" i="16"/>
  <c r="L46" i="16"/>
  <c r="L47" i="16"/>
  <c r="L45" i="16"/>
  <c r="L48" i="16"/>
  <c r="M42" i="16"/>
  <c r="M51" i="16"/>
  <c r="M44" i="16"/>
  <c r="M47" i="16"/>
  <c r="M50" i="16"/>
  <c r="M49" i="16"/>
  <c r="M46" i="16"/>
  <c r="M45" i="16"/>
  <c r="M48" i="16"/>
  <c r="M43" i="16"/>
  <c r="K48" i="16"/>
  <c r="K50" i="16"/>
  <c r="K44" i="16"/>
  <c r="K51" i="16"/>
  <c r="K46" i="16"/>
  <c r="K45" i="16"/>
  <c r="K43" i="16"/>
  <c r="K49" i="16"/>
  <c r="K47" i="16"/>
  <c r="K42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7-07' and AsOfDate&gt;= '2015-06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5-07-07' and AsOfDate&gt;= '2015-07-02' order by d.AsOfDate"/>
  </connection>
  <connection id="3" name="FunctionOfRatesLoanQuery" type="1" refreshedVersion="4" savePassword="1" saveData="1">
    <dbPr connection="DSN=Agency" command="exec RefinancibleUniverse_FunctionOfRates_Loan  3.86197316841978, '2015-06-01'"/>
  </connection>
  <connection id="4" name="FunctionOfRatesLoanWithLowestRateQuery" type="1" refreshedVersion="4" savePassword="1" saveData="1">
    <dbPr connection="DSN=Agency" command="exec RefinancibleUniverse_FunctionOfRates_LowestRate_Loan 3.86197316841978, '2015-06-01', '2015-07-02'"/>
  </connection>
  <connection id="5" name="FunctionOfRatesPoolQuery" type="1" refreshedVersion="4" savePassword="1" saveData="1">
    <dbPr connection="DSN=Agency" command="exec RefinancibleUniverse_FunctionOfRates  3.86197316841978, '2015-06-01'"/>
  </connection>
  <connection id="6" name="LoanLevelLowestRateQuery" type="1" refreshedVersion="4" savePassword="1" saveData="1">
    <dbPr connection="DSN=Agency" command="exec RefinancibleUniverse_LoanLevel_withLowestRate '2015-07-07'"/>
  </connection>
  <connection id="7" name="LoanLevelQuery" type="1" refreshedVersion="4" savePassword="1" saveData="1">
    <dbPr connection="DSN=Agency" command="exec RefinancibleUniverse_LoanLevel '2015-07-07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7-02' group by AsOfDate "/>
  </connection>
  <connection id="15" name="PoolLevelQuery" type="1" refreshedVersion="4" savePassword="1" saveData="1">
    <dbPr connection="DSN=Agency" command="DROP TABLE IF EXISTS #tempone select AsOfDate, convert(date, year(asOfDate) || '-' || month(asOfDate) || '-01') as AsOf, lastmonth = dateadd(month, -1, AsOf)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t.lastmonth = f.asOf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3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<sst xmlns="http://schemas.openxmlformats.org/spreadsheetml/2006/main" count="196" uniqueCount="142">
  <si>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</si>
  <si>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</si>
  <si>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</si>
  <si>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</si>
  <si>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</si>
  <si>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</si>
  <si>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</si>
  <si>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</si>
  <si>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</si>
  <si>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</si>
  <si>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</si>
  <si>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</si>
  <si>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</si>
  <si>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</si>
  <si>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</si>
  <si>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</si>
  <si>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</si>
  <si>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</si>
  <si>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</si>
  <si>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</si>
  <si>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</si>
  <si>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</si>
  <si>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</si>
  <si>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</si>
  <si>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</si>
  <si>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</si>
  <si>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</si>
  <si>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</si>
  <si>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</si>
  <si>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</si>
  <si>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</si>
  <si>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</si>
  <si>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</si>
  <si>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</si>
  <si>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</si>
  <si>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</si>
  <si>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</si>
  <si>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</si>
  <si>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</si>
  <si>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</si>
  <si>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</si>
  <si>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</si>
  <si>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</si>
  <si>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</si>
  <si>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</si>
  <si>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</si>
  <si>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</si>
  <si>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</si>
  <si>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</si>
  <si>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</si>
  <si>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</si>
  <si>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</si>
  <si>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</si>
  <si>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</si>
  <si>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</si>
  <si>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</si>
  <si>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</si>
  <si>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</si>
  <si>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</si>
  <si>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</si>
  <si>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</si>
  <si>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</si>
  <si>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</si>
  <si>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</si>
  <si>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</si>
  <si>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</si>
  <si>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</si>
  <si>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</si>
  <si>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</si>
  <si>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</si>
  <si>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</si>
  <si>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</si>
  <si>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</si>
  <si>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</si>
  <si>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</si>
  <si>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</si>
  <si>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</si>
  <si>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</si>
  <si>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</si>
  <si>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</si>
  <si>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</si>
  <si>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</si>
  <si>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</si>
  <si>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</si>
  <si>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</si>
  <si>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</si>
  <si>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S:\IT\Production\Daily Reports\Primary Market\2015-07\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</si>
  <si>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</si>
  <si>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</si>
  <si>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</si>
  <si>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</si>
  <si>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</si>
  <si>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</si>
  <si>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</si>
  <si>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</si>
  <si>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</si>
  <si>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</si>
  <si>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</si>
  <si>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</si>
  <si>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</si>
  <si>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</si>
  <si>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</si>
  <si>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</si>
  <si>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</si>
  <si>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</si>
  <si>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</si>
  <si>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</si>
  <si>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</si>
  <si>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</si>
  <si>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</si>
  <si>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</si>
  <si>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</si>
  <si>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</si>
  <si>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</si>
  <si>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</si>
  <si>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</si>
  <si>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</si>
  <si>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</si>
  <si>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</si>
  <si>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</si>
  <si>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</si>
  <si>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</si>
  <si>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</si>
  <si>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</si>
  <si>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</si>
  <si>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</si>
  <si>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</si>
  <si>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</si>
  <si>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</si>
  <si>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</si>
  <si>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Servicing Spread Query</t>
  </si>
  <si>
    <t>TickerName</t>
  </si>
  <si>
    <t>2015-07-02</t>
  </si>
  <si>
    <t>FN_CMM_30Yr</t>
  </si>
  <si>
    <t>2015-07-06</t>
  </si>
  <si>
    <t>2015-07-07</t>
  </si>
  <si>
    <t>Current Coupon</t>
  </si>
  <si>
    <t>Implied Rate</t>
  </si>
  <si>
    <t>Implied Daily Rate:</t>
  </si>
  <si>
    <t>Daily Rate is calculated by current coupon plus the implied servicing spread.</t>
  </si>
  <si>
    <t>Current Coupon:</t>
  </si>
  <si>
    <t>Servicing Spread: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</si>
</sst>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9" formatCode="yyyy\-mm\-dd"/>
  </numFmts>
  <fonts count="1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03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14" fontId="141" fillId="0" borderId="0" xfId="0" applyNumberFormat="1" applyFont="1"/>
    <xf numFmtId="10" fontId="141" fillId="0" borderId="0" xfId="0" applyNumberFormat="1" applyFont="1"/>
    <xf numFmtId="2" fontId="141" fillId="0" borderId="0" xfId="0" applyNumberFormat="1" applyFont="1"/>
    <xf numFmtId="14" fontId="142" fillId="0" borderId="0" xfId="0" applyNumberFormat="1" applyFont="1"/>
    <xf numFmtId="10" fontId="142" fillId="0" borderId="0" xfId="0" applyNumberFormat="1" applyFont="1"/>
    <xf numFmtId="2" fontId="142" fillId="0" borderId="0" xfId="0" applyNumberFormat="1" applyFont="1"/>
    <xf numFmtId="0" fontId="7" fillId="0" borderId="0" xfId="0" quotePrefix="1" applyFont="1" applyAlignment="1"/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0" fontId="138" fillId="0" borderId="61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4" fontId="139" fillId="0" borderId="0" xfId="0" applyNumberFormat="1" applyFont="1" applyAlignment="1">
      <alignment horizontal="center"/>
    </xf>
    <xf numFmtId="0" fontId="143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4" fillId="41" borderId="0" xfId="351" applyFont="1"/>
    <xf numFmtId="199" fontId="7" fillId="0" borderId="0" xfId="0" applyNumberFormat="1" applyFont="1"/>
    <xf numFmtId="0" fontId="7" fillId="0" borderId="44" xfId="0" applyFont="1" applyBorder="1"/>
    <xf numFmtId="10" fontId="7" fillId="0" borderId="44" xfId="0" applyNumberFormat="1" applyFont="1" applyBorder="1"/>
    <xf numFmtId="2" fontId="139" fillId="0" borderId="0" xfId="0" applyNumberFormat="1" applyFont="1" applyAlignment="1">
      <alignment horizontal="left"/>
    </xf>
    <xf numFmtId="2" fontId="145" fillId="0" borderId="0" xfId="0" applyNumberFormat="1" applyFont="1" applyAlignment="1">
      <alignment horizontal="left"/>
    </xf>
    <xf numFmtId="0" fontId="145" fillId="0" borderId="0" xfId="0" applyFont="1" applyAlignment="1">
      <alignment horizontal="left"/>
    </xf>
    <xf numFmtId="0" fontId="138" fillId="0" borderId="0" xfId="0" applyFont="1" applyAlignment="1">
      <alignment horizontal="right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98"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0.78739680159230041</c:v>
                </c:pt>
                <c:pt idx="1">
                  <c:v>0.72194394188659283</c:v>
                </c:pt>
                <c:pt idx="2">
                  <c:v>0.62942249098570757</c:v>
                </c:pt>
                <c:pt idx="3">
                  <c:v>0.58852660422619796</c:v>
                </c:pt>
                <c:pt idx="4">
                  <c:v>0.54490638220164611</c:v>
                </c:pt>
                <c:pt idx="5">
                  <c:v>0.50886845958497351</c:v>
                </c:pt>
                <c:pt idx="6">
                  <c:v>0.43793116814222482</c:v>
                </c:pt>
                <c:pt idx="7">
                  <c:v>0.36611236549970821</c:v>
                </c:pt>
                <c:pt idx="8">
                  <c:v>0.31543885679925637</c:v>
                </c:pt>
                <c:pt idx="9">
                  <c:v>0.28314838405830683</c:v>
                </c:pt>
                <c:pt idx="10">
                  <c:v>0.26235974776771248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0.7248139388783903</c:v>
                </c:pt>
                <c:pt idx="1">
                  <c:v>0.65587583536614569</c:v>
                </c:pt>
                <c:pt idx="2">
                  <c:v>0.61196729695509944</c:v>
                </c:pt>
                <c:pt idx="3">
                  <c:v>0.54947037000480958</c:v>
                </c:pt>
                <c:pt idx="4">
                  <c:v>0.48478831034476411</c:v>
                </c:pt>
                <c:pt idx="5">
                  <c:v>0.45378295079705377</c:v>
                </c:pt>
                <c:pt idx="6">
                  <c:v>0.39379483372057345</c:v>
                </c:pt>
                <c:pt idx="7">
                  <c:v>0.3595721117739043</c:v>
                </c:pt>
                <c:pt idx="8">
                  <c:v>0.3166359857254013</c:v>
                </c:pt>
                <c:pt idx="9">
                  <c:v>0.26666030012206848</c:v>
                </c:pt>
                <c:pt idx="10">
                  <c:v>0.24088325679945349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0.23310054630335109</c:v>
                </c:pt>
                <c:pt idx="1">
                  <c:v>0.20334858442040255</c:v>
                </c:pt>
                <c:pt idx="2">
                  <c:v>4.4774026321930879E-3</c:v>
                </c:pt>
                <c:pt idx="3">
                  <c:v>2.278771299489286E-3</c:v>
                </c:pt>
                <c:pt idx="4">
                  <c:v>3.8804010869198557E-4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624768"/>
        <c:axId val="266184960"/>
      </c:lineChart>
      <c:catAx>
        <c:axId val="2646247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6184960"/>
        <c:crosses val="autoZero"/>
        <c:auto val="1"/>
        <c:lblAlgn val="ctr"/>
        <c:lblOffset val="100"/>
        <c:noMultiLvlLbl val="0"/>
      </c:catAx>
      <c:valAx>
        <c:axId val="26618496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64624768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Query!$E$3:$E$237</c:f>
              <c:numCache>
                <c:formatCode>0.00%</c:formatCode>
                <c:ptCount val="2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3.9431628666260904E-3</c:v>
                </c:pt>
                <c:pt idx="11">
                  <c:v>0</c:v>
                </c:pt>
                <c:pt idx="12">
                  <c:v>3.87908393633439E-3</c:v>
                </c:pt>
                <c:pt idx="13">
                  <c:v>0</c:v>
                </c:pt>
                <c:pt idx="14">
                  <c:v>9.60298428502188E-4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0.17933240004933601</c:v>
                </c:pt>
                <c:pt idx="22">
                  <c:v>0</c:v>
                </c:pt>
                <c:pt idx="23">
                  <c:v>0.17811212012226099</c:v>
                </c:pt>
                <c:pt idx="24">
                  <c:v>0.177765501913389</c:v>
                </c:pt>
                <c:pt idx="25">
                  <c:v>0.14268475210645201</c:v>
                </c:pt>
                <c:pt idx="26">
                  <c:v>0</c:v>
                </c:pt>
                <c:pt idx="27">
                  <c:v>0</c:v>
                </c:pt>
                <c:pt idx="28">
                  <c:v>0.127103043508559</c:v>
                </c:pt>
                <c:pt idx="29">
                  <c:v>0</c:v>
                </c:pt>
                <c:pt idx="30">
                  <c:v>0.106230521131833</c:v>
                </c:pt>
                <c:pt idx="31">
                  <c:v>1.9601498700341099E-3</c:v>
                </c:pt>
                <c:pt idx="32">
                  <c:v>1.9465534524820899E-3</c:v>
                </c:pt>
                <c:pt idx="33">
                  <c:v>1.4902494177175701E-3</c:v>
                </c:pt>
                <c:pt idx="34">
                  <c:v>0</c:v>
                </c:pt>
                <c:pt idx="35">
                  <c:v>0</c:v>
                </c:pt>
                <c:pt idx="36">
                  <c:v>0.103644934949105</c:v>
                </c:pt>
                <c:pt idx="37">
                  <c:v>9.0356790924596503E-2</c:v>
                </c:pt>
                <c:pt idx="38">
                  <c:v>1.00775509847578E-3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5.44200843584444E-2</c:v>
                </c:pt>
                <c:pt idx="46">
                  <c:v>5.9130346511517896E-4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4.9242422986382497E-2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3.2896088379140397E-2</c:v>
                </c:pt>
                <c:pt idx="57">
                  <c:v>2.8641136811507002E-2</c:v>
                </c:pt>
                <c:pt idx="58">
                  <c:v>1.7600292816905099E-2</c:v>
                </c:pt>
                <c:pt idx="59">
                  <c:v>1.3390108612719401E-2</c:v>
                </c:pt>
                <c:pt idx="60">
                  <c:v>1.33698656511534E-2</c:v>
                </c:pt>
                <c:pt idx="61">
                  <c:v>0</c:v>
                </c:pt>
                <c:pt idx="62">
                  <c:v>0</c:v>
                </c:pt>
                <c:pt idx="63">
                  <c:v>1.3569924293908599E-3</c:v>
                </c:pt>
                <c:pt idx="64">
                  <c:v>3.2608018628066501E-4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1.56502134325395E-3</c:v>
                </c:pt>
                <c:pt idx="74">
                  <c:v>9.04155248858617E-4</c:v>
                </c:pt>
                <c:pt idx="75">
                  <c:v>4.3538471617421198E-4</c:v>
                </c:pt>
                <c:pt idx="76">
                  <c:v>4.3244857845843099E-4</c:v>
                </c:pt>
                <c:pt idx="77">
                  <c:v>1.04165660314928E-4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6.1587902327108696E-3</c:v>
                </c:pt>
                <c:pt idx="88">
                  <c:v>4.7022607373106203E-3</c:v>
                </c:pt>
                <c:pt idx="89">
                  <c:v>0</c:v>
                </c:pt>
                <c:pt idx="90">
                  <c:v>0</c:v>
                </c:pt>
                <c:pt idx="91">
                  <c:v>1.7927762872913E-3</c:v>
                </c:pt>
                <c:pt idx="92">
                  <c:v>8.9334697556313401E-4</c:v>
                </c:pt>
                <c:pt idx="93">
                  <c:v>1.2070812662829E-4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9.3714860500272602E-3</c:v>
                </c:pt>
                <c:pt idx="114">
                  <c:v>0</c:v>
                </c:pt>
                <c:pt idx="115">
                  <c:v>5.4959854023419203E-3</c:v>
                </c:pt>
                <c:pt idx="116">
                  <c:v>3.9681299102296798E-3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7.62863846133132E-4</c:v>
                </c:pt>
                <c:pt idx="122">
                  <c:v>5.5309707563809801E-4</c:v>
                </c:pt>
                <c:pt idx="123">
                  <c:v>0</c:v>
                </c:pt>
                <c:pt idx="124">
                  <c:v>5.4993651942507197E-4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1.92397129365898E-3</c:v>
                </c:pt>
                <c:pt idx="134">
                  <c:v>0</c:v>
                </c:pt>
                <c:pt idx="135">
                  <c:v>0</c:v>
                </c:pt>
                <c:pt idx="136">
                  <c:v>0.88870182147749199</c:v>
                </c:pt>
                <c:pt idx="137">
                  <c:v>3.6805392889150699E-3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0.89337068210282</c:v>
                </c:pt>
                <c:pt idx="144">
                  <c:v>0.91307424668051995</c:v>
                </c:pt>
                <c:pt idx="145">
                  <c:v>0.87391634150534703</c:v>
                </c:pt>
                <c:pt idx="146">
                  <c:v>3.4287960012666001E-3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0.89854811201564799</c:v>
                </c:pt>
                <c:pt idx="154">
                  <c:v>0.88557582733423201</c:v>
                </c:pt>
                <c:pt idx="155">
                  <c:v>0.88306588959651799</c:v>
                </c:pt>
                <c:pt idx="156">
                  <c:v>0.85480310148891403</c:v>
                </c:pt>
                <c:pt idx="157">
                  <c:v>0.86355719580735102</c:v>
                </c:pt>
                <c:pt idx="158">
                  <c:v>0.86355719580735102</c:v>
                </c:pt>
                <c:pt idx="159">
                  <c:v>0</c:v>
                </c:pt>
                <c:pt idx="160">
                  <c:v>0.86123151402869003</c:v>
                </c:pt>
                <c:pt idx="161">
                  <c:v>0.83309495413351498</c:v>
                </c:pt>
                <c:pt idx="162">
                  <c:v>0</c:v>
                </c:pt>
                <c:pt idx="163">
                  <c:v>0.831927164274886</c:v>
                </c:pt>
                <c:pt idx="164">
                  <c:v>0.80754152596055995</c:v>
                </c:pt>
                <c:pt idx="165">
                  <c:v>0.80415566862182497</c:v>
                </c:pt>
                <c:pt idx="166">
                  <c:v>0.80265108338267499</c:v>
                </c:pt>
                <c:pt idx="167">
                  <c:v>0</c:v>
                </c:pt>
                <c:pt idx="168">
                  <c:v>0.80265108338267499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7.6028475141971797E-4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0.81663205917875104</c:v>
                </c:pt>
                <c:pt idx="182">
                  <c:v>0</c:v>
                </c:pt>
                <c:pt idx="183">
                  <c:v>0</c:v>
                </c:pt>
                <c:pt idx="184">
                  <c:v>0.82559057548597004</c:v>
                </c:pt>
                <c:pt idx="185">
                  <c:v>0.79669049657242397</c:v>
                </c:pt>
                <c:pt idx="186">
                  <c:v>6.7786594921879302E-4</c:v>
                </c:pt>
                <c:pt idx="187">
                  <c:v>0</c:v>
                </c:pt>
                <c:pt idx="188">
                  <c:v>8.8101230968728496E-4</c:v>
                </c:pt>
                <c:pt idx="189">
                  <c:v>0</c:v>
                </c:pt>
                <c:pt idx="190">
                  <c:v>8.7950076846855297E-4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0.82194247765297301</c:v>
                </c:pt>
                <c:pt idx="196">
                  <c:v>0.83561176946303795</c:v>
                </c:pt>
                <c:pt idx="197">
                  <c:v>0</c:v>
                </c:pt>
                <c:pt idx="198">
                  <c:v>0.78833832359916201</c:v>
                </c:pt>
                <c:pt idx="199">
                  <c:v>0.786160649616369</c:v>
                </c:pt>
                <c:pt idx="200">
                  <c:v>0</c:v>
                </c:pt>
                <c:pt idx="201">
                  <c:v>0</c:v>
                </c:pt>
                <c:pt idx="202">
                  <c:v>0.76977670194978398</c:v>
                </c:pt>
                <c:pt idx="203">
                  <c:v>3.6312412114141997E-2</c:v>
                </c:pt>
                <c:pt idx="204">
                  <c:v>1.93393301571353E-2</c:v>
                </c:pt>
                <c:pt idx="205">
                  <c:v>0</c:v>
                </c:pt>
                <c:pt idx="206">
                  <c:v>0</c:v>
                </c:pt>
                <c:pt idx="207">
                  <c:v>6.2583851957797503E-4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1.05889699277147E-2</c:v>
                </c:pt>
                <c:pt idx="213">
                  <c:v>7.3340957383171597E-3</c:v>
                </c:pt>
                <c:pt idx="214">
                  <c:v>4.6547514757033599E-3</c:v>
                </c:pt>
                <c:pt idx="215">
                  <c:v>4.6431452038205798E-3</c:v>
                </c:pt>
                <c:pt idx="216">
                  <c:v>4.5959167751793003E-3</c:v>
                </c:pt>
                <c:pt idx="217">
                  <c:v>1.82362980081562E-3</c:v>
                </c:pt>
                <c:pt idx="218">
                  <c:v>3.6290053539469699E-4</c:v>
                </c:pt>
                <c:pt idx="219">
                  <c:v>3.6012387911354998E-4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4.9225242343752603E-4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5.80030998251819E-5</c:v>
                </c:pt>
                <c:pt idx="2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583296"/>
        <c:axId val="312584832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Query!$C$3:$C$237</c:f>
              <c:numCache>
                <c:formatCode>0.00%</c:formatCode>
                <c:ptCount val="235"/>
                <c:pt idx="0">
                  <c:v>0.42691007799753877</c:v>
                </c:pt>
                <c:pt idx="1">
                  <c:v>0.45889007356496508</c:v>
                </c:pt>
                <c:pt idx="2">
                  <c:v>0.47504859154397289</c:v>
                </c:pt>
                <c:pt idx="3">
                  <c:v>0.46172473046300011</c:v>
                </c:pt>
                <c:pt idx="4">
                  <c:v>0.54951676769042945</c:v>
                </c:pt>
                <c:pt idx="5">
                  <c:v>0.55902460267794318</c:v>
                </c:pt>
                <c:pt idx="6">
                  <c:v>0.56247001508658589</c:v>
                </c:pt>
                <c:pt idx="7">
                  <c:v>0.57098174826031445</c:v>
                </c:pt>
                <c:pt idx="8">
                  <c:v>0.59037176491848908</c:v>
                </c:pt>
                <c:pt idx="9">
                  <c:v>0.64603046293502864</c:v>
                </c:pt>
                <c:pt idx="10">
                  <c:v>0.65844284474757131</c:v>
                </c:pt>
                <c:pt idx="11">
                  <c:v>0.64019129085731785</c:v>
                </c:pt>
                <c:pt idx="12">
                  <c:v>0.65412296677072113</c:v>
                </c:pt>
                <c:pt idx="13">
                  <c:v>0.63757021314193218</c:v>
                </c:pt>
                <c:pt idx="14">
                  <c:v>0.64890841265420796</c:v>
                </c:pt>
                <c:pt idx="15">
                  <c:v>0.61916808494400521</c:v>
                </c:pt>
                <c:pt idx="16">
                  <c:v>0.58615251978310723</c:v>
                </c:pt>
                <c:pt idx="17">
                  <c:v>0.62830808931498816</c:v>
                </c:pt>
                <c:pt idx="18">
                  <c:v>0.61469145921482737</c:v>
                </c:pt>
                <c:pt idx="19">
                  <c:v>0.62918563533375538</c:v>
                </c:pt>
                <c:pt idx="20">
                  <c:v>0.65089272690592892</c:v>
                </c:pt>
                <c:pt idx="21">
                  <c:v>0.68613791923063638</c:v>
                </c:pt>
                <c:pt idx="22">
                  <c:v>0.66237769243691424</c:v>
                </c:pt>
                <c:pt idx="23">
                  <c:v>0.66443740132152351</c:v>
                </c:pt>
                <c:pt idx="24">
                  <c:v>0.66237769243691424</c:v>
                </c:pt>
                <c:pt idx="25">
                  <c:v>0.63535246046030358</c:v>
                </c:pt>
                <c:pt idx="26">
                  <c:v>0.59452652549193286</c:v>
                </c:pt>
                <c:pt idx="27">
                  <c:v>0.6078826622396406</c:v>
                </c:pt>
                <c:pt idx="28">
                  <c:v>0.61729602418947438</c:v>
                </c:pt>
                <c:pt idx="29">
                  <c:v>0.58317600569372552</c:v>
                </c:pt>
                <c:pt idx="30">
                  <c:v>0.59653157178880079</c:v>
                </c:pt>
                <c:pt idx="31">
                  <c:v>0.57517284737260799</c:v>
                </c:pt>
                <c:pt idx="32">
                  <c:v>0.56861607014134152</c:v>
                </c:pt>
                <c:pt idx="33">
                  <c:v>0.55727419854014459</c:v>
                </c:pt>
                <c:pt idx="34">
                  <c:v>0.55093013331653118</c:v>
                </c:pt>
                <c:pt idx="35">
                  <c:v>0.57465727832154401</c:v>
                </c:pt>
                <c:pt idx="36">
                  <c:v>0.58902995061120811</c:v>
                </c:pt>
                <c:pt idx="37">
                  <c:v>0.57793839140083469</c:v>
                </c:pt>
                <c:pt idx="38">
                  <c:v>0.4741591952243816</c:v>
                </c:pt>
                <c:pt idx="39">
                  <c:v>0.43658809651451691</c:v>
                </c:pt>
                <c:pt idx="40">
                  <c:v>0.41765287093842862</c:v>
                </c:pt>
                <c:pt idx="41">
                  <c:v>0.4028098229838899</c:v>
                </c:pt>
                <c:pt idx="42">
                  <c:v>0.47788907778136447</c:v>
                </c:pt>
                <c:pt idx="43">
                  <c:v>0.49084413664233395</c:v>
                </c:pt>
                <c:pt idx="44">
                  <c:v>0.49450426590474372</c:v>
                </c:pt>
                <c:pt idx="45">
                  <c:v>0.49450426590474372</c:v>
                </c:pt>
                <c:pt idx="46">
                  <c:v>0.45923072088835232</c:v>
                </c:pt>
                <c:pt idx="47">
                  <c:v>0.42761316319375164</c:v>
                </c:pt>
                <c:pt idx="48">
                  <c:v>0.46227032845945415</c:v>
                </c:pt>
                <c:pt idx="49">
                  <c:v>0.45404122340567382</c:v>
                </c:pt>
                <c:pt idx="50">
                  <c:v>0.45404122340567382</c:v>
                </c:pt>
                <c:pt idx="51">
                  <c:v>0.42364839961947226</c:v>
                </c:pt>
                <c:pt idx="52">
                  <c:v>0.48442990028209243</c:v>
                </c:pt>
                <c:pt idx="53">
                  <c:v>0.47018466104096124</c:v>
                </c:pt>
                <c:pt idx="54">
                  <c:v>0.42786281792681791</c:v>
                </c:pt>
                <c:pt idx="55">
                  <c:v>0.4132153406951769</c:v>
                </c:pt>
                <c:pt idx="56">
                  <c:v>0.47018466104096124</c:v>
                </c:pt>
                <c:pt idx="57">
                  <c:v>0.46212093229047874</c:v>
                </c:pt>
                <c:pt idx="58">
                  <c:v>0.44690273635148237</c:v>
                </c:pt>
                <c:pt idx="59">
                  <c:v>0.41535226346324033</c:v>
                </c:pt>
                <c:pt idx="60">
                  <c:v>0.41189601141635707</c:v>
                </c:pt>
                <c:pt idx="61">
                  <c:v>0.37749232793152004</c:v>
                </c:pt>
                <c:pt idx="62">
                  <c:v>0.37795299805706567</c:v>
                </c:pt>
                <c:pt idx="63">
                  <c:v>0.38501077847486359</c:v>
                </c:pt>
                <c:pt idx="64">
                  <c:v>0.37093015775517096</c:v>
                </c:pt>
                <c:pt idx="65">
                  <c:v>0.35962750862378579</c:v>
                </c:pt>
                <c:pt idx="66">
                  <c:v>0.36918426917853386</c:v>
                </c:pt>
                <c:pt idx="67">
                  <c:v>0.38281318096373629</c:v>
                </c:pt>
                <c:pt idx="68">
                  <c:v>0.37243700930193413</c:v>
                </c:pt>
                <c:pt idx="69">
                  <c:v>0.38532630107916044</c:v>
                </c:pt>
                <c:pt idx="70">
                  <c:v>0.37411351911497304</c:v>
                </c:pt>
                <c:pt idx="71">
                  <c:v>0.37945519055423005</c:v>
                </c:pt>
                <c:pt idx="72">
                  <c:v>0.38811614070914796</c:v>
                </c:pt>
                <c:pt idx="73">
                  <c:v>0.40297154475851232</c:v>
                </c:pt>
                <c:pt idx="74">
                  <c:v>0.38688449383864632</c:v>
                </c:pt>
                <c:pt idx="75">
                  <c:v>0.37647743708570247</c:v>
                </c:pt>
                <c:pt idx="76">
                  <c:v>0.37338021104571051</c:v>
                </c:pt>
                <c:pt idx="77">
                  <c:v>0.29562447577972156</c:v>
                </c:pt>
                <c:pt idx="78">
                  <c:v>0.26713898011245318</c:v>
                </c:pt>
                <c:pt idx="79">
                  <c:v>0.33707254184688035</c:v>
                </c:pt>
                <c:pt idx="80">
                  <c:v>0.34660194288586071</c:v>
                </c:pt>
                <c:pt idx="81">
                  <c:v>0.37693581248534513</c:v>
                </c:pt>
                <c:pt idx="82">
                  <c:v>0.37955489771721246</c:v>
                </c:pt>
                <c:pt idx="83">
                  <c:v>0.4012610510109535</c:v>
                </c:pt>
                <c:pt idx="84">
                  <c:v>0.41528178559290679</c:v>
                </c:pt>
                <c:pt idx="85">
                  <c:v>0.39324233603958814</c:v>
                </c:pt>
                <c:pt idx="86">
                  <c:v>0.42241812473217372</c:v>
                </c:pt>
                <c:pt idx="87">
                  <c:v>0.45812068858697386</c:v>
                </c:pt>
                <c:pt idx="88">
                  <c:v>0.42936473511090067</c:v>
                </c:pt>
                <c:pt idx="89">
                  <c:v>0.40745334709317088</c:v>
                </c:pt>
                <c:pt idx="90">
                  <c:v>0.41309884742174274</c:v>
                </c:pt>
                <c:pt idx="91">
                  <c:v>0.41413970489530927</c:v>
                </c:pt>
                <c:pt idx="92">
                  <c:v>0.41584354527777323</c:v>
                </c:pt>
                <c:pt idx="93">
                  <c:v>0.34352499045119317</c:v>
                </c:pt>
                <c:pt idx="94">
                  <c:v>0.28418148180009006</c:v>
                </c:pt>
                <c:pt idx="95">
                  <c:v>0.29149943706266673</c:v>
                </c:pt>
                <c:pt idx="96">
                  <c:v>0.34144008855173769</c:v>
                </c:pt>
                <c:pt idx="97">
                  <c:v>0.29455543788744365</c:v>
                </c:pt>
                <c:pt idx="98">
                  <c:v>0.42309347536926606</c:v>
                </c:pt>
                <c:pt idx="99">
                  <c:v>0.42309347536926606</c:v>
                </c:pt>
                <c:pt idx="100">
                  <c:v>0.4242223603405651</c:v>
                </c:pt>
                <c:pt idx="101">
                  <c:v>0.44748005520806433</c:v>
                </c:pt>
                <c:pt idx="102">
                  <c:v>0.44439106685925217</c:v>
                </c:pt>
                <c:pt idx="103">
                  <c:v>0.33290156371151358</c:v>
                </c:pt>
                <c:pt idx="104">
                  <c:v>0.45140989566277362</c:v>
                </c:pt>
                <c:pt idx="105">
                  <c:v>0.40700739043562867</c:v>
                </c:pt>
                <c:pt idx="106">
                  <c:v>0.60892644255269435</c:v>
                </c:pt>
                <c:pt idx="107">
                  <c:v>0.59423864514046321</c:v>
                </c:pt>
                <c:pt idx="108">
                  <c:v>0.6263848307897435</c:v>
                </c:pt>
                <c:pt idx="109">
                  <c:v>0.65480493130822182</c:v>
                </c:pt>
                <c:pt idx="110">
                  <c:v>0.71597160462029186</c:v>
                </c:pt>
                <c:pt idx="111">
                  <c:v>0.79936031324337575</c:v>
                </c:pt>
                <c:pt idx="112">
                  <c:v>0.8256608129051427</c:v>
                </c:pt>
                <c:pt idx="113">
                  <c:v>0.83257474781957852</c:v>
                </c:pt>
                <c:pt idx="114">
                  <c:v>0.84305925134198079</c:v>
                </c:pt>
                <c:pt idx="115">
                  <c:v>0.84439179341474835</c:v>
                </c:pt>
                <c:pt idx="116">
                  <c:v>0.83798948836137577</c:v>
                </c:pt>
                <c:pt idx="117">
                  <c:v>0.76832708554350626</c:v>
                </c:pt>
                <c:pt idx="118">
                  <c:v>0.74949629336244095</c:v>
                </c:pt>
                <c:pt idx="119">
                  <c:v>0.78721266500464782</c:v>
                </c:pt>
                <c:pt idx="120">
                  <c:v>0.72169822774356485</c:v>
                </c:pt>
                <c:pt idx="121">
                  <c:v>0.83079065598448121</c:v>
                </c:pt>
                <c:pt idx="122">
                  <c:v>0.84063472269635875</c:v>
                </c:pt>
                <c:pt idx="123">
                  <c:v>0.78197458672123177</c:v>
                </c:pt>
                <c:pt idx="124">
                  <c:v>0.82228594543390077</c:v>
                </c:pt>
                <c:pt idx="125">
                  <c:v>0.82228594543390077</c:v>
                </c:pt>
                <c:pt idx="126">
                  <c:v>0.87254552435126431</c:v>
                </c:pt>
                <c:pt idx="127">
                  <c:v>0.90688789142571524</c:v>
                </c:pt>
                <c:pt idx="128">
                  <c:v>0.90904564835754453</c:v>
                </c:pt>
                <c:pt idx="129">
                  <c:v>0.90782006120518755</c:v>
                </c:pt>
                <c:pt idx="130">
                  <c:v>0.9105479087849232</c:v>
                </c:pt>
                <c:pt idx="131">
                  <c:v>0.92736895436677724</c:v>
                </c:pt>
                <c:pt idx="132">
                  <c:v>0.92693774833595899</c:v>
                </c:pt>
                <c:pt idx="133">
                  <c:v>0.92962672480790975</c:v>
                </c:pt>
                <c:pt idx="134">
                  <c:v>0.92772026190850965</c:v>
                </c:pt>
                <c:pt idx="135">
                  <c:v>0.95324471839825531</c:v>
                </c:pt>
                <c:pt idx="136">
                  <c:v>0.95520978776140819</c:v>
                </c:pt>
                <c:pt idx="137">
                  <c:v>0.95335910637163435</c:v>
                </c:pt>
                <c:pt idx="138">
                  <c:v>0.95122523158751371</c:v>
                </c:pt>
                <c:pt idx="139">
                  <c:v>0.95159604304738465</c:v>
                </c:pt>
                <c:pt idx="140">
                  <c:v>0.96333796137203465</c:v>
                </c:pt>
                <c:pt idx="141">
                  <c:v>0.96475073661562716</c:v>
                </c:pt>
                <c:pt idx="142">
                  <c:v>0.96375870927153184</c:v>
                </c:pt>
                <c:pt idx="143">
                  <c:v>0.96549727195050905</c:v>
                </c:pt>
                <c:pt idx="144">
                  <c:v>0.97972824609281739</c:v>
                </c:pt>
                <c:pt idx="145">
                  <c:v>0.97557589212912299</c:v>
                </c:pt>
                <c:pt idx="146">
                  <c:v>0.95934690244536402</c:v>
                </c:pt>
                <c:pt idx="147">
                  <c:v>0.9385222539497815</c:v>
                </c:pt>
                <c:pt idx="148">
                  <c:v>0.94205857388199854</c:v>
                </c:pt>
                <c:pt idx="149">
                  <c:v>0.87748700775465949</c:v>
                </c:pt>
                <c:pt idx="150">
                  <c:v>0.90339137243763723</c:v>
                </c:pt>
                <c:pt idx="151">
                  <c:v>0.94205857388199854</c:v>
                </c:pt>
                <c:pt idx="152">
                  <c:v>0.95587425416287319</c:v>
                </c:pt>
                <c:pt idx="153">
                  <c:v>0.99027447530696866</c:v>
                </c:pt>
                <c:pt idx="154">
                  <c:v>0.97847366123619861</c:v>
                </c:pt>
                <c:pt idx="155">
                  <c:v>0.95580172872477098</c:v>
                </c:pt>
                <c:pt idx="156">
                  <c:v>0.89815584955046668</c:v>
                </c:pt>
                <c:pt idx="157">
                  <c:v>0.90433551745614671</c:v>
                </c:pt>
                <c:pt idx="158">
                  <c:v>0.90433551745614671</c:v>
                </c:pt>
                <c:pt idx="159">
                  <c:v>0.89875319576913215</c:v>
                </c:pt>
                <c:pt idx="160">
                  <c:v>0.90226538815009849</c:v>
                </c:pt>
                <c:pt idx="161">
                  <c:v>0.91172389347479832</c:v>
                </c:pt>
                <c:pt idx="162">
                  <c:v>0.91139854356807648</c:v>
                </c:pt>
                <c:pt idx="163">
                  <c:v>0.91158635954379463</c:v>
                </c:pt>
                <c:pt idx="164">
                  <c:v>0.91043730151525848</c:v>
                </c:pt>
                <c:pt idx="165">
                  <c:v>0.90933155768623286</c:v>
                </c:pt>
                <c:pt idx="166">
                  <c:v>0.92081224691907704</c:v>
                </c:pt>
                <c:pt idx="167">
                  <c:v>0.91584710240533518</c:v>
                </c:pt>
                <c:pt idx="168">
                  <c:v>0.92081224691907704</c:v>
                </c:pt>
                <c:pt idx="169">
                  <c:v>0.88207169423008958</c:v>
                </c:pt>
                <c:pt idx="170">
                  <c:v>0.89839647193495631</c:v>
                </c:pt>
                <c:pt idx="171">
                  <c:v>0.81613042553286597</c:v>
                </c:pt>
                <c:pt idx="172">
                  <c:v>0.92731884222020211</c:v>
                </c:pt>
                <c:pt idx="173">
                  <c:v>0.94021222625007095</c:v>
                </c:pt>
                <c:pt idx="174">
                  <c:v>0.93754446570186334</c:v>
                </c:pt>
                <c:pt idx="175">
                  <c:v>0.92213501804792164</c:v>
                </c:pt>
                <c:pt idx="176">
                  <c:v>0.95301550179731664</c:v>
                </c:pt>
                <c:pt idx="177">
                  <c:v>0.95301550179731664</c:v>
                </c:pt>
                <c:pt idx="178">
                  <c:v>0.95301550179731664</c:v>
                </c:pt>
                <c:pt idx="179">
                  <c:v>0.93095663396698869</c:v>
                </c:pt>
                <c:pt idx="180">
                  <c:v>0.9605332037897929</c:v>
                </c:pt>
                <c:pt idx="181">
                  <c:v>0.96186747708451303</c:v>
                </c:pt>
                <c:pt idx="182">
                  <c:v>0.95441320378126659</c:v>
                </c:pt>
                <c:pt idx="183">
                  <c:v>0.96468401373452672</c:v>
                </c:pt>
                <c:pt idx="184">
                  <c:v>0.97266763503004883</c:v>
                </c:pt>
                <c:pt idx="185">
                  <c:v>0.95776869813018495</c:v>
                </c:pt>
                <c:pt idx="186">
                  <c:v>0.94404770550683115</c:v>
                </c:pt>
                <c:pt idx="187">
                  <c:v>0.93485323798856346</c:v>
                </c:pt>
                <c:pt idx="188">
                  <c:v>0.96106992079841158</c:v>
                </c:pt>
                <c:pt idx="189">
                  <c:v>0.94774748297200118</c:v>
                </c:pt>
                <c:pt idx="190">
                  <c:v>0.95604869553761263</c:v>
                </c:pt>
                <c:pt idx="191">
                  <c:v>0.94774748297200118</c:v>
                </c:pt>
                <c:pt idx="192">
                  <c:v>0.87447330791091027</c:v>
                </c:pt>
                <c:pt idx="193">
                  <c:v>0.86610822666592668</c:v>
                </c:pt>
                <c:pt idx="194">
                  <c:v>0.85855481757872876</c:v>
                </c:pt>
                <c:pt idx="195">
                  <c:v>0.97239746277661943</c:v>
                </c:pt>
                <c:pt idx="196">
                  <c:v>0.94760091430176863</c:v>
                </c:pt>
                <c:pt idx="197">
                  <c:v>0.90530545432094578</c:v>
                </c:pt>
                <c:pt idx="198">
                  <c:v>0.90530545432094578</c:v>
                </c:pt>
                <c:pt idx="199">
                  <c:v>0.88187964847597478</c:v>
                </c:pt>
                <c:pt idx="200">
                  <c:v>0.84714025108084823</c:v>
                </c:pt>
                <c:pt idx="201">
                  <c:v>0.85057469901096172</c:v>
                </c:pt>
                <c:pt idx="202">
                  <c:v>0.86318334905076011</c:v>
                </c:pt>
                <c:pt idx="203">
                  <c:v>0.83807343208953389</c:v>
                </c:pt>
                <c:pt idx="204">
                  <c:v>0.82222220988865746</c:v>
                </c:pt>
                <c:pt idx="205">
                  <c:v>0.62275368206073134</c:v>
                </c:pt>
                <c:pt idx="206">
                  <c:v>0.67230326575429078</c:v>
                </c:pt>
                <c:pt idx="207">
                  <c:v>0.69050447134038251</c:v>
                </c:pt>
                <c:pt idx="208">
                  <c:v>0.61033542977678468</c:v>
                </c:pt>
                <c:pt idx="209">
                  <c:v>0.6939569757734102</c:v>
                </c:pt>
                <c:pt idx="210">
                  <c:v>0.66754333395655185</c:v>
                </c:pt>
                <c:pt idx="211">
                  <c:v>0.72609301543362903</c:v>
                </c:pt>
                <c:pt idx="212">
                  <c:v>0.74663166442725448</c:v>
                </c:pt>
                <c:pt idx="213">
                  <c:v>0.66754333395655185</c:v>
                </c:pt>
                <c:pt idx="214">
                  <c:v>0.62123716526554651</c:v>
                </c:pt>
                <c:pt idx="215">
                  <c:v>0.6180222680328239</c:v>
                </c:pt>
                <c:pt idx="216">
                  <c:v>0.61208356800738151</c:v>
                </c:pt>
                <c:pt idx="217">
                  <c:v>0.59958841658177919</c:v>
                </c:pt>
                <c:pt idx="218">
                  <c:v>0.60103263205619939</c:v>
                </c:pt>
                <c:pt idx="219">
                  <c:v>0.60029604092737399</c:v>
                </c:pt>
                <c:pt idx="220">
                  <c:v>0.58845851438886132</c:v>
                </c:pt>
                <c:pt idx="221">
                  <c:v>0.59224775585706535</c:v>
                </c:pt>
                <c:pt idx="222">
                  <c:v>0.604601625895822</c:v>
                </c:pt>
                <c:pt idx="223">
                  <c:v>0.61074045486204243</c:v>
                </c:pt>
                <c:pt idx="224">
                  <c:v>0.61389489282556919</c:v>
                </c:pt>
                <c:pt idx="225">
                  <c:v>0.60233041560273004</c:v>
                </c:pt>
                <c:pt idx="226">
                  <c:v>0.6037352344540472</c:v>
                </c:pt>
                <c:pt idx="227">
                  <c:v>0.58942459149155479</c:v>
                </c:pt>
                <c:pt idx="228">
                  <c:v>0.54205032767488659</c:v>
                </c:pt>
                <c:pt idx="229">
                  <c:v>0.52056927566475342</c:v>
                </c:pt>
                <c:pt idx="230">
                  <c:v>0.61889055550431171</c:v>
                </c:pt>
                <c:pt idx="231">
                  <c:v>0.63857444674020136</c:v>
                </c:pt>
                <c:pt idx="232">
                  <c:v>0.64069519706314115</c:v>
                </c:pt>
                <c:pt idx="233">
                  <c:v>0.64288827641604773</c:v>
                </c:pt>
                <c:pt idx="234">
                  <c:v>0.63874575831359703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Query!$D$3:$D$237</c:f>
              <c:numCache>
                <c:formatCode>0.00%</c:formatCode>
                <c:ptCount val="235"/>
                <c:pt idx="0">
                  <c:v>0.39179509217736908</c:v>
                </c:pt>
                <c:pt idx="1">
                  <c:v>0.39696021691334338</c:v>
                </c:pt>
                <c:pt idx="2">
                  <c:v>0.42202391195455535</c:v>
                </c:pt>
                <c:pt idx="3">
                  <c:v>0.39779633268543002</c:v>
                </c:pt>
                <c:pt idx="4">
                  <c:v>0.49151040605794738</c:v>
                </c:pt>
                <c:pt idx="5">
                  <c:v>0.49518214427458052</c:v>
                </c:pt>
                <c:pt idx="6">
                  <c:v>0.49530657385961702</c:v>
                </c:pt>
                <c:pt idx="7">
                  <c:v>0.52626041924754496</c:v>
                </c:pt>
                <c:pt idx="8">
                  <c:v>0.53238458781035902</c:v>
                </c:pt>
                <c:pt idx="9">
                  <c:v>0.608876308109219</c:v>
                </c:pt>
                <c:pt idx="10">
                  <c:v>0.63350921207897204</c:v>
                </c:pt>
                <c:pt idx="11">
                  <c:v>0.60745911385405604</c:v>
                </c:pt>
                <c:pt idx="12">
                  <c:v>0.63179874985391804</c:v>
                </c:pt>
                <c:pt idx="13">
                  <c:v>0.60618674833379105</c:v>
                </c:pt>
                <c:pt idx="14">
                  <c:v>0.61985540937113104</c:v>
                </c:pt>
                <c:pt idx="15">
                  <c:v>0.58146564562660097</c:v>
                </c:pt>
                <c:pt idx="16">
                  <c:v>0.51703371456013503</c:v>
                </c:pt>
                <c:pt idx="17">
                  <c:v>0.58384753948448997</c:v>
                </c:pt>
                <c:pt idx="18">
                  <c:v>0.56144623129586702</c:v>
                </c:pt>
                <c:pt idx="19">
                  <c:v>0.59003468905342005</c:v>
                </c:pt>
                <c:pt idx="20">
                  <c:v>0.62719075850631201</c:v>
                </c:pt>
                <c:pt idx="21">
                  <c:v>0.65455905311871299</c:v>
                </c:pt>
                <c:pt idx="22">
                  <c:v>0.65582330233583797</c:v>
                </c:pt>
                <c:pt idx="23">
                  <c:v>0.65720471867066899</c:v>
                </c:pt>
                <c:pt idx="24">
                  <c:v>0.65582330233583797</c:v>
                </c:pt>
                <c:pt idx="25">
                  <c:v>0.59931706558407905</c:v>
                </c:pt>
                <c:pt idx="26">
                  <c:v>0.53680415412734395</c:v>
                </c:pt>
                <c:pt idx="27">
                  <c:v>0.57166642614489205</c:v>
                </c:pt>
                <c:pt idx="28">
                  <c:v>0.57447022909045797</c:v>
                </c:pt>
                <c:pt idx="29">
                  <c:v>0.53353274326337596</c:v>
                </c:pt>
                <c:pt idx="30">
                  <c:v>0.53685925114667898</c:v>
                </c:pt>
                <c:pt idx="31">
                  <c:v>0.51222876537846296</c:v>
                </c:pt>
                <c:pt idx="32">
                  <c:v>0.51126312077979097</c:v>
                </c:pt>
                <c:pt idx="33">
                  <c:v>0.47696082053878203</c:v>
                </c:pt>
                <c:pt idx="34">
                  <c:v>0.47679161148246502</c:v>
                </c:pt>
                <c:pt idx="35">
                  <c:v>0.519221652370358</c:v>
                </c:pt>
                <c:pt idx="36">
                  <c:v>0.54838604953283498</c:v>
                </c:pt>
                <c:pt idx="37">
                  <c:v>0.51982909302980596</c:v>
                </c:pt>
                <c:pt idx="38">
                  <c:v>0.45168042618119703</c:v>
                </c:pt>
                <c:pt idx="39">
                  <c:v>0.419925946793896</c:v>
                </c:pt>
                <c:pt idx="40">
                  <c:v>0.40569534905697002</c:v>
                </c:pt>
                <c:pt idx="41">
                  <c:v>0.403775681059653</c:v>
                </c:pt>
                <c:pt idx="42">
                  <c:v>0.45995272695767497</c:v>
                </c:pt>
                <c:pt idx="43">
                  <c:v>0.46145357757128402</c:v>
                </c:pt>
                <c:pt idx="44">
                  <c:v>0.46725416935729103</c:v>
                </c:pt>
                <c:pt idx="45">
                  <c:v>0.46725416935729103</c:v>
                </c:pt>
                <c:pt idx="46">
                  <c:v>0.437009219217877</c:v>
                </c:pt>
                <c:pt idx="47">
                  <c:v>0.41284557270170602</c:v>
                </c:pt>
                <c:pt idx="48">
                  <c:v>0.44366576481104603</c:v>
                </c:pt>
                <c:pt idx="49">
                  <c:v>0.44241787954298001</c:v>
                </c:pt>
                <c:pt idx="50">
                  <c:v>0.44241787954298001</c:v>
                </c:pt>
                <c:pt idx="51">
                  <c:v>0.41926854513922601</c:v>
                </c:pt>
                <c:pt idx="52">
                  <c:v>0.47241973099249801</c:v>
                </c:pt>
                <c:pt idx="53">
                  <c:v>0.447997908024105</c:v>
                </c:pt>
                <c:pt idx="54">
                  <c:v>0.42434402519227898</c:v>
                </c:pt>
                <c:pt idx="55">
                  <c:v>0.42258598579352902</c:v>
                </c:pt>
                <c:pt idx="56">
                  <c:v>0.447997908024105</c:v>
                </c:pt>
                <c:pt idx="57">
                  <c:v>0.44740081291084099</c:v>
                </c:pt>
                <c:pt idx="58">
                  <c:v>0.44562837110466802</c:v>
                </c:pt>
                <c:pt idx="59">
                  <c:v>0.42349289634896597</c:v>
                </c:pt>
                <c:pt idx="60">
                  <c:v>0.42315654967107302</c:v>
                </c:pt>
                <c:pt idx="61">
                  <c:v>0.37348002875422498</c:v>
                </c:pt>
                <c:pt idx="62">
                  <c:v>0.37394334466633</c:v>
                </c:pt>
                <c:pt idx="63">
                  <c:v>0.37550642358643799</c:v>
                </c:pt>
                <c:pt idx="64">
                  <c:v>0.34451093908200903</c:v>
                </c:pt>
                <c:pt idx="65">
                  <c:v>0.31383635422742501</c:v>
                </c:pt>
                <c:pt idx="66">
                  <c:v>0.34373332978073601</c:v>
                </c:pt>
                <c:pt idx="67">
                  <c:v>0.37475184713589199</c:v>
                </c:pt>
                <c:pt idx="68">
                  <c:v>0.34537825411835699</c:v>
                </c:pt>
                <c:pt idx="69">
                  <c:v>0.37584545219724702</c:v>
                </c:pt>
                <c:pt idx="70">
                  <c:v>0.34853875137296803</c:v>
                </c:pt>
                <c:pt idx="71">
                  <c:v>0.35043602810261099</c:v>
                </c:pt>
                <c:pt idx="72">
                  <c:v>0.380280894786581</c:v>
                </c:pt>
                <c:pt idx="73">
                  <c:v>0.407383000493176</c:v>
                </c:pt>
                <c:pt idx="74">
                  <c:v>0.38449844249950499</c:v>
                </c:pt>
                <c:pt idx="75">
                  <c:v>0.32547727058860199</c:v>
                </c:pt>
                <c:pt idx="76">
                  <c:v>0.32467403778332998</c:v>
                </c:pt>
                <c:pt idx="77">
                  <c:v>0.29015447722721099</c:v>
                </c:pt>
                <c:pt idx="78">
                  <c:v>0.265306805945277</c:v>
                </c:pt>
                <c:pt idx="79">
                  <c:v>0.29162362501885603</c:v>
                </c:pt>
                <c:pt idx="80">
                  <c:v>0.29198850689481598</c:v>
                </c:pt>
                <c:pt idx="81">
                  <c:v>0.33082970500556302</c:v>
                </c:pt>
                <c:pt idx="82">
                  <c:v>0.331227934580689</c:v>
                </c:pt>
                <c:pt idx="83">
                  <c:v>0.401262959025458</c:v>
                </c:pt>
                <c:pt idx="84">
                  <c:v>0.42989701258795199</c:v>
                </c:pt>
                <c:pt idx="85">
                  <c:v>0.37120289750535601</c:v>
                </c:pt>
                <c:pt idx="86">
                  <c:v>0.44788779304034998</c:v>
                </c:pt>
                <c:pt idx="87">
                  <c:v>0.47501022290439499</c:v>
                </c:pt>
                <c:pt idx="88">
                  <c:v>0.45648777309490202</c:v>
                </c:pt>
                <c:pt idx="89">
                  <c:v>0.40902347477168999</c:v>
                </c:pt>
                <c:pt idx="90">
                  <c:v>0.43701315967767701</c:v>
                </c:pt>
                <c:pt idx="91">
                  <c:v>0.43751781158176101</c:v>
                </c:pt>
                <c:pt idx="92">
                  <c:v>0.41607421536967498</c:v>
                </c:pt>
                <c:pt idx="93">
                  <c:v>0.32091811677951898</c:v>
                </c:pt>
                <c:pt idx="94">
                  <c:v>0.28251411119681702</c:v>
                </c:pt>
                <c:pt idx="95">
                  <c:v>0.29894428975906101</c:v>
                </c:pt>
                <c:pt idx="96">
                  <c:v>0.32738957382411199</c:v>
                </c:pt>
                <c:pt idx="97">
                  <c:v>0.28848466841060699</c:v>
                </c:pt>
                <c:pt idx="98">
                  <c:v>0.36292296585782302</c:v>
                </c:pt>
                <c:pt idx="99">
                  <c:v>0.36292296585782302</c:v>
                </c:pt>
                <c:pt idx="100">
                  <c:v>0.36357930006355599</c:v>
                </c:pt>
                <c:pt idx="101">
                  <c:v>0.40895553727695599</c:v>
                </c:pt>
                <c:pt idx="102">
                  <c:v>0.407195502334876</c:v>
                </c:pt>
                <c:pt idx="103">
                  <c:v>0.32003461094412999</c:v>
                </c:pt>
                <c:pt idx="104">
                  <c:v>0.439218479739446</c:v>
                </c:pt>
                <c:pt idx="105">
                  <c:v>0.35042164075900101</c:v>
                </c:pt>
                <c:pt idx="106">
                  <c:v>0.55919632116239604</c:v>
                </c:pt>
                <c:pt idx="107">
                  <c:v>0.55842108987699401</c:v>
                </c:pt>
                <c:pt idx="108">
                  <c:v>0.57861777554698002</c:v>
                </c:pt>
                <c:pt idx="109">
                  <c:v>0.61546645850988302</c:v>
                </c:pt>
                <c:pt idx="110">
                  <c:v>0.68530860108825797</c:v>
                </c:pt>
                <c:pt idx="111">
                  <c:v>0.72159050384319001</c:v>
                </c:pt>
                <c:pt idx="112">
                  <c:v>0.75094523370436095</c:v>
                </c:pt>
                <c:pt idx="113">
                  <c:v>0.77520531199879605</c:v>
                </c:pt>
                <c:pt idx="114">
                  <c:v>0.759939269856726</c:v>
                </c:pt>
                <c:pt idx="115">
                  <c:v>0.76108985756873504</c:v>
                </c:pt>
                <c:pt idx="116">
                  <c:v>0.73719138808657003</c:v>
                </c:pt>
                <c:pt idx="117">
                  <c:v>0.71361316522728502</c:v>
                </c:pt>
                <c:pt idx="118">
                  <c:v>0.712062870316722</c:v>
                </c:pt>
                <c:pt idx="119">
                  <c:v>0.72870485724391698</c:v>
                </c:pt>
                <c:pt idx="120">
                  <c:v>0.69793386100167498</c:v>
                </c:pt>
                <c:pt idx="121">
                  <c:v>0.731898053840778</c:v>
                </c:pt>
                <c:pt idx="122">
                  <c:v>0.75332777657917305</c:v>
                </c:pt>
                <c:pt idx="123">
                  <c:v>0.73462902469773095</c:v>
                </c:pt>
                <c:pt idx="124">
                  <c:v>0.75155379277106704</c:v>
                </c:pt>
                <c:pt idx="125">
                  <c:v>0.75155379277106704</c:v>
                </c:pt>
                <c:pt idx="126">
                  <c:v>0.77322369572310801</c:v>
                </c:pt>
                <c:pt idx="127">
                  <c:v>0.81634992305868503</c:v>
                </c:pt>
                <c:pt idx="128">
                  <c:v>0.83503612629874802</c:v>
                </c:pt>
                <c:pt idx="129">
                  <c:v>0.81798384699460103</c:v>
                </c:pt>
                <c:pt idx="130">
                  <c:v>0.83696581575361895</c:v>
                </c:pt>
                <c:pt idx="131">
                  <c:v>0.85626060279274896</c:v>
                </c:pt>
                <c:pt idx="132">
                  <c:v>0.85522983991809798</c:v>
                </c:pt>
                <c:pt idx="133">
                  <c:v>0.87412257034895602</c:v>
                </c:pt>
                <c:pt idx="134">
                  <c:v>0.85662578219432695</c:v>
                </c:pt>
                <c:pt idx="135">
                  <c:v>0.86996445945149903</c:v>
                </c:pt>
                <c:pt idx="136">
                  <c:v>0.88773399472374204</c:v>
                </c:pt>
                <c:pt idx="137">
                  <c:v>0.86999483052125803</c:v>
                </c:pt>
                <c:pt idx="138">
                  <c:v>0.85194480836680198</c:v>
                </c:pt>
                <c:pt idx="139">
                  <c:v>0.85225052894835196</c:v>
                </c:pt>
                <c:pt idx="140">
                  <c:v>0.87683234085301398</c:v>
                </c:pt>
                <c:pt idx="141">
                  <c:v>0.89368551357821302</c:v>
                </c:pt>
                <c:pt idx="142">
                  <c:v>0.87811016351224602</c:v>
                </c:pt>
                <c:pt idx="143">
                  <c:v>0.89522709255279198</c:v>
                </c:pt>
                <c:pt idx="144">
                  <c:v>0.91259028169208301</c:v>
                </c:pt>
                <c:pt idx="145">
                  <c:v>0.87344930653794395</c:v>
                </c:pt>
                <c:pt idx="146">
                  <c:v>0.85731125996939705</c:v>
                </c:pt>
                <c:pt idx="147">
                  <c:v>0.854493626143913</c:v>
                </c:pt>
                <c:pt idx="148">
                  <c:v>0.86745968477328095</c:v>
                </c:pt>
                <c:pt idx="149">
                  <c:v>0.83819941388679298</c:v>
                </c:pt>
                <c:pt idx="150">
                  <c:v>0.85198632502448901</c:v>
                </c:pt>
                <c:pt idx="151">
                  <c:v>0.86745968477328095</c:v>
                </c:pt>
                <c:pt idx="152">
                  <c:v>0.86768818253450297</c:v>
                </c:pt>
                <c:pt idx="153">
                  <c:v>0.89814744996460805</c:v>
                </c:pt>
                <c:pt idx="154">
                  <c:v>0.88516739973977598</c:v>
                </c:pt>
                <c:pt idx="155">
                  <c:v>0.88265848165302496</c:v>
                </c:pt>
                <c:pt idx="156">
                  <c:v>0.85531584833132801</c:v>
                </c:pt>
                <c:pt idx="157">
                  <c:v>0.86306170802286497</c:v>
                </c:pt>
                <c:pt idx="158">
                  <c:v>0.86306170802286497</c:v>
                </c:pt>
                <c:pt idx="159">
                  <c:v>0.84549296973434196</c:v>
                </c:pt>
                <c:pt idx="160">
                  <c:v>0.86243439572202496</c:v>
                </c:pt>
                <c:pt idx="161">
                  <c:v>0.83268888035603505</c:v>
                </c:pt>
                <c:pt idx="162">
                  <c:v>0.82948257912141399</c:v>
                </c:pt>
                <c:pt idx="163">
                  <c:v>0.83152220645888697</c:v>
                </c:pt>
                <c:pt idx="164">
                  <c:v>0.807152941952609</c:v>
                </c:pt>
                <c:pt idx="165">
                  <c:v>0.80437080516661097</c:v>
                </c:pt>
                <c:pt idx="166">
                  <c:v>0.80193881910043296</c:v>
                </c:pt>
                <c:pt idx="167">
                  <c:v>0.77781138796328697</c:v>
                </c:pt>
                <c:pt idx="168">
                  <c:v>0.80193881910043296</c:v>
                </c:pt>
                <c:pt idx="169">
                  <c:v>0.75253147533014197</c:v>
                </c:pt>
                <c:pt idx="170">
                  <c:v>0.749723434167341</c:v>
                </c:pt>
                <c:pt idx="171">
                  <c:v>0.69937061468571404</c:v>
                </c:pt>
                <c:pt idx="172">
                  <c:v>0.77421402081353796</c:v>
                </c:pt>
                <c:pt idx="173">
                  <c:v>0.78283886771012201</c:v>
                </c:pt>
                <c:pt idx="174">
                  <c:v>0.77480777056815697</c:v>
                </c:pt>
                <c:pt idx="175">
                  <c:v>0.76669716579457303</c:v>
                </c:pt>
                <c:pt idx="176">
                  <c:v>0.79842547980239797</c:v>
                </c:pt>
                <c:pt idx="177">
                  <c:v>0.79842547980239797</c:v>
                </c:pt>
                <c:pt idx="178">
                  <c:v>0.79842547980239797</c:v>
                </c:pt>
                <c:pt idx="179">
                  <c:v>0.78339393568549298</c:v>
                </c:pt>
                <c:pt idx="180">
                  <c:v>0.81461584859780101</c:v>
                </c:pt>
                <c:pt idx="181">
                  <c:v>0.81626218699844599</c:v>
                </c:pt>
                <c:pt idx="182">
                  <c:v>0.80629912189469399</c:v>
                </c:pt>
                <c:pt idx="183">
                  <c:v>0.81734633197465201</c:v>
                </c:pt>
                <c:pt idx="184">
                  <c:v>0.82537040355923197</c:v>
                </c:pt>
                <c:pt idx="185">
                  <c:v>0.79646175435893696</c:v>
                </c:pt>
                <c:pt idx="186">
                  <c:v>0.79445840936885304</c:v>
                </c:pt>
                <c:pt idx="187">
                  <c:v>0.79441104681633201</c:v>
                </c:pt>
                <c:pt idx="188">
                  <c:v>0.80850149462655696</c:v>
                </c:pt>
                <c:pt idx="189">
                  <c:v>0.80719780316763601</c:v>
                </c:pt>
                <c:pt idx="190">
                  <c:v>0.80724570771905702</c:v>
                </c:pt>
                <c:pt idx="191">
                  <c:v>0.80719780316763601</c:v>
                </c:pt>
                <c:pt idx="192">
                  <c:v>0.77033919514702098</c:v>
                </c:pt>
                <c:pt idx="193">
                  <c:v>0.76889855223368597</c:v>
                </c:pt>
                <c:pt idx="194">
                  <c:v>0.75043074974252599</c:v>
                </c:pt>
                <c:pt idx="195">
                  <c:v>0.82324225699227804</c:v>
                </c:pt>
                <c:pt idx="196">
                  <c:v>0.83535228019697605</c:v>
                </c:pt>
                <c:pt idx="197">
                  <c:v>0.78804143101353397</c:v>
                </c:pt>
                <c:pt idx="198">
                  <c:v>0.78804143101353397</c:v>
                </c:pt>
                <c:pt idx="199">
                  <c:v>0.78586619764471199</c:v>
                </c:pt>
                <c:pt idx="200">
                  <c:v>0.72518805605942505</c:v>
                </c:pt>
                <c:pt idx="201">
                  <c:v>0.73013076231760698</c:v>
                </c:pt>
                <c:pt idx="202">
                  <c:v>0.76968967049094095</c:v>
                </c:pt>
                <c:pt idx="203">
                  <c:v>0.68796050816059295</c:v>
                </c:pt>
                <c:pt idx="204">
                  <c:v>0.59636201439054404</c:v>
                </c:pt>
                <c:pt idx="205">
                  <c:v>0.52333294764067595</c:v>
                </c:pt>
                <c:pt idx="206">
                  <c:v>0.53018048409344898</c:v>
                </c:pt>
                <c:pt idx="207">
                  <c:v>0.55014388201104203</c:v>
                </c:pt>
                <c:pt idx="208">
                  <c:v>0.49771283747510803</c:v>
                </c:pt>
                <c:pt idx="209">
                  <c:v>0.55445082777023702</c:v>
                </c:pt>
                <c:pt idx="210">
                  <c:v>0.53450860338875705</c:v>
                </c:pt>
                <c:pt idx="211">
                  <c:v>0.55544034698333999</c:v>
                </c:pt>
                <c:pt idx="212">
                  <c:v>0.55556126357331004</c:v>
                </c:pt>
                <c:pt idx="213">
                  <c:v>0.53450860338875705</c:v>
                </c:pt>
                <c:pt idx="214">
                  <c:v>0.50568534347274297</c:v>
                </c:pt>
                <c:pt idx="215">
                  <c:v>0.50447592982476996</c:v>
                </c:pt>
                <c:pt idx="216">
                  <c:v>0.50042582297659</c:v>
                </c:pt>
                <c:pt idx="217">
                  <c:v>0.45891120103405703</c:v>
                </c:pt>
                <c:pt idx="218">
                  <c:v>0.44565511936132601</c:v>
                </c:pt>
                <c:pt idx="219">
                  <c:v>0.44381782258269298</c:v>
                </c:pt>
                <c:pt idx="220">
                  <c:v>0.41340612440810998</c:v>
                </c:pt>
                <c:pt idx="221">
                  <c:v>0.414778538159287</c:v>
                </c:pt>
                <c:pt idx="222">
                  <c:v>0.42282958858632702</c:v>
                </c:pt>
                <c:pt idx="223">
                  <c:v>0.450158099668103</c:v>
                </c:pt>
                <c:pt idx="224">
                  <c:v>0.46784663358763601</c:v>
                </c:pt>
                <c:pt idx="225">
                  <c:v>0.42124985629360401</c:v>
                </c:pt>
                <c:pt idx="226">
                  <c:v>0.42215163100202302</c:v>
                </c:pt>
                <c:pt idx="227">
                  <c:v>0.41551493659156002</c:v>
                </c:pt>
                <c:pt idx="228">
                  <c:v>0.37678804128174298</c:v>
                </c:pt>
                <c:pt idx="229">
                  <c:v>0.35529176669040102</c:v>
                </c:pt>
                <c:pt idx="230">
                  <c:v>0.43462013043084002</c:v>
                </c:pt>
                <c:pt idx="231">
                  <c:v>0.47679593730615699</c:v>
                </c:pt>
                <c:pt idx="232">
                  <c:v>0.48029569588235599</c:v>
                </c:pt>
                <c:pt idx="233">
                  <c:v>0.49650185657562101</c:v>
                </c:pt>
                <c:pt idx="234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83296"/>
        <c:axId val="312584832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Query!$F$3:$F$237</c:f>
              <c:numCache>
                <c:formatCode>0.00</c:formatCode>
                <c:ptCount val="235"/>
                <c:pt idx="0">
                  <c:v>#N/A</c:v>
                </c:pt>
                <c:pt idx="1">
                  <c:v>1246.0999999999999</c:v>
                </c:pt>
                <c:pt idx="2">
                  <c:v>1318.3</c:v>
                </c:pt>
                <c:pt idx="3">
                  <c:v>1273.4000000000001</c:v>
                </c:pt>
                <c:pt idx="4">
                  <c:v>1342.4</c:v>
                </c:pt>
                <c:pt idx="5">
                  <c:v>1233.9000000000001</c:v>
                </c:pt>
                <c:pt idx="6">
                  <c:v>1408.1</c:v>
                </c:pt>
                <c:pt idx="7">
                  <c:v>1448.8</c:v>
                </c:pt>
                <c:pt idx="8">
                  <c:v>1477.8</c:v>
                </c:pt>
                <c:pt idx="9">
                  <c:v>1559.4</c:v>
                </c:pt>
                <c:pt idx="10">
                  <c:v>1723</c:v>
                </c:pt>
                <c:pt idx="11">
                  <c:v>1817</c:v>
                </c:pt>
                <c:pt idx="12">
                  <c:v>1804.6</c:v>
                </c:pt>
                <c:pt idx="13">
                  <c:v>1854.7</c:v>
                </c:pt>
                <c:pt idx="14">
                  <c:v>1941.6</c:v>
                </c:pt>
                <c:pt idx="15">
                  <c:v>1860.8</c:v>
                </c:pt>
                <c:pt idx="16">
                  <c:v>1623.6</c:v>
                </c:pt>
                <c:pt idx="17">
                  <c:v>1685.7</c:v>
                </c:pt>
                <c:pt idx="18">
                  <c:v>1740.3</c:v>
                </c:pt>
                <c:pt idx="19">
                  <c:v>1703.1</c:v>
                </c:pt>
                <c:pt idx="20">
                  <c:v>1904.2</c:v>
                </c:pt>
                <c:pt idx="21">
                  <c:v>2291.3000000000002</c:v>
                </c:pt>
                <c:pt idx="22">
                  <c:v>2584.8000000000002</c:v>
                </c:pt>
                <c:pt idx="23">
                  <c:v>2572.3000000000002</c:v>
                </c:pt>
                <c:pt idx="24">
                  <c:v>2799.3</c:v>
                </c:pt>
                <c:pt idx="25">
                  <c:v>2271.5</c:v>
                </c:pt>
                <c:pt idx="26">
                  <c:v>1347.6</c:v>
                </c:pt>
                <c:pt idx="27">
                  <c:v>1164.2</c:v>
                </c:pt>
                <c:pt idx="28">
                  <c:v>1538.7</c:v>
                </c:pt>
                <c:pt idx="29">
                  <c:v>1518.8</c:v>
                </c:pt>
                <c:pt idx="30">
                  <c:v>1548.6</c:v>
                </c:pt>
                <c:pt idx="31">
                  <c:v>#N/A</c:v>
                </c:pt>
                <c:pt idx="32">
                  <c:v>1547.9</c:v>
                </c:pt>
                <c:pt idx="33">
                  <c:v>1563.2</c:v>
                </c:pt>
                <c:pt idx="34">
                  <c:v>1565.3</c:v>
                </c:pt>
                <c:pt idx="35">
                  <c:v>1604.8</c:v>
                </c:pt>
                <c:pt idx="36">
                  <c:v>1713.6</c:v>
                </c:pt>
                <c:pt idx="37">
                  <c:v>1898.2</c:v>
                </c:pt>
                <c:pt idx="38">
                  <c:v>1560.6</c:v>
                </c:pt>
                <c:pt idx="39">
                  <c:v>1387.1</c:v>
                </c:pt>
                <c:pt idx="40">
                  <c:v>1326.2</c:v>
                </c:pt>
                <c:pt idx="41">
                  <c:v>1335.1</c:v>
                </c:pt>
                <c:pt idx="42">
                  <c:v>1398.4</c:v>
                </c:pt>
                <c:pt idx="43">
                  <c:v>1275.8</c:v>
                </c:pt>
                <c:pt idx="44">
                  <c:v>1436</c:v>
                </c:pt>
                <c:pt idx="45">
                  <c:v>1439.4</c:v>
                </c:pt>
                <c:pt idx="46">
                  <c:v>1404.9</c:v>
                </c:pt>
                <c:pt idx="47">
                  <c:v>1342.6</c:v>
                </c:pt>
                <c:pt idx="48">
                  <c:v>1373.9</c:v>
                </c:pt>
                <c:pt idx="49">
                  <c:v>1327.5</c:v>
                </c:pt>
                <c:pt idx="50">
                  <c:v>1400.7</c:v>
                </c:pt>
                <c:pt idx="51">
                  <c:v>1329.7</c:v>
                </c:pt>
                <c:pt idx="52">
                  <c:v>1346.8</c:v>
                </c:pt>
                <c:pt idx="53">
                  <c:v>1341.8</c:v>
                </c:pt>
                <c:pt idx="54">
                  <c:v>1333.5</c:v>
                </c:pt>
                <c:pt idx="55">
                  <c:v>1321.3</c:v>
                </c:pt>
                <c:pt idx="56">
                  <c:v>1516.9</c:v>
                </c:pt>
                <c:pt idx="57">
                  <c:v>1382.6</c:v>
                </c:pt>
                <c:pt idx="58">
                  <c:v>1453.4</c:v>
                </c:pt>
                <c:pt idx="59">
                  <c:v>1460.6</c:v>
                </c:pt>
                <c:pt idx="60">
                  <c:v>1400.9</c:v>
                </c:pt>
                <c:pt idx="61">
                  <c:v>1323.9</c:v>
                </c:pt>
                <c:pt idx="62">
                  <c:v>1298.0999999999999</c:v>
                </c:pt>
                <c:pt idx="63">
                  <c:v>1370.9</c:v>
                </c:pt>
                <c:pt idx="64">
                  <c:v>1429.9</c:v>
                </c:pt>
                <c:pt idx="65">
                  <c:v>1324.7</c:v>
                </c:pt>
                <c:pt idx="66">
                  <c:v>1383.5</c:v>
                </c:pt>
                <c:pt idx="67">
                  <c:v>1426.3</c:v>
                </c:pt>
                <c:pt idx="68">
                  <c:v>1552.1</c:v>
                </c:pt>
                <c:pt idx="69">
                  <c:v>1528</c:v>
                </c:pt>
                <c:pt idx="70">
                  <c:v>1600.6</c:v>
                </c:pt>
                <c:pt idx="71">
                  <c:v>1442.3</c:v>
                </c:pt>
                <c:pt idx="72">
                  <c:v>1650.6</c:v>
                </c:pt>
                <c:pt idx="73">
                  <c:v>1674.2</c:v>
                </c:pt>
                <c:pt idx="74">
                  <c:v>1667.5</c:v>
                </c:pt>
                <c:pt idx="75">
                  <c:v>1601.2</c:v>
                </c:pt>
                <c:pt idx="76">
                  <c:v>1675.8</c:v>
                </c:pt>
                <c:pt idx="77">
                  <c:v>1507</c:v>
                </c:pt>
                <c:pt idx="78">
                  <c:v>1352.7</c:v>
                </c:pt>
                <c:pt idx="79">
                  <c:v>1277.8</c:v>
                </c:pt>
                <c:pt idx="80">
                  <c:v>1426.7</c:v>
                </c:pt>
                <c:pt idx="81">
                  <c:v>1529.8</c:v>
                </c:pt>
                <c:pt idx="82">
                  <c:v>1599.4</c:v>
                </c:pt>
                <c:pt idx="83">
                  <c:v>#N/A</c:v>
                </c:pt>
                <c:pt idx="84">
                  <c:v>1917.2</c:v>
                </c:pt>
                <c:pt idx="85">
                  <c:v>1903.5</c:v>
                </c:pt>
                <c:pt idx="86">
                  <c:v>2056.9</c:v>
                </c:pt>
                <c:pt idx="87">
                  <c:v>2105.6</c:v>
                </c:pt>
                <c:pt idx="88">
                  <c:v>2211.8000000000002</c:v>
                </c:pt>
                <c:pt idx="89">
                  <c:v>2033.7</c:v>
                </c:pt>
                <c:pt idx="90">
                  <c:v>2102.6999999999998</c:v>
                </c:pt>
                <c:pt idx="91">
                  <c:v>2025.3</c:v>
                </c:pt>
                <c:pt idx="92">
                  <c:v>1956.6</c:v>
                </c:pt>
                <c:pt idx="93">
                  <c:v>1922.9</c:v>
                </c:pt>
                <c:pt idx="94">
                  <c:v>1814</c:v>
                </c:pt>
                <c:pt idx="95">
                  <c:v>1512.9</c:v>
                </c:pt>
                <c:pt idx="96">
                  <c:v>1909</c:v>
                </c:pt>
                <c:pt idx="97">
                  <c:v>1842.6</c:v>
                </c:pt>
                <c:pt idx="98">
                  <c:v>1935.1</c:v>
                </c:pt>
                <c:pt idx="99">
                  <c:v>2110.6</c:v>
                </c:pt>
                <c:pt idx="100">
                  <c:v>2228.9</c:v>
                </c:pt>
                <c:pt idx="101">
                  <c:v>2218.3000000000002</c:v>
                </c:pt>
                <c:pt idx="102">
                  <c:v>2288</c:v>
                </c:pt>
                <c:pt idx="103">
                  <c:v>2242.1999999999998</c:v>
                </c:pt>
                <c:pt idx="104">
                  <c:v>#N/A</c:v>
                </c:pt>
                <c:pt idx="105">
                  <c:v>2573.4</c:v>
                </c:pt>
                <c:pt idx="106">
                  <c:v>3040.1</c:v>
                </c:pt>
                <c:pt idx="107">
                  <c:v>3214.4</c:v>
                </c:pt>
                <c:pt idx="108">
                  <c:v>3339.8</c:v>
                </c:pt>
                <c:pt idx="109">
                  <c:v>3163.6</c:v>
                </c:pt>
                <c:pt idx="110">
                  <c:v>3709.4</c:v>
                </c:pt>
                <c:pt idx="111">
                  <c:v>4241.5</c:v>
                </c:pt>
                <c:pt idx="112">
                  <c:v>4797.2</c:v>
                </c:pt>
                <c:pt idx="113">
                  <c:v>5279.9</c:v>
                </c:pt>
                <c:pt idx="114">
                  <c:v>4854.1000000000004</c:v>
                </c:pt>
                <c:pt idx="115">
                  <c:v>4672.1000000000004</c:v>
                </c:pt>
                <c:pt idx="116">
                  <c:v>4726.8999999999996</c:v>
                </c:pt>
                <c:pt idx="117">
                  <c:v>4528.8999999999996</c:v>
                </c:pt>
                <c:pt idx="118">
                  <c:v>4119.2</c:v>
                </c:pt>
                <c:pt idx="119">
                  <c:v>4412.8999999999996</c:v>
                </c:pt>
                <c:pt idx="120">
                  <c:v>4111.3</c:v>
                </c:pt>
                <c:pt idx="121">
                  <c:v>4485.2</c:v>
                </c:pt>
                <c:pt idx="122">
                  <c:v>4724.8999999999996</c:v>
                </c:pt>
                <c:pt idx="123">
                  <c:v>4136.3</c:v>
                </c:pt>
                <c:pt idx="124">
                  <c:v>4261.8</c:v>
                </c:pt>
                <c:pt idx="125">
                  <c:v>4284.3</c:v>
                </c:pt>
                <c:pt idx="126">
                  <c:v>4579</c:v>
                </c:pt>
                <c:pt idx="127">
                  <c:v>4433.6000000000004</c:v>
                </c:pt>
                <c:pt idx="128">
                  <c:v>4937.3999999999996</c:v>
                </c:pt>
                <c:pt idx="129">
                  <c:v>4554.3999999999996</c:v>
                </c:pt>
                <c:pt idx="130">
                  <c:v>3896.4</c:v>
                </c:pt>
                <c:pt idx="131">
                  <c:v>3488.9</c:v>
                </c:pt>
                <c:pt idx="132">
                  <c:v>3983.2</c:v>
                </c:pt>
                <c:pt idx="133">
                  <c:v>4564.3999999999996</c:v>
                </c:pt>
                <c:pt idx="134">
                  <c:v>5368.1</c:v>
                </c:pt>
                <c:pt idx="135">
                  <c:v>4943</c:v>
                </c:pt>
                <c:pt idx="136">
                  <c:v>#N/A</c:v>
                </c:pt>
                <c:pt idx="137">
                  <c:v>4702.3999999999996</c:v>
                </c:pt>
                <c:pt idx="138">
                  <c:v>4856.1000000000004</c:v>
                </c:pt>
                <c:pt idx="139">
                  <c:v>4297.7</c:v>
                </c:pt>
                <c:pt idx="140">
                  <c:v>4550.7</c:v>
                </c:pt>
                <c:pt idx="141">
                  <c:v>4847.2</c:v>
                </c:pt>
                <c:pt idx="142">
                  <c:v>5572.2</c:v>
                </c:pt>
                <c:pt idx="143">
                  <c:v>5892.5</c:v>
                </c:pt>
                <c:pt idx="144">
                  <c:v>5965.5</c:v>
                </c:pt>
                <c:pt idx="145">
                  <c:v>4979</c:v>
                </c:pt>
                <c:pt idx="146">
                  <c:v>4823.3</c:v>
                </c:pt>
                <c:pt idx="147">
                  <c:v>4779.1000000000004</c:v>
                </c:pt>
                <c:pt idx="148">
                  <c:v>4274.8</c:v>
                </c:pt>
                <c:pt idx="149">
                  <c:v>4414.6000000000004</c:v>
                </c:pt>
                <c:pt idx="150">
                  <c:v>4671.1000000000004</c:v>
                </c:pt>
                <c:pt idx="151">
                  <c:v>5172.2</c:v>
                </c:pt>
                <c:pt idx="152">
                  <c:v>5444.3</c:v>
                </c:pt>
                <c:pt idx="153">
                  <c:v>5492.1</c:v>
                </c:pt>
                <c:pt idx="154">
                  <c:v>5383.1</c:v>
                </c:pt>
                <c:pt idx="155">
                  <c:v>5246.8</c:v>
                </c:pt>
                <c:pt idx="156">
                  <c:v>4267.8999999999996</c:v>
                </c:pt>
                <c:pt idx="157">
                  <c:v>4372.2</c:v>
                </c:pt>
                <c:pt idx="158">
                  <c:v>4585.8</c:v>
                </c:pt>
                <c:pt idx="159">
                  <c:v>4719.6000000000004</c:v>
                </c:pt>
                <c:pt idx="160">
                  <c:v>5590</c:v>
                </c:pt>
                <c:pt idx="161">
                  <c:v>4736</c:v>
                </c:pt>
                <c:pt idx="162">
                  <c:v>4675.8999999999996</c:v>
                </c:pt>
                <c:pt idx="163">
                  <c:v>4732</c:v>
                </c:pt>
                <c:pt idx="164">
                  <c:v>4482</c:v>
                </c:pt>
                <c:pt idx="165">
                  <c:v>3924.4</c:v>
                </c:pt>
                <c:pt idx="166">
                  <c:v>3856</c:v>
                </c:pt>
                <c:pt idx="167">
                  <c:v>3892.2</c:v>
                </c:pt>
                <c:pt idx="168">
                  <c:v>4144.3</c:v>
                </c:pt>
                <c:pt idx="169">
                  <c:v>3549.3</c:v>
                </c:pt>
                <c:pt idx="170">
                  <c:v>3699.5</c:v>
                </c:pt>
                <c:pt idx="171">
                  <c:v>3588.4</c:v>
                </c:pt>
                <c:pt idx="172">
                  <c:v>3715.2</c:v>
                </c:pt>
                <c:pt idx="173">
                  <c:v>4063.4</c:v>
                </c:pt>
                <c:pt idx="174">
                  <c:v>4277.6000000000004</c:v>
                </c:pt>
                <c:pt idx="175">
                  <c:v>4379.1000000000004</c:v>
                </c:pt>
                <c:pt idx="176">
                  <c:v>4466.8999999999996</c:v>
                </c:pt>
                <c:pt idx="177">
                  <c:v>4716.1000000000004</c:v>
                </c:pt>
                <c:pt idx="178">
                  <c:v>4617.1000000000004</c:v>
                </c:pt>
                <c:pt idx="179">
                  <c:v>4184.3</c:v>
                </c:pt>
                <c:pt idx="180">
                  <c:v>4326.3999999999996</c:v>
                </c:pt>
                <c:pt idx="181">
                  <c:v>4626.5</c:v>
                </c:pt>
                <c:pt idx="182">
                  <c:v>3668.3</c:v>
                </c:pt>
                <c:pt idx="183">
                  <c:v>3608.1</c:v>
                </c:pt>
                <c:pt idx="184">
                  <c:v>3684.5</c:v>
                </c:pt>
                <c:pt idx="185">
                  <c:v>3676.1</c:v>
                </c:pt>
                <c:pt idx="186">
                  <c:v>3708.6</c:v>
                </c:pt>
                <c:pt idx="187">
                  <c:v>3394.7</c:v>
                </c:pt>
                <c:pt idx="188">
                  <c:v>#N/A</c:v>
                </c:pt>
                <c:pt idx="189">
                  <c:v>3466.8</c:v>
                </c:pt>
                <c:pt idx="190">
                  <c:v>3664.5</c:v>
                </c:pt>
                <c:pt idx="191">
                  <c:v>4137.6000000000004</c:v>
                </c:pt>
                <c:pt idx="192">
                  <c:v>3695</c:v>
                </c:pt>
                <c:pt idx="193">
                  <c:v>3719.3</c:v>
                </c:pt>
                <c:pt idx="194">
                  <c:v>3553.2</c:v>
                </c:pt>
                <c:pt idx="195">
                  <c:v>4251.1000000000004</c:v>
                </c:pt>
                <c:pt idx="196">
                  <c:v>4241.8</c:v>
                </c:pt>
                <c:pt idx="197">
                  <c:v>4512.1000000000004</c:v>
                </c:pt>
                <c:pt idx="198">
                  <c:v>4033.8</c:v>
                </c:pt>
                <c:pt idx="199">
                  <c:v>3571.7</c:v>
                </c:pt>
                <c:pt idx="200">
                  <c:v>3372</c:v>
                </c:pt>
                <c:pt idx="201">
                  <c:v>3601.3</c:v>
                </c:pt>
                <c:pt idx="202">
                  <c:v>4110.8</c:v>
                </c:pt>
                <c:pt idx="203">
                  <c:v>4184.3999999999996</c:v>
                </c:pt>
                <c:pt idx="204">
                  <c:v>3880.9</c:v>
                </c:pt>
                <c:pt idx="205">
                  <c:v>2974.1</c:v>
                </c:pt>
                <c:pt idx="206">
                  <c:v>2769.6</c:v>
                </c:pt>
                <c:pt idx="207">
                  <c:v>2923.8</c:v>
                </c:pt>
                <c:pt idx="208">
                  <c:v>2362.6999999999998</c:v>
                </c:pt>
                <c:pt idx="209">
                  <c:v>2527.5</c:v>
                </c:pt>
                <c:pt idx="210">
                  <c:v>2809.5</c:v>
                </c:pt>
                <c:pt idx="211">
                  <c:v>2857.9</c:v>
                </c:pt>
                <c:pt idx="212">
                  <c:v>3101.7</c:v>
                </c:pt>
                <c:pt idx="213">
                  <c:v>2648</c:v>
                </c:pt>
                <c:pt idx="214">
                  <c:v>2619.6999999999998</c:v>
                </c:pt>
                <c:pt idx="215">
                  <c:v>2764.6</c:v>
                </c:pt>
                <c:pt idx="216">
                  <c:v>2742.2</c:v>
                </c:pt>
                <c:pt idx="217">
                  <c:v>2414.9</c:v>
                </c:pt>
                <c:pt idx="218">
                  <c:v>2220.1</c:v>
                </c:pt>
                <c:pt idx="219">
                  <c:v>2091.4</c:v>
                </c:pt>
                <c:pt idx="220">
                  <c:v>2065.3000000000002</c:v>
                </c:pt>
                <c:pt idx="221">
                  <c:v>2010.6</c:v>
                </c:pt>
                <c:pt idx="222">
                  <c:v>2194.4</c:v>
                </c:pt>
                <c:pt idx="223">
                  <c:v>2350.6999999999998</c:v>
                </c:pt>
                <c:pt idx="224">
                  <c:v>2620.8000000000002</c:v>
                </c:pt>
                <c:pt idx="225">
                  <c:v>2563.6</c:v>
                </c:pt>
                <c:pt idx="226">
                  <c:v>2539.4</c:v>
                </c:pt>
                <c:pt idx="227">
                  <c:v>2155.5</c:v>
                </c:pt>
                <c:pt idx="228">
                  <c:v>2325.3000000000002</c:v>
                </c:pt>
                <c:pt idx="229">
                  <c:v>1953.2</c:v>
                </c:pt>
                <c:pt idx="230">
                  <c:v>2190.4</c:v>
                </c:pt>
                <c:pt idx="231">
                  <c:v>2371.1</c:v>
                </c:pt>
                <c:pt idx="232">
                  <c:v>2129.6999999999998</c:v>
                </c:pt>
                <c:pt idx="233">
                  <c:v>2528.6999999999998</c:v>
                </c:pt>
                <c:pt idx="234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748608"/>
        <c:axId val="349746304"/>
      </c:lineChart>
      <c:dateAx>
        <c:axId val="31258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584832"/>
        <c:crosses val="autoZero"/>
        <c:auto val="1"/>
        <c:lblOffset val="100"/>
        <c:baseTimeUnit val="days"/>
        <c:majorUnit val="6"/>
        <c:majorTimeUnit val="months"/>
      </c:dateAx>
      <c:valAx>
        <c:axId val="31258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12583296"/>
        <c:crosses val="autoZero"/>
        <c:crossBetween val="between"/>
      </c:valAx>
      <c:valAx>
        <c:axId val="34974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49748608"/>
        <c:crosses val="max"/>
        <c:crossBetween val="between"/>
      </c:valAx>
      <c:dateAx>
        <c:axId val="349748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746304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0.78739680159230041</c:v>
                </c:pt>
                <c:pt idx="1">
                  <c:v>0.72194394188659283</c:v>
                </c:pt>
                <c:pt idx="2">
                  <c:v>0.62942249098570757</c:v>
                </c:pt>
                <c:pt idx="3">
                  <c:v>0.58852660422619796</c:v>
                </c:pt>
                <c:pt idx="4">
                  <c:v>0.54490638220164611</c:v>
                </c:pt>
                <c:pt idx="5">
                  <c:v>0.50886845958497351</c:v>
                </c:pt>
                <c:pt idx="6">
                  <c:v>0.43793116814222482</c:v>
                </c:pt>
                <c:pt idx="7">
                  <c:v>0.36611236549970821</c:v>
                </c:pt>
                <c:pt idx="8">
                  <c:v>0.31543885679925637</c:v>
                </c:pt>
                <c:pt idx="9">
                  <c:v>0.28314838405830683</c:v>
                </c:pt>
                <c:pt idx="10">
                  <c:v>0.26235974776771248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0.7248139388783903</c:v>
                </c:pt>
                <c:pt idx="1">
                  <c:v>0.65587583536614569</c:v>
                </c:pt>
                <c:pt idx="2">
                  <c:v>0.61196729695509944</c:v>
                </c:pt>
                <c:pt idx="3">
                  <c:v>0.54947037000480958</c:v>
                </c:pt>
                <c:pt idx="4">
                  <c:v>0.48478831034476411</c:v>
                </c:pt>
                <c:pt idx="5">
                  <c:v>0.45378295079705377</c:v>
                </c:pt>
                <c:pt idx="6">
                  <c:v>0.39379483372057345</c:v>
                </c:pt>
                <c:pt idx="7">
                  <c:v>0.3595721117739043</c:v>
                </c:pt>
                <c:pt idx="8">
                  <c:v>0.3166359857254013</c:v>
                </c:pt>
                <c:pt idx="9">
                  <c:v>0.26666030012206848</c:v>
                </c:pt>
                <c:pt idx="10">
                  <c:v>0.24088325679945349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0.23310054630335109</c:v>
                </c:pt>
                <c:pt idx="1">
                  <c:v>0.20334858442040255</c:v>
                </c:pt>
                <c:pt idx="2">
                  <c:v>4.4774026321930879E-3</c:v>
                </c:pt>
                <c:pt idx="3">
                  <c:v>2.278771299489286E-3</c:v>
                </c:pt>
                <c:pt idx="4">
                  <c:v>3.8804010869198557E-4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94816"/>
        <c:axId val="354238464"/>
      </c:lineChart>
      <c:catAx>
        <c:axId val="3529948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54238464"/>
        <c:crosses val="autoZero"/>
        <c:auto val="1"/>
        <c:lblAlgn val="ctr"/>
        <c:lblOffset val="100"/>
        <c:noMultiLvlLbl val="0"/>
      </c:catAx>
      <c:valAx>
        <c:axId val="35423846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529948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7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237" tableType="queryTable" totalsRowShown="0" headerRowDxfId="97" dataDxfId="96">
  <tableColumns count="5">
    <tableColumn id="1" uniqueName="1" name="asOfDate" queryTableFieldId="62" dataDxfId="95"/>
    <tableColumn id="3" uniqueName="3" name="refinancible" queryTableFieldId="64" dataDxfId="94"/>
    <tableColumn id="5" uniqueName="5" name="Loan Level" queryTableFieldId="76" dataDxfId="93">
      <calculatedColumnFormula>VLOOKUP(CurrentMtgRatesDataTable825[[#This Row],[asOfDate]],H:I,2,0)</calculatedColumnFormula>
    </tableColumn>
    <tableColumn id="2" uniqueName="2" name="With Lowest Rate" queryTableFieldId="78" dataDxfId="92">
      <calculatedColumnFormula>VLOOKUP(CurrentMtgRatesDataTable825[[#This Row],[asOfDate]],O:P,2,0)</calculatedColumnFormula>
    </tableColumn>
    <tableColumn id="6" uniqueName="6" name="Refi Index" queryTableFieldId="77" dataDxfId="91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90" dataDxfId="89">
  <tableColumns count="2">
    <tableColumn id="1" uniqueName="1" name="asOfDate" queryTableFieldId="62" dataDxfId="88"/>
    <tableColumn id="5" uniqueName="5" name="refinanceible" queryTableFieldId="76" dataDxfId="8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86" dataDxfId="85">
  <tableColumns count="2">
    <tableColumn id="1" uniqueName="1" name="asOfDate" queryTableFieldId="62" dataDxfId="84"/>
    <tableColumn id="5" uniqueName="5" name="refinanceible" queryTableFieldId="76" dataDxfId="8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75" dataDxfId="74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73" dataDxfId="72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71" dataDxfId="70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69" dataDxfId="68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CurrentMtgRatesDataTable810" displayName="CurrentMtgRatesDataTable810" ref="S4:U7" tableType="queryTable" totalsRowShown="0" headerRowDxfId="82" dataDxfId="81">
  <tableColumns count="3">
    <tableColumn id="10" uniqueName="10" name="AsOfDate" queryTableFieldId="51" dataDxfId="78" dataCellStyle="Normal 2 7"/>
    <tableColumn id="5" uniqueName="5" name="SeriesNumValue" queryTableFieldId="68" dataDxfId="80"/>
    <tableColumn id="1" uniqueName="1" name="TickerName" queryTableFieldId="82" dataDxfId="79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11" displayName="CurrentMtgRatesDataTable811" ref="A4:M27" tableType="queryTable" totalsRowShown="0" headerRowDxfId="77" dataDxfId="76">
  <tableColumns count="13">
    <tableColumn id="10" uniqueName="10" name="AsOfDate" queryTableFieldId="51" dataDxfId="47" dataCellStyle="Normal 2 7"/>
    <tableColumn id="5" uniqueName="5" name="SeriesNumValue" queryTableFieldId="68" dataDxfId="46"/>
    <tableColumn id="1" uniqueName="1" name="Rate" queryTableFieldId="69" dataDxfId="45"/>
    <tableColumn id="2" uniqueName="2" name="Weekday" queryTableFieldId="70" dataDxfId="44" dataCellStyle="Normal 2 7">
      <calculatedColumnFormula>WEEKDAY(A5,14)</calculatedColumnFormula>
    </tableColumn>
    <tableColumn id="3" uniqueName="3" name="Weight" queryTableFieldId="75" dataDxfId="43" dataCellStyle="Normal 2 7">
      <calculatedColumnFormula>VLOOKUP(D5,P$5:Q$11,2,FALSE)</calculatedColumnFormula>
    </tableColumn>
    <tableColumn id="4" uniqueName="4" name="Counter" queryTableFieldId="74" dataDxfId="42" dataCellStyle="Normal 2 7">
      <calculatedColumnFormula>IF(AND(D5&gt;D4,F4&lt;6),F4+1,1)</calculatedColumnFormula>
    </tableColumn>
    <tableColumn id="6" uniqueName="6" name="Accumulated Weighted CC" queryTableFieldId="73" dataDxfId="41" dataCellStyle="Normal 2 7">
      <calculatedColumnFormula>IF(F5&gt;F4,G4+B5*E5,B5*E5)</calculatedColumnFormula>
    </tableColumn>
    <tableColumn id="7" uniqueName="7" name="AccumulatedWeight" queryTableFieldId="72" dataDxfId="40" dataCellStyle="Normal 2 7">
      <calculatedColumnFormula>IF(AND(F5&lt;6,F5&gt;F4),E5+H4,E5)</calculatedColumnFormula>
    </tableColumn>
    <tableColumn id="8" uniqueName="8" name="WA CC" queryTableFieldId="71" dataDxfId="39" dataCellStyle="Normal 2 7">
      <calculatedColumnFormula>IF(F5&gt;F6,G5/H5,0)</calculatedColumnFormula>
    </tableColumn>
    <tableColumn id="9" uniqueName="9" name="Servicing Spread" queryTableFieldId="76" dataDxfId="38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37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36" dataCellStyle="Normal 2 7">
      <calculatedColumnFormula>CurrentMtgRatesDataTable811[[#This Row],[Servicing Spread Non-Zero]]-K4</calculatedColumnFormula>
    </tableColumn>
    <tableColumn id="15" uniqueName="15" name="Survey Rate 1m chg" queryTableFieldId="81" dataDxfId="35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abSelected="1" topLeftCell="B1" zoomScaleNormal="100" workbookViewId="0">
      <selection activeCell="X41" sqref="X41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42192</v>
      </c>
    </row>
    <row r="3" spans="3:29">
      <c r="Z3" s="2" t="s">
        <v>19</v>
      </c>
      <c r="AA3" s="19" t="s">
        <v>86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Market\2015-07\Refinancible Universe 2015-07-07.pdf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42186</v>
      </c>
      <c r="AB9" s="80" t="s">
        <v>87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42156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42187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40" t="s">
        <v>140</v>
      </c>
      <c r="P38" s="40"/>
      <c r="Q38" s="99">
        <f>'Function Of Rate'!C8</f>
        <v>3.00985191194196</v>
      </c>
      <c r="S38" s="41" t="s">
        <v>141</v>
      </c>
      <c r="T38" s="99">
        <f>'Function Of Rate'!C9</f>
        <v>0.85212125647781578</v>
      </c>
    </row>
    <row r="39" spans="3:20" ht="15.75" thickBot="1">
      <c r="C39" s="5" t="s">
        <v>33</v>
      </c>
      <c r="E39" s="26"/>
      <c r="F39" s="27"/>
      <c r="J39" s="41" t="s">
        <v>88</v>
      </c>
      <c r="K39" s="101">
        <f>CurrentMtgRatesDataTable82523[SeriesNumValue]</f>
        <v>3.98</v>
      </c>
      <c r="L39" s="41" t="s">
        <v>74</v>
      </c>
      <c r="M39" s="67">
        <f>CurrentMtgRatesDataTable82523[AsOfDate]</f>
        <v>42187</v>
      </c>
      <c r="O39" s="40" t="s">
        <v>138</v>
      </c>
      <c r="P39" s="40"/>
      <c r="Q39" s="100">
        <f>ImpliedRate</f>
        <v>3.8619731684197758</v>
      </c>
      <c r="S39" s="41" t="s">
        <v>74</v>
      </c>
      <c r="T39" s="88">
        <f>CurrentCloseDate</f>
        <v>42192</v>
      </c>
    </row>
    <row r="40" spans="3:20" s="36" customFormat="1" ht="13.5" customHeight="1">
      <c r="C40" s="47"/>
      <c r="D40" s="83" t="s">
        <v>28</v>
      </c>
      <c r="E40" s="84"/>
      <c r="F40" s="85"/>
      <c r="G40" s="83" t="s">
        <v>25</v>
      </c>
      <c r="H40" s="84"/>
      <c r="I40" s="85"/>
      <c r="J40" s="68" t="s">
        <v>84</v>
      </c>
      <c r="K40" s="83" t="s">
        <v>31</v>
      </c>
      <c r="L40" s="84"/>
      <c r="M40" s="85"/>
      <c r="O40" s="58"/>
      <c r="P40" s="84" t="s">
        <v>28</v>
      </c>
      <c r="Q40" s="85"/>
      <c r="R40" s="83" t="s">
        <v>25</v>
      </c>
      <c r="S40" s="85"/>
      <c r="T40" s="81" t="s">
        <v>84</v>
      </c>
    </row>
    <row r="41" spans="3:20" s="36" customFormat="1" ht="13.5" customHeight="1">
      <c r="C41" s="48" t="s">
        <v>32</v>
      </c>
      <c r="D41" s="42" t="s">
        <v>30</v>
      </c>
      <c r="E41" s="29" t="s">
        <v>12</v>
      </c>
      <c r="F41" s="43" t="s">
        <v>13</v>
      </c>
      <c r="G41" s="42" t="s">
        <v>30</v>
      </c>
      <c r="H41" s="29" t="s">
        <v>12</v>
      </c>
      <c r="I41" s="43" t="s">
        <v>13</v>
      </c>
      <c r="J41" s="69" t="s">
        <v>85</v>
      </c>
      <c r="K41" s="42" t="s">
        <v>30</v>
      </c>
      <c r="L41" s="29" t="s">
        <v>12</v>
      </c>
      <c r="M41" s="43" t="s">
        <v>13</v>
      </c>
      <c r="O41" s="42" t="s">
        <v>70</v>
      </c>
      <c r="P41" s="29" t="s">
        <v>71</v>
      </c>
      <c r="Q41" s="43" t="s">
        <v>72</v>
      </c>
      <c r="R41" s="42" t="s">
        <v>71</v>
      </c>
      <c r="S41" s="43" t="s">
        <v>72</v>
      </c>
      <c r="T41" s="82"/>
    </row>
    <row r="42" spans="3:20" s="36" customFormat="1" ht="13.5" customHeight="1">
      <c r="C42" s="49">
        <f>Query!B3</f>
        <v>42187</v>
      </c>
      <c r="D42" s="51">
        <f>Query!C3</f>
        <v>0.42691007799753877</v>
      </c>
      <c r="E42" s="37">
        <f>Query!C3-Query!C7</f>
        <v>-0.12260668969289068</v>
      </c>
      <c r="F42" s="52">
        <f>Query!C3-Query!C16</f>
        <v>-0.21066013514439341</v>
      </c>
      <c r="G42" s="51">
        <f>Query!D3</f>
        <v>0.39179509217736908</v>
      </c>
      <c r="H42" s="37">
        <f>Query!D3-Query!D7</f>
        <v>-9.9715313880578305E-2</v>
      </c>
      <c r="I42" s="52">
        <f>Query!D3-Query!D16</f>
        <v>-0.21439165615642197</v>
      </c>
      <c r="J42" s="70">
        <f>Query!E3</f>
        <v>0</v>
      </c>
      <c r="K42" s="55" t="e">
        <f ca="1">Query!F3</f>
        <v>#N/A</v>
      </c>
      <c r="L42" s="37" t="e">
        <f ca="1">(Query!F3-Query!F7)/Query!F7</f>
        <v>#N/A</v>
      </c>
      <c r="M42" s="52" t="e">
        <f ca="1">(Query!F3-Query!F16)/Query!F16</f>
        <v>#N/A</v>
      </c>
      <c r="O42" s="44" t="s">
        <v>53</v>
      </c>
      <c r="P42" s="37">
        <f>'Function Of Rate'!F$16</f>
        <v>0.78739680159230041</v>
      </c>
      <c r="Q42" s="52">
        <f t="shared" ref="Q42:Q45" si="0">P42-$P$47</f>
        <v>0.2785283420073269</v>
      </c>
      <c r="R42" s="61">
        <f>'Function Of Rate'!F$17</f>
        <v>0.7248139388783903</v>
      </c>
      <c r="S42" s="52">
        <f t="shared" ref="S42:S45" si="1">R42-$R$47</f>
        <v>0.27103098808133652</v>
      </c>
      <c r="T42" s="52">
        <f>'Function Of Rate'!F18</f>
        <v>0.23310054630335109</v>
      </c>
    </row>
    <row r="43" spans="3:20" s="36" customFormat="1" ht="13.5" customHeight="1">
      <c r="C43" s="49">
        <f>Query!B4</f>
        <v>42180</v>
      </c>
      <c r="D43" s="51">
        <f>Query!C4</f>
        <v>0.45889007356496508</v>
      </c>
      <c r="E43" s="37">
        <f>Query!C4-Query!C8</f>
        <v>-0.1001345291129781</v>
      </c>
      <c r="F43" s="52">
        <f>Query!C4-Query!C17</f>
        <v>-0.19001833908924287</v>
      </c>
      <c r="G43" s="51">
        <f>Query!D4</f>
        <v>0.39696021691334338</v>
      </c>
      <c r="H43" s="37">
        <f>Query!D4-Query!D8</f>
        <v>-9.8221927361237138E-2</v>
      </c>
      <c r="I43" s="52">
        <f>Query!D4-Query!D17</f>
        <v>-0.22289519245778766</v>
      </c>
      <c r="J43" s="70">
        <f>Query!E4</f>
        <v>0</v>
      </c>
      <c r="K43" s="55">
        <f ca="1">Query!F4</f>
        <v>1246.0999999999999</v>
      </c>
      <c r="L43" s="37">
        <f ca="1">(Query!F4-Query!F8)/Query!F8</f>
        <v>9.8873490558390609E-3</v>
      </c>
      <c r="M43" s="52">
        <f ca="1">(Query!F4-Query!F17)/Query!F17</f>
        <v>-0.3582097239390194</v>
      </c>
      <c r="O43" s="44" t="s">
        <v>52</v>
      </c>
      <c r="P43" s="37">
        <f>'Function Of Rate'!G$16</f>
        <v>0.72194394188659283</v>
      </c>
      <c r="Q43" s="52">
        <f t="shared" si="0"/>
        <v>0.21307548230161932</v>
      </c>
      <c r="R43" s="61">
        <f>'Function Of Rate'!G$17</f>
        <v>0.65587583536614569</v>
      </c>
      <c r="S43" s="52">
        <f t="shared" si="1"/>
        <v>0.20209288456909191</v>
      </c>
      <c r="T43" s="52">
        <f>'Function Of Rate'!G18</f>
        <v>0.20334858442040255</v>
      </c>
    </row>
    <row r="44" spans="3:20" s="36" customFormat="1" ht="13.5" customHeight="1">
      <c r="C44" s="49">
        <f>Query!B5</f>
        <v>42173</v>
      </c>
      <c r="D44" s="51">
        <f>Query!C5</f>
        <v>0.47504859154397289</v>
      </c>
      <c r="E44" s="37">
        <f>Query!C5-Query!C9</f>
        <v>-8.7421423542613008E-2</v>
      </c>
      <c r="F44" s="52">
        <f>Query!C5-Query!C18</f>
        <v>-0.14411949340003233</v>
      </c>
      <c r="G44" s="51">
        <f>Query!D5</f>
        <v>0.42202391195455535</v>
      </c>
      <c r="H44" s="37">
        <f>Query!D5-Query!D9</f>
        <v>-7.3282661905061663E-2</v>
      </c>
      <c r="I44" s="52">
        <f>Query!D5-Query!D18</f>
        <v>-0.15944173367204562</v>
      </c>
      <c r="J44" s="70">
        <f>Query!E5</f>
        <v>0</v>
      </c>
      <c r="K44" s="55">
        <f ca="1">Query!F5</f>
        <v>1318.3</v>
      </c>
      <c r="L44" s="37">
        <f ca="1">(Query!F5-Query!F9)/Query!F9</f>
        <v>-6.3773879696044283E-2</v>
      </c>
      <c r="M44" s="52">
        <f ca="1">(Query!F5-Query!F18)/Query!F18</f>
        <v>-0.29154127257093726</v>
      </c>
      <c r="O44" s="44" t="s">
        <v>51</v>
      </c>
      <c r="P44" s="37">
        <f>'Function Of Rate'!H$16</f>
        <v>0.62942249098570757</v>
      </c>
      <c r="Q44" s="52">
        <f t="shared" si="0"/>
        <v>0.12055403140073406</v>
      </c>
      <c r="R44" s="61">
        <f>'Function Of Rate'!H$17</f>
        <v>0.61196729695509944</v>
      </c>
      <c r="S44" s="52">
        <f t="shared" si="1"/>
        <v>0.15818434615804566</v>
      </c>
      <c r="T44" s="52">
        <f>'Function Of Rate'!H18</f>
        <v>4.4774026321930879E-3</v>
      </c>
    </row>
    <row r="45" spans="3:20" s="36" customFormat="1" ht="13.5" customHeight="1">
      <c r="C45" s="49">
        <f>Query!B6</f>
        <v>42166</v>
      </c>
      <c r="D45" s="51">
        <f>Query!C6</f>
        <v>0.46172473046300011</v>
      </c>
      <c r="E45" s="37">
        <f>Query!C6-Query!C10</f>
        <v>-0.10925701779731434</v>
      </c>
      <c r="F45" s="52">
        <f>Query!C6-Query!C19</f>
        <v>-0.12442778932010712</v>
      </c>
      <c r="G45" s="51">
        <f>Query!D6</f>
        <v>0.39779633268543002</v>
      </c>
      <c r="H45" s="37">
        <f>Query!D6-Query!D10</f>
        <v>-0.12846408656211494</v>
      </c>
      <c r="I45" s="52">
        <f>Query!D6-Query!D19</f>
        <v>-0.11923738187470501</v>
      </c>
      <c r="J45" s="70">
        <f>Query!E6</f>
        <v>0</v>
      </c>
      <c r="K45" s="55">
        <f ca="1">Query!F6</f>
        <v>1273.4000000000001</v>
      </c>
      <c r="L45" s="37">
        <f ca="1">(Query!F6-Query!F10)/Query!F10</f>
        <v>-0.1210657095527332</v>
      </c>
      <c r="M45" s="52">
        <f ca="1">(Query!F6-Query!F19)/Query!F19</f>
        <v>-0.21569352057156926</v>
      </c>
      <c r="O45" s="44" t="s">
        <v>50</v>
      </c>
      <c r="P45" s="37">
        <f>'Function Of Rate'!I$16</f>
        <v>0.58852660422619796</v>
      </c>
      <c r="Q45" s="52">
        <f t="shared" si="0"/>
        <v>7.9658144641224449E-2</v>
      </c>
      <c r="R45" s="61">
        <f>'Function Of Rate'!I$17</f>
        <v>0.54947037000480958</v>
      </c>
      <c r="S45" s="52">
        <f t="shared" si="1"/>
        <v>9.5687419207755808E-2</v>
      </c>
      <c r="T45" s="52">
        <f>'Function Of Rate'!I18</f>
        <v>2.278771299489286E-3</v>
      </c>
    </row>
    <row r="46" spans="3:20" s="36" customFormat="1" ht="13.5" customHeight="1">
      <c r="C46" s="49">
        <f>Query!B7</f>
        <v>42159</v>
      </c>
      <c r="D46" s="51">
        <f>Query!C7</f>
        <v>0.54951676769042945</v>
      </c>
      <c r="E46" s="37">
        <f>Query!C7-Query!C11</f>
        <v>-4.0854997228059631E-2</v>
      </c>
      <c r="F46" s="52">
        <f>Query!C7-Query!C20</f>
        <v>-7.8791321624558708E-2</v>
      </c>
      <c r="G46" s="51">
        <f>Query!D7</f>
        <v>0.49151040605794738</v>
      </c>
      <c r="H46" s="37">
        <f>Query!D7-Query!D11</f>
        <v>-4.0874181752411642E-2</v>
      </c>
      <c r="I46" s="52">
        <f>Query!D7-Query!D20</f>
        <v>-9.2337133426542595E-2</v>
      </c>
      <c r="J46" s="70">
        <f>Query!E7</f>
        <v>0</v>
      </c>
      <c r="K46" s="55">
        <f ca="1">Query!F7</f>
        <v>1342.4</v>
      </c>
      <c r="L46" s="37">
        <f ca="1">(Query!F7-Query!F11)/Query!F11</f>
        <v>-9.1622682365678623E-2</v>
      </c>
      <c r="M46" s="52">
        <f ca="1">(Query!F7-Query!F20)/Query!F20</f>
        <v>-0.20365426825651062</v>
      </c>
      <c r="O46" s="44" t="s">
        <v>49</v>
      </c>
      <c r="P46" s="37">
        <f>'Function Of Rate'!J$16</f>
        <v>0.54490638220164611</v>
      </c>
      <c r="Q46" s="52">
        <f>P46-$P$47</f>
        <v>3.6037922616672602E-2</v>
      </c>
      <c r="R46" s="61">
        <f>'Function Of Rate'!J$17</f>
        <v>0.48478831034476411</v>
      </c>
      <c r="S46" s="52">
        <f>R46-$R$47</f>
        <v>3.1005359547710332E-2</v>
      </c>
      <c r="T46" s="52">
        <f>'Function Of Rate'!J18</f>
        <v>3.8804010869198557E-4</v>
      </c>
    </row>
    <row r="47" spans="3:20" s="36" customFormat="1" ht="13.5" customHeight="1">
      <c r="C47" s="49">
        <f>Query!B8</f>
        <v>42152</v>
      </c>
      <c r="D47" s="51">
        <f>Query!C8</f>
        <v>0.55902460267794318</v>
      </c>
      <c r="E47" s="37">
        <f>Query!C8-Query!C12</f>
        <v>-8.7005860257085454E-2</v>
      </c>
      <c r="F47" s="52">
        <f>Query!C8-Query!C21</f>
        <v>-5.5666856536884191E-2</v>
      </c>
      <c r="G47" s="51">
        <f>Query!D8</f>
        <v>0.49518214427458052</v>
      </c>
      <c r="H47" s="37">
        <f>Query!D8-Query!D12</f>
        <v>-0.11369416383463848</v>
      </c>
      <c r="I47" s="52">
        <f>Query!D8-Query!D21</f>
        <v>-6.62640870212865E-2</v>
      </c>
      <c r="J47" s="70">
        <f>Query!E8</f>
        <v>0</v>
      </c>
      <c r="K47" s="55">
        <f ca="1">Query!F8</f>
        <v>1233.9000000000001</v>
      </c>
      <c r="L47" s="37">
        <f ca="1">(Query!F8-Query!F12)/Query!F12</f>
        <v>-0.20873412851096573</v>
      </c>
      <c r="M47" s="52">
        <f ca="1">(Query!F8-Query!F21)/Query!F21</f>
        <v>-0.29098431304947414</v>
      </c>
      <c r="O47" s="59">
        <f>'Function Of Rate'!$K$15</f>
        <v>3.8619731684197758</v>
      </c>
      <c r="P47" s="57">
        <f>'Function Of Rate'!K$16</f>
        <v>0.50886845958497351</v>
      </c>
      <c r="Q47" s="60" t="s">
        <v>73</v>
      </c>
      <c r="R47" s="62">
        <f>'Function Of Rate'!K$17</f>
        <v>0.45378295079705377</v>
      </c>
      <c r="S47" s="60" t="s">
        <v>73</v>
      </c>
      <c r="T47" s="60">
        <f>'Function Of Rate'!K18</f>
        <v>0</v>
      </c>
    </row>
    <row r="48" spans="3:20" s="36" customFormat="1" ht="13.5" customHeight="1">
      <c r="C48" s="49">
        <f>Query!B9</f>
        <v>42145</v>
      </c>
      <c r="D48" s="51">
        <f>Query!C9</f>
        <v>0.56247001508658589</v>
      </c>
      <c r="E48" s="37">
        <f>Query!C9-Query!C13</f>
        <v>-9.5972829660985415E-2</v>
      </c>
      <c r="F48" s="52">
        <f>Query!C9-Query!C22</f>
        <v>-6.6715620247169483E-2</v>
      </c>
      <c r="G48" s="51">
        <f>Query!D9</f>
        <v>0.49530657385961702</v>
      </c>
      <c r="H48" s="37">
        <f>Query!D9-Query!D13</f>
        <v>-0.13820263821935502</v>
      </c>
      <c r="I48" s="52">
        <f>Query!D9-Query!D22</f>
        <v>-9.4728115193803031E-2</v>
      </c>
      <c r="J48" s="70">
        <f>Query!E9</f>
        <v>0</v>
      </c>
      <c r="K48" s="55">
        <f ca="1">Query!F9</f>
        <v>1408.1</v>
      </c>
      <c r="L48" s="37">
        <f ca="1">(Query!F9-Query!F13)/Query!F13</f>
        <v>-0.18276262333139878</v>
      </c>
      <c r="M48" s="52">
        <f ca="1">(Query!F9-Query!F22)/Query!F22</f>
        <v>-0.17321355175855793</v>
      </c>
      <c r="O48" s="44" t="s">
        <v>54</v>
      </c>
      <c r="P48" s="37">
        <f>'Function Of Rate'!L$16</f>
        <v>0.43793116814222482</v>
      </c>
      <c r="Q48" s="52">
        <f t="shared" ref="Q48:Q52" si="2">P48-$P$47</f>
        <v>-7.0937291442748684E-2</v>
      </c>
      <c r="R48" s="61">
        <f>'Function Of Rate'!L$17</f>
        <v>0.39379483372057345</v>
      </c>
      <c r="S48" s="52">
        <f>R48-$R$47</f>
        <v>-5.998811707648033E-2</v>
      </c>
      <c r="T48" s="52">
        <f>'Function Of Rate'!L18</f>
        <v>0</v>
      </c>
    </row>
    <row r="49" spans="3:20" s="36" customFormat="1" ht="13.5" customHeight="1">
      <c r="C49" s="49">
        <f>Query!B10</f>
        <v>42138</v>
      </c>
      <c r="D49" s="51">
        <f>Query!C10</f>
        <v>0.57098174826031445</v>
      </c>
      <c r="E49" s="37">
        <f>Query!C10-Query!C14</f>
        <v>-6.9209542597003404E-2</v>
      </c>
      <c r="F49" s="52">
        <f>Query!C10-Query!C23</f>
        <v>-7.9910978645614472E-2</v>
      </c>
      <c r="G49" s="51">
        <f>Query!D10</f>
        <v>0.52626041924754496</v>
      </c>
      <c r="H49" s="37">
        <f>Query!D10-Query!D14</f>
        <v>-8.1198694606511079E-2</v>
      </c>
      <c r="I49" s="52">
        <f>Query!D10-Query!D23</f>
        <v>-0.10093033925876704</v>
      </c>
      <c r="J49" s="70">
        <f>Query!E10</f>
        <v>0</v>
      </c>
      <c r="K49" s="55">
        <f ca="1">Query!F10</f>
        <v>1448.8</v>
      </c>
      <c r="L49" s="37">
        <f ca="1">(Query!F10-Query!F14)/Query!F14</f>
        <v>-0.2026417171161255</v>
      </c>
      <c r="M49" s="52">
        <f ca="1">(Query!F10-Query!F23)/Query!F23</f>
        <v>-0.23915555088751186</v>
      </c>
      <c r="O49" s="44" t="s">
        <v>55</v>
      </c>
      <c r="P49" s="37">
        <f>'Function Of Rate'!M$16</f>
        <v>0.36611236549970821</v>
      </c>
      <c r="Q49" s="52">
        <f t="shared" si="2"/>
        <v>-0.14275609408526529</v>
      </c>
      <c r="R49" s="61">
        <f>'Function Of Rate'!M$17</f>
        <v>0.3595721117739043</v>
      </c>
      <c r="S49" s="52">
        <f t="shared" ref="S49:S52" si="3">R49-$R$47</f>
        <v>-9.4210839023149473E-2</v>
      </c>
      <c r="T49" s="52">
        <f>'Function Of Rate'!M18</f>
        <v>0</v>
      </c>
    </row>
    <row r="50" spans="3:20" s="36" customFormat="1" ht="13.5" customHeight="1">
      <c r="C50" s="49">
        <f>Query!B11</f>
        <v>42131</v>
      </c>
      <c r="D50" s="51">
        <f>Query!C11</f>
        <v>0.59037176491848908</v>
      </c>
      <c r="E50" s="37">
        <f>Query!C11-Query!C15</f>
        <v>-6.3751201852232042E-2</v>
      </c>
      <c r="F50" s="52">
        <f>Query!C11-Query!C24</f>
        <v>-9.57661543121473E-2</v>
      </c>
      <c r="G50" s="51">
        <f>Query!D11</f>
        <v>0.53238458781035902</v>
      </c>
      <c r="H50" s="37">
        <f>Query!D11-Query!D15</f>
        <v>-9.9414162043559018E-2</v>
      </c>
      <c r="I50" s="52">
        <f>Query!D11-Query!D24</f>
        <v>-0.12217446530835396</v>
      </c>
      <c r="J50" s="70">
        <f>Query!E11</f>
        <v>0</v>
      </c>
      <c r="K50" s="55">
        <f ca="1">Query!F11</f>
        <v>1477.8</v>
      </c>
      <c r="L50" s="37">
        <f ca="1">(Query!F11-Query!F15)/Query!F15</f>
        <v>-0.18109276293915547</v>
      </c>
      <c r="M50" s="52">
        <f ca="1">(Query!F11-Query!F24)/Query!F24</f>
        <v>-0.35503862436171613</v>
      </c>
      <c r="O50" s="44" t="s">
        <v>56</v>
      </c>
      <c r="P50" s="37">
        <f>'Function Of Rate'!N$16</f>
        <v>0.31543885679925637</v>
      </c>
      <c r="Q50" s="52">
        <f t="shared" si="2"/>
        <v>-0.19342960278571714</v>
      </c>
      <c r="R50" s="61">
        <f>'Function Of Rate'!N$17</f>
        <v>0.3166359857254013</v>
      </c>
      <c r="S50" s="52">
        <f t="shared" si="3"/>
        <v>-0.13714696507165247</v>
      </c>
      <c r="T50" s="52">
        <f>'Function Of Rate'!N18</f>
        <v>0</v>
      </c>
    </row>
    <row r="51" spans="3:20" s="36" customFormat="1" ht="13.5" customHeight="1" thickBot="1">
      <c r="C51" s="50">
        <f>Query!B12</f>
        <v>42124</v>
      </c>
      <c r="D51" s="53">
        <f>Query!C12</f>
        <v>0.64603046293502864</v>
      </c>
      <c r="E51" s="46">
        <f>Query!C12-Query!C16</f>
        <v>8.4602497930964526E-3</v>
      </c>
      <c r="F51" s="54">
        <f>Query!C12-Query!C25</f>
        <v>-1.6347229501885607E-2</v>
      </c>
      <c r="G51" s="53">
        <f>Query!D12</f>
        <v>0.608876308109219</v>
      </c>
      <c r="H51" s="46">
        <f>Query!D12-Query!D16</f>
        <v>2.6895597754279521E-3</v>
      </c>
      <c r="I51" s="54">
        <f>Query!D12-Query!D25</f>
        <v>-4.6946994226618965E-2</v>
      </c>
      <c r="J51" s="71">
        <f>Query!E12</f>
        <v>0</v>
      </c>
      <c r="K51" s="56">
        <f ca="1">Query!F12</f>
        <v>1559.4</v>
      </c>
      <c r="L51" s="46">
        <f ca="1">(Query!F12-Query!F16)/Query!F16</f>
        <v>-0.15921712406319077</v>
      </c>
      <c r="M51" s="54">
        <f ca="1">(Query!F12-Query!F25)/Query!F25</f>
        <v>-0.39670380687093781</v>
      </c>
      <c r="O51" s="44" t="s">
        <v>57</v>
      </c>
      <c r="P51" s="37">
        <f>'Function Of Rate'!O$16</f>
        <v>0.28314838405830683</v>
      </c>
      <c r="Q51" s="52">
        <f t="shared" si="2"/>
        <v>-0.22572007552666667</v>
      </c>
      <c r="R51" s="61">
        <f>'Function Of Rate'!O$17</f>
        <v>0.26666030012206848</v>
      </c>
      <c r="S51" s="52">
        <f t="shared" si="3"/>
        <v>-0.18712265067498529</v>
      </c>
      <c r="T51" s="52">
        <f>'Function Of Rate'!O18</f>
        <v>0</v>
      </c>
    </row>
    <row r="52" spans="3:20" ht="13.5" customHeight="1" thickBot="1">
      <c r="C52" s="39" t="s">
        <v>76</v>
      </c>
      <c r="H52"/>
      <c r="I52"/>
      <c r="J52"/>
      <c r="L52"/>
      <c r="M52" s="102" t="s">
        <v>78</v>
      </c>
      <c r="O52" s="45" t="s">
        <v>58</v>
      </c>
      <c r="P52" s="46">
        <f>'Function Of Rate'!P$16</f>
        <v>0.26235974776771248</v>
      </c>
      <c r="Q52" s="54">
        <f t="shared" si="2"/>
        <v>-0.24650871181726103</v>
      </c>
      <c r="R52" s="63">
        <f>'Function Of Rate'!P$17</f>
        <v>0.24088325679945349</v>
      </c>
      <c r="S52" s="54">
        <f t="shared" si="3"/>
        <v>-0.21289969399760028</v>
      </c>
      <c r="T52" s="54">
        <f>'Function Of Rate'!P18</f>
        <v>0</v>
      </c>
    </row>
    <row r="53" spans="3:20" ht="12" customHeight="1">
      <c r="C53" s="39" t="s">
        <v>75</v>
      </c>
      <c r="O53" s="86" t="s">
        <v>139</v>
      </c>
      <c r="P53" s="86"/>
      <c r="Q53" s="86"/>
      <c r="R53" s="86"/>
      <c r="S53" s="86"/>
      <c r="T53" s="86"/>
    </row>
    <row r="54" spans="3:20">
      <c r="O54" s="87"/>
      <c r="P54" s="87"/>
      <c r="Q54" s="87"/>
      <c r="R54" s="87"/>
      <c r="S54" s="87"/>
      <c r="T54" s="87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67" priority="27" operator="lessThan">
      <formula>0</formula>
    </cfRule>
  </conditionalFormatting>
  <conditionalFormatting sqref="H42:H51">
    <cfRule type="cellIs" dxfId="66" priority="26" operator="lessThan">
      <formula>0</formula>
    </cfRule>
  </conditionalFormatting>
  <conditionalFormatting sqref="L42:L51">
    <cfRule type="cellIs" dxfId="65" priority="25" operator="lessThan">
      <formula>0</formula>
    </cfRule>
  </conditionalFormatting>
  <conditionalFormatting sqref="I42:J51">
    <cfRule type="cellIs" dxfId="64" priority="24" operator="lessThan">
      <formula>0</formula>
    </cfRule>
  </conditionalFormatting>
  <conditionalFormatting sqref="M42:M51">
    <cfRule type="cellIs" dxfId="63" priority="23" operator="lessThan">
      <formula>0</formula>
    </cfRule>
  </conditionalFormatting>
  <conditionalFormatting sqref="D42:M51">
    <cfRule type="containsErrors" dxfId="62" priority="21">
      <formula>ISERROR(D42)</formula>
    </cfRule>
    <cfRule type="containsErrors" priority="22">
      <formula>ISERROR(D42)</formula>
    </cfRule>
  </conditionalFormatting>
  <conditionalFormatting sqref="Q42:Q52">
    <cfRule type="cellIs" dxfId="61" priority="20" operator="lessThan">
      <formula>0</formula>
    </cfRule>
  </conditionalFormatting>
  <conditionalFormatting sqref="Q42:Q52">
    <cfRule type="containsErrors" dxfId="60" priority="18">
      <formula>ISERROR(Q42)</formula>
    </cfRule>
    <cfRule type="containsErrors" priority="19">
      <formula>ISERROR(Q42)</formula>
    </cfRule>
  </conditionalFormatting>
  <conditionalFormatting sqref="P42:Q42 P42:P52">
    <cfRule type="cellIs" dxfId="59" priority="17" operator="lessThan">
      <formula>0</formula>
    </cfRule>
  </conditionalFormatting>
  <conditionalFormatting sqref="P42:Q42 P42:P52">
    <cfRule type="containsErrors" dxfId="58" priority="15">
      <formula>ISERROR(P42)</formula>
    </cfRule>
    <cfRule type="containsErrors" priority="16">
      <formula>ISERROR(P42)</formula>
    </cfRule>
  </conditionalFormatting>
  <conditionalFormatting sqref="R42:S42 R43:R52">
    <cfRule type="containsErrors" dxfId="57" priority="9">
      <formula>ISERROR(R42)</formula>
    </cfRule>
    <cfRule type="containsErrors" priority="10">
      <formula>ISERROR(R42)</formula>
    </cfRule>
  </conditionalFormatting>
  <conditionalFormatting sqref="S42:S52">
    <cfRule type="cellIs" dxfId="56" priority="14" operator="lessThan">
      <formula>0</formula>
    </cfRule>
  </conditionalFormatting>
  <conditionalFormatting sqref="S42:S52">
    <cfRule type="containsErrors" dxfId="55" priority="12">
      <formula>ISERROR(S42)</formula>
    </cfRule>
    <cfRule type="containsErrors" priority="13">
      <formula>ISERROR(S42)</formula>
    </cfRule>
  </conditionalFormatting>
  <conditionalFormatting sqref="R42:S42 R43:R52">
    <cfRule type="cellIs" dxfId="54" priority="11" operator="lessThan">
      <formula>0</formula>
    </cfRule>
  </conditionalFormatting>
  <conditionalFormatting sqref="J42:J51">
    <cfRule type="cellIs" dxfId="53" priority="8" operator="notEqual">
      <formula>0</formula>
    </cfRule>
  </conditionalFormatting>
  <conditionalFormatting sqref="T42">
    <cfRule type="containsErrors" dxfId="52" priority="2">
      <formula>ISERROR(T42)</formula>
    </cfRule>
    <cfRule type="containsErrors" priority="3">
      <formula>ISERROR(T42)</formula>
    </cfRule>
  </conditionalFormatting>
  <conditionalFormatting sqref="T42:T52">
    <cfRule type="cellIs" dxfId="51" priority="7" operator="lessThan">
      <formula>0</formula>
    </cfRule>
  </conditionalFormatting>
  <conditionalFormatting sqref="T42:T52">
    <cfRule type="containsErrors" dxfId="50" priority="5">
      <formula>ISERROR(T42)</formula>
    </cfRule>
    <cfRule type="containsErrors" priority="6">
      <formula>ISERROR(T42)</formula>
    </cfRule>
  </conditionalFormatting>
  <conditionalFormatting sqref="T42">
    <cfRule type="cellIs" dxfId="49" priority="4" operator="lessThan">
      <formula>0</formula>
    </cfRule>
  </conditionalFormatting>
  <conditionalFormatting sqref="M42:M50">
    <cfRule type="cellIs" dxfId="48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3" orientation="landscape" horizontalDpi="1200" verticalDpi="1200" r:id="rId5"/>
  <headerFooter scaleWithDoc="0">
    <oddHeader>&amp;L&amp;G&amp;C&amp;"-,Bold"&amp;10&amp;K2E398A
&amp;15Refinancible Universe&amp;R&amp;"-,Bold"&amp;10&amp;K2E398A
As of 07/07/2015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38"/>
  <sheetViews>
    <sheetView zoomScaleNormal="100" workbookViewId="0">
      <selection activeCell="O238" sqref="O238:P238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79</v>
      </c>
      <c r="S1" t="s">
        <v>80</v>
      </c>
    </row>
    <row r="2" spans="2:20">
      <c r="B2" s="6" t="s">
        <v>22</v>
      </c>
      <c r="C2" s="6" t="s">
        <v>23</v>
      </c>
      <c r="D2" s="6" t="s">
        <v>25</v>
      </c>
      <c r="E2" s="6" t="s">
        <v>82</v>
      </c>
      <c r="F2" s="6" t="s">
        <v>77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81</v>
      </c>
      <c r="S2" s="6" t="s">
        <v>22</v>
      </c>
      <c r="T2" s="6" t="s">
        <v>24</v>
      </c>
    </row>
    <row r="3" spans="2:20">
      <c r="B3" s="18">
        <v>42187</v>
      </c>
      <c r="C3" s="30">
        <v>0.42691007799753877</v>
      </c>
      <c r="D3" s="30">
        <f>VLOOKUP(CurrentMtgRatesDataTable825[[#This Row],[asOfDate]],H:I,2,0)</f>
        <v>0.39179509217736908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42180</v>
      </c>
      <c r="C4" s="30">
        <v>0.45889007356496508</v>
      </c>
      <c r="D4" s="30">
        <f>VLOOKUP(CurrentMtgRatesDataTable825[[#This Row],[asOfDate]],H:I,2,0)</f>
        <v>0.39696021691334338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1246.0999999999999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42173</v>
      </c>
      <c r="C5" s="30">
        <v>0.47504859154397289</v>
      </c>
      <c r="D5" s="30">
        <f>VLOOKUP(CurrentMtgRatesDataTable825[[#This Row],[asOfDate]],H:I,2,0)</f>
        <v>0.42202391195455535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1318.3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42166</v>
      </c>
      <c r="C6" s="30">
        <v>0.46172473046300011</v>
      </c>
      <c r="D6" s="30">
        <f>VLOOKUP(CurrentMtgRatesDataTable825[[#This Row],[asOfDate]],H:I,2,0)</f>
        <v>0.39779633268543002</v>
      </c>
      <c r="E6" s="30">
        <f>VLOOKUP(CurrentMtgRatesDataTable825[[#This Row],[asOfDate]],O:P,2,0)</f>
        <v>0</v>
      </c>
      <c r="F6" s="34">
        <f ca="1">VLOOKUP(CurrentMtgRatesDataTable825[[#This Row],[asOfDate]]+1,Bloomberg!B:C,2,0)</f>
        <v>1273.4000000000001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42159</v>
      </c>
      <c r="C7" s="30">
        <v>0.54951676769042945</v>
      </c>
      <c r="D7" s="30">
        <f>VLOOKUP(CurrentMtgRatesDataTable825[[#This Row],[asOfDate]],H:I,2,0)</f>
        <v>0.49151040605794738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1342.4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42152</v>
      </c>
      <c r="C8" s="30">
        <v>0.55902460267794318</v>
      </c>
      <c r="D8" s="30">
        <f>VLOOKUP(CurrentMtgRatesDataTable825[[#This Row],[asOfDate]],H:I,2,0)</f>
        <v>0.49518214427458052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1233.9000000000001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42145</v>
      </c>
      <c r="C9" s="30">
        <v>0.56247001508658589</v>
      </c>
      <c r="D9" s="30">
        <f>VLOOKUP(CurrentMtgRatesDataTable825[[#This Row],[asOfDate]],H:I,2,0)</f>
        <v>0.49530657385961702</v>
      </c>
      <c r="E9" s="30">
        <f>VLOOKUP(CurrentMtgRatesDataTable825[[#This Row],[asOfDate]],O:P,2,0)</f>
        <v>0</v>
      </c>
      <c r="F9" s="34">
        <f ca="1">VLOOKUP(CurrentMtgRatesDataTable825[[#This Row],[asOfDate]]+1,Bloomberg!B:C,2,0)</f>
        <v>1408.1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42138</v>
      </c>
      <c r="C10" s="30">
        <v>0.57098174826031445</v>
      </c>
      <c r="D10" s="30">
        <f>VLOOKUP(CurrentMtgRatesDataTable825[[#This Row],[asOfDate]],H:I,2,0)</f>
        <v>0.52626041924754496</v>
      </c>
      <c r="E10" s="30">
        <f>VLOOKUP(CurrentMtgRatesDataTable825[[#This Row],[asOfDate]],O:P,2,0)</f>
        <v>0</v>
      </c>
      <c r="F10" s="34">
        <f ca="1">VLOOKUP(CurrentMtgRatesDataTable825[[#This Row],[asOfDate]]+1,Bloomberg!B:C,2,0)</f>
        <v>1448.8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42131</v>
      </c>
      <c r="C11" s="30">
        <v>0.59037176491848908</v>
      </c>
      <c r="D11" s="30">
        <f>VLOOKUP(CurrentMtgRatesDataTable825[[#This Row],[asOfDate]],H:I,2,0)</f>
        <v>0.53238458781035902</v>
      </c>
      <c r="E11" s="30">
        <f>VLOOKUP(CurrentMtgRatesDataTable825[[#This Row],[asOfDate]],O:P,2,0)</f>
        <v>0</v>
      </c>
      <c r="F11" s="34">
        <f ca="1">VLOOKUP(CurrentMtgRatesDataTable825[[#This Row],[asOfDate]]+1,Bloomberg!B:C,2,0)</f>
        <v>1477.8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42124</v>
      </c>
      <c r="C12" s="30">
        <v>0.64603046293502864</v>
      </c>
      <c r="D12" s="30">
        <f>VLOOKUP(CurrentMtgRatesDataTable825[[#This Row],[asOfDate]],H:I,2,0)</f>
        <v>0.608876308109219</v>
      </c>
      <c r="E12" s="30">
        <f>VLOOKUP(CurrentMtgRatesDataTable825[[#This Row],[asOfDate]],O:P,2,0)</f>
        <v>0</v>
      </c>
      <c r="F12" s="34">
        <f ca="1">VLOOKUP(CurrentMtgRatesDataTable825[[#This Row],[asOfDate]]+1,Bloomberg!B:C,2,0)</f>
        <v>1559.4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42117</v>
      </c>
      <c r="C13" s="30">
        <v>0.65844284474757131</v>
      </c>
      <c r="D13" s="30">
        <f>VLOOKUP(CurrentMtgRatesDataTable825[[#This Row],[asOfDate]],H:I,2,0)</f>
        <v>0.63350921207897204</v>
      </c>
      <c r="E13" s="30">
        <f>VLOOKUP(CurrentMtgRatesDataTable825[[#This Row],[asOfDate]],O:P,2,0)</f>
        <v>3.9431628666260904E-3</v>
      </c>
      <c r="F13" s="34">
        <f ca="1">VLOOKUP(CurrentMtgRatesDataTable825[[#This Row],[asOfDate]]+1,Bloomberg!B:C,2,0)</f>
        <v>1723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42110</v>
      </c>
      <c r="C14" s="30">
        <v>0.64019129085731785</v>
      </c>
      <c r="D14" s="30">
        <f>VLOOKUP(CurrentMtgRatesDataTable825[[#This Row],[asOfDate]],H:I,2,0)</f>
        <v>0.60745911385405604</v>
      </c>
      <c r="E14" s="30">
        <f>VLOOKUP(CurrentMtgRatesDataTable825[[#This Row],[asOfDate]],O:P,2,0)</f>
        <v>0</v>
      </c>
      <c r="F14" s="34">
        <f ca="1">VLOOKUP(CurrentMtgRatesDataTable825[[#This Row],[asOfDate]]+1,Bloomberg!B:C,2,0)</f>
        <v>1817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42103</v>
      </c>
      <c r="C15" s="30">
        <v>0.65412296677072113</v>
      </c>
      <c r="D15" s="30">
        <f>VLOOKUP(CurrentMtgRatesDataTable825[[#This Row],[asOfDate]],H:I,2,0)</f>
        <v>0.63179874985391804</v>
      </c>
      <c r="E15" s="30">
        <f>VLOOKUP(CurrentMtgRatesDataTable825[[#This Row],[asOfDate]],O:P,2,0)</f>
        <v>3.87908393633439E-3</v>
      </c>
      <c r="F15" s="34">
        <f ca="1">VLOOKUP(CurrentMtgRatesDataTable825[[#This Row],[asOfDate]]+1,Bloomberg!B:C,2,0)</f>
        <v>1804.6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42096</v>
      </c>
      <c r="C16" s="30">
        <v>0.63757021314193218</v>
      </c>
      <c r="D16" s="30">
        <f>VLOOKUP(CurrentMtgRatesDataTable825[[#This Row],[asOfDate]],H:I,2,0)</f>
        <v>0.60618674833379105</v>
      </c>
      <c r="E16" s="30">
        <f>VLOOKUP(CurrentMtgRatesDataTable825[[#This Row],[asOfDate]],O:P,2,0)</f>
        <v>0</v>
      </c>
      <c r="F16" s="34">
        <f ca="1">VLOOKUP(CurrentMtgRatesDataTable825[[#This Row],[asOfDate]]+1,Bloomberg!B:C,2,0)</f>
        <v>1854.7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18">
        <v>42089</v>
      </c>
      <c r="C17" s="30">
        <v>0.64890841265420796</v>
      </c>
      <c r="D17" s="30">
        <f>VLOOKUP(CurrentMtgRatesDataTable825[[#This Row],[asOfDate]],H:I,2,0)</f>
        <v>0.61985540937113104</v>
      </c>
      <c r="E17" s="30">
        <f>VLOOKUP(CurrentMtgRatesDataTable825[[#This Row],[asOfDate]],O:P,2,0)</f>
        <v>9.60298428502188E-4</v>
      </c>
      <c r="F17" s="34">
        <f ca="1">VLOOKUP(CurrentMtgRatesDataTable825[[#This Row],[asOfDate]]+1,Bloomberg!B:C,2,0)</f>
        <v>1941.6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18">
        <v>42082</v>
      </c>
      <c r="C18" s="30">
        <v>0.61916808494400521</v>
      </c>
      <c r="D18" s="30">
        <f>VLOOKUP(CurrentMtgRatesDataTable825[[#This Row],[asOfDate]],H:I,2,0)</f>
        <v>0.58146564562660097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1860.8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18">
        <v>42075</v>
      </c>
      <c r="C19" s="30">
        <v>0.58615251978310723</v>
      </c>
      <c r="D19" s="30">
        <f>VLOOKUP(CurrentMtgRatesDataTable825[[#This Row],[asOfDate]],H:I,2,0)</f>
        <v>0.51703371456013503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1623.6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18">
        <v>42068</v>
      </c>
      <c r="C20" s="30">
        <v>0.62830808931498816</v>
      </c>
      <c r="D20" s="30">
        <f>VLOOKUP(CurrentMtgRatesDataTable825[[#This Row],[asOfDate]],H:I,2,0)</f>
        <v>0.58384753948448997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1685.7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18">
        <v>42061</v>
      </c>
      <c r="C21" s="30">
        <v>0.61469145921482737</v>
      </c>
      <c r="D21" s="30">
        <f>VLOOKUP(CurrentMtgRatesDataTable825[[#This Row],[asOfDate]],H:I,2,0)</f>
        <v>0.56144623129586702</v>
      </c>
      <c r="E21" s="30">
        <f>VLOOKUP(CurrentMtgRatesDataTable825[[#This Row],[asOfDate]],O:P,2,0)</f>
        <v>0</v>
      </c>
      <c r="F21" s="34">
        <f ca="1">VLOOKUP(CurrentMtgRatesDataTable825[[#This Row],[asOfDate]]+1,Bloomberg!B:C,2,0)</f>
        <v>1740.3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18">
        <v>42054</v>
      </c>
      <c r="C22" s="30">
        <v>0.62918563533375538</v>
      </c>
      <c r="D22" s="30">
        <f>VLOOKUP(CurrentMtgRatesDataTable825[[#This Row],[asOfDate]],H:I,2,0)</f>
        <v>0.59003468905342005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1703.1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18">
        <v>42047</v>
      </c>
      <c r="C23" s="30">
        <v>0.65089272690592892</v>
      </c>
      <c r="D23" s="30">
        <f>VLOOKUP(CurrentMtgRatesDataTable825[[#This Row],[asOfDate]],H:I,2,0)</f>
        <v>0.62719075850631201</v>
      </c>
      <c r="E23" s="30">
        <f>VLOOKUP(CurrentMtgRatesDataTable825[[#This Row],[asOfDate]],O:P,2,0)</f>
        <v>0</v>
      </c>
      <c r="F23" s="34">
        <f ca="1">VLOOKUP(CurrentMtgRatesDataTable825[[#This Row],[asOfDate]]+1,Bloomberg!B:C,2,0)</f>
        <v>1904.2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18">
        <v>42040</v>
      </c>
      <c r="C24" s="30">
        <v>0.68613791923063638</v>
      </c>
      <c r="D24" s="30">
        <f>VLOOKUP(CurrentMtgRatesDataTable825[[#This Row],[asOfDate]],H:I,2,0)</f>
        <v>0.65455905311871299</v>
      </c>
      <c r="E24" s="30">
        <f>VLOOKUP(CurrentMtgRatesDataTable825[[#This Row],[asOfDate]],O:P,2,0)</f>
        <v>0.17933240004933601</v>
      </c>
      <c r="F24" s="34">
        <f ca="1">VLOOKUP(CurrentMtgRatesDataTable825[[#This Row],[asOfDate]]+1,Bloomberg!B:C,2,0)</f>
        <v>2291.3000000000002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18">
        <v>42033</v>
      </c>
      <c r="C25" s="30">
        <v>0.66237769243691424</v>
      </c>
      <c r="D25" s="30">
        <f>VLOOKUP(CurrentMtgRatesDataTable825[[#This Row],[asOfDate]],H:I,2,0)</f>
        <v>0.65582330233583797</v>
      </c>
      <c r="E25" s="30">
        <f>VLOOKUP(CurrentMtgRatesDataTable825[[#This Row],[asOfDate]],O:P,2,0)</f>
        <v>0</v>
      </c>
      <c r="F25" s="34">
        <f ca="1">VLOOKUP(CurrentMtgRatesDataTable825[[#This Row],[asOfDate]]+1,Bloomberg!B:C,2,0)</f>
        <v>2584.8000000000002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18">
        <v>42026</v>
      </c>
      <c r="C26" s="30">
        <v>0.66443740132152351</v>
      </c>
      <c r="D26" s="30">
        <f>VLOOKUP(CurrentMtgRatesDataTable825[[#This Row],[asOfDate]],H:I,2,0)</f>
        <v>0.65720471867066899</v>
      </c>
      <c r="E26" s="30">
        <f>VLOOKUP(CurrentMtgRatesDataTable825[[#This Row],[asOfDate]],O:P,2,0)</f>
        <v>0.17811212012226099</v>
      </c>
      <c r="F26" s="34">
        <f ca="1">VLOOKUP(CurrentMtgRatesDataTable825[[#This Row],[asOfDate]]+1,Bloomberg!B:C,2,0)</f>
        <v>2572.3000000000002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18">
        <v>42019</v>
      </c>
      <c r="C27" s="30">
        <v>0.66237769243691424</v>
      </c>
      <c r="D27" s="30">
        <f>VLOOKUP(CurrentMtgRatesDataTable825[[#This Row],[asOfDate]],H:I,2,0)</f>
        <v>0.65582330233583797</v>
      </c>
      <c r="E27" s="30">
        <f>VLOOKUP(CurrentMtgRatesDataTable825[[#This Row],[asOfDate]],O:P,2,0)</f>
        <v>0.177765501913389</v>
      </c>
      <c r="F27" s="34">
        <f ca="1">VLOOKUP(CurrentMtgRatesDataTable825[[#This Row],[asOfDate]]+1,Bloomberg!B:C,2,0)</f>
        <v>2799.3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18">
        <v>42012</v>
      </c>
      <c r="C28" s="30">
        <v>0.63535246046030358</v>
      </c>
      <c r="D28" s="30">
        <f>VLOOKUP(CurrentMtgRatesDataTable825[[#This Row],[asOfDate]],H:I,2,0)</f>
        <v>0.59931706558407905</v>
      </c>
      <c r="E28" s="30">
        <f>VLOOKUP(CurrentMtgRatesDataTable825[[#This Row],[asOfDate]],O:P,2,0)</f>
        <v>0.14268475210645201</v>
      </c>
      <c r="F28" s="34">
        <f ca="1">VLOOKUP(CurrentMtgRatesDataTable825[[#This Row],[asOfDate]]+1,Bloomberg!B:C,2,0)</f>
        <v>2271.5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18">
        <v>42004</v>
      </c>
      <c r="C29" s="30">
        <v>0.59452652549193286</v>
      </c>
      <c r="D29" s="30">
        <f>VLOOKUP(CurrentMtgRatesDataTable825[[#This Row],[asOfDate]],H:I,2,0)</f>
        <v>0.53680415412734395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1347.6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18">
        <v>41997</v>
      </c>
      <c r="C30" s="30">
        <v>0.6078826622396406</v>
      </c>
      <c r="D30" s="30">
        <f>VLOOKUP(CurrentMtgRatesDataTable825[[#This Row],[asOfDate]],H:I,2,0)</f>
        <v>0.57166642614489205</v>
      </c>
      <c r="E30" s="30">
        <f>VLOOKUP(CurrentMtgRatesDataTable825[[#This Row],[asOfDate]],O:P,2,0)</f>
        <v>0</v>
      </c>
      <c r="F30" s="34">
        <f ca="1">VLOOKUP(CurrentMtgRatesDataTable825[[#This Row],[asOfDate]]+1,Bloomberg!B:C,2,0)</f>
        <v>1164.2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18">
        <v>41991</v>
      </c>
      <c r="C31" s="30">
        <v>0.61729602418947438</v>
      </c>
      <c r="D31" s="30">
        <f>VLOOKUP(CurrentMtgRatesDataTable825[[#This Row],[asOfDate]],H:I,2,0)</f>
        <v>0.57447022909045797</v>
      </c>
      <c r="E31" s="30">
        <f>VLOOKUP(CurrentMtgRatesDataTable825[[#This Row],[asOfDate]],O:P,2,0)</f>
        <v>0.127103043508559</v>
      </c>
      <c r="F31" s="34">
        <f ca="1">VLOOKUP(CurrentMtgRatesDataTable825[[#This Row],[asOfDate]]+1,Bloomberg!B:C,2,0)</f>
        <v>1538.7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18">
        <v>41984</v>
      </c>
      <c r="C32" s="30">
        <v>0.58317600569372552</v>
      </c>
      <c r="D32" s="30">
        <f>VLOOKUP(CurrentMtgRatesDataTable825[[#This Row],[asOfDate]],H:I,2,0)</f>
        <v>0.53353274326337596</v>
      </c>
      <c r="E32" s="30">
        <f>VLOOKUP(CurrentMtgRatesDataTable825[[#This Row],[asOfDate]],O:P,2,0)</f>
        <v>0</v>
      </c>
      <c r="F32" s="34">
        <f ca="1">VLOOKUP(CurrentMtgRatesDataTable825[[#This Row],[asOfDate]]+1,Bloomberg!B:C,2,0)</f>
        <v>1518.8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41977</v>
      </c>
      <c r="C33" s="30">
        <v>0.59653157178880079</v>
      </c>
      <c r="D33" s="30">
        <f>VLOOKUP(CurrentMtgRatesDataTable825[[#This Row],[asOfDate]],H:I,2,0)</f>
        <v>0.53685925114667898</v>
      </c>
      <c r="E33" s="30">
        <f>VLOOKUP(CurrentMtgRatesDataTable825[[#This Row],[asOfDate]],O:P,2,0)</f>
        <v>0.106230521131833</v>
      </c>
      <c r="F33" s="34">
        <f ca="1">VLOOKUP(CurrentMtgRatesDataTable825[[#This Row],[asOfDate]]+1,Bloomberg!B:C,2,0)</f>
        <v>1548.6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41969</v>
      </c>
      <c r="C34" s="30">
        <v>0.57517284737260799</v>
      </c>
      <c r="D34" s="30">
        <f>VLOOKUP(CurrentMtgRatesDataTable825[[#This Row],[asOfDate]],H:I,2,0)</f>
        <v>0.51222876537846296</v>
      </c>
      <c r="E34" s="30">
        <f>VLOOKUP(CurrentMtgRatesDataTable825[[#This Row],[asOfDate]],O:P,2,0)</f>
        <v>1.9601498700341099E-3</v>
      </c>
      <c r="F34" s="34" t="e">
        <f ca="1">VLOOKUP(CurrentMtgRatesDataTable825[[#This Row],[asOfDate]]+1,Bloomberg!B:C,2,0)</f>
        <v>#N/A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41963</v>
      </c>
      <c r="C35" s="30">
        <v>0.56861607014134152</v>
      </c>
      <c r="D35" s="30">
        <f>VLOOKUP(CurrentMtgRatesDataTable825[[#This Row],[asOfDate]],H:I,2,0)</f>
        <v>0.51126312077979097</v>
      </c>
      <c r="E35" s="30">
        <f>VLOOKUP(CurrentMtgRatesDataTable825[[#This Row],[asOfDate]],O:P,2,0)</f>
        <v>1.9465534524820899E-3</v>
      </c>
      <c r="F35" s="34">
        <f ca="1">VLOOKUP(CurrentMtgRatesDataTable825[[#This Row],[asOfDate]]+1,Bloomberg!B:C,2,0)</f>
        <v>1547.9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41956</v>
      </c>
      <c r="C36" s="30">
        <v>0.55727419854014459</v>
      </c>
      <c r="D36" s="30">
        <f>VLOOKUP(CurrentMtgRatesDataTable825[[#This Row],[asOfDate]],H:I,2,0)</f>
        <v>0.47696082053878203</v>
      </c>
      <c r="E36" s="30">
        <f>VLOOKUP(CurrentMtgRatesDataTable825[[#This Row],[asOfDate]],O:P,2,0)</f>
        <v>1.4902494177175701E-3</v>
      </c>
      <c r="F36" s="34">
        <f ca="1">VLOOKUP(CurrentMtgRatesDataTable825[[#This Row],[asOfDate]]+1,Bloomberg!B:C,2,0)</f>
        <v>1563.2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41949</v>
      </c>
      <c r="C37" s="30">
        <v>0.55093013331653118</v>
      </c>
      <c r="D37" s="30">
        <f>VLOOKUP(CurrentMtgRatesDataTable825[[#This Row],[asOfDate]],H:I,2,0)</f>
        <v>0.47679161148246502</v>
      </c>
      <c r="E37" s="30">
        <f>VLOOKUP(CurrentMtgRatesDataTable825[[#This Row],[asOfDate]],O:P,2,0)</f>
        <v>0</v>
      </c>
      <c r="F37" s="34">
        <f ca="1">VLOOKUP(CurrentMtgRatesDataTable825[[#This Row],[asOfDate]]+1,Bloomberg!B:C,2,0)</f>
        <v>1565.3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41942</v>
      </c>
      <c r="C38" s="30">
        <v>0.57465727832154401</v>
      </c>
      <c r="D38" s="30">
        <f>VLOOKUP(CurrentMtgRatesDataTable825[[#This Row],[asOfDate]],H:I,2,0)</f>
        <v>0.519221652370358</v>
      </c>
      <c r="E38" s="30">
        <f>VLOOKUP(CurrentMtgRatesDataTable825[[#This Row],[asOfDate]],O:P,2,0)</f>
        <v>0</v>
      </c>
      <c r="F38" s="34">
        <f ca="1">VLOOKUP(CurrentMtgRatesDataTable825[[#This Row],[asOfDate]]+1,Bloomberg!B:C,2,0)</f>
        <v>1604.8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41935</v>
      </c>
      <c r="C39" s="30">
        <v>0.58902995061120811</v>
      </c>
      <c r="D39" s="30">
        <f>VLOOKUP(CurrentMtgRatesDataTable825[[#This Row],[asOfDate]],H:I,2,0)</f>
        <v>0.54838604953283498</v>
      </c>
      <c r="E39" s="30">
        <f>VLOOKUP(CurrentMtgRatesDataTable825[[#This Row],[asOfDate]],O:P,2,0)</f>
        <v>0.103644934949105</v>
      </c>
      <c r="F39" s="34">
        <f ca="1">VLOOKUP(CurrentMtgRatesDataTable825[[#This Row],[asOfDate]]+1,Bloomberg!B:C,2,0)</f>
        <v>1713.6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41928</v>
      </c>
      <c r="C40" s="30">
        <v>0.57793839140083469</v>
      </c>
      <c r="D40" s="30">
        <f>VLOOKUP(CurrentMtgRatesDataTable825[[#This Row],[asOfDate]],H:I,2,0)</f>
        <v>0.51982909302980596</v>
      </c>
      <c r="E40" s="30">
        <f>VLOOKUP(CurrentMtgRatesDataTable825[[#This Row],[asOfDate]],O:P,2,0)</f>
        <v>9.0356790924596503E-2</v>
      </c>
      <c r="F40" s="34">
        <f ca="1">VLOOKUP(CurrentMtgRatesDataTable825[[#This Row],[asOfDate]]+1,Bloomberg!B:C,2,0)</f>
        <v>1898.2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41921</v>
      </c>
      <c r="C41" s="30">
        <v>0.4741591952243816</v>
      </c>
      <c r="D41" s="30">
        <f>VLOOKUP(CurrentMtgRatesDataTable825[[#This Row],[asOfDate]],H:I,2,0)</f>
        <v>0.45168042618119703</v>
      </c>
      <c r="E41" s="30">
        <f>VLOOKUP(CurrentMtgRatesDataTable825[[#This Row],[asOfDate]],O:P,2,0)</f>
        <v>1.00775509847578E-3</v>
      </c>
      <c r="F41" s="34">
        <f ca="1">VLOOKUP(CurrentMtgRatesDataTable825[[#This Row],[asOfDate]]+1,Bloomberg!B:C,2,0)</f>
        <v>1560.6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41914</v>
      </c>
      <c r="C42" s="30">
        <v>0.43658809651451691</v>
      </c>
      <c r="D42" s="30">
        <f>VLOOKUP(CurrentMtgRatesDataTable825[[#This Row],[asOfDate]],H:I,2,0)</f>
        <v>0.419925946793896</v>
      </c>
      <c r="E42" s="30">
        <f>VLOOKUP(CurrentMtgRatesDataTable825[[#This Row],[asOfDate]],O:P,2,0)</f>
        <v>0</v>
      </c>
      <c r="F42" s="34">
        <f ca="1">VLOOKUP(CurrentMtgRatesDataTable825[[#This Row],[asOfDate]]+1,Bloomberg!B:C,2,0)</f>
        <v>1387.1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41907</v>
      </c>
      <c r="C43" s="30">
        <v>0.41765287093842862</v>
      </c>
      <c r="D43" s="30">
        <f>VLOOKUP(CurrentMtgRatesDataTable825[[#This Row],[asOfDate]],H:I,2,0)</f>
        <v>0.40569534905697002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1326.2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41900</v>
      </c>
      <c r="C44" s="30">
        <v>0.4028098229838899</v>
      </c>
      <c r="D44" s="30">
        <f>VLOOKUP(CurrentMtgRatesDataTable825[[#This Row],[asOfDate]],H:I,2,0)</f>
        <v>0.403775681059653</v>
      </c>
      <c r="E44" s="30">
        <f>VLOOKUP(CurrentMtgRatesDataTable825[[#This Row],[asOfDate]],O:P,2,0)</f>
        <v>0</v>
      </c>
      <c r="F44" s="34">
        <f ca="1">VLOOKUP(CurrentMtgRatesDataTable825[[#This Row],[asOfDate]]+1,Bloomberg!B:C,2,0)</f>
        <v>1335.1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41893</v>
      </c>
      <c r="C45" s="30">
        <v>0.47788907778136447</v>
      </c>
      <c r="D45" s="30">
        <f>VLOOKUP(CurrentMtgRatesDataTable825[[#This Row],[asOfDate]],H:I,2,0)</f>
        <v>0.45995272695767497</v>
      </c>
      <c r="E45" s="30">
        <f>VLOOKUP(CurrentMtgRatesDataTable825[[#This Row],[asOfDate]],O:P,2,0)</f>
        <v>0</v>
      </c>
      <c r="F45" s="34">
        <f ca="1">VLOOKUP(CurrentMtgRatesDataTable825[[#This Row],[asOfDate]]+1,Bloomberg!B:C,2,0)</f>
        <v>1398.4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41886</v>
      </c>
      <c r="C46" s="30">
        <v>0.49084413664233395</v>
      </c>
      <c r="D46" s="30">
        <f>VLOOKUP(CurrentMtgRatesDataTable825[[#This Row],[asOfDate]],H:I,2,0)</f>
        <v>0.46145357757128402</v>
      </c>
      <c r="E46" s="30">
        <f>VLOOKUP(CurrentMtgRatesDataTable825[[#This Row],[asOfDate]],O:P,2,0)</f>
        <v>0</v>
      </c>
      <c r="F46" s="34">
        <f ca="1">VLOOKUP(CurrentMtgRatesDataTable825[[#This Row],[asOfDate]]+1,Bloomberg!B:C,2,0)</f>
        <v>1275.8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41879</v>
      </c>
      <c r="C47" s="30">
        <v>0.49450426590474372</v>
      </c>
      <c r="D47" s="30">
        <f>VLOOKUP(CurrentMtgRatesDataTable825[[#This Row],[asOfDate]],H:I,2,0)</f>
        <v>0.46725416935729103</v>
      </c>
      <c r="E47" s="30">
        <f>VLOOKUP(CurrentMtgRatesDataTable825[[#This Row],[asOfDate]],O:P,2,0)</f>
        <v>0</v>
      </c>
      <c r="F47" s="34">
        <f ca="1">VLOOKUP(CurrentMtgRatesDataTable825[[#This Row],[asOfDate]]+1,Bloomberg!B:C,2,0)</f>
        <v>1436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41872</v>
      </c>
      <c r="C48" s="30">
        <v>0.49450426590474372</v>
      </c>
      <c r="D48" s="30">
        <f>VLOOKUP(CurrentMtgRatesDataTable825[[#This Row],[asOfDate]],H:I,2,0)</f>
        <v>0.46725416935729103</v>
      </c>
      <c r="E48" s="30">
        <f>VLOOKUP(CurrentMtgRatesDataTable825[[#This Row],[asOfDate]],O:P,2,0)</f>
        <v>5.44200843584444E-2</v>
      </c>
      <c r="F48" s="34">
        <f ca="1">VLOOKUP(CurrentMtgRatesDataTable825[[#This Row],[asOfDate]]+1,Bloomberg!B:C,2,0)</f>
        <v>1439.4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41865</v>
      </c>
      <c r="C49" s="30">
        <v>0.45923072088835232</v>
      </c>
      <c r="D49" s="30">
        <f>VLOOKUP(CurrentMtgRatesDataTable825[[#This Row],[asOfDate]],H:I,2,0)</f>
        <v>0.437009219217877</v>
      </c>
      <c r="E49" s="30">
        <f>VLOOKUP(CurrentMtgRatesDataTable825[[#This Row],[asOfDate]],O:P,2,0)</f>
        <v>5.9130346511517896E-4</v>
      </c>
      <c r="F49" s="34">
        <f ca="1">VLOOKUP(CurrentMtgRatesDataTable825[[#This Row],[asOfDate]]+1,Bloomberg!B:C,2,0)</f>
        <v>1404.9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41858</v>
      </c>
      <c r="C50" s="30">
        <v>0.42761316319375164</v>
      </c>
      <c r="D50" s="30">
        <f>VLOOKUP(CurrentMtgRatesDataTable825[[#This Row],[asOfDate]],H:I,2,0)</f>
        <v>0.41284557270170602</v>
      </c>
      <c r="E50" s="30">
        <f>VLOOKUP(CurrentMtgRatesDataTable825[[#This Row],[asOfDate]],O:P,2,0)</f>
        <v>0</v>
      </c>
      <c r="F50" s="34">
        <f ca="1">VLOOKUP(CurrentMtgRatesDataTable825[[#This Row],[asOfDate]]+1,Bloomberg!B:C,2,0)</f>
        <v>1342.6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41851</v>
      </c>
      <c r="C51" s="30">
        <v>0.46227032845945415</v>
      </c>
      <c r="D51" s="30">
        <f>VLOOKUP(CurrentMtgRatesDataTable825[[#This Row],[asOfDate]],H:I,2,0)</f>
        <v>0.44366576481104603</v>
      </c>
      <c r="E51" s="30">
        <f>VLOOKUP(CurrentMtgRatesDataTable825[[#This Row],[asOfDate]],O:P,2,0)</f>
        <v>0</v>
      </c>
      <c r="F51" s="34">
        <f ca="1">VLOOKUP(CurrentMtgRatesDataTable825[[#This Row],[asOfDate]]+1,Bloomberg!B:C,2,0)</f>
        <v>1373.9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41844</v>
      </c>
      <c r="C52" s="30">
        <v>0.45404122340567382</v>
      </c>
      <c r="D52" s="30">
        <f>VLOOKUP(CurrentMtgRatesDataTable825[[#This Row],[asOfDate]],H:I,2,0)</f>
        <v>0.44241787954298001</v>
      </c>
      <c r="E52" s="30">
        <f>VLOOKUP(CurrentMtgRatesDataTable825[[#This Row],[asOfDate]],O:P,2,0)</f>
        <v>0</v>
      </c>
      <c r="F52" s="34">
        <f ca="1">VLOOKUP(CurrentMtgRatesDataTable825[[#This Row],[asOfDate]]+1,Bloomberg!B:C,2,0)</f>
        <v>1327.5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41837</v>
      </c>
      <c r="C53" s="30">
        <v>0.45404122340567382</v>
      </c>
      <c r="D53" s="30">
        <f>VLOOKUP(CurrentMtgRatesDataTable825[[#This Row],[asOfDate]],H:I,2,0)</f>
        <v>0.44241787954298001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1400.7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41830</v>
      </c>
      <c r="C54" s="30">
        <v>0.42364839961947226</v>
      </c>
      <c r="D54" s="30">
        <f>VLOOKUP(CurrentMtgRatesDataTable825[[#This Row],[asOfDate]],H:I,2,0)</f>
        <v>0.41926854513922601</v>
      </c>
      <c r="E54" s="30">
        <f>VLOOKUP(CurrentMtgRatesDataTable825[[#This Row],[asOfDate]],O:P,2,0)</f>
        <v>0</v>
      </c>
      <c r="F54" s="34">
        <f ca="1">VLOOKUP(CurrentMtgRatesDataTable825[[#This Row],[asOfDate]]+1,Bloomberg!B:C,2,0)</f>
        <v>1329.7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41823</v>
      </c>
      <c r="C55" s="30">
        <v>0.48442990028209243</v>
      </c>
      <c r="D55" s="30">
        <f>VLOOKUP(CurrentMtgRatesDataTable825[[#This Row],[asOfDate]],H:I,2,0)</f>
        <v>0.47241973099249801</v>
      </c>
      <c r="E55" s="30">
        <f>VLOOKUP(CurrentMtgRatesDataTable825[[#This Row],[asOfDate]],O:P,2,0)</f>
        <v>4.9242422986382497E-2</v>
      </c>
      <c r="F55" s="34">
        <f ca="1">VLOOKUP(CurrentMtgRatesDataTable825[[#This Row],[asOfDate]]+1,Bloomberg!B:C,2,0)</f>
        <v>1346.8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41816</v>
      </c>
      <c r="C56" s="30">
        <v>0.47018466104096124</v>
      </c>
      <c r="D56" s="30">
        <f>VLOOKUP(CurrentMtgRatesDataTable825[[#This Row],[asOfDate]],H:I,2,0)</f>
        <v>0.447997908024105</v>
      </c>
      <c r="E56" s="30">
        <f>VLOOKUP(CurrentMtgRatesDataTable825[[#This Row],[asOfDate]],O:P,2,0)</f>
        <v>0</v>
      </c>
      <c r="F56" s="34">
        <f ca="1">VLOOKUP(CurrentMtgRatesDataTable825[[#This Row],[asOfDate]]+1,Bloomberg!B:C,2,0)</f>
        <v>1341.8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41809</v>
      </c>
      <c r="C57" s="30">
        <v>0.42786281792681791</v>
      </c>
      <c r="D57" s="30">
        <f>VLOOKUP(CurrentMtgRatesDataTable825[[#This Row],[asOfDate]],H:I,2,0)</f>
        <v>0.42434402519227898</v>
      </c>
      <c r="E57" s="30">
        <f>VLOOKUP(CurrentMtgRatesDataTable825[[#This Row],[asOfDate]],O:P,2,0)</f>
        <v>0</v>
      </c>
      <c r="F57" s="34">
        <f ca="1">VLOOKUP(CurrentMtgRatesDataTable825[[#This Row],[asOfDate]]+1,Bloomberg!B:C,2,0)</f>
        <v>1333.5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41802</v>
      </c>
      <c r="C58" s="30">
        <v>0.4132153406951769</v>
      </c>
      <c r="D58" s="30">
        <f>VLOOKUP(CurrentMtgRatesDataTable825[[#This Row],[asOfDate]],H:I,2,0)</f>
        <v>0.42258598579352902</v>
      </c>
      <c r="E58" s="30">
        <f>VLOOKUP(CurrentMtgRatesDataTable825[[#This Row],[asOfDate]],O:P,2,0)</f>
        <v>0</v>
      </c>
      <c r="F58" s="34">
        <f ca="1">VLOOKUP(CurrentMtgRatesDataTable825[[#This Row],[asOfDate]]+1,Bloomberg!B:C,2,0)</f>
        <v>1321.3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41795</v>
      </c>
      <c r="C59" s="30">
        <v>0.47018466104096124</v>
      </c>
      <c r="D59" s="30">
        <f>VLOOKUP(CurrentMtgRatesDataTable825[[#This Row],[asOfDate]],H:I,2,0)</f>
        <v>0.447997908024105</v>
      </c>
      <c r="E59" s="30">
        <f>VLOOKUP(CurrentMtgRatesDataTable825[[#This Row],[asOfDate]],O:P,2,0)</f>
        <v>3.2896088379140397E-2</v>
      </c>
      <c r="F59" s="34">
        <f ca="1">VLOOKUP(CurrentMtgRatesDataTable825[[#This Row],[asOfDate]]+1,Bloomberg!B:C,2,0)</f>
        <v>1516.9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41788</v>
      </c>
      <c r="C60" s="30">
        <v>0.46212093229047874</v>
      </c>
      <c r="D60" s="30">
        <f>VLOOKUP(CurrentMtgRatesDataTable825[[#This Row],[asOfDate]],H:I,2,0)</f>
        <v>0.44740081291084099</v>
      </c>
      <c r="E60" s="30">
        <f>VLOOKUP(CurrentMtgRatesDataTable825[[#This Row],[asOfDate]],O:P,2,0)</f>
        <v>2.8641136811507002E-2</v>
      </c>
      <c r="F60" s="34">
        <f ca="1">VLOOKUP(CurrentMtgRatesDataTable825[[#This Row],[asOfDate]]+1,Bloomberg!B:C,2,0)</f>
        <v>1382.6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41781</v>
      </c>
      <c r="C61" s="30">
        <v>0.44690273635148237</v>
      </c>
      <c r="D61" s="30">
        <f>VLOOKUP(CurrentMtgRatesDataTable825[[#This Row],[asOfDate]],H:I,2,0)</f>
        <v>0.44562837110466802</v>
      </c>
      <c r="E61" s="30">
        <f>VLOOKUP(CurrentMtgRatesDataTable825[[#This Row],[asOfDate]],O:P,2,0)</f>
        <v>1.7600292816905099E-2</v>
      </c>
      <c r="F61" s="34">
        <f ca="1">VLOOKUP(CurrentMtgRatesDataTable825[[#This Row],[asOfDate]]+1,Bloomberg!B:C,2,0)</f>
        <v>1453.4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41774</v>
      </c>
      <c r="C62" s="30">
        <v>0.41535226346324033</v>
      </c>
      <c r="D62" s="30">
        <f>VLOOKUP(CurrentMtgRatesDataTable825[[#This Row],[asOfDate]],H:I,2,0)</f>
        <v>0.42349289634896597</v>
      </c>
      <c r="E62" s="30">
        <f>VLOOKUP(CurrentMtgRatesDataTable825[[#This Row],[asOfDate]],O:P,2,0)</f>
        <v>1.3390108612719401E-2</v>
      </c>
      <c r="F62" s="34">
        <f ca="1">VLOOKUP(CurrentMtgRatesDataTable825[[#This Row],[asOfDate]]+1,Bloomberg!B:C,2,0)</f>
        <v>1460.6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41767</v>
      </c>
      <c r="C63" s="30">
        <v>0.41189601141635707</v>
      </c>
      <c r="D63" s="30">
        <f>VLOOKUP(CurrentMtgRatesDataTable825[[#This Row],[asOfDate]],H:I,2,0)</f>
        <v>0.42315654967107302</v>
      </c>
      <c r="E63" s="30">
        <f>VLOOKUP(CurrentMtgRatesDataTable825[[#This Row],[asOfDate]],O:P,2,0)</f>
        <v>1.33698656511534E-2</v>
      </c>
      <c r="F63" s="34">
        <f ca="1">VLOOKUP(CurrentMtgRatesDataTable825[[#This Row],[asOfDate]]+1,Bloomberg!B:C,2,0)</f>
        <v>1400.9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41760</v>
      </c>
      <c r="C64" s="30">
        <v>0.37749232793152004</v>
      </c>
      <c r="D64" s="30">
        <f>VLOOKUP(CurrentMtgRatesDataTable825[[#This Row],[asOfDate]],H:I,2,0)</f>
        <v>0.37348002875422498</v>
      </c>
      <c r="E64" s="30">
        <f>VLOOKUP(CurrentMtgRatesDataTable825[[#This Row],[asOfDate]],O:P,2,0)</f>
        <v>0</v>
      </c>
      <c r="F64" s="34">
        <f ca="1">VLOOKUP(CurrentMtgRatesDataTable825[[#This Row],[asOfDate]]+1,Bloomberg!B:C,2,0)</f>
        <v>1323.9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41753</v>
      </c>
      <c r="C65" s="30">
        <v>0.37795299805706567</v>
      </c>
      <c r="D65" s="30">
        <f>VLOOKUP(CurrentMtgRatesDataTable825[[#This Row],[asOfDate]],H:I,2,0)</f>
        <v>0.37394334466633</v>
      </c>
      <c r="E65" s="30">
        <f>VLOOKUP(CurrentMtgRatesDataTable825[[#This Row],[asOfDate]],O:P,2,0)</f>
        <v>0</v>
      </c>
      <c r="F65" s="34">
        <f ca="1">VLOOKUP(CurrentMtgRatesDataTable825[[#This Row],[asOfDate]]+1,Bloomberg!B:C,2,0)</f>
        <v>1298.0999999999999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41746</v>
      </c>
      <c r="C66" s="30">
        <v>0.38501077847486359</v>
      </c>
      <c r="D66" s="30">
        <f>VLOOKUP(CurrentMtgRatesDataTable825[[#This Row],[asOfDate]],H:I,2,0)</f>
        <v>0.37550642358643799</v>
      </c>
      <c r="E66" s="30">
        <f>VLOOKUP(CurrentMtgRatesDataTable825[[#This Row],[asOfDate]],O:P,2,0)</f>
        <v>1.3569924293908599E-3</v>
      </c>
      <c r="F66" s="34">
        <f ca="1">VLOOKUP(CurrentMtgRatesDataTable825[[#This Row],[asOfDate]]+1,Bloomberg!B:C,2,0)</f>
        <v>1370.9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41739</v>
      </c>
      <c r="C67" s="30">
        <v>0.37093015775517096</v>
      </c>
      <c r="D67" s="30">
        <f>VLOOKUP(CurrentMtgRatesDataTable825[[#This Row],[asOfDate]],H:I,2,0)</f>
        <v>0.34451093908200903</v>
      </c>
      <c r="E67" s="30">
        <f>VLOOKUP(CurrentMtgRatesDataTable825[[#This Row],[asOfDate]],O:P,2,0)</f>
        <v>3.2608018628066501E-4</v>
      </c>
      <c r="F67" s="34">
        <f ca="1">VLOOKUP(CurrentMtgRatesDataTable825[[#This Row],[asOfDate]]+1,Bloomberg!B:C,2,0)</f>
        <v>1429.9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41732</v>
      </c>
      <c r="C68" s="30">
        <v>0.35962750862378579</v>
      </c>
      <c r="D68" s="30">
        <f>VLOOKUP(CurrentMtgRatesDataTable825[[#This Row],[asOfDate]],H:I,2,0)</f>
        <v>0.31383635422742501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1324.7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41725</v>
      </c>
      <c r="C69" s="30">
        <v>0.36918426917853386</v>
      </c>
      <c r="D69" s="30">
        <f>VLOOKUP(CurrentMtgRatesDataTable825[[#This Row],[asOfDate]],H:I,2,0)</f>
        <v>0.34373332978073601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1383.5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41718</v>
      </c>
      <c r="C70" s="30">
        <v>0.38281318096373629</v>
      </c>
      <c r="D70" s="30">
        <f>VLOOKUP(CurrentMtgRatesDataTable825[[#This Row],[asOfDate]],H:I,2,0)</f>
        <v>0.37475184713589199</v>
      </c>
      <c r="E70" s="30">
        <f>VLOOKUP(CurrentMtgRatesDataTable825[[#This Row],[asOfDate]],O:P,2,0)</f>
        <v>0</v>
      </c>
      <c r="F70" s="34">
        <f ca="1">VLOOKUP(CurrentMtgRatesDataTable825[[#This Row],[asOfDate]]+1,Bloomberg!B:C,2,0)</f>
        <v>1426.3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41711</v>
      </c>
      <c r="C71" s="30">
        <v>0.37243700930193413</v>
      </c>
      <c r="D71" s="30">
        <f>VLOOKUP(CurrentMtgRatesDataTable825[[#This Row],[asOfDate]],H:I,2,0)</f>
        <v>0.34537825411835699</v>
      </c>
      <c r="E71" s="30">
        <f>VLOOKUP(CurrentMtgRatesDataTable825[[#This Row],[asOfDate]],O:P,2,0)</f>
        <v>0</v>
      </c>
      <c r="F71" s="34">
        <f ca="1">VLOOKUP(CurrentMtgRatesDataTable825[[#This Row],[asOfDate]]+1,Bloomberg!B:C,2,0)</f>
        <v>1552.1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41704</v>
      </c>
      <c r="C72" s="30">
        <v>0.38532630107916044</v>
      </c>
      <c r="D72" s="30">
        <f>VLOOKUP(CurrentMtgRatesDataTable825[[#This Row],[asOfDate]],H:I,2,0)</f>
        <v>0.37584545219724702</v>
      </c>
      <c r="E72" s="30">
        <f>VLOOKUP(CurrentMtgRatesDataTable825[[#This Row],[asOfDate]],O:P,2,0)</f>
        <v>0</v>
      </c>
      <c r="F72" s="34">
        <f ca="1">VLOOKUP(CurrentMtgRatesDataTable825[[#This Row],[asOfDate]]+1,Bloomberg!B:C,2,0)</f>
        <v>1528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41697</v>
      </c>
      <c r="C73" s="30">
        <v>0.37411351911497304</v>
      </c>
      <c r="D73" s="30">
        <f>VLOOKUP(CurrentMtgRatesDataTable825[[#This Row],[asOfDate]],H:I,2,0)</f>
        <v>0.34853875137296803</v>
      </c>
      <c r="E73" s="30">
        <f>VLOOKUP(CurrentMtgRatesDataTable825[[#This Row],[asOfDate]],O:P,2,0)</f>
        <v>0</v>
      </c>
      <c r="F73" s="34">
        <f ca="1">VLOOKUP(CurrentMtgRatesDataTable825[[#This Row],[asOfDate]]+1,Bloomberg!B:C,2,0)</f>
        <v>1600.6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41690</v>
      </c>
      <c r="C74" s="30">
        <v>0.37945519055423005</v>
      </c>
      <c r="D74" s="30">
        <f>VLOOKUP(CurrentMtgRatesDataTable825[[#This Row],[asOfDate]],H:I,2,0)</f>
        <v>0.35043602810261099</v>
      </c>
      <c r="E74" s="30">
        <f>VLOOKUP(CurrentMtgRatesDataTable825[[#This Row],[asOfDate]],O:P,2,0)</f>
        <v>0</v>
      </c>
      <c r="F74" s="34">
        <f ca="1">VLOOKUP(CurrentMtgRatesDataTable825[[#This Row],[asOfDate]]+1,Bloomberg!B:C,2,0)</f>
        <v>1442.3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41683</v>
      </c>
      <c r="C75" s="30">
        <v>0.38811614070914796</v>
      </c>
      <c r="D75" s="30">
        <f>VLOOKUP(CurrentMtgRatesDataTable825[[#This Row],[asOfDate]],H:I,2,0)</f>
        <v>0.380280894786581</v>
      </c>
      <c r="E75" s="30">
        <f>VLOOKUP(CurrentMtgRatesDataTable825[[#This Row],[asOfDate]],O:P,2,0)</f>
        <v>0</v>
      </c>
      <c r="F75" s="34">
        <f ca="1">VLOOKUP(CurrentMtgRatesDataTable825[[#This Row],[asOfDate]]+1,Bloomberg!B:C,2,0)</f>
        <v>1650.6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41676</v>
      </c>
      <c r="C76" s="30">
        <v>0.40297154475851232</v>
      </c>
      <c r="D76" s="30">
        <f>VLOOKUP(CurrentMtgRatesDataTable825[[#This Row],[asOfDate]],H:I,2,0)</f>
        <v>0.407383000493176</v>
      </c>
      <c r="E76" s="30">
        <f>VLOOKUP(CurrentMtgRatesDataTable825[[#This Row],[asOfDate]],O:P,2,0)</f>
        <v>1.56502134325395E-3</v>
      </c>
      <c r="F76" s="34">
        <f ca="1">VLOOKUP(CurrentMtgRatesDataTable825[[#This Row],[asOfDate]]+1,Bloomberg!B:C,2,0)</f>
        <v>1674.2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41669</v>
      </c>
      <c r="C77" s="30">
        <v>0.38688449383864632</v>
      </c>
      <c r="D77" s="30">
        <f>VLOOKUP(CurrentMtgRatesDataTable825[[#This Row],[asOfDate]],H:I,2,0)</f>
        <v>0.38449844249950499</v>
      </c>
      <c r="E77" s="30">
        <f>VLOOKUP(CurrentMtgRatesDataTable825[[#This Row],[asOfDate]],O:P,2,0)</f>
        <v>9.04155248858617E-4</v>
      </c>
      <c r="F77" s="34">
        <f ca="1">VLOOKUP(CurrentMtgRatesDataTable825[[#This Row],[asOfDate]]+1,Bloomberg!B:C,2,0)</f>
        <v>1667.5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41662</v>
      </c>
      <c r="C78" s="30">
        <v>0.37647743708570247</v>
      </c>
      <c r="D78" s="30">
        <f>VLOOKUP(CurrentMtgRatesDataTable825[[#This Row],[asOfDate]],H:I,2,0)</f>
        <v>0.32547727058860199</v>
      </c>
      <c r="E78" s="30">
        <f>VLOOKUP(CurrentMtgRatesDataTable825[[#This Row],[asOfDate]],O:P,2,0)</f>
        <v>4.3538471617421198E-4</v>
      </c>
      <c r="F78" s="34">
        <f ca="1">VLOOKUP(CurrentMtgRatesDataTable825[[#This Row],[asOfDate]]+1,Bloomberg!B:C,2,0)</f>
        <v>1601.2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41655</v>
      </c>
      <c r="C79" s="30">
        <v>0.37338021104571051</v>
      </c>
      <c r="D79" s="30">
        <f>VLOOKUP(CurrentMtgRatesDataTable825[[#This Row],[asOfDate]],H:I,2,0)</f>
        <v>0.32467403778332998</v>
      </c>
      <c r="E79" s="30">
        <f>VLOOKUP(CurrentMtgRatesDataTable825[[#This Row],[asOfDate]],O:P,2,0)</f>
        <v>4.3244857845843099E-4</v>
      </c>
      <c r="F79" s="34">
        <f ca="1">VLOOKUP(CurrentMtgRatesDataTable825[[#This Row],[asOfDate]]+1,Bloomberg!B:C,2,0)</f>
        <v>1675.8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41648</v>
      </c>
      <c r="C80" s="30">
        <v>0.29562447577972156</v>
      </c>
      <c r="D80" s="30">
        <f>VLOOKUP(CurrentMtgRatesDataTable825[[#This Row],[asOfDate]],H:I,2,0)</f>
        <v>0.29015447722721099</v>
      </c>
      <c r="E80" s="30">
        <f>VLOOKUP(CurrentMtgRatesDataTable825[[#This Row],[asOfDate]],O:P,2,0)</f>
        <v>1.04165660314928E-4</v>
      </c>
      <c r="F80" s="34">
        <f ca="1">VLOOKUP(CurrentMtgRatesDataTable825[[#This Row],[asOfDate]]+1,Bloomberg!B:C,2,0)</f>
        <v>1507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41641</v>
      </c>
      <c r="C81" s="30">
        <v>0.26713898011245318</v>
      </c>
      <c r="D81" s="30">
        <f>VLOOKUP(CurrentMtgRatesDataTable825[[#This Row],[asOfDate]],H:I,2,0)</f>
        <v>0.265306805945277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1352.7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41634</v>
      </c>
      <c r="C82" s="30">
        <v>0.33707254184688035</v>
      </c>
      <c r="D82" s="30">
        <f>VLOOKUP(CurrentMtgRatesDataTable825[[#This Row],[asOfDate]],H:I,2,0)</f>
        <v>0.29162362501885603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1277.8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41627</v>
      </c>
      <c r="C83" s="30">
        <v>0.34660194288586071</v>
      </c>
      <c r="D83" s="30">
        <f>VLOOKUP(CurrentMtgRatesDataTable825[[#This Row],[asOfDate]],H:I,2,0)</f>
        <v>0.29198850689481598</v>
      </c>
      <c r="E83" s="30">
        <f>VLOOKUP(CurrentMtgRatesDataTable825[[#This Row],[asOfDate]],O:P,2,0)</f>
        <v>0</v>
      </c>
      <c r="F83" s="34">
        <f ca="1">VLOOKUP(CurrentMtgRatesDataTable825[[#This Row],[asOfDate]]+1,Bloomberg!B:C,2,0)</f>
        <v>1426.7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41620</v>
      </c>
      <c r="C84" s="30">
        <v>0.37693581248534513</v>
      </c>
      <c r="D84" s="30">
        <f>VLOOKUP(CurrentMtgRatesDataTable825[[#This Row],[asOfDate]],H:I,2,0)</f>
        <v>0.33082970500556302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1529.8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41613</v>
      </c>
      <c r="C85" s="30">
        <v>0.37955489771721246</v>
      </c>
      <c r="D85" s="30">
        <f>VLOOKUP(CurrentMtgRatesDataTable825[[#This Row],[asOfDate]],H:I,2,0)</f>
        <v>0.331227934580689</v>
      </c>
      <c r="E85" s="30">
        <f>VLOOKUP(CurrentMtgRatesDataTable825[[#This Row],[asOfDate]],O:P,2,0)</f>
        <v>0</v>
      </c>
      <c r="F85" s="34">
        <f ca="1">VLOOKUP(CurrentMtgRatesDataTable825[[#This Row],[asOfDate]]+1,Bloomberg!B:C,2,0)</f>
        <v>1599.4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41605</v>
      </c>
      <c r="C86" s="30">
        <v>0.4012610510109535</v>
      </c>
      <c r="D86" s="30">
        <f>VLOOKUP(CurrentMtgRatesDataTable825[[#This Row],[asOfDate]],H:I,2,0)</f>
        <v>0.401262959025458</v>
      </c>
      <c r="E86" s="30">
        <f>VLOOKUP(CurrentMtgRatesDataTable825[[#This Row],[asOfDate]],O:P,2,0)</f>
        <v>0</v>
      </c>
      <c r="F86" s="34" t="e">
        <f ca="1">VLOOKUP(CurrentMtgRatesDataTable825[[#This Row],[asOfDate]]+1,Bloomberg!B:C,2,0)</f>
        <v>#N/A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41599</v>
      </c>
      <c r="C87" s="30">
        <v>0.41528178559290679</v>
      </c>
      <c r="D87" s="30">
        <f>VLOOKUP(CurrentMtgRatesDataTable825[[#This Row],[asOfDate]],H:I,2,0)</f>
        <v>0.42989701258795199</v>
      </c>
      <c r="E87" s="30">
        <f>VLOOKUP(CurrentMtgRatesDataTable825[[#This Row],[asOfDate]],O:P,2,0)</f>
        <v>0</v>
      </c>
      <c r="F87" s="34">
        <f ca="1">VLOOKUP(CurrentMtgRatesDataTable825[[#This Row],[asOfDate]]+1,Bloomberg!B:C,2,0)</f>
        <v>1917.2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41592</v>
      </c>
      <c r="C88" s="30">
        <v>0.39324233603958814</v>
      </c>
      <c r="D88" s="30">
        <f>VLOOKUP(CurrentMtgRatesDataTable825[[#This Row],[asOfDate]],H:I,2,0)</f>
        <v>0.37120289750535601</v>
      </c>
      <c r="E88" s="30">
        <f>VLOOKUP(CurrentMtgRatesDataTable825[[#This Row],[asOfDate]],O:P,2,0)</f>
        <v>0</v>
      </c>
      <c r="F88" s="34">
        <f ca="1">VLOOKUP(CurrentMtgRatesDataTable825[[#This Row],[asOfDate]]+1,Bloomberg!B:C,2,0)</f>
        <v>1903.5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41585</v>
      </c>
      <c r="C89" s="30">
        <v>0.42241812473217372</v>
      </c>
      <c r="D89" s="30">
        <f>VLOOKUP(CurrentMtgRatesDataTable825[[#This Row],[asOfDate]],H:I,2,0)</f>
        <v>0.44788779304034998</v>
      </c>
      <c r="E89" s="30">
        <f>VLOOKUP(CurrentMtgRatesDataTable825[[#This Row],[asOfDate]],O:P,2,0)</f>
        <v>0</v>
      </c>
      <c r="F89" s="34">
        <f ca="1">VLOOKUP(CurrentMtgRatesDataTable825[[#This Row],[asOfDate]]+1,Bloomberg!B:C,2,0)</f>
        <v>2056.9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41578</v>
      </c>
      <c r="C90" s="30">
        <v>0.45812068858697386</v>
      </c>
      <c r="D90" s="30">
        <f>VLOOKUP(CurrentMtgRatesDataTable825[[#This Row],[asOfDate]],H:I,2,0)</f>
        <v>0.47501022290439499</v>
      </c>
      <c r="E90" s="30">
        <f>VLOOKUP(CurrentMtgRatesDataTable825[[#This Row],[asOfDate]],O:P,2,0)</f>
        <v>6.1587902327108696E-3</v>
      </c>
      <c r="F90" s="34">
        <f ca="1">VLOOKUP(CurrentMtgRatesDataTable825[[#This Row],[asOfDate]]+1,Bloomberg!B:C,2,0)</f>
        <v>2105.6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41571</v>
      </c>
      <c r="C91" s="30">
        <v>0.42936473511090067</v>
      </c>
      <c r="D91" s="30">
        <f>VLOOKUP(CurrentMtgRatesDataTable825[[#This Row],[asOfDate]],H:I,2,0)</f>
        <v>0.45648777309490202</v>
      </c>
      <c r="E91" s="30">
        <f>VLOOKUP(CurrentMtgRatesDataTable825[[#This Row],[asOfDate]],O:P,2,0)</f>
        <v>4.7022607373106203E-3</v>
      </c>
      <c r="F91" s="34">
        <f ca="1">VLOOKUP(CurrentMtgRatesDataTable825[[#This Row],[asOfDate]]+1,Bloomberg!B:C,2,0)</f>
        <v>2211.8000000000002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41564</v>
      </c>
      <c r="C92" s="30">
        <v>0.40745334709317088</v>
      </c>
      <c r="D92" s="30">
        <f>VLOOKUP(CurrentMtgRatesDataTable825[[#This Row],[asOfDate]],H:I,2,0)</f>
        <v>0.40902347477168999</v>
      </c>
      <c r="E92" s="30">
        <f>VLOOKUP(CurrentMtgRatesDataTable825[[#This Row],[asOfDate]],O:P,2,0)</f>
        <v>0</v>
      </c>
      <c r="F92" s="34">
        <f ca="1">VLOOKUP(CurrentMtgRatesDataTable825[[#This Row],[asOfDate]]+1,Bloomberg!B:C,2,0)</f>
        <v>2033.7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41557</v>
      </c>
      <c r="C93" s="30">
        <v>0.41309884742174274</v>
      </c>
      <c r="D93" s="30">
        <f>VLOOKUP(CurrentMtgRatesDataTable825[[#This Row],[asOfDate]],H:I,2,0)</f>
        <v>0.43701315967767701</v>
      </c>
      <c r="E93" s="30">
        <f>VLOOKUP(CurrentMtgRatesDataTable825[[#This Row],[asOfDate]],O:P,2,0)</f>
        <v>0</v>
      </c>
      <c r="F93" s="34">
        <f ca="1">VLOOKUP(CurrentMtgRatesDataTable825[[#This Row],[asOfDate]]+1,Bloomberg!B:C,2,0)</f>
        <v>2102.6999999999998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41550</v>
      </c>
      <c r="C94" s="30">
        <v>0.41413970489530927</v>
      </c>
      <c r="D94" s="30">
        <f>VLOOKUP(CurrentMtgRatesDataTable825[[#This Row],[asOfDate]],H:I,2,0)</f>
        <v>0.43751781158176101</v>
      </c>
      <c r="E94" s="30">
        <f>VLOOKUP(CurrentMtgRatesDataTable825[[#This Row],[asOfDate]],O:P,2,0)</f>
        <v>1.7927762872913E-3</v>
      </c>
      <c r="F94" s="34">
        <f ca="1">VLOOKUP(CurrentMtgRatesDataTable825[[#This Row],[asOfDate]]+1,Bloomberg!B:C,2,0)</f>
        <v>2025.3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41543</v>
      </c>
      <c r="C95" s="30">
        <v>0.41584354527777323</v>
      </c>
      <c r="D95" s="30">
        <f>VLOOKUP(CurrentMtgRatesDataTable825[[#This Row],[asOfDate]],H:I,2,0)</f>
        <v>0.41607421536967498</v>
      </c>
      <c r="E95" s="30">
        <f>VLOOKUP(CurrentMtgRatesDataTable825[[#This Row],[asOfDate]],O:P,2,0)</f>
        <v>8.9334697556313401E-4</v>
      </c>
      <c r="F95" s="34">
        <f ca="1">VLOOKUP(CurrentMtgRatesDataTable825[[#This Row],[asOfDate]]+1,Bloomberg!B:C,2,0)</f>
        <v>1956.6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41536</v>
      </c>
      <c r="C96" s="30">
        <v>0.34352499045119317</v>
      </c>
      <c r="D96" s="30">
        <f>VLOOKUP(CurrentMtgRatesDataTable825[[#This Row],[asOfDate]],H:I,2,0)</f>
        <v>0.32091811677951898</v>
      </c>
      <c r="E96" s="30">
        <f>VLOOKUP(CurrentMtgRatesDataTable825[[#This Row],[asOfDate]],O:P,2,0)</f>
        <v>1.2070812662829E-4</v>
      </c>
      <c r="F96" s="34">
        <f ca="1">VLOOKUP(CurrentMtgRatesDataTable825[[#This Row],[asOfDate]]+1,Bloomberg!B:C,2,0)</f>
        <v>1922.9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41529</v>
      </c>
      <c r="C97" s="30">
        <v>0.28418148180009006</v>
      </c>
      <c r="D97" s="30">
        <f>VLOOKUP(CurrentMtgRatesDataTable825[[#This Row],[asOfDate]],H:I,2,0)</f>
        <v>0.28251411119681702</v>
      </c>
      <c r="E97" s="30">
        <f>VLOOKUP(CurrentMtgRatesDataTable825[[#This Row],[asOfDate]],O:P,2,0)</f>
        <v>0</v>
      </c>
      <c r="F97" s="34">
        <f ca="1">VLOOKUP(CurrentMtgRatesDataTable825[[#This Row],[asOfDate]]+1,Bloomberg!B:C,2,0)</f>
        <v>1814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41522</v>
      </c>
      <c r="C98" s="30">
        <v>0.29149943706266673</v>
      </c>
      <c r="D98" s="30">
        <f>VLOOKUP(CurrentMtgRatesDataTable825[[#This Row],[asOfDate]],H:I,2,0)</f>
        <v>0.29894428975906101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1512.9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41515</v>
      </c>
      <c r="C99" s="30">
        <v>0.34144008855173769</v>
      </c>
      <c r="D99" s="30">
        <f>VLOOKUP(CurrentMtgRatesDataTable825[[#This Row],[asOfDate]],H:I,2,0)</f>
        <v>0.32738957382411199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1909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41508</v>
      </c>
      <c r="C100" s="30">
        <v>0.29455543788744365</v>
      </c>
      <c r="D100" s="30">
        <f>VLOOKUP(CurrentMtgRatesDataTable825[[#This Row],[asOfDate]],H:I,2,0)</f>
        <v>0.28848466841060699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1842.6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41501</v>
      </c>
      <c r="C101" s="30">
        <v>0.42309347536926606</v>
      </c>
      <c r="D101" s="30">
        <f>VLOOKUP(CurrentMtgRatesDataTable825[[#This Row],[asOfDate]],H:I,2,0)</f>
        <v>0.36292296585782302</v>
      </c>
      <c r="E101" s="30">
        <f>VLOOKUP(CurrentMtgRatesDataTable825[[#This Row],[asOfDate]],O:P,2,0)</f>
        <v>0</v>
      </c>
      <c r="F101" s="34">
        <f ca="1">VLOOKUP(CurrentMtgRatesDataTable825[[#This Row],[asOfDate]]+1,Bloomberg!B:C,2,0)</f>
        <v>1935.1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41494</v>
      </c>
      <c r="C102" s="30">
        <v>0.42309347536926606</v>
      </c>
      <c r="D102" s="30">
        <f>VLOOKUP(CurrentMtgRatesDataTable825[[#This Row],[asOfDate]],H:I,2,0)</f>
        <v>0.36292296585782302</v>
      </c>
      <c r="E102" s="30">
        <f>VLOOKUP(CurrentMtgRatesDataTable825[[#This Row],[asOfDate]],O:P,2,0)</f>
        <v>0</v>
      </c>
      <c r="F102" s="34">
        <f ca="1">VLOOKUP(CurrentMtgRatesDataTable825[[#This Row],[asOfDate]]+1,Bloomberg!B:C,2,0)</f>
        <v>2110.6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41487</v>
      </c>
      <c r="C103" s="30">
        <v>0.4242223603405651</v>
      </c>
      <c r="D103" s="30">
        <f>VLOOKUP(CurrentMtgRatesDataTable825[[#This Row],[asOfDate]],H:I,2,0)</f>
        <v>0.36357930006355599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2228.9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41480</v>
      </c>
      <c r="C104" s="30">
        <v>0.44748005520806433</v>
      </c>
      <c r="D104" s="30">
        <f>VLOOKUP(CurrentMtgRatesDataTable825[[#This Row],[asOfDate]],H:I,2,0)</f>
        <v>0.40895553727695599</v>
      </c>
      <c r="E104" s="30">
        <f>VLOOKUP(CurrentMtgRatesDataTable825[[#This Row],[asOfDate]],O:P,2,0)</f>
        <v>0</v>
      </c>
      <c r="F104" s="34">
        <f ca="1">VLOOKUP(CurrentMtgRatesDataTable825[[#This Row],[asOfDate]]+1,Bloomberg!B:C,2,0)</f>
        <v>2218.3000000000002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41473</v>
      </c>
      <c r="C105" s="30">
        <v>0.44439106685925217</v>
      </c>
      <c r="D105" s="30">
        <f>VLOOKUP(CurrentMtgRatesDataTable825[[#This Row],[asOfDate]],H:I,2,0)</f>
        <v>0.407195502334876</v>
      </c>
      <c r="E105" s="30">
        <f>VLOOKUP(CurrentMtgRatesDataTable825[[#This Row],[asOfDate]],O:P,2,0)</f>
        <v>0</v>
      </c>
      <c r="F105" s="34">
        <f ca="1">VLOOKUP(CurrentMtgRatesDataTable825[[#This Row],[asOfDate]]+1,Bloomberg!B:C,2,0)</f>
        <v>2288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41466</v>
      </c>
      <c r="C106" s="30">
        <v>0.33290156371151358</v>
      </c>
      <c r="D106" s="30">
        <f>VLOOKUP(CurrentMtgRatesDataTable825[[#This Row],[asOfDate]],H:I,2,0)</f>
        <v>0.32003461094412999</v>
      </c>
      <c r="E106" s="30">
        <f>VLOOKUP(CurrentMtgRatesDataTable825[[#This Row],[asOfDate]],O:P,2,0)</f>
        <v>0</v>
      </c>
      <c r="F106" s="34">
        <f ca="1">VLOOKUP(CurrentMtgRatesDataTable825[[#This Row],[asOfDate]]+1,Bloomberg!B:C,2,0)</f>
        <v>2242.1999999999998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41458</v>
      </c>
      <c r="C107" s="30">
        <v>0.45140989566277362</v>
      </c>
      <c r="D107" s="30">
        <f>VLOOKUP(CurrentMtgRatesDataTable825[[#This Row],[asOfDate]],H:I,2,0)</f>
        <v>0.439218479739446</v>
      </c>
      <c r="E107" s="30">
        <f>VLOOKUP(CurrentMtgRatesDataTable825[[#This Row],[asOfDate]],O:P,2,0)</f>
        <v>0</v>
      </c>
      <c r="F107" s="34" t="e">
        <f ca="1">VLOOKUP(CurrentMtgRatesDataTable825[[#This Row],[asOfDate]]+1,Bloomberg!B:C,2,0)</f>
        <v>#N/A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41452</v>
      </c>
      <c r="C108" s="30">
        <v>0.40700739043562867</v>
      </c>
      <c r="D108" s="30">
        <f>VLOOKUP(CurrentMtgRatesDataTable825[[#This Row],[asOfDate]],H:I,2,0)</f>
        <v>0.35042164075900101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2573.4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41445</v>
      </c>
      <c r="C109" s="30">
        <v>0.60892644255269435</v>
      </c>
      <c r="D109" s="30">
        <f>VLOOKUP(CurrentMtgRatesDataTable825[[#This Row],[asOfDate]],H:I,2,0)</f>
        <v>0.55919632116239604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3040.1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41438</v>
      </c>
      <c r="C110" s="30">
        <v>0.59423864514046321</v>
      </c>
      <c r="D110" s="30">
        <f>VLOOKUP(CurrentMtgRatesDataTable825[[#This Row],[asOfDate]],H:I,2,0)</f>
        <v>0.55842108987699401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3214.4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41431</v>
      </c>
      <c r="C111" s="30">
        <v>0.6263848307897435</v>
      </c>
      <c r="D111" s="30">
        <f>VLOOKUP(CurrentMtgRatesDataTable825[[#This Row],[asOfDate]],H:I,2,0)</f>
        <v>0.57861777554698002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3339.8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41424</v>
      </c>
      <c r="C112" s="30">
        <v>0.65480493130822182</v>
      </c>
      <c r="D112" s="30">
        <f>VLOOKUP(CurrentMtgRatesDataTable825[[#This Row],[asOfDate]],H:I,2,0)</f>
        <v>0.61546645850988302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3163.6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41417</v>
      </c>
      <c r="C113" s="30">
        <v>0.71597160462029186</v>
      </c>
      <c r="D113" s="30">
        <f>VLOOKUP(CurrentMtgRatesDataTable825[[#This Row],[asOfDate]],H:I,2,0)</f>
        <v>0.68530860108825797</v>
      </c>
      <c r="E113" s="30">
        <f>VLOOKUP(CurrentMtgRatesDataTable825[[#This Row],[asOfDate]],O:P,2,0)</f>
        <v>0</v>
      </c>
      <c r="F113" s="34">
        <f ca="1">VLOOKUP(CurrentMtgRatesDataTable825[[#This Row],[asOfDate]]+1,Bloomberg!B:C,2,0)</f>
        <v>3709.4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41410</v>
      </c>
      <c r="C114" s="30">
        <v>0.79936031324337575</v>
      </c>
      <c r="D114" s="30">
        <f>VLOOKUP(CurrentMtgRatesDataTable825[[#This Row],[asOfDate]],H:I,2,0)</f>
        <v>0.72159050384319001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4241.5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41403</v>
      </c>
      <c r="C115" s="30">
        <v>0.8256608129051427</v>
      </c>
      <c r="D115" s="30">
        <f>VLOOKUP(CurrentMtgRatesDataTable825[[#This Row],[asOfDate]],H:I,2,0)</f>
        <v>0.75094523370436095</v>
      </c>
      <c r="E115" s="30">
        <f>VLOOKUP(CurrentMtgRatesDataTable825[[#This Row],[asOfDate]],O:P,2,0)</f>
        <v>0</v>
      </c>
      <c r="F115" s="34">
        <f ca="1">VLOOKUP(CurrentMtgRatesDataTable825[[#This Row],[asOfDate]]+1,Bloomberg!B:C,2,0)</f>
        <v>4797.2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41396</v>
      </c>
      <c r="C116" s="30">
        <v>0.83257474781957852</v>
      </c>
      <c r="D116" s="30">
        <f>VLOOKUP(CurrentMtgRatesDataTable825[[#This Row],[asOfDate]],H:I,2,0)</f>
        <v>0.77520531199879605</v>
      </c>
      <c r="E116" s="30">
        <f>VLOOKUP(CurrentMtgRatesDataTable825[[#This Row],[asOfDate]],O:P,2,0)</f>
        <v>9.3714860500272602E-3</v>
      </c>
      <c r="F116" s="34">
        <f ca="1">VLOOKUP(CurrentMtgRatesDataTable825[[#This Row],[asOfDate]]+1,Bloomberg!B:C,2,0)</f>
        <v>5279.9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41389</v>
      </c>
      <c r="C117" s="30">
        <v>0.84305925134198079</v>
      </c>
      <c r="D117" s="30">
        <f>VLOOKUP(CurrentMtgRatesDataTable825[[#This Row],[asOfDate]],H:I,2,0)</f>
        <v>0.759939269856726</v>
      </c>
      <c r="E117" s="30">
        <f>VLOOKUP(CurrentMtgRatesDataTable825[[#This Row],[asOfDate]],O:P,2,0)</f>
        <v>0</v>
      </c>
      <c r="F117" s="34">
        <f ca="1">VLOOKUP(CurrentMtgRatesDataTable825[[#This Row],[asOfDate]]+1,Bloomberg!B:C,2,0)</f>
        <v>4854.1000000000004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41382</v>
      </c>
      <c r="C118" s="30">
        <v>0.84439179341474835</v>
      </c>
      <c r="D118" s="30">
        <f>VLOOKUP(CurrentMtgRatesDataTable825[[#This Row],[asOfDate]],H:I,2,0)</f>
        <v>0.76108985756873504</v>
      </c>
      <c r="E118" s="30">
        <f>VLOOKUP(CurrentMtgRatesDataTable825[[#This Row],[asOfDate]],O:P,2,0)</f>
        <v>5.4959854023419203E-3</v>
      </c>
      <c r="F118" s="34">
        <f ca="1">VLOOKUP(CurrentMtgRatesDataTable825[[#This Row],[asOfDate]]+1,Bloomberg!B:C,2,0)</f>
        <v>4672.1000000000004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41375</v>
      </c>
      <c r="C119" s="30">
        <v>0.83798948836137577</v>
      </c>
      <c r="D119" s="30">
        <f>VLOOKUP(CurrentMtgRatesDataTable825[[#This Row],[asOfDate]],H:I,2,0)</f>
        <v>0.73719138808657003</v>
      </c>
      <c r="E119" s="30">
        <f>VLOOKUP(CurrentMtgRatesDataTable825[[#This Row],[asOfDate]],O:P,2,0)</f>
        <v>3.9681299102296798E-3</v>
      </c>
      <c r="F119" s="34">
        <f ca="1">VLOOKUP(CurrentMtgRatesDataTable825[[#This Row],[asOfDate]]+1,Bloomberg!B:C,2,0)</f>
        <v>4726.8999999999996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41368</v>
      </c>
      <c r="C120" s="30">
        <v>0.76832708554350626</v>
      </c>
      <c r="D120" s="30">
        <f>VLOOKUP(CurrentMtgRatesDataTable825[[#This Row],[asOfDate]],H:I,2,0)</f>
        <v>0.71361316522728502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4528.8999999999996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41361</v>
      </c>
      <c r="C121" s="30">
        <v>0.74949629336244095</v>
      </c>
      <c r="D121" s="30">
        <f>VLOOKUP(CurrentMtgRatesDataTable825[[#This Row],[asOfDate]],H:I,2,0)</f>
        <v>0.712062870316722</v>
      </c>
      <c r="E121" s="30">
        <f>VLOOKUP(CurrentMtgRatesDataTable825[[#This Row],[asOfDate]],O:P,2,0)</f>
        <v>0</v>
      </c>
      <c r="F121" s="34">
        <f ca="1">VLOOKUP(CurrentMtgRatesDataTable825[[#This Row],[asOfDate]]+1,Bloomberg!B:C,2,0)</f>
        <v>4119.2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41354</v>
      </c>
      <c r="C122" s="30">
        <v>0.78721266500464782</v>
      </c>
      <c r="D122" s="30">
        <f>VLOOKUP(CurrentMtgRatesDataTable825[[#This Row],[asOfDate]],H:I,2,0)</f>
        <v>0.72870485724391698</v>
      </c>
      <c r="E122" s="30">
        <f>VLOOKUP(CurrentMtgRatesDataTable825[[#This Row],[asOfDate]],O:P,2,0)</f>
        <v>0</v>
      </c>
      <c r="F122" s="34">
        <f ca="1">VLOOKUP(CurrentMtgRatesDataTable825[[#This Row],[asOfDate]]+1,Bloomberg!B:C,2,0)</f>
        <v>4412.8999999999996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41347</v>
      </c>
      <c r="C123" s="30">
        <v>0.72169822774356485</v>
      </c>
      <c r="D123" s="30">
        <f>VLOOKUP(CurrentMtgRatesDataTable825[[#This Row],[asOfDate]],H:I,2,0)</f>
        <v>0.69793386100167498</v>
      </c>
      <c r="E123" s="30">
        <f>VLOOKUP(CurrentMtgRatesDataTable825[[#This Row],[asOfDate]],O:P,2,0)</f>
        <v>0</v>
      </c>
      <c r="F123" s="34">
        <f ca="1">VLOOKUP(CurrentMtgRatesDataTable825[[#This Row],[asOfDate]]+1,Bloomberg!B:C,2,0)</f>
        <v>4111.3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41340</v>
      </c>
      <c r="C124" s="30">
        <v>0.83079065598448121</v>
      </c>
      <c r="D124" s="30">
        <f>VLOOKUP(CurrentMtgRatesDataTable825[[#This Row],[asOfDate]],H:I,2,0)</f>
        <v>0.731898053840778</v>
      </c>
      <c r="E124" s="30">
        <f>VLOOKUP(CurrentMtgRatesDataTable825[[#This Row],[asOfDate]],O:P,2,0)</f>
        <v>7.62863846133132E-4</v>
      </c>
      <c r="F124" s="34">
        <f ca="1">VLOOKUP(CurrentMtgRatesDataTable825[[#This Row],[asOfDate]]+1,Bloomberg!B:C,2,0)</f>
        <v>4485.2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41333</v>
      </c>
      <c r="C125" s="30">
        <v>0.84063472269635875</v>
      </c>
      <c r="D125" s="30">
        <f>VLOOKUP(CurrentMtgRatesDataTable825[[#This Row],[asOfDate]],H:I,2,0)</f>
        <v>0.75332777657917305</v>
      </c>
      <c r="E125" s="30">
        <f>VLOOKUP(CurrentMtgRatesDataTable825[[#This Row],[asOfDate]],O:P,2,0)</f>
        <v>5.5309707563809801E-4</v>
      </c>
      <c r="F125" s="34">
        <f ca="1">VLOOKUP(CurrentMtgRatesDataTable825[[#This Row],[asOfDate]]+1,Bloomberg!B:C,2,0)</f>
        <v>4724.8999999999996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41326</v>
      </c>
      <c r="C126" s="30">
        <v>0.78197458672123177</v>
      </c>
      <c r="D126" s="30">
        <f>VLOOKUP(CurrentMtgRatesDataTable825[[#This Row],[asOfDate]],H:I,2,0)</f>
        <v>0.73462902469773095</v>
      </c>
      <c r="E126" s="30">
        <f>VLOOKUP(CurrentMtgRatesDataTable825[[#This Row],[asOfDate]],O:P,2,0)</f>
        <v>0</v>
      </c>
      <c r="F126" s="34">
        <f ca="1">VLOOKUP(CurrentMtgRatesDataTable825[[#This Row],[asOfDate]]+1,Bloomberg!B:C,2,0)</f>
        <v>4136.3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41319</v>
      </c>
      <c r="C127" s="30">
        <v>0.82228594543390077</v>
      </c>
      <c r="D127" s="30">
        <f>VLOOKUP(CurrentMtgRatesDataTable825[[#This Row],[asOfDate]],H:I,2,0)</f>
        <v>0.75155379277106704</v>
      </c>
      <c r="E127" s="30">
        <f>VLOOKUP(CurrentMtgRatesDataTable825[[#This Row],[asOfDate]],O:P,2,0)</f>
        <v>5.4993651942507197E-4</v>
      </c>
      <c r="F127" s="34">
        <f ca="1">VLOOKUP(CurrentMtgRatesDataTable825[[#This Row],[asOfDate]]+1,Bloomberg!B:C,2,0)</f>
        <v>4261.8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41312</v>
      </c>
      <c r="C128" s="30">
        <v>0.82228594543390077</v>
      </c>
      <c r="D128" s="30">
        <f>VLOOKUP(CurrentMtgRatesDataTable825[[#This Row],[asOfDate]],H:I,2,0)</f>
        <v>0.75155379277106704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4284.3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41305</v>
      </c>
      <c r="C129" s="30">
        <v>0.87254552435126431</v>
      </c>
      <c r="D129" s="30">
        <f>VLOOKUP(CurrentMtgRatesDataTable825[[#This Row],[asOfDate]],H:I,2,0)</f>
        <v>0.77322369572310801</v>
      </c>
      <c r="E129" s="30">
        <f>VLOOKUP(CurrentMtgRatesDataTable825[[#This Row],[asOfDate]],O:P,2,0)</f>
        <v>0</v>
      </c>
      <c r="F129" s="34">
        <f ca="1">VLOOKUP(CurrentMtgRatesDataTable825[[#This Row],[asOfDate]]+1,Bloomberg!B:C,2,0)</f>
        <v>4579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41298</v>
      </c>
      <c r="C130" s="30">
        <v>0.90688789142571524</v>
      </c>
      <c r="D130" s="30">
        <f>VLOOKUP(CurrentMtgRatesDataTable825[[#This Row],[asOfDate]],H:I,2,0)</f>
        <v>0.81634992305868503</v>
      </c>
      <c r="E130" s="30">
        <f>VLOOKUP(CurrentMtgRatesDataTable825[[#This Row],[asOfDate]],O:P,2,0)</f>
        <v>0</v>
      </c>
      <c r="F130" s="34">
        <f ca="1">VLOOKUP(CurrentMtgRatesDataTable825[[#This Row],[asOfDate]]+1,Bloomberg!B:C,2,0)</f>
        <v>4433.6000000000004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41291</v>
      </c>
      <c r="C131" s="30">
        <v>0.90904564835754453</v>
      </c>
      <c r="D131" s="30">
        <f>VLOOKUP(CurrentMtgRatesDataTable825[[#This Row],[asOfDate]],H:I,2,0)</f>
        <v>0.83503612629874802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4937.3999999999996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41284</v>
      </c>
      <c r="C132" s="30">
        <v>0.90782006120518755</v>
      </c>
      <c r="D132" s="30">
        <f>VLOOKUP(CurrentMtgRatesDataTable825[[#This Row],[asOfDate]],H:I,2,0)</f>
        <v>0.81798384699460103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4554.3999999999996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41277</v>
      </c>
      <c r="C133" s="30">
        <v>0.9105479087849232</v>
      </c>
      <c r="D133" s="30">
        <f>VLOOKUP(CurrentMtgRatesDataTable825[[#This Row],[asOfDate]],H:I,2,0)</f>
        <v>0.83696581575361895</v>
      </c>
      <c r="E133" s="30">
        <f>VLOOKUP(CurrentMtgRatesDataTable825[[#This Row],[asOfDate]],O:P,2,0)</f>
        <v>0</v>
      </c>
      <c r="F133" s="34">
        <f ca="1">VLOOKUP(CurrentMtgRatesDataTable825[[#This Row],[asOfDate]]+1,Bloomberg!B:C,2,0)</f>
        <v>3896.4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41270</v>
      </c>
      <c r="C134" s="30">
        <v>0.92736895436677724</v>
      </c>
      <c r="D134" s="30">
        <f>VLOOKUP(CurrentMtgRatesDataTable825[[#This Row],[asOfDate]],H:I,2,0)</f>
        <v>0.85626060279274896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3488.9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41263</v>
      </c>
      <c r="C135" s="30">
        <v>0.92693774833595899</v>
      </c>
      <c r="D135" s="30">
        <f>VLOOKUP(CurrentMtgRatesDataTable825[[#This Row],[asOfDate]],H:I,2,0)</f>
        <v>0.85522983991809798</v>
      </c>
      <c r="E135" s="30">
        <f>VLOOKUP(CurrentMtgRatesDataTable825[[#This Row],[asOfDate]],O:P,2,0)</f>
        <v>0</v>
      </c>
      <c r="F135" s="34">
        <f ca="1">VLOOKUP(CurrentMtgRatesDataTable825[[#This Row],[asOfDate]]+1,Bloomberg!B:C,2,0)</f>
        <v>3983.2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41256</v>
      </c>
      <c r="C136" s="30">
        <v>0.92962672480790975</v>
      </c>
      <c r="D136" s="30">
        <f>VLOOKUP(CurrentMtgRatesDataTable825[[#This Row],[asOfDate]],H:I,2,0)</f>
        <v>0.87412257034895602</v>
      </c>
      <c r="E136" s="30">
        <f>VLOOKUP(CurrentMtgRatesDataTable825[[#This Row],[asOfDate]],O:P,2,0)</f>
        <v>1.92397129365898E-3</v>
      </c>
      <c r="F136" s="34">
        <f ca="1">VLOOKUP(CurrentMtgRatesDataTable825[[#This Row],[asOfDate]]+1,Bloomberg!B:C,2,0)</f>
        <v>4564.3999999999996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41249</v>
      </c>
      <c r="C137" s="30">
        <v>0.92772026190850965</v>
      </c>
      <c r="D137" s="30">
        <f>VLOOKUP(CurrentMtgRatesDataTable825[[#This Row],[asOfDate]],H:I,2,0)</f>
        <v>0.85662578219432695</v>
      </c>
      <c r="E137" s="30">
        <f>VLOOKUP(CurrentMtgRatesDataTable825[[#This Row],[asOfDate]],O:P,2,0)</f>
        <v>0</v>
      </c>
      <c r="F137" s="34">
        <f ca="1">VLOOKUP(CurrentMtgRatesDataTable825[[#This Row],[asOfDate]]+1,Bloomberg!B:C,2,0)</f>
        <v>5368.1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41242</v>
      </c>
      <c r="C138" s="30">
        <v>0.95324471839825531</v>
      </c>
      <c r="D138" s="30">
        <f>VLOOKUP(CurrentMtgRatesDataTable825[[#This Row],[asOfDate]],H:I,2,0)</f>
        <v>0.86996445945149903</v>
      </c>
      <c r="E138" s="30">
        <f>VLOOKUP(CurrentMtgRatesDataTable825[[#This Row],[asOfDate]],O:P,2,0)</f>
        <v>0</v>
      </c>
      <c r="F138" s="34">
        <f ca="1">VLOOKUP(CurrentMtgRatesDataTable825[[#This Row],[asOfDate]]+1,Bloomberg!B:C,2,0)</f>
        <v>4943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41234</v>
      </c>
      <c r="C139" s="30">
        <v>0.95520978776140819</v>
      </c>
      <c r="D139" s="30">
        <f>VLOOKUP(CurrentMtgRatesDataTable825[[#This Row],[asOfDate]],H:I,2,0)</f>
        <v>0.88773399472374204</v>
      </c>
      <c r="E139" s="30">
        <f>VLOOKUP(CurrentMtgRatesDataTable825[[#This Row],[asOfDate]],O:P,2,0)</f>
        <v>0.88870182147749199</v>
      </c>
      <c r="F139" s="34" t="e">
        <f ca="1">VLOOKUP(CurrentMtgRatesDataTable825[[#This Row],[asOfDate]]+1,Bloomberg!B:C,2,0)</f>
        <v>#N/A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41228</v>
      </c>
      <c r="C140" s="30">
        <v>0.95335910637163435</v>
      </c>
      <c r="D140" s="30">
        <f>VLOOKUP(CurrentMtgRatesDataTable825[[#This Row],[asOfDate]],H:I,2,0)</f>
        <v>0.86999483052125803</v>
      </c>
      <c r="E140" s="30">
        <f>VLOOKUP(CurrentMtgRatesDataTable825[[#This Row],[asOfDate]],O:P,2,0)</f>
        <v>3.6805392889150699E-3</v>
      </c>
      <c r="F140" s="34">
        <f ca="1">VLOOKUP(CurrentMtgRatesDataTable825[[#This Row],[asOfDate]]+1,Bloomberg!B:C,2,0)</f>
        <v>4702.3999999999996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41221</v>
      </c>
      <c r="C141" s="30">
        <v>0.95122523158751371</v>
      </c>
      <c r="D141" s="30">
        <f>VLOOKUP(CurrentMtgRatesDataTable825[[#This Row],[asOfDate]],H:I,2,0)</f>
        <v>0.85194480836680198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4856.1000000000004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41214</v>
      </c>
      <c r="C142" s="30">
        <v>0.95159604304738465</v>
      </c>
      <c r="D142" s="30">
        <f>VLOOKUP(CurrentMtgRatesDataTable825[[#This Row],[asOfDate]],H:I,2,0)</f>
        <v>0.85225052894835196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4297.7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41207</v>
      </c>
      <c r="C143" s="30">
        <v>0.96333796137203465</v>
      </c>
      <c r="D143" s="30">
        <f>VLOOKUP(CurrentMtgRatesDataTable825[[#This Row],[asOfDate]],H:I,2,0)</f>
        <v>0.87683234085301398</v>
      </c>
      <c r="E143" s="30">
        <f>VLOOKUP(CurrentMtgRatesDataTable825[[#This Row],[asOfDate]],O:P,2,0)</f>
        <v>0</v>
      </c>
      <c r="F143" s="34">
        <f ca="1">VLOOKUP(CurrentMtgRatesDataTable825[[#This Row],[asOfDate]]+1,Bloomberg!B:C,2,0)</f>
        <v>4550.7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41200</v>
      </c>
      <c r="C144" s="30">
        <v>0.96475073661562716</v>
      </c>
      <c r="D144" s="30">
        <f>VLOOKUP(CurrentMtgRatesDataTable825[[#This Row],[asOfDate]],H:I,2,0)</f>
        <v>0.89368551357821302</v>
      </c>
      <c r="E144" s="30">
        <f>VLOOKUP(CurrentMtgRatesDataTable825[[#This Row],[asOfDate]],O:P,2,0)</f>
        <v>0</v>
      </c>
      <c r="F144" s="34">
        <f ca="1">VLOOKUP(CurrentMtgRatesDataTable825[[#This Row],[asOfDate]]+1,Bloomberg!B:C,2,0)</f>
        <v>4847.2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41193</v>
      </c>
      <c r="C145" s="30">
        <v>0.96375870927153184</v>
      </c>
      <c r="D145" s="30">
        <f>VLOOKUP(CurrentMtgRatesDataTable825[[#This Row],[asOfDate]],H:I,2,0)</f>
        <v>0.87811016351224602</v>
      </c>
      <c r="E145" s="30">
        <f>VLOOKUP(CurrentMtgRatesDataTable825[[#This Row],[asOfDate]],O:P,2,0)</f>
        <v>0</v>
      </c>
      <c r="F145" s="34">
        <f ca="1">VLOOKUP(CurrentMtgRatesDataTable825[[#This Row],[asOfDate]]+1,Bloomberg!B:C,2,0)</f>
        <v>5572.2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41186</v>
      </c>
      <c r="C146" s="30">
        <v>0.96549727195050905</v>
      </c>
      <c r="D146" s="30">
        <f>VLOOKUP(CurrentMtgRatesDataTable825[[#This Row],[asOfDate]],H:I,2,0)</f>
        <v>0.89522709255279198</v>
      </c>
      <c r="E146" s="30">
        <f>VLOOKUP(CurrentMtgRatesDataTable825[[#This Row],[asOfDate]],O:P,2,0)</f>
        <v>0.89337068210282</v>
      </c>
      <c r="F146" s="34">
        <f ca="1">VLOOKUP(CurrentMtgRatesDataTable825[[#This Row],[asOfDate]]+1,Bloomberg!B:C,2,0)</f>
        <v>5892.5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41179</v>
      </c>
      <c r="C147" s="30">
        <v>0.97972824609281739</v>
      </c>
      <c r="D147" s="30">
        <f>VLOOKUP(CurrentMtgRatesDataTable825[[#This Row],[asOfDate]],H:I,2,0)</f>
        <v>0.91259028169208301</v>
      </c>
      <c r="E147" s="30">
        <f>VLOOKUP(CurrentMtgRatesDataTable825[[#This Row],[asOfDate]],O:P,2,0)</f>
        <v>0.91307424668051995</v>
      </c>
      <c r="F147" s="34">
        <f ca="1">VLOOKUP(CurrentMtgRatesDataTable825[[#This Row],[asOfDate]]+1,Bloomberg!B:C,2,0)</f>
        <v>5965.5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41172</v>
      </c>
      <c r="C148" s="30">
        <v>0.97557589212912299</v>
      </c>
      <c r="D148" s="30">
        <f>VLOOKUP(CurrentMtgRatesDataTable825[[#This Row],[asOfDate]],H:I,2,0)</f>
        <v>0.87344930653794395</v>
      </c>
      <c r="E148" s="30">
        <f>VLOOKUP(CurrentMtgRatesDataTable825[[#This Row],[asOfDate]],O:P,2,0)</f>
        <v>0.87391634150534703</v>
      </c>
      <c r="F148" s="34">
        <f ca="1">VLOOKUP(CurrentMtgRatesDataTable825[[#This Row],[asOfDate]]+1,Bloomberg!B:C,2,0)</f>
        <v>4979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41165</v>
      </c>
      <c r="C149" s="30">
        <v>0.95934690244536402</v>
      </c>
      <c r="D149" s="30">
        <f>VLOOKUP(CurrentMtgRatesDataTable825[[#This Row],[asOfDate]],H:I,2,0)</f>
        <v>0.85731125996939705</v>
      </c>
      <c r="E149" s="30">
        <f>VLOOKUP(CurrentMtgRatesDataTable825[[#This Row],[asOfDate]],O:P,2,0)</f>
        <v>3.4287960012666001E-3</v>
      </c>
      <c r="F149" s="34">
        <f ca="1">VLOOKUP(CurrentMtgRatesDataTable825[[#This Row],[asOfDate]]+1,Bloomberg!B:C,2,0)</f>
        <v>4823.3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41158</v>
      </c>
      <c r="C150" s="30">
        <v>0.9385222539497815</v>
      </c>
      <c r="D150" s="30">
        <f>VLOOKUP(CurrentMtgRatesDataTable825[[#This Row],[asOfDate]],H:I,2,0)</f>
        <v>0.854493626143913</v>
      </c>
      <c r="E150" s="30">
        <f>VLOOKUP(CurrentMtgRatesDataTable825[[#This Row],[asOfDate]],O:P,2,0)</f>
        <v>0</v>
      </c>
      <c r="F150" s="34">
        <f ca="1">VLOOKUP(CurrentMtgRatesDataTable825[[#This Row],[asOfDate]]+1,Bloomberg!B:C,2,0)</f>
        <v>4779.1000000000004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41151</v>
      </c>
      <c r="C151" s="30">
        <v>0.94205857388199854</v>
      </c>
      <c r="D151" s="30">
        <f>VLOOKUP(CurrentMtgRatesDataTable825[[#This Row],[asOfDate]],H:I,2,0)</f>
        <v>0.86745968477328095</v>
      </c>
      <c r="E151" s="30">
        <f>VLOOKUP(CurrentMtgRatesDataTable825[[#This Row],[asOfDate]],O:P,2,0)</f>
        <v>0</v>
      </c>
      <c r="F151" s="34">
        <f ca="1">VLOOKUP(CurrentMtgRatesDataTable825[[#This Row],[asOfDate]]+1,Bloomberg!B:C,2,0)</f>
        <v>4274.8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41144</v>
      </c>
      <c r="C152" s="30">
        <v>0.87748700775465949</v>
      </c>
      <c r="D152" s="30">
        <f>VLOOKUP(CurrentMtgRatesDataTable825[[#This Row],[asOfDate]],H:I,2,0)</f>
        <v>0.83819941388679298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4414.6000000000004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41137</v>
      </c>
      <c r="C153" s="30">
        <v>0.90339137243763723</v>
      </c>
      <c r="D153" s="30">
        <f>VLOOKUP(CurrentMtgRatesDataTable825[[#This Row],[asOfDate]],H:I,2,0)</f>
        <v>0.85198632502448901</v>
      </c>
      <c r="E153" s="30">
        <f>VLOOKUP(CurrentMtgRatesDataTable825[[#This Row],[asOfDate]],O:P,2,0)</f>
        <v>0</v>
      </c>
      <c r="F153" s="34">
        <f ca="1">VLOOKUP(CurrentMtgRatesDataTable825[[#This Row],[asOfDate]]+1,Bloomberg!B:C,2,0)</f>
        <v>4671.1000000000004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41130</v>
      </c>
      <c r="C154" s="30">
        <v>0.94205857388199854</v>
      </c>
      <c r="D154" s="30">
        <f>VLOOKUP(CurrentMtgRatesDataTable825[[#This Row],[asOfDate]],H:I,2,0)</f>
        <v>0.86745968477328095</v>
      </c>
      <c r="E154" s="30">
        <f>VLOOKUP(CurrentMtgRatesDataTable825[[#This Row],[asOfDate]],O:P,2,0)</f>
        <v>0</v>
      </c>
      <c r="F154" s="34">
        <f ca="1">VLOOKUP(CurrentMtgRatesDataTable825[[#This Row],[asOfDate]]+1,Bloomberg!B:C,2,0)</f>
        <v>5172.2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41123</v>
      </c>
      <c r="C155" s="30">
        <v>0.95587425416287319</v>
      </c>
      <c r="D155" s="30">
        <f>VLOOKUP(CurrentMtgRatesDataTable825[[#This Row],[asOfDate]],H:I,2,0)</f>
        <v>0.86768818253450297</v>
      </c>
      <c r="E155" s="30">
        <f>VLOOKUP(CurrentMtgRatesDataTable825[[#This Row],[asOfDate]],O:P,2,0)</f>
        <v>0</v>
      </c>
      <c r="F155" s="34">
        <f ca="1">VLOOKUP(CurrentMtgRatesDataTable825[[#This Row],[asOfDate]]+1,Bloomberg!B:C,2,0)</f>
        <v>5444.3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41116</v>
      </c>
      <c r="C156" s="30">
        <v>0.99027447530696866</v>
      </c>
      <c r="D156" s="30">
        <f>VLOOKUP(CurrentMtgRatesDataTable825[[#This Row],[asOfDate]],H:I,2,0)</f>
        <v>0.89814744996460805</v>
      </c>
      <c r="E156" s="30">
        <f>VLOOKUP(CurrentMtgRatesDataTable825[[#This Row],[asOfDate]],O:P,2,0)</f>
        <v>0.89854811201564799</v>
      </c>
      <c r="F156" s="34">
        <f ca="1">VLOOKUP(CurrentMtgRatesDataTable825[[#This Row],[asOfDate]]+1,Bloomberg!B:C,2,0)</f>
        <v>5492.1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41109</v>
      </c>
      <c r="C157" s="30">
        <v>0.97847366123619861</v>
      </c>
      <c r="D157" s="30">
        <f>VLOOKUP(CurrentMtgRatesDataTable825[[#This Row],[asOfDate]],H:I,2,0)</f>
        <v>0.88516739973977598</v>
      </c>
      <c r="E157" s="30">
        <f>VLOOKUP(CurrentMtgRatesDataTable825[[#This Row],[asOfDate]],O:P,2,0)</f>
        <v>0.88557582733423201</v>
      </c>
      <c r="F157" s="34">
        <f ca="1">VLOOKUP(CurrentMtgRatesDataTable825[[#This Row],[asOfDate]]+1,Bloomberg!B:C,2,0)</f>
        <v>5383.1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41102</v>
      </c>
      <c r="C158" s="30">
        <v>0.95580172872477098</v>
      </c>
      <c r="D158" s="30">
        <f>VLOOKUP(CurrentMtgRatesDataTable825[[#This Row],[asOfDate]],H:I,2,0)</f>
        <v>0.88265848165302496</v>
      </c>
      <c r="E158" s="30">
        <f>VLOOKUP(CurrentMtgRatesDataTable825[[#This Row],[asOfDate]],O:P,2,0)</f>
        <v>0.88306588959651799</v>
      </c>
      <c r="F158" s="34">
        <f ca="1">VLOOKUP(CurrentMtgRatesDataTable825[[#This Row],[asOfDate]]+1,Bloomberg!B:C,2,0)</f>
        <v>5246.8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41095</v>
      </c>
      <c r="C159" s="30">
        <v>0.89815584955046668</v>
      </c>
      <c r="D159" s="30">
        <f>VLOOKUP(CurrentMtgRatesDataTable825[[#This Row],[asOfDate]],H:I,2,0)</f>
        <v>0.85531584833132801</v>
      </c>
      <c r="E159" s="30">
        <f>VLOOKUP(CurrentMtgRatesDataTable825[[#This Row],[asOfDate]],O:P,2,0)</f>
        <v>0.85480310148891403</v>
      </c>
      <c r="F159" s="34">
        <f ca="1">VLOOKUP(CurrentMtgRatesDataTable825[[#This Row],[asOfDate]]+1,Bloomberg!B:C,2,0)</f>
        <v>4267.8999999999996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41088</v>
      </c>
      <c r="C160" s="30">
        <v>0.90433551745614671</v>
      </c>
      <c r="D160" s="30">
        <f>VLOOKUP(CurrentMtgRatesDataTable825[[#This Row],[asOfDate]],H:I,2,0)</f>
        <v>0.86306170802286497</v>
      </c>
      <c r="E160" s="30">
        <f>VLOOKUP(CurrentMtgRatesDataTable825[[#This Row],[asOfDate]],O:P,2,0)</f>
        <v>0.86355719580735102</v>
      </c>
      <c r="F160" s="34">
        <f ca="1">VLOOKUP(CurrentMtgRatesDataTable825[[#This Row],[asOfDate]]+1,Bloomberg!B:C,2,0)</f>
        <v>4372.2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41081</v>
      </c>
      <c r="C161" s="30">
        <v>0.90433551745614671</v>
      </c>
      <c r="D161" s="30">
        <f>VLOOKUP(CurrentMtgRatesDataTable825[[#This Row],[asOfDate]],H:I,2,0)</f>
        <v>0.86306170802286497</v>
      </c>
      <c r="E161" s="30">
        <f>VLOOKUP(CurrentMtgRatesDataTable825[[#This Row],[asOfDate]],O:P,2,0)</f>
        <v>0.86355719580735102</v>
      </c>
      <c r="F161" s="34">
        <f ca="1">VLOOKUP(CurrentMtgRatesDataTable825[[#This Row],[asOfDate]]+1,Bloomberg!B:C,2,0)</f>
        <v>4585.8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41074</v>
      </c>
      <c r="C162" s="30">
        <v>0.89875319576913215</v>
      </c>
      <c r="D162" s="30">
        <f>VLOOKUP(CurrentMtgRatesDataTable825[[#This Row],[asOfDate]],H:I,2,0)</f>
        <v>0.84549296973434196</v>
      </c>
      <c r="E162" s="30">
        <f>VLOOKUP(CurrentMtgRatesDataTable825[[#This Row],[asOfDate]],O:P,2,0)</f>
        <v>0</v>
      </c>
      <c r="F162" s="34">
        <f ca="1">VLOOKUP(CurrentMtgRatesDataTable825[[#This Row],[asOfDate]]+1,Bloomberg!B:C,2,0)</f>
        <v>4719.6000000000004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41067</v>
      </c>
      <c r="C163" s="30">
        <v>0.90226538815009849</v>
      </c>
      <c r="D163" s="30">
        <f>VLOOKUP(CurrentMtgRatesDataTable825[[#This Row],[asOfDate]],H:I,2,0)</f>
        <v>0.86243439572202496</v>
      </c>
      <c r="E163" s="30">
        <f>VLOOKUP(CurrentMtgRatesDataTable825[[#This Row],[asOfDate]],O:P,2,0)</f>
        <v>0.86123151402869003</v>
      </c>
      <c r="F163" s="34">
        <f ca="1">VLOOKUP(CurrentMtgRatesDataTable825[[#This Row],[asOfDate]]+1,Bloomberg!B:C,2,0)</f>
        <v>5590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41060</v>
      </c>
      <c r="C164" s="30">
        <v>0.91172389347479832</v>
      </c>
      <c r="D164" s="30">
        <f>VLOOKUP(CurrentMtgRatesDataTable825[[#This Row],[asOfDate]],H:I,2,0)</f>
        <v>0.83268888035603505</v>
      </c>
      <c r="E164" s="30">
        <f>VLOOKUP(CurrentMtgRatesDataTable825[[#This Row],[asOfDate]],O:P,2,0)</f>
        <v>0.83309495413351498</v>
      </c>
      <c r="F164" s="34">
        <f ca="1">VLOOKUP(CurrentMtgRatesDataTable825[[#This Row],[asOfDate]]+1,Bloomberg!B:C,2,0)</f>
        <v>4736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41053</v>
      </c>
      <c r="C165" s="30">
        <v>0.91139854356807648</v>
      </c>
      <c r="D165" s="30">
        <f>VLOOKUP(CurrentMtgRatesDataTable825[[#This Row],[asOfDate]],H:I,2,0)</f>
        <v>0.82948257912141399</v>
      </c>
      <c r="E165" s="30">
        <f>VLOOKUP(CurrentMtgRatesDataTable825[[#This Row],[asOfDate]],O:P,2,0)</f>
        <v>0</v>
      </c>
      <c r="F165" s="34">
        <f ca="1">VLOOKUP(CurrentMtgRatesDataTable825[[#This Row],[asOfDate]]+1,Bloomberg!B:C,2,0)</f>
        <v>4675.8999999999996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41046</v>
      </c>
      <c r="C166" s="30">
        <v>0.91158635954379463</v>
      </c>
      <c r="D166" s="30">
        <f>VLOOKUP(CurrentMtgRatesDataTable825[[#This Row],[asOfDate]],H:I,2,0)</f>
        <v>0.83152220645888697</v>
      </c>
      <c r="E166" s="30">
        <f>VLOOKUP(CurrentMtgRatesDataTable825[[#This Row],[asOfDate]],O:P,2,0)</f>
        <v>0.831927164274886</v>
      </c>
      <c r="F166" s="34">
        <f ca="1">VLOOKUP(CurrentMtgRatesDataTable825[[#This Row],[asOfDate]]+1,Bloomberg!B:C,2,0)</f>
        <v>4732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41039</v>
      </c>
      <c r="C167" s="30">
        <v>0.91043730151525848</v>
      </c>
      <c r="D167" s="30">
        <f>VLOOKUP(CurrentMtgRatesDataTable825[[#This Row],[asOfDate]],H:I,2,0)</f>
        <v>0.807152941952609</v>
      </c>
      <c r="E167" s="30">
        <f>VLOOKUP(CurrentMtgRatesDataTable825[[#This Row],[asOfDate]],O:P,2,0)</f>
        <v>0.80754152596055995</v>
      </c>
      <c r="F167" s="34">
        <f ca="1">VLOOKUP(CurrentMtgRatesDataTable825[[#This Row],[asOfDate]]+1,Bloomberg!B:C,2,0)</f>
        <v>4482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41032</v>
      </c>
      <c r="C168" s="30">
        <v>0.90933155768623286</v>
      </c>
      <c r="D168" s="30">
        <f>VLOOKUP(CurrentMtgRatesDataTable825[[#This Row],[asOfDate]],H:I,2,0)</f>
        <v>0.80437080516661097</v>
      </c>
      <c r="E168" s="30">
        <f>VLOOKUP(CurrentMtgRatesDataTable825[[#This Row],[asOfDate]],O:P,2,0)</f>
        <v>0.80415566862182497</v>
      </c>
      <c r="F168" s="34">
        <f ca="1">VLOOKUP(CurrentMtgRatesDataTable825[[#This Row],[asOfDate]]+1,Bloomberg!B:C,2,0)</f>
        <v>3924.4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41025</v>
      </c>
      <c r="C169" s="30">
        <v>0.92081224691907704</v>
      </c>
      <c r="D169" s="30">
        <f>VLOOKUP(CurrentMtgRatesDataTable825[[#This Row],[asOfDate]],H:I,2,0)</f>
        <v>0.80193881910043296</v>
      </c>
      <c r="E169" s="30">
        <f>VLOOKUP(CurrentMtgRatesDataTable825[[#This Row],[asOfDate]],O:P,2,0)</f>
        <v>0.80265108338267499</v>
      </c>
      <c r="F169" s="34">
        <f ca="1">VLOOKUP(CurrentMtgRatesDataTable825[[#This Row],[asOfDate]]+1,Bloomberg!B:C,2,0)</f>
        <v>3856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41018</v>
      </c>
      <c r="C170" s="30">
        <v>0.91584710240533518</v>
      </c>
      <c r="D170" s="30">
        <f>VLOOKUP(CurrentMtgRatesDataTable825[[#This Row],[asOfDate]],H:I,2,0)</f>
        <v>0.77781138796328697</v>
      </c>
      <c r="E170" s="30">
        <f>VLOOKUP(CurrentMtgRatesDataTable825[[#This Row],[asOfDate]],O:P,2,0)</f>
        <v>0</v>
      </c>
      <c r="F170" s="34">
        <f ca="1">VLOOKUP(CurrentMtgRatesDataTable825[[#This Row],[asOfDate]]+1,Bloomberg!B:C,2,0)</f>
        <v>3892.2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41011</v>
      </c>
      <c r="C171" s="30">
        <v>0.92081224691907704</v>
      </c>
      <c r="D171" s="30">
        <f>VLOOKUP(CurrentMtgRatesDataTable825[[#This Row],[asOfDate]],H:I,2,0)</f>
        <v>0.80193881910043296</v>
      </c>
      <c r="E171" s="30">
        <f>VLOOKUP(CurrentMtgRatesDataTable825[[#This Row],[asOfDate]],O:P,2,0)</f>
        <v>0.80265108338267499</v>
      </c>
      <c r="F171" s="34">
        <f ca="1">VLOOKUP(CurrentMtgRatesDataTable825[[#This Row],[asOfDate]]+1,Bloomberg!B:C,2,0)</f>
        <v>4144.3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41004</v>
      </c>
      <c r="C172" s="30">
        <v>0.88207169423008958</v>
      </c>
      <c r="D172" s="30">
        <f>VLOOKUP(CurrentMtgRatesDataTable825[[#This Row],[asOfDate]],H:I,2,0)</f>
        <v>0.75253147533014197</v>
      </c>
      <c r="E172" s="30">
        <f>VLOOKUP(CurrentMtgRatesDataTable825[[#This Row],[asOfDate]],O:P,2,0)</f>
        <v>0</v>
      </c>
      <c r="F172" s="34">
        <f ca="1">VLOOKUP(CurrentMtgRatesDataTable825[[#This Row],[asOfDate]]+1,Bloomberg!B:C,2,0)</f>
        <v>3549.3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40997</v>
      </c>
      <c r="C173" s="30">
        <v>0.89839647193495631</v>
      </c>
      <c r="D173" s="30">
        <f>VLOOKUP(CurrentMtgRatesDataTable825[[#This Row],[asOfDate]],H:I,2,0)</f>
        <v>0.749723434167341</v>
      </c>
      <c r="E173" s="30">
        <f>VLOOKUP(CurrentMtgRatesDataTable825[[#This Row],[asOfDate]],O:P,2,0)</f>
        <v>0</v>
      </c>
      <c r="F173" s="34">
        <f ca="1">VLOOKUP(CurrentMtgRatesDataTable825[[#This Row],[asOfDate]]+1,Bloomberg!B:C,2,0)</f>
        <v>3699.5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40990</v>
      </c>
      <c r="C174" s="30">
        <v>0.81613042553286597</v>
      </c>
      <c r="D174" s="30">
        <f>VLOOKUP(CurrentMtgRatesDataTable825[[#This Row],[asOfDate]],H:I,2,0)</f>
        <v>0.69937061468571404</v>
      </c>
      <c r="E174" s="30">
        <f>VLOOKUP(CurrentMtgRatesDataTable825[[#This Row],[asOfDate]],O:P,2,0)</f>
        <v>0</v>
      </c>
      <c r="F174" s="34">
        <f ca="1">VLOOKUP(CurrentMtgRatesDataTable825[[#This Row],[asOfDate]]+1,Bloomberg!B:C,2,0)</f>
        <v>3588.4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40983</v>
      </c>
      <c r="C175" s="30">
        <v>0.92731884222020211</v>
      </c>
      <c r="D175" s="30">
        <f>VLOOKUP(CurrentMtgRatesDataTable825[[#This Row],[asOfDate]],H:I,2,0)</f>
        <v>0.77421402081353796</v>
      </c>
      <c r="E175" s="30">
        <f>VLOOKUP(CurrentMtgRatesDataTable825[[#This Row],[asOfDate]],O:P,2,0)</f>
        <v>0</v>
      </c>
      <c r="F175" s="34">
        <f ca="1">VLOOKUP(CurrentMtgRatesDataTable825[[#This Row],[asOfDate]]+1,Bloomberg!B:C,2,0)</f>
        <v>3715.2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40976</v>
      </c>
      <c r="C176" s="30">
        <v>0.94021222625007095</v>
      </c>
      <c r="D176" s="30">
        <f>VLOOKUP(CurrentMtgRatesDataTable825[[#This Row],[asOfDate]],H:I,2,0)</f>
        <v>0.78283886771012201</v>
      </c>
      <c r="E176" s="30">
        <f>VLOOKUP(CurrentMtgRatesDataTable825[[#This Row],[asOfDate]],O:P,2,0)</f>
        <v>7.6028475141971797E-4</v>
      </c>
      <c r="F176" s="34">
        <f ca="1">VLOOKUP(CurrentMtgRatesDataTable825[[#This Row],[asOfDate]]+1,Bloomberg!B:C,2,0)</f>
        <v>4063.4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40969</v>
      </c>
      <c r="C177" s="30">
        <v>0.93754446570186334</v>
      </c>
      <c r="D177" s="30">
        <f>VLOOKUP(CurrentMtgRatesDataTable825[[#This Row],[asOfDate]],H:I,2,0)</f>
        <v>0.77480777056815697</v>
      </c>
      <c r="E177" s="30">
        <f>VLOOKUP(CurrentMtgRatesDataTable825[[#This Row],[asOfDate]],O:P,2,0)</f>
        <v>0</v>
      </c>
      <c r="F177" s="34">
        <f ca="1">VLOOKUP(CurrentMtgRatesDataTable825[[#This Row],[asOfDate]]+1,Bloomberg!B:C,2,0)</f>
        <v>4277.6000000000004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40962</v>
      </c>
      <c r="C178" s="30">
        <v>0.92213501804792164</v>
      </c>
      <c r="D178" s="30">
        <f>VLOOKUP(CurrentMtgRatesDataTable825[[#This Row],[asOfDate]],H:I,2,0)</f>
        <v>0.76669716579457303</v>
      </c>
      <c r="E178" s="30">
        <f>VLOOKUP(CurrentMtgRatesDataTable825[[#This Row],[asOfDate]],O:P,2,0)</f>
        <v>0</v>
      </c>
      <c r="F178" s="34">
        <f ca="1">VLOOKUP(CurrentMtgRatesDataTable825[[#This Row],[asOfDate]]+1,Bloomberg!B:C,2,0)</f>
        <v>4379.1000000000004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40955</v>
      </c>
      <c r="C179" s="30">
        <v>0.95301550179731664</v>
      </c>
      <c r="D179" s="30">
        <f>VLOOKUP(CurrentMtgRatesDataTable825[[#This Row],[asOfDate]],H:I,2,0)</f>
        <v>0.79842547980239797</v>
      </c>
      <c r="E179" s="30">
        <f>VLOOKUP(CurrentMtgRatesDataTable825[[#This Row],[asOfDate]],O:P,2,0)</f>
        <v>0</v>
      </c>
      <c r="F179" s="34">
        <f ca="1">VLOOKUP(CurrentMtgRatesDataTable825[[#This Row],[asOfDate]]+1,Bloomberg!B:C,2,0)</f>
        <v>4466.8999999999996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40948</v>
      </c>
      <c r="C180" s="30">
        <v>0.95301550179731664</v>
      </c>
      <c r="D180" s="30">
        <f>VLOOKUP(CurrentMtgRatesDataTable825[[#This Row],[asOfDate]],H:I,2,0)</f>
        <v>0.79842547980239797</v>
      </c>
      <c r="E180" s="30">
        <f>VLOOKUP(CurrentMtgRatesDataTable825[[#This Row],[asOfDate]],O:P,2,0)</f>
        <v>0</v>
      </c>
      <c r="F180" s="34">
        <f ca="1">VLOOKUP(CurrentMtgRatesDataTable825[[#This Row],[asOfDate]]+1,Bloomberg!B:C,2,0)</f>
        <v>4716.1000000000004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40941</v>
      </c>
      <c r="C181" s="30">
        <v>0.95301550179731664</v>
      </c>
      <c r="D181" s="30">
        <f>VLOOKUP(CurrentMtgRatesDataTable825[[#This Row],[asOfDate]],H:I,2,0)</f>
        <v>0.79842547980239797</v>
      </c>
      <c r="E181" s="30">
        <f>VLOOKUP(CurrentMtgRatesDataTable825[[#This Row],[asOfDate]],O:P,2,0)</f>
        <v>0</v>
      </c>
      <c r="F181" s="34">
        <f ca="1">VLOOKUP(CurrentMtgRatesDataTable825[[#This Row],[asOfDate]]+1,Bloomberg!B:C,2,0)</f>
        <v>4617.1000000000004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40934</v>
      </c>
      <c r="C182" s="30">
        <v>0.93095663396698869</v>
      </c>
      <c r="D182" s="30">
        <f>VLOOKUP(CurrentMtgRatesDataTable825[[#This Row],[asOfDate]],H:I,2,0)</f>
        <v>0.78339393568549298</v>
      </c>
      <c r="E182" s="30">
        <f>VLOOKUP(CurrentMtgRatesDataTable825[[#This Row],[asOfDate]],O:P,2,0)</f>
        <v>0</v>
      </c>
      <c r="F182" s="34">
        <f ca="1">VLOOKUP(CurrentMtgRatesDataTable825[[#This Row],[asOfDate]]+1,Bloomberg!B:C,2,0)</f>
        <v>4184.3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40927</v>
      </c>
      <c r="C183" s="30">
        <v>0.9605332037897929</v>
      </c>
      <c r="D183" s="30">
        <f>VLOOKUP(CurrentMtgRatesDataTable825[[#This Row],[asOfDate]],H:I,2,0)</f>
        <v>0.81461584859780101</v>
      </c>
      <c r="E183" s="30">
        <f>VLOOKUP(CurrentMtgRatesDataTable825[[#This Row],[asOfDate]],O:P,2,0)</f>
        <v>0</v>
      </c>
      <c r="F183" s="34">
        <f ca="1">VLOOKUP(CurrentMtgRatesDataTable825[[#This Row],[asOfDate]]+1,Bloomberg!B:C,2,0)</f>
        <v>4326.3999999999996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40920</v>
      </c>
      <c r="C184" s="30">
        <v>0.96186747708451303</v>
      </c>
      <c r="D184" s="30">
        <f>VLOOKUP(CurrentMtgRatesDataTable825[[#This Row],[asOfDate]],H:I,2,0)</f>
        <v>0.81626218699844599</v>
      </c>
      <c r="E184" s="30">
        <f>VLOOKUP(CurrentMtgRatesDataTable825[[#This Row],[asOfDate]],O:P,2,0)</f>
        <v>0.81663205917875104</v>
      </c>
      <c r="F184" s="34">
        <f ca="1">VLOOKUP(CurrentMtgRatesDataTable825[[#This Row],[asOfDate]]+1,Bloomberg!B:C,2,0)</f>
        <v>4626.5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40913</v>
      </c>
      <c r="C185" s="30">
        <v>0.95441320378126659</v>
      </c>
      <c r="D185" s="30">
        <f>VLOOKUP(CurrentMtgRatesDataTable825[[#This Row],[asOfDate]],H:I,2,0)</f>
        <v>0.80629912189469399</v>
      </c>
      <c r="E185" s="30">
        <f>VLOOKUP(CurrentMtgRatesDataTable825[[#This Row],[asOfDate]],O:P,2,0)</f>
        <v>0</v>
      </c>
      <c r="F185" s="34">
        <f ca="1">VLOOKUP(CurrentMtgRatesDataTable825[[#This Row],[asOfDate]]+1,Bloomberg!B:C,2,0)</f>
        <v>3668.3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40906</v>
      </c>
      <c r="C186" s="30">
        <v>0.96468401373452672</v>
      </c>
      <c r="D186" s="30">
        <f>VLOOKUP(CurrentMtgRatesDataTable825[[#This Row],[asOfDate]],H:I,2,0)</f>
        <v>0.81734633197465201</v>
      </c>
      <c r="E186" s="30">
        <f>VLOOKUP(CurrentMtgRatesDataTable825[[#This Row],[asOfDate]],O:P,2,0)</f>
        <v>0</v>
      </c>
      <c r="F186" s="34">
        <f ca="1">VLOOKUP(CurrentMtgRatesDataTable825[[#This Row],[asOfDate]]+1,Bloomberg!B:C,2,0)</f>
        <v>3608.1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40899</v>
      </c>
      <c r="C187" s="30">
        <v>0.97266763503004883</v>
      </c>
      <c r="D187" s="30">
        <f>VLOOKUP(CurrentMtgRatesDataTable825[[#This Row],[asOfDate]],H:I,2,0)</f>
        <v>0.82537040355923197</v>
      </c>
      <c r="E187" s="30">
        <f>VLOOKUP(CurrentMtgRatesDataTable825[[#This Row],[asOfDate]],O:P,2,0)</f>
        <v>0.82559057548597004</v>
      </c>
      <c r="F187" s="34">
        <f ca="1">VLOOKUP(CurrentMtgRatesDataTable825[[#This Row],[asOfDate]]+1,Bloomberg!B:C,2,0)</f>
        <v>3684.5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40892</v>
      </c>
      <c r="C188" s="30">
        <v>0.95776869813018495</v>
      </c>
      <c r="D188" s="30">
        <f>VLOOKUP(CurrentMtgRatesDataTable825[[#This Row],[asOfDate]],H:I,2,0)</f>
        <v>0.79646175435893696</v>
      </c>
      <c r="E188" s="30">
        <f>VLOOKUP(CurrentMtgRatesDataTable825[[#This Row],[asOfDate]],O:P,2,0)</f>
        <v>0.79669049657242397</v>
      </c>
      <c r="F188" s="34">
        <f ca="1">VLOOKUP(CurrentMtgRatesDataTable825[[#This Row],[asOfDate]]+1,Bloomberg!B:C,2,0)</f>
        <v>3676.1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40885</v>
      </c>
      <c r="C189" s="30">
        <v>0.94404770550683115</v>
      </c>
      <c r="D189" s="30">
        <f>VLOOKUP(CurrentMtgRatesDataTable825[[#This Row],[asOfDate]],H:I,2,0)</f>
        <v>0.79445840936885304</v>
      </c>
      <c r="E189" s="30">
        <f>VLOOKUP(CurrentMtgRatesDataTable825[[#This Row],[asOfDate]],O:P,2,0)</f>
        <v>6.7786594921879302E-4</v>
      </c>
      <c r="F189" s="34">
        <f ca="1">VLOOKUP(CurrentMtgRatesDataTable825[[#This Row],[asOfDate]]+1,Bloomberg!B:C,2,0)</f>
        <v>3708.6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40878</v>
      </c>
      <c r="C190" s="30">
        <v>0.93485323798856346</v>
      </c>
      <c r="D190" s="30">
        <f>VLOOKUP(CurrentMtgRatesDataTable825[[#This Row],[asOfDate]],H:I,2,0)</f>
        <v>0.79441104681633201</v>
      </c>
      <c r="E190" s="30">
        <f>VLOOKUP(CurrentMtgRatesDataTable825[[#This Row],[asOfDate]],O:P,2,0)</f>
        <v>0</v>
      </c>
      <c r="F190" s="34">
        <f ca="1">VLOOKUP(CurrentMtgRatesDataTable825[[#This Row],[asOfDate]]+1,Bloomberg!B:C,2,0)</f>
        <v>3394.7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40870</v>
      </c>
      <c r="C191" s="30">
        <v>0.96106992079841158</v>
      </c>
      <c r="D191" s="30">
        <f>VLOOKUP(CurrentMtgRatesDataTable825[[#This Row],[asOfDate]],H:I,2,0)</f>
        <v>0.80850149462655696</v>
      </c>
      <c r="E191" s="30">
        <f>VLOOKUP(CurrentMtgRatesDataTable825[[#This Row],[asOfDate]],O:P,2,0)</f>
        <v>8.8101230968728496E-4</v>
      </c>
      <c r="F191" s="34" t="e">
        <f ca="1">VLOOKUP(CurrentMtgRatesDataTable825[[#This Row],[asOfDate]]+1,Bloomberg!B:C,2,0)</f>
        <v>#N/A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40864</v>
      </c>
      <c r="C192" s="30">
        <v>0.94774748297200118</v>
      </c>
      <c r="D192" s="30">
        <f>VLOOKUP(CurrentMtgRatesDataTable825[[#This Row],[asOfDate]],H:I,2,0)</f>
        <v>0.80719780316763601</v>
      </c>
      <c r="E192" s="30">
        <f>VLOOKUP(CurrentMtgRatesDataTable825[[#This Row],[asOfDate]],O:P,2,0)</f>
        <v>0</v>
      </c>
      <c r="F192" s="34">
        <f ca="1">VLOOKUP(CurrentMtgRatesDataTable825[[#This Row],[asOfDate]]+1,Bloomberg!B:C,2,0)</f>
        <v>3466.8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40857</v>
      </c>
      <c r="C193" s="30">
        <v>0.95604869553761263</v>
      </c>
      <c r="D193" s="30">
        <f>VLOOKUP(CurrentMtgRatesDataTable825[[#This Row],[asOfDate]],H:I,2,0)</f>
        <v>0.80724570771905702</v>
      </c>
      <c r="E193" s="30">
        <f>VLOOKUP(CurrentMtgRatesDataTable825[[#This Row],[asOfDate]],O:P,2,0)</f>
        <v>8.7950076846855297E-4</v>
      </c>
      <c r="F193" s="34">
        <f ca="1">VLOOKUP(CurrentMtgRatesDataTable825[[#This Row],[asOfDate]]+1,Bloomberg!B:C,2,0)</f>
        <v>3664.5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40850</v>
      </c>
      <c r="C194" s="30">
        <v>0.94774748297200118</v>
      </c>
      <c r="D194" s="30">
        <f>VLOOKUP(CurrentMtgRatesDataTable825[[#This Row],[asOfDate]],H:I,2,0)</f>
        <v>0.80719780316763601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4137.6000000000004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40843</v>
      </c>
      <c r="C195" s="30">
        <v>0.87447330791091027</v>
      </c>
      <c r="D195" s="30">
        <f>VLOOKUP(CurrentMtgRatesDataTable825[[#This Row],[asOfDate]],H:I,2,0)</f>
        <v>0.77033919514702098</v>
      </c>
      <c r="E195" s="30">
        <f>VLOOKUP(CurrentMtgRatesDataTable825[[#This Row],[asOfDate]],O:P,2,0)</f>
        <v>0</v>
      </c>
      <c r="F195" s="34">
        <f ca="1">VLOOKUP(CurrentMtgRatesDataTable825[[#This Row],[asOfDate]]+1,Bloomberg!B:C,2,0)</f>
        <v>3695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40836</v>
      </c>
      <c r="C196" s="30">
        <v>0.86610822666592668</v>
      </c>
      <c r="D196" s="30">
        <f>VLOOKUP(CurrentMtgRatesDataTable825[[#This Row],[asOfDate]],H:I,2,0)</f>
        <v>0.76889855223368597</v>
      </c>
      <c r="E196" s="30">
        <f>VLOOKUP(CurrentMtgRatesDataTable825[[#This Row],[asOfDate]],O:P,2,0)</f>
        <v>0</v>
      </c>
      <c r="F196" s="34">
        <f ca="1">VLOOKUP(CurrentMtgRatesDataTable825[[#This Row],[asOfDate]]+1,Bloomberg!B:C,2,0)</f>
        <v>3719.3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40829</v>
      </c>
      <c r="C197" s="30">
        <v>0.85855481757872876</v>
      </c>
      <c r="D197" s="30">
        <f>VLOOKUP(CurrentMtgRatesDataTable825[[#This Row],[asOfDate]],H:I,2,0)</f>
        <v>0.75043074974252599</v>
      </c>
      <c r="E197" s="30">
        <f>VLOOKUP(CurrentMtgRatesDataTable825[[#This Row],[asOfDate]],O:P,2,0)</f>
        <v>0</v>
      </c>
      <c r="F197" s="34">
        <f ca="1">VLOOKUP(CurrentMtgRatesDataTable825[[#This Row],[asOfDate]]+1,Bloomberg!B:C,2,0)</f>
        <v>3553.2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40822</v>
      </c>
      <c r="C198" s="30">
        <v>0.97239746277661943</v>
      </c>
      <c r="D198" s="30">
        <f>VLOOKUP(CurrentMtgRatesDataTable825[[#This Row],[asOfDate]],H:I,2,0)</f>
        <v>0.82324225699227804</v>
      </c>
      <c r="E198" s="30">
        <f>VLOOKUP(CurrentMtgRatesDataTable825[[#This Row],[asOfDate]],O:P,2,0)</f>
        <v>0.82194247765297301</v>
      </c>
      <c r="F198" s="34">
        <f ca="1">VLOOKUP(CurrentMtgRatesDataTable825[[#This Row],[asOfDate]]+1,Bloomberg!B:C,2,0)</f>
        <v>4251.1000000000004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40815</v>
      </c>
      <c r="C199" s="30">
        <v>0.94760091430176863</v>
      </c>
      <c r="D199" s="30">
        <f>VLOOKUP(CurrentMtgRatesDataTable825[[#This Row],[asOfDate]],H:I,2,0)</f>
        <v>0.83535228019697605</v>
      </c>
      <c r="E199" s="30">
        <f>VLOOKUP(CurrentMtgRatesDataTable825[[#This Row],[asOfDate]],O:P,2,0)</f>
        <v>0.83561176946303795</v>
      </c>
      <c r="F199" s="34">
        <f ca="1">VLOOKUP(CurrentMtgRatesDataTable825[[#This Row],[asOfDate]]+1,Bloomberg!B:C,2,0)</f>
        <v>4241.8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40808</v>
      </c>
      <c r="C200" s="30">
        <v>0.90530545432094578</v>
      </c>
      <c r="D200" s="30">
        <f>VLOOKUP(CurrentMtgRatesDataTable825[[#This Row],[asOfDate]],H:I,2,0)</f>
        <v>0.78804143101353397</v>
      </c>
      <c r="E200" s="30">
        <f>VLOOKUP(CurrentMtgRatesDataTable825[[#This Row],[asOfDate]],O:P,2,0)</f>
        <v>0</v>
      </c>
      <c r="F200" s="34">
        <f ca="1">VLOOKUP(CurrentMtgRatesDataTable825[[#This Row],[asOfDate]]+1,Bloomberg!B:C,2,0)</f>
        <v>4512.1000000000004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40801</v>
      </c>
      <c r="C201" s="30">
        <v>0.90530545432094578</v>
      </c>
      <c r="D201" s="30">
        <f>VLOOKUP(CurrentMtgRatesDataTable825[[#This Row],[asOfDate]],H:I,2,0)</f>
        <v>0.78804143101353397</v>
      </c>
      <c r="E201" s="30">
        <f>VLOOKUP(CurrentMtgRatesDataTable825[[#This Row],[asOfDate]],O:P,2,0)</f>
        <v>0.78833832359916201</v>
      </c>
      <c r="F201" s="34">
        <f ca="1">VLOOKUP(CurrentMtgRatesDataTable825[[#This Row],[asOfDate]]+1,Bloomberg!B:C,2,0)</f>
        <v>4033.8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40794</v>
      </c>
      <c r="C202" s="30">
        <v>0.88187964847597478</v>
      </c>
      <c r="D202" s="30">
        <f>VLOOKUP(CurrentMtgRatesDataTable825[[#This Row],[asOfDate]],H:I,2,0)</f>
        <v>0.78586619764471199</v>
      </c>
      <c r="E202" s="30">
        <f>VLOOKUP(CurrentMtgRatesDataTable825[[#This Row],[asOfDate]],O:P,2,0)</f>
        <v>0.786160649616369</v>
      </c>
      <c r="F202" s="34">
        <f ca="1">VLOOKUP(CurrentMtgRatesDataTable825[[#This Row],[asOfDate]]+1,Bloomberg!B:C,2,0)</f>
        <v>3571.7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40787</v>
      </c>
      <c r="C203" s="30">
        <v>0.84714025108084823</v>
      </c>
      <c r="D203" s="30">
        <f>VLOOKUP(CurrentMtgRatesDataTable825[[#This Row],[asOfDate]],H:I,2,0)</f>
        <v>0.72518805605942505</v>
      </c>
      <c r="E203" s="30">
        <f>VLOOKUP(CurrentMtgRatesDataTable825[[#This Row],[asOfDate]],O:P,2,0)</f>
        <v>0</v>
      </c>
      <c r="F203" s="34">
        <f ca="1">VLOOKUP(CurrentMtgRatesDataTable825[[#This Row],[asOfDate]]+1,Bloomberg!B:C,2,0)</f>
        <v>3372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40780</v>
      </c>
      <c r="C204" s="30">
        <v>0.85057469901096172</v>
      </c>
      <c r="D204" s="30">
        <f>VLOOKUP(CurrentMtgRatesDataTable825[[#This Row],[asOfDate]],H:I,2,0)</f>
        <v>0.73013076231760698</v>
      </c>
      <c r="E204" s="30">
        <f>VLOOKUP(CurrentMtgRatesDataTable825[[#This Row],[asOfDate]],O:P,2,0)</f>
        <v>0</v>
      </c>
      <c r="F204" s="34">
        <f ca="1">VLOOKUP(CurrentMtgRatesDataTable825[[#This Row],[asOfDate]]+1,Bloomberg!B:C,2,0)</f>
        <v>3601.3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40773</v>
      </c>
      <c r="C205" s="30">
        <v>0.86318334905076011</v>
      </c>
      <c r="D205" s="30">
        <f>VLOOKUP(CurrentMtgRatesDataTable825[[#This Row],[asOfDate]],H:I,2,0)</f>
        <v>0.76968967049094095</v>
      </c>
      <c r="E205" s="30">
        <f>VLOOKUP(CurrentMtgRatesDataTable825[[#This Row],[asOfDate]],O:P,2,0)</f>
        <v>0.76977670194978398</v>
      </c>
      <c r="F205" s="34">
        <f ca="1">VLOOKUP(CurrentMtgRatesDataTable825[[#This Row],[asOfDate]]+1,Bloomberg!B:C,2,0)</f>
        <v>4110.8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40766</v>
      </c>
      <c r="C206" s="30">
        <v>0.83807343208953389</v>
      </c>
      <c r="D206" s="30">
        <f>VLOOKUP(CurrentMtgRatesDataTable825[[#This Row],[asOfDate]],H:I,2,0)</f>
        <v>0.68796050816059295</v>
      </c>
      <c r="E206" s="30">
        <f>VLOOKUP(CurrentMtgRatesDataTable825[[#This Row],[asOfDate]],O:P,2,0)</f>
        <v>3.6312412114141997E-2</v>
      </c>
      <c r="F206" s="34">
        <f ca="1">VLOOKUP(CurrentMtgRatesDataTable825[[#This Row],[asOfDate]]+1,Bloomberg!B:C,2,0)</f>
        <v>4184.3999999999996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40759</v>
      </c>
      <c r="C207" s="30">
        <v>0.82222220988865746</v>
      </c>
      <c r="D207" s="30">
        <f>VLOOKUP(CurrentMtgRatesDataTable825[[#This Row],[asOfDate]],H:I,2,0)</f>
        <v>0.59636201439054404</v>
      </c>
      <c r="E207" s="30">
        <f>VLOOKUP(CurrentMtgRatesDataTable825[[#This Row],[asOfDate]],O:P,2,0)</f>
        <v>1.93393301571353E-2</v>
      </c>
      <c r="F207" s="34">
        <f ca="1">VLOOKUP(CurrentMtgRatesDataTable825[[#This Row],[asOfDate]]+1,Bloomberg!B:C,2,0)</f>
        <v>3880.9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40752</v>
      </c>
      <c r="C208" s="30">
        <v>0.62275368206073134</v>
      </c>
      <c r="D208" s="30">
        <f>VLOOKUP(CurrentMtgRatesDataTable825[[#This Row],[asOfDate]],H:I,2,0)</f>
        <v>0.52333294764067595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2974.1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40745</v>
      </c>
      <c r="C209" s="30">
        <v>0.67230326575429078</v>
      </c>
      <c r="D209" s="30">
        <f>VLOOKUP(CurrentMtgRatesDataTable825[[#This Row],[asOfDate]],H:I,2,0)</f>
        <v>0.53018048409344898</v>
      </c>
      <c r="E209" s="30">
        <f>VLOOKUP(CurrentMtgRatesDataTable825[[#This Row],[asOfDate]],O:P,2,0)</f>
        <v>0</v>
      </c>
      <c r="F209" s="34">
        <f ca="1">VLOOKUP(CurrentMtgRatesDataTable825[[#This Row],[asOfDate]]+1,Bloomberg!B:C,2,0)</f>
        <v>2769.6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40738</v>
      </c>
      <c r="C210" s="30">
        <v>0.69050447134038251</v>
      </c>
      <c r="D210" s="30">
        <f>VLOOKUP(CurrentMtgRatesDataTable825[[#This Row],[asOfDate]],H:I,2,0)</f>
        <v>0.55014388201104203</v>
      </c>
      <c r="E210" s="30">
        <f>VLOOKUP(CurrentMtgRatesDataTable825[[#This Row],[asOfDate]],O:P,2,0)</f>
        <v>6.2583851957797503E-4</v>
      </c>
      <c r="F210" s="34">
        <f ca="1">VLOOKUP(CurrentMtgRatesDataTable825[[#This Row],[asOfDate]]+1,Bloomberg!B:C,2,0)</f>
        <v>2923.8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40731</v>
      </c>
      <c r="C211" s="30">
        <v>0.61033542977678468</v>
      </c>
      <c r="D211" s="30">
        <f>VLOOKUP(CurrentMtgRatesDataTable825[[#This Row],[asOfDate]],H:I,2,0)</f>
        <v>0.49771283747510803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2362.6999999999998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40724</v>
      </c>
      <c r="C212" s="30">
        <v>0.6939569757734102</v>
      </c>
      <c r="D212" s="30">
        <f>VLOOKUP(CurrentMtgRatesDataTable825[[#This Row],[asOfDate]],H:I,2,0)</f>
        <v>0.55445082777023702</v>
      </c>
      <c r="E212" s="30">
        <f>VLOOKUP(CurrentMtgRatesDataTable825[[#This Row],[asOfDate]],O:P,2,0)</f>
        <v>0</v>
      </c>
      <c r="F212" s="34">
        <f ca="1">VLOOKUP(CurrentMtgRatesDataTable825[[#This Row],[asOfDate]]+1,Bloomberg!B:C,2,0)</f>
        <v>2527.5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40717</v>
      </c>
      <c r="C213" s="30">
        <v>0.66754333395655185</v>
      </c>
      <c r="D213" s="30">
        <f>VLOOKUP(CurrentMtgRatesDataTable825[[#This Row],[asOfDate]],H:I,2,0)</f>
        <v>0.53450860338875705</v>
      </c>
      <c r="E213" s="30">
        <f>VLOOKUP(CurrentMtgRatesDataTable825[[#This Row],[asOfDate]],O:P,2,0)</f>
        <v>0</v>
      </c>
      <c r="F213" s="34">
        <f ca="1">VLOOKUP(CurrentMtgRatesDataTable825[[#This Row],[asOfDate]]+1,Bloomberg!B:C,2,0)</f>
        <v>2809.5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40710</v>
      </c>
      <c r="C214" s="30">
        <v>0.72609301543362903</v>
      </c>
      <c r="D214" s="30">
        <f>VLOOKUP(CurrentMtgRatesDataTable825[[#This Row],[asOfDate]],H:I,2,0)</f>
        <v>0.55544034698333999</v>
      </c>
      <c r="E214" s="30">
        <f>VLOOKUP(CurrentMtgRatesDataTable825[[#This Row],[asOfDate]],O:P,2,0)</f>
        <v>0</v>
      </c>
      <c r="F214" s="34">
        <f ca="1">VLOOKUP(CurrentMtgRatesDataTable825[[#This Row],[asOfDate]]+1,Bloomberg!B:C,2,0)</f>
        <v>2857.9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40703</v>
      </c>
      <c r="C215" s="30">
        <v>0.74663166442725448</v>
      </c>
      <c r="D215" s="30">
        <f>VLOOKUP(CurrentMtgRatesDataTable825[[#This Row],[asOfDate]],H:I,2,0)</f>
        <v>0.55556126357331004</v>
      </c>
      <c r="E215" s="30">
        <f>VLOOKUP(CurrentMtgRatesDataTable825[[#This Row],[asOfDate]],O:P,2,0)</f>
        <v>1.05889699277147E-2</v>
      </c>
      <c r="F215" s="34">
        <f ca="1">VLOOKUP(CurrentMtgRatesDataTable825[[#This Row],[asOfDate]]+1,Bloomberg!B:C,2,0)</f>
        <v>3101.7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40696</v>
      </c>
      <c r="C216" s="30">
        <v>0.66754333395655185</v>
      </c>
      <c r="D216" s="30">
        <f>VLOOKUP(CurrentMtgRatesDataTable825[[#This Row],[asOfDate]],H:I,2,0)</f>
        <v>0.53450860338875705</v>
      </c>
      <c r="E216" s="30">
        <f>VLOOKUP(CurrentMtgRatesDataTable825[[#This Row],[asOfDate]],O:P,2,0)</f>
        <v>7.3340957383171597E-3</v>
      </c>
      <c r="F216" s="34">
        <f ca="1">VLOOKUP(CurrentMtgRatesDataTable825[[#This Row],[asOfDate]]+1,Bloomberg!B:C,2,0)</f>
        <v>2648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40689</v>
      </c>
      <c r="C217" s="30">
        <v>0.62123716526554651</v>
      </c>
      <c r="D217" s="30">
        <f>VLOOKUP(CurrentMtgRatesDataTable825[[#This Row],[asOfDate]],H:I,2,0)</f>
        <v>0.50568534347274297</v>
      </c>
      <c r="E217" s="30">
        <f>VLOOKUP(CurrentMtgRatesDataTable825[[#This Row],[asOfDate]],O:P,2,0)</f>
        <v>4.6547514757033599E-3</v>
      </c>
      <c r="F217" s="34">
        <f ca="1">VLOOKUP(CurrentMtgRatesDataTable825[[#This Row],[asOfDate]]+1,Bloomberg!B:C,2,0)</f>
        <v>2619.6999999999998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40682</v>
      </c>
      <c r="C218" s="30">
        <v>0.6180222680328239</v>
      </c>
      <c r="D218" s="30">
        <f>VLOOKUP(CurrentMtgRatesDataTable825[[#This Row],[asOfDate]],H:I,2,0)</f>
        <v>0.50447592982476996</v>
      </c>
      <c r="E218" s="30">
        <f>VLOOKUP(CurrentMtgRatesDataTable825[[#This Row],[asOfDate]],O:P,2,0)</f>
        <v>4.6431452038205798E-3</v>
      </c>
      <c r="F218" s="34">
        <f ca="1">VLOOKUP(CurrentMtgRatesDataTable825[[#This Row],[asOfDate]]+1,Bloomberg!B:C,2,0)</f>
        <v>2764.6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40675</v>
      </c>
      <c r="C219" s="30">
        <v>0.61208356800738151</v>
      </c>
      <c r="D219" s="30">
        <f>VLOOKUP(CurrentMtgRatesDataTable825[[#This Row],[asOfDate]],H:I,2,0)</f>
        <v>0.50042582297659</v>
      </c>
      <c r="E219" s="30">
        <f>VLOOKUP(CurrentMtgRatesDataTable825[[#This Row],[asOfDate]],O:P,2,0)</f>
        <v>4.5959167751793003E-3</v>
      </c>
      <c r="F219" s="34">
        <f ca="1">VLOOKUP(CurrentMtgRatesDataTable825[[#This Row],[asOfDate]]+1,Bloomberg!B:C,2,0)</f>
        <v>2742.2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40668</v>
      </c>
      <c r="C220" s="30">
        <v>0.59958841658177919</v>
      </c>
      <c r="D220" s="30">
        <f>VLOOKUP(CurrentMtgRatesDataTable825[[#This Row],[asOfDate]],H:I,2,0)</f>
        <v>0.45891120103405703</v>
      </c>
      <c r="E220" s="30">
        <f>VLOOKUP(CurrentMtgRatesDataTable825[[#This Row],[asOfDate]],O:P,2,0)</f>
        <v>1.82362980081562E-3</v>
      </c>
      <c r="F220" s="34">
        <f ca="1">VLOOKUP(CurrentMtgRatesDataTable825[[#This Row],[asOfDate]]+1,Bloomberg!B:C,2,0)</f>
        <v>2414.9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40661</v>
      </c>
      <c r="C221" s="30">
        <v>0.60103263205619939</v>
      </c>
      <c r="D221" s="30">
        <f>VLOOKUP(CurrentMtgRatesDataTable825[[#This Row],[asOfDate]],H:I,2,0)</f>
        <v>0.44565511936132601</v>
      </c>
      <c r="E221" s="30">
        <f>VLOOKUP(CurrentMtgRatesDataTable825[[#This Row],[asOfDate]],O:P,2,0)</f>
        <v>3.6290053539469699E-4</v>
      </c>
      <c r="F221" s="34">
        <f ca="1">VLOOKUP(CurrentMtgRatesDataTable825[[#This Row],[asOfDate]]+1,Bloomberg!B:C,2,0)</f>
        <v>2220.1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40654</v>
      </c>
      <c r="C222" s="30">
        <v>0.60029604092737399</v>
      </c>
      <c r="D222" s="30">
        <f>VLOOKUP(CurrentMtgRatesDataTable825[[#This Row],[asOfDate]],H:I,2,0)</f>
        <v>0.44381782258269298</v>
      </c>
      <c r="E222" s="30">
        <f>VLOOKUP(CurrentMtgRatesDataTable825[[#This Row],[asOfDate]],O:P,2,0)</f>
        <v>3.6012387911354998E-4</v>
      </c>
      <c r="F222" s="34">
        <f ca="1">VLOOKUP(CurrentMtgRatesDataTable825[[#This Row],[asOfDate]]+1,Bloomberg!B:C,2,0)</f>
        <v>2091.4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40647</v>
      </c>
      <c r="C223" s="30">
        <v>0.58845851438886132</v>
      </c>
      <c r="D223" s="30">
        <f>VLOOKUP(CurrentMtgRatesDataTable825[[#This Row],[asOfDate]],H:I,2,0)</f>
        <v>0.41340612440810998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2065.3000000000002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40640</v>
      </c>
      <c r="C224" s="30">
        <v>0.59224775585706535</v>
      </c>
      <c r="D224" s="30">
        <f>VLOOKUP(CurrentMtgRatesDataTable825[[#This Row],[asOfDate]],H:I,2,0)</f>
        <v>0.414778538159287</v>
      </c>
      <c r="E224" s="30">
        <f>VLOOKUP(CurrentMtgRatesDataTable825[[#This Row],[asOfDate]],O:P,2,0)</f>
        <v>0</v>
      </c>
      <c r="F224" s="34">
        <f ca="1">VLOOKUP(CurrentMtgRatesDataTable825[[#This Row],[asOfDate]]+1,Bloomberg!B:C,2,0)</f>
        <v>2010.6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40633</v>
      </c>
      <c r="C225" s="30">
        <v>0.604601625895822</v>
      </c>
      <c r="D225" s="30">
        <f>VLOOKUP(CurrentMtgRatesDataTable825[[#This Row],[asOfDate]],H:I,2,0)</f>
        <v>0.42282958858632702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2194.4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40626</v>
      </c>
      <c r="C226" s="30">
        <v>0.61074045486204243</v>
      </c>
      <c r="D226" s="30">
        <f>VLOOKUP(CurrentMtgRatesDataTable825[[#This Row],[asOfDate]],H:I,2,0)</f>
        <v>0.450158099668103</v>
      </c>
      <c r="E226" s="30">
        <f>VLOOKUP(CurrentMtgRatesDataTable825[[#This Row],[asOfDate]],O:P,2,0)</f>
        <v>0</v>
      </c>
      <c r="F226" s="34">
        <f ca="1">VLOOKUP(CurrentMtgRatesDataTable825[[#This Row],[asOfDate]]+1,Bloomberg!B:C,2,0)</f>
        <v>2350.6999999999998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40619</v>
      </c>
      <c r="C227" s="30">
        <v>0.61389489282556919</v>
      </c>
      <c r="D227" s="30">
        <f>VLOOKUP(CurrentMtgRatesDataTable825[[#This Row],[asOfDate]],H:I,2,0)</f>
        <v>0.46784663358763601</v>
      </c>
      <c r="E227" s="30">
        <f>VLOOKUP(CurrentMtgRatesDataTable825[[#This Row],[asOfDate]],O:P,2,0)</f>
        <v>4.9225242343752603E-4</v>
      </c>
      <c r="F227" s="34">
        <f ca="1">VLOOKUP(CurrentMtgRatesDataTable825[[#This Row],[asOfDate]]+1,Bloomberg!B:C,2,0)</f>
        <v>2620.8000000000002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40612</v>
      </c>
      <c r="C228" s="31">
        <v>0.60233041560273004</v>
      </c>
      <c r="D228" s="31">
        <f>VLOOKUP(CurrentMtgRatesDataTable825[[#This Row],[asOfDate]],H:I,2,0)</f>
        <v>0.42124985629360401</v>
      </c>
      <c r="E228" s="31">
        <f>VLOOKUP(CurrentMtgRatesDataTable825[[#This Row],[asOfDate]],O:P,2,0)</f>
        <v>0</v>
      </c>
      <c r="F228" s="35">
        <f ca="1">VLOOKUP(CurrentMtgRatesDataTable825[[#This Row],[asOfDate]]+1,Bloomberg!B:C,2,0)</f>
        <v>2563.6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40605</v>
      </c>
      <c r="C229" s="31">
        <v>0.6037352344540472</v>
      </c>
      <c r="D229" s="31">
        <f>VLOOKUP(CurrentMtgRatesDataTable825[[#This Row],[asOfDate]],H:I,2,0)</f>
        <v>0.42215163100202302</v>
      </c>
      <c r="E229" s="31">
        <f>VLOOKUP(CurrentMtgRatesDataTable825[[#This Row],[asOfDate]],O:P,2,0)</f>
        <v>0</v>
      </c>
      <c r="F229" s="35">
        <f ca="1">VLOOKUP(CurrentMtgRatesDataTable825[[#This Row],[asOfDate]]+1,Bloomberg!B:C,2,0)</f>
        <v>2539.4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40598</v>
      </c>
      <c r="C230" s="31">
        <v>0.58942459149155479</v>
      </c>
      <c r="D230" s="31">
        <f>VLOOKUP(CurrentMtgRatesDataTable825[[#This Row],[asOfDate]],H:I,2,0)</f>
        <v>0.41551493659156002</v>
      </c>
      <c r="E230" s="31">
        <f>VLOOKUP(CurrentMtgRatesDataTable825[[#This Row],[asOfDate]],O:P,2,0)</f>
        <v>0</v>
      </c>
      <c r="F230" s="35">
        <f ca="1">VLOOKUP(CurrentMtgRatesDataTable825[[#This Row],[asOfDate]]+1,Bloomberg!B:C,2,0)</f>
        <v>2155.5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40591</v>
      </c>
      <c r="C231" s="31">
        <v>0.54205032767488659</v>
      </c>
      <c r="D231" s="31">
        <f>VLOOKUP(CurrentMtgRatesDataTable825[[#This Row],[asOfDate]],H:I,2,0)</f>
        <v>0.37678804128174298</v>
      </c>
      <c r="E231" s="31">
        <f>VLOOKUP(CurrentMtgRatesDataTable825[[#This Row],[asOfDate]],O:P,2,0)</f>
        <v>0</v>
      </c>
      <c r="F231" s="35">
        <f ca="1">VLOOKUP(CurrentMtgRatesDataTable825[[#This Row],[asOfDate]]+1,Bloomberg!B:C,2,0)</f>
        <v>2325.3000000000002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40584</v>
      </c>
      <c r="C232" s="31">
        <v>0.52056927566475342</v>
      </c>
      <c r="D232" s="31">
        <f>VLOOKUP(CurrentMtgRatesDataTable825[[#This Row],[asOfDate]],H:I,2,0)</f>
        <v>0.35529176669040102</v>
      </c>
      <c r="E232" s="31">
        <f>VLOOKUP(CurrentMtgRatesDataTable825[[#This Row],[asOfDate]],O:P,2,0)</f>
        <v>0</v>
      </c>
      <c r="F232" s="35">
        <f ca="1">VLOOKUP(CurrentMtgRatesDataTable825[[#This Row],[asOfDate]]+1,Bloomberg!B:C,2,0)</f>
        <v>1953.2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40577</v>
      </c>
      <c r="C233" s="31">
        <v>0.61889055550431171</v>
      </c>
      <c r="D233" s="31">
        <f>VLOOKUP(CurrentMtgRatesDataTable825[[#This Row],[asOfDate]],H:I,2,0)</f>
        <v>0.43462013043084002</v>
      </c>
      <c r="E233" s="31">
        <f>VLOOKUP(CurrentMtgRatesDataTable825[[#This Row],[asOfDate]],O:P,2,0)</f>
        <v>0</v>
      </c>
      <c r="F233" s="35">
        <f ca="1">VLOOKUP(CurrentMtgRatesDataTable825[[#This Row],[asOfDate]]+1,Bloomberg!B:C,2,0)</f>
        <v>2190.4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64">
        <v>40570</v>
      </c>
      <c r="C234" s="65">
        <v>0.63857444674020136</v>
      </c>
      <c r="D234" s="65">
        <f>VLOOKUP(CurrentMtgRatesDataTable825[[#This Row],[asOfDate]],H:I,2,0)</f>
        <v>0.47679593730615699</v>
      </c>
      <c r="E234" s="65">
        <f>VLOOKUP(CurrentMtgRatesDataTable825[[#This Row],[asOfDate]],O:P,2,0)</f>
        <v>0</v>
      </c>
      <c r="F234" s="66">
        <f ca="1">VLOOKUP(CurrentMtgRatesDataTable825[[#This Row],[asOfDate]]+1,Bloomberg!B:C,2,0)</f>
        <v>2371.1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74">
        <v>40563</v>
      </c>
      <c r="C235" s="75">
        <v>0.64069519706314115</v>
      </c>
      <c r="D235" s="75">
        <f>VLOOKUP(CurrentMtgRatesDataTable825[[#This Row],[asOfDate]],H:I,2,0)</f>
        <v>0.48029569588235599</v>
      </c>
      <c r="E235" s="75">
        <f>VLOOKUP(CurrentMtgRatesDataTable825[[#This Row],[asOfDate]],O:P,2,0)</f>
        <v>0</v>
      </c>
      <c r="F235" s="76">
        <f ca="1">VLOOKUP(CurrentMtgRatesDataTable825[[#This Row],[asOfDate]]+1,Bloomberg!B:C,2,0)</f>
        <v>2129.6999999999998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77">
        <v>40556</v>
      </c>
      <c r="C236" s="78">
        <v>0.64288827641604773</v>
      </c>
      <c r="D236" s="78">
        <f>VLOOKUP(CurrentMtgRatesDataTable825[[#This Row],[asOfDate]],H:I,2,0)</f>
        <v>0.49650185657562101</v>
      </c>
      <c r="E236" s="78">
        <f>VLOOKUP(CurrentMtgRatesDataTable825[[#This Row],[asOfDate]],O:P,2,0)</f>
        <v>5.80030998251819E-5</v>
      </c>
      <c r="F236" s="79">
        <f ca="1">VLOOKUP(CurrentMtgRatesDataTable825[[#This Row],[asOfDate]]+1,Bloomberg!B:C,2,0)</f>
        <v>2528.6999999999998</v>
      </c>
      <c r="H236" s="28">
        <v>42180</v>
      </c>
      <c r="I236" s="32">
        <v>0.39696021691334338</v>
      </c>
      <c r="O236" s="28">
        <v>42180</v>
      </c>
      <c r="P236" s="32">
        <v>0</v>
      </c>
    </row>
    <row r="237" spans="2:16">
      <c r="B237" s="18">
        <v>40549</v>
      </c>
      <c r="C237" s="31">
        <v>0.63874575831359703</v>
      </c>
      <c r="D237" s="31">
        <f>VLOOKUP(CurrentMtgRatesDataTable825[[#This Row],[asOfDate]],H:I,2,0)</f>
        <v>0.477996028899563</v>
      </c>
      <c r="E237" s="31">
        <f>VLOOKUP(CurrentMtgRatesDataTable825[[#This Row],[asOfDate]],O:P,2,0)</f>
        <v>0</v>
      </c>
      <c r="F237" s="35">
        <f ca="1">VLOOKUP(CurrentMtgRatesDataTable825[[#This Row],[asOfDate]]+1,Bloomberg!B:C,2,0)</f>
        <v>2344.3000000000002</v>
      </c>
      <c r="H237" s="28">
        <v>42187</v>
      </c>
      <c r="I237" s="32">
        <v>0.39179509217736908</v>
      </c>
      <c r="O237" s="28">
        <v>42187</v>
      </c>
      <c r="P237" s="32">
        <v>0</v>
      </c>
    </row>
    <row r="238" spans="2:16">
      <c r="H238" s="28"/>
      <c r="I238" s="32"/>
      <c r="O238" s="28"/>
      <c r="P238" s="3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workbookViewId="0">
      <selection activeCell="B2" sqref="B2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72"/>
      <c r="L417" s="72"/>
      <c r="M417" s="73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8"/>
  <sheetViews>
    <sheetView workbookViewId="0">
      <selection activeCell="D37" sqref="D37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26</v>
      </c>
    </row>
    <row r="2" spans="1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1:16">
      <c r="B3" s="18">
        <v>42187</v>
      </c>
      <c r="C3" s="35">
        <v>3.98</v>
      </c>
      <c r="F3" s="31">
        <v>0.78739680159230041</v>
      </c>
      <c r="G3" s="31">
        <v>0.72194394188659283</v>
      </c>
      <c r="H3" s="31">
        <v>0.62942249098570757</v>
      </c>
      <c r="I3" s="31">
        <v>0.58852660422619796</v>
      </c>
      <c r="J3" s="31">
        <v>0.54490638220164611</v>
      </c>
      <c r="K3" s="31">
        <v>0.50886845958497351</v>
      </c>
      <c r="L3" s="31">
        <v>0.43793116814222482</v>
      </c>
      <c r="M3" s="31">
        <v>0.36611236549970821</v>
      </c>
      <c r="N3" s="31">
        <v>0.31543885679925637</v>
      </c>
      <c r="O3" s="31">
        <v>0.28314838405830683</v>
      </c>
      <c r="P3" s="31">
        <v>0.26235974776771248</v>
      </c>
    </row>
    <row r="5" spans="1:16">
      <c r="B5" s="18">
        <f>CurrentMtgRatesDataTable82523[AsOfDate]</f>
        <v>42187</v>
      </c>
      <c r="C5" s="6">
        <f>CurrentMtgRatesDataTable82523[SeriesNumValue]</f>
        <v>3.98</v>
      </c>
    </row>
    <row r="6" spans="1:16">
      <c r="F6" s="6" t="s">
        <v>27</v>
      </c>
    </row>
    <row r="7" spans="1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1:16">
      <c r="A8" s="6" t="s">
        <v>136</v>
      </c>
      <c r="B8" s="96" t="str">
        <f>TEXT(CurrentCloseDate,"yyyy-mm-dd")</f>
        <v>2015-07-07</v>
      </c>
      <c r="C8" s="6">
        <f>VLOOKUP(B8,'Current Coupon'!S:T,2,0)</f>
        <v>3.00985191194196</v>
      </c>
      <c r="F8" s="31">
        <v>0.7248139388783903</v>
      </c>
      <c r="G8" s="31">
        <v>0.65587583536614569</v>
      </c>
      <c r="H8" s="31">
        <v>0.61196729695509944</v>
      </c>
      <c r="I8" s="31">
        <v>0.54947037000480958</v>
      </c>
      <c r="J8" s="31">
        <v>0.48478831034476411</v>
      </c>
      <c r="K8" s="31">
        <v>0.45378295079705377</v>
      </c>
      <c r="L8" s="31">
        <v>0.39379483372057345</v>
      </c>
      <c r="M8" s="31">
        <v>0.3595721117739043</v>
      </c>
      <c r="N8" s="31">
        <v>0.3166359857254013</v>
      </c>
      <c r="O8" s="31">
        <v>0.26666030012206848</v>
      </c>
      <c r="P8" s="31">
        <v>0.24088325679945349</v>
      </c>
    </row>
    <row r="9" spans="1:16">
      <c r="A9" s="6" t="s">
        <v>96</v>
      </c>
      <c r="B9" s="6" t="str">
        <f>TEXT(B5-1,"yyyy-mm-dd")</f>
        <v>2015-07-01</v>
      </c>
      <c r="C9" s="6">
        <f>VLOOKUP(B9,'Current Coupon'!A:M,11,0)</f>
        <v>0.85212125647781578</v>
      </c>
    </row>
    <row r="10" spans="1:16">
      <c r="A10" s="6" t="s">
        <v>137</v>
      </c>
      <c r="C10" s="6">
        <f>C8+C9</f>
        <v>3.8619731684197758</v>
      </c>
      <c r="F10" s="6" t="s">
        <v>83</v>
      </c>
    </row>
    <row r="11" spans="1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1:16">
      <c r="F12" s="31">
        <v>0.23310054630335109</v>
      </c>
      <c r="G12" s="31">
        <v>0.20334858442040255</v>
      </c>
      <c r="H12" s="31">
        <v>4.4774026321930879E-3</v>
      </c>
      <c r="I12" s="31">
        <v>2.278771299489286E-3</v>
      </c>
      <c r="J12" s="31">
        <v>3.8804010869198557E-4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</row>
    <row r="15" spans="1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38">
        <f>ImpliedRate</f>
        <v>3.8619731684197758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1:16">
      <c r="E16" s="97" t="s">
        <v>28</v>
      </c>
      <c r="F16" s="98">
        <f>CurrentMtgRatesDataTable825234[refinancible1]</f>
        <v>0.78739680159230041</v>
      </c>
      <c r="G16" s="98">
        <f>CurrentMtgRatesDataTable825234[refinancible2]</f>
        <v>0.72194394188659283</v>
      </c>
      <c r="H16" s="98">
        <f>CurrentMtgRatesDataTable825234[refinancible3]</f>
        <v>0.62942249098570757</v>
      </c>
      <c r="I16" s="98">
        <f>CurrentMtgRatesDataTable825234[refinancible4]</f>
        <v>0.58852660422619796</v>
      </c>
      <c r="J16" s="98">
        <f>CurrentMtgRatesDataTable825234[refinancible5]</f>
        <v>0.54490638220164611</v>
      </c>
      <c r="K16" s="98">
        <f>CurrentMtgRatesDataTable825234[refinancible6]</f>
        <v>0.50886845958497351</v>
      </c>
      <c r="L16" s="98">
        <f>CurrentMtgRatesDataTable825234[refinancible7]</f>
        <v>0.43793116814222482</v>
      </c>
      <c r="M16" s="98">
        <f>CurrentMtgRatesDataTable825234[refinancible8]</f>
        <v>0.36611236549970821</v>
      </c>
      <c r="N16" s="98">
        <f>CurrentMtgRatesDataTable825234[refinancible9]</f>
        <v>0.31543885679925637</v>
      </c>
      <c r="O16" s="98">
        <f>CurrentMtgRatesDataTable825234[refinancible10]</f>
        <v>0.28314838405830683</v>
      </c>
      <c r="P16" s="98">
        <f>CurrentMtgRatesDataTable825234[refinancible11]</f>
        <v>0.26235974776771248</v>
      </c>
    </row>
    <row r="17" spans="5:16">
      <c r="E17" s="97" t="s">
        <v>25</v>
      </c>
      <c r="F17" s="98">
        <f>CurrentMtgRatesDataTable8252346[refinanceible1]</f>
        <v>0.7248139388783903</v>
      </c>
      <c r="G17" s="98">
        <f>CurrentMtgRatesDataTable8252346[refinanceible2]</f>
        <v>0.65587583536614569</v>
      </c>
      <c r="H17" s="98">
        <f>CurrentMtgRatesDataTable8252346[refinanceible3]</f>
        <v>0.61196729695509944</v>
      </c>
      <c r="I17" s="98">
        <f>CurrentMtgRatesDataTable8252346[refinanceible4]</f>
        <v>0.54947037000480958</v>
      </c>
      <c r="J17" s="98">
        <f>CurrentMtgRatesDataTable8252346[refinanceible5]</f>
        <v>0.48478831034476411</v>
      </c>
      <c r="K17" s="98">
        <f>CurrentMtgRatesDataTable8252346[refinanceible6]</f>
        <v>0.45378295079705377</v>
      </c>
      <c r="L17" s="98">
        <f>CurrentMtgRatesDataTable8252346[refinanceible7]</f>
        <v>0.39379483372057345</v>
      </c>
      <c r="M17" s="98">
        <f>CurrentMtgRatesDataTable8252346[refinanceible8]</f>
        <v>0.3595721117739043</v>
      </c>
      <c r="N17" s="98">
        <f>CurrentMtgRatesDataTable8252346[refinanceible9]</f>
        <v>0.3166359857254013</v>
      </c>
      <c r="O17" s="98">
        <f>CurrentMtgRatesDataTable8252346[refinanceible10]</f>
        <v>0.26666030012206848</v>
      </c>
      <c r="P17" s="98">
        <f>CurrentMtgRatesDataTable8252346[refinanceible11]</f>
        <v>0.24088325679945349</v>
      </c>
    </row>
    <row r="18" spans="5:16">
      <c r="E18" s="97" t="s">
        <v>82</v>
      </c>
      <c r="F18" s="98">
        <f>CurrentMtgRatesDataTable82523468[refinanceible1]</f>
        <v>0.23310054630335109</v>
      </c>
      <c r="G18" s="98">
        <f>CurrentMtgRatesDataTable82523468[refinanceible2]</f>
        <v>0.20334858442040255</v>
      </c>
      <c r="H18" s="98">
        <f>CurrentMtgRatesDataTable82523468[refinanceible3]</f>
        <v>4.4774026321930879E-3</v>
      </c>
      <c r="I18" s="98">
        <f>CurrentMtgRatesDataTable82523468[refinanceible4]</f>
        <v>2.278771299489286E-3</v>
      </c>
      <c r="J18" s="98">
        <f>CurrentMtgRatesDataTable82523468[refinanceible5]</f>
        <v>3.8804010869198557E-4</v>
      </c>
      <c r="K18" s="98">
        <f>CurrentMtgRatesDataTable82523468[refinanceible6]</f>
        <v>0</v>
      </c>
      <c r="L18" s="98">
        <f>CurrentMtgRatesDataTable82523468[refinanceible7]</f>
        <v>0</v>
      </c>
      <c r="M18" s="98">
        <f>CurrentMtgRatesDataTable82523468[refinanceible8]</f>
        <v>0</v>
      </c>
      <c r="N18" s="98">
        <f>CurrentMtgRatesDataTable82523468[refinanceible9]</f>
        <v>0</v>
      </c>
      <c r="O18" s="98">
        <f>CurrentMtgRatesDataTable82523468[refinanceible10]</f>
        <v>0</v>
      </c>
      <c r="P18" s="98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S5" sqref="S5"/>
    </sheetView>
  </sheetViews>
  <sheetFormatPr defaultRowHeight="12.75"/>
  <cols>
    <col min="1" max="1" width="16.7109375" style="90" customWidth="1"/>
    <col min="2" max="2" width="10.140625" style="90" bestFit="1" customWidth="1"/>
    <col min="3" max="6" width="10.140625" style="90" customWidth="1"/>
    <col min="7" max="7" width="14.140625" style="90" bestFit="1" customWidth="1"/>
    <col min="8" max="8" width="13.85546875" style="90" bestFit="1" customWidth="1"/>
    <col min="9" max="9" width="21.85546875" style="90" bestFit="1" customWidth="1"/>
    <col min="10" max="10" width="16.7109375" style="90" bestFit="1" customWidth="1"/>
    <col min="11" max="11" width="15.7109375" style="90" bestFit="1" customWidth="1"/>
    <col min="12" max="12" width="13.85546875" style="90" bestFit="1" customWidth="1"/>
    <col min="13" max="13" width="22" style="90" bestFit="1" customWidth="1"/>
    <col min="14" max="14" width="13.85546875" style="90" bestFit="1" customWidth="1"/>
    <col min="15" max="15" width="12.5703125" style="90" bestFit="1" customWidth="1"/>
    <col min="16" max="16" width="12" style="90" bestFit="1" customWidth="1"/>
    <col min="17" max="17" width="15.140625" style="90" bestFit="1" customWidth="1"/>
    <col min="18" max="18" width="15.140625" style="90" customWidth="1"/>
    <col min="19" max="19" width="14.140625" style="90" bestFit="1" customWidth="1"/>
    <col min="20" max="20" width="14.140625" style="90" customWidth="1"/>
    <col min="21" max="21" width="12" style="90" bestFit="1" customWidth="1"/>
    <col min="22" max="22" width="12" style="90" customWidth="1"/>
    <col min="23" max="23" width="12" style="90" bestFit="1" customWidth="1"/>
    <col min="24" max="24" width="16" style="90" bestFit="1" customWidth="1"/>
    <col min="25" max="25" width="14.7109375" style="90" bestFit="1" customWidth="1"/>
    <col min="26" max="26" width="16" style="90" bestFit="1" customWidth="1"/>
    <col min="27" max="27" width="17.5703125" style="90" bestFit="1" customWidth="1"/>
    <col min="28" max="28" width="12.140625" style="90" bestFit="1" customWidth="1"/>
    <col min="29" max="29" width="8.5703125" style="90" bestFit="1" customWidth="1"/>
    <col min="30" max="30" width="15.28515625" style="90" customWidth="1"/>
    <col min="31" max="31" width="11.7109375" style="90" bestFit="1" customWidth="1"/>
    <col min="32" max="32" width="10.28515625" style="90" bestFit="1" customWidth="1"/>
    <col min="33" max="33" width="12" style="90" bestFit="1" customWidth="1"/>
    <col min="34" max="34" width="14.42578125" style="90" customWidth="1"/>
    <col min="35" max="35" width="18.5703125" style="90" bestFit="1" customWidth="1"/>
    <col min="36" max="36" width="10.7109375" style="90" bestFit="1" customWidth="1"/>
    <col min="37" max="37" width="16.42578125" style="90" bestFit="1" customWidth="1"/>
    <col min="38" max="38" width="16.140625" style="90" bestFit="1" customWidth="1"/>
    <col min="39" max="39" width="14.42578125" style="90" customWidth="1"/>
    <col min="40" max="40" width="12.28515625" style="90" customWidth="1"/>
    <col min="41" max="16384" width="9.140625" style="90"/>
  </cols>
  <sheetData>
    <row r="3" spans="1:22" ht="23.25">
      <c r="A3" s="89" t="s">
        <v>130</v>
      </c>
      <c r="U3" s="89" t="s">
        <v>130</v>
      </c>
      <c r="V3" s="89"/>
    </row>
    <row r="4" spans="1:22" s="91" customFormat="1">
      <c r="A4" s="91" t="s">
        <v>36</v>
      </c>
      <c r="B4" s="91" t="s">
        <v>37</v>
      </c>
      <c r="C4" s="91" t="s">
        <v>89</v>
      </c>
      <c r="D4" s="91" t="s">
        <v>90</v>
      </c>
      <c r="E4" s="91" t="s">
        <v>91</v>
      </c>
      <c r="F4" s="91" t="s">
        <v>92</v>
      </c>
      <c r="G4" s="91" t="s">
        <v>93</v>
      </c>
      <c r="H4" s="91" t="s">
        <v>94</v>
      </c>
      <c r="I4" s="91" t="s">
        <v>95</v>
      </c>
      <c r="J4" s="91" t="s">
        <v>96</v>
      </c>
      <c r="K4" s="91" t="s">
        <v>97</v>
      </c>
      <c r="L4" s="91" t="s">
        <v>98</v>
      </c>
      <c r="M4" s="91" t="s">
        <v>99</v>
      </c>
      <c r="S4" s="91" t="s">
        <v>36</v>
      </c>
      <c r="T4" s="91" t="s">
        <v>37</v>
      </c>
      <c r="U4" s="91" t="s">
        <v>131</v>
      </c>
    </row>
    <row r="5" spans="1:22" s="94" customFormat="1">
      <c r="A5" s="92" t="s">
        <v>107</v>
      </c>
      <c r="B5" s="93">
        <v>2.8873082715202201</v>
      </c>
      <c r="C5" s="93">
        <v>3.77</v>
      </c>
      <c r="D5" s="94">
        <f t="shared" ref="D5:D27" si="0">WEEKDAY(A5,14)</f>
        <v>5</v>
      </c>
      <c r="E5" s="94">
        <f t="shared" ref="E5:E27" si="1">VLOOKUP(D5,P$5:Q$11,2,FALSE)</f>
        <v>0.2</v>
      </c>
      <c r="F5" s="94">
        <f t="shared" ref="F5:F27" si="2">IF(AND(D5&gt;D4,F4&lt;6),F4+1,1)</f>
        <v>1</v>
      </c>
      <c r="G5" s="94">
        <f t="shared" ref="G5:G27" si="3">IF(F5&gt;F4,G4+B5*E5,B5*E5)</f>
        <v>0.57746165430404406</v>
      </c>
      <c r="H5" s="94">
        <f t="shared" ref="H5:H27" si="4">IF(AND(F5&lt;6,F5&gt;F4),E5+H4,E5)</f>
        <v>0.2</v>
      </c>
      <c r="I5" s="94">
        <f t="shared" ref="I5:I27" si="5">IF(F5&gt;F6,G5/H5,0)</f>
        <v>0</v>
      </c>
      <c r="J5" s="93">
        <f>IF(CurrentMtgRatesDataTable811[[#This Row],[WA CC]]&lt;&gt;0,C4-CurrentMtgRatesDataTable811[[#This Row],[WA CC]],0)</f>
        <v>0</v>
      </c>
      <c r="K5" s="93" t="str">
        <f>IF(CurrentMtgRatesDataTable811[[#This Row],[Servicing Spread]]&lt;=0,K4,CurrentMtgRatesDataTable811[[#This Row],[Servicing Spread]])</f>
        <v>Servicing Spread Non-Zero</v>
      </c>
      <c r="L5" s="93" t="e">
        <f>CurrentMtgRatesDataTable811[[#This Row],[Servicing Spread Non-Zero]]-K4</f>
        <v>#VALUE!</v>
      </c>
      <c r="M5" s="93" t="e">
        <f>IF(I4&lt;&gt;0,CurrentMtgRatesDataTable811[[#This Row],[Rate]]-C4,M4)</f>
        <v>#VALUE!</v>
      </c>
      <c r="O5" s="94" t="s">
        <v>100</v>
      </c>
      <c r="P5" s="94">
        <v>5</v>
      </c>
      <c r="Q5" s="94">
        <v>0.2</v>
      </c>
      <c r="S5" s="92" t="s">
        <v>132</v>
      </c>
      <c r="T5" s="93">
        <v>3.1329453977786899</v>
      </c>
      <c r="U5" s="93" t="s">
        <v>133</v>
      </c>
    </row>
    <row r="6" spans="1:22" s="94" customFormat="1">
      <c r="A6" s="92" t="s">
        <v>108</v>
      </c>
      <c r="B6" s="6">
        <v>2.96123512742628</v>
      </c>
      <c r="C6" s="6">
        <v>3.77</v>
      </c>
      <c r="D6" s="94">
        <f t="shared" si="0"/>
        <v>6</v>
      </c>
      <c r="E6" s="94">
        <f t="shared" si="1"/>
        <v>0.2</v>
      </c>
      <c r="F6" s="94">
        <f t="shared" si="2"/>
        <v>2</v>
      </c>
      <c r="G6" s="94">
        <f t="shared" si="3"/>
        <v>1.1697086797892999</v>
      </c>
      <c r="H6" s="94">
        <f t="shared" si="4"/>
        <v>0.4</v>
      </c>
      <c r="I6" s="94">
        <f t="shared" si="5"/>
        <v>0</v>
      </c>
      <c r="J6" s="93">
        <f>IF(CurrentMtgRatesDataTable811[[#This Row],[WA CC]]&lt;&gt;0,C5-CurrentMtgRatesDataTable811[[#This Row],[WA CC]],0)</f>
        <v>0</v>
      </c>
      <c r="K6" s="93" t="str">
        <f>IF(CurrentMtgRatesDataTable811[[#This Row],[Servicing Spread]]&lt;=0,K5,CurrentMtgRatesDataTable811[[#This Row],[Servicing Spread]])</f>
        <v>Servicing Spread Non-Zero</v>
      </c>
      <c r="L6" s="93" t="e">
        <f>CurrentMtgRatesDataTable811[[#This Row],[Servicing Spread Non-Zero]]-K5</f>
        <v>#VALUE!</v>
      </c>
      <c r="M6" s="93" t="e">
        <f>IF(I5&lt;&gt;0,CurrentMtgRatesDataTable811[[#This Row],[Rate]]-C5,M5)</f>
        <v>#VALUE!</v>
      </c>
      <c r="O6" s="94" t="s">
        <v>101</v>
      </c>
      <c r="P6" s="94">
        <v>6</v>
      </c>
      <c r="Q6" s="94">
        <v>0.2</v>
      </c>
      <c r="S6" s="92" t="s">
        <v>134</v>
      </c>
      <c r="T6" s="6">
        <v>3.0409627195865201</v>
      </c>
      <c r="U6" s="6" t="s">
        <v>133</v>
      </c>
    </row>
    <row r="7" spans="1:22" s="94" customFormat="1">
      <c r="A7" s="92" t="s">
        <v>109</v>
      </c>
      <c r="B7" s="6">
        <v>3.0744144315737501</v>
      </c>
      <c r="C7" s="6">
        <v>3.77</v>
      </c>
      <c r="D7" s="94">
        <f t="shared" si="0"/>
        <v>7</v>
      </c>
      <c r="E7" s="94">
        <f t="shared" si="1"/>
        <v>0.2</v>
      </c>
      <c r="F7" s="94">
        <f t="shared" si="2"/>
        <v>3</v>
      </c>
      <c r="G7" s="94">
        <f t="shared" si="3"/>
        <v>1.7845915661040501</v>
      </c>
      <c r="H7" s="94">
        <f t="shared" si="4"/>
        <v>0.60000000000000009</v>
      </c>
      <c r="I7" s="94">
        <f t="shared" si="5"/>
        <v>2.9743192768400832</v>
      </c>
      <c r="J7" s="93">
        <f>IF(CurrentMtgRatesDataTable811[[#This Row],[WA CC]]&lt;&gt;0,C6-CurrentMtgRatesDataTable811[[#This Row],[WA CC]],0)</f>
        <v>0.79568072315991678</v>
      </c>
      <c r="K7" s="93">
        <f>IF(CurrentMtgRatesDataTable811[[#This Row],[Servicing Spread]]&lt;=0,K6,CurrentMtgRatesDataTable811[[#This Row],[Servicing Spread]])</f>
        <v>0.79568072315991678</v>
      </c>
      <c r="L7" s="93" t="e">
        <f>CurrentMtgRatesDataTable811[[#This Row],[Servicing Spread Non-Zero]]-K6</f>
        <v>#VALUE!</v>
      </c>
      <c r="M7" s="93" t="e">
        <f>IF(I6&lt;&gt;0,CurrentMtgRatesDataTable811[[#This Row],[Rate]]-C6,M6)</f>
        <v>#VALUE!</v>
      </c>
      <c r="O7" s="94" t="s">
        <v>102</v>
      </c>
      <c r="P7" s="94">
        <v>7</v>
      </c>
      <c r="Q7" s="94">
        <v>0.2</v>
      </c>
      <c r="S7" s="92" t="s">
        <v>135</v>
      </c>
      <c r="T7" s="6">
        <v>3.00985191194196</v>
      </c>
      <c r="U7" s="6" t="s">
        <v>133</v>
      </c>
    </row>
    <row r="8" spans="1:22" s="94" customFormat="1">
      <c r="A8" s="92" t="s">
        <v>110</v>
      </c>
      <c r="B8" s="6">
        <v>3.0256748636149999</v>
      </c>
      <c r="C8" s="6">
        <v>3.94</v>
      </c>
      <c r="D8" s="94">
        <f t="shared" si="0"/>
        <v>1</v>
      </c>
      <c r="E8" s="94">
        <f t="shared" si="1"/>
        <v>0.2</v>
      </c>
      <c r="F8" s="94">
        <f t="shared" si="2"/>
        <v>1</v>
      </c>
      <c r="G8" s="94">
        <f t="shared" si="3"/>
        <v>0.60513497272299999</v>
      </c>
      <c r="H8" s="94">
        <f t="shared" si="4"/>
        <v>0.2</v>
      </c>
      <c r="I8" s="94">
        <f t="shared" si="5"/>
        <v>0</v>
      </c>
      <c r="J8" s="93">
        <f>IF(CurrentMtgRatesDataTable811[[#This Row],[WA CC]]&lt;&gt;0,C7-CurrentMtgRatesDataTable811[[#This Row],[WA CC]],0)</f>
        <v>0</v>
      </c>
      <c r="K8" s="93">
        <f>IF(CurrentMtgRatesDataTable811[[#This Row],[Servicing Spread]]&lt;=0,K7,CurrentMtgRatesDataTable811[[#This Row],[Servicing Spread]])</f>
        <v>0.79568072315991678</v>
      </c>
      <c r="L8" s="93">
        <f>CurrentMtgRatesDataTable811[[#This Row],[Servicing Spread Non-Zero]]-K7</f>
        <v>0</v>
      </c>
      <c r="M8" s="93">
        <f>IF(I7&lt;&gt;0,CurrentMtgRatesDataTable811[[#This Row],[Rate]]-C7,M7)</f>
        <v>0.16999999999999993</v>
      </c>
      <c r="O8" s="94" t="s">
        <v>103</v>
      </c>
      <c r="P8" s="94">
        <v>1</v>
      </c>
      <c r="Q8" s="94">
        <v>0.2</v>
      </c>
    </row>
    <row r="9" spans="1:22" s="94" customFormat="1">
      <c r="A9" s="92" t="s">
        <v>111</v>
      </c>
      <c r="B9" s="6">
        <v>3.1185389251118698</v>
      </c>
      <c r="C9" s="6">
        <v>3.94</v>
      </c>
      <c r="D9" s="94">
        <f t="shared" si="0"/>
        <v>2</v>
      </c>
      <c r="E9" s="94">
        <f t="shared" si="1"/>
        <v>0.2</v>
      </c>
      <c r="F9" s="94">
        <f t="shared" si="2"/>
        <v>2</v>
      </c>
      <c r="G9" s="94">
        <f t="shared" si="3"/>
        <v>1.228842757745374</v>
      </c>
      <c r="H9" s="94">
        <f t="shared" si="4"/>
        <v>0.4</v>
      </c>
      <c r="I9" s="94">
        <f t="shared" si="5"/>
        <v>0</v>
      </c>
      <c r="J9" s="93">
        <f>IF(CurrentMtgRatesDataTable811[[#This Row],[WA CC]]&lt;&gt;0,C8-CurrentMtgRatesDataTable811[[#This Row],[WA CC]],0)</f>
        <v>0</v>
      </c>
      <c r="K9" s="93">
        <f>IF(CurrentMtgRatesDataTable811[[#This Row],[Servicing Spread]]&lt;=0,K8,CurrentMtgRatesDataTable811[[#This Row],[Servicing Spread]])</f>
        <v>0.79568072315991678</v>
      </c>
      <c r="L9" s="93">
        <f>CurrentMtgRatesDataTable811[[#This Row],[Servicing Spread Non-Zero]]-K8</f>
        <v>0</v>
      </c>
      <c r="M9" s="93">
        <f>IF(I8&lt;&gt;0,CurrentMtgRatesDataTable811[[#This Row],[Rate]]-C8,M8)</f>
        <v>0.16999999999999993</v>
      </c>
      <c r="O9" s="94" t="s">
        <v>104</v>
      </c>
      <c r="P9" s="94">
        <v>2</v>
      </c>
      <c r="Q9" s="94">
        <v>0.2</v>
      </c>
    </row>
    <row r="10" spans="1:22" s="94" customFormat="1">
      <c r="A10" s="92" t="s">
        <v>112</v>
      </c>
      <c r="B10" s="6">
        <v>3.0852280715370801</v>
      </c>
      <c r="C10" s="6">
        <v>3.94</v>
      </c>
      <c r="D10" s="94">
        <f t="shared" si="0"/>
        <v>5</v>
      </c>
      <c r="E10" s="94">
        <f t="shared" si="1"/>
        <v>0.2</v>
      </c>
      <c r="F10" s="94">
        <f t="shared" si="2"/>
        <v>3</v>
      </c>
      <c r="G10" s="94">
        <f t="shared" si="3"/>
        <v>1.8458883720527901</v>
      </c>
      <c r="H10" s="94">
        <f t="shared" si="4"/>
        <v>0.60000000000000009</v>
      </c>
      <c r="I10" s="94">
        <f t="shared" si="5"/>
        <v>0</v>
      </c>
      <c r="J10" s="93">
        <f>IF(CurrentMtgRatesDataTable811[[#This Row],[WA CC]]&lt;&gt;0,C9-CurrentMtgRatesDataTable811[[#This Row],[WA CC]],0)</f>
        <v>0</v>
      </c>
      <c r="K10" s="93">
        <f>IF(CurrentMtgRatesDataTable811[[#This Row],[Servicing Spread]]&lt;=0,K9,CurrentMtgRatesDataTable811[[#This Row],[Servicing Spread]])</f>
        <v>0.79568072315991678</v>
      </c>
      <c r="L10" s="93">
        <f>CurrentMtgRatesDataTable811[[#This Row],[Servicing Spread Non-Zero]]-K9</f>
        <v>0</v>
      </c>
      <c r="M10" s="93">
        <f>IF(I9&lt;&gt;0,CurrentMtgRatesDataTable811[[#This Row],[Rate]]-C9,M9)</f>
        <v>0.16999999999999993</v>
      </c>
      <c r="O10" s="94" t="s">
        <v>105</v>
      </c>
      <c r="P10" s="94">
        <v>3</v>
      </c>
      <c r="Q10" s="94">
        <v>0</v>
      </c>
    </row>
    <row r="11" spans="1:22" s="94" customFormat="1">
      <c r="A11" s="92" t="s">
        <v>113</v>
      </c>
      <c r="B11" s="6">
        <v>3.1292995796246399</v>
      </c>
      <c r="C11" s="6">
        <v>3.94</v>
      </c>
      <c r="D11" s="94">
        <f t="shared" si="0"/>
        <v>6</v>
      </c>
      <c r="E11" s="94">
        <f t="shared" si="1"/>
        <v>0.2</v>
      </c>
      <c r="F11" s="94">
        <f t="shared" si="2"/>
        <v>4</v>
      </c>
      <c r="G11" s="94">
        <f t="shared" si="3"/>
        <v>2.471748287977718</v>
      </c>
      <c r="H11" s="94">
        <f t="shared" si="4"/>
        <v>0.8</v>
      </c>
      <c r="I11" s="94">
        <f t="shared" si="5"/>
        <v>0</v>
      </c>
      <c r="J11" s="93">
        <f>IF(CurrentMtgRatesDataTable811[[#This Row],[WA CC]]&lt;&gt;0,C10-CurrentMtgRatesDataTable811[[#This Row],[WA CC]],0)</f>
        <v>0</v>
      </c>
      <c r="K11" s="93">
        <f>IF(CurrentMtgRatesDataTable811[[#This Row],[Servicing Spread]]&lt;=0,K10,CurrentMtgRatesDataTable811[[#This Row],[Servicing Spread]])</f>
        <v>0.79568072315991678</v>
      </c>
      <c r="L11" s="93">
        <f>CurrentMtgRatesDataTable811[[#This Row],[Servicing Spread Non-Zero]]-K10</f>
        <v>0</v>
      </c>
      <c r="M11" s="93">
        <f>IF(I10&lt;&gt;0,CurrentMtgRatesDataTable811[[#This Row],[Rate]]-C10,M10)</f>
        <v>0.16999999999999993</v>
      </c>
      <c r="O11" s="94" t="s">
        <v>106</v>
      </c>
      <c r="P11" s="94">
        <v>4</v>
      </c>
      <c r="Q11" s="94">
        <v>0</v>
      </c>
    </row>
    <row r="12" spans="1:22" s="94" customFormat="1">
      <c r="A12" s="92" t="s">
        <v>114</v>
      </c>
      <c r="B12" s="6">
        <v>3.1773446759928401</v>
      </c>
      <c r="C12" s="6">
        <v>3.94</v>
      </c>
      <c r="D12" s="94">
        <f t="shared" si="0"/>
        <v>7</v>
      </c>
      <c r="E12" s="94">
        <f t="shared" si="1"/>
        <v>0.2</v>
      </c>
      <c r="F12" s="94">
        <f t="shared" si="2"/>
        <v>5</v>
      </c>
      <c r="G12" s="94">
        <f t="shared" si="3"/>
        <v>3.1072172231762858</v>
      </c>
      <c r="H12" s="94">
        <f t="shared" si="4"/>
        <v>1</v>
      </c>
      <c r="I12" s="94">
        <f t="shared" si="5"/>
        <v>3.1072172231762858</v>
      </c>
      <c r="J12" s="93">
        <f>IF(CurrentMtgRatesDataTable811[[#This Row],[WA CC]]&lt;&gt;0,C11-CurrentMtgRatesDataTable811[[#This Row],[WA CC]],0)</f>
        <v>0.83278277682371415</v>
      </c>
      <c r="K12" s="93">
        <f>IF(CurrentMtgRatesDataTable811[[#This Row],[Servicing Spread]]&lt;=0,K11,CurrentMtgRatesDataTable811[[#This Row],[Servicing Spread]])</f>
        <v>0.83278277682371415</v>
      </c>
      <c r="L12" s="93">
        <f>CurrentMtgRatesDataTable811[[#This Row],[Servicing Spread Non-Zero]]-K11</f>
        <v>3.7102053663797374E-2</v>
      </c>
      <c r="M12" s="93">
        <f>IF(I11&lt;&gt;0,CurrentMtgRatesDataTable811[[#This Row],[Rate]]-C11,M11)</f>
        <v>0.16999999999999993</v>
      </c>
    </row>
    <row r="13" spans="1:22" s="94" customFormat="1">
      <c r="A13" s="92" t="s">
        <v>115</v>
      </c>
      <c r="B13" s="6">
        <v>3.0761153132050598</v>
      </c>
      <c r="C13" s="6">
        <v>3.9249999999999998</v>
      </c>
      <c r="D13" s="94">
        <f t="shared" si="0"/>
        <v>1</v>
      </c>
      <c r="E13" s="94">
        <f t="shared" si="1"/>
        <v>0.2</v>
      </c>
      <c r="F13" s="94">
        <f t="shared" si="2"/>
        <v>1</v>
      </c>
      <c r="G13" s="94">
        <f t="shared" si="3"/>
        <v>0.61522306264101201</v>
      </c>
      <c r="H13" s="94">
        <f t="shared" si="4"/>
        <v>0.2</v>
      </c>
      <c r="I13" s="94">
        <f t="shared" si="5"/>
        <v>0</v>
      </c>
      <c r="J13" s="93">
        <f>IF(CurrentMtgRatesDataTable811[[#This Row],[WA CC]]&lt;&gt;0,C12-CurrentMtgRatesDataTable811[[#This Row],[WA CC]],0)</f>
        <v>0</v>
      </c>
      <c r="K13" s="93">
        <f>IF(CurrentMtgRatesDataTable811[[#This Row],[Servicing Spread]]&lt;=0,K12,CurrentMtgRatesDataTable811[[#This Row],[Servicing Spread]])</f>
        <v>0.83278277682371415</v>
      </c>
      <c r="L13" s="93">
        <f>CurrentMtgRatesDataTable811[[#This Row],[Servicing Spread Non-Zero]]-K12</f>
        <v>0</v>
      </c>
      <c r="M13" s="93">
        <f>IF(I12&lt;&gt;0,CurrentMtgRatesDataTable811[[#This Row],[Rate]]-C12,M12)</f>
        <v>-1.5000000000000124E-2</v>
      </c>
    </row>
    <row r="14" spans="1:22" s="94" customFormat="1">
      <c r="A14" s="92" t="s">
        <v>116</v>
      </c>
      <c r="B14" s="6">
        <v>3.0919401279735599</v>
      </c>
      <c r="C14" s="6">
        <v>3.9249999999999998</v>
      </c>
      <c r="D14" s="94">
        <f t="shared" si="0"/>
        <v>2</v>
      </c>
      <c r="E14" s="94">
        <f t="shared" si="1"/>
        <v>0.2</v>
      </c>
      <c r="F14" s="94">
        <f t="shared" si="2"/>
        <v>2</v>
      </c>
      <c r="G14" s="94">
        <f t="shared" si="3"/>
        <v>1.2336110882357241</v>
      </c>
      <c r="H14" s="94">
        <f t="shared" si="4"/>
        <v>0.4</v>
      </c>
      <c r="I14" s="94">
        <f t="shared" si="5"/>
        <v>0</v>
      </c>
      <c r="J14" s="93">
        <f>IF(CurrentMtgRatesDataTable811[[#This Row],[WA CC]]&lt;&gt;0,C13-CurrentMtgRatesDataTable811[[#This Row],[WA CC]],0)</f>
        <v>0</v>
      </c>
      <c r="K14" s="93">
        <f>IF(CurrentMtgRatesDataTable811[[#This Row],[Servicing Spread]]&lt;=0,K13,CurrentMtgRatesDataTable811[[#This Row],[Servicing Spread]])</f>
        <v>0.83278277682371415</v>
      </c>
      <c r="L14" s="93">
        <f>CurrentMtgRatesDataTable811[[#This Row],[Servicing Spread Non-Zero]]-K13</f>
        <v>0</v>
      </c>
      <c r="M14" s="93">
        <f>IF(I13&lt;&gt;0,CurrentMtgRatesDataTable811[[#This Row],[Rate]]-C13,M13)</f>
        <v>-1.5000000000000124E-2</v>
      </c>
    </row>
    <row r="15" spans="1:22" s="94" customFormat="1">
      <c r="A15" s="92" t="s">
        <v>117</v>
      </c>
      <c r="B15" s="6">
        <v>3.0848485059502999</v>
      </c>
      <c r="C15" s="6">
        <v>3.9249999999999998</v>
      </c>
      <c r="D15" s="94">
        <f t="shared" si="0"/>
        <v>5</v>
      </c>
      <c r="E15" s="94">
        <f t="shared" si="1"/>
        <v>0.2</v>
      </c>
      <c r="F15" s="94">
        <f t="shared" si="2"/>
        <v>3</v>
      </c>
      <c r="G15" s="94">
        <f t="shared" si="3"/>
        <v>1.8505807894257842</v>
      </c>
      <c r="H15" s="94">
        <f t="shared" si="4"/>
        <v>0.60000000000000009</v>
      </c>
      <c r="I15" s="94">
        <f t="shared" si="5"/>
        <v>0</v>
      </c>
      <c r="J15" s="93">
        <f>IF(CurrentMtgRatesDataTable811[[#This Row],[WA CC]]&lt;&gt;0,C14-CurrentMtgRatesDataTable811[[#This Row],[WA CC]],0)</f>
        <v>0</v>
      </c>
      <c r="K15" s="93">
        <f>IF(CurrentMtgRatesDataTable811[[#This Row],[Servicing Spread]]&lt;=0,K14,CurrentMtgRatesDataTable811[[#This Row],[Servicing Spread]])</f>
        <v>0.83278277682371415</v>
      </c>
      <c r="L15" s="93">
        <f>CurrentMtgRatesDataTable811[[#This Row],[Servicing Spread Non-Zero]]-K14</f>
        <v>0</v>
      </c>
      <c r="M15" s="93">
        <f>IF(I14&lt;&gt;0,CurrentMtgRatesDataTable811[[#This Row],[Rate]]-C14,M14)</f>
        <v>-1.5000000000000124E-2</v>
      </c>
    </row>
    <row r="16" spans="1:22" s="94" customFormat="1">
      <c r="A16" s="92" t="s">
        <v>118</v>
      </c>
      <c r="B16" s="6">
        <v>3.0537402902567599</v>
      </c>
      <c r="C16" s="6">
        <v>3.9249999999999998</v>
      </c>
      <c r="D16" s="94">
        <f t="shared" si="0"/>
        <v>6</v>
      </c>
      <c r="E16" s="94">
        <f t="shared" si="1"/>
        <v>0.2</v>
      </c>
      <c r="F16" s="94">
        <f t="shared" si="2"/>
        <v>4</v>
      </c>
      <c r="G16" s="94">
        <f t="shared" si="3"/>
        <v>2.4613288474771364</v>
      </c>
      <c r="H16" s="94">
        <f t="shared" si="4"/>
        <v>0.8</v>
      </c>
      <c r="I16" s="94">
        <f t="shared" si="5"/>
        <v>0</v>
      </c>
      <c r="J16" s="93">
        <f>IF(CurrentMtgRatesDataTable811[[#This Row],[WA CC]]&lt;&gt;0,C15-CurrentMtgRatesDataTable811[[#This Row],[WA CC]],0)</f>
        <v>0</v>
      </c>
      <c r="K16" s="93">
        <f>IF(CurrentMtgRatesDataTable811[[#This Row],[Servicing Spread]]&lt;=0,K15,CurrentMtgRatesDataTable811[[#This Row],[Servicing Spread]])</f>
        <v>0.83278277682371415</v>
      </c>
      <c r="L16" s="93">
        <f>CurrentMtgRatesDataTable811[[#This Row],[Servicing Spread Non-Zero]]-K15</f>
        <v>0</v>
      </c>
      <c r="M16" s="93">
        <f>IF(I15&lt;&gt;0,CurrentMtgRatesDataTable811[[#This Row],[Rate]]-C15,M15)</f>
        <v>-1.5000000000000124E-2</v>
      </c>
    </row>
    <row r="17" spans="1:13" s="94" customFormat="1">
      <c r="A17" s="92" t="s">
        <v>119</v>
      </c>
      <c r="B17" s="6">
        <v>3.03216152423493</v>
      </c>
      <c r="C17" s="6">
        <v>3.9249999999999998</v>
      </c>
      <c r="D17" s="94">
        <f t="shared" si="0"/>
        <v>7</v>
      </c>
      <c r="E17" s="94">
        <f t="shared" si="1"/>
        <v>0.2</v>
      </c>
      <c r="F17" s="94">
        <f t="shared" si="2"/>
        <v>5</v>
      </c>
      <c r="G17" s="94">
        <f t="shared" si="3"/>
        <v>3.0677611523241226</v>
      </c>
      <c r="H17" s="94">
        <f t="shared" si="4"/>
        <v>1</v>
      </c>
      <c r="I17" s="94">
        <f t="shared" si="5"/>
        <v>3.0677611523241226</v>
      </c>
      <c r="J17" s="93">
        <f>IF(CurrentMtgRatesDataTable811[[#This Row],[WA CC]]&lt;&gt;0,C16-CurrentMtgRatesDataTable811[[#This Row],[WA CC]],0)</f>
        <v>0.85723884767587721</v>
      </c>
      <c r="K17" s="93">
        <f>IF(CurrentMtgRatesDataTable811[[#This Row],[Servicing Spread]]&lt;=0,K16,CurrentMtgRatesDataTable811[[#This Row],[Servicing Spread]])</f>
        <v>0.85723884767587721</v>
      </c>
      <c r="L17" s="93">
        <f>CurrentMtgRatesDataTable811[[#This Row],[Servicing Spread Non-Zero]]-K16</f>
        <v>2.4456070852163059E-2</v>
      </c>
      <c r="M17" s="93">
        <f>IF(I16&lt;&gt;0,CurrentMtgRatesDataTable811[[#This Row],[Rate]]-C16,M16)</f>
        <v>-1.5000000000000124E-2</v>
      </c>
    </row>
    <row r="18" spans="1:13" s="94" customFormat="1">
      <c r="A18" s="92" t="s">
        <v>120</v>
      </c>
      <c r="B18" s="6">
        <v>3.0468019127231698</v>
      </c>
      <c r="C18" s="6">
        <v>3.9449999999999994</v>
      </c>
      <c r="D18" s="94">
        <f t="shared" si="0"/>
        <v>1</v>
      </c>
      <c r="E18" s="94">
        <f t="shared" si="1"/>
        <v>0.2</v>
      </c>
      <c r="F18" s="94">
        <f t="shared" si="2"/>
        <v>1</v>
      </c>
      <c r="G18" s="94">
        <f t="shared" si="3"/>
        <v>0.60936038254463398</v>
      </c>
      <c r="H18" s="94">
        <f t="shared" si="4"/>
        <v>0.2</v>
      </c>
      <c r="I18" s="94">
        <f t="shared" si="5"/>
        <v>0</v>
      </c>
      <c r="J18" s="93">
        <f>IF(CurrentMtgRatesDataTable811[[#This Row],[WA CC]]&lt;&gt;0,C17-CurrentMtgRatesDataTable811[[#This Row],[WA CC]],0)</f>
        <v>0</v>
      </c>
      <c r="K18" s="93">
        <f>IF(CurrentMtgRatesDataTable811[[#This Row],[Servicing Spread]]&lt;=0,K17,CurrentMtgRatesDataTable811[[#This Row],[Servicing Spread]])</f>
        <v>0.85723884767587721</v>
      </c>
      <c r="L18" s="93">
        <f>CurrentMtgRatesDataTable811[[#This Row],[Servicing Spread Non-Zero]]-K17</f>
        <v>0</v>
      </c>
      <c r="M18" s="93">
        <f>IF(I17&lt;&gt;0,CurrentMtgRatesDataTable811[[#This Row],[Rate]]-C17,M17)</f>
        <v>1.9999999999999574E-2</v>
      </c>
    </row>
    <row r="19" spans="1:13" s="94" customFormat="1">
      <c r="A19" s="92" t="s">
        <v>121</v>
      </c>
      <c r="B19" s="6">
        <v>2.9822174038917302</v>
      </c>
      <c r="C19" s="6">
        <v>3.9449999999999994</v>
      </c>
      <c r="D19" s="94">
        <f t="shared" si="0"/>
        <v>2</v>
      </c>
      <c r="E19" s="94">
        <f t="shared" si="1"/>
        <v>0.2</v>
      </c>
      <c r="F19" s="94">
        <f t="shared" si="2"/>
        <v>2</v>
      </c>
      <c r="G19" s="94">
        <f t="shared" si="3"/>
        <v>1.2058038633229802</v>
      </c>
      <c r="H19" s="94">
        <f t="shared" si="4"/>
        <v>0.4</v>
      </c>
      <c r="I19" s="94">
        <f t="shared" si="5"/>
        <v>0</v>
      </c>
      <c r="J19" s="93">
        <f>IF(CurrentMtgRatesDataTable811[[#This Row],[WA CC]]&lt;&gt;0,C18-CurrentMtgRatesDataTable811[[#This Row],[WA CC]],0)</f>
        <v>0</v>
      </c>
      <c r="K19" s="93">
        <f>IF(CurrentMtgRatesDataTable811[[#This Row],[Servicing Spread]]&lt;=0,K18,CurrentMtgRatesDataTable811[[#This Row],[Servicing Spread]])</f>
        <v>0.85723884767587721</v>
      </c>
      <c r="L19" s="93">
        <f>CurrentMtgRatesDataTable811[[#This Row],[Servicing Spread Non-Zero]]-K18</f>
        <v>0</v>
      </c>
      <c r="M19" s="93">
        <f>IF(I18&lt;&gt;0,CurrentMtgRatesDataTable811[[#This Row],[Rate]]-C18,M18)</f>
        <v>1.9999999999999574E-2</v>
      </c>
    </row>
    <row r="20" spans="1:13" s="94" customFormat="1">
      <c r="A20" s="92" t="s">
        <v>122</v>
      </c>
      <c r="B20" s="6">
        <v>3.0761568887156101</v>
      </c>
      <c r="C20" s="6">
        <v>3.9449999999999994</v>
      </c>
      <c r="D20" s="94">
        <f t="shared" si="0"/>
        <v>5</v>
      </c>
      <c r="E20" s="94">
        <f t="shared" si="1"/>
        <v>0.2</v>
      </c>
      <c r="F20" s="94">
        <f t="shared" si="2"/>
        <v>3</v>
      </c>
      <c r="G20" s="94">
        <f t="shared" si="3"/>
        <v>1.8210352410661024</v>
      </c>
      <c r="H20" s="94">
        <f t="shared" si="4"/>
        <v>0.60000000000000009</v>
      </c>
      <c r="I20" s="94">
        <f t="shared" si="5"/>
        <v>0</v>
      </c>
      <c r="J20" s="93">
        <f>IF(CurrentMtgRatesDataTable811[[#This Row],[WA CC]]&lt;&gt;0,C19-CurrentMtgRatesDataTable811[[#This Row],[WA CC]],0)</f>
        <v>0</v>
      </c>
      <c r="K20" s="93">
        <f>IF(CurrentMtgRatesDataTable811[[#This Row],[Servicing Spread]]&lt;=0,K19,CurrentMtgRatesDataTable811[[#This Row],[Servicing Spread]])</f>
        <v>0.85723884767587721</v>
      </c>
      <c r="L20" s="93">
        <f>CurrentMtgRatesDataTable811[[#This Row],[Servicing Spread Non-Zero]]-K19</f>
        <v>0</v>
      </c>
      <c r="M20" s="93">
        <f>IF(I19&lt;&gt;0,CurrentMtgRatesDataTable811[[#This Row],[Rate]]-C19,M19)</f>
        <v>1.9999999999999574E-2</v>
      </c>
    </row>
    <row r="21" spans="1:13" s="94" customFormat="1">
      <c r="A21" s="92" t="s">
        <v>123</v>
      </c>
      <c r="B21" s="6">
        <v>3.1219045210798799</v>
      </c>
      <c r="C21" s="6">
        <v>3.9449999999999994</v>
      </c>
      <c r="D21" s="94">
        <f t="shared" si="0"/>
        <v>6</v>
      </c>
      <c r="E21" s="94">
        <f t="shared" si="1"/>
        <v>0.2</v>
      </c>
      <c r="F21" s="94">
        <f t="shared" si="2"/>
        <v>4</v>
      </c>
      <c r="G21" s="94">
        <f t="shared" si="3"/>
        <v>2.4454161452820786</v>
      </c>
      <c r="H21" s="94">
        <f t="shared" si="4"/>
        <v>0.8</v>
      </c>
      <c r="I21" s="94">
        <f t="shared" si="5"/>
        <v>0</v>
      </c>
      <c r="J21" s="93">
        <f>IF(CurrentMtgRatesDataTable811[[#This Row],[WA CC]]&lt;&gt;0,C20-CurrentMtgRatesDataTable811[[#This Row],[WA CC]],0)</f>
        <v>0</v>
      </c>
      <c r="K21" s="93">
        <f>IF(CurrentMtgRatesDataTable811[[#This Row],[Servicing Spread]]&lt;=0,K20,CurrentMtgRatesDataTable811[[#This Row],[Servicing Spread]])</f>
        <v>0.85723884767587721</v>
      </c>
      <c r="L21" s="93">
        <f>CurrentMtgRatesDataTable811[[#This Row],[Servicing Spread Non-Zero]]-K20</f>
        <v>0</v>
      </c>
      <c r="M21" s="93">
        <f>IF(I20&lt;&gt;0,CurrentMtgRatesDataTable811[[#This Row],[Rate]]-C20,M20)</f>
        <v>1.9999999999999574E-2</v>
      </c>
    </row>
    <row r="22" spans="1:13" s="94" customFormat="1">
      <c r="A22" s="92" t="s">
        <v>124</v>
      </c>
      <c r="B22" s="6">
        <v>3.0912606104251101</v>
      </c>
      <c r="C22" s="6">
        <v>3.9449999999999994</v>
      </c>
      <c r="D22" s="94">
        <f t="shared" si="0"/>
        <v>7</v>
      </c>
      <c r="E22" s="94">
        <f t="shared" si="1"/>
        <v>0.2</v>
      </c>
      <c r="F22" s="94">
        <f t="shared" si="2"/>
        <v>5</v>
      </c>
      <c r="G22" s="94">
        <f t="shared" si="3"/>
        <v>3.0636682673671007</v>
      </c>
      <c r="H22" s="94">
        <f t="shared" si="4"/>
        <v>1</v>
      </c>
      <c r="I22" s="94">
        <f t="shared" si="5"/>
        <v>3.0636682673671007</v>
      </c>
      <c r="J22" s="93">
        <f>IF(CurrentMtgRatesDataTable811[[#This Row],[WA CC]]&lt;&gt;0,C21-CurrentMtgRatesDataTable811[[#This Row],[WA CC]],0)</f>
        <v>0.88133173263289866</v>
      </c>
      <c r="K22" s="93">
        <f>IF(CurrentMtgRatesDataTable811[[#This Row],[Servicing Spread]]&lt;=0,K21,CurrentMtgRatesDataTable811[[#This Row],[Servicing Spread]])</f>
        <v>0.88133173263289866</v>
      </c>
      <c r="L22" s="93">
        <f>CurrentMtgRatesDataTable811[[#This Row],[Servicing Spread Non-Zero]]-K21</f>
        <v>2.4092884957021443E-2</v>
      </c>
      <c r="M22" s="93">
        <f>IF(I21&lt;&gt;0,CurrentMtgRatesDataTable811[[#This Row],[Rate]]-C21,M21)</f>
        <v>1.9999999999999574E-2</v>
      </c>
    </row>
    <row r="23" spans="1:13" s="94" customFormat="1">
      <c r="A23" s="92" t="s">
        <v>125</v>
      </c>
      <c r="B23" s="6">
        <v>3.1158923075545402</v>
      </c>
      <c r="C23" s="6">
        <v>3.98</v>
      </c>
      <c r="D23" s="94">
        <f t="shared" si="0"/>
        <v>1</v>
      </c>
      <c r="E23" s="94">
        <f t="shared" si="1"/>
        <v>0.2</v>
      </c>
      <c r="F23" s="94">
        <f t="shared" si="2"/>
        <v>1</v>
      </c>
      <c r="G23" s="94">
        <f t="shared" si="3"/>
        <v>0.62317846151090805</v>
      </c>
      <c r="H23" s="94">
        <f t="shared" si="4"/>
        <v>0.2</v>
      </c>
      <c r="I23" s="94">
        <f t="shared" si="5"/>
        <v>0</v>
      </c>
      <c r="J23" s="93">
        <f>IF(CurrentMtgRatesDataTable811[[#This Row],[WA CC]]&lt;&gt;0,C22-CurrentMtgRatesDataTable811[[#This Row],[WA CC]],0)</f>
        <v>0</v>
      </c>
      <c r="K23" s="93">
        <f>IF(CurrentMtgRatesDataTable811[[#This Row],[Servicing Spread]]&lt;=0,K22,CurrentMtgRatesDataTable811[[#This Row],[Servicing Spread]])</f>
        <v>0.88133173263289866</v>
      </c>
      <c r="L23" s="93">
        <f>CurrentMtgRatesDataTable811[[#This Row],[Servicing Spread Non-Zero]]-K22</f>
        <v>0</v>
      </c>
      <c r="M23" s="93">
        <f>IF(I22&lt;&gt;0,CurrentMtgRatesDataTable811[[#This Row],[Rate]]-C22,M22)</f>
        <v>3.5000000000000586E-2</v>
      </c>
    </row>
    <row r="24" spans="1:13" s="94" customFormat="1">
      <c r="A24" s="92" t="s">
        <v>126</v>
      </c>
      <c r="B24" s="6">
        <v>3.2022687944333499</v>
      </c>
      <c r="C24" s="6">
        <v>3.98</v>
      </c>
      <c r="D24" s="94">
        <f t="shared" si="0"/>
        <v>2</v>
      </c>
      <c r="E24" s="94">
        <f t="shared" si="1"/>
        <v>0.2</v>
      </c>
      <c r="F24" s="94">
        <f t="shared" si="2"/>
        <v>2</v>
      </c>
      <c r="G24" s="94">
        <f t="shared" si="3"/>
        <v>1.2636322203975781</v>
      </c>
      <c r="H24" s="94">
        <f t="shared" si="4"/>
        <v>0.4</v>
      </c>
      <c r="I24" s="94">
        <f t="shared" si="5"/>
        <v>0</v>
      </c>
      <c r="J24" s="93">
        <f>IF(CurrentMtgRatesDataTable811[[#This Row],[WA CC]]&lt;&gt;0,C23-CurrentMtgRatesDataTable811[[#This Row],[WA CC]],0)</f>
        <v>0</v>
      </c>
      <c r="K24" s="93">
        <f>IF(CurrentMtgRatesDataTable811[[#This Row],[Servicing Spread]]&lt;=0,K23,CurrentMtgRatesDataTable811[[#This Row],[Servicing Spread]])</f>
        <v>0.88133173263289866</v>
      </c>
      <c r="L24" s="93">
        <f>CurrentMtgRatesDataTable811[[#This Row],[Servicing Spread Non-Zero]]-K23</f>
        <v>0</v>
      </c>
      <c r="M24" s="93">
        <f>IF(I23&lt;&gt;0,CurrentMtgRatesDataTable811[[#This Row],[Rate]]-C23,M23)</f>
        <v>3.5000000000000586E-2</v>
      </c>
    </row>
    <row r="25" spans="1:13" s="94" customFormat="1">
      <c r="A25" s="92" t="s">
        <v>127</v>
      </c>
      <c r="B25" s="6">
        <v>3.0851869199683102</v>
      </c>
      <c r="C25" s="6">
        <v>3.98</v>
      </c>
      <c r="D25" s="94">
        <f t="shared" si="0"/>
        <v>5</v>
      </c>
      <c r="E25" s="94">
        <f t="shared" si="1"/>
        <v>0.2</v>
      </c>
      <c r="F25" s="94">
        <f t="shared" si="2"/>
        <v>3</v>
      </c>
      <c r="G25" s="94">
        <f t="shared" si="3"/>
        <v>1.8806696043912401</v>
      </c>
      <c r="H25" s="94">
        <f t="shared" si="4"/>
        <v>0.60000000000000009</v>
      </c>
      <c r="I25" s="94">
        <f t="shared" si="5"/>
        <v>0</v>
      </c>
      <c r="J25" s="93">
        <f>IF(CurrentMtgRatesDataTable811[[#This Row],[WA CC]]&lt;&gt;0,C24-CurrentMtgRatesDataTable811[[#This Row],[WA CC]],0)</f>
        <v>0</v>
      </c>
      <c r="K25" s="93">
        <f>IF(CurrentMtgRatesDataTable811[[#This Row],[Servicing Spread]]&lt;=0,K24,CurrentMtgRatesDataTable811[[#This Row],[Servicing Spread]])</f>
        <v>0.88133173263289866</v>
      </c>
      <c r="L25" s="93">
        <f>CurrentMtgRatesDataTable811[[#This Row],[Servicing Spread Non-Zero]]-K24</f>
        <v>0</v>
      </c>
      <c r="M25" s="93">
        <f>IF(I24&lt;&gt;0,CurrentMtgRatesDataTable811[[#This Row],[Rate]]-C24,M24)</f>
        <v>3.5000000000000586E-2</v>
      </c>
    </row>
    <row r="26" spans="1:13" s="94" customFormat="1">
      <c r="A26" s="92" t="s">
        <v>128</v>
      </c>
      <c r="B26" s="6">
        <v>3.0732804432921599</v>
      </c>
      <c r="C26" s="6">
        <v>3.98</v>
      </c>
      <c r="D26" s="94">
        <f t="shared" si="0"/>
        <v>6</v>
      </c>
      <c r="E26" s="94">
        <f t="shared" si="1"/>
        <v>0.2</v>
      </c>
      <c r="F26" s="94">
        <f t="shared" si="2"/>
        <v>4</v>
      </c>
      <c r="G26" s="94">
        <f t="shared" si="3"/>
        <v>2.4953256930496721</v>
      </c>
      <c r="H26" s="94">
        <f t="shared" si="4"/>
        <v>0.8</v>
      </c>
      <c r="I26" s="94">
        <f t="shared" si="5"/>
        <v>0</v>
      </c>
      <c r="J26" s="93">
        <f>IF(CurrentMtgRatesDataTable811[[#This Row],[WA CC]]&lt;&gt;0,C25-CurrentMtgRatesDataTable811[[#This Row],[WA CC]],0)</f>
        <v>0</v>
      </c>
      <c r="K26" s="93">
        <f>IF(CurrentMtgRatesDataTable811[[#This Row],[Servicing Spread]]&lt;=0,K25,CurrentMtgRatesDataTable811[[#This Row],[Servicing Spread]])</f>
        <v>0.88133173263289866</v>
      </c>
      <c r="L26" s="93">
        <f>CurrentMtgRatesDataTable811[[#This Row],[Servicing Spread Non-Zero]]-K25</f>
        <v>0</v>
      </c>
      <c r="M26" s="93">
        <f>IF(I25&lt;&gt;0,CurrentMtgRatesDataTable811[[#This Row],[Rate]]-C25,M25)</f>
        <v>3.5000000000000586E-2</v>
      </c>
    </row>
    <row r="27" spans="1:13" s="94" customFormat="1">
      <c r="A27" s="92" t="s">
        <v>129</v>
      </c>
      <c r="B27" s="6">
        <v>3.16276525236256</v>
      </c>
      <c r="C27" s="6">
        <v>3.98</v>
      </c>
      <c r="D27" s="94">
        <f t="shared" si="0"/>
        <v>7</v>
      </c>
      <c r="E27" s="94">
        <f t="shared" si="1"/>
        <v>0.2</v>
      </c>
      <c r="F27" s="94">
        <f t="shared" si="2"/>
        <v>5</v>
      </c>
      <c r="G27" s="94">
        <f t="shared" si="3"/>
        <v>3.1278787435221842</v>
      </c>
      <c r="H27" s="94">
        <f t="shared" si="4"/>
        <v>1</v>
      </c>
      <c r="I27" s="94">
        <f t="shared" si="5"/>
        <v>3.1278787435221842</v>
      </c>
      <c r="J27" s="93">
        <f>IF(CurrentMtgRatesDataTable811[[#This Row],[WA CC]]&lt;&gt;0,C26-CurrentMtgRatesDataTable811[[#This Row],[WA CC]],0)</f>
        <v>0.85212125647781578</v>
      </c>
      <c r="K27" s="93">
        <f>IF(CurrentMtgRatesDataTable811[[#This Row],[Servicing Spread]]&lt;=0,K26,CurrentMtgRatesDataTable811[[#This Row],[Servicing Spread]])</f>
        <v>0.85212125647781578</v>
      </c>
      <c r="L27" s="93">
        <f>CurrentMtgRatesDataTable811[[#This Row],[Servicing Spread Non-Zero]]-K26</f>
        <v>-2.9210476155082876E-2</v>
      </c>
      <c r="M27" s="93">
        <f>IF(I26&lt;&gt;0,CurrentMtgRatesDataTable811[[#This Row],[Rate]]-C26,M26)</f>
        <v>3.5000000000000586E-2</v>
      </c>
    </row>
    <row r="28" spans="1:13" s="94" customForma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</row>
    <row r="29" spans="1:13" s="94" customForma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</row>
    <row r="30" spans="1:13" s="94" customForma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</row>
    <row r="31" spans="1:13" s="94" customForma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</row>
    <row r="32" spans="1:13" s="94" customFormat="1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</row>
    <row r="33" spans="1:22" s="94" customFormat="1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</row>
    <row r="34" spans="1:22" s="94" customFormat="1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</row>
    <row r="35" spans="1:22" s="94" customFormat="1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</row>
    <row r="36" spans="1:22" s="94" customFormat="1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</row>
    <row r="37" spans="1:22" s="94" customFormat="1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</row>
    <row r="38" spans="1:22" s="94" customFormat="1">
      <c r="A38" s="90"/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</row>
    <row r="39" spans="1:22" s="94" customFormat="1">
      <c r="A39" s="90"/>
      <c r="B39" s="90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</row>
    <row r="40" spans="1:22" s="94" customFormat="1">
      <c r="A40" s="90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</row>
    <row r="41" spans="1:22" s="94" customFormat="1">
      <c r="A41" s="90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</row>
    <row r="42" spans="1:22" s="94" customFormat="1">
      <c r="A42" s="90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</row>
    <row r="43" spans="1:22" s="94" customFormat="1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</row>
    <row r="44" spans="1:22" s="94" customFormat="1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</row>
    <row r="45" spans="1:22" s="94" customFormat="1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</row>
    <row r="46" spans="1:22" s="94" customFormat="1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</row>
    <row r="47" spans="1:22" s="94" customFormat="1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</row>
    <row r="48" spans="1:22" s="94" customFormat="1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T48" s="90"/>
      <c r="U48" s="90"/>
      <c r="V48" s="90"/>
    </row>
    <row r="49" spans="1:22" s="94" customFormat="1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T49" s="90"/>
      <c r="U49" s="90"/>
      <c r="V49" s="90"/>
    </row>
    <row r="50" spans="1:22" s="94" customFormat="1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T50" s="90"/>
      <c r="U50" s="90"/>
      <c r="V50" s="90"/>
    </row>
    <row r="51" spans="1:22" s="94" customFormat="1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T51" s="90"/>
      <c r="U51" s="90"/>
      <c r="V51" s="90"/>
    </row>
    <row r="52" spans="1:22" s="94" customFormat="1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T52" s="90"/>
      <c r="U52" s="90"/>
      <c r="V52" s="90"/>
    </row>
    <row r="53" spans="1:22" s="94" customFormat="1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T53" s="90"/>
      <c r="U53" s="90"/>
      <c r="V53" s="90"/>
    </row>
    <row r="54" spans="1:22" s="94" customFormat="1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T54" s="90"/>
      <c r="U54" s="90"/>
      <c r="V54" s="90"/>
    </row>
    <row r="55" spans="1:22" s="94" customFormat="1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T55" s="90"/>
      <c r="U55" s="90"/>
      <c r="V55" s="90"/>
    </row>
    <row r="56" spans="1:22" s="94" customFormat="1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T56" s="90"/>
      <c r="U56" s="90"/>
      <c r="V56" s="90"/>
    </row>
    <row r="57" spans="1:22" s="94" customFormat="1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T57" s="90"/>
      <c r="U57" s="90"/>
      <c r="V57" s="90"/>
    </row>
    <row r="58" spans="1:22" s="94" customFormat="1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T58" s="90"/>
      <c r="U58" s="90"/>
      <c r="V58" s="90"/>
    </row>
    <row r="59" spans="1:22" s="94" customFormat="1">
      <c r="A59" s="90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T59" s="90"/>
      <c r="U59" s="90"/>
      <c r="V59" s="90"/>
    </row>
    <row r="60" spans="1:22" s="94" customFormat="1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T60" s="90"/>
      <c r="U60" s="90"/>
      <c r="V60" s="90"/>
    </row>
    <row r="61" spans="1:22" s="94" customFormat="1">
      <c r="A61" s="90"/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T61" s="90"/>
      <c r="U61" s="90"/>
      <c r="V61" s="90"/>
    </row>
    <row r="62" spans="1:22" s="94" customFormat="1">
      <c r="A62" s="90"/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T62" s="90"/>
      <c r="U62" s="90"/>
      <c r="V62" s="90"/>
    </row>
    <row r="63" spans="1:22" s="94" customFormat="1">
      <c r="A63" s="90"/>
      <c r="B63" s="90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T63" s="90"/>
      <c r="U63" s="90"/>
      <c r="V63" s="90"/>
    </row>
    <row r="64" spans="1:22" s="94" customFormat="1">
      <c r="A64" s="90"/>
      <c r="B64" s="90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T64" s="90"/>
      <c r="U64" s="90"/>
      <c r="V64" s="90"/>
    </row>
    <row r="65" spans="1:22" s="94" customFormat="1">
      <c r="A65" s="90"/>
      <c r="B65" s="90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T65" s="90"/>
      <c r="U65" s="90"/>
      <c r="V65" s="90"/>
    </row>
    <row r="66" spans="1:22" s="94" customFormat="1">
      <c r="A66" s="90"/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T66" s="90"/>
      <c r="U66" s="90"/>
      <c r="V66" s="90"/>
    </row>
    <row r="67" spans="1:22" s="94" customFormat="1">
      <c r="A67" s="90"/>
      <c r="B67" s="90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T67" s="90"/>
      <c r="U67" s="90"/>
      <c r="V67" s="90"/>
    </row>
    <row r="68" spans="1:22">
      <c r="N68" s="94"/>
      <c r="O68" s="94"/>
      <c r="P68" s="94"/>
      <c r="Q68" s="94"/>
      <c r="R68" s="94"/>
    </row>
    <row r="69" spans="1:22">
      <c r="N69" s="94"/>
      <c r="O69" s="94"/>
      <c r="P69" s="94"/>
      <c r="Q69" s="94"/>
      <c r="R69" s="94"/>
    </row>
    <row r="70" spans="1:22">
      <c r="N70" s="94"/>
      <c r="O70" s="94"/>
      <c r="P70" s="94"/>
      <c r="Q70" s="94"/>
      <c r="R70" s="94"/>
    </row>
    <row r="71" spans="1:22">
      <c r="N71" s="94"/>
      <c r="O71" s="94"/>
      <c r="P71" s="94"/>
      <c r="Q71" s="94"/>
      <c r="R71" s="94"/>
    </row>
    <row r="72" spans="1:22">
      <c r="N72" s="94"/>
      <c r="O72" s="94"/>
      <c r="P72" s="94"/>
      <c r="Q72" s="94"/>
      <c r="R72" s="94"/>
    </row>
    <row r="73" spans="1:22">
      <c r="N73" s="94"/>
      <c r="O73" s="94"/>
      <c r="P73" s="94"/>
      <c r="Q73" s="94"/>
      <c r="R73" s="94"/>
    </row>
    <row r="74" spans="1:22">
      <c r="N74" s="94"/>
      <c r="O74" s="94"/>
      <c r="P74" s="94"/>
      <c r="Q74" s="94"/>
      <c r="R74" s="94"/>
    </row>
    <row r="75" spans="1:22">
      <c r="N75" s="94"/>
      <c r="O75" s="94"/>
      <c r="P75" s="94"/>
      <c r="Q75" s="94"/>
      <c r="R75" s="94"/>
    </row>
    <row r="76" spans="1:22">
      <c r="N76" s="94"/>
      <c r="O76" s="94"/>
      <c r="P76" s="94"/>
      <c r="Q76" s="94"/>
      <c r="R76" s="94"/>
    </row>
    <row r="77" spans="1:22">
      <c r="N77" s="94"/>
      <c r="O77" s="94"/>
      <c r="P77" s="94"/>
      <c r="Q77" s="94"/>
      <c r="R77" s="94"/>
    </row>
    <row r="78" spans="1:22">
      <c r="N78" s="94"/>
      <c r="O78" s="94"/>
      <c r="P78" s="94"/>
      <c r="Q78" s="94"/>
      <c r="R78" s="94"/>
    </row>
    <row r="79" spans="1:22">
      <c r="N79" s="95"/>
      <c r="O79" s="95"/>
      <c r="P79" s="95"/>
      <c r="Q79" s="95"/>
      <c r="R79" s="95"/>
    </row>
    <row r="80" spans="1:22">
      <c r="N80" s="95"/>
      <c r="O80" s="95"/>
      <c r="P80" s="95"/>
      <c r="Q80" s="95"/>
      <c r="R80" s="95"/>
    </row>
    <row r="81" spans="14:18">
      <c r="N81" s="95"/>
      <c r="O81" s="95"/>
      <c r="P81" s="95"/>
      <c r="Q81" s="95"/>
      <c r="R81" s="95"/>
    </row>
    <row r="82" spans="14:18">
      <c r="N82" s="95"/>
      <c r="O82" s="95"/>
      <c r="P82" s="95"/>
      <c r="Q82" s="95"/>
      <c r="R82" s="95"/>
    </row>
    <row r="83" spans="14:18">
      <c r="N83" s="95"/>
      <c r="O83" s="95"/>
      <c r="P83" s="95"/>
      <c r="Q83" s="95"/>
      <c r="R83" s="95"/>
    </row>
    <row r="84" spans="14:18">
      <c r="N84" s="95"/>
      <c r="O84" s="95"/>
      <c r="P84" s="95"/>
      <c r="Q84" s="95"/>
      <c r="R84" s="95"/>
    </row>
    <row r="85" spans="14:18">
      <c r="N85" s="95"/>
      <c r="O85" s="95"/>
      <c r="P85" s="95"/>
      <c r="Q85" s="95"/>
      <c r="R85" s="95"/>
    </row>
    <row r="86" spans="14:18">
      <c r="N86" s="95"/>
      <c r="O86" s="95"/>
      <c r="P86" s="95"/>
      <c r="Q86" s="95"/>
      <c r="R86" s="95"/>
    </row>
    <row r="87" spans="14:18">
      <c r="N87" s="95"/>
      <c r="O87" s="95"/>
      <c r="P87" s="95"/>
      <c r="Q87" s="95"/>
      <c r="R87" s="95"/>
    </row>
    <row r="88" spans="14:18">
      <c r="N88" s="95"/>
      <c r="O88" s="95"/>
      <c r="P88" s="95"/>
      <c r="Q88" s="95"/>
      <c r="R88" s="95"/>
    </row>
    <row r="89" spans="14:18">
      <c r="N89" s="95"/>
      <c r="O89" s="95"/>
      <c r="P89" s="95"/>
      <c r="Q89" s="95"/>
      <c r="R89" s="95"/>
    </row>
    <row r="90" spans="14:18">
      <c r="N90" s="95"/>
      <c r="O90" s="95"/>
      <c r="P90" s="95"/>
      <c r="Q90" s="95"/>
      <c r="R90" s="95"/>
    </row>
    <row r="91" spans="14:18">
      <c r="N91" s="95"/>
      <c r="O91" s="95"/>
      <c r="P91" s="95"/>
      <c r="Q91" s="95"/>
      <c r="R91" s="95"/>
    </row>
    <row r="92" spans="14:18">
      <c r="N92" s="95"/>
      <c r="O92" s="95"/>
      <c r="P92" s="95"/>
      <c r="Q92" s="95"/>
      <c r="R92" s="95"/>
    </row>
    <row r="93" spans="14:18">
      <c r="N93" s="95"/>
      <c r="O93" s="95"/>
      <c r="P93" s="95"/>
      <c r="Q93" s="95"/>
      <c r="R93" s="95"/>
    </row>
    <row r="94" spans="14:18">
      <c r="N94" s="95"/>
      <c r="O94" s="95"/>
      <c r="P94" s="95"/>
      <c r="Q94" s="95"/>
      <c r="R94" s="95"/>
    </row>
    <row r="95" spans="14:18">
      <c r="N95" s="95"/>
      <c r="O95" s="95"/>
      <c r="P95" s="95"/>
      <c r="Q95" s="95"/>
      <c r="R95" s="95"/>
    </row>
    <row r="96" spans="14:18">
      <c r="N96" s="95"/>
      <c r="O96" s="95"/>
      <c r="P96" s="95"/>
      <c r="Q96" s="95"/>
      <c r="R96" s="95"/>
    </row>
    <row r="97" spans="14:18">
      <c r="N97" s="95"/>
      <c r="O97" s="95"/>
      <c r="P97" s="95"/>
      <c r="Q97" s="95"/>
      <c r="R97" s="95"/>
    </row>
    <row r="98" spans="14:18">
      <c r="N98" s="95"/>
      <c r="O98" s="95"/>
      <c r="P98" s="95"/>
      <c r="Q98" s="95"/>
      <c r="R98" s="95"/>
    </row>
    <row r="99" spans="14:18">
      <c r="N99" s="95"/>
      <c r="O99" s="95"/>
      <c r="P99" s="95"/>
      <c r="Q99" s="95"/>
      <c r="R99" s="95"/>
    </row>
    <row r="100" spans="14:18">
      <c r="N100" s="95"/>
      <c r="O100" s="95"/>
      <c r="P100" s="95"/>
      <c r="Q100" s="95"/>
      <c r="R100" s="95"/>
    </row>
    <row r="101" spans="14:18">
      <c r="N101" s="95"/>
      <c r="O101" s="95"/>
      <c r="P101" s="95"/>
      <c r="Q101" s="95"/>
      <c r="R101" s="95"/>
    </row>
    <row r="102" spans="14:18">
      <c r="N102" s="95"/>
      <c r="O102" s="95"/>
      <c r="P102" s="95"/>
      <c r="Q102" s="95"/>
      <c r="R102" s="95"/>
    </row>
    <row r="103" spans="14:18">
      <c r="N103" s="95"/>
      <c r="O103" s="95"/>
      <c r="P103" s="95"/>
      <c r="Q103" s="95"/>
      <c r="R103" s="95"/>
    </row>
    <row r="104" spans="14:18">
      <c r="N104" s="95"/>
      <c r="O104" s="95"/>
      <c r="P104" s="95"/>
      <c r="Q104" s="95"/>
      <c r="R104" s="95"/>
    </row>
    <row r="105" spans="14:18">
      <c r="N105" s="95"/>
      <c r="O105" s="95"/>
      <c r="P105" s="95"/>
      <c r="Q105" s="95"/>
      <c r="R105" s="95"/>
    </row>
    <row r="106" spans="14:18">
      <c r="N106" s="95"/>
      <c r="O106" s="95"/>
      <c r="P106" s="95"/>
      <c r="Q106" s="95"/>
      <c r="R106" s="95"/>
    </row>
    <row r="107" spans="14:18">
      <c r="N107" s="95"/>
      <c r="O107" s="95"/>
      <c r="P107" s="95"/>
      <c r="Q107" s="95"/>
      <c r="R107" s="95"/>
    </row>
    <row r="108" spans="14:18">
      <c r="N108" s="95"/>
      <c r="O108" s="95"/>
      <c r="P108" s="95"/>
      <c r="Q108" s="95"/>
      <c r="R108" s="95"/>
    </row>
    <row r="109" spans="14:18">
      <c r="N109" s="95"/>
      <c r="O109" s="95"/>
      <c r="P109" s="95"/>
      <c r="Q109" s="95"/>
      <c r="R109" s="95"/>
    </row>
    <row r="110" spans="14:18">
      <c r="N110" s="95"/>
      <c r="O110" s="95"/>
      <c r="P110" s="95"/>
      <c r="Q110" s="95"/>
      <c r="R110" s="95"/>
    </row>
    <row r="111" spans="14:18">
      <c r="N111" s="95"/>
      <c r="O111" s="95"/>
      <c r="P111" s="95"/>
      <c r="Q111" s="95"/>
      <c r="R111" s="95"/>
    </row>
    <row r="112" spans="14:18">
      <c r="N112" s="95"/>
      <c r="O112" s="95"/>
      <c r="P112" s="95"/>
      <c r="Q112" s="95"/>
      <c r="R112" s="95"/>
    </row>
    <row r="113" spans="14:18">
      <c r="N113" s="95"/>
      <c r="O113" s="95"/>
      <c r="P113" s="95"/>
      <c r="Q113" s="95"/>
      <c r="R113" s="95"/>
    </row>
    <row r="114" spans="14:18">
      <c r="N114" s="95"/>
      <c r="O114" s="95"/>
      <c r="P114" s="95"/>
      <c r="Q114" s="95"/>
      <c r="R114" s="95"/>
    </row>
    <row r="115" spans="14:18">
      <c r="N115" s="95"/>
      <c r="O115" s="95"/>
      <c r="P115" s="95"/>
      <c r="Q115" s="95"/>
      <c r="R115" s="95"/>
    </row>
    <row r="116" spans="14:18">
      <c r="N116" s="95"/>
      <c r="O116" s="95"/>
      <c r="P116" s="95"/>
      <c r="Q116" s="95"/>
      <c r="R116" s="95"/>
    </row>
    <row r="117" spans="14:18">
      <c r="N117" s="95"/>
      <c r="O117" s="95"/>
      <c r="P117" s="95"/>
      <c r="Q117" s="95"/>
      <c r="R117" s="95"/>
    </row>
    <row r="118" spans="14:18">
      <c r="N118" s="95"/>
      <c r="O118" s="95"/>
      <c r="P118" s="95"/>
      <c r="Q118" s="95"/>
      <c r="R118" s="95"/>
    </row>
    <row r="119" spans="14:18">
      <c r="N119" s="95"/>
      <c r="O119" s="95"/>
      <c r="P119" s="95"/>
      <c r="Q119" s="95"/>
      <c r="R119" s="95"/>
    </row>
    <row r="120" spans="14:18">
      <c r="N120" s="95"/>
      <c r="O120" s="95"/>
      <c r="P120" s="95"/>
      <c r="Q120" s="95"/>
      <c r="R120" s="95"/>
    </row>
    <row r="121" spans="14:18">
      <c r="N121" s="95"/>
      <c r="O121" s="95"/>
      <c r="P121" s="95"/>
      <c r="Q121" s="95"/>
      <c r="R121" s="95"/>
    </row>
    <row r="122" spans="14:18">
      <c r="N122" s="95"/>
      <c r="O122" s="95"/>
      <c r="P122" s="95"/>
      <c r="Q122" s="95"/>
      <c r="R122" s="95"/>
    </row>
    <row r="123" spans="14:18">
      <c r="N123" s="95"/>
      <c r="O123" s="95"/>
      <c r="P123" s="95"/>
      <c r="Q123" s="95"/>
      <c r="R123" s="95"/>
    </row>
    <row r="124" spans="14:18">
      <c r="N124" s="95"/>
      <c r="O124" s="95"/>
      <c r="P124" s="95"/>
      <c r="Q124" s="95"/>
      <c r="R124" s="95"/>
    </row>
    <row r="125" spans="14:18">
      <c r="N125" s="95"/>
      <c r="O125" s="95"/>
      <c r="P125" s="95"/>
      <c r="Q125" s="95"/>
      <c r="R125" s="95"/>
    </row>
    <row r="126" spans="14:18">
      <c r="N126" s="95"/>
      <c r="O126" s="95"/>
      <c r="P126" s="95"/>
      <c r="Q126" s="95"/>
      <c r="R126" s="95"/>
    </row>
    <row r="127" spans="14:18">
      <c r="N127" s="95"/>
      <c r="O127" s="95"/>
      <c r="P127" s="95"/>
      <c r="Q127" s="95"/>
      <c r="R127" s="95"/>
    </row>
    <row r="128" spans="14:18">
      <c r="N128" s="95"/>
      <c r="O128" s="95"/>
      <c r="P128" s="95"/>
      <c r="Q128" s="95"/>
      <c r="R128" s="95"/>
    </row>
    <row r="129" spans="14:18">
      <c r="N129" s="95"/>
      <c r="O129" s="95"/>
      <c r="P129" s="95"/>
      <c r="Q129" s="95"/>
      <c r="R129" s="95"/>
    </row>
    <row r="130" spans="14:18">
      <c r="N130" s="95"/>
      <c r="O130" s="95"/>
      <c r="P130" s="95"/>
      <c r="Q130" s="95"/>
      <c r="R130" s="95"/>
    </row>
    <row r="131" spans="14:18">
      <c r="N131" s="95"/>
      <c r="O131" s="95"/>
      <c r="P131" s="95"/>
      <c r="Q131" s="95"/>
      <c r="R131" s="95"/>
    </row>
    <row r="132" spans="14:18">
      <c r="N132" s="95"/>
      <c r="O132" s="95"/>
      <c r="P132" s="95"/>
      <c r="Q132" s="95"/>
      <c r="R132" s="95"/>
    </row>
    <row r="133" spans="14:18">
      <c r="N133" s="95"/>
      <c r="O133" s="95"/>
      <c r="P133" s="95"/>
      <c r="Q133" s="95"/>
      <c r="R133" s="95"/>
    </row>
    <row r="134" spans="14:18">
      <c r="N134" s="95"/>
      <c r="O134" s="95"/>
      <c r="P134" s="95"/>
      <c r="Q134" s="95"/>
      <c r="R134" s="95"/>
    </row>
    <row r="135" spans="14:18">
      <c r="N135" s="95"/>
      <c r="O135" s="95"/>
      <c r="P135" s="95"/>
      <c r="Q135" s="95"/>
      <c r="R135" s="95"/>
    </row>
    <row r="136" spans="14:18">
      <c r="N136" s="95"/>
      <c r="O136" s="95"/>
      <c r="P136" s="95"/>
      <c r="Q136" s="95"/>
      <c r="R136" s="95"/>
    </row>
    <row r="137" spans="14:18">
      <c r="N137" s="95"/>
      <c r="O137" s="95"/>
      <c r="P137" s="95"/>
      <c r="Q137" s="95"/>
      <c r="R137" s="95"/>
    </row>
    <row r="138" spans="14:18">
      <c r="N138" s="95"/>
      <c r="O138" s="95"/>
      <c r="P138" s="95"/>
      <c r="Q138" s="95"/>
      <c r="R138" s="95"/>
    </row>
    <row r="139" spans="14:18">
      <c r="N139" s="95"/>
      <c r="O139" s="95"/>
      <c r="P139" s="95"/>
      <c r="Q139" s="95"/>
      <c r="R139" s="95"/>
    </row>
    <row r="140" spans="14:18">
      <c r="N140" s="95"/>
      <c r="O140" s="95"/>
      <c r="P140" s="95"/>
      <c r="Q140" s="95"/>
      <c r="R140" s="95"/>
    </row>
    <row r="141" spans="14:18">
      <c r="N141" s="95"/>
      <c r="O141" s="95"/>
      <c r="P141" s="95"/>
      <c r="Q141" s="95"/>
      <c r="R141" s="95"/>
    </row>
    <row r="142" spans="14:18">
      <c r="N142" s="95"/>
      <c r="O142" s="95"/>
      <c r="P142" s="95"/>
      <c r="Q142" s="95"/>
      <c r="R142" s="95"/>
    </row>
    <row r="143" spans="14:18">
      <c r="N143" s="95"/>
      <c r="O143" s="95"/>
      <c r="P143" s="95"/>
      <c r="Q143" s="95"/>
      <c r="R143" s="95"/>
    </row>
    <row r="144" spans="14:18">
      <c r="N144" s="95"/>
      <c r="O144" s="95"/>
      <c r="P144" s="95"/>
      <c r="Q144" s="95"/>
      <c r="R144" s="95"/>
    </row>
    <row r="145" spans="14:18">
      <c r="N145" s="95"/>
      <c r="O145" s="95"/>
      <c r="P145" s="95"/>
      <c r="Q145" s="95"/>
      <c r="R145" s="95"/>
    </row>
    <row r="146" spans="14:18">
      <c r="N146" s="95"/>
      <c r="O146" s="95"/>
      <c r="P146" s="95"/>
      <c r="Q146" s="95"/>
      <c r="R146" s="95"/>
    </row>
    <row r="147" spans="14:18">
      <c r="N147" s="95"/>
      <c r="O147" s="95"/>
      <c r="P147" s="95"/>
      <c r="Q147" s="95"/>
      <c r="R147" s="95"/>
    </row>
    <row r="148" spans="14:18">
      <c r="N148" s="95"/>
      <c r="O148" s="95"/>
      <c r="P148" s="95"/>
      <c r="Q148" s="95"/>
      <c r="R148" s="95"/>
    </row>
    <row r="149" spans="14:18">
      <c r="N149" s="95"/>
      <c r="O149" s="95"/>
      <c r="P149" s="95"/>
      <c r="Q149" s="95"/>
      <c r="R149" s="95"/>
    </row>
    <row r="150" spans="14:18">
      <c r="N150" s="95"/>
      <c r="O150" s="95"/>
      <c r="P150" s="95"/>
      <c r="Q150" s="95"/>
      <c r="R150" s="95"/>
    </row>
    <row r="151" spans="14:18">
      <c r="N151" s="95"/>
      <c r="O151" s="95"/>
      <c r="P151" s="95"/>
      <c r="Q151" s="95"/>
      <c r="R151" s="95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2015-07-08T18:06:29Z</cp:lastPrinted>
  <dcterms:created xsi:type="dcterms:W3CDTF">2006-09-16T00:00:00Z</dcterms:created>
  <dcterms:modified xsi:type="dcterms:W3CDTF">2015-07-08T18:11:33Z</dcterms:modified>
</cp:coreProperties>
</file>