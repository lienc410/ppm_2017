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6.xml" ContentType="application/vnd.openxmlformats-officedocument.spreadsheetml.queryTable+xml"/>
  <Override PartName="/xl/tables/table5.xml" ContentType="application/vnd.openxmlformats-officedocument.spreadsheetml.table+xml"/>
  <Override PartName="/xl/queryTables/queryTable7.xml" ContentType="application/vnd.openxmlformats-officedocument.spreadsheetml.queryTable+xml"/>
  <Override PartName="/xl/tables/table6.xml" ContentType="application/vnd.openxmlformats-officedocument.spreadsheetml.table+xml"/>
  <Override PartName="/xl/queryTables/queryTable8.xml" ContentType="application/vnd.openxmlformats-officedocument.spreadsheetml.queryTable+xml"/>
  <Override PartName="/xl/tables/table7.xml" ContentType="application/vnd.openxmlformats-officedocument.spreadsheetml.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tables/table8.xml" ContentType="application/vnd.openxmlformats-officedocument.spreadsheetml.table+xml"/>
  <Override PartName="/xl/queryTables/queryTable10.xml" ContentType="application/vnd.openxmlformats-officedocument.spreadsheetml.queryTable+xml"/>
  <Override PartName="/xl/tables/table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Report!$AA$2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Report!$AA$9</definedName>
    <definedName name="CuurentRate1">'Function Of Rate'!$C$5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'Function Of Rate'!$C$10</definedName>
    <definedName name="IR">#REF!</definedName>
    <definedName name="LastMonth">Report!$AA$10</definedName>
    <definedName name="LastThursday">Report!$AA$13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Query!$K$2:$L$3</definedName>
    <definedName name="Query_from_Agency_12" localSheetId="3" hidden="1">'Function Of Rate'!$F$2:$P$3</definedName>
    <definedName name="Query_from_Agency_12" localSheetId="1" hidden="1">Query!$S$2:$T$3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6" localSheetId="1" hidden="1">Query!$B$2:$C$266</definedName>
    <definedName name="Query_from_Agency_7" localSheetId="4" hidden="1">'Current Coupon'!$S$4:$U$9</definedName>
    <definedName name="Query_from_Agency_7" localSheetId="1" hidden="1">Query!#REF!</definedName>
    <definedName name="Query_from_Agency_8" localSheetId="4" hidden="1">'Current Coupon'!$A$4:$C$38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1">Query!$H$2:$I$232</definedName>
    <definedName name="temp_1" localSheetId="1">Query!#REF!</definedName>
    <definedName name="temp_17">#REF!</definedName>
    <definedName name="temp_2" localSheetId="1">Query!$O$2:$P$232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238" i="18"/>
  <c r="D239" i="18"/>
  <c r="D240" i="18"/>
  <c r="D241" i="18"/>
  <c r="D242" i="18"/>
  <c r="D243" i="18"/>
  <c r="D244" i="18"/>
  <c r="D245" i="18"/>
  <c r="D246" i="18"/>
  <c r="D247" i="18"/>
  <c r="D248" i="18"/>
  <c r="D249" i="18"/>
  <c r="D250" i="18"/>
  <c r="D251" i="18"/>
  <c r="D252" i="18"/>
  <c r="D253" i="18"/>
  <c r="D254" i="18"/>
  <c r="D255" i="18"/>
  <c r="D256" i="18"/>
  <c r="D257" i="18"/>
  <c r="D258" i="18"/>
  <c r="D259" i="18"/>
  <c r="D260" i="18"/>
  <c r="D261" i="18"/>
  <c r="D262" i="18"/>
  <c r="D263" i="18"/>
  <c r="D264" i="18"/>
  <c r="D265" i="18"/>
  <c r="D266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160" i="18"/>
  <c r="E161" i="18"/>
  <c r="E162" i="18"/>
  <c r="E163" i="18"/>
  <c r="E164" i="18"/>
  <c r="E165" i="18"/>
  <c r="E166" i="18"/>
  <c r="E167" i="18"/>
  <c r="E168" i="18"/>
  <c r="E169" i="18"/>
  <c r="E170" i="18"/>
  <c r="E171" i="18"/>
  <c r="E172" i="18"/>
  <c r="E173" i="18"/>
  <c r="E174" i="18"/>
  <c r="E175" i="18"/>
  <c r="E176" i="18"/>
  <c r="E177" i="18"/>
  <c r="E178" i="18"/>
  <c r="E179" i="18"/>
  <c r="E180" i="18"/>
  <c r="E181" i="18"/>
  <c r="E182" i="18"/>
  <c r="E183" i="18"/>
  <c r="E184" i="18"/>
  <c r="E185" i="18"/>
  <c r="E186" i="18"/>
  <c r="E187" i="18"/>
  <c r="E188" i="18"/>
  <c r="E189" i="18"/>
  <c r="E190" i="18"/>
  <c r="E191" i="18"/>
  <c r="E192" i="18"/>
  <c r="E193" i="18"/>
  <c r="E194" i="18"/>
  <c r="E195" i="18"/>
  <c r="E196" i="18"/>
  <c r="E197" i="18"/>
  <c r="E198" i="18"/>
  <c r="E199" i="18"/>
  <c r="E200" i="18"/>
  <c r="E201" i="18"/>
  <c r="E202" i="18"/>
  <c r="E203" i="18"/>
  <c r="E204" i="18"/>
  <c r="E205" i="18"/>
  <c r="E206" i="18"/>
  <c r="E207" i="18"/>
  <c r="E208" i="18"/>
  <c r="E209" i="18"/>
  <c r="E210" i="18"/>
  <c r="E211" i="18"/>
  <c r="E212" i="18"/>
  <c r="E213" i="18"/>
  <c r="E214" i="18"/>
  <c r="E215" i="18"/>
  <c r="E216" i="18"/>
  <c r="E217" i="18"/>
  <c r="E218" i="18"/>
  <c r="E219" i="18"/>
  <c r="E220" i="18"/>
  <c r="E221" i="18"/>
  <c r="E222" i="18"/>
  <c r="E223" i="18"/>
  <c r="E224" i="18"/>
  <c r="E225" i="18"/>
  <c r="E226" i="18"/>
  <c r="E227" i="18"/>
  <c r="E228" i="18"/>
  <c r="E229" i="18"/>
  <c r="E230" i="18"/>
  <c r="E231" i="18"/>
  <c r="E232" i="18"/>
  <c r="E233" i="18"/>
  <c r="E234" i="18"/>
  <c r="E235" i="18"/>
  <c r="E236" i="18"/>
  <c r="E237" i="18"/>
  <c r="E238" i="18"/>
  <c r="E239" i="18"/>
  <c r="E240" i="18"/>
  <c r="E241" i="18"/>
  <c r="E242" i="18"/>
  <c r="E243" i="18"/>
  <c r="E244" i="18"/>
  <c r="E245" i="18"/>
  <c r="E246" i="18"/>
  <c r="E247" i="18"/>
  <c r="E248" i="18"/>
  <c r="E249" i="18"/>
  <c r="E250" i="18"/>
  <c r="E251" i="18"/>
  <c r="E252" i="18"/>
  <c r="E253" i="18"/>
  <c r="E254" i="18"/>
  <c r="E255" i="18"/>
  <c r="E256" i="18"/>
  <c r="E257" i="18"/>
  <c r="E258" i="18"/>
  <c r="E259" i="18"/>
  <c r="E260" i="18"/>
  <c r="E261" i="18"/>
  <c r="E262" i="18"/>
  <c r="E263" i="18"/>
  <c r="E264" i="18"/>
  <c r="E265" i="18"/>
  <c r="E266" i="18"/>
  <c r="D5" i="28"/>
  <c r="D6" i="28"/>
  <c r="E6" i="28" s="1"/>
  <c r="D7" i="28"/>
  <c r="D8" i="28"/>
  <c r="D9" i="28"/>
  <c r="D10" i="28"/>
  <c r="E10" i="28" s="1"/>
  <c r="D11" i="28"/>
  <c r="D12" i="28"/>
  <c r="D13" i="28"/>
  <c r="D14" i="28"/>
  <c r="E14" i="28" s="1"/>
  <c r="D15" i="28"/>
  <c r="D16" i="28"/>
  <c r="D17" i="28"/>
  <c r="E17" i="28" s="1"/>
  <c r="D18" i="28"/>
  <c r="E18" i="28" s="1"/>
  <c r="D19" i="28"/>
  <c r="D20" i="28"/>
  <c r="D21" i="28"/>
  <c r="D22" i="28"/>
  <c r="E22" i="28" s="1"/>
  <c r="D23" i="28"/>
  <c r="E23" i="28" s="1"/>
  <c r="D24" i="28"/>
  <c r="D25" i="28"/>
  <c r="D26" i="28"/>
  <c r="E26" i="28" s="1"/>
  <c r="D27" i="28"/>
  <c r="D28" i="28"/>
  <c r="D29" i="28"/>
  <c r="D30" i="28"/>
  <c r="E30" i="28" s="1"/>
  <c r="D31" i="28"/>
  <c r="D32" i="28"/>
  <c r="D33" i="28"/>
  <c r="E33" i="28" s="1"/>
  <c r="D34" i="28"/>
  <c r="E34" i="28" s="1"/>
  <c r="D35" i="28"/>
  <c r="D36" i="28"/>
  <c r="D37" i="28"/>
  <c r="D38" i="28"/>
  <c r="E38" i="28" s="1"/>
  <c r="E5" i="28"/>
  <c r="E7" i="28"/>
  <c r="E8" i="28"/>
  <c r="E9" i="28"/>
  <c r="E11" i="28"/>
  <c r="E12" i="28"/>
  <c r="E13" i="28"/>
  <c r="E15" i="28"/>
  <c r="E16" i="28"/>
  <c r="E19" i="28"/>
  <c r="E20" i="28"/>
  <c r="E21" i="28"/>
  <c r="E24" i="28"/>
  <c r="E25" i="28"/>
  <c r="E27" i="28"/>
  <c r="E28" i="28"/>
  <c r="E29" i="28"/>
  <c r="E31" i="28"/>
  <c r="E32" i="28"/>
  <c r="E35" i="28"/>
  <c r="E36" i="28"/>
  <c r="E37" i="28"/>
  <c r="F5" i="28"/>
  <c r="F6" i="28" s="1"/>
  <c r="G5" i="28"/>
  <c r="H5" i="28"/>
  <c r="H6" i="28" s="1"/>
  <c r="I5" i="28"/>
  <c r="J5" i="28" s="1"/>
  <c r="K5" i="28" s="1"/>
  <c r="M5" i="28"/>
  <c r="L5" i="28" l="1"/>
  <c r="F7" i="28"/>
  <c r="I6" i="28" s="1"/>
  <c r="G6" i="28"/>
  <c r="M6" i="28"/>
  <c r="M7" i="28" l="1"/>
  <c r="J6" i="28"/>
  <c r="K6" i="28" s="1"/>
  <c r="F8" i="28"/>
  <c r="G7" i="28"/>
  <c r="H7" i="28"/>
  <c r="J51" i="16"/>
  <c r="I51" i="16"/>
  <c r="H51" i="16"/>
  <c r="G51" i="16"/>
  <c r="F51" i="16"/>
  <c r="E51" i="16"/>
  <c r="D51" i="16"/>
  <c r="C51" i="16"/>
  <c r="J50" i="16"/>
  <c r="I50" i="16"/>
  <c r="H50" i="16"/>
  <c r="G50" i="16"/>
  <c r="F50" i="16"/>
  <c r="E50" i="16"/>
  <c r="D50" i="16"/>
  <c r="C50" i="16"/>
  <c r="J49" i="16"/>
  <c r="I49" i="16"/>
  <c r="H49" i="16"/>
  <c r="G49" i="16"/>
  <c r="F49" i="16"/>
  <c r="E49" i="16"/>
  <c r="D49" i="16"/>
  <c r="C49" i="16"/>
  <c r="J48" i="16"/>
  <c r="I48" i="16"/>
  <c r="H48" i="16"/>
  <c r="G48" i="16"/>
  <c r="F48" i="16"/>
  <c r="E48" i="16"/>
  <c r="D48" i="16"/>
  <c r="C48" i="16"/>
  <c r="J47" i="16"/>
  <c r="I47" i="16"/>
  <c r="H47" i="16"/>
  <c r="G47" i="16"/>
  <c r="F47" i="16"/>
  <c r="E47" i="16"/>
  <c r="D47" i="16"/>
  <c r="C47" i="16"/>
  <c r="J46" i="16"/>
  <c r="I46" i="16"/>
  <c r="H46" i="16"/>
  <c r="G46" i="16"/>
  <c r="F46" i="16"/>
  <c r="E46" i="16"/>
  <c r="D46" i="16"/>
  <c r="C46" i="16"/>
  <c r="J45" i="16"/>
  <c r="I45" i="16"/>
  <c r="H45" i="16"/>
  <c r="G45" i="16"/>
  <c r="F45" i="16"/>
  <c r="E45" i="16"/>
  <c r="D45" i="16"/>
  <c r="C45" i="16"/>
  <c r="J44" i="16"/>
  <c r="I44" i="16"/>
  <c r="H44" i="16"/>
  <c r="G44" i="16"/>
  <c r="F44" i="16"/>
  <c r="E44" i="16"/>
  <c r="D44" i="16"/>
  <c r="C44" i="16"/>
  <c r="J43" i="16"/>
  <c r="I43" i="16"/>
  <c r="H43" i="16"/>
  <c r="G43" i="16"/>
  <c r="F43" i="16"/>
  <c r="E43" i="16"/>
  <c r="D43" i="16"/>
  <c r="C43" i="16"/>
  <c r="J42" i="16"/>
  <c r="I42" i="16"/>
  <c r="H42" i="16"/>
  <c r="G42" i="16"/>
  <c r="F42" i="16"/>
  <c r="E42" i="16"/>
  <c r="D42" i="16"/>
  <c r="C42" i="16"/>
  <c r="H8" i="28" l="1"/>
  <c r="F9" i="28"/>
  <c r="G8" i="28"/>
  <c r="I7" i="28"/>
  <c r="L6" i="28"/>
  <c r="AA13" i="16"/>
  <c r="I9" i="28" l="1"/>
  <c r="G9" i="28"/>
  <c r="H9" i="28"/>
  <c r="F10" i="28"/>
  <c r="J7" i="28"/>
  <c r="K7" i="28" s="1"/>
  <c r="M8" i="28"/>
  <c r="I8" i="28"/>
  <c r="T39" i="16"/>
  <c r="B8" i="27"/>
  <c r="C8" i="27" s="1"/>
  <c r="Q38" i="16" s="1"/>
  <c r="J8" i="28" l="1"/>
  <c r="K8" i="28" s="1"/>
  <c r="M9" i="28"/>
  <c r="M10" i="28" s="1"/>
  <c r="L8" i="28"/>
  <c r="L7" i="28"/>
  <c r="J9" i="28"/>
  <c r="K9" i="28" s="1"/>
  <c r="G10" i="28"/>
  <c r="H10" i="28"/>
  <c r="F11" i="28"/>
  <c r="K39" i="16"/>
  <c r="F12" i="28" l="1"/>
  <c r="H11" i="28"/>
  <c r="I11" i="28"/>
  <c r="G11" i="28"/>
  <c r="L9" i="28"/>
  <c r="I10" i="28"/>
  <c r="AA9" i="16"/>
  <c r="B2" i="19"/>
  <c r="F7" i="18" l="1"/>
  <c r="F23" i="18"/>
  <c r="F35" i="18"/>
  <c r="F47" i="18"/>
  <c r="F55" i="18"/>
  <c r="F63" i="18"/>
  <c r="F71" i="18"/>
  <c r="F79" i="18"/>
  <c r="F87" i="18"/>
  <c r="F95" i="18"/>
  <c r="F103" i="18"/>
  <c r="F115" i="18"/>
  <c r="F123" i="18"/>
  <c r="F131" i="18"/>
  <c r="F4" i="18"/>
  <c r="K43" i="16" s="1"/>
  <c r="F8" i="18"/>
  <c r="F12" i="18"/>
  <c r="F16" i="18"/>
  <c r="F20" i="18"/>
  <c r="F24" i="18"/>
  <c r="F28" i="18"/>
  <c r="F32" i="18"/>
  <c r="F36" i="18"/>
  <c r="F40" i="18"/>
  <c r="F44" i="18"/>
  <c r="F48" i="18"/>
  <c r="F52" i="18"/>
  <c r="F56" i="18"/>
  <c r="F60" i="18"/>
  <c r="F64" i="18"/>
  <c r="F68" i="18"/>
  <c r="F72" i="18"/>
  <c r="F76" i="18"/>
  <c r="F80" i="18"/>
  <c r="F84" i="18"/>
  <c r="F88" i="18"/>
  <c r="F92" i="18"/>
  <c r="F96" i="18"/>
  <c r="F100" i="18"/>
  <c r="F104" i="18"/>
  <c r="F108" i="18"/>
  <c r="F112" i="18"/>
  <c r="F116" i="18"/>
  <c r="F120" i="18"/>
  <c r="F124" i="18"/>
  <c r="F128" i="18"/>
  <c r="F132" i="18"/>
  <c r="F136" i="18"/>
  <c r="F140" i="18"/>
  <c r="F144" i="18"/>
  <c r="F148" i="18"/>
  <c r="F152" i="18"/>
  <c r="F156" i="18"/>
  <c r="F160" i="18"/>
  <c r="F164" i="18"/>
  <c r="F168" i="18"/>
  <c r="F172" i="18"/>
  <c r="F176" i="18"/>
  <c r="F180" i="18"/>
  <c r="F5" i="18"/>
  <c r="F9" i="18"/>
  <c r="F13" i="18"/>
  <c r="F17" i="18"/>
  <c r="F21" i="18"/>
  <c r="F25" i="18"/>
  <c r="F29" i="18"/>
  <c r="F33" i="18"/>
  <c r="F37" i="18"/>
  <c r="F41" i="18"/>
  <c r="F45" i="18"/>
  <c r="F49" i="18"/>
  <c r="F53" i="18"/>
  <c r="F57" i="18"/>
  <c r="F61" i="18"/>
  <c r="F65" i="18"/>
  <c r="F69" i="18"/>
  <c r="F73" i="18"/>
  <c r="F77" i="18"/>
  <c r="F81" i="18"/>
  <c r="F85" i="18"/>
  <c r="F89" i="18"/>
  <c r="F93" i="18"/>
  <c r="F97" i="18"/>
  <c r="F101" i="18"/>
  <c r="F105" i="18"/>
  <c r="F109" i="18"/>
  <c r="F113" i="18"/>
  <c r="F117" i="18"/>
  <c r="F121" i="18"/>
  <c r="F125" i="18"/>
  <c r="F129" i="18"/>
  <c r="F133" i="18"/>
  <c r="F137" i="18"/>
  <c r="F141" i="18"/>
  <c r="F145" i="18"/>
  <c r="F149" i="18"/>
  <c r="F153" i="18"/>
  <c r="F157" i="18"/>
  <c r="F161" i="18"/>
  <c r="F165" i="18"/>
  <c r="F169" i="18"/>
  <c r="F173" i="18"/>
  <c r="F177" i="18"/>
  <c r="F181" i="18"/>
  <c r="F185" i="18"/>
  <c r="F189" i="18"/>
  <c r="F193" i="18"/>
  <c r="F197" i="18"/>
  <c r="F201" i="18"/>
  <c r="F205" i="18"/>
  <c r="F209" i="18"/>
  <c r="F213" i="18"/>
  <c r="F217" i="18"/>
  <c r="F221" i="18"/>
  <c r="F225" i="18"/>
  <c r="F6" i="18"/>
  <c r="F10" i="18"/>
  <c r="F14" i="18"/>
  <c r="F18" i="18"/>
  <c r="F22" i="18"/>
  <c r="F26" i="18"/>
  <c r="F30" i="18"/>
  <c r="F34" i="18"/>
  <c r="F38" i="18"/>
  <c r="F42" i="18"/>
  <c r="F46" i="18"/>
  <c r="F50" i="18"/>
  <c r="F54" i="18"/>
  <c r="F58" i="18"/>
  <c r="F62" i="18"/>
  <c r="F66" i="18"/>
  <c r="F70" i="18"/>
  <c r="F74" i="18"/>
  <c r="F78" i="18"/>
  <c r="F82" i="18"/>
  <c r="F86" i="18"/>
  <c r="F90" i="18"/>
  <c r="F94" i="18"/>
  <c r="F98" i="18"/>
  <c r="F102" i="18"/>
  <c r="F106" i="18"/>
  <c r="F110" i="18"/>
  <c r="F114" i="18"/>
  <c r="F118" i="18"/>
  <c r="F122" i="18"/>
  <c r="F126" i="18"/>
  <c r="F130" i="18"/>
  <c r="F134" i="18"/>
  <c r="F138" i="18"/>
  <c r="F142" i="18"/>
  <c r="F146" i="18"/>
  <c r="F150" i="18"/>
  <c r="F154" i="18"/>
  <c r="F158" i="18"/>
  <c r="F162" i="18"/>
  <c r="F166" i="18"/>
  <c r="F170" i="18"/>
  <c r="F174" i="18"/>
  <c r="F178" i="18"/>
  <c r="F182" i="18"/>
  <c r="F186" i="18"/>
  <c r="F190" i="18"/>
  <c r="F194" i="18"/>
  <c r="F198" i="18"/>
  <c r="F202" i="18"/>
  <c r="F206" i="18"/>
  <c r="F210" i="18"/>
  <c r="F214" i="18"/>
  <c r="F218" i="18"/>
  <c r="F222" i="18"/>
  <c r="F226" i="18"/>
  <c r="F230" i="18"/>
  <c r="F234" i="18"/>
  <c r="F238" i="18"/>
  <c r="F242" i="18"/>
  <c r="F246" i="18"/>
  <c r="F250" i="18"/>
  <c r="F254" i="18"/>
  <c r="F258" i="18"/>
  <c r="F262" i="18"/>
  <c r="F266" i="18"/>
  <c r="F3" i="18"/>
  <c r="K42" i="16" s="1"/>
  <c r="F11" i="18"/>
  <c r="F15" i="18"/>
  <c r="F19" i="18"/>
  <c r="F27" i="18"/>
  <c r="F31" i="18"/>
  <c r="F39" i="18"/>
  <c r="F43" i="18"/>
  <c r="F51" i="18"/>
  <c r="F59" i="18"/>
  <c r="F67" i="18"/>
  <c r="F75" i="18"/>
  <c r="F83" i="18"/>
  <c r="F91" i="18"/>
  <c r="F99" i="18"/>
  <c r="F107" i="18"/>
  <c r="F111" i="18"/>
  <c r="F119" i="18"/>
  <c r="F127" i="18"/>
  <c r="F135" i="18"/>
  <c r="F236" i="18"/>
  <c r="F257" i="18"/>
  <c r="F139" i="18"/>
  <c r="F155" i="18"/>
  <c r="F192" i="18"/>
  <c r="F224" i="18"/>
  <c r="F252" i="18"/>
  <c r="F143" i="18"/>
  <c r="F159" i="18"/>
  <c r="F175" i="18"/>
  <c r="F187" i="18"/>
  <c r="F195" i="18"/>
  <c r="F203" i="18"/>
  <c r="F211" i="18"/>
  <c r="F219" i="18"/>
  <c r="F227" i="18"/>
  <c r="F232" i="18"/>
  <c r="F237" i="18"/>
  <c r="F243" i="18"/>
  <c r="F248" i="18"/>
  <c r="F253" i="18"/>
  <c r="F259" i="18"/>
  <c r="F264" i="18"/>
  <c r="F167" i="18"/>
  <c r="F191" i="18"/>
  <c r="F207" i="18"/>
  <c r="F223" i="18"/>
  <c r="F235" i="18"/>
  <c r="F245" i="18"/>
  <c r="F256" i="18"/>
  <c r="F171" i="18"/>
  <c r="F200" i="18"/>
  <c r="F216" i="18"/>
  <c r="F241" i="18"/>
  <c r="F147" i="18"/>
  <c r="F163" i="18"/>
  <c r="F179" i="18"/>
  <c r="F188" i="18"/>
  <c r="F196" i="18"/>
  <c r="F204" i="18"/>
  <c r="F212" i="18"/>
  <c r="F220" i="18"/>
  <c r="F228" i="18"/>
  <c r="F233" i="18"/>
  <c r="F239" i="18"/>
  <c r="F244" i="18"/>
  <c r="F249" i="18"/>
  <c r="F255" i="18"/>
  <c r="F260" i="18"/>
  <c r="F265" i="18"/>
  <c r="F151" i="18"/>
  <c r="F183" i="18"/>
  <c r="F199" i="18"/>
  <c r="F215" i="18"/>
  <c r="F229" i="18"/>
  <c r="F240" i="18"/>
  <c r="F251" i="18"/>
  <c r="F261" i="18"/>
  <c r="F184" i="18"/>
  <c r="F208" i="18"/>
  <c r="F231" i="18"/>
  <c r="F247" i="18"/>
  <c r="F263" i="18"/>
  <c r="J10" i="28"/>
  <c r="K10" i="28" s="1"/>
  <c r="M11" i="28"/>
  <c r="J11" i="28"/>
  <c r="K11" i="28" s="1"/>
  <c r="M12" i="28"/>
  <c r="H12" i="28"/>
  <c r="F13" i="28"/>
  <c r="I12" i="28"/>
  <c r="G12" i="28"/>
  <c r="K45" i="16"/>
  <c r="K44" i="16"/>
  <c r="G18" i="27"/>
  <c r="T43" i="16" s="1"/>
  <c r="H18" i="27"/>
  <c r="T44" i="16" s="1"/>
  <c r="I18" i="27"/>
  <c r="T45" i="16" s="1"/>
  <c r="J18" i="27"/>
  <c r="T46" i="16" s="1"/>
  <c r="K18" i="27"/>
  <c r="T47" i="16" s="1"/>
  <c r="L18" i="27"/>
  <c r="T48" i="16" s="1"/>
  <c r="M18" i="27"/>
  <c r="T49" i="16" s="1"/>
  <c r="N18" i="27"/>
  <c r="T50" i="16" s="1"/>
  <c r="O18" i="27"/>
  <c r="T51" i="16" s="1"/>
  <c r="P18" i="27"/>
  <c r="T52" i="16" s="1"/>
  <c r="F18" i="27"/>
  <c r="T42" i="16" s="1"/>
  <c r="J12" i="28" l="1"/>
  <c r="K12" i="28" s="1"/>
  <c r="L12" i="28" s="1"/>
  <c r="M13" i="28"/>
  <c r="G13" i="28"/>
  <c r="F14" i="28"/>
  <c r="I13" i="28" s="1"/>
  <c r="H13" i="28"/>
  <c r="L11" i="28"/>
  <c r="L10" i="28"/>
  <c r="M44" i="16"/>
  <c r="M46" i="16"/>
  <c r="K46" i="16"/>
  <c r="L49" i="16"/>
  <c r="M43" i="16"/>
  <c r="M49" i="16"/>
  <c r="L43" i="16"/>
  <c r="K47" i="16"/>
  <c r="L46" i="16"/>
  <c r="K50" i="16"/>
  <c r="M42" i="16"/>
  <c r="L51" i="16"/>
  <c r="K49" i="16"/>
  <c r="L45" i="16"/>
  <c r="K48" i="16"/>
  <c r="L44" i="16"/>
  <c r="L50" i="16"/>
  <c r="M47" i="16"/>
  <c r="M51" i="16"/>
  <c r="M48" i="16"/>
  <c r="L48" i="16"/>
  <c r="K51" i="16"/>
  <c r="L47" i="16"/>
  <c r="M50" i="16"/>
  <c r="M45" i="16"/>
  <c r="L42" i="16"/>
  <c r="M14" i="28" l="1"/>
  <c r="J13" i="28"/>
  <c r="K13" i="28" s="1"/>
  <c r="L13" i="28" s="1"/>
  <c r="G14" i="28"/>
  <c r="F15" i="28"/>
  <c r="I14" i="28" s="1"/>
  <c r="H14" i="28"/>
  <c r="AA4" i="16"/>
  <c r="J14" i="28" l="1"/>
  <c r="K14" i="28" s="1"/>
  <c r="M15" i="28"/>
  <c r="L14" i="28"/>
  <c r="G15" i="28"/>
  <c r="H15" i="28"/>
  <c r="F16" i="28"/>
  <c r="M39" i="16"/>
  <c r="G17" i="27"/>
  <c r="R43" i="16" s="1"/>
  <c r="H17" i="27"/>
  <c r="R44" i="16" s="1"/>
  <c r="I17" i="27"/>
  <c r="R45" i="16" s="1"/>
  <c r="J17" i="27"/>
  <c r="R46" i="16" s="1"/>
  <c r="K17" i="27"/>
  <c r="R47" i="16" s="1"/>
  <c r="L17" i="27"/>
  <c r="R48" i="16" s="1"/>
  <c r="M17" i="27"/>
  <c r="R49" i="16" s="1"/>
  <c r="N17" i="27"/>
  <c r="R50" i="16" s="1"/>
  <c r="O17" i="27"/>
  <c r="R51" i="16" s="1"/>
  <c r="P17" i="27"/>
  <c r="R52" i="16" s="1"/>
  <c r="F17" i="27"/>
  <c r="R42" i="16" s="1"/>
  <c r="B5" i="27"/>
  <c r="B9" i="27" s="1"/>
  <c r="G16" i="27"/>
  <c r="P43" i="16" s="1"/>
  <c r="H16" i="27"/>
  <c r="P44" i="16" s="1"/>
  <c r="I16" i="27"/>
  <c r="P45" i="16" s="1"/>
  <c r="J16" i="27"/>
  <c r="P46" i="16" s="1"/>
  <c r="K16" i="27"/>
  <c r="P47" i="16" s="1"/>
  <c r="L16" i="27"/>
  <c r="P48" i="16" s="1"/>
  <c r="M16" i="27"/>
  <c r="P49" i="16" s="1"/>
  <c r="N16" i="27"/>
  <c r="P50" i="16" s="1"/>
  <c r="O16" i="27"/>
  <c r="P51" i="16" s="1"/>
  <c r="P16" i="27"/>
  <c r="P52" i="16" s="1"/>
  <c r="F16" i="27"/>
  <c r="P42" i="16" s="1"/>
  <c r="C5" i="27"/>
  <c r="AA10" i="16"/>
  <c r="F81" i="16"/>
  <c r="H16" i="28" l="1"/>
  <c r="F17" i="28"/>
  <c r="G16" i="28"/>
  <c r="I15" i="28"/>
  <c r="Q43" i="16"/>
  <c r="Q48" i="16"/>
  <c r="Q49" i="16"/>
  <c r="Q45" i="16"/>
  <c r="Q52" i="16"/>
  <c r="Q44" i="16"/>
  <c r="Q46" i="16"/>
  <c r="Q51" i="16"/>
  <c r="Q50" i="16"/>
  <c r="Q42" i="16"/>
  <c r="S52" i="16"/>
  <c r="S51" i="16"/>
  <c r="S49" i="16"/>
  <c r="S50" i="16"/>
  <c r="S48" i="16"/>
  <c r="S43" i="16"/>
  <c r="S46" i="16"/>
  <c r="S44" i="16"/>
  <c r="S42" i="16"/>
  <c r="S45" i="16"/>
  <c r="I16" i="28" l="1"/>
  <c r="J16" i="28"/>
  <c r="K16" i="28" s="1"/>
  <c r="M17" i="28"/>
  <c r="F18" i="28"/>
  <c r="G17" i="28"/>
  <c r="H17" i="28"/>
  <c r="J15" i="28"/>
  <c r="K15" i="28" s="1"/>
  <c r="M16" i="2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G18" i="28" l="1"/>
  <c r="F19" i="28"/>
  <c r="H18" i="28"/>
  <c r="L16" i="28"/>
  <c r="L15" i="28"/>
  <c r="I17" i="28"/>
  <c r="M18" i="28" l="1"/>
  <c r="J17" i="28"/>
  <c r="K17" i="28" s="1"/>
  <c r="G19" i="28"/>
  <c r="H19" i="28"/>
  <c r="F20" i="28"/>
  <c r="I19" i="28" s="1"/>
  <c r="I18" i="28"/>
  <c r="J19" i="28" l="1"/>
  <c r="J18" i="28"/>
  <c r="K18" i="28" s="1"/>
  <c r="M19" i="28"/>
  <c r="M20" i="28" s="1"/>
  <c r="L17" i="28"/>
  <c r="H20" i="28"/>
  <c r="F21" i="28"/>
  <c r="G20" i="28"/>
  <c r="H21" i="28" l="1"/>
  <c r="F22" i="28"/>
  <c r="I21" i="28" s="1"/>
  <c r="G21" i="28"/>
  <c r="I20" i="28"/>
  <c r="L18" i="28"/>
  <c r="K19" i="28"/>
  <c r="M22" i="28" l="1"/>
  <c r="J21" i="28"/>
  <c r="K21" i="28" s="1"/>
  <c r="G22" i="28"/>
  <c r="H22" i="28"/>
  <c r="F23" i="28"/>
  <c r="J20" i="28"/>
  <c r="K20" i="28" s="1"/>
  <c r="M21" i="28"/>
  <c r="L19" i="28"/>
  <c r="L21" i="28" l="1"/>
  <c r="H23" i="28"/>
  <c r="G23" i="28"/>
  <c r="F24" i="28"/>
  <c r="L20" i="28"/>
  <c r="I22" i="28"/>
  <c r="H24" i="28" l="1"/>
  <c r="F25" i="28"/>
  <c r="G24" i="28"/>
  <c r="I24" i="28"/>
  <c r="I23" i="28"/>
  <c r="M23" i="28"/>
  <c r="J22" i="28"/>
  <c r="K22" i="28" s="1"/>
  <c r="J24" i="28" l="1"/>
  <c r="L22" i="28"/>
  <c r="G25" i="28"/>
  <c r="H25" i="28"/>
  <c r="F26" i="28"/>
  <c r="M24" i="28"/>
  <c r="M25" i="28" s="1"/>
  <c r="J23" i="28"/>
  <c r="K23" i="28" s="1"/>
  <c r="L23" i="28" s="1"/>
  <c r="I25" i="28" l="1"/>
  <c r="M26" i="28"/>
  <c r="J25" i="28"/>
  <c r="K25" i="28" s="1"/>
  <c r="G26" i="28"/>
  <c r="F27" i="28"/>
  <c r="I26" i="28" s="1"/>
  <c r="H26" i="28"/>
  <c r="K24" i="28"/>
  <c r="L25" i="28" l="1"/>
  <c r="L24" i="28"/>
  <c r="M27" i="28"/>
  <c r="J26" i="28"/>
  <c r="K26" i="28" s="1"/>
  <c r="L26" i="28" s="1"/>
  <c r="G27" i="28"/>
  <c r="H27" i="28"/>
  <c r="F28" i="28"/>
  <c r="I27" i="28" s="1"/>
  <c r="J27" i="28" l="1"/>
  <c r="K27" i="28" s="1"/>
  <c r="M28" i="28"/>
  <c r="H28" i="28"/>
  <c r="F29" i="28"/>
  <c r="G28" i="28"/>
  <c r="L27" i="28"/>
  <c r="F30" i="28" l="1"/>
  <c r="H29" i="28"/>
  <c r="G29" i="28"/>
  <c r="I28" i="28"/>
  <c r="I29" i="28" l="1"/>
  <c r="M30" i="28"/>
  <c r="J29" i="28"/>
  <c r="K29" i="28" s="1"/>
  <c r="J28" i="28"/>
  <c r="K28" i="28" s="1"/>
  <c r="M29" i="28"/>
  <c r="G30" i="28"/>
  <c r="F31" i="28"/>
  <c r="H30" i="28"/>
  <c r="L29" i="28" l="1"/>
  <c r="L28" i="28"/>
  <c r="G31" i="28"/>
  <c r="H31" i="28"/>
  <c r="F32" i="28"/>
  <c r="I31" i="28" s="1"/>
  <c r="I30" i="28"/>
  <c r="J31" i="28" l="1"/>
  <c r="J30" i="28"/>
  <c r="K30" i="28" s="1"/>
  <c r="M31" i="28"/>
  <c r="M32" i="28" s="1"/>
  <c r="H32" i="28"/>
  <c r="F33" i="28"/>
  <c r="I32" i="28"/>
  <c r="G32" i="28"/>
  <c r="J32" i="28" l="1"/>
  <c r="M33" i="28"/>
  <c r="L30" i="28"/>
  <c r="H33" i="28"/>
  <c r="F34" i="28"/>
  <c r="G33" i="28"/>
  <c r="K31" i="28"/>
  <c r="L31" i="28" s="1"/>
  <c r="G34" i="28" l="1"/>
  <c r="F35" i="28"/>
  <c r="H34" i="28"/>
  <c r="I33" i="28"/>
  <c r="K32" i="28"/>
  <c r="L32" i="28" s="1"/>
  <c r="G35" i="28" l="1"/>
  <c r="H35" i="28"/>
  <c r="F36" i="28"/>
  <c r="I34" i="28"/>
  <c r="M34" i="28"/>
  <c r="J33" i="28"/>
  <c r="K33" i="28" s="1"/>
  <c r="H36" i="28" l="1"/>
  <c r="F37" i="28"/>
  <c r="I36" i="28" s="1"/>
  <c r="G36" i="28"/>
  <c r="L33" i="28"/>
  <c r="M35" i="28"/>
  <c r="J34" i="28"/>
  <c r="K34" i="28" s="1"/>
  <c r="I35" i="28"/>
  <c r="J36" i="28" l="1"/>
  <c r="H37" i="28"/>
  <c r="F38" i="28"/>
  <c r="I37" i="28" s="1"/>
  <c r="G37" i="28"/>
  <c r="J35" i="28"/>
  <c r="K35" i="28" s="1"/>
  <c r="L35" i="28" s="1"/>
  <c r="M36" i="28"/>
  <c r="M37" i="28" s="1"/>
  <c r="L34" i="28"/>
  <c r="M38" i="28" l="1"/>
  <c r="J37" i="28"/>
  <c r="G38" i="28"/>
  <c r="H38" i="28"/>
  <c r="K36" i="28"/>
  <c r="I38" i="28" l="1"/>
  <c r="J38" i="28" s="1"/>
  <c r="K38" i="28" s="1"/>
  <c r="C9" i="27" s="1"/>
  <c r="C10" i="27" s="1"/>
  <c r="L37" i="28"/>
  <c r="L36" i="28"/>
  <c r="K37" i="28"/>
  <c r="L38" i="28" s="1"/>
  <c r="T38" i="16" l="1"/>
  <c r="Q39" i="16"/>
  <c r="K15" i="27"/>
  <c r="O47" i="16" s="1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6-01-27' and AsOfDate&gt;= '2015-12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6-01-27' and AsOfDate&gt;= '2016-01-21' order by d.AsOfDate"/>
  </connection>
  <connection id="3" name="FunctionOfRatesLoanQuery" type="1" refreshedVersion="4" savePassword="1" saveData="1">
    <dbPr connection="DSN=Agency" command="exec RefinancibleUniverse_FunctionOfRates_Loan  3.66158749940952, '2015-12-01'"/>
  </connection>
  <connection id="4" name="FunctionOfRatesLoanWithLowestRateQuery" type="1" refreshedVersion="4" savePassword="1" saveData="1">
    <dbPr connection="DSN=Agency" command="exec RefinancibleUniverse_FunctionOfRates_LowestRate_Loan 3.66158749940952, '2015-12-01', '2016-01-21'"/>
  </connection>
  <connection id="5" name="FunctionOfRatesPoolQuery" type="1" refreshedVersion="4" savePassword="1" saveData="1">
    <dbPr connection="DSN=Agency" command="exec RefinancibleUniverse_FunctionOfRates  3.66158749940952, '2015-12-01'"/>
  </connection>
  <connection id="6" name="LoanLevelLowestRateQuery" type="1" refreshedVersion="4" savePassword="1" saveData="1">
    <dbPr connection="DSN=Agency" command="exec RefinancibleUniverse_LoanLevel_withLowestRate '2016-01-27'"/>
  </connection>
  <connection id="7" name="LoanLevelQuery" type="1" refreshedVersion="4" savePassword="1" saveData="1">
    <dbPr connection="DSN=Agency" command="exec RefinancibleUniverse_LoanLevel '2016-01-27'"/>
  </connection>
  <connection id="8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9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0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1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2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3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PMMSQuery" type="1" refreshedVersion="4" savePassword="1" saveData="1">
    <dbPr connection="DSN=Agency" command="commit; 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6-01-21' group by AsOfDate "/>
  </connection>
  <connection id="15" name="PoolLevelQuery" type="1" refreshedVersion="4" savePassword="1" saveData="1">
    <dbPr connection="DSN=Agency" command="DROP TABLE IF EXISTS #tempone select AsOfDate, convert(date, year(asOfDate) || '-' || month(asOfDate) || '-01') as AsOf, lastmonth = dateadd(month, -1, AsOf)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t.lastmonth = f.asOf and t.asOfDate &gt;= '20110101' group by t.asOfDate order by t.asOfDate desc"/>
  </connection>
  <connection id="16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7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1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2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3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4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<sst xmlns="http://schemas.openxmlformats.org/spreadsheetml/2006/main" count="211" uniqueCount="155">
  <si>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</si>
  <si>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</si>
  <si>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</si>
  <si>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</si>
  <si>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</si>
  <si>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</si>
  <si>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</si>
  <si>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</si>
  <si>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</si>
  <si>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</si>
  <si>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</si>
  <si>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</si>
  <si>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</si>
  <si>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</si>
  <si>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</si>
  <si>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</si>
  <si>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</si>
  <si>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</si>
  <si>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</si>
  <si>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</si>
  <si>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</si>
  <si>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</si>
  <si>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</si>
  <si>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</si>
  <si>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</si>
  <si>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</si>
  <si>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</si>
  <si>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</si>
  <si>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</si>
  <si>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</si>
  <si>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</si>
  <si>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</si>
  <si>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</si>
  <si>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</si>
  <si>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</si>
  <si>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</si>
  <si>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</si>
  <si>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</si>
  <si>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</si>
  <si>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</si>
  <si>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</si>
  <si>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</si>
  <si>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</si>
  <si>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</si>
  <si>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</si>
  <si>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</si>
  <si>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</si>
  <si>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</si>
  <si>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</si>
  <si>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</si>
  <si>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</si>
  <si>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</si>
  <si>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</si>
  <si>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</si>
  <si>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</si>
  <si>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</si>
  <si>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</si>
  <si>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</si>
  <si>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</si>
  <si>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</si>
  <si>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</si>
  <si>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</si>
  <si>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</si>
  <si>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</si>
  <si>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</si>
  <si>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</si>
  <si>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</si>
  <si>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</si>
  <si>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</si>
  <si>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</si>
  <si>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</si>
  <si>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</si>
  <si>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</si>
  <si>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</si>
  <si>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</si>
  <si>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</si>
  <si>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</si>
  <si>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Refi Index will be updated on next Wednesday.</t>
  </si>
  <si>
    <t>Loan Level with Lowest Rate</t>
  </si>
  <si>
    <t>Loan Level with Lowest Rate Latest Update</t>
  </si>
  <si>
    <t>Lowest Rate Weekly-cerrect</t>
  </si>
  <si>
    <t>With Lowest Rate</t>
  </si>
  <si>
    <t>Loan with Lowest Rate</t>
  </si>
  <si>
    <t>Lowest Rate</t>
  </si>
  <si>
    <t>Scenario</t>
  </si>
  <si>
    <t>IF(DAY(CurrentCloseDate)&lt;5,(CurrentCloseDate-DAY(CurrentCloseDate))-DAY((CurrentCloseDate-DAY(CurrentCloseDate)))+1,CurrentCloseDate-DAY(CurrentCloseDate)+1)</t>
  </si>
  <si>
    <t>PMMS 1-Point Rate: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</si>
  <si>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</si>
  <si>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</si>
  <si>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</si>
  <si>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</si>
  <si>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</si>
  <si>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</si>
  <si>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</si>
  <si>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</t>
  </si>
  <si>
    <t>Servicing Spread Non-Zero</t>
  </si>
  <si>
    <t>Servicing Spread 1m chg</t>
  </si>
  <si>
    <t>Survey Rate 1m chg</t>
  </si>
  <si>
    <t>MONDAY</t>
  </si>
  <si>
    <t>TUESDAY</t>
  </si>
  <si>
    <t>WEDNESDAY</t>
  </si>
  <si>
    <t>THURSDAY</t>
  </si>
  <si>
    <t>FRIDAY</t>
  </si>
  <si>
    <t>SATURDAY</t>
  </si>
  <si>
    <t>SUNDAY</t>
  </si>
  <si>
    <t>Servicing Spread Query</t>
  </si>
  <si>
    <t>TickerName</t>
  </si>
  <si>
    <t>FN_CMM_30Yr</t>
  </si>
  <si>
    <t>Current Coupon</t>
  </si>
  <si>
    <t>Implied Rate</t>
  </si>
  <si>
    <t>Daily Rate is calculated by current coupon plus the implied servicing spread.</t>
  </si>
  <si>
    <t>Current Coupon:</t>
  </si>
  <si>
    <t>Servicing Spread:</t>
  </si>
  <si>
    <t>Implied Primary Rate:</t>
  </si>
  <si>
    <t>2015-12-01</t>
  </si>
  <si>
    <t>2015-12-02</t>
  </si>
  <si>
    <t>Last Thursday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</si>
  <si>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</si>
  <si>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</si>
  <si>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</si>
  <si>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</si>
  <si>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</si>
  <si>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</si>
  <si>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</si>
  <si>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</si>
  <si>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</si>
  <si>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</si>
  <si>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</si>
  <si>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</si>
  <si>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</si>
  <si>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</si>
  <si>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</si>
  <si>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</si>
  <si>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S:\IT\Production\Daily Reports\Primary Market\2016-01\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</si>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</sst>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  <numFmt numFmtId="197" formatCode="yyyy\-mm\-dd"/>
  </numFmts>
  <fonts count="1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9"/>
      <color rgb="FFAD275C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scheme val="minor"/>
    </font>
    <font>
      <sz val="10"/>
      <color theme="1"/>
      <name val="Calibri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/>
      <diagonal/>
    </border>
    <border>
      <left style="medium">
        <color rgb="FF2E398A"/>
      </left>
      <right style="medium">
        <color rgb="FF2E398A"/>
      </right>
      <top/>
      <bottom style="thin">
        <color rgb="FF2E398A"/>
      </bottom>
      <diagonal/>
    </border>
    <border>
      <left/>
      <right/>
      <top style="medium">
        <color rgb="FF2E398A"/>
      </top>
      <bottom/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114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4" fontId="7" fillId="0" borderId="43" xfId="0" applyNumberFormat="1" applyFont="1" applyBorder="1"/>
    <xf numFmtId="164" fontId="8" fillId="7" borderId="44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5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4" xfId="1" applyNumberFormat="1" applyFont="1" applyBorder="1" applyAlignment="1">
      <alignment horizontal="center" vertical="center"/>
    </xf>
    <xf numFmtId="2" fontId="8" fillId="7" borderId="44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right"/>
    </xf>
    <xf numFmtId="164" fontId="8" fillId="7" borderId="49" xfId="0" applyNumberFormat="1" applyFont="1" applyFill="1" applyBorder="1" applyAlignment="1">
      <alignment horizontal="center"/>
    </xf>
    <xf numFmtId="164" fontId="8" fillId="7" borderId="50" xfId="0" applyNumberFormat="1" applyFont="1" applyFill="1" applyBorder="1" applyAlignment="1">
      <alignment horizontal="center"/>
    </xf>
    <xf numFmtId="14" fontId="7" fillId="0" borderId="49" xfId="0" applyNumberFormat="1" applyFont="1" applyBorder="1" applyAlignment="1">
      <alignment horizontal="center" vertical="center"/>
    </xf>
    <xf numFmtId="14" fontId="7" fillId="0" borderId="51" xfId="0" applyNumberFormat="1" applyFont="1" applyBorder="1" applyAlignment="1">
      <alignment horizontal="center" vertical="center"/>
    </xf>
    <xf numFmtId="194" fontId="7" fillId="0" borderId="52" xfId="1" applyNumberFormat="1" applyFont="1" applyBorder="1" applyAlignment="1">
      <alignment horizontal="center" vertical="center"/>
    </xf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0" applyNumberFormat="1" applyFont="1" applyBorder="1" applyAlignment="1">
      <alignment horizontal="center" vertical="center"/>
    </xf>
    <xf numFmtId="194" fontId="7" fillId="0" borderId="53" xfId="1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51" xfId="0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vertical="center"/>
    </xf>
    <xf numFmtId="2" fontId="4" fillId="67" borderId="49" xfId="0" applyNumberFormat="1" applyFont="1" applyFill="1" applyBorder="1" applyAlignment="1">
      <alignment horizontal="center" vertical="center"/>
    </xf>
    <xf numFmtId="194" fontId="4" fillId="67" borderId="50" xfId="1" quotePrefix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94" fontId="4" fillId="67" borderId="49" xfId="1" applyNumberFormat="1" applyFont="1" applyFill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39" fillId="0" borderId="0" xfId="0" applyNumberFormat="1" applyFont="1" applyAlignment="1">
      <alignment horizontal="left"/>
    </xf>
    <xf numFmtId="164" fontId="8" fillId="7" borderId="57" xfId="0" applyNumberFormat="1" applyFont="1" applyFill="1" applyBorder="1" applyAlignment="1">
      <alignment horizontal="center" vertical="center"/>
    </xf>
    <xf numFmtId="164" fontId="8" fillId="7" borderId="39" xfId="0" applyNumberFormat="1" applyFont="1" applyFill="1" applyBorder="1" applyAlignment="1">
      <alignment horizontal="center"/>
    </xf>
    <xf numFmtId="194" fontId="7" fillId="0" borderId="39" xfId="1" applyNumberFormat="1" applyFont="1" applyBorder="1" applyAlignment="1">
      <alignment horizontal="center" vertical="center"/>
    </xf>
    <xf numFmtId="194" fontId="7" fillId="0" borderId="58" xfId="1" applyNumberFormat="1" applyFont="1" applyBorder="1" applyAlignment="1">
      <alignment horizontal="center" vertical="center"/>
    </xf>
    <xf numFmtId="164" fontId="0" fillId="0" borderId="0" xfId="0" applyNumberFormat="1"/>
    <xf numFmtId="194" fontId="0" fillId="0" borderId="0" xfId="0" applyNumberFormat="1"/>
    <xf numFmtId="0" fontId="7" fillId="0" borderId="0" xfId="0" quotePrefix="1" applyFont="1" applyAlignment="1"/>
    <xf numFmtId="14" fontId="139" fillId="0" borderId="0" xfId="0" applyNumberFormat="1" applyFont="1" applyAlignment="1">
      <alignment horizontal="center"/>
    </xf>
    <xf numFmtId="0" fontId="140" fillId="41" borderId="0" xfId="351" applyFont="1"/>
    <xf numFmtId="0" fontId="34" fillId="41" borderId="0" xfId="351"/>
    <xf numFmtId="0" fontId="34" fillId="41" borderId="0" xfId="351" applyFont="1" applyAlignment="1">
      <alignment horizontal="center"/>
    </xf>
    <xf numFmtId="14" fontId="34" fillId="41" borderId="0" xfId="351" applyNumberFormat="1" applyFont="1"/>
    <xf numFmtId="0" fontId="34" fillId="41" borderId="0" xfId="351" applyNumberFormat="1" applyFont="1"/>
    <xf numFmtId="0" fontId="34" fillId="41" borderId="0" xfId="351" applyFont="1"/>
    <xf numFmtId="0" fontId="141" fillId="41" borderId="0" xfId="351" applyFont="1"/>
    <xf numFmtId="197" fontId="7" fillId="0" borderId="0" xfId="0" applyNumberFormat="1" applyFont="1"/>
    <xf numFmtId="0" fontId="7" fillId="0" borderId="44" xfId="0" applyFont="1" applyBorder="1"/>
    <xf numFmtId="10" fontId="7" fillId="0" borderId="44" xfId="0" applyNumberFormat="1" applyFont="1" applyBorder="1"/>
    <xf numFmtId="2" fontId="139" fillId="0" borderId="0" xfId="0" applyNumberFormat="1" applyFont="1" applyAlignment="1">
      <alignment horizontal="left"/>
    </xf>
    <xf numFmtId="2" fontId="142" fillId="0" borderId="0" xfId="0" applyNumberFormat="1" applyFont="1" applyAlignment="1">
      <alignment horizontal="left"/>
    </xf>
    <xf numFmtId="0" fontId="142" fillId="0" borderId="0" xfId="0" applyFont="1" applyAlignment="1">
      <alignment horizontal="left"/>
    </xf>
    <xf numFmtId="0" fontId="138" fillId="0" borderId="0" xfId="0" applyFont="1" applyAlignment="1">
      <alignment horizontal="right"/>
    </xf>
    <xf numFmtId="14" fontId="143" fillId="68" borderId="0" xfId="351" applyNumberFormat="1" applyFont="1" applyFill="1"/>
    <xf numFmtId="0" fontId="143" fillId="41" borderId="0" xfId="351" applyNumberFormat="1" applyFont="1"/>
    <xf numFmtId="0" fontId="144" fillId="68" borderId="0" xfId="0" applyFont="1" applyFill="1"/>
    <xf numFmtId="0" fontId="144" fillId="0" borderId="0" xfId="0" applyFont="1"/>
    <xf numFmtId="0" fontId="145" fillId="41" borderId="0" xfId="351" applyNumberFormat="1" applyFont="1"/>
    <xf numFmtId="14" fontId="145" fillId="68" borderId="0" xfId="351" applyNumberFormat="1" applyFont="1" applyFill="1"/>
    <xf numFmtId="0" fontId="146" fillId="68" borderId="0" xfId="0" applyFont="1" applyFill="1"/>
    <xf numFmtId="0" fontId="146" fillId="0" borderId="0" xfId="0" applyFont="1"/>
    <xf numFmtId="14" fontId="146" fillId="0" borderId="0" xfId="0" applyNumberFormat="1" applyFont="1"/>
    <xf numFmtId="10" fontId="146" fillId="0" borderId="0" xfId="1" applyNumberFormat="1" applyFont="1"/>
    <xf numFmtId="2" fontId="146" fillId="0" borderId="0" xfId="1" applyNumberFormat="1" applyFont="1"/>
    <xf numFmtId="14" fontId="147" fillId="68" borderId="0" xfId="351" applyNumberFormat="1" applyFont="1" applyFill="1"/>
    <xf numFmtId="0" fontId="148" fillId="68" borderId="0" xfId="0" applyFont="1" applyFill="1"/>
    <xf numFmtId="0" fontId="148" fillId="0" borderId="0" xfId="0" applyFont="1"/>
    <xf numFmtId="0" fontId="147" fillId="41" borderId="0" xfId="351" applyNumberFormat="1" applyFont="1"/>
    <xf numFmtId="14" fontId="148" fillId="0" borderId="0" xfId="0" applyNumberFormat="1" applyFont="1"/>
    <xf numFmtId="10" fontId="148" fillId="0" borderId="0" xfId="1" applyNumberFormat="1" applyFont="1"/>
    <xf numFmtId="2" fontId="148" fillId="0" borderId="0" xfId="1" applyNumberFormat="1" applyFont="1"/>
    <xf numFmtId="14" fontId="147" fillId="41" borderId="0" xfId="351" applyNumberFormat="1" applyFont="1"/>
    <xf numFmtId="14" fontId="7" fillId="0" borderId="45" xfId="0" applyNumberFormat="1" applyFont="1" applyBorder="1"/>
    <xf numFmtId="0" fontId="138" fillId="0" borderId="61" xfId="0" applyFont="1" applyBorder="1" applyAlignment="1">
      <alignment horizontal="left" wrapText="1"/>
    </xf>
    <xf numFmtId="0" fontId="138" fillId="0" borderId="0" xfId="0" applyFont="1" applyBorder="1" applyAlignment="1">
      <alignment horizontal="left" wrapText="1"/>
    </xf>
    <xf numFmtId="164" fontId="8" fillId="7" borderId="59" xfId="0" applyNumberFormat="1" applyFont="1" applyFill="1" applyBorder="1" applyAlignment="1">
      <alignment horizontal="center" vertical="center" wrapText="1"/>
    </xf>
    <xf numFmtId="164" fontId="8" fillId="7" borderId="60" xfId="0" applyNumberFormat="1" applyFont="1" applyFill="1" applyBorder="1" applyAlignment="1">
      <alignment horizontal="center" vertical="center" wrapText="1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48" xfId="0" applyNumberFormat="1" applyFont="1" applyFill="1" applyBorder="1" applyAlignment="1">
      <alignment horizontal="center" vertical="center"/>
    </xf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99"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ill>
        <patternFill>
          <bgColor rgb="FFFFFF00"/>
        </patternFill>
      </fill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8A60"/>
      <color rgb="FFC7732D"/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3.66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0.86053180244373184</c:v>
                </c:pt>
                <c:pt idx="1">
                  <c:v>0.8184510925623657</c:v>
                </c:pt>
                <c:pt idx="2">
                  <c:v>0.792866485196005</c:v>
                </c:pt>
                <c:pt idx="3">
                  <c:v>0.72966650219578055</c:v>
                </c:pt>
                <c:pt idx="4">
                  <c:v>0.63326735135921475</c:v>
                </c:pt>
                <c:pt idx="5">
                  <c:v>0.56800749856224098</c:v>
                </c:pt>
                <c:pt idx="6">
                  <c:v>0.51003079367236948</c:v>
                </c:pt>
                <c:pt idx="7">
                  <c:v>0.4717835174387458</c:v>
                </c:pt>
                <c:pt idx="8">
                  <c:v>0.40258680715943373</c:v>
                </c:pt>
                <c:pt idx="9">
                  <c:v>0.33462040705764007</c:v>
                </c:pt>
                <c:pt idx="10">
                  <c:v>0.28177528893959342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3.66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0.84643843890489245</c:v>
                </c:pt>
                <c:pt idx="1">
                  <c:v>0.78152591353017187</c:v>
                </c:pt>
                <c:pt idx="2">
                  <c:v>0.746818843150719</c:v>
                </c:pt>
                <c:pt idx="3">
                  <c:v>0.66715703091155365</c:v>
                </c:pt>
                <c:pt idx="4">
                  <c:v>0.61558305422363835</c:v>
                </c:pt>
                <c:pt idx="5">
                  <c:v>0.54312817108621503</c:v>
                </c:pt>
                <c:pt idx="6">
                  <c:v>0.47321858328194433</c:v>
                </c:pt>
                <c:pt idx="7">
                  <c:v>0.43741825263314521</c:v>
                </c:pt>
                <c:pt idx="8">
                  <c:v>0.3767105638497712</c:v>
                </c:pt>
                <c:pt idx="9">
                  <c:v>0.34196709950175791</c:v>
                </c:pt>
                <c:pt idx="10">
                  <c:v>0.29865465031952421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3.66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0.84640930475898668</c:v>
                </c:pt>
                <c:pt idx="1">
                  <c:v>0.34932649060755155</c:v>
                </c:pt>
                <c:pt idx="2">
                  <c:v>0.30138358197724158</c:v>
                </c:pt>
                <c:pt idx="3">
                  <c:v>0.25820318523572161</c:v>
                </c:pt>
                <c:pt idx="4">
                  <c:v>4.1692117251124428E-2</c:v>
                </c:pt>
                <c:pt idx="5">
                  <c:v>4.262751272507909E-3</c:v>
                </c:pt>
                <c:pt idx="6">
                  <c:v>2.1705889654440326E-3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569088"/>
        <c:axId val="189379712"/>
      </c:lineChart>
      <c:catAx>
        <c:axId val="1485690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89379712"/>
        <c:crosses val="autoZero"/>
        <c:auto val="1"/>
        <c:lblAlgn val="ctr"/>
        <c:lblOffset val="100"/>
        <c:noMultiLvlLbl val="0"/>
      </c:catAx>
      <c:valAx>
        <c:axId val="18937971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48569088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With Lowest Rate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Query!$B$3:$B$266</c:f>
              <c:numCache>
                <c:formatCode>m/d/yyyy</c:formatCode>
                <c:ptCount val="264"/>
                <c:pt idx="0">
                  <c:v>42390</c:v>
                </c:pt>
                <c:pt idx="1">
                  <c:v>42383</c:v>
                </c:pt>
                <c:pt idx="2">
                  <c:v>42376</c:v>
                </c:pt>
                <c:pt idx="3">
                  <c:v>42369</c:v>
                </c:pt>
                <c:pt idx="4">
                  <c:v>42362</c:v>
                </c:pt>
                <c:pt idx="5">
                  <c:v>42355</c:v>
                </c:pt>
                <c:pt idx="6">
                  <c:v>42348</c:v>
                </c:pt>
                <c:pt idx="7">
                  <c:v>42341</c:v>
                </c:pt>
                <c:pt idx="8">
                  <c:v>42333</c:v>
                </c:pt>
                <c:pt idx="9">
                  <c:v>42327</c:v>
                </c:pt>
                <c:pt idx="10">
                  <c:v>42320</c:v>
                </c:pt>
                <c:pt idx="11">
                  <c:v>42313</c:v>
                </c:pt>
                <c:pt idx="12">
                  <c:v>42306</c:v>
                </c:pt>
                <c:pt idx="13">
                  <c:v>42299</c:v>
                </c:pt>
                <c:pt idx="14">
                  <c:v>42292</c:v>
                </c:pt>
                <c:pt idx="15">
                  <c:v>42285</c:v>
                </c:pt>
                <c:pt idx="16">
                  <c:v>42278</c:v>
                </c:pt>
                <c:pt idx="17">
                  <c:v>42271</c:v>
                </c:pt>
                <c:pt idx="18">
                  <c:v>42264</c:v>
                </c:pt>
                <c:pt idx="19">
                  <c:v>42257</c:v>
                </c:pt>
                <c:pt idx="20">
                  <c:v>42250</c:v>
                </c:pt>
                <c:pt idx="21">
                  <c:v>42243</c:v>
                </c:pt>
                <c:pt idx="22">
                  <c:v>42236</c:v>
                </c:pt>
                <c:pt idx="23">
                  <c:v>42229</c:v>
                </c:pt>
                <c:pt idx="24">
                  <c:v>42222</c:v>
                </c:pt>
                <c:pt idx="25">
                  <c:v>42215</c:v>
                </c:pt>
                <c:pt idx="26">
                  <c:v>42208</c:v>
                </c:pt>
                <c:pt idx="27">
                  <c:v>42201</c:v>
                </c:pt>
                <c:pt idx="28">
                  <c:v>42194</c:v>
                </c:pt>
                <c:pt idx="29">
                  <c:v>42187</c:v>
                </c:pt>
                <c:pt idx="30">
                  <c:v>42180</c:v>
                </c:pt>
                <c:pt idx="31">
                  <c:v>42173</c:v>
                </c:pt>
                <c:pt idx="32">
                  <c:v>42166</c:v>
                </c:pt>
                <c:pt idx="33">
                  <c:v>42159</c:v>
                </c:pt>
                <c:pt idx="34">
                  <c:v>42152</c:v>
                </c:pt>
                <c:pt idx="35">
                  <c:v>42145</c:v>
                </c:pt>
                <c:pt idx="36">
                  <c:v>42138</c:v>
                </c:pt>
                <c:pt idx="37">
                  <c:v>42131</c:v>
                </c:pt>
                <c:pt idx="38">
                  <c:v>42124</c:v>
                </c:pt>
                <c:pt idx="39">
                  <c:v>42117</c:v>
                </c:pt>
                <c:pt idx="40">
                  <c:v>42110</c:v>
                </c:pt>
                <c:pt idx="41">
                  <c:v>42103</c:v>
                </c:pt>
                <c:pt idx="42">
                  <c:v>42096</c:v>
                </c:pt>
                <c:pt idx="43">
                  <c:v>42089</c:v>
                </c:pt>
                <c:pt idx="44">
                  <c:v>42082</c:v>
                </c:pt>
                <c:pt idx="45">
                  <c:v>42075</c:v>
                </c:pt>
                <c:pt idx="46">
                  <c:v>42068</c:v>
                </c:pt>
                <c:pt idx="47">
                  <c:v>42061</c:v>
                </c:pt>
                <c:pt idx="48">
                  <c:v>42054</c:v>
                </c:pt>
                <c:pt idx="49">
                  <c:v>42047</c:v>
                </c:pt>
                <c:pt idx="50">
                  <c:v>42040</c:v>
                </c:pt>
                <c:pt idx="51">
                  <c:v>42033</c:v>
                </c:pt>
                <c:pt idx="52">
                  <c:v>42026</c:v>
                </c:pt>
                <c:pt idx="53">
                  <c:v>42019</c:v>
                </c:pt>
                <c:pt idx="54">
                  <c:v>42012</c:v>
                </c:pt>
                <c:pt idx="55">
                  <c:v>42004</c:v>
                </c:pt>
                <c:pt idx="56">
                  <c:v>41997</c:v>
                </c:pt>
                <c:pt idx="57">
                  <c:v>41991</c:v>
                </c:pt>
                <c:pt idx="58">
                  <c:v>41984</c:v>
                </c:pt>
                <c:pt idx="59">
                  <c:v>41977</c:v>
                </c:pt>
                <c:pt idx="60">
                  <c:v>41969</c:v>
                </c:pt>
                <c:pt idx="61">
                  <c:v>41963</c:v>
                </c:pt>
                <c:pt idx="62">
                  <c:v>41956</c:v>
                </c:pt>
                <c:pt idx="63">
                  <c:v>41949</c:v>
                </c:pt>
                <c:pt idx="64">
                  <c:v>41942</c:v>
                </c:pt>
                <c:pt idx="65">
                  <c:v>41935</c:v>
                </c:pt>
                <c:pt idx="66">
                  <c:v>41928</c:v>
                </c:pt>
                <c:pt idx="67">
                  <c:v>41921</c:v>
                </c:pt>
                <c:pt idx="68">
                  <c:v>41914</c:v>
                </c:pt>
                <c:pt idx="69">
                  <c:v>41907</c:v>
                </c:pt>
                <c:pt idx="70">
                  <c:v>41900</c:v>
                </c:pt>
                <c:pt idx="71">
                  <c:v>41893</c:v>
                </c:pt>
                <c:pt idx="72">
                  <c:v>41886</c:v>
                </c:pt>
                <c:pt idx="73">
                  <c:v>41879</c:v>
                </c:pt>
                <c:pt idx="74">
                  <c:v>41872</c:v>
                </c:pt>
                <c:pt idx="75">
                  <c:v>41865</c:v>
                </c:pt>
                <c:pt idx="76">
                  <c:v>41858</c:v>
                </c:pt>
                <c:pt idx="77">
                  <c:v>41851</c:v>
                </c:pt>
                <c:pt idx="78">
                  <c:v>41844</c:v>
                </c:pt>
                <c:pt idx="79">
                  <c:v>41837</c:v>
                </c:pt>
                <c:pt idx="80">
                  <c:v>41830</c:v>
                </c:pt>
                <c:pt idx="81">
                  <c:v>41823</c:v>
                </c:pt>
                <c:pt idx="82">
                  <c:v>41816</c:v>
                </c:pt>
                <c:pt idx="83">
                  <c:v>41809</c:v>
                </c:pt>
                <c:pt idx="84">
                  <c:v>41802</c:v>
                </c:pt>
                <c:pt idx="85">
                  <c:v>41795</c:v>
                </c:pt>
                <c:pt idx="86">
                  <c:v>41788</c:v>
                </c:pt>
                <c:pt idx="87">
                  <c:v>41781</c:v>
                </c:pt>
                <c:pt idx="88">
                  <c:v>41774</c:v>
                </c:pt>
                <c:pt idx="89">
                  <c:v>41767</c:v>
                </c:pt>
                <c:pt idx="90">
                  <c:v>41760</c:v>
                </c:pt>
                <c:pt idx="91">
                  <c:v>41753</c:v>
                </c:pt>
                <c:pt idx="92">
                  <c:v>41746</c:v>
                </c:pt>
                <c:pt idx="93">
                  <c:v>41739</c:v>
                </c:pt>
                <c:pt idx="94">
                  <c:v>41732</c:v>
                </c:pt>
                <c:pt idx="95">
                  <c:v>41725</c:v>
                </c:pt>
                <c:pt idx="96">
                  <c:v>41718</c:v>
                </c:pt>
                <c:pt idx="97">
                  <c:v>41711</c:v>
                </c:pt>
                <c:pt idx="98">
                  <c:v>41704</c:v>
                </c:pt>
                <c:pt idx="99">
                  <c:v>41697</c:v>
                </c:pt>
                <c:pt idx="100">
                  <c:v>41690</c:v>
                </c:pt>
                <c:pt idx="101">
                  <c:v>41683</c:v>
                </c:pt>
                <c:pt idx="102">
                  <c:v>41676</c:v>
                </c:pt>
                <c:pt idx="103">
                  <c:v>41669</c:v>
                </c:pt>
                <c:pt idx="104">
                  <c:v>41662</c:v>
                </c:pt>
                <c:pt idx="105">
                  <c:v>41655</c:v>
                </c:pt>
                <c:pt idx="106">
                  <c:v>41648</c:v>
                </c:pt>
                <c:pt idx="107">
                  <c:v>41641</c:v>
                </c:pt>
                <c:pt idx="108">
                  <c:v>41634</c:v>
                </c:pt>
                <c:pt idx="109">
                  <c:v>41627</c:v>
                </c:pt>
                <c:pt idx="110">
                  <c:v>41620</c:v>
                </c:pt>
                <c:pt idx="111">
                  <c:v>41613</c:v>
                </c:pt>
                <c:pt idx="112">
                  <c:v>41605</c:v>
                </c:pt>
                <c:pt idx="113">
                  <c:v>41599</c:v>
                </c:pt>
                <c:pt idx="114">
                  <c:v>41592</c:v>
                </c:pt>
                <c:pt idx="115">
                  <c:v>41585</c:v>
                </c:pt>
                <c:pt idx="116">
                  <c:v>41578</c:v>
                </c:pt>
                <c:pt idx="117">
                  <c:v>41571</c:v>
                </c:pt>
                <c:pt idx="118">
                  <c:v>41564</c:v>
                </c:pt>
                <c:pt idx="119">
                  <c:v>41557</c:v>
                </c:pt>
                <c:pt idx="120">
                  <c:v>41550</c:v>
                </c:pt>
                <c:pt idx="121">
                  <c:v>41543</c:v>
                </c:pt>
                <c:pt idx="122">
                  <c:v>41536</c:v>
                </c:pt>
                <c:pt idx="123">
                  <c:v>41529</c:v>
                </c:pt>
                <c:pt idx="124">
                  <c:v>41522</c:v>
                </c:pt>
                <c:pt idx="125">
                  <c:v>41515</c:v>
                </c:pt>
                <c:pt idx="126">
                  <c:v>41508</c:v>
                </c:pt>
                <c:pt idx="127">
                  <c:v>41501</c:v>
                </c:pt>
                <c:pt idx="128">
                  <c:v>41494</c:v>
                </c:pt>
                <c:pt idx="129">
                  <c:v>41487</c:v>
                </c:pt>
                <c:pt idx="130">
                  <c:v>41480</c:v>
                </c:pt>
                <c:pt idx="131">
                  <c:v>41473</c:v>
                </c:pt>
                <c:pt idx="132">
                  <c:v>41466</c:v>
                </c:pt>
                <c:pt idx="133">
                  <c:v>41458</c:v>
                </c:pt>
                <c:pt idx="134">
                  <c:v>41452</c:v>
                </c:pt>
                <c:pt idx="135">
                  <c:v>41445</c:v>
                </c:pt>
                <c:pt idx="136">
                  <c:v>41438</c:v>
                </c:pt>
                <c:pt idx="137">
                  <c:v>41431</c:v>
                </c:pt>
                <c:pt idx="138">
                  <c:v>41424</c:v>
                </c:pt>
                <c:pt idx="139">
                  <c:v>41417</c:v>
                </c:pt>
                <c:pt idx="140">
                  <c:v>41410</c:v>
                </c:pt>
                <c:pt idx="141">
                  <c:v>41403</c:v>
                </c:pt>
                <c:pt idx="142">
                  <c:v>41396</c:v>
                </c:pt>
                <c:pt idx="143">
                  <c:v>41389</c:v>
                </c:pt>
                <c:pt idx="144">
                  <c:v>41382</c:v>
                </c:pt>
                <c:pt idx="145">
                  <c:v>41375</c:v>
                </c:pt>
                <c:pt idx="146">
                  <c:v>41368</c:v>
                </c:pt>
                <c:pt idx="147">
                  <c:v>41361</c:v>
                </c:pt>
                <c:pt idx="148">
                  <c:v>41354</c:v>
                </c:pt>
                <c:pt idx="149">
                  <c:v>41347</c:v>
                </c:pt>
                <c:pt idx="150">
                  <c:v>41340</c:v>
                </c:pt>
                <c:pt idx="151">
                  <c:v>41333</c:v>
                </c:pt>
                <c:pt idx="152">
                  <c:v>41326</c:v>
                </c:pt>
                <c:pt idx="153">
                  <c:v>41319</c:v>
                </c:pt>
                <c:pt idx="154">
                  <c:v>41312</c:v>
                </c:pt>
                <c:pt idx="155">
                  <c:v>41305</c:v>
                </c:pt>
                <c:pt idx="156">
                  <c:v>41298</c:v>
                </c:pt>
                <c:pt idx="157">
                  <c:v>41291</c:v>
                </c:pt>
                <c:pt idx="158">
                  <c:v>41284</c:v>
                </c:pt>
                <c:pt idx="159">
                  <c:v>41277</c:v>
                </c:pt>
                <c:pt idx="160">
                  <c:v>41270</c:v>
                </c:pt>
                <c:pt idx="161">
                  <c:v>41263</c:v>
                </c:pt>
                <c:pt idx="162">
                  <c:v>41256</c:v>
                </c:pt>
                <c:pt idx="163">
                  <c:v>41249</c:v>
                </c:pt>
                <c:pt idx="164">
                  <c:v>41242</c:v>
                </c:pt>
                <c:pt idx="165">
                  <c:v>41234</c:v>
                </c:pt>
                <c:pt idx="166">
                  <c:v>41228</c:v>
                </c:pt>
                <c:pt idx="167">
                  <c:v>41221</c:v>
                </c:pt>
                <c:pt idx="168">
                  <c:v>41214</c:v>
                </c:pt>
                <c:pt idx="169">
                  <c:v>41207</c:v>
                </c:pt>
                <c:pt idx="170">
                  <c:v>41200</c:v>
                </c:pt>
                <c:pt idx="171">
                  <c:v>41193</c:v>
                </c:pt>
                <c:pt idx="172">
                  <c:v>41186</c:v>
                </c:pt>
                <c:pt idx="173">
                  <c:v>41179</c:v>
                </c:pt>
                <c:pt idx="174">
                  <c:v>41172</c:v>
                </c:pt>
                <c:pt idx="175">
                  <c:v>41165</c:v>
                </c:pt>
                <c:pt idx="176">
                  <c:v>41158</c:v>
                </c:pt>
                <c:pt idx="177">
                  <c:v>41151</c:v>
                </c:pt>
                <c:pt idx="178">
                  <c:v>41144</c:v>
                </c:pt>
                <c:pt idx="179">
                  <c:v>41137</c:v>
                </c:pt>
                <c:pt idx="180">
                  <c:v>41130</c:v>
                </c:pt>
                <c:pt idx="181">
                  <c:v>41123</c:v>
                </c:pt>
                <c:pt idx="182">
                  <c:v>41116</c:v>
                </c:pt>
                <c:pt idx="183">
                  <c:v>41109</c:v>
                </c:pt>
                <c:pt idx="184">
                  <c:v>41102</c:v>
                </c:pt>
                <c:pt idx="185">
                  <c:v>41095</c:v>
                </c:pt>
                <c:pt idx="186">
                  <c:v>41088</c:v>
                </c:pt>
                <c:pt idx="187">
                  <c:v>41081</c:v>
                </c:pt>
                <c:pt idx="188">
                  <c:v>41074</c:v>
                </c:pt>
                <c:pt idx="189">
                  <c:v>41067</c:v>
                </c:pt>
                <c:pt idx="190">
                  <c:v>41060</c:v>
                </c:pt>
                <c:pt idx="191">
                  <c:v>41053</c:v>
                </c:pt>
                <c:pt idx="192">
                  <c:v>41046</c:v>
                </c:pt>
                <c:pt idx="193">
                  <c:v>41039</c:v>
                </c:pt>
                <c:pt idx="194">
                  <c:v>41032</c:v>
                </c:pt>
                <c:pt idx="195">
                  <c:v>41025</c:v>
                </c:pt>
                <c:pt idx="196">
                  <c:v>41018</c:v>
                </c:pt>
                <c:pt idx="197">
                  <c:v>41011</c:v>
                </c:pt>
                <c:pt idx="198">
                  <c:v>41004</c:v>
                </c:pt>
                <c:pt idx="199">
                  <c:v>40997</c:v>
                </c:pt>
                <c:pt idx="200">
                  <c:v>40990</c:v>
                </c:pt>
                <c:pt idx="201">
                  <c:v>40983</c:v>
                </c:pt>
                <c:pt idx="202">
                  <c:v>40976</c:v>
                </c:pt>
                <c:pt idx="203">
                  <c:v>40969</c:v>
                </c:pt>
                <c:pt idx="204">
                  <c:v>40962</c:v>
                </c:pt>
                <c:pt idx="205">
                  <c:v>40955</c:v>
                </c:pt>
                <c:pt idx="206">
                  <c:v>40948</c:v>
                </c:pt>
                <c:pt idx="207">
                  <c:v>40941</c:v>
                </c:pt>
                <c:pt idx="208">
                  <c:v>40934</c:v>
                </c:pt>
                <c:pt idx="209">
                  <c:v>40927</c:v>
                </c:pt>
                <c:pt idx="210">
                  <c:v>40920</c:v>
                </c:pt>
                <c:pt idx="211">
                  <c:v>40913</c:v>
                </c:pt>
                <c:pt idx="212">
                  <c:v>40906</c:v>
                </c:pt>
                <c:pt idx="213">
                  <c:v>40899</c:v>
                </c:pt>
                <c:pt idx="214">
                  <c:v>40892</c:v>
                </c:pt>
                <c:pt idx="215">
                  <c:v>40885</c:v>
                </c:pt>
                <c:pt idx="216">
                  <c:v>40878</c:v>
                </c:pt>
                <c:pt idx="217">
                  <c:v>40870</c:v>
                </c:pt>
                <c:pt idx="218">
                  <c:v>40864</c:v>
                </c:pt>
                <c:pt idx="219">
                  <c:v>40857</c:v>
                </c:pt>
                <c:pt idx="220">
                  <c:v>40850</c:v>
                </c:pt>
                <c:pt idx="221">
                  <c:v>40843</c:v>
                </c:pt>
                <c:pt idx="222">
                  <c:v>40836</c:v>
                </c:pt>
                <c:pt idx="223">
                  <c:v>40829</c:v>
                </c:pt>
                <c:pt idx="224">
                  <c:v>40822</c:v>
                </c:pt>
                <c:pt idx="225">
                  <c:v>40815</c:v>
                </c:pt>
                <c:pt idx="226">
                  <c:v>40808</c:v>
                </c:pt>
                <c:pt idx="227">
                  <c:v>40801</c:v>
                </c:pt>
                <c:pt idx="228">
                  <c:v>40794</c:v>
                </c:pt>
                <c:pt idx="229">
                  <c:v>40787</c:v>
                </c:pt>
                <c:pt idx="230">
                  <c:v>40780</c:v>
                </c:pt>
                <c:pt idx="231">
                  <c:v>40773</c:v>
                </c:pt>
                <c:pt idx="232">
                  <c:v>40766</c:v>
                </c:pt>
                <c:pt idx="233">
                  <c:v>40759</c:v>
                </c:pt>
                <c:pt idx="234">
                  <c:v>40752</c:v>
                </c:pt>
                <c:pt idx="235">
                  <c:v>40745</c:v>
                </c:pt>
                <c:pt idx="236">
                  <c:v>40738</c:v>
                </c:pt>
                <c:pt idx="237">
                  <c:v>40731</c:v>
                </c:pt>
                <c:pt idx="238">
                  <c:v>40724</c:v>
                </c:pt>
                <c:pt idx="239">
                  <c:v>40717</c:v>
                </c:pt>
                <c:pt idx="240">
                  <c:v>40710</c:v>
                </c:pt>
                <c:pt idx="241">
                  <c:v>40703</c:v>
                </c:pt>
                <c:pt idx="242">
                  <c:v>40696</c:v>
                </c:pt>
                <c:pt idx="243">
                  <c:v>40689</c:v>
                </c:pt>
                <c:pt idx="244">
                  <c:v>40682</c:v>
                </c:pt>
                <c:pt idx="245">
                  <c:v>40675</c:v>
                </c:pt>
                <c:pt idx="246">
                  <c:v>40668</c:v>
                </c:pt>
                <c:pt idx="247">
                  <c:v>40661</c:v>
                </c:pt>
                <c:pt idx="248">
                  <c:v>40654</c:v>
                </c:pt>
                <c:pt idx="249">
                  <c:v>40647</c:v>
                </c:pt>
                <c:pt idx="250">
                  <c:v>40640</c:v>
                </c:pt>
                <c:pt idx="251">
                  <c:v>40633</c:v>
                </c:pt>
                <c:pt idx="252">
                  <c:v>40626</c:v>
                </c:pt>
                <c:pt idx="253">
                  <c:v>40619</c:v>
                </c:pt>
                <c:pt idx="254">
                  <c:v>40612</c:v>
                </c:pt>
                <c:pt idx="255">
                  <c:v>40605</c:v>
                </c:pt>
                <c:pt idx="256">
                  <c:v>40598</c:v>
                </c:pt>
                <c:pt idx="257">
                  <c:v>40591</c:v>
                </c:pt>
                <c:pt idx="258">
                  <c:v>40584</c:v>
                </c:pt>
                <c:pt idx="259">
                  <c:v>40577</c:v>
                </c:pt>
                <c:pt idx="260">
                  <c:v>40570</c:v>
                </c:pt>
                <c:pt idx="261">
                  <c:v>40563</c:v>
                </c:pt>
                <c:pt idx="262">
                  <c:v>40556</c:v>
                </c:pt>
                <c:pt idx="263">
                  <c:v>40549</c:v>
                </c:pt>
              </c:numCache>
            </c:numRef>
          </c:cat>
          <c:val>
            <c:numRef>
              <c:f>Query!$E$3:$E$266</c:f>
              <c:numCache>
                <c:formatCode>0.00%</c:formatCode>
                <c:ptCount val="264"/>
                <c:pt idx="0">
                  <c:v>5.9883323412895321E-3</c:v>
                </c:pt>
                <c:pt idx="1">
                  <c:v>1.567204072611725E-3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1.4441528640997686E-2</c:v>
                </c:pt>
                <c:pt idx="16">
                  <c:v>2.9859537173618188E-3</c:v>
                </c:pt>
                <c:pt idx="17">
                  <c:v>1.3173079222055612E-3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3.1195278145772281E-3</c:v>
                </c:pt>
                <c:pt idx="22">
                  <c:v>0</c:v>
                </c:pt>
                <c:pt idx="23">
                  <c:v>0</c:v>
                </c:pt>
                <c:pt idx="24">
                  <c:v>6.2347278968544445E-4</c:v>
                </c:pt>
                <c:pt idx="25">
                  <c:v>1.9969014490481407E-4</c:v>
                </c:pt>
                <c:pt idx="26">
                  <c:v>1.4184158649271941E-4</c:v>
                </c:pt>
                <c:pt idx="27">
                  <c:v>0</c:v>
                </c:pt>
                <c:pt idx="28">
                  <c:v>1.4184380661503394E-4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3.9431628666260904E-3</c:v>
                </c:pt>
                <c:pt idx="40">
                  <c:v>0</c:v>
                </c:pt>
                <c:pt idx="41">
                  <c:v>3.87908393633439E-3</c:v>
                </c:pt>
                <c:pt idx="42">
                  <c:v>0</c:v>
                </c:pt>
                <c:pt idx="43">
                  <c:v>9.60298428502188E-4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0.17933240004933601</c:v>
                </c:pt>
                <c:pt idx="51">
                  <c:v>0</c:v>
                </c:pt>
                <c:pt idx="52">
                  <c:v>0.17811212012226099</c:v>
                </c:pt>
                <c:pt idx="53">
                  <c:v>0.177765501913389</c:v>
                </c:pt>
                <c:pt idx="54">
                  <c:v>0.14268475210645201</c:v>
                </c:pt>
                <c:pt idx="55">
                  <c:v>0</c:v>
                </c:pt>
                <c:pt idx="56">
                  <c:v>0</c:v>
                </c:pt>
                <c:pt idx="57">
                  <c:v>0.127103043508559</c:v>
                </c:pt>
                <c:pt idx="58">
                  <c:v>0</c:v>
                </c:pt>
                <c:pt idx="59">
                  <c:v>0.106230521131833</c:v>
                </c:pt>
                <c:pt idx="60">
                  <c:v>1.9601498700341099E-3</c:v>
                </c:pt>
                <c:pt idx="61">
                  <c:v>1.9465534524820899E-3</c:v>
                </c:pt>
                <c:pt idx="62">
                  <c:v>1.4902494177175701E-3</c:v>
                </c:pt>
                <c:pt idx="63">
                  <c:v>0</c:v>
                </c:pt>
                <c:pt idx="64">
                  <c:v>0</c:v>
                </c:pt>
                <c:pt idx="65">
                  <c:v>0.103644934949105</c:v>
                </c:pt>
                <c:pt idx="66">
                  <c:v>9.0356790924596503E-2</c:v>
                </c:pt>
                <c:pt idx="67">
                  <c:v>1.00775509847578E-3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5.44200843584444E-2</c:v>
                </c:pt>
                <c:pt idx="75">
                  <c:v>5.9130346511517896E-4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4.9242422986382497E-2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3.2896088379140397E-2</c:v>
                </c:pt>
                <c:pt idx="86">
                  <c:v>2.8641136811507002E-2</c:v>
                </c:pt>
                <c:pt idx="87">
                  <c:v>1.7600292816905099E-2</c:v>
                </c:pt>
                <c:pt idx="88">
                  <c:v>1.3390108612719401E-2</c:v>
                </c:pt>
                <c:pt idx="89">
                  <c:v>1.33698656511534E-2</c:v>
                </c:pt>
                <c:pt idx="90">
                  <c:v>0</c:v>
                </c:pt>
                <c:pt idx="91">
                  <c:v>0</c:v>
                </c:pt>
                <c:pt idx="92">
                  <c:v>1.3569924293908599E-3</c:v>
                </c:pt>
                <c:pt idx="93">
                  <c:v>3.2608018628066501E-4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1.56502134325395E-3</c:v>
                </c:pt>
                <c:pt idx="103">
                  <c:v>9.04155248858617E-4</c:v>
                </c:pt>
                <c:pt idx="104">
                  <c:v>4.3538471617421198E-4</c:v>
                </c:pt>
                <c:pt idx="105">
                  <c:v>4.3244857845843099E-4</c:v>
                </c:pt>
                <c:pt idx="106">
                  <c:v>1.04165660314928E-4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6.1587902327108696E-3</c:v>
                </c:pt>
                <c:pt idx="117">
                  <c:v>4.7022607373106203E-3</c:v>
                </c:pt>
                <c:pt idx="118">
                  <c:v>0</c:v>
                </c:pt>
                <c:pt idx="119">
                  <c:v>0</c:v>
                </c:pt>
                <c:pt idx="120">
                  <c:v>1.7927762872913E-3</c:v>
                </c:pt>
                <c:pt idx="121">
                  <c:v>8.9334697556313401E-4</c:v>
                </c:pt>
                <c:pt idx="122">
                  <c:v>1.2070812662829E-4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9.3714860500272602E-3</c:v>
                </c:pt>
                <c:pt idx="143">
                  <c:v>0</c:v>
                </c:pt>
                <c:pt idx="144">
                  <c:v>5.4959854023419203E-3</c:v>
                </c:pt>
                <c:pt idx="145">
                  <c:v>3.9681299102296798E-3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7.62863846133132E-4</c:v>
                </c:pt>
                <c:pt idx="151">
                  <c:v>5.5309707563809801E-4</c:v>
                </c:pt>
                <c:pt idx="152">
                  <c:v>0</c:v>
                </c:pt>
                <c:pt idx="153">
                  <c:v>5.4993651942507197E-4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1.92397129365898E-3</c:v>
                </c:pt>
                <c:pt idx="163">
                  <c:v>0</c:v>
                </c:pt>
                <c:pt idx="164">
                  <c:v>0</c:v>
                </c:pt>
                <c:pt idx="165">
                  <c:v>0.88870182147749199</c:v>
                </c:pt>
                <c:pt idx="166">
                  <c:v>3.6805392889150699E-3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0.89337068210282</c:v>
                </c:pt>
                <c:pt idx="173">
                  <c:v>0.91307424668051995</c:v>
                </c:pt>
                <c:pt idx="174">
                  <c:v>0.87391634150534703</c:v>
                </c:pt>
                <c:pt idx="175">
                  <c:v>3.4287960012666001E-3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0.89854811201564799</c:v>
                </c:pt>
                <c:pt idx="183">
                  <c:v>0.88557582733423201</c:v>
                </c:pt>
                <c:pt idx="184">
                  <c:v>0.88306588959651799</c:v>
                </c:pt>
                <c:pt idx="185">
                  <c:v>0.85480310148891403</c:v>
                </c:pt>
                <c:pt idx="186">
                  <c:v>0.86355719580735102</c:v>
                </c:pt>
                <c:pt idx="187">
                  <c:v>0.86355719580735102</c:v>
                </c:pt>
                <c:pt idx="188">
                  <c:v>0</c:v>
                </c:pt>
                <c:pt idx="189">
                  <c:v>0.86123151402869003</c:v>
                </c:pt>
                <c:pt idx="190">
                  <c:v>0.83309495413351498</c:v>
                </c:pt>
                <c:pt idx="191">
                  <c:v>0</c:v>
                </c:pt>
                <c:pt idx="192">
                  <c:v>0.831927164274886</c:v>
                </c:pt>
                <c:pt idx="193">
                  <c:v>0.80754152596055995</c:v>
                </c:pt>
                <c:pt idx="194">
                  <c:v>0.80415566862182497</c:v>
                </c:pt>
                <c:pt idx="195">
                  <c:v>0.80265108338267499</c:v>
                </c:pt>
                <c:pt idx="196">
                  <c:v>0</c:v>
                </c:pt>
                <c:pt idx="197">
                  <c:v>0.80265108338267499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7.6028475141971797E-4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0.81663205917875104</c:v>
                </c:pt>
                <c:pt idx="211">
                  <c:v>0</c:v>
                </c:pt>
                <c:pt idx="212">
                  <c:v>0</c:v>
                </c:pt>
                <c:pt idx="213">
                  <c:v>0.82559057548597004</c:v>
                </c:pt>
                <c:pt idx="214">
                  <c:v>0.79669049657242397</c:v>
                </c:pt>
                <c:pt idx="215">
                  <c:v>6.7786594921879302E-4</c:v>
                </c:pt>
                <c:pt idx="216">
                  <c:v>0</c:v>
                </c:pt>
                <c:pt idx="217">
                  <c:v>8.8101230968728496E-4</c:v>
                </c:pt>
                <c:pt idx="218">
                  <c:v>0</c:v>
                </c:pt>
                <c:pt idx="219">
                  <c:v>8.7950076846855297E-4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0.82194247765297301</c:v>
                </c:pt>
                <c:pt idx="225">
                  <c:v>0.83561176946303795</c:v>
                </c:pt>
                <c:pt idx="226">
                  <c:v>0</c:v>
                </c:pt>
                <c:pt idx="227">
                  <c:v>0.78833832359916201</c:v>
                </c:pt>
                <c:pt idx="228">
                  <c:v>0.786160649616369</c:v>
                </c:pt>
                <c:pt idx="229">
                  <c:v>0</c:v>
                </c:pt>
                <c:pt idx="230">
                  <c:v>0</c:v>
                </c:pt>
                <c:pt idx="231">
                  <c:v>0.76977670194978398</c:v>
                </c:pt>
                <c:pt idx="232">
                  <c:v>3.6312412114141997E-2</c:v>
                </c:pt>
                <c:pt idx="233">
                  <c:v>1.93393301571353E-2</c:v>
                </c:pt>
                <c:pt idx="234">
                  <c:v>0</c:v>
                </c:pt>
                <c:pt idx="235">
                  <c:v>0</c:v>
                </c:pt>
                <c:pt idx="236">
                  <c:v>6.2583851957797503E-4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1.05889699277147E-2</c:v>
                </c:pt>
                <c:pt idx="242">
                  <c:v>7.3340957383171597E-3</c:v>
                </c:pt>
                <c:pt idx="243">
                  <c:v>4.6547514757033599E-3</c:v>
                </c:pt>
                <c:pt idx="244">
                  <c:v>4.6431452038205798E-3</c:v>
                </c:pt>
                <c:pt idx="245">
                  <c:v>4.5959167751793003E-3</c:v>
                </c:pt>
                <c:pt idx="246">
                  <c:v>1.82362980081562E-3</c:v>
                </c:pt>
                <c:pt idx="247">
                  <c:v>3.6290053539469699E-4</c:v>
                </c:pt>
                <c:pt idx="248">
                  <c:v>3.6012387911354998E-4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4.9225242343752603E-4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5.80030998251819E-5</c:v>
                </c:pt>
                <c:pt idx="26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0727296"/>
        <c:axId val="190728832"/>
      </c:barChart>
      <c:lineChart>
        <c:grouping val="standard"/>
        <c:varyColors val="0"/>
        <c:ser>
          <c:idx val="0"/>
          <c:order val="0"/>
          <c:tx>
            <c:v>Pool Level</c:v>
          </c:tx>
          <c:spPr>
            <a:ln w="19050"/>
          </c:spPr>
          <c:marker>
            <c:symbol val="none"/>
          </c:marker>
          <c:cat>
            <c:numRef>
              <c:f>Query!$B$3:$B$266</c:f>
              <c:numCache>
                <c:formatCode>m/d/yyyy</c:formatCode>
                <c:ptCount val="264"/>
                <c:pt idx="0">
                  <c:v>42390</c:v>
                </c:pt>
                <c:pt idx="1">
                  <c:v>42383</c:v>
                </c:pt>
                <c:pt idx="2">
                  <c:v>42376</c:v>
                </c:pt>
                <c:pt idx="3">
                  <c:v>42369</c:v>
                </c:pt>
                <c:pt idx="4">
                  <c:v>42362</c:v>
                </c:pt>
                <c:pt idx="5">
                  <c:v>42355</c:v>
                </c:pt>
                <c:pt idx="6">
                  <c:v>42348</c:v>
                </c:pt>
                <c:pt idx="7">
                  <c:v>42341</c:v>
                </c:pt>
                <c:pt idx="8">
                  <c:v>42333</c:v>
                </c:pt>
                <c:pt idx="9">
                  <c:v>42327</c:v>
                </c:pt>
                <c:pt idx="10">
                  <c:v>42320</c:v>
                </c:pt>
                <c:pt idx="11">
                  <c:v>42313</c:v>
                </c:pt>
                <c:pt idx="12">
                  <c:v>42306</c:v>
                </c:pt>
                <c:pt idx="13">
                  <c:v>42299</c:v>
                </c:pt>
                <c:pt idx="14">
                  <c:v>42292</c:v>
                </c:pt>
                <c:pt idx="15">
                  <c:v>42285</c:v>
                </c:pt>
                <c:pt idx="16">
                  <c:v>42278</c:v>
                </c:pt>
                <c:pt idx="17">
                  <c:v>42271</c:v>
                </c:pt>
                <c:pt idx="18">
                  <c:v>42264</c:v>
                </c:pt>
                <c:pt idx="19">
                  <c:v>42257</c:v>
                </c:pt>
                <c:pt idx="20">
                  <c:v>42250</c:v>
                </c:pt>
                <c:pt idx="21">
                  <c:v>42243</c:v>
                </c:pt>
                <c:pt idx="22">
                  <c:v>42236</c:v>
                </c:pt>
                <c:pt idx="23">
                  <c:v>42229</c:v>
                </c:pt>
                <c:pt idx="24">
                  <c:v>42222</c:v>
                </c:pt>
                <c:pt idx="25">
                  <c:v>42215</c:v>
                </c:pt>
                <c:pt idx="26">
                  <c:v>42208</c:v>
                </c:pt>
                <c:pt idx="27">
                  <c:v>42201</c:v>
                </c:pt>
                <c:pt idx="28">
                  <c:v>42194</c:v>
                </c:pt>
                <c:pt idx="29">
                  <c:v>42187</c:v>
                </c:pt>
                <c:pt idx="30">
                  <c:v>42180</c:v>
                </c:pt>
                <c:pt idx="31">
                  <c:v>42173</c:v>
                </c:pt>
                <c:pt idx="32">
                  <c:v>42166</c:v>
                </c:pt>
                <c:pt idx="33">
                  <c:v>42159</c:v>
                </c:pt>
                <c:pt idx="34">
                  <c:v>42152</c:v>
                </c:pt>
                <c:pt idx="35">
                  <c:v>42145</c:v>
                </c:pt>
                <c:pt idx="36">
                  <c:v>42138</c:v>
                </c:pt>
                <c:pt idx="37">
                  <c:v>42131</c:v>
                </c:pt>
                <c:pt idx="38">
                  <c:v>42124</c:v>
                </c:pt>
                <c:pt idx="39">
                  <c:v>42117</c:v>
                </c:pt>
                <c:pt idx="40">
                  <c:v>42110</c:v>
                </c:pt>
                <c:pt idx="41">
                  <c:v>42103</c:v>
                </c:pt>
                <c:pt idx="42">
                  <c:v>42096</c:v>
                </c:pt>
                <c:pt idx="43">
                  <c:v>42089</c:v>
                </c:pt>
                <c:pt idx="44">
                  <c:v>42082</c:v>
                </c:pt>
                <c:pt idx="45">
                  <c:v>42075</c:v>
                </c:pt>
                <c:pt idx="46">
                  <c:v>42068</c:v>
                </c:pt>
                <c:pt idx="47">
                  <c:v>42061</c:v>
                </c:pt>
                <c:pt idx="48">
                  <c:v>42054</c:v>
                </c:pt>
                <c:pt idx="49">
                  <c:v>42047</c:v>
                </c:pt>
                <c:pt idx="50">
                  <c:v>42040</c:v>
                </c:pt>
                <c:pt idx="51">
                  <c:v>42033</c:v>
                </c:pt>
                <c:pt idx="52">
                  <c:v>42026</c:v>
                </c:pt>
                <c:pt idx="53">
                  <c:v>42019</c:v>
                </c:pt>
                <c:pt idx="54">
                  <c:v>42012</c:v>
                </c:pt>
                <c:pt idx="55">
                  <c:v>42004</c:v>
                </c:pt>
                <c:pt idx="56">
                  <c:v>41997</c:v>
                </c:pt>
                <c:pt idx="57">
                  <c:v>41991</c:v>
                </c:pt>
                <c:pt idx="58">
                  <c:v>41984</c:v>
                </c:pt>
                <c:pt idx="59">
                  <c:v>41977</c:v>
                </c:pt>
                <c:pt idx="60">
                  <c:v>41969</c:v>
                </c:pt>
                <c:pt idx="61">
                  <c:v>41963</c:v>
                </c:pt>
                <c:pt idx="62">
                  <c:v>41956</c:v>
                </c:pt>
                <c:pt idx="63">
                  <c:v>41949</c:v>
                </c:pt>
                <c:pt idx="64">
                  <c:v>41942</c:v>
                </c:pt>
                <c:pt idx="65">
                  <c:v>41935</c:v>
                </c:pt>
                <c:pt idx="66">
                  <c:v>41928</c:v>
                </c:pt>
                <c:pt idx="67">
                  <c:v>41921</c:v>
                </c:pt>
                <c:pt idx="68">
                  <c:v>41914</c:v>
                </c:pt>
                <c:pt idx="69">
                  <c:v>41907</c:v>
                </c:pt>
                <c:pt idx="70">
                  <c:v>41900</c:v>
                </c:pt>
                <c:pt idx="71">
                  <c:v>41893</c:v>
                </c:pt>
                <c:pt idx="72">
                  <c:v>41886</c:v>
                </c:pt>
                <c:pt idx="73">
                  <c:v>41879</c:v>
                </c:pt>
                <c:pt idx="74">
                  <c:v>41872</c:v>
                </c:pt>
                <c:pt idx="75">
                  <c:v>41865</c:v>
                </c:pt>
                <c:pt idx="76">
                  <c:v>41858</c:v>
                </c:pt>
                <c:pt idx="77">
                  <c:v>41851</c:v>
                </c:pt>
                <c:pt idx="78">
                  <c:v>41844</c:v>
                </c:pt>
                <c:pt idx="79">
                  <c:v>41837</c:v>
                </c:pt>
                <c:pt idx="80">
                  <c:v>41830</c:v>
                </c:pt>
                <c:pt idx="81">
                  <c:v>41823</c:v>
                </c:pt>
                <c:pt idx="82">
                  <c:v>41816</c:v>
                </c:pt>
                <c:pt idx="83">
                  <c:v>41809</c:v>
                </c:pt>
                <c:pt idx="84">
                  <c:v>41802</c:v>
                </c:pt>
                <c:pt idx="85">
                  <c:v>41795</c:v>
                </c:pt>
                <c:pt idx="86">
                  <c:v>41788</c:v>
                </c:pt>
                <c:pt idx="87">
                  <c:v>41781</c:v>
                </c:pt>
                <c:pt idx="88">
                  <c:v>41774</c:v>
                </c:pt>
                <c:pt idx="89">
                  <c:v>41767</c:v>
                </c:pt>
                <c:pt idx="90">
                  <c:v>41760</c:v>
                </c:pt>
                <c:pt idx="91">
                  <c:v>41753</c:v>
                </c:pt>
                <c:pt idx="92">
                  <c:v>41746</c:v>
                </c:pt>
                <c:pt idx="93">
                  <c:v>41739</c:v>
                </c:pt>
                <c:pt idx="94">
                  <c:v>41732</c:v>
                </c:pt>
                <c:pt idx="95">
                  <c:v>41725</c:v>
                </c:pt>
                <c:pt idx="96">
                  <c:v>41718</c:v>
                </c:pt>
                <c:pt idx="97">
                  <c:v>41711</c:v>
                </c:pt>
                <c:pt idx="98">
                  <c:v>41704</c:v>
                </c:pt>
                <c:pt idx="99">
                  <c:v>41697</c:v>
                </c:pt>
                <c:pt idx="100">
                  <c:v>41690</c:v>
                </c:pt>
                <c:pt idx="101">
                  <c:v>41683</c:v>
                </c:pt>
                <c:pt idx="102">
                  <c:v>41676</c:v>
                </c:pt>
                <c:pt idx="103">
                  <c:v>41669</c:v>
                </c:pt>
                <c:pt idx="104">
                  <c:v>41662</c:v>
                </c:pt>
                <c:pt idx="105">
                  <c:v>41655</c:v>
                </c:pt>
                <c:pt idx="106">
                  <c:v>41648</c:v>
                </c:pt>
                <c:pt idx="107">
                  <c:v>41641</c:v>
                </c:pt>
                <c:pt idx="108">
                  <c:v>41634</c:v>
                </c:pt>
                <c:pt idx="109">
                  <c:v>41627</c:v>
                </c:pt>
                <c:pt idx="110">
                  <c:v>41620</c:v>
                </c:pt>
                <c:pt idx="111">
                  <c:v>41613</c:v>
                </c:pt>
                <c:pt idx="112">
                  <c:v>41605</c:v>
                </c:pt>
                <c:pt idx="113">
                  <c:v>41599</c:v>
                </c:pt>
                <c:pt idx="114">
                  <c:v>41592</c:v>
                </c:pt>
                <c:pt idx="115">
                  <c:v>41585</c:v>
                </c:pt>
                <c:pt idx="116">
                  <c:v>41578</c:v>
                </c:pt>
                <c:pt idx="117">
                  <c:v>41571</c:v>
                </c:pt>
                <c:pt idx="118">
                  <c:v>41564</c:v>
                </c:pt>
                <c:pt idx="119">
                  <c:v>41557</c:v>
                </c:pt>
                <c:pt idx="120">
                  <c:v>41550</c:v>
                </c:pt>
                <c:pt idx="121">
                  <c:v>41543</c:v>
                </c:pt>
                <c:pt idx="122">
                  <c:v>41536</c:v>
                </c:pt>
                <c:pt idx="123">
                  <c:v>41529</c:v>
                </c:pt>
                <c:pt idx="124">
                  <c:v>41522</c:v>
                </c:pt>
                <c:pt idx="125">
                  <c:v>41515</c:v>
                </c:pt>
                <c:pt idx="126">
                  <c:v>41508</c:v>
                </c:pt>
                <c:pt idx="127">
                  <c:v>41501</c:v>
                </c:pt>
                <c:pt idx="128">
                  <c:v>41494</c:v>
                </c:pt>
                <c:pt idx="129">
                  <c:v>41487</c:v>
                </c:pt>
                <c:pt idx="130">
                  <c:v>41480</c:v>
                </c:pt>
                <c:pt idx="131">
                  <c:v>41473</c:v>
                </c:pt>
                <c:pt idx="132">
                  <c:v>41466</c:v>
                </c:pt>
                <c:pt idx="133">
                  <c:v>41458</c:v>
                </c:pt>
                <c:pt idx="134">
                  <c:v>41452</c:v>
                </c:pt>
                <c:pt idx="135">
                  <c:v>41445</c:v>
                </c:pt>
                <c:pt idx="136">
                  <c:v>41438</c:v>
                </c:pt>
                <c:pt idx="137">
                  <c:v>41431</c:v>
                </c:pt>
                <c:pt idx="138">
                  <c:v>41424</c:v>
                </c:pt>
                <c:pt idx="139">
                  <c:v>41417</c:v>
                </c:pt>
                <c:pt idx="140">
                  <c:v>41410</c:v>
                </c:pt>
                <c:pt idx="141">
                  <c:v>41403</c:v>
                </c:pt>
                <c:pt idx="142">
                  <c:v>41396</c:v>
                </c:pt>
                <c:pt idx="143">
                  <c:v>41389</c:v>
                </c:pt>
                <c:pt idx="144">
                  <c:v>41382</c:v>
                </c:pt>
                <c:pt idx="145">
                  <c:v>41375</c:v>
                </c:pt>
                <c:pt idx="146">
                  <c:v>41368</c:v>
                </c:pt>
                <c:pt idx="147">
                  <c:v>41361</c:v>
                </c:pt>
                <c:pt idx="148">
                  <c:v>41354</c:v>
                </c:pt>
                <c:pt idx="149">
                  <c:v>41347</c:v>
                </c:pt>
                <c:pt idx="150">
                  <c:v>41340</c:v>
                </c:pt>
                <c:pt idx="151">
                  <c:v>41333</c:v>
                </c:pt>
                <c:pt idx="152">
                  <c:v>41326</c:v>
                </c:pt>
                <c:pt idx="153">
                  <c:v>41319</c:v>
                </c:pt>
                <c:pt idx="154">
                  <c:v>41312</c:v>
                </c:pt>
                <c:pt idx="155">
                  <c:v>41305</c:v>
                </c:pt>
                <c:pt idx="156">
                  <c:v>41298</c:v>
                </c:pt>
                <c:pt idx="157">
                  <c:v>41291</c:v>
                </c:pt>
                <c:pt idx="158">
                  <c:v>41284</c:v>
                </c:pt>
                <c:pt idx="159">
                  <c:v>41277</c:v>
                </c:pt>
                <c:pt idx="160">
                  <c:v>41270</c:v>
                </c:pt>
                <c:pt idx="161">
                  <c:v>41263</c:v>
                </c:pt>
                <c:pt idx="162">
                  <c:v>41256</c:v>
                </c:pt>
                <c:pt idx="163">
                  <c:v>41249</c:v>
                </c:pt>
                <c:pt idx="164">
                  <c:v>41242</c:v>
                </c:pt>
                <c:pt idx="165">
                  <c:v>41234</c:v>
                </c:pt>
                <c:pt idx="166">
                  <c:v>41228</c:v>
                </c:pt>
                <c:pt idx="167">
                  <c:v>41221</c:v>
                </c:pt>
                <c:pt idx="168">
                  <c:v>41214</c:v>
                </c:pt>
                <c:pt idx="169">
                  <c:v>41207</c:v>
                </c:pt>
                <c:pt idx="170">
                  <c:v>41200</c:v>
                </c:pt>
                <c:pt idx="171">
                  <c:v>41193</c:v>
                </c:pt>
                <c:pt idx="172">
                  <c:v>41186</c:v>
                </c:pt>
                <c:pt idx="173">
                  <c:v>41179</c:v>
                </c:pt>
                <c:pt idx="174">
                  <c:v>41172</c:v>
                </c:pt>
                <c:pt idx="175">
                  <c:v>41165</c:v>
                </c:pt>
                <c:pt idx="176">
                  <c:v>41158</c:v>
                </c:pt>
                <c:pt idx="177">
                  <c:v>41151</c:v>
                </c:pt>
                <c:pt idx="178">
                  <c:v>41144</c:v>
                </c:pt>
                <c:pt idx="179">
                  <c:v>41137</c:v>
                </c:pt>
                <c:pt idx="180">
                  <c:v>41130</c:v>
                </c:pt>
                <c:pt idx="181">
                  <c:v>41123</c:v>
                </c:pt>
                <c:pt idx="182">
                  <c:v>41116</c:v>
                </c:pt>
                <c:pt idx="183">
                  <c:v>41109</c:v>
                </c:pt>
                <c:pt idx="184">
                  <c:v>41102</c:v>
                </c:pt>
                <c:pt idx="185">
                  <c:v>41095</c:v>
                </c:pt>
                <c:pt idx="186">
                  <c:v>41088</c:v>
                </c:pt>
                <c:pt idx="187">
                  <c:v>41081</c:v>
                </c:pt>
                <c:pt idx="188">
                  <c:v>41074</c:v>
                </c:pt>
                <c:pt idx="189">
                  <c:v>41067</c:v>
                </c:pt>
                <c:pt idx="190">
                  <c:v>41060</c:v>
                </c:pt>
                <c:pt idx="191">
                  <c:v>41053</c:v>
                </c:pt>
                <c:pt idx="192">
                  <c:v>41046</c:v>
                </c:pt>
                <c:pt idx="193">
                  <c:v>41039</c:v>
                </c:pt>
                <c:pt idx="194">
                  <c:v>41032</c:v>
                </c:pt>
                <c:pt idx="195">
                  <c:v>41025</c:v>
                </c:pt>
                <c:pt idx="196">
                  <c:v>41018</c:v>
                </c:pt>
                <c:pt idx="197">
                  <c:v>41011</c:v>
                </c:pt>
                <c:pt idx="198">
                  <c:v>41004</c:v>
                </c:pt>
                <c:pt idx="199">
                  <c:v>40997</c:v>
                </c:pt>
                <c:pt idx="200">
                  <c:v>40990</c:v>
                </c:pt>
                <c:pt idx="201">
                  <c:v>40983</c:v>
                </c:pt>
                <c:pt idx="202">
                  <c:v>40976</c:v>
                </c:pt>
                <c:pt idx="203">
                  <c:v>40969</c:v>
                </c:pt>
                <c:pt idx="204">
                  <c:v>40962</c:v>
                </c:pt>
                <c:pt idx="205">
                  <c:v>40955</c:v>
                </c:pt>
                <c:pt idx="206">
                  <c:v>40948</c:v>
                </c:pt>
                <c:pt idx="207">
                  <c:v>40941</c:v>
                </c:pt>
                <c:pt idx="208">
                  <c:v>40934</c:v>
                </c:pt>
                <c:pt idx="209">
                  <c:v>40927</c:v>
                </c:pt>
                <c:pt idx="210">
                  <c:v>40920</c:v>
                </c:pt>
                <c:pt idx="211">
                  <c:v>40913</c:v>
                </c:pt>
                <c:pt idx="212">
                  <c:v>40906</c:v>
                </c:pt>
                <c:pt idx="213">
                  <c:v>40899</c:v>
                </c:pt>
                <c:pt idx="214">
                  <c:v>40892</c:v>
                </c:pt>
                <c:pt idx="215">
                  <c:v>40885</c:v>
                </c:pt>
                <c:pt idx="216">
                  <c:v>40878</c:v>
                </c:pt>
                <c:pt idx="217">
                  <c:v>40870</c:v>
                </c:pt>
                <c:pt idx="218">
                  <c:v>40864</c:v>
                </c:pt>
                <c:pt idx="219">
                  <c:v>40857</c:v>
                </c:pt>
                <c:pt idx="220">
                  <c:v>40850</c:v>
                </c:pt>
                <c:pt idx="221">
                  <c:v>40843</c:v>
                </c:pt>
                <c:pt idx="222">
                  <c:v>40836</c:v>
                </c:pt>
                <c:pt idx="223">
                  <c:v>40829</c:v>
                </c:pt>
                <c:pt idx="224">
                  <c:v>40822</c:v>
                </c:pt>
                <c:pt idx="225">
                  <c:v>40815</c:v>
                </c:pt>
                <c:pt idx="226">
                  <c:v>40808</c:v>
                </c:pt>
                <c:pt idx="227">
                  <c:v>40801</c:v>
                </c:pt>
                <c:pt idx="228">
                  <c:v>40794</c:v>
                </c:pt>
                <c:pt idx="229">
                  <c:v>40787</c:v>
                </c:pt>
                <c:pt idx="230">
                  <c:v>40780</c:v>
                </c:pt>
                <c:pt idx="231">
                  <c:v>40773</c:v>
                </c:pt>
                <c:pt idx="232">
                  <c:v>40766</c:v>
                </c:pt>
                <c:pt idx="233">
                  <c:v>40759</c:v>
                </c:pt>
                <c:pt idx="234">
                  <c:v>40752</c:v>
                </c:pt>
                <c:pt idx="235">
                  <c:v>40745</c:v>
                </c:pt>
                <c:pt idx="236">
                  <c:v>40738</c:v>
                </c:pt>
                <c:pt idx="237">
                  <c:v>40731</c:v>
                </c:pt>
                <c:pt idx="238">
                  <c:v>40724</c:v>
                </c:pt>
                <c:pt idx="239">
                  <c:v>40717</c:v>
                </c:pt>
                <c:pt idx="240">
                  <c:v>40710</c:v>
                </c:pt>
                <c:pt idx="241">
                  <c:v>40703</c:v>
                </c:pt>
                <c:pt idx="242">
                  <c:v>40696</c:v>
                </c:pt>
                <c:pt idx="243">
                  <c:v>40689</c:v>
                </c:pt>
                <c:pt idx="244">
                  <c:v>40682</c:v>
                </c:pt>
                <c:pt idx="245">
                  <c:v>40675</c:v>
                </c:pt>
                <c:pt idx="246">
                  <c:v>40668</c:v>
                </c:pt>
                <c:pt idx="247">
                  <c:v>40661</c:v>
                </c:pt>
                <c:pt idx="248">
                  <c:v>40654</c:v>
                </c:pt>
                <c:pt idx="249">
                  <c:v>40647</c:v>
                </c:pt>
                <c:pt idx="250">
                  <c:v>40640</c:v>
                </c:pt>
                <c:pt idx="251">
                  <c:v>40633</c:v>
                </c:pt>
                <c:pt idx="252">
                  <c:v>40626</c:v>
                </c:pt>
                <c:pt idx="253">
                  <c:v>40619</c:v>
                </c:pt>
                <c:pt idx="254">
                  <c:v>40612</c:v>
                </c:pt>
                <c:pt idx="255">
                  <c:v>40605</c:v>
                </c:pt>
                <c:pt idx="256">
                  <c:v>40598</c:v>
                </c:pt>
                <c:pt idx="257">
                  <c:v>40591</c:v>
                </c:pt>
                <c:pt idx="258">
                  <c:v>40584</c:v>
                </c:pt>
                <c:pt idx="259">
                  <c:v>40577</c:v>
                </c:pt>
                <c:pt idx="260">
                  <c:v>40570</c:v>
                </c:pt>
                <c:pt idx="261">
                  <c:v>40563</c:v>
                </c:pt>
                <c:pt idx="262">
                  <c:v>40556</c:v>
                </c:pt>
                <c:pt idx="263">
                  <c:v>40549</c:v>
                </c:pt>
              </c:numCache>
            </c:numRef>
          </c:cat>
          <c:val>
            <c:numRef>
              <c:f>Query!$C$3:$C$266</c:f>
              <c:numCache>
                <c:formatCode>0.00%</c:formatCode>
                <c:ptCount val="264"/>
                <c:pt idx="0">
                  <c:v>0.53686726891255199</c:v>
                </c:pt>
                <c:pt idx="1">
                  <c:v>0.48424776223671406</c:v>
                </c:pt>
                <c:pt idx="2">
                  <c:v>0.46862901952602543</c:v>
                </c:pt>
                <c:pt idx="3">
                  <c:v>0.44657507929969392</c:v>
                </c:pt>
                <c:pt idx="4">
                  <c:v>0.47802441207346119</c:v>
                </c:pt>
                <c:pt idx="5">
                  <c:v>0.4742419215656577</c:v>
                </c:pt>
                <c:pt idx="6">
                  <c:v>0.48108278915877944</c:v>
                </c:pt>
                <c:pt idx="7">
                  <c:v>0.48721504831495865</c:v>
                </c:pt>
                <c:pt idx="8">
                  <c:v>0.47590352827743421</c:v>
                </c:pt>
                <c:pt idx="9">
                  <c:v>0.47861527230793388</c:v>
                </c:pt>
                <c:pt idx="10">
                  <c:v>0.4725306175940911</c:v>
                </c:pt>
                <c:pt idx="11">
                  <c:v>0.51511509569715663</c:v>
                </c:pt>
                <c:pt idx="12">
                  <c:v>0.57894029457192531</c:v>
                </c:pt>
                <c:pt idx="13">
                  <c:v>0.56317380692680197</c:v>
                </c:pt>
                <c:pt idx="14">
                  <c:v>0.54767612302289337</c:v>
                </c:pt>
                <c:pt idx="15">
                  <c:v>0.57894029457192531</c:v>
                </c:pt>
                <c:pt idx="16">
                  <c:v>0.53391651509517579</c:v>
                </c:pt>
                <c:pt idx="17">
                  <c:v>0.51886914028697095</c:v>
                </c:pt>
                <c:pt idx="18">
                  <c:v>0.50986906278318977</c:v>
                </c:pt>
                <c:pt idx="19">
                  <c:v>0.51338156329073437</c:v>
                </c:pt>
                <c:pt idx="20">
                  <c:v>0.51680555655781346</c:v>
                </c:pt>
                <c:pt idx="21">
                  <c:v>0.54776588117858471</c:v>
                </c:pt>
                <c:pt idx="22">
                  <c:v>0.51006923311843089</c:v>
                </c:pt>
                <c:pt idx="23">
                  <c:v>0.50777768656321565</c:v>
                </c:pt>
                <c:pt idx="24">
                  <c:v>0.51562387102608387</c:v>
                </c:pt>
                <c:pt idx="25">
                  <c:v>0.49912270122048025</c:v>
                </c:pt>
                <c:pt idx="26">
                  <c:v>0.45300783987214877</c:v>
                </c:pt>
                <c:pt idx="27">
                  <c:v>0.42011365068788514</c:v>
                </c:pt>
                <c:pt idx="28">
                  <c:v>0.45300783987214877</c:v>
                </c:pt>
                <c:pt idx="29">
                  <c:v>0.42691007799753877</c:v>
                </c:pt>
                <c:pt idx="30">
                  <c:v>0.45889007356496508</c:v>
                </c:pt>
                <c:pt idx="31">
                  <c:v>0.47504859154397289</c:v>
                </c:pt>
                <c:pt idx="32">
                  <c:v>0.46172473046300011</c:v>
                </c:pt>
                <c:pt idx="33">
                  <c:v>0.54951676769042945</c:v>
                </c:pt>
                <c:pt idx="34">
                  <c:v>0.55902460267794318</c:v>
                </c:pt>
                <c:pt idx="35">
                  <c:v>0.56247001508658589</c:v>
                </c:pt>
                <c:pt idx="36">
                  <c:v>0.57098174826031445</c:v>
                </c:pt>
                <c:pt idx="37">
                  <c:v>0.59037176491848908</c:v>
                </c:pt>
                <c:pt idx="38">
                  <c:v>0.64603046293502864</c:v>
                </c:pt>
                <c:pt idx="39">
                  <c:v>0.65844284474757131</c:v>
                </c:pt>
                <c:pt idx="40">
                  <c:v>0.64019129085731785</c:v>
                </c:pt>
                <c:pt idx="41">
                  <c:v>0.65412296677072113</c:v>
                </c:pt>
                <c:pt idx="42">
                  <c:v>0.63757021314193218</c:v>
                </c:pt>
                <c:pt idx="43">
                  <c:v>0.64890841265420796</c:v>
                </c:pt>
                <c:pt idx="44">
                  <c:v>0.61916808494400521</c:v>
                </c:pt>
                <c:pt idx="45">
                  <c:v>0.58615251978310723</c:v>
                </c:pt>
                <c:pt idx="46">
                  <c:v>0.62830808931498816</c:v>
                </c:pt>
                <c:pt idx="47">
                  <c:v>0.61469145921482737</c:v>
                </c:pt>
                <c:pt idx="48">
                  <c:v>0.62918563533375538</c:v>
                </c:pt>
                <c:pt idx="49">
                  <c:v>0.65089272690592892</c:v>
                </c:pt>
                <c:pt idx="50">
                  <c:v>0.68613791923063638</c:v>
                </c:pt>
                <c:pt idx="51">
                  <c:v>0.66237769243691424</c:v>
                </c:pt>
                <c:pt idx="52">
                  <c:v>0.66443740132152351</c:v>
                </c:pt>
                <c:pt idx="53">
                  <c:v>0.66237769243691424</c:v>
                </c:pt>
                <c:pt idx="54">
                  <c:v>0.63535246046030358</c:v>
                </c:pt>
                <c:pt idx="55">
                  <c:v>0.59452652549193286</c:v>
                </c:pt>
                <c:pt idx="56">
                  <c:v>0.6078826622396406</c:v>
                </c:pt>
                <c:pt idx="57">
                  <c:v>0.61729602418947438</c:v>
                </c:pt>
                <c:pt idx="58">
                  <c:v>0.58317600569372552</c:v>
                </c:pt>
                <c:pt idx="59">
                  <c:v>0.59653157178880079</c:v>
                </c:pt>
                <c:pt idx="60">
                  <c:v>0.57517284737260799</c:v>
                </c:pt>
                <c:pt idx="61">
                  <c:v>0.56861607014134152</c:v>
                </c:pt>
                <c:pt idx="62">
                  <c:v>0.55727419854014459</c:v>
                </c:pt>
                <c:pt idx="63">
                  <c:v>0.55093013331653118</c:v>
                </c:pt>
                <c:pt idx="64">
                  <c:v>0.57465727832154401</c:v>
                </c:pt>
                <c:pt idx="65">
                  <c:v>0.58902995061120811</c:v>
                </c:pt>
                <c:pt idx="66">
                  <c:v>0.57793839140083469</c:v>
                </c:pt>
                <c:pt idx="67">
                  <c:v>0.4741591952243816</c:v>
                </c:pt>
                <c:pt idx="68">
                  <c:v>0.43658809651451691</c:v>
                </c:pt>
                <c:pt idx="69">
                  <c:v>0.41765287093842862</c:v>
                </c:pt>
                <c:pt idx="70">
                  <c:v>0.4028098229838899</c:v>
                </c:pt>
                <c:pt idx="71">
                  <c:v>0.47788907778136447</c:v>
                </c:pt>
                <c:pt idx="72">
                  <c:v>0.49084413664233395</c:v>
                </c:pt>
                <c:pt idx="73">
                  <c:v>0.49450426590474372</c:v>
                </c:pt>
                <c:pt idx="74">
                  <c:v>0.49450426590474372</c:v>
                </c:pt>
                <c:pt idx="75">
                  <c:v>0.45923072088835232</c:v>
                </c:pt>
                <c:pt idx="76">
                  <c:v>0.42761316319375164</c:v>
                </c:pt>
                <c:pt idx="77">
                  <c:v>0.46227032845945415</c:v>
                </c:pt>
                <c:pt idx="78">
                  <c:v>0.45404122340567382</c:v>
                </c:pt>
                <c:pt idx="79">
                  <c:v>0.45404122340567382</c:v>
                </c:pt>
                <c:pt idx="80">
                  <c:v>0.42364839961947226</c:v>
                </c:pt>
                <c:pt idx="81">
                  <c:v>0.48442990028209243</c:v>
                </c:pt>
                <c:pt idx="82">
                  <c:v>0.47018466104096124</c:v>
                </c:pt>
                <c:pt idx="83">
                  <c:v>0.42786281792681791</c:v>
                </c:pt>
                <c:pt idx="84">
                  <c:v>0.4132153406951769</c:v>
                </c:pt>
                <c:pt idx="85">
                  <c:v>0.47018466104096124</c:v>
                </c:pt>
                <c:pt idx="86">
                  <c:v>0.46212093229047874</c:v>
                </c:pt>
                <c:pt idx="87">
                  <c:v>0.44690273635148237</c:v>
                </c:pt>
                <c:pt idx="88">
                  <c:v>0.41535226346324033</c:v>
                </c:pt>
                <c:pt idx="89">
                  <c:v>0.41189601141635707</c:v>
                </c:pt>
                <c:pt idx="90">
                  <c:v>0.37749232793152004</c:v>
                </c:pt>
                <c:pt idx="91">
                  <c:v>0.37795299805706567</c:v>
                </c:pt>
                <c:pt idx="92">
                  <c:v>0.38501077847486359</c:v>
                </c:pt>
                <c:pt idx="93">
                  <c:v>0.37093015775517096</c:v>
                </c:pt>
                <c:pt idx="94">
                  <c:v>0.35962750862378579</c:v>
                </c:pt>
                <c:pt idx="95">
                  <c:v>0.36918426917853386</c:v>
                </c:pt>
                <c:pt idx="96">
                  <c:v>0.38281318096373629</c:v>
                </c:pt>
                <c:pt idx="97">
                  <c:v>0.37243700930193413</c:v>
                </c:pt>
                <c:pt idx="98">
                  <c:v>0.38532630107916044</c:v>
                </c:pt>
                <c:pt idx="99">
                  <c:v>0.37411351911497304</c:v>
                </c:pt>
                <c:pt idx="100">
                  <c:v>0.37945519055423005</c:v>
                </c:pt>
                <c:pt idx="101">
                  <c:v>0.38811614070914796</c:v>
                </c:pt>
                <c:pt idx="102">
                  <c:v>0.40297154475851232</c:v>
                </c:pt>
                <c:pt idx="103">
                  <c:v>0.38688449383864632</c:v>
                </c:pt>
                <c:pt idx="104">
                  <c:v>0.37647743708570247</c:v>
                </c:pt>
                <c:pt idx="105">
                  <c:v>0.37338021104571051</c:v>
                </c:pt>
                <c:pt idx="106">
                  <c:v>0.29562447577972156</c:v>
                </c:pt>
                <c:pt idx="107">
                  <c:v>0.26713898011245318</c:v>
                </c:pt>
                <c:pt idx="108">
                  <c:v>0.33707254184688035</c:v>
                </c:pt>
                <c:pt idx="109">
                  <c:v>0.34660194288586071</c:v>
                </c:pt>
                <c:pt idx="110">
                  <c:v>0.37693581248534513</c:v>
                </c:pt>
                <c:pt idx="111">
                  <c:v>0.37955489771721246</c:v>
                </c:pt>
                <c:pt idx="112">
                  <c:v>0.4012610510109535</c:v>
                </c:pt>
                <c:pt idx="113">
                  <c:v>0.41528178559290679</c:v>
                </c:pt>
                <c:pt idx="114">
                  <c:v>0.39324233603958814</c:v>
                </c:pt>
                <c:pt idx="115">
                  <c:v>0.42241812473217372</c:v>
                </c:pt>
                <c:pt idx="116">
                  <c:v>0.45812068858697386</c:v>
                </c:pt>
                <c:pt idx="117">
                  <c:v>0.42936473511090067</c:v>
                </c:pt>
                <c:pt idx="118">
                  <c:v>0.40745334709317088</c:v>
                </c:pt>
                <c:pt idx="119">
                  <c:v>0.41309884742174274</c:v>
                </c:pt>
                <c:pt idx="120">
                  <c:v>0.41413970489530927</c:v>
                </c:pt>
                <c:pt idx="121">
                  <c:v>0.41584354527777323</c:v>
                </c:pt>
                <c:pt idx="122">
                  <c:v>0.34352499045119317</c:v>
                </c:pt>
                <c:pt idx="123">
                  <c:v>0.28418148180009006</c:v>
                </c:pt>
                <c:pt idx="124">
                  <c:v>0.29149943706266673</c:v>
                </c:pt>
                <c:pt idx="125">
                  <c:v>0.34144008855173769</c:v>
                </c:pt>
                <c:pt idx="126">
                  <c:v>0.29455543788744365</c:v>
                </c:pt>
                <c:pt idx="127">
                  <c:v>0.42309347536926606</c:v>
                </c:pt>
                <c:pt idx="128">
                  <c:v>0.42309347536926606</c:v>
                </c:pt>
                <c:pt idx="129">
                  <c:v>0.4242223603405651</c:v>
                </c:pt>
                <c:pt idx="130">
                  <c:v>0.44748005520806433</c:v>
                </c:pt>
                <c:pt idx="131">
                  <c:v>0.44439106685925217</c:v>
                </c:pt>
                <c:pt idx="132">
                  <c:v>0.33290156371151358</c:v>
                </c:pt>
                <c:pt idx="133">
                  <c:v>0.45140989566277362</c:v>
                </c:pt>
                <c:pt idx="134">
                  <c:v>0.40700739043562867</c:v>
                </c:pt>
                <c:pt idx="135">
                  <c:v>0.60892644255269435</c:v>
                </c:pt>
                <c:pt idx="136">
                  <c:v>0.59423864514046321</c:v>
                </c:pt>
                <c:pt idx="137">
                  <c:v>0.6263848307897435</c:v>
                </c:pt>
                <c:pt idx="138">
                  <c:v>0.65480493130822182</c:v>
                </c:pt>
                <c:pt idx="139">
                  <c:v>0.71597160462029186</c:v>
                </c:pt>
                <c:pt idx="140">
                  <c:v>0.79936031324337575</c:v>
                </c:pt>
                <c:pt idx="141">
                  <c:v>0.8256608129051427</c:v>
                </c:pt>
                <c:pt idx="142">
                  <c:v>0.83257474781957852</c:v>
                </c:pt>
                <c:pt idx="143">
                  <c:v>0.84305925134198079</c:v>
                </c:pt>
                <c:pt idx="144">
                  <c:v>0.84439179341474835</c:v>
                </c:pt>
                <c:pt idx="145">
                  <c:v>0.83798948836137577</c:v>
                </c:pt>
                <c:pt idx="146">
                  <c:v>0.76832708554350626</c:v>
                </c:pt>
                <c:pt idx="147">
                  <c:v>0.74949629336244095</c:v>
                </c:pt>
                <c:pt idx="148">
                  <c:v>0.78721266500464782</c:v>
                </c:pt>
                <c:pt idx="149">
                  <c:v>0.72169822774356485</c:v>
                </c:pt>
                <c:pt idx="150">
                  <c:v>0.83079065598448121</c:v>
                </c:pt>
                <c:pt idx="151">
                  <c:v>0.84063472269635875</c:v>
                </c:pt>
                <c:pt idx="152">
                  <c:v>0.78197458672123177</c:v>
                </c:pt>
                <c:pt idx="153">
                  <c:v>0.82228594543390077</c:v>
                </c:pt>
                <c:pt idx="154">
                  <c:v>0.82228594543390077</c:v>
                </c:pt>
                <c:pt idx="155">
                  <c:v>0.87254552435126431</c:v>
                </c:pt>
                <c:pt idx="156">
                  <c:v>0.90688789142571524</c:v>
                </c:pt>
                <c:pt idx="157">
                  <c:v>0.90904564835754453</c:v>
                </c:pt>
                <c:pt idx="158">
                  <c:v>0.90782006120518755</c:v>
                </c:pt>
                <c:pt idx="159">
                  <c:v>0.9105479087849232</c:v>
                </c:pt>
                <c:pt idx="160">
                  <c:v>0.92736895436677724</c:v>
                </c:pt>
                <c:pt idx="161">
                  <c:v>0.92693774833595899</c:v>
                </c:pt>
                <c:pt idx="162">
                  <c:v>0.92962672480790975</c:v>
                </c:pt>
                <c:pt idx="163">
                  <c:v>0.92772026190850965</c:v>
                </c:pt>
                <c:pt idx="164">
                  <c:v>0.95324471839825531</c:v>
                </c:pt>
                <c:pt idx="165">
                  <c:v>0.95520978776140819</c:v>
                </c:pt>
                <c:pt idx="166">
                  <c:v>0.95335910637163435</c:v>
                </c:pt>
                <c:pt idx="167">
                  <c:v>0.95122523158751371</c:v>
                </c:pt>
                <c:pt idx="168">
                  <c:v>0.95159604304738465</c:v>
                </c:pt>
                <c:pt idx="169">
                  <c:v>0.96333796137203465</c:v>
                </c:pt>
                <c:pt idx="170">
                  <c:v>0.96475073661562716</c:v>
                </c:pt>
                <c:pt idx="171">
                  <c:v>0.96375870927153184</c:v>
                </c:pt>
                <c:pt idx="172">
                  <c:v>0.96549727195050905</c:v>
                </c:pt>
                <c:pt idx="173">
                  <c:v>0.97972824609281739</c:v>
                </c:pt>
                <c:pt idx="174">
                  <c:v>0.97557589212912299</c:v>
                </c:pt>
                <c:pt idx="175">
                  <c:v>0.95934690244536402</c:v>
                </c:pt>
                <c:pt idx="176">
                  <c:v>0.9385222539497815</c:v>
                </c:pt>
                <c:pt idx="177">
                  <c:v>0.94205857388199854</c:v>
                </c:pt>
                <c:pt idx="178">
                  <c:v>0.87748700775465949</c:v>
                </c:pt>
                <c:pt idx="179">
                  <c:v>0.90339137243763723</c:v>
                </c:pt>
                <c:pt idx="180">
                  <c:v>0.94205857388199854</c:v>
                </c:pt>
                <c:pt idx="181">
                  <c:v>0.95587425416287319</c:v>
                </c:pt>
                <c:pt idx="182">
                  <c:v>0.99027447530696866</c:v>
                </c:pt>
                <c:pt idx="183">
                  <c:v>0.97847366123619861</c:v>
                </c:pt>
                <c:pt idx="184">
                  <c:v>0.95580172872477098</c:v>
                </c:pt>
                <c:pt idx="185">
                  <c:v>0.89815584955046668</c:v>
                </c:pt>
                <c:pt idx="186">
                  <c:v>0.90433551745614671</c:v>
                </c:pt>
                <c:pt idx="187">
                  <c:v>0.90433551745614671</c:v>
                </c:pt>
                <c:pt idx="188">
                  <c:v>0.89875319576913215</c:v>
                </c:pt>
                <c:pt idx="189">
                  <c:v>0.90226538815009849</c:v>
                </c:pt>
                <c:pt idx="190">
                  <c:v>0.91172389347479832</c:v>
                </c:pt>
                <c:pt idx="191">
                  <c:v>0.91139854356807648</c:v>
                </c:pt>
                <c:pt idx="192">
                  <c:v>0.91158635954379463</c:v>
                </c:pt>
                <c:pt idx="193">
                  <c:v>0.91043730151525848</c:v>
                </c:pt>
                <c:pt idx="194">
                  <c:v>0.90933155768623286</c:v>
                </c:pt>
                <c:pt idx="195">
                  <c:v>0.92081224691907704</c:v>
                </c:pt>
                <c:pt idx="196">
                  <c:v>0.91584710240533518</c:v>
                </c:pt>
                <c:pt idx="197">
                  <c:v>0.92081224691907704</c:v>
                </c:pt>
                <c:pt idx="198">
                  <c:v>0.88207169423008958</c:v>
                </c:pt>
                <c:pt idx="199">
                  <c:v>0.89839647193495631</c:v>
                </c:pt>
                <c:pt idx="200">
                  <c:v>0.81613042553286597</c:v>
                </c:pt>
                <c:pt idx="201">
                  <c:v>0.92731884222020211</c:v>
                </c:pt>
                <c:pt idx="202">
                  <c:v>0.94021222625007095</c:v>
                </c:pt>
                <c:pt idx="203">
                  <c:v>0.93754446570186334</c:v>
                </c:pt>
                <c:pt idx="204">
                  <c:v>0.92213501804792164</c:v>
                </c:pt>
                <c:pt idx="205">
                  <c:v>0.95301550179731664</c:v>
                </c:pt>
                <c:pt idx="206">
                  <c:v>0.95301550179731664</c:v>
                </c:pt>
                <c:pt idx="207">
                  <c:v>0.95301550179731664</c:v>
                </c:pt>
                <c:pt idx="208">
                  <c:v>0.93095663396698869</c:v>
                </c:pt>
                <c:pt idx="209">
                  <c:v>0.9605332037897929</c:v>
                </c:pt>
                <c:pt idx="210">
                  <c:v>0.96186747708451303</c:v>
                </c:pt>
                <c:pt idx="211">
                  <c:v>0.95441320378126659</c:v>
                </c:pt>
                <c:pt idx="212">
                  <c:v>0.96468401373452672</c:v>
                </c:pt>
                <c:pt idx="213">
                  <c:v>0.97266763503004883</c:v>
                </c:pt>
                <c:pt idx="214">
                  <c:v>0.95776869813018495</c:v>
                </c:pt>
                <c:pt idx="215">
                  <c:v>0.94404770550683115</c:v>
                </c:pt>
                <c:pt idx="216">
                  <c:v>0.93485323798856346</c:v>
                </c:pt>
                <c:pt idx="217">
                  <c:v>0.96106992079841158</c:v>
                </c:pt>
                <c:pt idx="218">
                  <c:v>0.94774748297200118</c:v>
                </c:pt>
                <c:pt idx="219">
                  <c:v>0.95604869553761263</c:v>
                </c:pt>
                <c:pt idx="220">
                  <c:v>0.94774748297200118</c:v>
                </c:pt>
                <c:pt idx="221">
                  <c:v>0.87447330791091027</c:v>
                </c:pt>
                <c:pt idx="222">
                  <c:v>0.86610822666592668</c:v>
                </c:pt>
                <c:pt idx="223">
                  <c:v>0.85855481757872876</c:v>
                </c:pt>
                <c:pt idx="224">
                  <c:v>0.97239746277661943</c:v>
                </c:pt>
                <c:pt idx="225">
                  <c:v>0.94760091430176863</c:v>
                </c:pt>
                <c:pt idx="226">
                  <c:v>0.90530545432094578</c:v>
                </c:pt>
                <c:pt idx="227">
                  <c:v>0.90530545432094578</c:v>
                </c:pt>
                <c:pt idx="228">
                  <c:v>0.88187964847597478</c:v>
                </c:pt>
                <c:pt idx="229">
                  <c:v>0.84714025108084823</c:v>
                </c:pt>
                <c:pt idx="230">
                  <c:v>0.85057469901096172</c:v>
                </c:pt>
                <c:pt idx="231">
                  <c:v>0.86318334905076011</c:v>
                </c:pt>
                <c:pt idx="232">
                  <c:v>0.83807343208953389</c:v>
                </c:pt>
                <c:pt idx="233">
                  <c:v>0.82222220988865746</c:v>
                </c:pt>
                <c:pt idx="234">
                  <c:v>0.62275368206073134</c:v>
                </c:pt>
                <c:pt idx="235">
                  <c:v>0.67230326575429078</c:v>
                </c:pt>
                <c:pt idx="236">
                  <c:v>0.69050447134038251</c:v>
                </c:pt>
                <c:pt idx="237">
                  <c:v>0.61033542977678468</c:v>
                </c:pt>
                <c:pt idx="238">
                  <c:v>0.6939569757734102</c:v>
                </c:pt>
                <c:pt idx="239">
                  <c:v>0.66754333395655185</c:v>
                </c:pt>
                <c:pt idx="240">
                  <c:v>0.72609301543362903</c:v>
                </c:pt>
                <c:pt idx="241">
                  <c:v>0.74663166442725448</c:v>
                </c:pt>
                <c:pt idx="242">
                  <c:v>0.66754333395655185</c:v>
                </c:pt>
                <c:pt idx="243">
                  <c:v>0.62123716526554651</c:v>
                </c:pt>
                <c:pt idx="244">
                  <c:v>0.6180222680328239</c:v>
                </c:pt>
                <c:pt idx="245">
                  <c:v>0.61208356800738151</c:v>
                </c:pt>
                <c:pt idx="246">
                  <c:v>0.59958841658177919</c:v>
                </c:pt>
                <c:pt idx="247">
                  <c:v>0.60103263205619939</c:v>
                </c:pt>
                <c:pt idx="248">
                  <c:v>0.60029604092737399</c:v>
                </c:pt>
                <c:pt idx="249">
                  <c:v>0.58845851438886132</c:v>
                </c:pt>
                <c:pt idx="250">
                  <c:v>0.59224775585706535</c:v>
                </c:pt>
                <c:pt idx="251">
                  <c:v>0.604601625895822</c:v>
                </c:pt>
                <c:pt idx="252">
                  <c:v>0.61074045486204243</c:v>
                </c:pt>
                <c:pt idx="253">
                  <c:v>0.61389489282556919</c:v>
                </c:pt>
                <c:pt idx="254">
                  <c:v>0.60233041560273004</c:v>
                </c:pt>
                <c:pt idx="255">
                  <c:v>0.6037352344540472</c:v>
                </c:pt>
                <c:pt idx="256">
                  <c:v>0.58942459149155479</c:v>
                </c:pt>
                <c:pt idx="257">
                  <c:v>0.54205032767488659</c:v>
                </c:pt>
                <c:pt idx="258">
                  <c:v>0.52056927566475342</c:v>
                </c:pt>
                <c:pt idx="259">
                  <c:v>0.61889055550431171</c:v>
                </c:pt>
                <c:pt idx="260">
                  <c:v>0.63857444674020136</c:v>
                </c:pt>
                <c:pt idx="261">
                  <c:v>0.64069519706314115</c:v>
                </c:pt>
                <c:pt idx="262">
                  <c:v>0.64288827641604773</c:v>
                </c:pt>
                <c:pt idx="263">
                  <c:v>0.63874575831359703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Query!$B$3:$B$266</c:f>
              <c:numCache>
                <c:formatCode>m/d/yyyy</c:formatCode>
                <c:ptCount val="264"/>
                <c:pt idx="0">
                  <c:v>42390</c:v>
                </c:pt>
                <c:pt idx="1">
                  <c:v>42383</c:v>
                </c:pt>
                <c:pt idx="2">
                  <c:v>42376</c:v>
                </c:pt>
                <c:pt idx="3">
                  <c:v>42369</c:v>
                </c:pt>
                <c:pt idx="4">
                  <c:v>42362</c:v>
                </c:pt>
                <c:pt idx="5">
                  <c:v>42355</c:v>
                </c:pt>
                <c:pt idx="6">
                  <c:v>42348</c:v>
                </c:pt>
                <c:pt idx="7">
                  <c:v>42341</c:v>
                </c:pt>
                <c:pt idx="8">
                  <c:v>42333</c:v>
                </c:pt>
                <c:pt idx="9">
                  <c:v>42327</c:v>
                </c:pt>
                <c:pt idx="10">
                  <c:v>42320</c:v>
                </c:pt>
                <c:pt idx="11">
                  <c:v>42313</c:v>
                </c:pt>
                <c:pt idx="12">
                  <c:v>42306</c:v>
                </c:pt>
                <c:pt idx="13">
                  <c:v>42299</c:v>
                </c:pt>
                <c:pt idx="14">
                  <c:v>42292</c:v>
                </c:pt>
                <c:pt idx="15">
                  <c:v>42285</c:v>
                </c:pt>
                <c:pt idx="16">
                  <c:v>42278</c:v>
                </c:pt>
                <c:pt idx="17">
                  <c:v>42271</c:v>
                </c:pt>
                <c:pt idx="18">
                  <c:v>42264</c:v>
                </c:pt>
                <c:pt idx="19">
                  <c:v>42257</c:v>
                </c:pt>
                <c:pt idx="20">
                  <c:v>42250</c:v>
                </c:pt>
                <c:pt idx="21">
                  <c:v>42243</c:v>
                </c:pt>
                <c:pt idx="22">
                  <c:v>42236</c:v>
                </c:pt>
                <c:pt idx="23">
                  <c:v>42229</c:v>
                </c:pt>
                <c:pt idx="24">
                  <c:v>42222</c:v>
                </c:pt>
                <c:pt idx="25">
                  <c:v>42215</c:v>
                </c:pt>
                <c:pt idx="26">
                  <c:v>42208</c:v>
                </c:pt>
                <c:pt idx="27">
                  <c:v>42201</c:v>
                </c:pt>
                <c:pt idx="28">
                  <c:v>42194</c:v>
                </c:pt>
                <c:pt idx="29">
                  <c:v>42187</c:v>
                </c:pt>
                <c:pt idx="30">
                  <c:v>42180</c:v>
                </c:pt>
                <c:pt idx="31">
                  <c:v>42173</c:v>
                </c:pt>
                <c:pt idx="32">
                  <c:v>42166</c:v>
                </c:pt>
                <c:pt idx="33">
                  <c:v>42159</c:v>
                </c:pt>
                <c:pt idx="34">
                  <c:v>42152</c:v>
                </c:pt>
                <c:pt idx="35">
                  <c:v>42145</c:v>
                </c:pt>
                <c:pt idx="36">
                  <c:v>42138</c:v>
                </c:pt>
                <c:pt idx="37">
                  <c:v>42131</c:v>
                </c:pt>
                <c:pt idx="38">
                  <c:v>42124</c:v>
                </c:pt>
                <c:pt idx="39">
                  <c:v>42117</c:v>
                </c:pt>
                <c:pt idx="40">
                  <c:v>42110</c:v>
                </c:pt>
                <c:pt idx="41">
                  <c:v>42103</c:v>
                </c:pt>
                <c:pt idx="42">
                  <c:v>42096</c:v>
                </c:pt>
                <c:pt idx="43">
                  <c:v>42089</c:v>
                </c:pt>
                <c:pt idx="44">
                  <c:v>42082</c:v>
                </c:pt>
                <c:pt idx="45">
                  <c:v>42075</c:v>
                </c:pt>
                <c:pt idx="46">
                  <c:v>42068</c:v>
                </c:pt>
                <c:pt idx="47">
                  <c:v>42061</c:v>
                </c:pt>
                <c:pt idx="48">
                  <c:v>42054</c:v>
                </c:pt>
                <c:pt idx="49">
                  <c:v>42047</c:v>
                </c:pt>
                <c:pt idx="50">
                  <c:v>42040</c:v>
                </c:pt>
                <c:pt idx="51">
                  <c:v>42033</c:v>
                </c:pt>
                <c:pt idx="52">
                  <c:v>42026</c:v>
                </c:pt>
                <c:pt idx="53">
                  <c:v>42019</c:v>
                </c:pt>
                <c:pt idx="54">
                  <c:v>42012</c:v>
                </c:pt>
                <c:pt idx="55">
                  <c:v>42004</c:v>
                </c:pt>
                <c:pt idx="56">
                  <c:v>41997</c:v>
                </c:pt>
                <c:pt idx="57">
                  <c:v>41991</c:v>
                </c:pt>
                <c:pt idx="58">
                  <c:v>41984</c:v>
                </c:pt>
                <c:pt idx="59">
                  <c:v>41977</c:v>
                </c:pt>
                <c:pt idx="60">
                  <c:v>41969</c:v>
                </c:pt>
                <c:pt idx="61">
                  <c:v>41963</c:v>
                </c:pt>
                <c:pt idx="62">
                  <c:v>41956</c:v>
                </c:pt>
                <c:pt idx="63">
                  <c:v>41949</c:v>
                </c:pt>
                <c:pt idx="64">
                  <c:v>41942</c:v>
                </c:pt>
                <c:pt idx="65">
                  <c:v>41935</c:v>
                </c:pt>
                <c:pt idx="66">
                  <c:v>41928</c:v>
                </c:pt>
                <c:pt idx="67">
                  <c:v>41921</c:v>
                </c:pt>
                <c:pt idx="68">
                  <c:v>41914</c:v>
                </c:pt>
                <c:pt idx="69">
                  <c:v>41907</c:v>
                </c:pt>
                <c:pt idx="70">
                  <c:v>41900</c:v>
                </c:pt>
                <c:pt idx="71">
                  <c:v>41893</c:v>
                </c:pt>
                <c:pt idx="72">
                  <c:v>41886</c:v>
                </c:pt>
                <c:pt idx="73">
                  <c:v>41879</c:v>
                </c:pt>
                <c:pt idx="74">
                  <c:v>41872</c:v>
                </c:pt>
                <c:pt idx="75">
                  <c:v>41865</c:v>
                </c:pt>
                <c:pt idx="76">
                  <c:v>41858</c:v>
                </c:pt>
                <c:pt idx="77">
                  <c:v>41851</c:v>
                </c:pt>
                <c:pt idx="78">
                  <c:v>41844</c:v>
                </c:pt>
                <c:pt idx="79">
                  <c:v>41837</c:v>
                </c:pt>
                <c:pt idx="80">
                  <c:v>41830</c:v>
                </c:pt>
                <c:pt idx="81">
                  <c:v>41823</c:v>
                </c:pt>
                <c:pt idx="82">
                  <c:v>41816</c:v>
                </c:pt>
                <c:pt idx="83">
                  <c:v>41809</c:v>
                </c:pt>
                <c:pt idx="84">
                  <c:v>41802</c:v>
                </c:pt>
                <c:pt idx="85">
                  <c:v>41795</c:v>
                </c:pt>
                <c:pt idx="86">
                  <c:v>41788</c:v>
                </c:pt>
                <c:pt idx="87">
                  <c:v>41781</c:v>
                </c:pt>
                <c:pt idx="88">
                  <c:v>41774</c:v>
                </c:pt>
                <c:pt idx="89">
                  <c:v>41767</c:v>
                </c:pt>
                <c:pt idx="90">
                  <c:v>41760</c:v>
                </c:pt>
                <c:pt idx="91">
                  <c:v>41753</c:v>
                </c:pt>
                <c:pt idx="92">
                  <c:v>41746</c:v>
                </c:pt>
                <c:pt idx="93">
                  <c:v>41739</c:v>
                </c:pt>
                <c:pt idx="94">
                  <c:v>41732</c:v>
                </c:pt>
                <c:pt idx="95">
                  <c:v>41725</c:v>
                </c:pt>
                <c:pt idx="96">
                  <c:v>41718</c:v>
                </c:pt>
                <c:pt idx="97">
                  <c:v>41711</c:v>
                </c:pt>
                <c:pt idx="98">
                  <c:v>41704</c:v>
                </c:pt>
                <c:pt idx="99">
                  <c:v>41697</c:v>
                </c:pt>
                <c:pt idx="100">
                  <c:v>41690</c:v>
                </c:pt>
                <c:pt idx="101">
                  <c:v>41683</c:v>
                </c:pt>
                <c:pt idx="102">
                  <c:v>41676</c:v>
                </c:pt>
                <c:pt idx="103">
                  <c:v>41669</c:v>
                </c:pt>
                <c:pt idx="104">
                  <c:v>41662</c:v>
                </c:pt>
                <c:pt idx="105">
                  <c:v>41655</c:v>
                </c:pt>
                <c:pt idx="106">
                  <c:v>41648</c:v>
                </c:pt>
                <c:pt idx="107">
                  <c:v>41641</c:v>
                </c:pt>
                <c:pt idx="108">
                  <c:v>41634</c:v>
                </c:pt>
                <c:pt idx="109">
                  <c:v>41627</c:v>
                </c:pt>
                <c:pt idx="110">
                  <c:v>41620</c:v>
                </c:pt>
                <c:pt idx="111">
                  <c:v>41613</c:v>
                </c:pt>
                <c:pt idx="112">
                  <c:v>41605</c:v>
                </c:pt>
                <c:pt idx="113">
                  <c:v>41599</c:v>
                </c:pt>
                <c:pt idx="114">
                  <c:v>41592</c:v>
                </c:pt>
                <c:pt idx="115">
                  <c:v>41585</c:v>
                </c:pt>
                <c:pt idx="116">
                  <c:v>41578</c:v>
                </c:pt>
                <c:pt idx="117">
                  <c:v>41571</c:v>
                </c:pt>
                <c:pt idx="118">
                  <c:v>41564</c:v>
                </c:pt>
                <c:pt idx="119">
                  <c:v>41557</c:v>
                </c:pt>
                <c:pt idx="120">
                  <c:v>41550</c:v>
                </c:pt>
                <c:pt idx="121">
                  <c:v>41543</c:v>
                </c:pt>
                <c:pt idx="122">
                  <c:v>41536</c:v>
                </c:pt>
                <c:pt idx="123">
                  <c:v>41529</c:v>
                </c:pt>
                <c:pt idx="124">
                  <c:v>41522</c:v>
                </c:pt>
                <c:pt idx="125">
                  <c:v>41515</c:v>
                </c:pt>
                <c:pt idx="126">
                  <c:v>41508</c:v>
                </c:pt>
                <c:pt idx="127">
                  <c:v>41501</c:v>
                </c:pt>
                <c:pt idx="128">
                  <c:v>41494</c:v>
                </c:pt>
                <c:pt idx="129">
                  <c:v>41487</c:v>
                </c:pt>
                <c:pt idx="130">
                  <c:v>41480</c:v>
                </c:pt>
                <c:pt idx="131">
                  <c:v>41473</c:v>
                </c:pt>
                <c:pt idx="132">
                  <c:v>41466</c:v>
                </c:pt>
                <c:pt idx="133">
                  <c:v>41458</c:v>
                </c:pt>
                <c:pt idx="134">
                  <c:v>41452</c:v>
                </c:pt>
                <c:pt idx="135">
                  <c:v>41445</c:v>
                </c:pt>
                <c:pt idx="136">
                  <c:v>41438</c:v>
                </c:pt>
                <c:pt idx="137">
                  <c:v>41431</c:v>
                </c:pt>
                <c:pt idx="138">
                  <c:v>41424</c:v>
                </c:pt>
                <c:pt idx="139">
                  <c:v>41417</c:v>
                </c:pt>
                <c:pt idx="140">
                  <c:v>41410</c:v>
                </c:pt>
                <c:pt idx="141">
                  <c:v>41403</c:v>
                </c:pt>
                <c:pt idx="142">
                  <c:v>41396</c:v>
                </c:pt>
                <c:pt idx="143">
                  <c:v>41389</c:v>
                </c:pt>
                <c:pt idx="144">
                  <c:v>41382</c:v>
                </c:pt>
                <c:pt idx="145">
                  <c:v>41375</c:v>
                </c:pt>
                <c:pt idx="146">
                  <c:v>41368</c:v>
                </c:pt>
                <c:pt idx="147">
                  <c:v>41361</c:v>
                </c:pt>
                <c:pt idx="148">
                  <c:v>41354</c:v>
                </c:pt>
                <c:pt idx="149">
                  <c:v>41347</c:v>
                </c:pt>
                <c:pt idx="150">
                  <c:v>41340</c:v>
                </c:pt>
                <c:pt idx="151">
                  <c:v>41333</c:v>
                </c:pt>
                <c:pt idx="152">
                  <c:v>41326</c:v>
                </c:pt>
                <c:pt idx="153">
                  <c:v>41319</c:v>
                </c:pt>
                <c:pt idx="154">
                  <c:v>41312</c:v>
                </c:pt>
                <c:pt idx="155">
                  <c:v>41305</c:v>
                </c:pt>
                <c:pt idx="156">
                  <c:v>41298</c:v>
                </c:pt>
                <c:pt idx="157">
                  <c:v>41291</c:v>
                </c:pt>
                <c:pt idx="158">
                  <c:v>41284</c:v>
                </c:pt>
                <c:pt idx="159">
                  <c:v>41277</c:v>
                </c:pt>
                <c:pt idx="160">
                  <c:v>41270</c:v>
                </c:pt>
                <c:pt idx="161">
                  <c:v>41263</c:v>
                </c:pt>
                <c:pt idx="162">
                  <c:v>41256</c:v>
                </c:pt>
                <c:pt idx="163">
                  <c:v>41249</c:v>
                </c:pt>
                <c:pt idx="164">
                  <c:v>41242</c:v>
                </c:pt>
                <c:pt idx="165">
                  <c:v>41234</c:v>
                </c:pt>
                <c:pt idx="166">
                  <c:v>41228</c:v>
                </c:pt>
                <c:pt idx="167">
                  <c:v>41221</c:v>
                </c:pt>
                <c:pt idx="168">
                  <c:v>41214</c:v>
                </c:pt>
                <c:pt idx="169">
                  <c:v>41207</c:v>
                </c:pt>
                <c:pt idx="170">
                  <c:v>41200</c:v>
                </c:pt>
                <c:pt idx="171">
                  <c:v>41193</c:v>
                </c:pt>
                <c:pt idx="172">
                  <c:v>41186</c:v>
                </c:pt>
                <c:pt idx="173">
                  <c:v>41179</c:v>
                </c:pt>
                <c:pt idx="174">
                  <c:v>41172</c:v>
                </c:pt>
                <c:pt idx="175">
                  <c:v>41165</c:v>
                </c:pt>
                <c:pt idx="176">
                  <c:v>41158</c:v>
                </c:pt>
                <c:pt idx="177">
                  <c:v>41151</c:v>
                </c:pt>
                <c:pt idx="178">
                  <c:v>41144</c:v>
                </c:pt>
                <c:pt idx="179">
                  <c:v>41137</c:v>
                </c:pt>
                <c:pt idx="180">
                  <c:v>41130</c:v>
                </c:pt>
                <c:pt idx="181">
                  <c:v>41123</c:v>
                </c:pt>
                <c:pt idx="182">
                  <c:v>41116</c:v>
                </c:pt>
                <c:pt idx="183">
                  <c:v>41109</c:v>
                </c:pt>
                <c:pt idx="184">
                  <c:v>41102</c:v>
                </c:pt>
                <c:pt idx="185">
                  <c:v>41095</c:v>
                </c:pt>
                <c:pt idx="186">
                  <c:v>41088</c:v>
                </c:pt>
                <c:pt idx="187">
                  <c:v>41081</c:v>
                </c:pt>
                <c:pt idx="188">
                  <c:v>41074</c:v>
                </c:pt>
                <c:pt idx="189">
                  <c:v>41067</c:v>
                </c:pt>
                <c:pt idx="190">
                  <c:v>41060</c:v>
                </c:pt>
                <c:pt idx="191">
                  <c:v>41053</c:v>
                </c:pt>
                <c:pt idx="192">
                  <c:v>41046</c:v>
                </c:pt>
                <c:pt idx="193">
                  <c:v>41039</c:v>
                </c:pt>
                <c:pt idx="194">
                  <c:v>41032</c:v>
                </c:pt>
                <c:pt idx="195">
                  <c:v>41025</c:v>
                </c:pt>
                <c:pt idx="196">
                  <c:v>41018</c:v>
                </c:pt>
                <c:pt idx="197">
                  <c:v>41011</c:v>
                </c:pt>
                <c:pt idx="198">
                  <c:v>41004</c:v>
                </c:pt>
                <c:pt idx="199">
                  <c:v>40997</c:v>
                </c:pt>
                <c:pt idx="200">
                  <c:v>40990</c:v>
                </c:pt>
                <c:pt idx="201">
                  <c:v>40983</c:v>
                </c:pt>
                <c:pt idx="202">
                  <c:v>40976</c:v>
                </c:pt>
                <c:pt idx="203">
                  <c:v>40969</c:v>
                </c:pt>
                <c:pt idx="204">
                  <c:v>40962</c:v>
                </c:pt>
                <c:pt idx="205">
                  <c:v>40955</c:v>
                </c:pt>
                <c:pt idx="206">
                  <c:v>40948</c:v>
                </c:pt>
                <c:pt idx="207">
                  <c:v>40941</c:v>
                </c:pt>
                <c:pt idx="208">
                  <c:v>40934</c:v>
                </c:pt>
                <c:pt idx="209">
                  <c:v>40927</c:v>
                </c:pt>
                <c:pt idx="210">
                  <c:v>40920</c:v>
                </c:pt>
                <c:pt idx="211">
                  <c:v>40913</c:v>
                </c:pt>
                <c:pt idx="212">
                  <c:v>40906</c:v>
                </c:pt>
                <c:pt idx="213">
                  <c:v>40899</c:v>
                </c:pt>
                <c:pt idx="214">
                  <c:v>40892</c:v>
                </c:pt>
                <c:pt idx="215">
                  <c:v>40885</c:v>
                </c:pt>
                <c:pt idx="216">
                  <c:v>40878</c:v>
                </c:pt>
                <c:pt idx="217">
                  <c:v>40870</c:v>
                </c:pt>
                <c:pt idx="218">
                  <c:v>40864</c:v>
                </c:pt>
                <c:pt idx="219">
                  <c:v>40857</c:v>
                </c:pt>
                <c:pt idx="220">
                  <c:v>40850</c:v>
                </c:pt>
                <c:pt idx="221">
                  <c:v>40843</c:v>
                </c:pt>
                <c:pt idx="222">
                  <c:v>40836</c:v>
                </c:pt>
                <c:pt idx="223">
                  <c:v>40829</c:v>
                </c:pt>
                <c:pt idx="224">
                  <c:v>40822</c:v>
                </c:pt>
                <c:pt idx="225">
                  <c:v>40815</c:v>
                </c:pt>
                <c:pt idx="226">
                  <c:v>40808</c:v>
                </c:pt>
                <c:pt idx="227">
                  <c:v>40801</c:v>
                </c:pt>
                <c:pt idx="228">
                  <c:v>40794</c:v>
                </c:pt>
                <c:pt idx="229">
                  <c:v>40787</c:v>
                </c:pt>
                <c:pt idx="230">
                  <c:v>40780</c:v>
                </c:pt>
                <c:pt idx="231">
                  <c:v>40773</c:v>
                </c:pt>
                <c:pt idx="232">
                  <c:v>40766</c:v>
                </c:pt>
                <c:pt idx="233">
                  <c:v>40759</c:v>
                </c:pt>
                <c:pt idx="234">
                  <c:v>40752</c:v>
                </c:pt>
                <c:pt idx="235">
                  <c:v>40745</c:v>
                </c:pt>
                <c:pt idx="236">
                  <c:v>40738</c:v>
                </c:pt>
                <c:pt idx="237">
                  <c:v>40731</c:v>
                </c:pt>
                <c:pt idx="238">
                  <c:v>40724</c:v>
                </c:pt>
                <c:pt idx="239">
                  <c:v>40717</c:v>
                </c:pt>
                <c:pt idx="240">
                  <c:v>40710</c:v>
                </c:pt>
                <c:pt idx="241">
                  <c:v>40703</c:v>
                </c:pt>
                <c:pt idx="242">
                  <c:v>40696</c:v>
                </c:pt>
                <c:pt idx="243">
                  <c:v>40689</c:v>
                </c:pt>
                <c:pt idx="244">
                  <c:v>40682</c:v>
                </c:pt>
                <c:pt idx="245">
                  <c:v>40675</c:v>
                </c:pt>
                <c:pt idx="246">
                  <c:v>40668</c:v>
                </c:pt>
                <c:pt idx="247">
                  <c:v>40661</c:v>
                </c:pt>
                <c:pt idx="248">
                  <c:v>40654</c:v>
                </c:pt>
                <c:pt idx="249">
                  <c:v>40647</c:v>
                </c:pt>
                <c:pt idx="250">
                  <c:v>40640</c:v>
                </c:pt>
                <c:pt idx="251">
                  <c:v>40633</c:v>
                </c:pt>
                <c:pt idx="252">
                  <c:v>40626</c:v>
                </c:pt>
                <c:pt idx="253">
                  <c:v>40619</c:v>
                </c:pt>
                <c:pt idx="254">
                  <c:v>40612</c:v>
                </c:pt>
                <c:pt idx="255">
                  <c:v>40605</c:v>
                </c:pt>
                <c:pt idx="256">
                  <c:v>40598</c:v>
                </c:pt>
                <c:pt idx="257">
                  <c:v>40591</c:v>
                </c:pt>
                <c:pt idx="258">
                  <c:v>40584</c:v>
                </c:pt>
                <c:pt idx="259">
                  <c:v>40577</c:v>
                </c:pt>
                <c:pt idx="260">
                  <c:v>40570</c:v>
                </c:pt>
                <c:pt idx="261">
                  <c:v>40563</c:v>
                </c:pt>
                <c:pt idx="262">
                  <c:v>40556</c:v>
                </c:pt>
                <c:pt idx="263">
                  <c:v>40549</c:v>
                </c:pt>
              </c:numCache>
            </c:numRef>
          </c:cat>
          <c:val>
            <c:numRef>
              <c:f>Query!$D$3:$D$266</c:f>
              <c:numCache>
                <c:formatCode>0.00%</c:formatCode>
                <c:ptCount val="264"/>
                <c:pt idx="0">
                  <c:v>0.51058732016564734</c:v>
                </c:pt>
                <c:pt idx="1">
                  <c:v>0.44103197340208022</c:v>
                </c:pt>
                <c:pt idx="2">
                  <c:v>#N/A</c:v>
                </c:pt>
                <c:pt idx="3">
                  <c:v>0.41128790488114564</c:v>
                </c:pt>
                <c:pt idx="4">
                  <c:v>0.44353361272975167</c:v>
                </c:pt>
                <c:pt idx="5">
                  <c:v>0.4426892560799261</c:v>
                </c:pt>
                <c:pt idx="6">
                  <c:v>0.44439599984148415</c:v>
                </c:pt>
                <c:pt idx="7">
                  <c:v>0.44656607927794312</c:v>
                </c:pt>
                <c:pt idx="8">
                  <c:v>0.44809866053416347</c:v>
                </c:pt>
                <c:pt idx="9">
                  <c:v>0.44227071864556189</c:v>
                </c:pt>
                <c:pt idx="10">
                  <c:v>0.41424676173976599</c:v>
                </c:pt>
                <c:pt idx="11">
                  <c:v>0.47756205149100972</c:v>
                </c:pt>
                <c:pt idx="12">
                  <c:v>0.55255659565598092</c:v>
                </c:pt>
                <c:pt idx="13">
                  <c:v>0.52254107122394533</c:v>
                </c:pt>
                <c:pt idx="14">
                  <c:v>0.52010113675112479</c:v>
                </c:pt>
                <c:pt idx="15">
                  <c:v>0.55255659565598092</c:v>
                </c:pt>
                <c:pt idx="16">
                  <c:v>0.51784913770324514</c:v>
                </c:pt>
                <c:pt idx="17">
                  <c:v>0.48860274852887836</c:v>
                </c:pt>
                <c:pt idx="18">
                  <c:v>0.48469774680333999</c:v>
                </c:pt>
                <c:pt idx="19">
                  <c:v>0.48663724314238854</c:v>
                </c:pt>
                <c:pt idx="20">
                  <c:v>0.4874742059346423</c:v>
                </c:pt>
                <c:pt idx="21">
                  <c:v>0.53237291122190666</c:v>
                </c:pt>
                <c:pt idx="22">
                  <c:v>0.44680494601844289</c:v>
                </c:pt>
                <c:pt idx="23">
                  <c:v>0.44651143610405097</c:v>
                </c:pt>
                <c:pt idx="24">
                  <c:v>0.47053858271925847</c:v>
                </c:pt>
                <c:pt idx="25">
                  <c:v>0.42269076065729377</c:v>
                </c:pt>
                <c:pt idx="26">
                  <c:v>0.39501005586426785</c:v>
                </c:pt>
                <c:pt idx="27">
                  <c:v>0.39138037249660224</c:v>
                </c:pt>
                <c:pt idx="28">
                  <c:v>0.39501005586426785</c:v>
                </c:pt>
                <c:pt idx="29">
                  <c:v>0.39179509217736908</c:v>
                </c:pt>
                <c:pt idx="30">
                  <c:v>0.39696021691334338</c:v>
                </c:pt>
                <c:pt idx="31">
                  <c:v>0.42202391195455535</c:v>
                </c:pt>
                <c:pt idx="32">
                  <c:v>0.39779633268543002</c:v>
                </c:pt>
                <c:pt idx="33">
                  <c:v>0.49151040605794738</c:v>
                </c:pt>
                <c:pt idx="34">
                  <c:v>0.49518214427458052</c:v>
                </c:pt>
                <c:pt idx="35">
                  <c:v>0.49530657385961702</c:v>
                </c:pt>
                <c:pt idx="36">
                  <c:v>0.52626041924754496</c:v>
                </c:pt>
                <c:pt idx="37">
                  <c:v>0.53238458781035902</c:v>
                </c:pt>
                <c:pt idx="38">
                  <c:v>0.608876308109219</c:v>
                </c:pt>
                <c:pt idx="39">
                  <c:v>0.63350921207897204</c:v>
                </c:pt>
                <c:pt idx="40">
                  <c:v>0.60745911385405604</c:v>
                </c:pt>
                <c:pt idx="41">
                  <c:v>0.63179874985391804</c:v>
                </c:pt>
                <c:pt idx="42">
                  <c:v>0.60618674833379105</c:v>
                </c:pt>
                <c:pt idx="43">
                  <c:v>0.61985540937113104</c:v>
                </c:pt>
                <c:pt idx="44">
                  <c:v>0.58146564562660097</c:v>
                </c:pt>
                <c:pt idx="45">
                  <c:v>0.51703371456013503</c:v>
                </c:pt>
                <c:pt idx="46">
                  <c:v>0.58384753948448997</c:v>
                </c:pt>
                <c:pt idx="47">
                  <c:v>0.56144623129586702</c:v>
                </c:pt>
                <c:pt idx="48">
                  <c:v>0.59003468905342005</c:v>
                </c:pt>
                <c:pt idx="49">
                  <c:v>0.62719075850631201</c:v>
                </c:pt>
                <c:pt idx="50">
                  <c:v>0.65455905311871299</c:v>
                </c:pt>
                <c:pt idx="51">
                  <c:v>0.65582330233583797</c:v>
                </c:pt>
                <c:pt idx="52">
                  <c:v>0.65720471867066899</c:v>
                </c:pt>
                <c:pt idx="53">
                  <c:v>0.65582330233583797</c:v>
                </c:pt>
                <c:pt idx="54">
                  <c:v>0.59931706558407905</c:v>
                </c:pt>
                <c:pt idx="55">
                  <c:v>0.53680415412734395</c:v>
                </c:pt>
                <c:pt idx="56">
                  <c:v>0.57166642614489205</c:v>
                </c:pt>
                <c:pt idx="57">
                  <c:v>0.57447022909045797</c:v>
                </c:pt>
                <c:pt idx="58">
                  <c:v>0.53353274326337596</c:v>
                </c:pt>
                <c:pt idx="59">
                  <c:v>0.53685925114667898</c:v>
                </c:pt>
                <c:pt idx="60">
                  <c:v>0.51222876537846296</c:v>
                </c:pt>
                <c:pt idx="61">
                  <c:v>0.51126312077979097</c:v>
                </c:pt>
                <c:pt idx="62">
                  <c:v>0.47696082053878203</c:v>
                </c:pt>
                <c:pt idx="63">
                  <c:v>0.47679161148246502</c:v>
                </c:pt>
                <c:pt idx="64">
                  <c:v>0.519221652370358</c:v>
                </c:pt>
                <c:pt idx="65">
                  <c:v>0.54838604953283498</c:v>
                </c:pt>
                <c:pt idx="66">
                  <c:v>0.51982909302980596</c:v>
                </c:pt>
                <c:pt idx="67">
                  <c:v>0.45168042618119703</c:v>
                </c:pt>
                <c:pt idx="68">
                  <c:v>0.419925946793896</c:v>
                </c:pt>
                <c:pt idx="69">
                  <c:v>0.40569534905697002</c:v>
                </c:pt>
                <c:pt idx="70">
                  <c:v>0.403775681059653</c:v>
                </c:pt>
                <c:pt idx="71">
                  <c:v>0.45995272695767497</c:v>
                </c:pt>
                <c:pt idx="72">
                  <c:v>0.46145357757128402</c:v>
                </c:pt>
                <c:pt idx="73">
                  <c:v>0.46725416935729103</c:v>
                </c:pt>
                <c:pt idx="74">
                  <c:v>0.46725416935729103</c:v>
                </c:pt>
                <c:pt idx="75">
                  <c:v>0.437009219217877</c:v>
                </c:pt>
                <c:pt idx="76">
                  <c:v>0.41284557270170602</c:v>
                </c:pt>
                <c:pt idx="77">
                  <c:v>0.44366576481104603</c:v>
                </c:pt>
                <c:pt idx="78">
                  <c:v>0.44241787954298001</c:v>
                </c:pt>
                <c:pt idx="79">
                  <c:v>0.44241787954298001</c:v>
                </c:pt>
                <c:pt idx="80">
                  <c:v>0.41926854513922601</c:v>
                </c:pt>
                <c:pt idx="81">
                  <c:v>0.47241973099249801</c:v>
                </c:pt>
                <c:pt idx="82">
                  <c:v>0.447997908024105</c:v>
                </c:pt>
                <c:pt idx="83">
                  <c:v>0.42434402519227898</c:v>
                </c:pt>
                <c:pt idx="84">
                  <c:v>0.42258598579352902</c:v>
                </c:pt>
                <c:pt idx="85">
                  <c:v>0.447997908024105</c:v>
                </c:pt>
                <c:pt idx="86">
                  <c:v>0.44740081291084099</c:v>
                </c:pt>
                <c:pt idx="87">
                  <c:v>0.44562837110466802</c:v>
                </c:pt>
                <c:pt idx="88">
                  <c:v>0.42349289634896597</c:v>
                </c:pt>
                <c:pt idx="89">
                  <c:v>0.42315654967107302</c:v>
                </c:pt>
                <c:pt idx="90">
                  <c:v>0.37348002875422498</c:v>
                </c:pt>
                <c:pt idx="91">
                  <c:v>0.37394334466633</c:v>
                </c:pt>
                <c:pt idx="92">
                  <c:v>0.37550642358643799</c:v>
                </c:pt>
                <c:pt idx="93">
                  <c:v>0.34451093908200903</c:v>
                </c:pt>
                <c:pt idx="94">
                  <c:v>0.31383635422742501</c:v>
                </c:pt>
                <c:pt idx="95">
                  <c:v>0.34373332978073601</c:v>
                </c:pt>
                <c:pt idx="96">
                  <c:v>0.37475184713589199</c:v>
                </c:pt>
                <c:pt idx="97">
                  <c:v>0.34537825411835699</c:v>
                </c:pt>
                <c:pt idx="98">
                  <c:v>0.37584545219724702</c:v>
                </c:pt>
                <c:pt idx="99">
                  <c:v>0.34853875137296803</c:v>
                </c:pt>
                <c:pt idx="100">
                  <c:v>0.35043602810261099</c:v>
                </c:pt>
                <c:pt idx="101">
                  <c:v>0.380280894786581</c:v>
                </c:pt>
                <c:pt idx="102">
                  <c:v>0.407383000493176</c:v>
                </c:pt>
                <c:pt idx="103">
                  <c:v>0.38449844249950499</c:v>
                </c:pt>
                <c:pt idx="104">
                  <c:v>0.32547727058860199</c:v>
                </c:pt>
                <c:pt idx="105">
                  <c:v>0.32467403778332998</c:v>
                </c:pt>
                <c:pt idx="106">
                  <c:v>0.29015447722721099</c:v>
                </c:pt>
                <c:pt idx="107">
                  <c:v>0.265306805945277</c:v>
                </c:pt>
                <c:pt idx="108">
                  <c:v>0.29162362501885603</c:v>
                </c:pt>
                <c:pt idx="109">
                  <c:v>0.29198850689481598</c:v>
                </c:pt>
                <c:pt idx="110">
                  <c:v>0.33082970500556302</c:v>
                </c:pt>
                <c:pt idx="111">
                  <c:v>0.331227934580689</c:v>
                </c:pt>
                <c:pt idx="112">
                  <c:v>0.401262959025458</c:v>
                </c:pt>
                <c:pt idx="113">
                  <c:v>0.42989701258795199</c:v>
                </c:pt>
                <c:pt idx="114">
                  <c:v>0.37120289750535601</c:v>
                </c:pt>
                <c:pt idx="115">
                  <c:v>0.44788779304034998</c:v>
                </c:pt>
                <c:pt idx="116">
                  <c:v>0.47501022290439499</c:v>
                </c:pt>
                <c:pt idx="117">
                  <c:v>0.45648777309490202</c:v>
                </c:pt>
                <c:pt idx="118">
                  <c:v>0.40902347477168999</c:v>
                </c:pt>
                <c:pt idx="119">
                  <c:v>0.43701315967767701</c:v>
                </c:pt>
                <c:pt idx="120">
                  <c:v>0.43751781158176101</c:v>
                </c:pt>
                <c:pt idx="121">
                  <c:v>0.41607421536967498</c:v>
                </c:pt>
                <c:pt idx="122">
                  <c:v>0.32091811677951898</c:v>
                </c:pt>
                <c:pt idx="123">
                  <c:v>0.28251411119681702</c:v>
                </c:pt>
                <c:pt idx="124">
                  <c:v>0.29894428975906101</c:v>
                </c:pt>
                <c:pt idx="125">
                  <c:v>0.32738957382411199</c:v>
                </c:pt>
                <c:pt idx="126">
                  <c:v>0.28848466841060699</c:v>
                </c:pt>
                <c:pt idx="127">
                  <c:v>0.36292296585782302</c:v>
                </c:pt>
                <c:pt idx="128">
                  <c:v>0.36292296585782302</c:v>
                </c:pt>
                <c:pt idx="129">
                  <c:v>0.36357930006355599</c:v>
                </c:pt>
                <c:pt idx="130">
                  <c:v>0.40895553727695599</c:v>
                </c:pt>
                <c:pt idx="131">
                  <c:v>0.407195502334876</c:v>
                </c:pt>
                <c:pt idx="132">
                  <c:v>0.32003461094412999</c:v>
                </c:pt>
                <c:pt idx="133">
                  <c:v>0.439218479739446</c:v>
                </c:pt>
                <c:pt idx="134">
                  <c:v>0.35042164075900101</c:v>
                </c:pt>
                <c:pt idx="135">
                  <c:v>0.55919632116239604</c:v>
                </c:pt>
                <c:pt idx="136">
                  <c:v>0.55842108987699401</c:v>
                </c:pt>
                <c:pt idx="137">
                  <c:v>0.57861777554698002</c:v>
                </c:pt>
                <c:pt idx="138">
                  <c:v>0.61546645850988302</c:v>
                </c:pt>
                <c:pt idx="139">
                  <c:v>0.68530860108825797</c:v>
                </c:pt>
                <c:pt idx="140">
                  <c:v>0.72159050384319001</c:v>
                </c:pt>
                <c:pt idx="141">
                  <c:v>0.75094523370436095</c:v>
                </c:pt>
                <c:pt idx="142">
                  <c:v>0.77520531199879605</c:v>
                </c:pt>
                <c:pt idx="143">
                  <c:v>0.759939269856726</c:v>
                </c:pt>
                <c:pt idx="144">
                  <c:v>0.76108985756873504</c:v>
                </c:pt>
                <c:pt idx="145">
                  <c:v>0.73719138808657003</c:v>
                </c:pt>
                <c:pt idx="146">
                  <c:v>0.71361316522728502</c:v>
                </c:pt>
                <c:pt idx="147">
                  <c:v>0.712062870316722</c:v>
                </c:pt>
                <c:pt idx="148">
                  <c:v>0.72870485724391698</c:v>
                </c:pt>
                <c:pt idx="149">
                  <c:v>0.69793386100167498</c:v>
                </c:pt>
                <c:pt idx="150">
                  <c:v>0.731898053840778</c:v>
                </c:pt>
                <c:pt idx="151">
                  <c:v>0.75332777657917305</c:v>
                </c:pt>
                <c:pt idx="152">
                  <c:v>0.73462902469773095</c:v>
                </c:pt>
                <c:pt idx="153">
                  <c:v>0.75155379277106704</c:v>
                </c:pt>
                <c:pt idx="154">
                  <c:v>0.75155379277106704</c:v>
                </c:pt>
                <c:pt idx="155">
                  <c:v>0.77322369572310801</c:v>
                </c:pt>
                <c:pt idx="156">
                  <c:v>0.81634992305868503</c:v>
                </c:pt>
                <c:pt idx="157">
                  <c:v>0.83503612629874802</c:v>
                </c:pt>
                <c:pt idx="158">
                  <c:v>0.81798384699460103</c:v>
                </c:pt>
                <c:pt idx="159">
                  <c:v>0.83696581575361895</c:v>
                </c:pt>
                <c:pt idx="160">
                  <c:v>0.85626060279274896</c:v>
                </c:pt>
                <c:pt idx="161">
                  <c:v>0.85522983991809798</c:v>
                </c:pt>
                <c:pt idx="162">
                  <c:v>0.87412257034895602</c:v>
                </c:pt>
                <c:pt idx="163">
                  <c:v>0.85662578219432695</c:v>
                </c:pt>
                <c:pt idx="164">
                  <c:v>0.86996445945149903</c:v>
                </c:pt>
                <c:pt idx="165">
                  <c:v>0.88773399472374204</c:v>
                </c:pt>
                <c:pt idx="166">
                  <c:v>0.86999483052125803</c:v>
                </c:pt>
                <c:pt idx="167">
                  <c:v>0.85194480836680198</c:v>
                </c:pt>
                <c:pt idx="168">
                  <c:v>0.85225052894835196</c:v>
                </c:pt>
                <c:pt idx="169">
                  <c:v>0.87683234085301398</c:v>
                </c:pt>
                <c:pt idx="170">
                  <c:v>0.89368551357821302</c:v>
                </c:pt>
                <c:pt idx="171">
                  <c:v>0.87811016351224602</c:v>
                </c:pt>
                <c:pt idx="172">
                  <c:v>0.89522709255279198</c:v>
                </c:pt>
                <c:pt idx="173">
                  <c:v>0.91259028169208301</c:v>
                </c:pt>
                <c:pt idx="174">
                  <c:v>0.87344930653794395</c:v>
                </c:pt>
                <c:pt idx="175">
                  <c:v>0.85731125996939705</c:v>
                </c:pt>
                <c:pt idx="176">
                  <c:v>0.854493626143913</c:v>
                </c:pt>
                <c:pt idx="177">
                  <c:v>0.86745968477328095</c:v>
                </c:pt>
                <c:pt idx="178">
                  <c:v>0.83819941388679298</c:v>
                </c:pt>
                <c:pt idx="179">
                  <c:v>0.85198632502448901</c:v>
                </c:pt>
                <c:pt idx="180">
                  <c:v>0.86745968477328095</c:v>
                </c:pt>
                <c:pt idx="181">
                  <c:v>0.86768818253450297</c:v>
                </c:pt>
                <c:pt idx="182">
                  <c:v>0.89814744996460805</c:v>
                </c:pt>
                <c:pt idx="183">
                  <c:v>0.88516739973977598</c:v>
                </c:pt>
                <c:pt idx="184">
                  <c:v>0.88265848165302496</c:v>
                </c:pt>
                <c:pt idx="185">
                  <c:v>0.85531584833132801</c:v>
                </c:pt>
                <c:pt idx="186">
                  <c:v>0.86306170802286497</c:v>
                </c:pt>
                <c:pt idx="187">
                  <c:v>0.86306170802286497</c:v>
                </c:pt>
                <c:pt idx="188">
                  <c:v>0.84549296973434196</c:v>
                </c:pt>
                <c:pt idx="189">
                  <c:v>0.86243439572202496</c:v>
                </c:pt>
                <c:pt idx="190">
                  <c:v>0.83268888035603505</c:v>
                </c:pt>
                <c:pt idx="191">
                  <c:v>0.82948257912141399</c:v>
                </c:pt>
                <c:pt idx="192">
                  <c:v>0.83152220645888697</c:v>
                </c:pt>
                <c:pt idx="193">
                  <c:v>0.807152941952609</c:v>
                </c:pt>
                <c:pt idx="194">
                  <c:v>0.80437080516661097</c:v>
                </c:pt>
                <c:pt idx="195">
                  <c:v>0.80193881910043296</c:v>
                </c:pt>
                <c:pt idx="196">
                  <c:v>0.77781138796328697</c:v>
                </c:pt>
                <c:pt idx="197">
                  <c:v>0.80193881910043296</c:v>
                </c:pt>
                <c:pt idx="198">
                  <c:v>0.75253147533014197</c:v>
                </c:pt>
                <c:pt idx="199">
                  <c:v>0.749723434167341</c:v>
                </c:pt>
                <c:pt idx="200">
                  <c:v>0.69937061468571404</c:v>
                </c:pt>
                <c:pt idx="201">
                  <c:v>0.77421402081353796</c:v>
                </c:pt>
                <c:pt idx="202">
                  <c:v>0.78283886771012201</c:v>
                </c:pt>
                <c:pt idx="203">
                  <c:v>0.77480777056815697</c:v>
                </c:pt>
                <c:pt idx="204">
                  <c:v>0.76669716579457303</c:v>
                </c:pt>
                <c:pt idx="205">
                  <c:v>0.79842547980239797</c:v>
                </c:pt>
                <c:pt idx="206">
                  <c:v>0.79842547980239797</c:v>
                </c:pt>
                <c:pt idx="207">
                  <c:v>0.79842547980239797</c:v>
                </c:pt>
                <c:pt idx="208">
                  <c:v>0.78339393568549298</c:v>
                </c:pt>
                <c:pt idx="209">
                  <c:v>0.81461584859780101</c:v>
                </c:pt>
                <c:pt idx="210">
                  <c:v>0.81626218699844599</c:v>
                </c:pt>
                <c:pt idx="211">
                  <c:v>0.80629912189469399</c:v>
                </c:pt>
                <c:pt idx="212">
                  <c:v>0.81734633197465201</c:v>
                </c:pt>
                <c:pt idx="213">
                  <c:v>0.82537040355923197</c:v>
                </c:pt>
                <c:pt idx="214">
                  <c:v>0.79646175435893696</c:v>
                </c:pt>
                <c:pt idx="215">
                  <c:v>0.79445840936885304</c:v>
                </c:pt>
                <c:pt idx="216">
                  <c:v>0.79441104681633201</c:v>
                </c:pt>
                <c:pt idx="217">
                  <c:v>0.80850149462655696</c:v>
                </c:pt>
                <c:pt idx="218">
                  <c:v>0.80719780316763601</c:v>
                </c:pt>
                <c:pt idx="219">
                  <c:v>0.80724570771905702</c:v>
                </c:pt>
                <c:pt idx="220">
                  <c:v>0.80719780316763601</c:v>
                </c:pt>
                <c:pt idx="221">
                  <c:v>0.77033919514702098</c:v>
                </c:pt>
                <c:pt idx="222">
                  <c:v>0.76889855223368597</c:v>
                </c:pt>
                <c:pt idx="223">
                  <c:v>0.75043074974252599</c:v>
                </c:pt>
                <c:pt idx="224">
                  <c:v>0.82324225699227804</c:v>
                </c:pt>
                <c:pt idx="225">
                  <c:v>0.83535228019697605</c:v>
                </c:pt>
                <c:pt idx="226">
                  <c:v>0.78804143101353397</c:v>
                </c:pt>
                <c:pt idx="227">
                  <c:v>0.78804143101353397</c:v>
                </c:pt>
                <c:pt idx="228">
                  <c:v>0.78586619764471199</c:v>
                </c:pt>
                <c:pt idx="229">
                  <c:v>0.72518805605942505</c:v>
                </c:pt>
                <c:pt idx="230">
                  <c:v>0.73013076231760698</c:v>
                </c:pt>
                <c:pt idx="231">
                  <c:v>0.76968967049094095</c:v>
                </c:pt>
                <c:pt idx="232">
                  <c:v>0.68796050816059295</c:v>
                </c:pt>
                <c:pt idx="233">
                  <c:v>0.59636201439054404</c:v>
                </c:pt>
                <c:pt idx="234">
                  <c:v>0.52333294764067595</c:v>
                </c:pt>
                <c:pt idx="235">
                  <c:v>0.53018048409344898</c:v>
                </c:pt>
                <c:pt idx="236">
                  <c:v>0.55014388201104203</c:v>
                </c:pt>
                <c:pt idx="237">
                  <c:v>0.49771283747510803</c:v>
                </c:pt>
                <c:pt idx="238">
                  <c:v>0.55445082777023702</c:v>
                </c:pt>
                <c:pt idx="239">
                  <c:v>0.53450860338875705</c:v>
                </c:pt>
                <c:pt idx="240">
                  <c:v>0.55544034698333999</c:v>
                </c:pt>
                <c:pt idx="241">
                  <c:v>0.55556126357331004</c:v>
                </c:pt>
                <c:pt idx="242">
                  <c:v>0.53450860338875705</c:v>
                </c:pt>
                <c:pt idx="243">
                  <c:v>0.50568534347274297</c:v>
                </c:pt>
                <c:pt idx="244">
                  <c:v>0.50447592982476996</c:v>
                </c:pt>
                <c:pt idx="245">
                  <c:v>0.50042582297659</c:v>
                </c:pt>
                <c:pt idx="246">
                  <c:v>0.45891120103405703</c:v>
                </c:pt>
                <c:pt idx="247">
                  <c:v>0.44565511936132601</c:v>
                </c:pt>
                <c:pt idx="248">
                  <c:v>0.44381782258269298</c:v>
                </c:pt>
                <c:pt idx="249">
                  <c:v>0.41340612440810998</c:v>
                </c:pt>
                <c:pt idx="250">
                  <c:v>0.414778538159287</c:v>
                </c:pt>
                <c:pt idx="251">
                  <c:v>0.42282958858632702</c:v>
                </c:pt>
                <c:pt idx="252">
                  <c:v>0.450158099668103</c:v>
                </c:pt>
                <c:pt idx="253">
                  <c:v>0.46784663358763601</c:v>
                </c:pt>
                <c:pt idx="254">
                  <c:v>0.42124985629360401</c:v>
                </c:pt>
                <c:pt idx="255">
                  <c:v>0.42215163100202302</c:v>
                </c:pt>
                <c:pt idx="256">
                  <c:v>0.41551493659156002</c:v>
                </c:pt>
                <c:pt idx="257">
                  <c:v>0.37678804128174298</c:v>
                </c:pt>
                <c:pt idx="258">
                  <c:v>0.35529176669040102</c:v>
                </c:pt>
                <c:pt idx="259">
                  <c:v>0.43462013043084002</c:v>
                </c:pt>
                <c:pt idx="260">
                  <c:v>0.47679593730615699</c:v>
                </c:pt>
                <c:pt idx="261">
                  <c:v>0.48029569588235599</c:v>
                </c:pt>
                <c:pt idx="262">
                  <c:v>0.49650185657562101</c:v>
                </c:pt>
                <c:pt idx="263">
                  <c:v>0.477996028899563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727296"/>
        <c:axId val="190728832"/>
      </c:lineChart>
      <c:lineChart>
        <c:grouping val="standard"/>
        <c:varyColors val="0"/>
        <c:ser>
          <c:idx val="3"/>
          <c:order val="3"/>
          <c:tx>
            <c:strRef>
              <c:f>Query!$F$2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Query!$B$3:$B$266</c:f>
              <c:numCache>
                <c:formatCode>m/d/yyyy</c:formatCode>
                <c:ptCount val="264"/>
                <c:pt idx="0">
                  <c:v>42390</c:v>
                </c:pt>
                <c:pt idx="1">
                  <c:v>42383</c:v>
                </c:pt>
                <c:pt idx="2">
                  <c:v>42376</c:v>
                </c:pt>
                <c:pt idx="3">
                  <c:v>42369</c:v>
                </c:pt>
                <c:pt idx="4">
                  <c:v>42362</c:v>
                </c:pt>
                <c:pt idx="5">
                  <c:v>42355</c:v>
                </c:pt>
                <c:pt idx="6">
                  <c:v>42348</c:v>
                </c:pt>
                <c:pt idx="7">
                  <c:v>42341</c:v>
                </c:pt>
                <c:pt idx="8">
                  <c:v>42333</c:v>
                </c:pt>
                <c:pt idx="9">
                  <c:v>42327</c:v>
                </c:pt>
                <c:pt idx="10">
                  <c:v>42320</c:v>
                </c:pt>
                <c:pt idx="11">
                  <c:v>42313</c:v>
                </c:pt>
                <c:pt idx="12">
                  <c:v>42306</c:v>
                </c:pt>
                <c:pt idx="13">
                  <c:v>42299</c:v>
                </c:pt>
                <c:pt idx="14">
                  <c:v>42292</c:v>
                </c:pt>
                <c:pt idx="15">
                  <c:v>42285</c:v>
                </c:pt>
                <c:pt idx="16">
                  <c:v>42278</c:v>
                </c:pt>
                <c:pt idx="17">
                  <c:v>42271</c:v>
                </c:pt>
                <c:pt idx="18">
                  <c:v>42264</c:v>
                </c:pt>
                <c:pt idx="19">
                  <c:v>42257</c:v>
                </c:pt>
                <c:pt idx="20">
                  <c:v>42250</c:v>
                </c:pt>
                <c:pt idx="21">
                  <c:v>42243</c:v>
                </c:pt>
                <c:pt idx="22">
                  <c:v>42236</c:v>
                </c:pt>
                <c:pt idx="23">
                  <c:v>42229</c:v>
                </c:pt>
                <c:pt idx="24">
                  <c:v>42222</c:v>
                </c:pt>
                <c:pt idx="25">
                  <c:v>42215</c:v>
                </c:pt>
                <c:pt idx="26">
                  <c:v>42208</c:v>
                </c:pt>
                <c:pt idx="27">
                  <c:v>42201</c:v>
                </c:pt>
                <c:pt idx="28">
                  <c:v>42194</c:v>
                </c:pt>
                <c:pt idx="29">
                  <c:v>42187</c:v>
                </c:pt>
                <c:pt idx="30">
                  <c:v>42180</c:v>
                </c:pt>
                <c:pt idx="31">
                  <c:v>42173</c:v>
                </c:pt>
                <c:pt idx="32">
                  <c:v>42166</c:v>
                </c:pt>
                <c:pt idx="33">
                  <c:v>42159</c:v>
                </c:pt>
                <c:pt idx="34">
                  <c:v>42152</c:v>
                </c:pt>
                <c:pt idx="35">
                  <c:v>42145</c:v>
                </c:pt>
                <c:pt idx="36">
                  <c:v>42138</c:v>
                </c:pt>
                <c:pt idx="37">
                  <c:v>42131</c:v>
                </c:pt>
                <c:pt idx="38">
                  <c:v>42124</c:v>
                </c:pt>
                <c:pt idx="39">
                  <c:v>42117</c:v>
                </c:pt>
                <c:pt idx="40">
                  <c:v>42110</c:v>
                </c:pt>
                <c:pt idx="41">
                  <c:v>42103</c:v>
                </c:pt>
                <c:pt idx="42">
                  <c:v>42096</c:v>
                </c:pt>
                <c:pt idx="43">
                  <c:v>42089</c:v>
                </c:pt>
                <c:pt idx="44">
                  <c:v>42082</c:v>
                </c:pt>
                <c:pt idx="45">
                  <c:v>42075</c:v>
                </c:pt>
                <c:pt idx="46">
                  <c:v>42068</c:v>
                </c:pt>
                <c:pt idx="47">
                  <c:v>42061</c:v>
                </c:pt>
                <c:pt idx="48">
                  <c:v>42054</c:v>
                </c:pt>
                <c:pt idx="49">
                  <c:v>42047</c:v>
                </c:pt>
                <c:pt idx="50">
                  <c:v>42040</c:v>
                </c:pt>
                <c:pt idx="51">
                  <c:v>42033</c:v>
                </c:pt>
                <c:pt idx="52">
                  <c:v>42026</c:v>
                </c:pt>
                <c:pt idx="53">
                  <c:v>42019</c:v>
                </c:pt>
                <c:pt idx="54">
                  <c:v>42012</c:v>
                </c:pt>
                <c:pt idx="55">
                  <c:v>42004</c:v>
                </c:pt>
                <c:pt idx="56">
                  <c:v>41997</c:v>
                </c:pt>
                <c:pt idx="57">
                  <c:v>41991</c:v>
                </c:pt>
                <c:pt idx="58">
                  <c:v>41984</c:v>
                </c:pt>
                <c:pt idx="59">
                  <c:v>41977</c:v>
                </c:pt>
                <c:pt idx="60">
                  <c:v>41969</c:v>
                </c:pt>
                <c:pt idx="61">
                  <c:v>41963</c:v>
                </c:pt>
                <c:pt idx="62">
                  <c:v>41956</c:v>
                </c:pt>
                <c:pt idx="63">
                  <c:v>41949</c:v>
                </c:pt>
                <c:pt idx="64">
                  <c:v>41942</c:v>
                </c:pt>
                <c:pt idx="65">
                  <c:v>41935</c:v>
                </c:pt>
                <c:pt idx="66">
                  <c:v>41928</c:v>
                </c:pt>
                <c:pt idx="67">
                  <c:v>41921</c:v>
                </c:pt>
                <c:pt idx="68">
                  <c:v>41914</c:v>
                </c:pt>
                <c:pt idx="69">
                  <c:v>41907</c:v>
                </c:pt>
                <c:pt idx="70">
                  <c:v>41900</c:v>
                </c:pt>
                <c:pt idx="71">
                  <c:v>41893</c:v>
                </c:pt>
                <c:pt idx="72">
                  <c:v>41886</c:v>
                </c:pt>
                <c:pt idx="73">
                  <c:v>41879</c:v>
                </c:pt>
                <c:pt idx="74">
                  <c:v>41872</c:v>
                </c:pt>
                <c:pt idx="75">
                  <c:v>41865</c:v>
                </c:pt>
                <c:pt idx="76">
                  <c:v>41858</c:v>
                </c:pt>
                <c:pt idx="77">
                  <c:v>41851</c:v>
                </c:pt>
                <c:pt idx="78">
                  <c:v>41844</c:v>
                </c:pt>
                <c:pt idx="79">
                  <c:v>41837</c:v>
                </c:pt>
                <c:pt idx="80">
                  <c:v>41830</c:v>
                </c:pt>
                <c:pt idx="81">
                  <c:v>41823</c:v>
                </c:pt>
                <c:pt idx="82">
                  <c:v>41816</c:v>
                </c:pt>
                <c:pt idx="83">
                  <c:v>41809</c:v>
                </c:pt>
                <c:pt idx="84">
                  <c:v>41802</c:v>
                </c:pt>
                <c:pt idx="85">
                  <c:v>41795</c:v>
                </c:pt>
                <c:pt idx="86">
                  <c:v>41788</c:v>
                </c:pt>
                <c:pt idx="87">
                  <c:v>41781</c:v>
                </c:pt>
                <c:pt idx="88">
                  <c:v>41774</c:v>
                </c:pt>
                <c:pt idx="89">
                  <c:v>41767</c:v>
                </c:pt>
                <c:pt idx="90">
                  <c:v>41760</c:v>
                </c:pt>
                <c:pt idx="91">
                  <c:v>41753</c:v>
                </c:pt>
                <c:pt idx="92">
                  <c:v>41746</c:v>
                </c:pt>
                <c:pt idx="93">
                  <c:v>41739</c:v>
                </c:pt>
                <c:pt idx="94">
                  <c:v>41732</c:v>
                </c:pt>
                <c:pt idx="95">
                  <c:v>41725</c:v>
                </c:pt>
                <c:pt idx="96">
                  <c:v>41718</c:v>
                </c:pt>
                <c:pt idx="97">
                  <c:v>41711</c:v>
                </c:pt>
                <c:pt idx="98">
                  <c:v>41704</c:v>
                </c:pt>
                <c:pt idx="99">
                  <c:v>41697</c:v>
                </c:pt>
                <c:pt idx="100">
                  <c:v>41690</c:v>
                </c:pt>
                <c:pt idx="101">
                  <c:v>41683</c:v>
                </c:pt>
                <c:pt idx="102">
                  <c:v>41676</c:v>
                </c:pt>
                <c:pt idx="103">
                  <c:v>41669</c:v>
                </c:pt>
                <c:pt idx="104">
                  <c:v>41662</c:v>
                </c:pt>
                <c:pt idx="105">
                  <c:v>41655</c:v>
                </c:pt>
                <c:pt idx="106">
                  <c:v>41648</c:v>
                </c:pt>
                <c:pt idx="107">
                  <c:v>41641</c:v>
                </c:pt>
                <c:pt idx="108">
                  <c:v>41634</c:v>
                </c:pt>
                <c:pt idx="109">
                  <c:v>41627</c:v>
                </c:pt>
                <c:pt idx="110">
                  <c:v>41620</c:v>
                </c:pt>
                <c:pt idx="111">
                  <c:v>41613</c:v>
                </c:pt>
                <c:pt idx="112">
                  <c:v>41605</c:v>
                </c:pt>
                <c:pt idx="113">
                  <c:v>41599</c:v>
                </c:pt>
                <c:pt idx="114">
                  <c:v>41592</c:v>
                </c:pt>
                <c:pt idx="115">
                  <c:v>41585</c:v>
                </c:pt>
                <c:pt idx="116">
                  <c:v>41578</c:v>
                </c:pt>
                <c:pt idx="117">
                  <c:v>41571</c:v>
                </c:pt>
                <c:pt idx="118">
                  <c:v>41564</c:v>
                </c:pt>
                <c:pt idx="119">
                  <c:v>41557</c:v>
                </c:pt>
                <c:pt idx="120">
                  <c:v>41550</c:v>
                </c:pt>
                <c:pt idx="121">
                  <c:v>41543</c:v>
                </c:pt>
                <c:pt idx="122">
                  <c:v>41536</c:v>
                </c:pt>
                <c:pt idx="123">
                  <c:v>41529</c:v>
                </c:pt>
                <c:pt idx="124">
                  <c:v>41522</c:v>
                </c:pt>
                <c:pt idx="125">
                  <c:v>41515</c:v>
                </c:pt>
                <c:pt idx="126">
                  <c:v>41508</c:v>
                </c:pt>
                <c:pt idx="127">
                  <c:v>41501</c:v>
                </c:pt>
                <c:pt idx="128">
                  <c:v>41494</c:v>
                </c:pt>
                <c:pt idx="129">
                  <c:v>41487</c:v>
                </c:pt>
                <c:pt idx="130">
                  <c:v>41480</c:v>
                </c:pt>
                <c:pt idx="131">
                  <c:v>41473</c:v>
                </c:pt>
                <c:pt idx="132">
                  <c:v>41466</c:v>
                </c:pt>
                <c:pt idx="133">
                  <c:v>41458</c:v>
                </c:pt>
                <c:pt idx="134">
                  <c:v>41452</c:v>
                </c:pt>
                <c:pt idx="135">
                  <c:v>41445</c:v>
                </c:pt>
                <c:pt idx="136">
                  <c:v>41438</c:v>
                </c:pt>
                <c:pt idx="137">
                  <c:v>41431</c:v>
                </c:pt>
                <c:pt idx="138">
                  <c:v>41424</c:v>
                </c:pt>
                <c:pt idx="139">
                  <c:v>41417</c:v>
                </c:pt>
                <c:pt idx="140">
                  <c:v>41410</c:v>
                </c:pt>
                <c:pt idx="141">
                  <c:v>41403</c:v>
                </c:pt>
                <c:pt idx="142">
                  <c:v>41396</c:v>
                </c:pt>
                <c:pt idx="143">
                  <c:v>41389</c:v>
                </c:pt>
                <c:pt idx="144">
                  <c:v>41382</c:v>
                </c:pt>
                <c:pt idx="145">
                  <c:v>41375</c:v>
                </c:pt>
                <c:pt idx="146">
                  <c:v>41368</c:v>
                </c:pt>
                <c:pt idx="147">
                  <c:v>41361</c:v>
                </c:pt>
                <c:pt idx="148">
                  <c:v>41354</c:v>
                </c:pt>
                <c:pt idx="149">
                  <c:v>41347</c:v>
                </c:pt>
                <c:pt idx="150">
                  <c:v>41340</c:v>
                </c:pt>
                <c:pt idx="151">
                  <c:v>41333</c:v>
                </c:pt>
                <c:pt idx="152">
                  <c:v>41326</c:v>
                </c:pt>
                <c:pt idx="153">
                  <c:v>41319</c:v>
                </c:pt>
                <c:pt idx="154">
                  <c:v>41312</c:v>
                </c:pt>
                <c:pt idx="155">
                  <c:v>41305</c:v>
                </c:pt>
                <c:pt idx="156">
                  <c:v>41298</c:v>
                </c:pt>
                <c:pt idx="157">
                  <c:v>41291</c:v>
                </c:pt>
                <c:pt idx="158">
                  <c:v>41284</c:v>
                </c:pt>
                <c:pt idx="159">
                  <c:v>41277</c:v>
                </c:pt>
                <c:pt idx="160">
                  <c:v>41270</c:v>
                </c:pt>
                <c:pt idx="161">
                  <c:v>41263</c:v>
                </c:pt>
                <c:pt idx="162">
                  <c:v>41256</c:v>
                </c:pt>
                <c:pt idx="163">
                  <c:v>41249</c:v>
                </c:pt>
                <c:pt idx="164">
                  <c:v>41242</c:v>
                </c:pt>
                <c:pt idx="165">
                  <c:v>41234</c:v>
                </c:pt>
                <c:pt idx="166">
                  <c:v>41228</c:v>
                </c:pt>
                <c:pt idx="167">
                  <c:v>41221</c:v>
                </c:pt>
                <c:pt idx="168">
                  <c:v>41214</c:v>
                </c:pt>
                <c:pt idx="169">
                  <c:v>41207</c:v>
                </c:pt>
                <c:pt idx="170">
                  <c:v>41200</c:v>
                </c:pt>
                <c:pt idx="171">
                  <c:v>41193</c:v>
                </c:pt>
                <c:pt idx="172">
                  <c:v>41186</c:v>
                </c:pt>
                <c:pt idx="173">
                  <c:v>41179</c:v>
                </c:pt>
                <c:pt idx="174">
                  <c:v>41172</c:v>
                </c:pt>
                <c:pt idx="175">
                  <c:v>41165</c:v>
                </c:pt>
                <c:pt idx="176">
                  <c:v>41158</c:v>
                </c:pt>
                <c:pt idx="177">
                  <c:v>41151</c:v>
                </c:pt>
                <c:pt idx="178">
                  <c:v>41144</c:v>
                </c:pt>
                <c:pt idx="179">
                  <c:v>41137</c:v>
                </c:pt>
                <c:pt idx="180">
                  <c:v>41130</c:v>
                </c:pt>
                <c:pt idx="181">
                  <c:v>41123</c:v>
                </c:pt>
                <c:pt idx="182">
                  <c:v>41116</c:v>
                </c:pt>
                <c:pt idx="183">
                  <c:v>41109</c:v>
                </c:pt>
                <c:pt idx="184">
                  <c:v>41102</c:v>
                </c:pt>
                <c:pt idx="185">
                  <c:v>41095</c:v>
                </c:pt>
                <c:pt idx="186">
                  <c:v>41088</c:v>
                </c:pt>
                <c:pt idx="187">
                  <c:v>41081</c:v>
                </c:pt>
                <c:pt idx="188">
                  <c:v>41074</c:v>
                </c:pt>
                <c:pt idx="189">
                  <c:v>41067</c:v>
                </c:pt>
                <c:pt idx="190">
                  <c:v>41060</c:v>
                </c:pt>
                <c:pt idx="191">
                  <c:v>41053</c:v>
                </c:pt>
                <c:pt idx="192">
                  <c:v>41046</c:v>
                </c:pt>
                <c:pt idx="193">
                  <c:v>41039</c:v>
                </c:pt>
                <c:pt idx="194">
                  <c:v>41032</c:v>
                </c:pt>
                <c:pt idx="195">
                  <c:v>41025</c:v>
                </c:pt>
                <c:pt idx="196">
                  <c:v>41018</c:v>
                </c:pt>
                <c:pt idx="197">
                  <c:v>41011</c:v>
                </c:pt>
                <c:pt idx="198">
                  <c:v>41004</c:v>
                </c:pt>
                <c:pt idx="199">
                  <c:v>40997</c:v>
                </c:pt>
                <c:pt idx="200">
                  <c:v>40990</c:v>
                </c:pt>
                <c:pt idx="201">
                  <c:v>40983</c:v>
                </c:pt>
                <c:pt idx="202">
                  <c:v>40976</c:v>
                </c:pt>
                <c:pt idx="203">
                  <c:v>40969</c:v>
                </c:pt>
                <c:pt idx="204">
                  <c:v>40962</c:v>
                </c:pt>
                <c:pt idx="205">
                  <c:v>40955</c:v>
                </c:pt>
                <c:pt idx="206">
                  <c:v>40948</c:v>
                </c:pt>
                <c:pt idx="207">
                  <c:v>40941</c:v>
                </c:pt>
                <c:pt idx="208">
                  <c:v>40934</c:v>
                </c:pt>
                <c:pt idx="209">
                  <c:v>40927</c:v>
                </c:pt>
                <c:pt idx="210">
                  <c:v>40920</c:v>
                </c:pt>
                <c:pt idx="211">
                  <c:v>40913</c:v>
                </c:pt>
                <c:pt idx="212">
                  <c:v>40906</c:v>
                </c:pt>
                <c:pt idx="213">
                  <c:v>40899</c:v>
                </c:pt>
                <c:pt idx="214">
                  <c:v>40892</c:v>
                </c:pt>
                <c:pt idx="215">
                  <c:v>40885</c:v>
                </c:pt>
                <c:pt idx="216">
                  <c:v>40878</c:v>
                </c:pt>
                <c:pt idx="217">
                  <c:v>40870</c:v>
                </c:pt>
                <c:pt idx="218">
                  <c:v>40864</c:v>
                </c:pt>
                <c:pt idx="219">
                  <c:v>40857</c:v>
                </c:pt>
                <c:pt idx="220">
                  <c:v>40850</c:v>
                </c:pt>
                <c:pt idx="221">
                  <c:v>40843</c:v>
                </c:pt>
                <c:pt idx="222">
                  <c:v>40836</c:v>
                </c:pt>
                <c:pt idx="223">
                  <c:v>40829</c:v>
                </c:pt>
                <c:pt idx="224">
                  <c:v>40822</c:v>
                </c:pt>
                <c:pt idx="225">
                  <c:v>40815</c:v>
                </c:pt>
                <c:pt idx="226">
                  <c:v>40808</c:v>
                </c:pt>
                <c:pt idx="227">
                  <c:v>40801</c:v>
                </c:pt>
                <c:pt idx="228">
                  <c:v>40794</c:v>
                </c:pt>
                <c:pt idx="229">
                  <c:v>40787</c:v>
                </c:pt>
                <c:pt idx="230">
                  <c:v>40780</c:v>
                </c:pt>
                <c:pt idx="231">
                  <c:v>40773</c:v>
                </c:pt>
                <c:pt idx="232">
                  <c:v>40766</c:v>
                </c:pt>
                <c:pt idx="233">
                  <c:v>40759</c:v>
                </c:pt>
                <c:pt idx="234">
                  <c:v>40752</c:v>
                </c:pt>
                <c:pt idx="235">
                  <c:v>40745</c:v>
                </c:pt>
                <c:pt idx="236">
                  <c:v>40738</c:v>
                </c:pt>
                <c:pt idx="237">
                  <c:v>40731</c:v>
                </c:pt>
                <c:pt idx="238">
                  <c:v>40724</c:v>
                </c:pt>
                <c:pt idx="239">
                  <c:v>40717</c:v>
                </c:pt>
                <c:pt idx="240">
                  <c:v>40710</c:v>
                </c:pt>
                <c:pt idx="241">
                  <c:v>40703</c:v>
                </c:pt>
                <c:pt idx="242">
                  <c:v>40696</c:v>
                </c:pt>
                <c:pt idx="243">
                  <c:v>40689</c:v>
                </c:pt>
                <c:pt idx="244">
                  <c:v>40682</c:v>
                </c:pt>
                <c:pt idx="245">
                  <c:v>40675</c:v>
                </c:pt>
                <c:pt idx="246">
                  <c:v>40668</c:v>
                </c:pt>
                <c:pt idx="247">
                  <c:v>40661</c:v>
                </c:pt>
                <c:pt idx="248">
                  <c:v>40654</c:v>
                </c:pt>
                <c:pt idx="249">
                  <c:v>40647</c:v>
                </c:pt>
                <c:pt idx="250">
                  <c:v>40640</c:v>
                </c:pt>
                <c:pt idx="251">
                  <c:v>40633</c:v>
                </c:pt>
                <c:pt idx="252">
                  <c:v>40626</c:v>
                </c:pt>
                <c:pt idx="253">
                  <c:v>40619</c:v>
                </c:pt>
                <c:pt idx="254">
                  <c:v>40612</c:v>
                </c:pt>
                <c:pt idx="255">
                  <c:v>40605</c:v>
                </c:pt>
                <c:pt idx="256">
                  <c:v>40598</c:v>
                </c:pt>
                <c:pt idx="257">
                  <c:v>40591</c:v>
                </c:pt>
                <c:pt idx="258">
                  <c:v>40584</c:v>
                </c:pt>
                <c:pt idx="259">
                  <c:v>40577</c:v>
                </c:pt>
                <c:pt idx="260">
                  <c:v>40570</c:v>
                </c:pt>
                <c:pt idx="261">
                  <c:v>40563</c:v>
                </c:pt>
                <c:pt idx="262">
                  <c:v>40556</c:v>
                </c:pt>
                <c:pt idx="263">
                  <c:v>40549</c:v>
                </c:pt>
              </c:numCache>
            </c:numRef>
          </c:cat>
          <c:val>
            <c:numRef>
              <c:f>Query!$F$3:$F$266</c:f>
              <c:numCache>
                <c:formatCode>0.00</c:formatCode>
                <c:ptCount val="264"/>
                <c:pt idx="0">
                  <c:v>#N/A</c:v>
                </c:pt>
                <c:pt idx="1">
                  <c:v>#N/A</c:v>
                </c:pt>
                <c:pt idx="2">
                  <c:v>1273.8</c:v>
                </c:pt>
                <c:pt idx="3">
                  <c:v>1020.5</c:v>
                </c:pt>
                <c:pt idx="4">
                  <c:v>1174.0999999999999</c:v>
                </c:pt>
                <c:pt idx="5">
                  <c:v>1667.4</c:v>
                </c:pt>
                <c:pt idx="6">
                  <c:v>1470.6</c:v>
                </c:pt>
                <c:pt idx="7">
                  <c:v>1451.5</c:v>
                </c:pt>
                <c:pt idx="8">
                  <c:v>1410.2</c:v>
                </c:pt>
                <c:pt idx="9">
                  <c:v>1489</c:v>
                </c:pt>
                <c:pt idx="10">
                  <c:v>1528.7</c:v>
                </c:pt>
                <c:pt idx="11">
                  <c:v>1514.1</c:v>
                </c:pt>
                <c:pt idx="12">
                  <c:v>1548.6</c:v>
                </c:pt>
                <c:pt idx="13">
                  <c:v>1544.8</c:v>
                </c:pt>
                <c:pt idx="14">
                  <c:v>1575.3</c:v>
                </c:pt>
                <c:pt idx="15">
                  <c:v>1534.5</c:v>
                </c:pt>
                <c:pt idx="16">
                  <c:v>2071.6</c:v>
                </c:pt>
                <c:pt idx="17">
                  <c:v>1589.5</c:v>
                </c:pt>
                <c:pt idx="18">
                  <c:v>1759.9</c:v>
                </c:pt>
                <c:pt idx="19">
                  <c:v>1473.7</c:v>
                </c:pt>
                <c:pt idx="20">
                  <c:v>1626.9</c:v>
                </c:pt>
                <c:pt idx="21">
                  <c:v>1857.7</c:v>
                </c:pt>
                <c:pt idx="22">
                  <c:v>1545.5</c:v>
                </c:pt>
                <c:pt idx="23">
                  <c:v>1561.2</c:v>
                </c:pt>
                <c:pt idx="24">
                  <c:v>1455.2</c:v>
                </c:pt>
                <c:pt idx="25">
                  <c:v>1418</c:v>
                </c:pt>
                <c:pt idx="26">
                  <c:v>1339.9</c:v>
                </c:pt>
                <c:pt idx="27">
                  <c:v>1305.5999999999999</c:v>
                </c:pt>
                <c:pt idx="28">
                  <c:v>1332.4</c:v>
                </c:pt>
                <c:pt idx="29">
                  <c:v>1299.9000000000001</c:v>
                </c:pt>
                <c:pt idx="30">
                  <c:v>1246.0999999999999</c:v>
                </c:pt>
                <c:pt idx="31">
                  <c:v>1318.3</c:v>
                </c:pt>
                <c:pt idx="32">
                  <c:v>1273.4000000000001</c:v>
                </c:pt>
                <c:pt idx="33">
                  <c:v>1342.4</c:v>
                </c:pt>
                <c:pt idx="34">
                  <c:v>1233.9000000000001</c:v>
                </c:pt>
                <c:pt idx="35">
                  <c:v>1408.1</c:v>
                </c:pt>
                <c:pt idx="36">
                  <c:v>1448.8</c:v>
                </c:pt>
                <c:pt idx="37">
                  <c:v>1477.8</c:v>
                </c:pt>
                <c:pt idx="38">
                  <c:v>1559.4</c:v>
                </c:pt>
                <c:pt idx="39">
                  <c:v>1723</c:v>
                </c:pt>
                <c:pt idx="40">
                  <c:v>1817</c:v>
                </c:pt>
                <c:pt idx="41">
                  <c:v>1804.6</c:v>
                </c:pt>
                <c:pt idx="42">
                  <c:v>1854.7</c:v>
                </c:pt>
                <c:pt idx="43">
                  <c:v>1941.6</c:v>
                </c:pt>
                <c:pt idx="44">
                  <c:v>1860.8</c:v>
                </c:pt>
                <c:pt idx="45">
                  <c:v>1623.6</c:v>
                </c:pt>
                <c:pt idx="46">
                  <c:v>1685.7</c:v>
                </c:pt>
                <c:pt idx="47">
                  <c:v>1740.3</c:v>
                </c:pt>
                <c:pt idx="48">
                  <c:v>1703.1</c:v>
                </c:pt>
                <c:pt idx="49">
                  <c:v>1904.2</c:v>
                </c:pt>
                <c:pt idx="50">
                  <c:v>2291.3000000000002</c:v>
                </c:pt>
                <c:pt idx="51">
                  <c:v>2584.8000000000002</c:v>
                </c:pt>
                <c:pt idx="52">
                  <c:v>2572.3000000000002</c:v>
                </c:pt>
                <c:pt idx="53">
                  <c:v>2799.3</c:v>
                </c:pt>
                <c:pt idx="54">
                  <c:v>2271.5</c:v>
                </c:pt>
                <c:pt idx="55">
                  <c:v>1347.6</c:v>
                </c:pt>
                <c:pt idx="56">
                  <c:v>1164.2</c:v>
                </c:pt>
                <c:pt idx="57">
                  <c:v>1538.7</c:v>
                </c:pt>
                <c:pt idx="58">
                  <c:v>1518.8</c:v>
                </c:pt>
                <c:pt idx="59">
                  <c:v>1548.6</c:v>
                </c:pt>
                <c:pt idx="60">
                  <c:v>#N/A</c:v>
                </c:pt>
                <c:pt idx="61">
                  <c:v>1547.9</c:v>
                </c:pt>
                <c:pt idx="62">
                  <c:v>1563.2</c:v>
                </c:pt>
                <c:pt idx="63">
                  <c:v>1565.3</c:v>
                </c:pt>
                <c:pt idx="64">
                  <c:v>1604.8</c:v>
                </c:pt>
                <c:pt idx="65">
                  <c:v>1713.6</c:v>
                </c:pt>
                <c:pt idx="66">
                  <c:v>1898.2</c:v>
                </c:pt>
                <c:pt idx="67">
                  <c:v>1560.6</c:v>
                </c:pt>
                <c:pt idx="68">
                  <c:v>1387.1</c:v>
                </c:pt>
                <c:pt idx="69">
                  <c:v>1326.2</c:v>
                </c:pt>
                <c:pt idx="70">
                  <c:v>1335.1</c:v>
                </c:pt>
                <c:pt idx="71">
                  <c:v>1398.4</c:v>
                </c:pt>
                <c:pt idx="72">
                  <c:v>1275.8</c:v>
                </c:pt>
                <c:pt idx="73">
                  <c:v>1436</c:v>
                </c:pt>
                <c:pt idx="74">
                  <c:v>1439.4</c:v>
                </c:pt>
                <c:pt idx="75">
                  <c:v>1404.9</c:v>
                </c:pt>
                <c:pt idx="76">
                  <c:v>1342.6</c:v>
                </c:pt>
                <c:pt idx="77">
                  <c:v>1373.9</c:v>
                </c:pt>
                <c:pt idx="78">
                  <c:v>1327.5</c:v>
                </c:pt>
                <c:pt idx="79">
                  <c:v>1400.7</c:v>
                </c:pt>
                <c:pt idx="80">
                  <c:v>1329.7</c:v>
                </c:pt>
                <c:pt idx="81">
                  <c:v>1346.8</c:v>
                </c:pt>
                <c:pt idx="82">
                  <c:v>1341.8</c:v>
                </c:pt>
                <c:pt idx="83">
                  <c:v>1333.5</c:v>
                </c:pt>
                <c:pt idx="84">
                  <c:v>1321.3</c:v>
                </c:pt>
                <c:pt idx="85">
                  <c:v>1516.9</c:v>
                </c:pt>
                <c:pt idx="86">
                  <c:v>1382.6</c:v>
                </c:pt>
                <c:pt idx="87">
                  <c:v>1453.4</c:v>
                </c:pt>
                <c:pt idx="88">
                  <c:v>1460.6</c:v>
                </c:pt>
                <c:pt idx="89">
                  <c:v>1400.9</c:v>
                </c:pt>
                <c:pt idx="90">
                  <c:v>1323.9</c:v>
                </c:pt>
                <c:pt idx="91">
                  <c:v>1298.0999999999999</c:v>
                </c:pt>
                <c:pt idx="92">
                  <c:v>1370.9</c:v>
                </c:pt>
                <c:pt idx="93">
                  <c:v>1429.9</c:v>
                </c:pt>
                <c:pt idx="94">
                  <c:v>1324.7</c:v>
                </c:pt>
                <c:pt idx="95">
                  <c:v>1383.5</c:v>
                </c:pt>
                <c:pt idx="96">
                  <c:v>1426.3</c:v>
                </c:pt>
                <c:pt idx="97">
                  <c:v>1552.1</c:v>
                </c:pt>
                <c:pt idx="98">
                  <c:v>1528</c:v>
                </c:pt>
                <c:pt idx="99">
                  <c:v>1600.6</c:v>
                </c:pt>
                <c:pt idx="100">
                  <c:v>1442.3</c:v>
                </c:pt>
                <c:pt idx="101">
                  <c:v>1650.6</c:v>
                </c:pt>
                <c:pt idx="102">
                  <c:v>1674.2</c:v>
                </c:pt>
                <c:pt idx="103">
                  <c:v>1667.5</c:v>
                </c:pt>
                <c:pt idx="104">
                  <c:v>1601.2</c:v>
                </c:pt>
                <c:pt idx="105">
                  <c:v>1675.8</c:v>
                </c:pt>
                <c:pt idx="106">
                  <c:v>1507</c:v>
                </c:pt>
                <c:pt idx="107">
                  <c:v>1352.7</c:v>
                </c:pt>
                <c:pt idx="108">
                  <c:v>1277.8</c:v>
                </c:pt>
                <c:pt idx="109">
                  <c:v>1426.7</c:v>
                </c:pt>
                <c:pt idx="110">
                  <c:v>1529.8</c:v>
                </c:pt>
                <c:pt idx="111">
                  <c:v>1599.4</c:v>
                </c:pt>
                <c:pt idx="112">
                  <c:v>#N/A</c:v>
                </c:pt>
                <c:pt idx="113">
                  <c:v>1917.2</c:v>
                </c:pt>
                <c:pt idx="114">
                  <c:v>1903.5</c:v>
                </c:pt>
                <c:pt idx="115">
                  <c:v>2056.9</c:v>
                </c:pt>
                <c:pt idx="116">
                  <c:v>2105.6</c:v>
                </c:pt>
                <c:pt idx="117">
                  <c:v>2211.8000000000002</c:v>
                </c:pt>
                <c:pt idx="118">
                  <c:v>2033.7</c:v>
                </c:pt>
                <c:pt idx="119">
                  <c:v>2102.6999999999998</c:v>
                </c:pt>
                <c:pt idx="120">
                  <c:v>2025.3</c:v>
                </c:pt>
                <c:pt idx="121">
                  <c:v>1956.6</c:v>
                </c:pt>
                <c:pt idx="122">
                  <c:v>1922.9</c:v>
                </c:pt>
                <c:pt idx="123">
                  <c:v>1814</c:v>
                </c:pt>
                <c:pt idx="124">
                  <c:v>1512.9</c:v>
                </c:pt>
                <c:pt idx="125">
                  <c:v>1909</c:v>
                </c:pt>
                <c:pt idx="126">
                  <c:v>1842.6</c:v>
                </c:pt>
                <c:pt idx="127">
                  <c:v>1935.1</c:v>
                </c:pt>
                <c:pt idx="128">
                  <c:v>2110.6</c:v>
                </c:pt>
                <c:pt idx="129">
                  <c:v>2228.9</c:v>
                </c:pt>
                <c:pt idx="130">
                  <c:v>2218.3000000000002</c:v>
                </c:pt>
                <c:pt idx="131">
                  <c:v>2288</c:v>
                </c:pt>
                <c:pt idx="132">
                  <c:v>2242.1999999999998</c:v>
                </c:pt>
                <c:pt idx="133">
                  <c:v>#N/A</c:v>
                </c:pt>
                <c:pt idx="134">
                  <c:v>2573.4</c:v>
                </c:pt>
                <c:pt idx="135">
                  <c:v>3040.1</c:v>
                </c:pt>
                <c:pt idx="136">
                  <c:v>3214.4</c:v>
                </c:pt>
                <c:pt idx="137">
                  <c:v>3339.8</c:v>
                </c:pt>
                <c:pt idx="138">
                  <c:v>3163.6</c:v>
                </c:pt>
                <c:pt idx="139">
                  <c:v>3709.4</c:v>
                </c:pt>
                <c:pt idx="140">
                  <c:v>4241.5</c:v>
                </c:pt>
                <c:pt idx="141">
                  <c:v>4797.2</c:v>
                </c:pt>
                <c:pt idx="142">
                  <c:v>5279.9</c:v>
                </c:pt>
                <c:pt idx="143">
                  <c:v>4854.1000000000004</c:v>
                </c:pt>
                <c:pt idx="144">
                  <c:v>4672.1000000000004</c:v>
                </c:pt>
                <c:pt idx="145">
                  <c:v>4726.8999999999996</c:v>
                </c:pt>
                <c:pt idx="146">
                  <c:v>4528.8999999999996</c:v>
                </c:pt>
                <c:pt idx="147">
                  <c:v>4119.2</c:v>
                </c:pt>
                <c:pt idx="148">
                  <c:v>4412.8999999999996</c:v>
                </c:pt>
                <c:pt idx="149">
                  <c:v>4111.3</c:v>
                </c:pt>
                <c:pt idx="150">
                  <c:v>4485.2</c:v>
                </c:pt>
                <c:pt idx="151">
                  <c:v>4724.8999999999996</c:v>
                </c:pt>
                <c:pt idx="152">
                  <c:v>4136.3</c:v>
                </c:pt>
                <c:pt idx="153">
                  <c:v>4261.8</c:v>
                </c:pt>
                <c:pt idx="154">
                  <c:v>4284.3</c:v>
                </c:pt>
                <c:pt idx="155">
                  <c:v>4579</c:v>
                </c:pt>
                <c:pt idx="156">
                  <c:v>4433.6000000000004</c:v>
                </c:pt>
                <c:pt idx="157">
                  <c:v>4937.3999999999996</c:v>
                </c:pt>
                <c:pt idx="158">
                  <c:v>4554.3999999999996</c:v>
                </c:pt>
                <c:pt idx="159">
                  <c:v>3896.4</c:v>
                </c:pt>
                <c:pt idx="160">
                  <c:v>3488.9</c:v>
                </c:pt>
                <c:pt idx="161">
                  <c:v>3983.2</c:v>
                </c:pt>
                <c:pt idx="162">
                  <c:v>4564.3999999999996</c:v>
                </c:pt>
                <c:pt idx="163">
                  <c:v>5368.1</c:v>
                </c:pt>
                <c:pt idx="164">
                  <c:v>4943</c:v>
                </c:pt>
                <c:pt idx="165">
                  <c:v>#N/A</c:v>
                </c:pt>
                <c:pt idx="166">
                  <c:v>4702.3999999999996</c:v>
                </c:pt>
                <c:pt idx="167">
                  <c:v>4856.1000000000004</c:v>
                </c:pt>
                <c:pt idx="168">
                  <c:v>4297.7</c:v>
                </c:pt>
                <c:pt idx="169">
                  <c:v>4550.7</c:v>
                </c:pt>
                <c:pt idx="170">
                  <c:v>4847.2</c:v>
                </c:pt>
                <c:pt idx="171">
                  <c:v>5572.2</c:v>
                </c:pt>
                <c:pt idx="172">
                  <c:v>5892.5</c:v>
                </c:pt>
                <c:pt idx="173">
                  <c:v>5965.5</c:v>
                </c:pt>
                <c:pt idx="174">
                  <c:v>4979</c:v>
                </c:pt>
                <c:pt idx="175">
                  <c:v>4823.3</c:v>
                </c:pt>
                <c:pt idx="176">
                  <c:v>4779.1000000000004</c:v>
                </c:pt>
                <c:pt idx="177">
                  <c:v>4274.8</c:v>
                </c:pt>
                <c:pt idx="178">
                  <c:v>4414.6000000000004</c:v>
                </c:pt>
                <c:pt idx="179">
                  <c:v>4671.1000000000004</c:v>
                </c:pt>
                <c:pt idx="180">
                  <c:v>5172.2</c:v>
                </c:pt>
                <c:pt idx="181">
                  <c:v>5444.3</c:v>
                </c:pt>
                <c:pt idx="182">
                  <c:v>5492.1</c:v>
                </c:pt>
                <c:pt idx="183">
                  <c:v>5383.1</c:v>
                </c:pt>
                <c:pt idx="184">
                  <c:v>5246.8</c:v>
                </c:pt>
                <c:pt idx="185">
                  <c:v>4267.8999999999996</c:v>
                </c:pt>
                <c:pt idx="186">
                  <c:v>4372.2</c:v>
                </c:pt>
                <c:pt idx="187">
                  <c:v>4585.8</c:v>
                </c:pt>
                <c:pt idx="188">
                  <c:v>4719.6000000000004</c:v>
                </c:pt>
                <c:pt idx="189">
                  <c:v>5590</c:v>
                </c:pt>
                <c:pt idx="190">
                  <c:v>4736</c:v>
                </c:pt>
                <c:pt idx="191">
                  <c:v>4675.8999999999996</c:v>
                </c:pt>
                <c:pt idx="192">
                  <c:v>4732</c:v>
                </c:pt>
                <c:pt idx="193">
                  <c:v>4482</c:v>
                </c:pt>
                <c:pt idx="194">
                  <c:v>3924.4</c:v>
                </c:pt>
                <c:pt idx="195">
                  <c:v>3856</c:v>
                </c:pt>
                <c:pt idx="196">
                  <c:v>3892.2</c:v>
                </c:pt>
                <c:pt idx="197">
                  <c:v>4144.3</c:v>
                </c:pt>
                <c:pt idx="198">
                  <c:v>3549.3</c:v>
                </c:pt>
                <c:pt idx="199">
                  <c:v>3699.5</c:v>
                </c:pt>
                <c:pt idx="200">
                  <c:v>3588.4</c:v>
                </c:pt>
                <c:pt idx="201">
                  <c:v>3715.2</c:v>
                </c:pt>
                <c:pt idx="202">
                  <c:v>4063.4</c:v>
                </c:pt>
                <c:pt idx="203">
                  <c:v>4277.6000000000004</c:v>
                </c:pt>
                <c:pt idx="204">
                  <c:v>4379.1000000000004</c:v>
                </c:pt>
                <c:pt idx="205">
                  <c:v>4466.8999999999996</c:v>
                </c:pt>
                <c:pt idx="206">
                  <c:v>4716.1000000000004</c:v>
                </c:pt>
                <c:pt idx="207">
                  <c:v>4617.1000000000004</c:v>
                </c:pt>
                <c:pt idx="208">
                  <c:v>4184.3</c:v>
                </c:pt>
                <c:pt idx="209">
                  <c:v>4326.3999999999996</c:v>
                </c:pt>
                <c:pt idx="210">
                  <c:v>4626.5</c:v>
                </c:pt>
                <c:pt idx="211">
                  <c:v>3668.3</c:v>
                </c:pt>
                <c:pt idx="212">
                  <c:v>3608.1</c:v>
                </c:pt>
                <c:pt idx="213">
                  <c:v>3684.5</c:v>
                </c:pt>
                <c:pt idx="214">
                  <c:v>3676.1</c:v>
                </c:pt>
                <c:pt idx="215">
                  <c:v>3708.6</c:v>
                </c:pt>
                <c:pt idx="216">
                  <c:v>3394.7</c:v>
                </c:pt>
                <c:pt idx="217">
                  <c:v>#N/A</c:v>
                </c:pt>
                <c:pt idx="218">
                  <c:v>3466.8</c:v>
                </c:pt>
                <c:pt idx="219">
                  <c:v>3664.5</c:v>
                </c:pt>
                <c:pt idx="220">
                  <c:v>4137.6000000000004</c:v>
                </c:pt>
                <c:pt idx="221">
                  <c:v>3695</c:v>
                </c:pt>
                <c:pt idx="222">
                  <c:v>3719.3</c:v>
                </c:pt>
                <c:pt idx="223">
                  <c:v>3553.2</c:v>
                </c:pt>
                <c:pt idx="224">
                  <c:v>4251.1000000000004</c:v>
                </c:pt>
                <c:pt idx="225">
                  <c:v>4241.8</c:v>
                </c:pt>
                <c:pt idx="226">
                  <c:v>4512.1000000000004</c:v>
                </c:pt>
                <c:pt idx="227">
                  <c:v>4033.8</c:v>
                </c:pt>
                <c:pt idx="228">
                  <c:v>3571.7</c:v>
                </c:pt>
                <c:pt idx="229">
                  <c:v>3372</c:v>
                </c:pt>
                <c:pt idx="230">
                  <c:v>3601.3</c:v>
                </c:pt>
                <c:pt idx="231">
                  <c:v>4110.8</c:v>
                </c:pt>
                <c:pt idx="232">
                  <c:v>4184.3999999999996</c:v>
                </c:pt>
                <c:pt idx="233">
                  <c:v>3880.9</c:v>
                </c:pt>
                <c:pt idx="234">
                  <c:v>2974.1</c:v>
                </c:pt>
                <c:pt idx="235">
                  <c:v>2769.6</c:v>
                </c:pt>
                <c:pt idx="236">
                  <c:v>2923.8</c:v>
                </c:pt>
                <c:pt idx="237">
                  <c:v>2362.6999999999998</c:v>
                </c:pt>
                <c:pt idx="238">
                  <c:v>2527.5</c:v>
                </c:pt>
                <c:pt idx="239">
                  <c:v>2809.5</c:v>
                </c:pt>
                <c:pt idx="240">
                  <c:v>2857.9</c:v>
                </c:pt>
                <c:pt idx="241">
                  <c:v>3101.7</c:v>
                </c:pt>
                <c:pt idx="242">
                  <c:v>2648</c:v>
                </c:pt>
                <c:pt idx="243">
                  <c:v>2619.6999999999998</c:v>
                </c:pt>
                <c:pt idx="244">
                  <c:v>2764.6</c:v>
                </c:pt>
                <c:pt idx="245">
                  <c:v>2742.2</c:v>
                </c:pt>
                <c:pt idx="246">
                  <c:v>2414.9</c:v>
                </c:pt>
                <c:pt idx="247">
                  <c:v>2220.1</c:v>
                </c:pt>
                <c:pt idx="248">
                  <c:v>2091.4</c:v>
                </c:pt>
                <c:pt idx="249">
                  <c:v>2065.3000000000002</c:v>
                </c:pt>
                <c:pt idx="250">
                  <c:v>2010.6</c:v>
                </c:pt>
                <c:pt idx="251">
                  <c:v>2194.4</c:v>
                </c:pt>
                <c:pt idx="252">
                  <c:v>2350.6999999999998</c:v>
                </c:pt>
                <c:pt idx="253">
                  <c:v>2620.8000000000002</c:v>
                </c:pt>
                <c:pt idx="254">
                  <c:v>2563.6</c:v>
                </c:pt>
                <c:pt idx="255">
                  <c:v>2539.4</c:v>
                </c:pt>
                <c:pt idx="256">
                  <c:v>2155.5</c:v>
                </c:pt>
                <c:pt idx="257">
                  <c:v>2325.3000000000002</c:v>
                </c:pt>
                <c:pt idx="258">
                  <c:v>1953.2</c:v>
                </c:pt>
                <c:pt idx="259">
                  <c:v>2190.4</c:v>
                </c:pt>
                <c:pt idx="260">
                  <c:v>2371.1</c:v>
                </c:pt>
                <c:pt idx="261">
                  <c:v>2129.6999999999998</c:v>
                </c:pt>
                <c:pt idx="262">
                  <c:v>2528.6999999999998</c:v>
                </c:pt>
                <c:pt idx="263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757504"/>
        <c:axId val="190755584"/>
      </c:lineChart>
      <c:dateAx>
        <c:axId val="1907272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90728832"/>
        <c:crosses val="autoZero"/>
        <c:auto val="1"/>
        <c:lblOffset val="100"/>
        <c:baseTimeUnit val="days"/>
        <c:majorUnit val="6"/>
      </c:dateAx>
      <c:valAx>
        <c:axId val="190728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90727296"/>
        <c:crosses val="autoZero"/>
        <c:crossBetween val="between"/>
      </c:valAx>
      <c:valAx>
        <c:axId val="1907555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190757504"/>
        <c:crosses val="max"/>
        <c:crossBetween val="between"/>
      </c:valAx>
      <c:dateAx>
        <c:axId val="1907575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90755584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3.66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Rate'!$F$16:$P$16</c:f>
              <c:numCache>
                <c:formatCode>0.00%</c:formatCode>
                <c:ptCount val="11"/>
                <c:pt idx="0">
                  <c:v>0.86053180244373184</c:v>
                </c:pt>
                <c:pt idx="1">
                  <c:v>0.8184510925623657</c:v>
                </c:pt>
                <c:pt idx="2">
                  <c:v>0.792866485196005</c:v>
                </c:pt>
                <c:pt idx="3">
                  <c:v>0.72966650219578055</c:v>
                </c:pt>
                <c:pt idx="4">
                  <c:v>0.63326735135921475</c:v>
                </c:pt>
                <c:pt idx="5">
                  <c:v>0.56800749856224098</c:v>
                </c:pt>
                <c:pt idx="6">
                  <c:v>0.51003079367236948</c:v>
                </c:pt>
                <c:pt idx="7">
                  <c:v>0.4717835174387458</c:v>
                </c:pt>
                <c:pt idx="8">
                  <c:v>0.40258680715943373</c:v>
                </c:pt>
                <c:pt idx="9">
                  <c:v>0.33462040705764007</c:v>
                </c:pt>
                <c:pt idx="10">
                  <c:v>0.28177528893959342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3.66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Rate'!$F$17:$P$17</c:f>
              <c:numCache>
                <c:formatCode>0.00%</c:formatCode>
                <c:ptCount val="11"/>
                <c:pt idx="0">
                  <c:v>0.84643843890489245</c:v>
                </c:pt>
                <c:pt idx="1">
                  <c:v>0.78152591353017187</c:v>
                </c:pt>
                <c:pt idx="2">
                  <c:v>0.746818843150719</c:v>
                </c:pt>
                <c:pt idx="3">
                  <c:v>0.66715703091155365</c:v>
                </c:pt>
                <c:pt idx="4">
                  <c:v>0.61558305422363835</c:v>
                </c:pt>
                <c:pt idx="5">
                  <c:v>0.54312817108621503</c:v>
                </c:pt>
                <c:pt idx="6">
                  <c:v>0.47321858328194433</c:v>
                </c:pt>
                <c:pt idx="7">
                  <c:v>0.43741825263314521</c:v>
                </c:pt>
                <c:pt idx="8">
                  <c:v>0.3767105638497712</c:v>
                </c:pt>
                <c:pt idx="9">
                  <c:v>0.34196709950175791</c:v>
                </c:pt>
                <c:pt idx="10">
                  <c:v>0.29865465031952421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3.66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Rate'!$F$18:$P$18</c:f>
              <c:numCache>
                <c:formatCode>0.00%</c:formatCode>
                <c:ptCount val="11"/>
                <c:pt idx="0">
                  <c:v>0.84640930475898668</c:v>
                </c:pt>
                <c:pt idx="1">
                  <c:v>0.34932649060755155</c:v>
                </c:pt>
                <c:pt idx="2">
                  <c:v>0.30138358197724158</c:v>
                </c:pt>
                <c:pt idx="3">
                  <c:v>0.25820318523572161</c:v>
                </c:pt>
                <c:pt idx="4">
                  <c:v>4.1692117251124428E-2</c:v>
                </c:pt>
                <c:pt idx="5">
                  <c:v>4.262751272507909E-3</c:v>
                </c:pt>
                <c:pt idx="6">
                  <c:v>2.1705889654440326E-3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914176"/>
        <c:axId val="194915712"/>
      </c:lineChart>
      <c:catAx>
        <c:axId val="19491417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94915712"/>
        <c:crosses val="autoZero"/>
        <c:auto val="1"/>
        <c:lblAlgn val="ctr"/>
        <c:lblOffset val="100"/>
        <c:noMultiLvlLbl val="0"/>
      </c:catAx>
      <c:valAx>
        <c:axId val="19491571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94914176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10</xdr:row>
      <xdr:rowOff>133350</xdr:rowOff>
    </xdr:from>
    <xdr:to>
      <xdr:col>13</xdr:col>
      <xdr:colOff>381000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619126</xdr:colOff>
      <xdr:row>33</xdr:row>
      <xdr:rowOff>123824</xdr:rowOff>
    </xdr:from>
    <xdr:to>
      <xdr:col>13</xdr:col>
      <xdr:colOff>552451</xdr:colOff>
      <xdr:row>36</xdr:row>
      <xdr:rowOff>76200</xdr:rowOff>
    </xdr:to>
    <xdr:sp macro="" textlink="">
      <xdr:nvSpPr>
        <xdr:cNvPr id="4" name="TextBox 3"/>
        <xdr:cNvSpPr txBox="1"/>
      </xdr:nvSpPr>
      <xdr:spPr>
        <a:xfrm>
          <a:off x="7248526" y="5467349"/>
          <a:ext cx="196215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14</xdr:row>
      <xdr:rowOff>14287</xdr:rowOff>
    </xdr:from>
    <xdr:to>
      <xdr:col>27</xdr:col>
      <xdr:colOff>266699</xdr:colOff>
      <xdr:row>30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79" unboundColumnsRight="3">
    <queryTableFields count="5">
      <queryTableField id="62" name="AsOfDate" tableColumnId="1"/>
      <queryTableField id="64" name="refinancible" tableColumnId="3"/>
      <queryTableField id="76" dataBound="0" tableColumnId="5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7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refinancible" tableColumnId="2"/>
    </queryTableFields>
    <queryTableDeletedFields count="1">
      <deletedField name="refinancible_satoAdj"/>
    </queryTableDeletedFields>
  </queryTableRefresh>
</queryTable>
</file>

<file path=xl/queryTables/queryTable4.xml><?xml version="1.0" encoding="utf-8"?>
<queryTable xmlns="http://schemas.openxmlformats.org/spreadsheetml/2006/main" name="temp_2" connectionId="2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5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1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4" name="CurrentMtgRatesDataTable825" displayName="CurrentMtgRatesDataTable825" ref="B2:F266" tableType="queryTable" totalsRowShown="0" headerRowDxfId="98" dataDxfId="97">
  <tableColumns count="5">
    <tableColumn id="1" uniqueName="1" name="asOfDate" queryTableFieldId="62" dataDxfId="43"/>
    <tableColumn id="3" uniqueName="3" name="refinancible" queryTableFieldId="64" dataDxfId="42" dataCellStyle="Percent"/>
    <tableColumn id="5" uniqueName="5" name="Loan Level" queryTableFieldId="76" dataDxfId="41" dataCellStyle="Percent">
      <calculatedColumnFormula>VLOOKUP(CurrentMtgRatesDataTable825[[#This Row],[asOfDate]],H:I,2,0)</calculatedColumnFormula>
    </tableColumn>
    <tableColumn id="2" uniqueName="2" name="With Lowest Rate" queryTableFieldId="78" dataDxfId="40" dataCellStyle="Percent">
      <calculatedColumnFormula>VLOOKUP(CurrentMtgRatesDataTable825[[#This Row],[asOfDate]],O:P,2,0)</calculatedColumnFormula>
    </tableColumn>
    <tableColumn id="6" uniqueName="6" name="Refi Index" queryTableFieldId="77" dataDxfId="39" dataCellStyle="Percent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K2:L3" tableType="queryTable" insertRow="1" totalsRowShown="0" headerRowDxfId="96" dataDxfId="95">
  <tableColumns count="2">
    <tableColumn id="1" uniqueName="1" name="asOfDate" queryTableFieldId="62" dataDxfId="38"/>
    <tableColumn id="5" uniqueName="5" name="refinanceible" queryTableFieldId="76" dataDxfId="3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CurrentMtgRatesDataTable82527" displayName="CurrentMtgRatesDataTable82527" ref="S2:T3" tableType="queryTable" insertRow="1" totalsRowShown="0" headerRowDxfId="94" dataDxfId="93">
  <tableColumns count="2">
    <tableColumn id="1" uniqueName="1" name="asOfDate" queryTableFieldId="62" dataDxfId="36"/>
    <tableColumn id="2" uniqueName="2" name="refinancible" queryTableFieldId="77" dataDxfId="3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2" name="CurrentMtgRatesDataTable82523" displayName="CurrentMtgRatesDataTable82523" ref="B2:C3" tableType="queryTable" totalsRowShown="0" headerRowDxfId="92" dataDxfId="91">
  <tableColumns count="2">
    <tableColumn id="1" uniqueName="1" name="AsOfDate" queryTableFieldId="62" dataDxfId="34"/>
    <tableColumn id="6" uniqueName="6" name="SeriesNumValue" queryTableFieldId="77" dataDxfId="3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3" name="CurrentMtgRatesDataTable825234" displayName="CurrentMtgRatesDataTable825234" ref="F2:P3" tableType="queryTable" totalsRowShown="0" headerRowDxfId="90" dataDxfId="89">
  <tableColumns count="11">
    <tableColumn id="7" uniqueName="7" name="refinancible1" queryTableFieldId="78" dataDxfId="32"/>
    <tableColumn id="8" uniqueName="8" name="refinancible2" queryTableFieldId="79" dataDxfId="31"/>
    <tableColumn id="9" uniqueName="9" name="refinancible3" queryTableFieldId="80" dataDxfId="30"/>
    <tableColumn id="10" uniqueName="10" name="refinancible4" queryTableFieldId="81" dataDxfId="29"/>
    <tableColumn id="11" uniqueName="11" name="refinancible5" queryTableFieldId="82" dataDxfId="28"/>
    <tableColumn id="12" uniqueName="12" name="refinancible6" queryTableFieldId="83" dataDxfId="27"/>
    <tableColumn id="13" uniqueName="13" name="refinancible7" queryTableFieldId="84" dataDxfId="26"/>
    <tableColumn id="14" uniqueName="14" name="refinancible8" queryTableFieldId="85" dataDxfId="25"/>
    <tableColumn id="15" uniqueName="15" name="refinancible9" queryTableFieldId="86" dataDxfId="24"/>
    <tableColumn id="16" uniqueName="16" name="refinancible10" queryTableFieldId="87" dataDxfId="23"/>
    <tableColumn id="17" uniqueName="17" name="refinancible11" queryTableFieldId="88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5" name="CurrentMtgRatesDataTable8252346" displayName="CurrentMtgRatesDataTable8252346" ref="F7:P8" tableType="queryTable" totalsRowShown="0" headerRowDxfId="88" dataDxfId="87">
  <tableColumns count="11">
    <tableColumn id="19" uniqueName="19" name="refinanceible1" queryTableFieldId="90" dataDxfId="21"/>
    <tableColumn id="20" uniqueName="20" name="refinanceible2" queryTableFieldId="91" dataDxfId="20"/>
    <tableColumn id="21" uniqueName="21" name="refinanceible3" queryTableFieldId="92" dataDxfId="19"/>
    <tableColumn id="22" uniqueName="22" name="refinanceible4" queryTableFieldId="93" dataDxfId="18"/>
    <tableColumn id="23" uniqueName="23" name="refinanceible5" queryTableFieldId="94" dataDxfId="17"/>
    <tableColumn id="24" uniqueName="24" name="refinanceible6" queryTableFieldId="95" dataDxfId="16"/>
    <tableColumn id="25" uniqueName="25" name="refinanceible7" queryTableFieldId="96" dataDxfId="15"/>
    <tableColumn id="26" uniqueName="26" name="refinanceible8" queryTableFieldId="97" dataDxfId="14"/>
    <tableColumn id="27" uniqueName="27" name="refinanceible9" queryTableFieldId="98" dataDxfId="13"/>
    <tableColumn id="28" uniqueName="28" name="refinanceible10" queryTableFieldId="99" dataDxfId="12"/>
    <tableColumn id="29" uniqueName="29" name="refinanceible11" queryTableFieldId="100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86" dataDxfId="85">
  <tableColumns count="11">
    <tableColumn id="19" uniqueName="19" name="refinanceible1" queryTableFieldId="90" dataDxfId="10"/>
    <tableColumn id="20" uniqueName="20" name="refinanceible2" queryTableFieldId="91" dataDxfId="9"/>
    <tableColumn id="21" uniqueName="21" name="refinanceible3" queryTableFieldId="92" dataDxfId="8"/>
    <tableColumn id="22" uniqueName="22" name="refinanceible4" queryTableFieldId="93" dataDxfId="7"/>
    <tableColumn id="23" uniqueName="23" name="refinanceible5" queryTableFieldId="94" dataDxfId="6"/>
    <tableColumn id="24" uniqueName="24" name="refinanceible6" queryTableFieldId="95" dataDxfId="5"/>
    <tableColumn id="25" uniqueName="25" name="refinanceible7" queryTableFieldId="96" dataDxfId="4"/>
    <tableColumn id="26" uniqueName="26" name="refinanceible8" queryTableFieldId="97" dataDxfId="3"/>
    <tableColumn id="27" uniqueName="27" name="refinanceible9" queryTableFieldId="98" dataDxfId="2"/>
    <tableColumn id="28" uniqueName="28" name="refinanceible10" queryTableFieldId="99" dataDxfId="1"/>
    <tableColumn id="29" uniqueName="29" name="refinanceible11" queryTableFieldId="100" dataDxfId="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CurrentMtgRatesDataTable810" displayName="CurrentMtgRatesDataTable810" ref="S4:U9" tableType="queryTable" totalsRowShown="0" headerRowDxfId="84" dataDxfId="83">
  <tableColumns count="3">
    <tableColumn id="10" uniqueName="10" name="AsOfDate" queryTableFieldId="51" dataDxfId="46" dataCellStyle="Normal 2 7"/>
    <tableColumn id="5" uniqueName="5" name="SeriesNumValue" queryTableFieldId="68" dataDxfId="45" dataCellStyle="Normal 2 7"/>
    <tableColumn id="1" uniqueName="1" name="TickerName" queryTableFieldId="82" dataDxfId="44" dataCellStyle="Normal 2 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10" name="CurrentMtgRatesDataTable811" displayName="CurrentMtgRatesDataTable811" ref="A4:M38" tableType="queryTable" totalsRowShown="0" headerRowDxfId="82" dataDxfId="81">
  <tableColumns count="13">
    <tableColumn id="10" uniqueName="10" name="AsOfDate" queryTableFieldId="51" dataDxfId="80" dataCellStyle="Normal 2 7"/>
    <tableColumn id="5" uniqueName="5" name="SeriesNumValue" queryTableFieldId="68" dataDxfId="79"/>
    <tableColumn id="1" uniqueName="1" name="Rate" queryTableFieldId="69" dataDxfId="78"/>
    <tableColumn id="2" uniqueName="2" name="Weekday" queryTableFieldId="70" dataDxfId="77" dataCellStyle="Normal 2 7">
      <calculatedColumnFormula>WEEKDAY(A5,14)</calculatedColumnFormula>
    </tableColumn>
    <tableColumn id="3" uniqueName="3" name="Weight" queryTableFieldId="75" dataDxfId="76" dataCellStyle="Normal 2 7">
      <calculatedColumnFormula>VLOOKUP(D5,P$5:Q$11,2,FALSE)</calculatedColumnFormula>
    </tableColumn>
    <tableColumn id="4" uniqueName="4" name="Counter" queryTableFieldId="74" dataDxfId="75" dataCellStyle="Normal 2 7">
      <calculatedColumnFormula>IF(AND(D5&gt;D4,F4&lt;6),F4+1,1)</calculatedColumnFormula>
    </tableColumn>
    <tableColumn id="6" uniqueName="6" name="Accumulated Weighted CC" queryTableFieldId="73" dataDxfId="74" dataCellStyle="Normal 2 7">
      <calculatedColumnFormula>IF(F5&gt;F4,G4+B5*E5,B5*E5)</calculatedColumnFormula>
    </tableColumn>
    <tableColumn id="7" uniqueName="7" name="AccumulatedWeight" queryTableFieldId="72" dataDxfId="73" dataCellStyle="Normal 2 7">
      <calculatedColumnFormula>IF(AND(F5&lt;6,F5&gt;F4),E5+H4,E5)</calculatedColumnFormula>
    </tableColumn>
    <tableColumn id="8" uniqueName="8" name="WA CC" queryTableFieldId="71" dataDxfId="72" dataCellStyle="Normal 2 7">
      <calculatedColumnFormula>IF(F5&gt;F6,G5/H5,0)</calculatedColumnFormula>
    </tableColumn>
    <tableColumn id="9" uniqueName="9" name="Servicing Spread" queryTableFieldId="76" dataDxfId="71" dataCellStyle="Normal 2 7">
      <calculatedColumnFormula>IF(CurrentMtgRatesDataTable811[[#This Row],[WA CC]]&lt;&gt;0,C4-CurrentMtgRatesDataTable811[[#This Row],[WA CC]],0)</calculatedColumnFormula>
    </tableColumn>
    <tableColumn id="11" uniqueName="11" name="Servicing Spread Non-Zero" queryTableFieldId="77" dataDxfId="70" dataCellStyle="Normal 2 7">
      <calculatedColumnFormula>IF(CurrentMtgRatesDataTable811[[#This Row],[Servicing Spread]]&lt;=0,K4,CurrentMtgRatesDataTable811[[#This Row],[Servicing Spread]])</calculatedColumnFormula>
    </tableColumn>
    <tableColumn id="12" uniqueName="12" name="Servicing Spread 1m chg" queryTableFieldId="78" dataDxfId="69" dataCellStyle="Normal 2 7">
      <calculatedColumnFormula>CurrentMtgRatesDataTable811[[#This Row],[Servicing Spread Non-Zero]]-K4</calculatedColumnFormula>
    </tableColumn>
    <tableColumn id="15" uniqueName="15" name="Survey Rate 1m chg" queryTableFieldId="81" dataDxfId="68" dataCellStyle="Normal 2 7">
      <calculatedColumnFormula>IF(I4&lt;&gt;0,CurrentMtgRatesDataTable811[[#This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C92"/>
  <sheetViews>
    <sheetView showGridLines="0" zoomScaleNormal="100" workbookViewId="0">
      <selection activeCell="S9" sqref="S9"/>
    </sheetView>
  </sheetViews>
  <sheetFormatPr defaultRowHeight="12.75"/>
  <cols>
    <col min="1" max="1" width="9.140625" style="6" customWidth="1"/>
    <col min="2" max="2" width="9.140625" style="6"/>
    <col min="3" max="13" width="10.140625" style="6" customWidth="1"/>
    <col min="14" max="14" width="10.28515625" style="6" customWidth="1"/>
    <col min="15" max="15" width="8.42578125" style="6" customWidth="1"/>
    <col min="16" max="16" width="8.7109375" style="6" customWidth="1"/>
    <col min="17" max="19" width="8.42578125" style="6" customWidth="1"/>
    <col min="20" max="20" width="10.7109375" style="6" bestFit="1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3:29">
      <c r="Z1" s="2" t="s">
        <v>1</v>
      </c>
      <c r="AA1" s="3" t="s">
        <v>2</v>
      </c>
      <c r="AB1" s="6" t="s">
        <v>3</v>
      </c>
      <c r="AC1" s="3" t="s">
        <v>4</v>
      </c>
    </row>
    <row r="2" spans="3:29">
      <c r="Z2" s="2" t="s">
        <v>5</v>
      </c>
      <c r="AA2" s="4">
        <v>42396</v>
      </c>
    </row>
    <row r="3" spans="3:29">
      <c r="Z3" s="2" t="s">
        <v>19</v>
      </c>
      <c r="AA3" s="19" t="s">
        <v>133</v>
      </c>
    </row>
    <row r="4" spans="3:29">
      <c r="Z4" s="2" t="s">
        <v>6</v>
      </c>
      <c r="AA4" s="3" t="str">
        <f>PDFReportDir&amp;"Refinancible Universe " &amp; TEXT(CurrentCloseDate, "yyyy-mm-dd") &amp; ".pdf"</f>
        <v>S:\IT\Production\Daily Reports\Primary Market\2016-01\Refinancible Universe 2016-01-27.pdf</v>
      </c>
    </row>
    <row r="5" spans="3:29">
      <c r="Z5" s="7"/>
    </row>
    <row r="6" spans="3:29">
      <c r="Z6" s="7"/>
    </row>
    <row r="9" spans="3:29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15</v>
      </c>
      <c r="AA9" s="13">
        <f>IF(DAY(CurrentCloseDate)&lt;0,(CurrentCloseDate-DAY(CurrentCloseDate))-DAY((CurrentCloseDate-DAY(CurrentCloseDate)))+1,CurrentCloseDate-DAY(CurrentCloseDate)+1)</f>
        <v>42370</v>
      </c>
      <c r="AB9" s="71" t="s">
        <v>85</v>
      </c>
    </row>
    <row r="10" spans="3:29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16</v>
      </c>
      <c r="AA10" s="14">
        <f>(AA9-1)-DAY((AA9-1))+1</f>
        <v>42339</v>
      </c>
    </row>
    <row r="11" spans="3:29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3:29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4"/>
    </row>
    <row r="13" spans="3:29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116</v>
      </c>
      <c r="AA13" s="14">
        <f>IF(WEEKDAY(CurrentCloseDate,2)&lt;4,CurrentCloseDate-WEEKDAY(CurrentCloseDate,2)-3,CurrentCloseDate-WEEKDAY(CurrentCloseDate,2)+4)</f>
        <v>42390</v>
      </c>
    </row>
    <row r="14" spans="3:29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3:29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3:29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3:24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3:24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3:24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3:24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3:24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8" spans="3:20">
      <c r="O38" s="40" t="s">
        <v>111</v>
      </c>
      <c r="P38" s="40"/>
      <c r="Q38" s="83">
        <f>'Function Of Rate'!C8</f>
        <v>2.73574020589367</v>
      </c>
      <c r="S38" s="41" t="s">
        <v>112</v>
      </c>
      <c r="T38" s="83">
        <f>'Function Of Rate'!C9</f>
        <v>0.92584729351585482</v>
      </c>
    </row>
    <row r="39" spans="3:20" ht="15.75" thickBot="1">
      <c r="C39" s="5" t="s">
        <v>33</v>
      </c>
      <c r="E39" s="26"/>
      <c r="F39" s="27"/>
      <c r="J39" s="41" t="s">
        <v>86</v>
      </c>
      <c r="K39" s="85">
        <f>CurrentMtgRatesDataTable82523[SeriesNumValue]</f>
        <v>3.71</v>
      </c>
      <c r="L39" s="41" t="s">
        <v>73</v>
      </c>
      <c r="M39" s="64">
        <f>CurrentMtgRatesDataTable82523[AsOfDate]</f>
        <v>42390</v>
      </c>
      <c r="O39" s="40" t="s">
        <v>113</v>
      </c>
      <c r="P39" s="40"/>
      <c r="Q39" s="84">
        <f>ImpliedRate</f>
        <v>3.6615874994095248</v>
      </c>
      <c r="S39" s="41" t="s">
        <v>73</v>
      </c>
      <c r="T39" s="72">
        <f>CurrentCloseDate</f>
        <v>42396</v>
      </c>
    </row>
    <row r="40" spans="3:20" s="36" customFormat="1" ht="13.5" customHeight="1">
      <c r="C40" s="47"/>
      <c r="D40" s="111" t="s">
        <v>28</v>
      </c>
      <c r="E40" s="112"/>
      <c r="F40" s="113"/>
      <c r="G40" s="111" t="s">
        <v>25</v>
      </c>
      <c r="H40" s="112"/>
      <c r="I40" s="113"/>
      <c r="J40" s="65" t="s">
        <v>83</v>
      </c>
      <c r="K40" s="111" t="s">
        <v>31</v>
      </c>
      <c r="L40" s="112"/>
      <c r="M40" s="113"/>
      <c r="O40" s="58"/>
      <c r="P40" s="112" t="s">
        <v>28</v>
      </c>
      <c r="Q40" s="113"/>
      <c r="R40" s="111" t="s">
        <v>25</v>
      </c>
      <c r="S40" s="113"/>
      <c r="T40" s="109" t="s">
        <v>83</v>
      </c>
    </row>
    <row r="41" spans="3:20" s="36" customFormat="1" ht="13.5" customHeight="1">
      <c r="C41" s="48" t="s">
        <v>32</v>
      </c>
      <c r="D41" s="42" t="s">
        <v>30</v>
      </c>
      <c r="E41" s="29" t="s">
        <v>12</v>
      </c>
      <c r="F41" s="43" t="s">
        <v>13</v>
      </c>
      <c r="G41" s="42" t="s">
        <v>30</v>
      </c>
      <c r="H41" s="29" t="s">
        <v>12</v>
      </c>
      <c r="I41" s="43" t="s">
        <v>13</v>
      </c>
      <c r="J41" s="66" t="s">
        <v>84</v>
      </c>
      <c r="K41" s="42" t="s">
        <v>30</v>
      </c>
      <c r="L41" s="29" t="s">
        <v>12</v>
      </c>
      <c r="M41" s="43" t="s">
        <v>13</v>
      </c>
      <c r="O41" s="42" t="s">
        <v>69</v>
      </c>
      <c r="P41" s="29" t="s">
        <v>70</v>
      </c>
      <c r="Q41" s="43" t="s">
        <v>71</v>
      </c>
      <c r="R41" s="42" t="s">
        <v>70</v>
      </c>
      <c r="S41" s="43" t="s">
        <v>71</v>
      </c>
      <c r="T41" s="110"/>
    </row>
    <row r="42" spans="3:20" s="36" customFormat="1" ht="13.5" customHeight="1">
      <c r="C42" s="49">
        <f>Query!$B3</f>
        <v>42390</v>
      </c>
      <c r="D42" s="51">
        <f>Query!$C3</f>
        <v>0.53686726891255199</v>
      </c>
      <c r="E42" s="37">
        <f>Query!$C7-Query!C3</f>
        <v>-5.8842856839090796E-2</v>
      </c>
      <c r="F42" s="52">
        <f>Query!$C16-Query!C3</f>
        <v>2.6306538014249981E-2</v>
      </c>
      <c r="G42" s="51">
        <f>Query!$D3</f>
        <v>0.51058732016564734</v>
      </c>
      <c r="H42" s="37">
        <f>Query!$D7-Query!D3</f>
        <v>-6.7053707435895671E-2</v>
      </c>
      <c r="I42" s="52">
        <f>Query!$D16-Query!D3</f>
        <v>1.195375105829799E-2</v>
      </c>
      <c r="J42" s="67">
        <f>Query!$E3</f>
        <v>5.9883323412895321E-3</v>
      </c>
      <c r="K42" s="55" t="e">
        <f ca="1">Query!$F3</f>
        <v>#N/A</v>
      </c>
      <c r="L42" s="37" t="e">
        <f ca="1">(Query!$F7-Query!F3)/Query!F3</f>
        <v>#N/A</v>
      </c>
      <c r="M42" s="52" t="e">
        <f ca="1">(Query!$F16-Query!F3)/Query!F3</f>
        <v>#N/A</v>
      </c>
      <c r="O42" s="44" t="s">
        <v>52</v>
      </c>
      <c r="P42" s="37">
        <f>'Function Of Rate'!F$16</f>
        <v>0.86053180244373184</v>
      </c>
      <c r="Q42" s="52">
        <f t="shared" ref="Q42:Q45" si="0">P42-$P$47</f>
        <v>0.29252430388149087</v>
      </c>
      <c r="R42" s="61">
        <f>'Function Of Rate'!F$17</f>
        <v>0.84643843890489245</v>
      </c>
      <c r="S42" s="52">
        <f t="shared" ref="S42:S45" si="1">R42-$R$47</f>
        <v>0.30331026781867743</v>
      </c>
      <c r="T42" s="52">
        <f>'Function Of Rate'!F18</f>
        <v>0.84640930475898668</v>
      </c>
    </row>
    <row r="43" spans="3:20" s="36" customFormat="1" ht="13.5" customHeight="1">
      <c r="C43" s="49">
        <f>Query!$B4</f>
        <v>42383</v>
      </c>
      <c r="D43" s="51">
        <f>Query!$C4</f>
        <v>0.48424776223671406</v>
      </c>
      <c r="E43" s="37">
        <f>Query!$C8-Query!C4</f>
        <v>-1.0005840671056365E-2</v>
      </c>
      <c r="F43" s="52">
        <f>Query!$C17-Query!C4</f>
        <v>6.3428360786179305E-2</v>
      </c>
      <c r="G43" s="51">
        <f>Query!$D4</f>
        <v>0.44103197340208022</v>
      </c>
      <c r="H43" s="37">
        <f>Query!$D8-Query!D4</f>
        <v>1.6572826778458727E-3</v>
      </c>
      <c r="I43" s="52">
        <f>Query!$D17-Query!D4</f>
        <v>7.9069163349044569E-2</v>
      </c>
      <c r="J43" s="67">
        <f>Query!$E4</f>
        <v>1.567204072611725E-3</v>
      </c>
      <c r="K43" s="55" t="e">
        <f ca="1">Query!$F4</f>
        <v>#N/A</v>
      </c>
      <c r="L43" s="37" t="e">
        <f ca="1">(Query!$F8-Query!F4)/Query!F4</f>
        <v>#N/A</v>
      </c>
      <c r="M43" s="52" t="e">
        <f ca="1">(Query!$F17-Query!F4)/Query!F4</f>
        <v>#N/A</v>
      </c>
      <c r="O43" s="44" t="s">
        <v>51</v>
      </c>
      <c r="P43" s="37">
        <f>'Function Of Rate'!G$16</f>
        <v>0.8184510925623657</v>
      </c>
      <c r="Q43" s="52">
        <f t="shared" si="0"/>
        <v>0.25044359400012473</v>
      </c>
      <c r="R43" s="61">
        <f>'Function Of Rate'!G$17</f>
        <v>0.78152591353017187</v>
      </c>
      <c r="S43" s="52">
        <f t="shared" si="1"/>
        <v>0.23839774244395684</v>
      </c>
      <c r="T43" s="52">
        <f>'Function Of Rate'!G18</f>
        <v>0.34932649060755155</v>
      </c>
    </row>
    <row r="44" spans="3:20" s="36" customFormat="1" ht="13.5" customHeight="1">
      <c r="C44" s="49">
        <f>Query!$B5</f>
        <v>42376</v>
      </c>
      <c r="D44" s="51">
        <f>Query!$C5</f>
        <v>0.46862901952602543</v>
      </c>
      <c r="E44" s="37">
        <f>Query!$C9-Query!C5</f>
        <v>1.2453769632754019E-2</v>
      </c>
      <c r="F44" s="52">
        <f>Query!$C18-Query!C5</f>
        <v>0.11031127504589988</v>
      </c>
      <c r="G44" s="51" t="e">
        <f>Query!$D5</f>
        <v>#N/A</v>
      </c>
      <c r="H44" s="37" t="e">
        <f>Query!$D9-Query!D5</f>
        <v>#N/A</v>
      </c>
      <c r="I44" s="52" t="e">
        <f>Query!$D18-Query!D5</f>
        <v>#N/A</v>
      </c>
      <c r="J44" s="67" t="e">
        <f>Query!$E5</f>
        <v>#N/A</v>
      </c>
      <c r="K44" s="55">
        <f ca="1">Query!$F5</f>
        <v>1273.8</v>
      </c>
      <c r="L44" s="37">
        <f ca="1">(Query!$F9-Query!F5)/Query!F5</f>
        <v>0.15449835138954307</v>
      </c>
      <c r="M44" s="52">
        <f ca="1">(Query!$F18-Query!F5)/Query!F5</f>
        <v>0.20466321243523319</v>
      </c>
      <c r="O44" s="44" t="s">
        <v>50</v>
      </c>
      <c r="P44" s="37">
        <f>'Function Of Rate'!H$16</f>
        <v>0.792866485196005</v>
      </c>
      <c r="Q44" s="52">
        <f t="shared" si="0"/>
        <v>0.22485898663376402</v>
      </c>
      <c r="R44" s="61">
        <f>'Function Of Rate'!H$17</f>
        <v>0.746818843150719</v>
      </c>
      <c r="S44" s="52">
        <f t="shared" si="1"/>
        <v>0.20369067206450397</v>
      </c>
      <c r="T44" s="52">
        <f>'Function Of Rate'!H18</f>
        <v>0.30138358197724158</v>
      </c>
    </row>
    <row r="45" spans="3:20" s="36" customFormat="1" ht="13.5" customHeight="1">
      <c r="C45" s="49">
        <f>Query!$B6</f>
        <v>42369</v>
      </c>
      <c r="D45" s="51">
        <f>Query!$C6</f>
        <v>0.44657507929969392</v>
      </c>
      <c r="E45" s="37">
        <f>Query!$C10-Query!C6</f>
        <v>4.0639969015264732E-2</v>
      </c>
      <c r="F45" s="52">
        <f>Query!$C19-Query!C6</f>
        <v>8.734143579548187E-2</v>
      </c>
      <c r="G45" s="51">
        <f>Query!$D6</f>
        <v>0.41128790488114564</v>
      </c>
      <c r="H45" s="37">
        <f>Query!$D10-Query!D6</f>
        <v>3.5278174396797479E-2</v>
      </c>
      <c r="I45" s="52">
        <f>Query!$D19-Query!D6</f>
        <v>0.10656123282209951</v>
      </c>
      <c r="J45" s="67">
        <f>Query!$E6</f>
        <v>0</v>
      </c>
      <c r="K45" s="55">
        <f ca="1">Query!$F6</f>
        <v>1020.5</v>
      </c>
      <c r="L45" s="37">
        <f ca="1">(Query!$F10-Query!F6)/Query!F6</f>
        <v>0.4223419892209701</v>
      </c>
      <c r="M45" s="52">
        <f ca="1">(Query!$F19-Query!F6)/Query!F6</f>
        <v>1.0299853013228808</v>
      </c>
      <c r="O45" s="44" t="s">
        <v>49</v>
      </c>
      <c r="P45" s="37">
        <f>'Function Of Rate'!I$16</f>
        <v>0.72966650219578055</v>
      </c>
      <c r="Q45" s="52">
        <f t="shared" si="0"/>
        <v>0.16165900363353958</v>
      </c>
      <c r="R45" s="61">
        <f>'Function Of Rate'!I$17</f>
        <v>0.66715703091155365</v>
      </c>
      <c r="S45" s="52">
        <f t="shared" si="1"/>
        <v>0.12402885982533862</v>
      </c>
      <c r="T45" s="52">
        <f>'Function Of Rate'!I18</f>
        <v>0.25820318523572161</v>
      </c>
    </row>
    <row r="46" spans="3:20" s="36" customFormat="1" ht="13.5" customHeight="1">
      <c r="C46" s="49">
        <f>Query!$B7</f>
        <v>42362</v>
      </c>
      <c r="D46" s="51">
        <f>Query!$C7</f>
        <v>0.47802441207346119</v>
      </c>
      <c r="E46" s="37">
        <f>Query!$C11-Query!C7</f>
        <v>-2.1208837960269844E-3</v>
      </c>
      <c r="F46" s="52">
        <f>Query!$C20-Query!C7</f>
        <v>4.0844728213509762E-2</v>
      </c>
      <c r="G46" s="51">
        <f>Query!$D7</f>
        <v>0.44353361272975167</v>
      </c>
      <c r="H46" s="37">
        <f>Query!$D11-Query!D7</f>
        <v>4.5650478044118037E-3</v>
      </c>
      <c r="I46" s="52">
        <f>Query!$D20-Query!D7</f>
        <v>4.5069135799126692E-2</v>
      </c>
      <c r="J46" s="67">
        <f>Query!$E7</f>
        <v>0</v>
      </c>
      <c r="K46" s="55">
        <f ca="1">Query!$F7</f>
        <v>1174.0999999999999</v>
      </c>
      <c r="L46" s="37">
        <f ca="1">(Query!$F11-Query!F7)/Query!F7</f>
        <v>0.20109019674644421</v>
      </c>
      <c r="M46" s="52">
        <f ca="1">(Query!$F20-Query!F7)/Query!F7</f>
        <v>0.353802912869432</v>
      </c>
      <c r="O46" s="44" t="s">
        <v>48</v>
      </c>
      <c r="P46" s="37">
        <f>'Function Of Rate'!J$16</f>
        <v>0.63326735135921475</v>
      </c>
      <c r="Q46" s="52">
        <f>P46-$P$47</f>
        <v>6.5259852796973772E-2</v>
      </c>
      <c r="R46" s="61">
        <f>'Function Of Rate'!J$17</f>
        <v>0.61558305422363835</v>
      </c>
      <c r="S46" s="52">
        <f>R46-$R$47</f>
        <v>7.245488313742332E-2</v>
      </c>
      <c r="T46" s="52">
        <f>'Function Of Rate'!J18</f>
        <v>4.1692117251124428E-2</v>
      </c>
    </row>
    <row r="47" spans="3:20" s="36" customFormat="1" ht="13.5" customHeight="1">
      <c r="C47" s="49">
        <f>Query!$B8</f>
        <v>42355</v>
      </c>
      <c r="D47" s="51">
        <f>Query!$C8</f>
        <v>0.4742419215656577</v>
      </c>
      <c r="E47" s="37">
        <f>Query!$C12-Query!C8</f>
        <v>4.373350742276183E-3</v>
      </c>
      <c r="F47" s="52">
        <f>Query!$C21-Query!C8</f>
        <v>3.5627141217532077E-2</v>
      </c>
      <c r="G47" s="51">
        <f>Query!$D8</f>
        <v>0.4426892560799261</v>
      </c>
      <c r="H47" s="37">
        <f>Query!$D12-Query!D8</f>
        <v>-4.1853743436420787E-4</v>
      </c>
      <c r="I47" s="52">
        <f>Query!$D21-Query!D8</f>
        <v>4.2008490723413894E-2</v>
      </c>
      <c r="J47" s="67">
        <f>Query!$E8</f>
        <v>0</v>
      </c>
      <c r="K47" s="55">
        <f ca="1">Query!$F8</f>
        <v>1667.4</v>
      </c>
      <c r="L47" s="37">
        <f ca="1">(Query!$F12-Query!F8)/Query!F8</f>
        <v>-0.10699292311382996</v>
      </c>
      <c r="M47" s="52">
        <f ca="1">(Query!$F21-Query!F8)/Query!F8</f>
        <v>5.5475590740074361E-2</v>
      </c>
      <c r="O47" s="59">
        <f>'Function Of Rate'!$K$15</f>
        <v>3.6615874994095248</v>
      </c>
      <c r="P47" s="57">
        <f>'Function Of Rate'!K$16</f>
        <v>0.56800749856224098</v>
      </c>
      <c r="Q47" s="60" t="s">
        <v>72</v>
      </c>
      <c r="R47" s="62">
        <f>'Function Of Rate'!K$17</f>
        <v>0.54312817108621503</v>
      </c>
      <c r="S47" s="60" t="s">
        <v>72</v>
      </c>
      <c r="T47" s="60">
        <f>'Function Of Rate'!K18</f>
        <v>4.262751272507909E-3</v>
      </c>
    </row>
    <row r="48" spans="3:20" s="36" customFormat="1" ht="13.5" customHeight="1">
      <c r="C48" s="49">
        <f>Query!$B9</f>
        <v>42348</v>
      </c>
      <c r="D48" s="51">
        <f>Query!$C9</f>
        <v>0.48108278915877944</v>
      </c>
      <c r="E48" s="37">
        <f>Query!$C13-Query!C9</f>
        <v>-8.5521715646883489E-3</v>
      </c>
      <c r="F48" s="52">
        <f>Query!$C22-Query!C9</f>
        <v>3.2298774131954922E-2</v>
      </c>
      <c r="G48" s="51">
        <f>Query!$D9</f>
        <v>0.44439599984148415</v>
      </c>
      <c r="H48" s="37">
        <f>Query!$D13-Query!D9</f>
        <v>-3.0149238101718157E-2</v>
      </c>
      <c r="I48" s="52">
        <f>Query!$D22-Query!D9</f>
        <v>4.2241243300904396E-2</v>
      </c>
      <c r="J48" s="67">
        <f>Query!$E9</f>
        <v>0</v>
      </c>
      <c r="K48" s="55">
        <f ca="1">Query!$F9</f>
        <v>1470.6</v>
      </c>
      <c r="L48" s="37">
        <f ca="1">(Query!$F13-Query!F9)/Query!F9</f>
        <v>3.950768393852859E-2</v>
      </c>
      <c r="M48" s="52">
        <f ca="1">(Query!$F22-Query!F9)/Query!F9</f>
        <v>2.1079831361350038E-3</v>
      </c>
      <c r="O48" s="44" t="s">
        <v>53</v>
      </c>
      <c r="P48" s="37">
        <f>'Function Of Rate'!L$16</f>
        <v>0.51003079367236948</v>
      </c>
      <c r="Q48" s="52">
        <f t="shared" ref="Q48:Q52" si="2">P48-$P$47</f>
        <v>-5.79767048898715E-2</v>
      </c>
      <c r="R48" s="61">
        <f>'Function Of Rate'!L$17</f>
        <v>0.47321858328194433</v>
      </c>
      <c r="S48" s="52">
        <f>R48-$R$47</f>
        <v>-6.9909587804270701E-2</v>
      </c>
      <c r="T48" s="52">
        <f>'Function Of Rate'!L18</f>
        <v>2.1705889654440326E-3</v>
      </c>
    </row>
    <row r="49" spans="3:20" s="36" customFormat="1" ht="13.5" customHeight="1">
      <c r="C49" s="49">
        <f>Query!$B10</f>
        <v>42341</v>
      </c>
      <c r="D49" s="51">
        <f>Query!$C10</f>
        <v>0.48721504831495865</v>
      </c>
      <c r="E49" s="37">
        <f>Query!$C14-Query!C10</f>
        <v>2.7900047382197979E-2</v>
      </c>
      <c r="F49" s="52">
        <f>Query!$C23-Query!C10</f>
        <v>2.9590508242854807E-2</v>
      </c>
      <c r="G49" s="51">
        <f>Query!$D10</f>
        <v>0.44656607927794312</v>
      </c>
      <c r="H49" s="37">
        <f>Query!$D14-Query!D10</f>
        <v>3.0995972213066603E-2</v>
      </c>
      <c r="I49" s="52">
        <f>Query!$D23-Query!D10</f>
        <v>4.0908126656699184E-2</v>
      </c>
      <c r="J49" s="67">
        <f>Query!$E10</f>
        <v>0</v>
      </c>
      <c r="K49" s="55">
        <f ca="1">Query!$F10</f>
        <v>1451.5</v>
      </c>
      <c r="L49" s="37">
        <f ca="1">(Query!$F14-Query!F10)/Query!F10</f>
        <v>4.3127798828797734E-2</v>
      </c>
      <c r="M49" s="52">
        <f ca="1">(Query!$F23-Query!F10)/Query!F10</f>
        <v>0.1208405098174303</v>
      </c>
      <c r="O49" s="44" t="s">
        <v>54</v>
      </c>
      <c r="P49" s="37">
        <f>'Function Of Rate'!M$16</f>
        <v>0.4717835174387458</v>
      </c>
      <c r="Q49" s="52">
        <f t="shared" si="2"/>
        <v>-9.6223981123495173E-2</v>
      </c>
      <c r="R49" s="61">
        <f>'Function Of Rate'!M$17</f>
        <v>0.43741825263314521</v>
      </c>
      <c r="S49" s="52">
        <f t="shared" ref="S49:S52" si="3">R49-$R$47</f>
        <v>-0.10570991845306982</v>
      </c>
      <c r="T49" s="52">
        <f>'Function Of Rate'!M18</f>
        <v>0</v>
      </c>
    </row>
    <row r="50" spans="3:20" s="36" customFormat="1" ht="13.5" customHeight="1">
      <c r="C50" s="49">
        <f>Query!$B11</f>
        <v>42333</v>
      </c>
      <c r="D50" s="51">
        <f>Query!$C11</f>
        <v>0.47590352827743421</v>
      </c>
      <c r="E50" s="37">
        <f>Query!$C15-Query!C11</f>
        <v>0.1030367662944911</v>
      </c>
      <c r="F50" s="52">
        <f>Query!$C24-Query!C11</f>
        <v>7.1862352901150506E-2</v>
      </c>
      <c r="G50" s="51">
        <f>Query!$D11</f>
        <v>0.44809866053416347</v>
      </c>
      <c r="H50" s="37">
        <f>Query!$D15-Query!D11</f>
        <v>0.10445793512181745</v>
      </c>
      <c r="I50" s="52">
        <f>Query!$D24-Query!D11</f>
        <v>8.4274250687743191E-2</v>
      </c>
      <c r="J50" s="67">
        <f>Query!$E11</f>
        <v>0</v>
      </c>
      <c r="K50" s="55">
        <f ca="1">Query!$F11</f>
        <v>1410.2</v>
      </c>
      <c r="L50" s="37">
        <f ca="1">(Query!$F15-Query!F11)/Query!F11</f>
        <v>9.8142107502481812E-2</v>
      </c>
      <c r="M50" s="52">
        <f ca="1">(Query!$F24-Query!F11)/Query!F11</f>
        <v>0.31733087505318391</v>
      </c>
      <c r="O50" s="44" t="s">
        <v>55</v>
      </c>
      <c r="P50" s="37">
        <f>'Function Of Rate'!N$16</f>
        <v>0.40258680715943373</v>
      </c>
      <c r="Q50" s="52">
        <f t="shared" si="2"/>
        <v>-0.16542069140280724</v>
      </c>
      <c r="R50" s="61">
        <f>'Function Of Rate'!N$17</f>
        <v>0.3767105638497712</v>
      </c>
      <c r="S50" s="52">
        <f t="shared" si="3"/>
        <v>-0.16641760723644383</v>
      </c>
      <c r="T50" s="52">
        <f>'Function Of Rate'!N18</f>
        <v>0</v>
      </c>
    </row>
    <row r="51" spans="3:20" s="36" customFormat="1" ht="13.5" customHeight="1" thickBot="1">
      <c r="C51" s="50">
        <f>Query!$B12</f>
        <v>42327</v>
      </c>
      <c r="D51" s="53">
        <f>Query!$C12</f>
        <v>0.47861527230793388</v>
      </c>
      <c r="E51" s="37">
        <f>Query!$C16-Query!C12</f>
        <v>8.4558534618868086E-2</v>
      </c>
      <c r="F51" s="52">
        <f>Query!$C25-Query!C12</f>
        <v>3.1453960810497006E-2</v>
      </c>
      <c r="G51" s="53">
        <f>Query!$D12</f>
        <v>0.44227071864556189</v>
      </c>
      <c r="H51" s="46">
        <f>Query!$D16-Query!D12</f>
        <v>8.0270352578383442E-2</v>
      </c>
      <c r="I51" s="54">
        <f>Query!$D25-Query!D12</f>
        <v>4.5342273728810056E-3</v>
      </c>
      <c r="J51" s="68">
        <f>Query!$E12</f>
        <v>0</v>
      </c>
      <c r="K51" s="56">
        <f ca="1">Query!$F12</f>
        <v>1489</v>
      </c>
      <c r="L51" s="46">
        <f ca="1">(Query!$F16-Query!F12)/Query!F12</f>
        <v>3.7474815312290098E-2</v>
      </c>
      <c r="M51" s="54">
        <f ca="1">(Query!$F25-Query!F12)/Query!F12</f>
        <v>3.7944929482874409E-2</v>
      </c>
      <c r="O51" s="44" t="s">
        <v>56</v>
      </c>
      <c r="P51" s="37">
        <f>'Function Of Rate'!O$16</f>
        <v>0.33462040705764007</v>
      </c>
      <c r="Q51" s="52">
        <f t="shared" si="2"/>
        <v>-0.23338709150460091</v>
      </c>
      <c r="R51" s="61">
        <f>'Function Of Rate'!O$17</f>
        <v>0.34196709950175791</v>
      </c>
      <c r="S51" s="52">
        <f t="shared" si="3"/>
        <v>-0.20116107158445712</v>
      </c>
      <c r="T51" s="52">
        <f>'Function Of Rate'!O18</f>
        <v>0</v>
      </c>
    </row>
    <row r="52" spans="3:20" ht="13.5" customHeight="1" thickBot="1">
      <c r="C52" s="39" t="s">
        <v>75</v>
      </c>
      <c r="H52"/>
      <c r="I52"/>
      <c r="J52"/>
      <c r="L52"/>
      <c r="M52" s="86" t="s">
        <v>77</v>
      </c>
      <c r="O52" s="45" t="s">
        <v>57</v>
      </c>
      <c r="P52" s="46">
        <f>'Function Of Rate'!P$16</f>
        <v>0.28177528893959342</v>
      </c>
      <c r="Q52" s="54">
        <f t="shared" si="2"/>
        <v>-0.28623220962264756</v>
      </c>
      <c r="R52" s="63">
        <f>'Function Of Rate'!P$17</f>
        <v>0.29865465031952421</v>
      </c>
      <c r="S52" s="54">
        <f t="shared" si="3"/>
        <v>-0.24447352076669082</v>
      </c>
      <c r="T52" s="54">
        <f>'Function Of Rate'!P18</f>
        <v>0</v>
      </c>
    </row>
    <row r="53" spans="3:20" ht="12" customHeight="1">
      <c r="C53" s="39" t="s">
        <v>74</v>
      </c>
      <c r="O53" s="107" t="s">
        <v>110</v>
      </c>
      <c r="P53" s="107"/>
      <c r="Q53" s="107"/>
      <c r="R53" s="107"/>
      <c r="S53" s="107"/>
      <c r="T53" s="107"/>
    </row>
    <row r="54" spans="3:20">
      <c r="O54" s="108"/>
      <c r="P54" s="108"/>
      <c r="Q54" s="108"/>
      <c r="R54" s="108"/>
      <c r="S54" s="108"/>
      <c r="T54" s="108"/>
    </row>
    <row r="55" spans="3:20" ht="15">
      <c r="D55"/>
      <c r="E55"/>
      <c r="F55"/>
      <c r="G55"/>
      <c r="H55"/>
      <c r="I55"/>
      <c r="J55"/>
    </row>
    <row r="56" spans="3:20" ht="15">
      <c r="D56"/>
      <c r="E56"/>
      <c r="F56"/>
      <c r="G56"/>
      <c r="H56"/>
      <c r="I56"/>
      <c r="J56"/>
    </row>
    <row r="57" spans="3:20" ht="15">
      <c r="D57"/>
      <c r="E57"/>
      <c r="F57"/>
      <c r="G57"/>
      <c r="H57"/>
      <c r="I57"/>
      <c r="J57"/>
    </row>
    <row r="58" spans="3:20" ht="15">
      <c r="D58"/>
      <c r="E58"/>
      <c r="F58"/>
      <c r="G58"/>
      <c r="H58"/>
      <c r="I58"/>
      <c r="J58"/>
      <c r="K58" s="17"/>
    </row>
    <row r="59" spans="3:20" ht="15">
      <c r="D59"/>
      <c r="E59"/>
      <c r="F59"/>
      <c r="G59"/>
      <c r="H59"/>
      <c r="I59"/>
      <c r="J59"/>
    </row>
    <row r="61" spans="3:20">
      <c r="D61" s="15"/>
      <c r="E61" s="16"/>
      <c r="F61" s="16"/>
      <c r="G61" s="17"/>
      <c r="H61" s="17"/>
      <c r="I61" s="17"/>
      <c r="J61" s="17"/>
      <c r="K61" s="17"/>
    </row>
    <row r="81" spans="3:23" ht="15">
      <c r="C81" s="5" t="s">
        <v>18</v>
      </c>
      <c r="E81" s="26" t="s">
        <v>21</v>
      </c>
      <c r="F81" s="27">
        <f>AA56</f>
        <v>0</v>
      </c>
    </row>
    <row r="82" spans="3:23">
      <c r="C82" s="20" t="s">
        <v>0</v>
      </c>
      <c r="D82" s="21" t="s">
        <v>17</v>
      </c>
      <c r="E82" s="21" t="s">
        <v>14</v>
      </c>
      <c r="F82" s="22" t="s">
        <v>20</v>
      </c>
    </row>
    <row r="83" spans="3:23">
      <c r="C83" s="20">
        <v>1</v>
      </c>
      <c r="D83" s="23" t="e">
        <f t="array" ref="D83">VLOOKUP(C83&amp;$AA$9,IF({1,0},#REF!&amp;#REF!,#REF!),2,0)</f>
        <v>#N/A</v>
      </c>
      <c r="E83" s="24" t="e">
        <f t="array" ref="E83">VLOOKUP(C83&amp;$AA$9,IF({1,0},#REF!&amp;#REF!,#REF!),2,0)/VLOOKUP($AA$9,#REF!,2,0)</f>
        <v>#N/A</v>
      </c>
      <c r="F83" s="25" t="e">
        <f t="array" ref="F83">VLOOKUP(C83&amp;$AA$9,IF({1,0},#REF!&amp;#REF!,#REF!),2,0)/1000000</f>
        <v>#N/A</v>
      </c>
    </row>
    <row r="84" spans="3:23">
      <c r="C84" s="20">
        <v>2</v>
      </c>
      <c r="D84" s="23" t="e">
        <f t="array" ref="D84">VLOOKUP(C84&amp;$AA$9,IF({1,0},#REF!&amp;#REF!,#REF!),2,0)</f>
        <v>#N/A</v>
      </c>
      <c r="E84" s="24" t="e">
        <f t="array" ref="E84">VLOOKUP(C84&amp;$AA$9,IF({1,0},#REF!&amp;#REF!,#REF!),2,0)/VLOOKUP($AA$9,#REF!,2,0)</f>
        <v>#N/A</v>
      </c>
      <c r="F84" s="25" t="e">
        <f t="array" ref="F84">VLOOKUP(C84&amp;$AA$9,IF({1,0},#REF!&amp;#REF!,#REF!),2,0)/1000000</f>
        <v>#N/A</v>
      </c>
    </row>
    <row r="85" spans="3:23">
      <c r="C85" s="20">
        <v>3</v>
      </c>
      <c r="D85" s="23" t="e">
        <f t="array" ref="D85">VLOOKUP(C85&amp;$AA$9,IF({1,0},#REF!&amp;#REF!,#REF!),2,0)</f>
        <v>#N/A</v>
      </c>
      <c r="E85" s="24" t="e">
        <f t="array" ref="E85">VLOOKUP(C85&amp;$AA$9,IF({1,0},#REF!&amp;#REF!,#REF!),2,0)/VLOOKUP($AA$9,#REF!,2,0)</f>
        <v>#N/A</v>
      </c>
      <c r="F85" s="25" t="e">
        <f t="array" ref="F85">VLOOKUP(C85&amp;$AA$9,IF({1,0},#REF!&amp;#REF!,#REF!),2,0)/1000000</f>
        <v>#N/A</v>
      </c>
    </row>
    <row r="86" spans="3:23">
      <c r="C86" s="20">
        <v>4</v>
      </c>
      <c r="D86" s="23" t="e">
        <f t="array" ref="D86">VLOOKUP(C86&amp;$AA$9,IF({1,0},#REF!&amp;#REF!,#REF!),2,0)</f>
        <v>#N/A</v>
      </c>
      <c r="E86" s="24" t="e">
        <f t="array" ref="E86">VLOOKUP(C86&amp;$AA$9,IF({1,0},#REF!&amp;#REF!,#REF!),2,0)/VLOOKUP($AA$9,#REF!,2,0)</f>
        <v>#N/A</v>
      </c>
      <c r="F86" s="25" t="e">
        <f t="array" ref="F86">VLOOKUP(C86&amp;$AA$9,IF({1,0},#REF!&amp;#REF!,#REF!),2,0)/1000000</f>
        <v>#N/A</v>
      </c>
      <c r="Q86" s="10" t="s">
        <v>11</v>
      </c>
      <c r="R86" s="11" t="s">
        <v>7</v>
      </c>
      <c r="S86" s="11"/>
      <c r="T86" s="11"/>
      <c r="V86" s="11"/>
      <c r="W86" s="11"/>
    </row>
    <row r="87" spans="3:23">
      <c r="C87" s="20">
        <v>5</v>
      </c>
      <c r="D87" s="23" t="e">
        <f t="array" ref="D87">VLOOKUP(C87&amp;$AA$9,IF({1,0},#REF!&amp;#REF!,#REF!),2,0)</f>
        <v>#N/A</v>
      </c>
      <c r="E87" s="24" t="e">
        <f t="array" ref="E87">VLOOKUP(C87&amp;$AA$9,IF({1,0},#REF!&amp;#REF!,#REF!),2,0)/VLOOKUP($AA$9,#REF!,2,0)</f>
        <v>#N/A</v>
      </c>
      <c r="F87" s="25" t="e">
        <f t="array" ref="F87">VLOOKUP(C87&amp;$AA$9,IF({1,0},#REF!&amp;#REF!,#REF!),2,0)/1000000</f>
        <v>#N/A</v>
      </c>
      <c r="R87" s="11" t="s">
        <v>8</v>
      </c>
      <c r="S87" s="11"/>
      <c r="T87" s="11"/>
      <c r="V87" s="11"/>
      <c r="W87" s="11"/>
    </row>
    <row r="88" spans="3:23">
      <c r="C88" s="20">
        <v>6</v>
      </c>
      <c r="D88" s="23" t="e">
        <f t="array" ref="D88">VLOOKUP(C88&amp;$AA$9,IF({1,0},#REF!&amp;#REF!,#REF!),2,0)</f>
        <v>#N/A</v>
      </c>
      <c r="E88" s="24" t="e">
        <f t="array" ref="E88">VLOOKUP(C88&amp;$AA$9,IF({1,0},#REF!&amp;#REF!,#REF!),2,0)/VLOOKUP($AA$9,#REF!,2,0)</f>
        <v>#N/A</v>
      </c>
      <c r="F88" s="25" t="e">
        <f t="array" ref="F88">VLOOKUP(C88&amp;$AA$9,IF({1,0},#REF!&amp;#REF!,#REF!),2,0)/1000000</f>
        <v>#N/A</v>
      </c>
      <c r="R88" s="11" t="s">
        <v>9</v>
      </c>
      <c r="S88" s="11"/>
      <c r="T88" s="11"/>
      <c r="V88" s="11"/>
      <c r="W88" s="11"/>
    </row>
    <row r="89" spans="3:23">
      <c r="C89" s="20">
        <v>7</v>
      </c>
      <c r="D89" s="23" t="e">
        <f t="array" ref="D89">VLOOKUP(C89&amp;$AA$9,IF({1,0},#REF!&amp;#REF!,#REF!),2,0)</f>
        <v>#N/A</v>
      </c>
      <c r="E89" s="24" t="e">
        <f t="array" ref="E89">VLOOKUP(C89&amp;$AA$9,IF({1,0},#REF!&amp;#REF!,#REF!),2,0)/VLOOKUP($AA$9,#REF!,2,0)</f>
        <v>#N/A</v>
      </c>
      <c r="F89" s="25" t="e">
        <f t="array" ref="F89">VLOOKUP(C89&amp;$AA$9,IF({1,0},#REF!&amp;#REF!,#REF!),2,0)/1000000</f>
        <v>#N/A</v>
      </c>
      <c r="R89" s="12" t="s">
        <v>10</v>
      </c>
      <c r="S89" s="12"/>
      <c r="T89" s="12"/>
      <c r="V89" s="12"/>
      <c r="W89" s="12"/>
    </row>
    <row r="90" spans="3:23">
      <c r="C90" s="20">
        <v>8</v>
      </c>
      <c r="D90" s="23" t="e">
        <f t="array" ref="D90">VLOOKUP(C90&amp;$AA$9,IF({1,0},#REF!&amp;#REF!,#REF!),2,0)</f>
        <v>#N/A</v>
      </c>
      <c r="E90" s="24" t="e">
        <f t="array" ref="E90">VLOOKUP(C90&amp;$AA$9,IF({1,0},#REF!&amp;#REF!,#REF!),2,0)/VLOOKUP($AA$9,#REF!,2,0)</f>
        <v>#N/A</v>
      </c>
      <c r="F90" s="25" t="e">
        <f t="array" ref="F90">VLOOKUP(C90&amp;$AA$9,IF({1,0},#REF!&amp;#REF!,#REF!),2,0)/1000000</f>
        <v>#N/A</v>
      </c>
    </row>
    <row r="91" spans="3:23">
      <c r="C91" s="20">
        <v>9</v>
      </c>
      <c r="D91" s="23" t="e">
        <f t="array" ref="D91">VLOOKUP(C91&amp;$AA$9,IF({1,0},#REF!&amp;#REF!,#REF!),2,0)</f>
        <v>#N/A</v>
      </c>
      <c r="E91" s="24" t="e">
        <f t="array" ref="E91">VLOOKUP(C91&amp;$AA$9,IF({1,0},#REF!&amp;#REF!,#REF!),2,0)/VLOOKUP($AA$9,#REF!,2,0)</f>
        <v>#N/A</v>
      </c>
      <c r="F91" s="25" t="e">
        <f t="array" ref="F91">VLOOKUP(C91&amp;$AA$9,IF({1,0},#REF!&amp;#REF!,#REF!),2,0)/1000000</f>
        <v>#N/A</v>
      </c>
    </row>
    <row r="92" spans="3:23">
      <c r="C92" s="20">
        <v>10</v>
      </c>
      <c r="D92" s="23" t="e">
        <f t="array" ref="D92">VLOOKUP(C92&amp;$AA$9,IF({1,0},#REF!&amp;#REF!,#REF!),2,0)</f>
        <v>#N/A</v>
      </c>
      <c r="E92" s="24" t="e">
        <f t="array" ref="E92">VLOOKUP(C92&amp;$AA$9,IF({1,0},#REF!&amp;#REF!,#REF!),2,0)/VLOOKUP($AA$9,#REF!,2,0)</f>
        <v>#N/A</v>
      </c>
      <c r="F92" s="25" t="e">
        <f t="array" ref="F92">VLOOKUP(C92&amp;$AA$9,IF({1,0},#REF!&amp;#REF!,#REF!),2,0)/1000000</f>
        <v>#N/A</v>
      </c>
    </row>
  </sheetData>
  <mergeCells count="7">
    <mergeCell ref="O53:T54"/>
    <mergeCell ref="T40:T41"/>
    <mergeCell ref="D40:F40"/>
    <mergeCell ref="G40:I40"/>
    <mergeCell ref="K40:M40"/>
    <mergeCell ref="P40:Q40"/>
    <mergeCell ref="R40:S40"/>
  </mergeCells>
  <conditionalFormatting sqref="E42:F51">
    <cfRule type="cellIs" dxfId="67" priority="28" operator="lessThan">
      <formula>0</formula>
    </cfRule>
  </conditionalFormatting>
  <conditionalFormatting sqref="H42:H51">
    <cfRule type="cellIs" dxfId="66" priority="27" operator="lessThan">
      <formula>0</formula>
    </cfRule>
  </conditionalFormatting>
  <conditionalFormatting sqref="L42:L51">
    <cfRule type="cellIs" dxfId="65" priority="26" operator="lessThan">
      <formula>0</formula>
    </cfRule>
  </conditionalFormatting>
  <conditionalFormatting sqref="I42:J51">
    <cfRule type="cellIs" dxfId="64" priority="25" operator="lessThan">
      <formula>0</formula>
    </cfRule>
  </conditionalFormatting>
  <conditionalFormatting sqref="M42:M51">
    <cfRule type="cellIs" dxfId="63" priority="24" operator="lessThan">
      <formula>0</formula>
    </cfRule>
  </conditionalFormatting>
  <conditionalFormatting sqref="D42:M51">
    <cfRule type="containsErrors" dxfId="62" priority="22">
      <formula>ISERROR(D42)</formula>
    </cfRule>
    <cfRule type="containsErrors" priority="23">
      <formula>ISERROR(D42)</formula>
    </cfRule>
  </conditionalFormatting>
  <conditionalFormatting sqref="Q42:Q52">
    <cfRule type="cellIs" dxfId="61" priority="21" operator="lessThan">
      <formula>0</formula>
    </cfRule>
  </conditionalFormatting>
  <conditionalFormatting sqref="Q42:Q52">
    <cfRule type="containsErrors" dxfId="60" priority="19">
      <formula>ISERROR(Q42)</formula>
    </cfRule>
    <cfRule type="containsErrors" priority="20">
      <formula>ISERROR(Q42)</formula>
    </cfRule>
  </conditionalFormatting>
  <conditionalFormatting sqref="P42:Q42 P42:P52">
    <cfRule type="cellIs" dxfId="59" priority="18" operator="lessThan">
      <formula>0</formula>
    </cfRule>
  </conditionalFormatting>
  <conditionalFormatting sqref="P42:Q42 P42:P52">
    <cfRule type="containsErrors" dxfId="58" priority="16">
      <formula>ISERROR(P42)</formula>
    </cfRule>
    <cfRule type="containsErrors" priority="17">
      <formula>ISERROR(P42)</formula>
    </cfRule>
  </conditionalFormatting>
  <conditionalFormatting sqref="R42:S42 R43:R52">
    <cfRule type="containsErrors" dxfId="57" priority="10">
      <formula>ISERROR(R42)</formula>
    </cfRule>
    <cfRule type="containsErrors" priority="11">
      <formula>ISERROR(R42)</formula>
    </cfRule>
  </conditionalFormatting>
  <conditionalFormatting sqref="S42:S52">
    <cfRule type="cellIs" dxfId="56" priority="15" operator="lessThan">
      <formula>0</formula>
    </cfRule>
  </conditionalFormatting>
  <conditionalFormatting sqref="S42:S52">
    <cfRule type="containsErrors" dxfId="55" priority="13">
      <formula>ISERROR(S42)</formula>
    </cfRule>
    <cfRule type="containsErrors" priority="14">
      <formula>ISERROR(S42)</formula>
    </cfRule>
  </conditionalFormatting>
  <conditionalFormatting sqref="R42:S42 R43:R52">
    <cfRule type="cellIs" dxfId="54" priority="12" operator="lessThan">
      <formula>0</formula>
    </cfRule>
  </conditionalFormatting>
  <conditionalFormatting sqref="J42:J51">
    <cfRule type="cellIs" dxfId="53" priority="9" operator="greaterThan">
      <formula>0.001</formula>
    </cfRule>
  </conditionalFormatting>
  <conditionalFormatting sqref="T42">
    <cfRule type="containsErrors" dxfId="52" priority="3">
      <formula>ISERROR(T42)</formula>
    </cfRule>
    <cfRule type="containsErrors" priority="4">
      <formula>ISERROR(T42)</formula>
    </cfRule>
  </conditionalFormatting>
  <conditionalFormatting sqref="T42:T52">
    <cfRule type="cellIs" dxfId="51" priority="8" operator="lessThan">
      <formula>0</formula>
    </cfRule>
  </conditionalFormatting>
  <conditionalFormatting sqref="T42:T52">
    <cfRule type="containsErrors" dxfId="50" priority="6">
      <formula>ISERROR(T42)</formula>
    </cfRule>
    <cfRule type="containsErrors" priority="7">
      <formula>ISERROR(T42)</formula>
    </cfRule>
  </conditionalFormatting>
  <conditionalFormatting sqref="T42">
    <cfRule type="cellIs" dxfId="49" priority="5" operator="lessThan">
      <formula>0</formula>
    </cfRule>
  </conditionalFormatting>
  <conditionalFormatting sqref="M42:M50">
    <cfRule type="cellIs" dxfId="48" priority="2" operator="lessThan">
      <formula>0</formula>
    </cfRule>
  </conditionalFormatting>
  <conditionalFormatting sqref="H42:H51">
    <cfRule type="cellIs" dxfId="47" priority="1" operator="lessThan">
      <formula>0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hyperlinks>
    <hyperlink ref="R86" r:id="rId1" location="closeModal"/>
    <hyperlink ref="R87" r:id="rId2"/>
    <hyperlink ref="R89" r:id="rId3"/>
    <hyperlink ref="R88" r:id="rId4" location="key-benefits"/>
  </hyperlinks>
  <pageMargins left="0.25" right="0.25" top="0.255" bottom="0.25" header="0.1" footer="0.1"/>
  <pageSetup scale="32" orientation="landscape" horizontalDpi="1200" verticalDpi="1200" r:id="rId5"/>
  <headerFooter scaleWithDoc="0">
    <oddHeader>&amp;L&amp;G&amp;C&amp;"-,Bold"&amp;10&amp;K2E398A
&amp;15Refinancible Universe&amp;R&amp;"-,Bold"&amp;10&amp;K2E398A
As of 01/27/2016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T268"/>
  <sheetViews>
    <sheetView tabSelected="1" topLeftCell="J246" zoomScaleNormal="100" workbookViewId="0">
      <selection activeCell="O268" sqref="O268:P268"/>
    </sheetView>
  </sheetViews>
  <sheetFormatPr defaultRowHeight="15"/>
  <cols>
    <col min="2" max="2" width="10.42578125" bestFit="1" customWidth="1"/>
    <col min="6" max="6" width="10.7109375" bestFit="1" customWidth="1"/>
    <col min="7" max="7" width="17.5703125" bestFit="1" customWidth="1"/>
    <col min="8" max="8" width="10.7109375" bestFit="1" customWidth="1"/>
    <col min="9" max="9" width="12.85546875" bestFit="1" customWidth="1"/>
    <col min="11" max="11" width="19.42578125" customWidth="1"/>
    <col min="15" max="15" width="10.7109375" bestFit="1" customWidth="1"/>
    <col min="16" max="16" width="12.85546875" bestFit="1" customWidth="1"/>
    <col min="17" max="17" width="11.7109375" bestFit="1" customWidth="1"/>
  </cols>
  <sheetData>
    <row r="1" spans="2:20">
      <c r="B1" t="s">
        <v>28</v>
      </c>
      <c r="H1" t="s">
        <v>25</v>
      </c>
      <c r="K1" t="s">
        <v>34</v>
      </c>
      <c r="O1" t="s">
        <v>78</v>
      </c>
      <c r="S1" t="s">
        <v>79</v>
      </c>
    </row>
    <row r="2" spans="2:20">
      <c r="B2" s="6" t="s">
        <v>22</v>
      </c>
      <c r="C2" s="6" t="s">
        <v>23</v>
      </c>
      <c r="D2" s="6" t="s">
        <v>25</v>
      </c>
      <c r="E2" s="6" t="s">
        <v>81</v>
      </c>
      <c r="F2" s="6" t="s">
        <v>76</v>
      </c>
      <c r="H2" t="s">
        <v>22</v>
      </c>
      <c r="I2" t="s">
        <v>24</v>
      </c>
      <c r="K2" s="6" t="s">
        <v>22</v>
      </c>
      <c r="L2" s="6" t="s">
        <v>24</v>
      </c>
      <c r="O2" t="s">
        <v>22</v>
      </c>
      <c r="P2" t="s">
        <v>80</v>
      </c>
      <c r="S2" s="6" t="s">
        <v>22</v>
      </c>
      <c r="T2" s="6" t="s">
        <v>23</v>
      </c>
    </row>
    <row r="3" spans="2:20">
      <c r="B3" s="18">
        <v>42390</v>
      </c>
      <c r="C3" s="30">
        <v>0.53686726891255199</v>
      </c>
      <c r="D3" s="30">
        <f>VLOOKUP(CurrentMtgRatesDataTable825[[#This Row],[asOfDate]],H:I,2,0)</f>
        <v>0.51058732016564734</v>
      </c>
      <c r="E3" s="30">
        <f>VLOOKUP(CurrentMtgRatesDataTable825[[#This Row],[asOfDate]],O:P,2,0)</f>
        <v>5.9883323412895321E-3</v>
      </c>
      <c r="F3" s="34" t="e">
        <f ca="1">VLOOKUP(CurrentMtgRatesDataTable825[[#This Row],[asOfDate]]+1,Bloomberg!B:C,2,0)</f>
        <v>#N/A</v>
      </c>
      <c r="H3" s="1">
        <v>40549</v>
      </c>
      <c r="I3" s="33">
        <v>0.477996028899563</v>
      </c>
      <c r="K3" s="18"/>
      <c r="L3" s="31"/>
      <c r="O3" s="1">
        <v>40549</v>
      </c>
      <c r="P3" s="33">
        <v>0</v>
      </c>
      <c r="S3" s="18"/>
      <c r="T3" s="102"/>
    </row>
    <row r="4" spans="2:20">
      <c r="B4" s="95">
        <v>42383</v>
      </c>
      <c r="C4" s="96">
        <v>0.48424776223671406</v>
      </c>
      <c r="D4" s="96">
        <f>VLOOKUP(CurrentMtgRatesDataTable825[[#This Row],[asOfDate]],H:I,2,0)</f>
        <v>0.44103197340208022</v>
      </c>
      <c r="E4" s="96">
        <f>VLOOKUP(CurrentMtgRatesDataTable825[[#This Row],[asOfDate]],O:P,2,0)</f>
        <v>1.567204072611725E-3</v>
      </c>
      <c r="F4" s="97" t="e">
        <f ca="1">VLOOKUP(CurrentMtgRatesDataTable825[[#This Row],[asOfDate]]+1,Bloomberg!B:C,2,0)</f>
        <v>#N/A</v>
      </c>
      <c r="H4" s="1">
        <v>40556</v>
      </c>
      <c r="I4" s="33">
        <v>0.49650185657562101</v>
      </c>
      <c r="O4" s="1">
        <v>40556</v>
      </c>
      <c r="P4" s="33">
        <v>5.80030998251819E-5</v>
      </c>
    </row>
    <row r="5" spans="2:20">
      <c r="B5" s="95">
        <v>42376</v>
      </c>
      <c r="C5" s="96">
        <v>0.46862901952602543</v>
      </c>
      <c r="D5" s="96" t="e">
        <f>VLOOKUP(CurrentMtgRatesDataTable825[[#This Row],[asOfDate]],H:I,2,0)</f>
        <v>#N/A</v>
      </c>
      <c r="E5" s="96" t="e">
        <f>VLOOKUP(CurrentMtgRatesDataTable825[[#This Row],[asOfDate]],O:P,2,0)</f>
        <v>#N/A</v>
      </c>
      <c r="F5" s="97">
        <f ca="1">VLOOKUP(CurrentMtgRatesDataTable825[[#This Row],[asOfDate]]+1,Bloomberg!B:C,2,0)</f>
        <v>1273.8</v>
      </c>
      <c r="H5" s="1">
        <v>40563</v>
      </c>
      <c r="I5" s="33">
        <v>0.48029569588235599</v>
      </c>
      <c r="O5" s="1">
        <v>40563</v>
      </c>
      <c r="P5" s="33">
        <v>0</v>
      </c>
    </row>
    <row r="6" spans="2:20">
      <c r="B6" s="95">
        <v>42369</v>
      </c>
      <c r="C6" s="96">
        <v>0.44657507929969392</v>
      </c>
      <c r="D6" s="96">
        <f>VLOOKUP(CurrentMtgRatesDataTable825[[#This Row],[asOfDate]],H:I,2,0)</f>
        <v>0.41128790488114564</v>
      </c>
      <c r="E6" s="96">
        <f>VLOOKUP(CurrentMtgRatesDataTable825[[#This Row],[asOfDate]],O:P,2,0)</f>
        <v>0</v>
      </c>
      <c r="F6" s="97">
        <f ca="1">VLOOKUP(CurrentMtgRatesDataTable825[[#This Row],[asOfDate]]+1,Bloomberg!B:C,2,0)</f>
        <v>1020.5</v>
      </c>
      <c r="H6" s="1">
        <v>40570</v>
      </c>
      <c r="I6" s="33">
        <v>0.47679593730615699</v>
      </c>
      <c r="O6" s="1">
        <v>40570</v>
      </c>
      <c r="P6" s="33">
        <v>0</v>
      </c>
    </row>
    <row r="7" spans="2:20">
      <c r="B7" s="95">
        <v>42362</v>
      </c>
      <c r="C7" s="96">
        <v>0.47802441207346119</v>
      </c>
      <c r="D7" s="96">
        <f>VLOOKUP(CurrentMtgRatesDataTable825[[#This Row],[asOfDate]],H:I,2,0)</f>
        <v>0.44353361272975167</v>
      </c>
      <c r="E7" s="96">
        <f>VLOOKUP(CurrentMtgRatesDataTable825[[#This Row],[asOfDate]],O:P,2,0)</f>
        <v>0</v>
      </c>
      <c r="F7" s="97">
        <f ca="1">VLOOKUP(CurrentMtgRatesDataTable825[[#This Row],[asOfDate]]+1,Bloomberg!B:C,2,0)</f>
        <v>1174.0999999999999</v>
      </c>
      <c r="H7" s="1">
        <v>40577</v>
      </c>
      <c r="I7" s="33">
        <v>0.43462013043084002</v>
      </c>
      <c r="O7" s="1">
        <v>40577</v>
      </c>
      <c r="P7" s="33">
        <v>0</v>
      </c>
    </row>
    <row r="8" spans="2:20">
      <c r="B8" s="95">
        <v>42355</v>
      </c>
      <c r="C8" s="96">
        <v>0.4742419215656577</v>
      </c>
      <c r="D8" s="96">
        <f>VLOOKUP(CurrentMtgRatesDataTable825[[#This Row],[asOfDate]],H:I,2,0)</f>
        <v>0.4426892560799261</v>
      </c>
      <c r="E8" s="96">
        <f>VLOOKUP(CurrentMtgRatesDataTable825[[#This Row],[asOfDate]],O:P,2,0)</f>
        <v>0</v>
      </c>
      <c r="F8" s="97">
        <f ca="1">VLOOKUP(CurrentMtgRatesDataTable825[[#This Row],[asOfDate]]+1,Bloomberg!B:C,2,0)</f>
        <v>1667.4</v>
      </c>
      <c r="H8" s="1">
        <v>40584</v>
      </c>
      <c r="I8" s="33">
        <v>0.35529176669040102</v>
      </c>
      <c r="O8" s="1">
        <v>40584</v>
      </c>
      <c r="P8" s="33">
        <v>0</v>
      </c>
    </row>
    <row r="9" spans="2:20">
      <c r="B9" s="95">
        <v>42348</v>
      </c>
      <c r="C9" s="96">
        <v>0.48108278915877944</v>
      </c>
      <c r="D9" s="96">
        <f>VLOOKUP(CurrentMtgRatesDataTable825[[#This Row],[asOfDate]],H:I,2,0)</f>
        <v>0.44439599984148415</v>
      </c>
      <c r="E9" s="96">
        <f>VLOOKUP(CurrentMtgRatesDataTable825[[#This Row],[asOfDate]],O:P,2,0)</f>
        <v>0</v>
      </c>
      <c r="F9" s="97">
        <f ca="1">VLOOKUP(CurrentMtgRatesDataTable825[[#This Row],[asOfDate]]+1,Bloomberg!B:C,2,0)</f>
        <v>1470.6</v>
      </c>
      <c r="H9" s="1">
        <v>40591</v>
      </c>
      <c r="I9" s="33">
        <v>0.37678804128174298</v>
      </c>
      <c r="O9" s="1">
        <v>40591</v>
      </c>
      <c r="P9" s="33">
        <v>0</v>
      </c>
    </row>
    <row r="10" spans="2:20">
      <c r="B10" s="95">
        <v>42341</v>
      </c>
      <c r="C10" s="96">
        <v>0.48721504831495865</v>
      </c>
      <c r="D10" s="96">
        <f>VLOOKUP(CurrentMtgRatesDataTable825[[#This Row],[asOfDate]],H:I,2,0)</f>
        <v>0.44656607927794312</v>
      </c>
      <c r="E10" s="96">
        <f>VLOOKUP(CurrentMtgRatesDataTable825[[#This Row],[asOfDate]],O:P,2,0)</f>
        <v>0</v>
      </c>
      <c r="F10" s="97">
        <f ca="1">VLOOKUP(CurrentMtgRatesDataTable825[[#This Row],[asOfDate]]+1,Bloomberg!B:C,2,0)</f>
        <v>1451.5</v>
      </c>
      <c r="H10" s="1">
        <v>40598</v>
      </c>
      <c r="I10" s="33">
        <v>0.41551493659156002</v>
      </c>
      <c r="O10" s="1">
        <v>40598</v>
      </c>
      <c r="P10" s="33">
        <v>0</v>
      </c>
    </row>
    <row r="11" spans="2:20">
      <c r="B11" s="95">
        <v>42333</v>
      </c>
      <c r="C11" s="96">
        <v>0.47590352827743421</v>
      </c>
      <c r="D11" s="96">
        <f>VLOOKUP(CurrentMtgRatesDataTable825[[#This Row],[asOfDate]],H:I,2,0)</f>
        <v>0.44809866053416347</v>
      </c>
      <c r="E11" s="96">
        <f>VLOOKUP(CurrentMtgRatesDataTable825[[#This Row],[asOfDate]],O:P,2,0)</f>
        <v>0</v>
      </c>
      <c r="F11" s="97">
        <f ca="1">VLOOKUP(CurrentMtgRatesDataTable825[[#This Row],[asOfDate]]+1,Bloomberg!B:C,2,0)</f>
        <v>1410.2</v>
      </c>
      <c r="H11" s="1">
        <v>40605</v>
      </c>
      <c r="I11" s="33">
        <v>0.42215163100202302</v>
      </c>
      <c r="O11" s="1">
        <v>40605</v>
      </c>
      <c r="P11" s="33">
        <v>0</v>
      </c>
    </row>
    <row r="12" spans="2:20">
      <c r="B12" s="95">
        <v>42327</v>
      </c>
      <c r="C12" s="96">
        <v>0.47861527230793388</v>
      </c>
      <c r="D12" s="96">
        <f>VLOOKUP(CurrentMtgRatesDataTable825[[#This Row],[asOfDate]],H:I,2,0)</f>
        <v>0.44227071864556189</v>
      </c>
      <c r="E12" s="96">
        <f>VLOOKUP(CurrentMtgRatesDataTable825[[#This Row],[asOfDate]],O:P,2,0)</f>
        <v>0</v>
      </c>
      <c r="F12" s="97">
        <f ca="1">VLOOKUP(CurrentMtgRatesDataTable825[[#This Row],[asOfDate]]+1,Bloomberg!B:C,2,0)</f>
        <v>1489</v>
      </c>
      <c r="H12" s="1">
        <v>40612</v>
      </c>
      <c r="I12" s="33">
        <v>0.42124985629360401</v>
      </c>
      <c r="O12" s="1">
        <v>40612</v>
      </c>
      <c r="P12" s="33">
        <v>0</v>
      </c>
    </row>
    <row r="13" spans="2:20">
      <c r="B13" s="95">
        <v>42320</v>
      </c>
      <c r="C13" s="96">
        <v>0.4725306175940911</v>
      </c>
      <c r="D13" s="96">
        <f>VLOOKUP(CurrentMtgRatesDataTable825[[#This Row],[asOfDate]],H:I,2,0)</f>
        <v>0.41424676173976599</v>
      </c>
      <c r="E13" s="96">
        <f>VLOOKUP(CurrentMtgRatesDataTable825[[#This Row],[asOfDate]],O:P,2,0)</f>
        <v>0</v>
      </c>
      <c r="F13" s="97">
        <f ca="1">VLOOKUP(CurrentMtgRatesDataTable825[[#This Row],[asOfDate]]+1,Bloomberg!B:C,2,0)</f>
        <v>1528.7</v>
      </c>
      <c r="H13" s="1">
        <v>40619</v>
      </c>
      <c r="I13" s="33">
        <v>0.46784663358763601</v>
      </c>
      <c r="O13" s="1">
        <v>40619</v>
      </c>
      <c r="P13" s="33">
        <v>4.9225242343752603E-4</v>
      </c>
    </row>
    <row r="14" spans="2:20">
      <c r="B14" s="95">
        <v>42313</v>
      </c>
      <c r="C14" s="96">
        <v>0.51511509569715663</v>
      </c>
      <c r="D14" s="96">
        <f>VLOOKUP(CurrentMtgRatesDataTable825[[#This Row],[asOfDate]],H:I,2,0)</f>
        <v>0.47756205149100972</v>
      </c>
      <c r="E14" s="96">
        <f>VLOOKUP(CurrentMtgRatesDataTable825[[#This Row],[asOfDate]],O:P,2,0)</f>
        <v>0</v>
      </c>
      <c r="F14" s="97">
        <f ca="1">VLOOKUP(CurrentMtgRatesDataTable825[[#This Row],[asOfDate]]+1,Bloomberg!B:C,2,0)</f>
        <v>1514.1</v>
      </c>
      <c r="H14" s="1">
        <v>40626</v>
      </c>
      <c r="I14" s="33">
        <v>0.450158099668103</v>
      </c>
      <c r="O14" s="1">
        <v>40626</v>
      </c>
      <c r="P14" s="33">
        <v>0</v>
      </c>
    </row>
    <row r="15" spans="2:20">
      <c r="B15" s="95">
        <v>42306</v>
      </c>
      <c r="C15" s="96">
        <v>0.57894029457192531</v>
      </c>
      <c r="D15" s="96">
        <f>VLOOKUP(CurrentMtgRatesDataTable825[[#This Row],[asOfDate]],H:I,2,0)</f>
        <v>0.55255659565598092</v>
      </c>
      <c r="E15" s="96">
        <f>VLOOKUP(CurrentMtgRatesDataTable825[[#This Row],[asOfDate]],O:P,2,0)</f>
        <v>0</v>
      </c>
      <c r="F15" s="97">
        <f ca="1">VLOOKUP(CurrentMtgRatesDataTable825[[#This Row],[asOfDate]]+1,Bloomberg!B:C,2,0)</f>
        <v>1548.6</v>
      </c>
      <c r="H15" s="1">
        <v>40633</v>
      </c>
      <c r="I15" s="33">
        <v>0.42282958858632702</v>
      </c>
      <c r="O15" s="1">
        <v>40633</v>
      </c>
      <c r="P15" s="33">
        <v>0</v>
      </c>
    </row>
    <row r="16" spans="2:20">
      <c r="B16" s="95">
        <v>42299</v>
      </c>
      <c r="C16" s="96">
        <v>0.56317380692680197</v>
      </c>
      <c r="D16" s="96">
        <f>VLOOKUP(CurrentMtgRatesDataTable825[[#This Row],[asOfDate]],H:I,2,0)</f>
        <v>0.52254107122394533</v>
      </c>
      <c r="E16" s="96">
        <f>VLOOKUP(CurrentMtgRatesDataTable825[[#This Row],[asOfDate]],O:P,2,0)</f>
        <v>0</v>
      </c>
      <c r="F16" s="97">
        <f ca="1">VLOOKUP(CurrentMtgRatesDataTable825[[#This Row],[asOfDate]]+1,Bloomberg!B:C,2,0)</f>
        <v>1544.8</v>
      </c>
      <c r="H16" s="1">
        <v>40640</v>
      </c>
      <c r="I16" s="33">
        <v>0.414778538159287</v>
      </c>
      <c r="O16" s="1">
        <v>40640</v>
      </c>
      <c r="P16" s="33">
        <v>0</v>
      </c>
    </row>
    <row r="17" spans="2:16">
      <c r="B17" s="95">
        <v>42292</v>
      </c>
      <c r="C17" s="96">
        <v>0.54767612302289337</v>
      </c>
      <c r="D17" s="96">
        <f>VLOOKUP(CurrentMtgRatesDataTable825[[#This Row],[asOfDate]],H:I,2,0)</f>
        <v>0.52010113675112479</v>
      </c>
      <c r="E17" s="96">
        <f>VLOOKUP(CurrentMtgRatesDataTable825[[#This Row],[asOfDate]],O:P,2,0)</f>
        <v>0</v>
      </c>
      <c r="F17" s="97">
        <f ca="1">VLOOKUP(CurrentMtgRatesDataTable825[[#This Row],[asOfDate]]+1,Bloomberg!B:C,2,0)</f>
        <v>1575.3</v>
      </c>
      <c r="H17" s="1">
        <v>40647</v>
      </c>
      <c r="I17" s="33">
        <v>0.41340612440810998</v>
      </c>
      <c r="O17" s="1">
        <v>40647</v>
      </c>
      <c r="P17" s="33">
        <v>0</v>
      </c>
    </row>
    <row r="18" spans="2:16">
      <c r="B18" s="95">
        <v>42285</v>
      </c>
      <c r="C18" s="96">
        <v>0.57894029457192531</v>
      </c>
      <c r="D18" s="96">
        <f>VLOOKUP(CurrentMtgRatesDataTable825[[#This Row],[asOfDate]],H:I,2,0)</f>
        <v>0.55255659565598092</v>
      </c>
      <c r="E18" s="96">
        <f>VLOOKUP(CurrentMtgRatesDataTable825[[#This Row],[asOfDate]],O:P,2,0)</f>
        <v>1.4441528640997686E-2</v>
      </c>
      <c r="F18" s="97">
        <f ca="1">VLOOKUP(CurrentMtgRatesDataTable825[[#This Row],[asOfDate]]+1,Bloomberg!B:C,2,0)</f>
        <v>1534.5</v>
      </c>
      <c r="H18" s="1">
        <v>40654</v>
      </c>
      <c r="I18" s="33">
        <v>0.44381782258269298</v>
      </c>
      <c r="O18" s="1">
        <v>40654</v>
      </c>
      <c r="P18" s="33">
        <v>3.6012387911354998E-4</v>
      </c>
    </row>
    <row r="19" spans="2:16">
      <c r="B19" s="95">
        <v>42278</v>
      </c>
      <c r="C19" s="96">
        <v>0.53391651509517579</v>
      </c>
      <c r="D19" s="96">
        <f>VLOOKUP(CurrentMtgRatesDataTable825[[#This Row],[asOfDate]],H:I,2,0)</f>
        <v>0.51784913770324514</v>
      </c>
      <c r="E19" s="96">
        <f>VLOOKUP(CurrentMtgRatesDataTable825[[#This Row],[asOfDate]],O:P,2,0)</f>
        <v>2.9859537173618188E-3</v>
      </c>
      <c r="F19" s="97">
        <f ca="1">VLOOKUP(CurrentMtgRatesDataTable825[[#This Row],[asOfDate]]+1,Bloomberg!B:C,2,0)</f>
        <v>2071.6</v>
      </c>
      <c r="H19" s="1">
        <v>40661</v>
      </c>
      <c r="I19" s="33">
        <v>0.44565511936132601</v>
      </c>
      <c r="O19" s="1">
        <v>40661</v>
      </c>
      <c r="P19" s="33">
        <v>3.6290053539469699E-4</v>
      </c>
    </row>
    <row r="20" spans="2:16">
      <c r="B20" s="95">
        <v>42271</v>
      </c>
      <c r="C20" s="96">
        <v>0.51886914028697095</v>
      </c>
      <c r="D20" s="96">
        <f>VLOOKUP(CurrentMtgRatesDataTable825[[#This Row],[asOfDate]],H:I,2,0)</f>
        <v>0.48860274852887836</v>
      </c>
      <c r="E20" s="96">
        <f>VLOOKUP(CurrentMtgRatesDataTable825[[#This Row],[asOfDate]],O:P,2,0)</f>
        <v>1.3173079222055612E-3</v>
      </c>
      <c r="F20" s="97">
        <f ca="1">VLOOKUP(CurrentMtgRatesDataTable825[[#This Row],[asOfDate]]+1,Bloomberg!B:C,2,0)</f>
        <v>1589.5</v>
      </c>
      <c r="H20" s="1">
        <v>40668</v>
      </c>
      <c r="I20" s="33">
        <v>0.45891120103405703</v>
      </c>
      <c r="O20" s="1">
        <v>40668</v>
      </c>
      <c r="P20" s="33">
        <v>1.82362980081562E-3</v>
      </c>
    </row>
    <row r="21" spans="2:16">
      <c r="B21" s="95">
        <v>42264</v>
      </c>
      <c r="C21" s="96">
        <v>0.50986906278318977</v>
      </c>
      <c r="D21" s="96">
        <f>VLOOKUP(CurrentMtgRatesDataTable825[[#This Row],[asOfDate]],H:I,2,0)</f>
        <v>0.48469774680333999</v>
      </c>
      <c r="E21" s="96">
        <f>VLOOKUP(CurrentMtgRatesDataTable825[[#This Row],[asOfDate]],O:P,2,0)</f>
        <v>0</v>
      </c>
      <c r="F21" s="97">
        <f ca="1">VLOOKUP(CurrentMtgRatesDataTable825[[#This Row],[asOfDate]]+1,Bloomberg!B:C,2,0)</f>
        <v>1759.9</v>
      </c>
      <c r="H21" s="1">
        <v>40675</v>
      </c>
      <c r="I21" s="33">
        <v>0.50042582297659</v>
      </c>
      <c r="O21" s="1">
        <v>40675</v>
      </c>
      <c r="P21" s="33">
        <v>4.5959167751793003E-3</v>
      </c>
    </row>
    <row r="22" spans="2:16">
      <c r="B22" s="95">
        <v>42257</v>
      </c>
      <c r="C22" s="96">
        <v>0.51338156329073437</v>
      </c>
      <c r="D22" s="96">
        <f>VLOOKUP(CurrentMtgRatesDataTable825[[#This Row],[asOfDate]],H:I,2,0)</f>
        <v>0.48663724314238854</v>
      </c>
      <c r="E22" s="96">
        <f>VLOOKUP(CurrentMtgRatesDataTable825[[#This Row],[asOfDate]],O:P,2,0)</f>
        <v>0</v>
      </c>
      <c r="F22" s="97">
        <f ca="1">VLOOKUP(CurrentMtgRatesDataTable825[[#This Row],[asOfDate]]+1,Bloomberg!B:C,2,0)</f>
        <v>1473.7</v>
      </c>
      <c r="H22" s="1">
        <v>40682</v>
      </c>
      <c r="I22" s="33">
        <v>0.50447592982476996</v>
      </c>
      <c r="O22" s="1">
        <v>40682</v>
      </c>
      <c r="P22" s="33">
        <v>4.6431452038205798E-3</v>
      </c>
    </row>
    <row r="23" spans="2:16">
      <c r="B23" s="95">
        <v>42250</v>
      </c>
      <c r="C23" s="96">
        <v>0.51680555655781346</v>
      </c>
      <c r="D23" s="96">
        <f>VLOOKUP(CurrentMtgRatesDataTable825[[#This Row],[asOfDate]],H:I,2,0)</f>
        <v>0.4874742059346423</v>
      </c>
      <c r="E23" s="96">
        <f>VLOOKUP(CurrentMtgRatesDataTable825[[#This Row],[asOfDate]],O:P,2,0)</f>
        <v>0</v>
      </c>
      <c r="F23" s="97">
        <f ca="1">VLOOKUP(CurrentMtgRatesDataTable825[[#This Row],[asOfDate]]+1,Bloomberg!B:C,2,0)</f>
        <v>1626.9</v>
      </c>
      <c r="H23" s="1">
        <v>40689</v>
      </c>
      <c r="I23" s="33">
        <v>0.50568534347274297</v>
      </c>
      <c r="O23" s="1">
        <v>40689</v>
      </c>
      <c r="P23" s="33">
        <v>4.6547514757033599E-3</v>
      </c>
    </row>
    <row r="24" spans="2:16">
      <c r="B24" s="95">
        <v>42243</v>
      </c>
      <c r="C24" s="96">
        <v>0.54776588117858471</v>
      </c>
      <c r="D24" s="96">
        <f>VLOOKUP(CurrentMtgRatesDataTable825[[#This Row],[asOfDate]],H:I,2,0)</f>
        <v>0.53237291122190666</v>
      </c>
      <c r="E24" s="96">
        <f>VLOOKUP(CurrentMtgRatesDataTable825[[#This Row],[asOfDate]],O:P,2,0)</f>
        <v>3.1195278145772281E-3</v>
      </c>
      <c r="F24" s="97">
        <f ca="1">VLOOKUP(CurrentMtgRatesDataTable825[[#This Row],[asOfDate]]+1,Bloomberg!B:C,2,0)</f>
        <v>1857.7</v>
      </c>
      <c r="H24" s="1">
        <v>40696</v>
      </c>
      <c r="I24" s="33">
        <v>0.53450860338875705</v>
      </c>
      <c r="O24" s="1">
        <v>40696</v>
      </c>
      <c r="P24" s="33">
        <v>7.3340957383171597E-3</v>
      </c>
    </row>
    <row r="25" spans="2:16">
      <c r="B25" s="95">
        <v>42236</v>
      </c>
      <c r="C25" s="96">
        <v>0.51006923311843089</v>
      </c>
      <c r="D25" s="96">
        <f>VLOOKUP(CurrentMtgRatesDataTable825[[#This Row],[asOfDate]],H:I,2,0)</f>
        <v>0.44680494601844289</v>
      </c>
      <c r="E25" s="96">
        <f>VLOOKUP(CurrentMtgRatesDataTable825[[#This Row],[asOfDate]],O:P,2,0)</f>
        <v>0</v>
      </c>
      <c r="F25" s="97">
        <f ca="1">VLOOKUP(CurrentMtgRatesDataTable825[[#This Row],[asOfDate]]+1,Bloomberg!B:C,2,0)</f>
        <v>1545.5</v>
      </c>
      <c r="H25" s="1">
        <v>40703</v>
      </c>
      <c r="I25" s="33">
        <v>0.55556126357331004</v>
      </c>
      <c r="O25" s="1">
        <v>40703</v>
      </c>
      <c r="P25" s="33">
        <v>1.05889699277147E-2</v>
      </c>
    </row>
    <row r="26" spans="2:16">
      <c r="B26" s="95">
        <v>42229</v>
      </c>
      <c r="C26" s="96">
        <v>0.50777768656321565</v>
      </c>
      <c r="D26" s="96">
        <f>VLOOKUP(CurrentMtgRatesDataTable825[[#This Row],[asOfDate]],H:I,2,0)</f>
        <v>0.44651143610405097</v>
      </c>
      <c r="E26" s="96">
        <f>VLOOKUP(CurrentMtgRatesDataTable825[[#This Row],[asOfDate]],O:P,2,0)</f>
        <v>0</v>
      </c>
      <c r="F26" s="97">
        <f ca="1">VLOOKUP(CurrentMtgRatesDataTable825[[#This Row],[asOfDate]]+1,Bloomberg!B:C,2,0)</f>
        <v>1561.2</v>
      </c>
      <c r="H26" s="1">
        <v>40710</v>
      </c>
      <c r="I26" s="33">
        <v>0.55544034698333999</v>
      </c>
      <c r="O26" s="1">
        <v>40710</v>
      </c>
      <c r="P26" s="33">
        <v>0</v>
      </c>
    </row>
    <row r="27" spans="2:16">
      <c r="B27" s="95">
        <v>42222</v>
      </c>
      <c r="C27" s="96">
        <v>0.51562387102608387</v>
      </c>
      <c r="D27" s="96">
        <f>VLOOKUP(CurrentMtgRatesDataTable825[[#This Row],[asOfDate]],H:I,2,0)</f>
        <v>0.47053858271925847</v>
      </c>
      <c r="E27" s="96">
        <f>VLOOKUP(CurrentMtgRatesDataTable825[[#This Row],[asOfDate]],O:P,2,0)</f>
        <v>6.2347278968544445E-4</v>
      </c>
      <c r="F27" s="97">
        <f ca="1">VLOOKUP(CurrentMtgRatesDataTable825[[#This Row],[asOfDate]]+1,Bloomberg!B:C,2,0)</f>
        <v>1455.2</v>
      </c>
      <c r="H27" s="1">
        <v>40717</v>
      </c>
      <c r="I27" s="33">
        <v>0.53450860338875705</v>
      </c>
      <c r="O27" s="1">
        <v>40717</v>
      </c>
      <c r="P27" s="33">
        <v>0</v>
      </c>
    </row>
    <row r="28" spans="2:16">
      <c r="B28" s="95">
        <v>42215</v>
      </c>
      <c r="C28" s="96">
        <v>0.49912270122048025</v>
      </c>
      <c r="D28" s="96">
        <f>VLOOKUP(CurrentMtgRatesDataTable825[[#This Row],[asOfDate]],H:I,2,0)</f>
        <v>0.42269076065729377</v>
      </c>
      <c r="E28" s="96">
        <f>VLOOKUP(CurrentMtgRatesDataTable825[[#This Row],[asOfDate]],O:P,2,0)</f>
        <v>1.9969014490481407E-4</v>
      </c>
      <c r="F28" s="97">
        <f ca="1">VLOOKUP(CurrentMtgRatesDataTable825[[#This Row],[asOfDate]]+1,Bloomberg!B:C,2,0)</f>
        <v>1418</v>
      </c>
      <c r="H28" s="1">
        <v>40724</v>
      </c>
      <c r="I28" s="33">
        <v>0.55445082777023702</v>
      </c>
      <c r="O28" s="1">
        <v>40724</v>
      </c>
      <c r="P28" s="33">
        <v>0</v>
      </c>
    </row>
    <row r="29" spans="2:16">
      <c r="B29" s="95">
        <v>42208</v>
      </c>
      <c r="C29" s="96">
        <v>0.45300783987214877</v>
      </c>
      <c r="D29" s="96">
        <f>VLOOKUP(CurrentMtgRatesDataTable825[[#This Row],[asOfDate]],H:I,2,0)</f>
        <v>0.39501005586426785</v>
      </c>
      <c r="E29" s="96">
        <f>VLOOKUP(CurrentMtgRatesDataTable825[[#This Row],[asOfDate]],O:P,2,0)</f>
        <v>1.4184158649271941E-4</v>
      </c>
      <c r="F29" s="97">
        <f ca="1">VLOOKUP(CurrentMtgRatesDataTable825[[#This Row],[asOfDate]]+1,Bloomberg!B:C,2,0)</f>
        <v>1339.9</v>
      </c>
      <c r="H29" s="1">
        <v>40731</v>
      </c>
      <c r="I29" s="33">
        <v>0.49771283747510803</v>
      </c>
      <c r="O29" s="1">
        <v>40731</v>
      </c>
      <c r="P29" s="33">
        <v>0</v>
      </c>
    </row>
    <row r="30" spans="2:16">
      <c r="B30" s="95">
        <v>42201</v>
      </c>
      <c r="C30" s="96">
        <v>0.42011365068788514</v>
      </c>
      <c r="D30" s="96">
        <f>VLOOKUP(CurrentMtgRatesDataTable825[[#This Row],[asOfDate]],H:I,2,0)</f>
        <v>0.39138037249660224</v>
      </c>
      <c r="E30" s="96">
        <f>VLOOKUP(CurrentMtgRatesDataTable825[[#This Row],[asOfDate]],O:P,2,0)</f>
        <v>0</v>
      </c>
      <c r="F30" s="97">
        <f ca="1">VLOOKUP(CurrentMtgRatesDataTable825[[#This Row],[asOfDate]]+1,Bloomberg!B:C,2,0)</f>
        <v>1305.5999999999999</v>
      </c>
      <c r="H30" s="1">
        <v>40738</v>
      </c>
      <c r="I30" s="33">
        <v>0.55014388201104203</v>
      </c>
      <c r="O30" s="1">
        <v>40738</v>
      </c>
      <c r="P30" s="33">
        <v>6.2583851957797503E-4</v>
      </c>
    </row>
    <row r="31" spans="2:16">
      <c r="B31" s="95">
        <v>42194</v>
      </c>
      <c r="C31" s="96">
        <v>0.45300783987214877</v>
      </c>
      <c r="D31" s="96">
        <f>VLOOKUP(CurrentMtgRatesDataTable825[[#This Row],[asOfDate]],H:I,2,0)</f>
        <v>0.39501005586426785</v>
      </c>
      <c r="E31" s="96">
        <f>VLOOKUP(CurrentMtgRatesDataTable825[[#This Row],[asOfDate]],O:P,2,0)</f>
        <v>1.4184380661503394E-4</v>
      </c>
      <c r="F31" s="97">
        <f ca="1">VLOOKUP(CurrentMtgRatesDataTable825[[#This Row],[asOfDate]]+1,Bloomberg!B:C,2,0)</f>
        <v>1332.4</v>
      </c>
      <c r="H31" s="1">
        <v>40745</v>
      </c>
      <c r="I31" s="33">
        <v>0.53018048409344898</v>
      </c>
      <c r="O31" s="1">
        <v>40745</v>
      </c>
      <c r="P31" s="33">
        <v>0</v>
      </c>
    </row>
    <row r="32" spans="2:16">
      <c r="B32" s="95">
        <v>42187</v>
      </c>
      <c r="C32" s="96">
        <v>0.42691007799753877</v>
      </c>
      <c r="D32" s="96">
        <f>VLOOKUP(CurrentMtgRatesDataTable825[[#This Row],[asOfDate]],H:I,2,0)</f>
        <v>0.39179509217736908</v>
      </c>
      <c r="E32" s="96">
        <f>VLOOKUP(CurrentMtgRatesDataTable825[[#This Row],[asOfDate]],O:P,2,0)</f>
        <v>0</v>
      </c>
      <c r="F32" s="97">
        <f ca="1">VLOOKUP(CurrentMtgRatesDataTable825[[#This Row],[asOfDate]]+1,Bloomberg!B:C,2,0)</f>
        <v>1299.9000000000001</v>
      </c>
      <c r="H32" s="1">
        <v>40752</v>
      </c>
      <c r="I32" s="33">
        <v>0.52333294764067595</v>
      </c>
      <c r="O32" s="1">
        <v>40752</v>
      </c>
      <c r="P32" s="33">
        <v>0</v>
      </c>
    </row>
    <row r="33" spans="2:16">
      <c r="B33" s="95">
        <v>42180</v>
      </c>
      <c r="C33" s="96">
        <v>0.45889007356496508</v>
      </c>
      <c r="D33" s="96">
        <f>VLOOKUP(CurrentMtgRatesDataTable825[[#This Row],[asOfDate]],H:I,2,0)</f>
        <v>0.39696021691334338</v>
      </c>
      <c r="E33" s="96">
        <f>VLOOKUP(CurrentMtgRatesDataTable825[[#This Row],[asOfDate]],O:P,2,0)</f>
        <v>0</v>
      </c>
      <c r="F33" s="97">
        <f ca="1">VLOOKUP(CurrentMtgRatesDataTable825[[#This Row],[asOfDate]]+1,Bloomberg!B:C,2,0)</f>
        <v>1246.0999999999999</v>
      </c>
      <c r="H33" s="1">
        <v>40759</v>
      </c>
      <c r="I33" s="33">
        <v>0.59636201439054404</v>
      </c>
      <c r="O33" s="1">
        <v>40759</v>
      </c>
      <c r="P33" s="33">
        <v>1.93393301571353E-2</v>
      </c>
    </row>
    <row r="34" spans="2:16">
      <c r="B34" s="95">
        <v>42173</v>
      </c>
      <c r="C34" s="96">
        <v>0.47504859154397289</v>
      </c>
      <c r="D34" s="96">
        <f>VLOOKUP(CurrentMtgRatesDataTable825[[#This Row],[asOfDate]],H:I,2,0)</f>
        <v>0.42202391195455535</v>
      </c>
      <c r="E34" s="96">
        <f>VLOOKUP(CurrentMtgRatesDataTable825[[#This Row],[asOfDate]],O:P,2,0)</f>
        <v>0</v>
      </c>
      <c r="F34" s="97">
        <f ca="1">VLOOKUP(CurrentMtgRatesDataTable825[[#This Row],[asOfDate]]+1,Bloomberg!B:C,2,0)</f>
        <v>1318.3</v>
      </c>
      <c r="H34" s="1">
        <v>40766</v>
      </c>
      <c r="I34" s="33">
        <v>0.68796050816059295</v>
      </c>
      <c r="O34" s="1">
        <v>40766</v>
      </c>
      <c r="P34" s="33">
        <v>3.6312412114141997E-2</v>
      </c>
    </row>
    <row r="35" spans="2:16">
      <c r="B35" s="95">
        <v>42166</v>
      </c>
      <c r="C35" s="96">
        <v>0.46172473046300011</v>
      </c>
      <c r="D35" s="96">
        <f>VLOOKUP(CurrentMtgRatesDataTable825[[#This Row],[asOfDate]],H:I,2,0)</f>
        <v>0.39779633268543002</v>
      </c>
      <c r="E35" s="96">
        <f>VLOOKUP(CurrentMtgRatesDataTable825[[#This Row],[asOfDate]],O:P,2,0)</f>
        <v>0</v>
      </c>
      <c r="F35" s="97">
        <f ca="1">VLOOKUP(CurrentMtgRatesDataTable825[[#This Row],[asOfDate]]+1,Bloomberg!B:C,2,0)</f>
        <v>1273.4000000000001</v>
      </c>
      <c r="H35" s="1">
        <v>40773</v>
      </c>
      <c r="I35" s="33">
        <v>0.76968967049094095</v>
      </c>
      <c r="O35" s="1">
        <v>40773</v>
      </c>
      <c r="P35" s="33">
        <v>0.76977670194978398</v>
      </c>
    </row>
    <row r="36" spans="2:16">
      <c r="B36" s="95">
        <v>42159</v>
      </c>
      <c r="C36" s="96">
        <v>0.54951676769042945</v>
      </c>
      <c r="D36" s="96">
        <f>VLOOKUP(CurrentMtgRatesDataTable825[[#This Row],[asOfDate]],H:I,2,0)</f>
        <v>0.49151040605794738</v>
      </c>
      <c r="E36" s="96">
        <f>VLOOKUP(CurrentMtgRatesDataTable825[[#This Row],[asOfDate]],O:P,2,0)</f>
        <v>0</v>
      </c>
      <c r="F36" s="97">
        <f ca="1">VLOOKUP(CurrentMtgRatesDataTable825[[#This Row],[asOfDate]]+1,Bloomberg!B:C,2,0)</f>
        <v>1342.4</v>
      </c>
      <c r="H36" s="1">
        <v>40780</v>
      </c>
      <c r="I36" s="33">
        <v>0.73013076231760698</v>
      </c>
      <c r="O36" s="1">
        <v>40780</v>
      </c>
      <c r="P36" s="33">
        <v>0</v>
      </c>
    </row>
    <row r="37" spans="2:16">
      <c r="B37" s="95">
        <v>42152</v>
      </c>
      <c r="C37" s="96">
        <v>0.55902460267794318</v>
      </c>
      <c r="D37" s="96">
        <f>VLOOKUP(CurrentMtgRatesDataTable825[[#This Row],[asOfDate]],H:I,2,0)</f>
        <v>0.49518214427458052</v>
      </c>
      <c r="E37" s="96">
        <f>VLOOKUP(CurrentMtgRatesDataTable825[[#This Row],[asOfDate]],O:P,2,0)</f>
        <v>0</v>
      </c>
      <c r="F37" s="97">
        <f ca="1">VLOOKUP(CurrentMtgRatesDataTable825[[#This Row],[asOfDate]]+1,Bloomberg!B:C,2,0)</f>
        <v>1233.9000000000001</v>
      </c>
      <c r="H37" s="1">
        <v>40787</v>
      </c>
      <c r="I37" s="33">
        <v>0.72518805605942505</v>
      </c>
      <c r="O37" s="1">
        <v>40787</v>
      </c>
      <c r="P37" s="33">
        <v>0</v>
      </c>
    </row>
    <row r="38" spans="2:16">
      <c r="B38" s="95">
        <v>42145</v>
      </c>
      <c r="C38" s="96">
        <v>0.56247001508658589</v>
      </c>
      <c r="D38" s="96">
        <f>VLOOKUP(CurrentMtgRatesDataTable825[[#This Row],[asOfDate]],H:I,2,0)</f>
        <v>0.49530657385961702</v>
      </c>
      <c r="E38" s="96">
        <f>VLOOKUP(CurrentMtgRatesDataTable825[[#This Row],[asOfDate]],O:P,2,0)</f>
        <v>0</v>
      </c>
      <c r="F38" s="97">
        <f ca="1">VLOOKUP(CurrentMtgRatesDataTable825[[#This Row],[asOfDate]]+1,Bloomberg!B:C,2,0)</f>
        <v>1408.1</v>
      </c>
      <c r="H38" s="1">
        <v>40794</v>
      </c>
      <c r="I38" s="33">
        <v>0.78586619764471199</v>
      </c>
      <c r="O38" s="1">
        <v>40794</v>
      </c>
      <c r="P38" s="33">
        <v>0.786160649616369</v>
      </c>
    </row>
    <row r="39" spans="2:16">
      <c r="B39" s="95">
        <v>42138</v>
      </c>
      <c r="C39" s="96">
        <v>0.57098174826031445</v>
      </c>
      <c r="D39" s="96">
        <f>VLOOKUP(CurrentMtgRatesDataTable825[[#This Row],[asOfDate]],H:I,2,0)</f>
        <v>0.52626041924754496</v>
      </c>
      <c r="E39" s="96">
        <f>VLOOKUP(CurrentMtgRatesDataTable825[[#This Row],[asOfDate]],O:P,2,0)</f>
        <v>0</v>
      </c>
      <c r="F39" s="97">
        <f ca="1">VLOOKUP(CurrentMtgRatesDataTable825[[#This Row],[asOfDate]]+1,Bloomberg!B:C,2,0)</f>
        <v>1448.8</v>
      </c>
      <c r="H39" s="1">
        <v>40801</v>
      </c>
      <c r="I39" s="33">
        <v>0.78804143101353397</v>
      </c>
      <c r="O39" s="1">
        <v>40801</v>
      </c>
      <c r="P39" s="33">
        <v>0.78833832359916201</v>
      </c>
    </row>
    <row r="40" spans="2:16">
      <c r="B40" s="95">
        <v>42131</v>
      </c>
      <c r="C40" s="96">
        <v>0.59037176491848908</v>
      </c>
      <c r="D40" s="96">
        <f>VLOOKUP(CurrentMtgRatesDataTable825[[#This Row],[asOfDate]],H:I,2,0)</f>
        <v>0.53238458781035902</v>
      </c>
      <c r="E40" s="96">
        <f>VLOOKUP(CurrentMtgRatesDataTable825[[#This Row],[asOfDate]],O:P,2,0)</f>
        <v>0</v>
      </c>
      <c r="F40" s="97">
        <f ca="1">VLOOKUP(CurrentMtgRatesDataTable825[[#This Row],[asOfDate]]+1,Bloomberg!B:C,2,0)</f>
        <v>1477.8</v>
      </c>
      <c r="H40" s="1">
        <v>40808</v>
      </c>
      <c r="I40" s="33">
        <v>0.78804143101353397</v>
      </c>
      <c r="O40" s="1">
        <v>40808</v>
      </c>
      <c r="P40" s="33">
        <v>0</v>
      </c>
    </row>
    <row r="41" spans="2:16">
      <c r="B41" s="95">
        <v>42124</v>
      </c>
      <c r="C41" s="96">
        <v>0.64603046293502864</v>
      </c>
      <c r="D41" s="96">
        <f>VLOOKUP(CurrentMtgRatesDataTable825[[#This Row],[asOfDate]],H:I,2,0)</f>
        <v>0.608876308109219</v>
      </c>
      <c r="E41" s="96">
        <f>VLOOKUP(CurrentMtgRatesDataTable825[[#This Row],[asOfDate]],O:P,2,0)</f>
        <v>0</v>
      </c>
      <c r="F41" s="97">
        <f ca="1">VLOOKUP(CurrentMtgRatesDataTable825[[#This Row],[asOfDate]]+1,Bloomberg!B:C,2,0)</f>
        <v>1559.4</v>
      </c>
      <c r="H41" s="1">
        <v>40815</v>
      </c>
      <c r="I41" s="33">
        <v>0.83535228019697605</v>
      </c>
      <c r="O41" s="1">
        <v>40815</v>
      </c>
      <c r="P41" s="33">
        <v>0.83561176946303795</v>
      </c>
    </row>
    <row r="42" spans="2:16">
      <c r="B42" s="95">
        <v>42117</v>
      </c>
      <c r="C42" s="96">
        <v>0.65844284474757131</v>
      </c>
      <c r="D42" s="96">
        <f>VLOOKUP(CurrentMtgRatesDataTable825[[#This Row],[asOfDate]],H:I,2,0)</f>
        <v>0.63350921207897204</v>
      </c>
      <c r="E42" s="96">
        <f>VLOOKUP(CurrentMtgRatesDataTable825[[#This Row],[asOfDate]],O:P,2,0)</f>
        <v>3.9431628666260904E-3</v>
      </c>
      <c r="F42" s="97">
        <f ca="1">VLOOKUP(CurrentMtgRatesDataTable825[[#This Row],[asOfDate]]+1,Bloomberg!B:C,2,0)</f>
        <v>1723</v>
      </c>
      <c r="H42" s="1">
        <v>40822</v>
      </c>
      <c r="I42" s="33">
        <v>0.82324225699227804</v>
      </c>
      <c r="O42" s="1">
        <v>40822</v>
      </c>
      <c r="P42" s="33">
        <v>0.82194247765297301</v>
      </c>
    </row>
    <row r="43" spans="2:16">
      <c r="B43" s="95">
        <v>42110</v>
      </c>
      <c r="C43" s="96">
        <v>0.64019129085731785</v>
      </c>
      <c r="D43" s="96">
        <f>VLOOKUP(CurrentMtgRatesDataTable825[[#This Row],[asOfDate]],H:I,2,0)</f>
        <v>0.60745911385405604</v>
      </c>
      <c r="E43" s="96">
        <f>VLOOKUP(CurrentMtgRatesDataTable825[[#This Row],[asOfDate]],O:P,2,0)</f>
        <v>0</v>
      </c>
      <c r="F43" s="97">
        <f ca="1">VLOOKUP(CurrentMtgRatesDataTable825[[#This Row],[asOfDate]]+1,Bloomberg!B:C,2,0)</f>
        <v>1817</v>
      </c>
      <c r="H43" s="1">
        <v>40829</v>
      </c>
      <c r="I43" s="33">
        <v>0.75043074974252599</v>
      </c>
      <c r="O43" s="1">
        <v>40829</v>
      </c>
      <c r="P43" s="33">
        <v>0</v>
      </c>
    </row>
    <row r="44" spans="2:16">
      <c r="B44" s="95">
        <v>42103</v>
      </c>
      <c r="C44" s="96">
        <v>0.65412296677072113</v>
      </c>
      <c r="D44" s="96">
        <f>VLOOKUP(CurrentMtgRatesDataTable825[[#This Row],[asOfDate]],H:I,2,0)</f>
        <v>0.63179874985391804</v>
      </c>
      <c r="E44" s="96">
        <f>VLOOKUP(CurrentMtgRatesDataTable825[[#This Row],[asOfDate]],O:P,2,0)</f>
        <v>3.87908393633439E-3</v>
      </c>
      <c r="F44" s="97">
        <f ca="1">VLOOKUP(CurrentMtgRatesDataTable825[[#This Row],[asOfDate]]+1,Bloomberg!B:C,2,0)</f>
        <v>1804.6</v>
      </c>
      <c r="H44" s="1">
        <v>40836</v>
      </c>
      <c r="I44" s="33">
        <v>0.76889855223368597</v>
      </c>
      <c r="O44" s="1">
        <v>40836</v>
      </c>
      <c r="P44" s="33">
        <v>0</v>
      </c>
    </row>
    <row r="45" spans="2:16">
      <c r="B45" s="95">
        <v>42096</v>
      </c>
      <c r="C45" s="96">
        <v>0.63757021314193218</v>
      </c>
      <c r="D45" s="96">
        <f>VLOOKUP(CurrentMtgRatesDataTable825[[#This Row],[asOfDate]],H:I,2,0)</f>
        <v>0.60618674833379105</v>
      </c>
      <c r="E45" s="96">
        <f>VLOOKUP(CurrentMtgRatesDataTable825[[#This Row],[asOfDate]],O:P,2,0)</f>
        <v>0</v>
      </c>
      <c r="F45" s="97">
        <f ca="1">VLOOKUP(CurrentMtgRatesDataTable825[[#This Row],[asOfDate]]+1,Bloomberg!B:C,2,0)</f>
        <v>1854.7</v>
      </c>
      <c r="H45" s="1">
        <v>40843</v>
      </c>
      <c r="I45" s="33">
        <v>0.77033919514702098</v>
      </c>
      <c r="O45" s="1">
        <v>40843</v>
      </c>
      <c r="P45" s="33">
        <v>0</v>
      </c>
    </row>
    <row r="46" spans="2:16">
      <c r="B46" s="95">
        <v>42089</v>
      </c>
      <c r="C46" s="96">
        <v>0.64890841265420796</v>
      </c>
      <c r="D46" s="96">
        <f>VLOOKUP(CurrentMtgRatesDataTable825[[#This Row],[asOfDate]],H:I,2,0)</f>
        <v>0.61985540937113104</v>
      </c>
      <c r="E46" s="96">
        <f>VLOOKUP(CurrentMtgRatesDataTable825[[#This Row],[asOfDate]],O:P,2,0)</f>
        <v>9.60298428502188E-4</v>
      </c>
      <c r="F46" s="97">
        <f ca="1">VLOOKUP(CurrentMtgRatesDataTable825[[#This Row],[asOfDate]]+1,Bloomberg!B:C,2,0)</f>
        <v>1941.6</v>
      </c>
      <c r="H46" s="1">
        <v>40850</v>
      </c>
      <c r="I46" s="33">
        <v>0.80719780316763601</v>
      </c>
      <c r="O46" s="1">
        <v>40850</v>
      </c>
      <c r="P46" s="33">
        <v>0</v>
      </c>
    </row>
    <row r="47" spans="2:16">
      <c r="B47" s="95">
        <v>42082</v>
      </c>
      <c r="C47" s="96">
        <v>0.61916808494400521</v>
      </c>
      <c r="D47" s="96">
        <f>VLOOKUP(CurrentMtgRatesDataTable825[[#This Row],[asOfDate]],H:I,2,0)</f>
        <v>0.58146564562660097</v>
      </c>
      <c r="E47" s="96">
        <f>VLOOKUP(CurrentMtgRatesDataTable825[[#This Row],[asOfDate]],O:P,2,0)</f>
        <v>0</v>
      </c>
      <c r="F47" s="97">
        <f ca="1">VLOOKUP(CurrentMtgRatesDataTable825[[#This Row],[asOfDate]]+1,Bloomberg!B:C,2,0)</f>
        <v>1860.8</v>
      </c>
      <c r="H47" s="1">
        <v>40857</v>
      </c>
      <c r="I47" s="33">
        <v>0.80724570771905702</v>
      </c>
      <c r="O47" s="1">
        <v>40857</v>
      </c>
      <c r="P47" s="33">
        <v>8.7950076846855297E-4</v>
      </c>
    </row>
    <row r="48" spans="2:16">
      <c r="B48" s="95">
        <v>42075</v>
      </c>
      <c r="C48" s="96">
        <v>0.58615251978310723</v>
      </c>
      <c r="D48" s="96">
        <f>VLOOKUP(CurrentMtgRatesDataTable825[[#This Row],[asOfDate]],H:I,2,0)</f>
        <v>0.51703371456013503</v>
      </c>
      <c r="E48" s="96">
        <f>VLOOKUP(CurrentMtgRatesDataTable825[[#This Row],[asOfDate]],O:P,2,0)</f>
        <v>0</v>
      </c>
      <c r="F48" s="97">
        <f ca="1">VLOOKUP(CurrentMtgRatesDataTable825[[#This Row],[asOfDate]]+1,Bloomberg!B:C,2,0)</f>
        <v>1623.6</v>
      </c>
      <c r="H48" s="1">
        <v>40864</v>
      </c>
      <c r="I48" s="33">
        <v>0.80719780316763601</v>
      </c>
      <c r="O48" s="1">
        <v>40864</v>
      </c>
      <c r="P48" s="33">
        <v>0</v>
      </c>
    </row>
    <row r="49" spans="2:16">
      <c r="B49" s="95">
        <v>42068</v>
      </c>
      <c r="C49" s="96">
        <v>0.62830808931498816</v>
      </c>
      <c r="D49" s="96">
        <f>VLOOKUP(CurrentMtgRatesDataTable825[[#This Row],[asOfDate]],H:I,2,0)</f>
        <v>0.58384753948448997</v>
      </c>
      <c r="E49" s="96">
        <f>VLOOKUP(CurrentMtgRatesDataTable825[[#This Row],[asOfDate]],O:P,2,0)</f>
        <v>0</v>
      </c>
      <c r="F49" s="97">
        <f ca="1">VLOOKUP(CurrentMtgRatesDataTable825[[#This Row],[asOfDate]]+1,Bloomberg!B:C,2,0)</f>
        <v>1685.7</v>
      </c>
      <c r="H49" s="1">
        <v>40870</v>
      </c>
      <c r="I49" s="33">
        <v>0.80850149462655696</v>
      </c>
      <c r="O49" s="1">
        <v>40870</v>
      </c>
      <c r="P49" s="33">
        <v>8.8101230968728496E-4</v>
      </c>
    </row>
    <row r="50" spans="2:16">
      <c r="B50" s="95">
        <v>42061</v>
      </c>
      <c r="C50" s="96">
        <v>0.61469145921482737</v>
      </c>
      <c r="D50" s="96">
        <f>VLOOKUP(CurrentMtgRatesDataTable825[[#This Row],[asOfDate]],H:I,2,0)</f>
        <v>0.56144623129586702</v>
      </c>
      <c r="E50" s="96">
        <f>VLOOKUP(CurrentMtgRatesDataTable825[[#This Row],[asOfDate]],O:P,2,0)</f>
        <v>0</v>
      </c>
      <c r="F50" s="97">
        <f ca="1">VLOOKUP(CurrentMtgRatesDataTable825[[#This Row],[asOfDate]]+1,Bloomberg!B:C,2,0)</f>
        <v>1740.3</v>
      </c>
      <c r="H50" s="1">
        <v>40878</v>
      </c>
      <c r="I50" s="33">
        <v>0.79441104681633201</v>
      </c>
      <c r="O50" s="1">
        <v>40878</v>
      </c>
      <c r="P50" s="33">
        <v>0</v>
      </c>
    </row>
    <row r="51" spans="2:16">
      <c r="B51" s="95">
        <v>42054</v>
      </c>
      <c r="C51" s="96">
        <v>0.62918563533375538</v>
      </c>
      <c r="D51" s="96">
        <f>VLOOKUP(CurrentMtgRatesDataTable825[[#This Row],[asOfDate]],H:I,2,0)</f>
        <v>0.59003468905342005</v>
      </c>
      <c r="E51" s="96">
        <f>VLOOKUP(CurrentMtgRatesDataTable825[[#This Row],[asOfDate]],O:P,2,0)</f>
        <v>0</v>
      </c>
      <c r="F51" s="97">
        <f ca="1">VLOOKUP(CurrentMtgRatesDataTable825[[#This Row],[asOfDate]]+1,Bloomberg!B:C,2,0)</f>
        <v>1703.1</v>
      </c>
      <c r="H51" s="1">
        <v>40885</v>
      </c>
      <c r="I51" s="33">
        <v>0.79445840936885304</v>
      </c>
      <c r="O51" s="1">
        <v>40885</v>
      </c>
      <c r="P51" s="33">
        <v>6.7786594921879302E-4</v>
      </c>
    </row>
    <row r="52" spans="2:16">
      <c r="B52" s="95">
        <v>42047</v>
      </c>
      <c r="C52" s="96">
        <v>0.65089272690592892</v>
      </c>
      <c r="D52" s="96">
        <f>VLOOKUP(CurrentMtgRatesDataTable825[[#This Row],[asOfDate]],H:I,2,0)</f>
        <v>0.62719075850631201</v>
      </c>
      <c r="E52" s="96">
        <f>VLOOKUP(CurrentMtgRatesDataTable825[[#This Row],[asOfDate]],O:P,2,0)</f>
        <v>0</v>
      </c>
      <c r="F52" s="97">
        <f ca="1">VLOOKUP(CurrentMtgRatesDataTable825[[#This Row],[asOfDate]]+1,Bloomberg!B:C,2,0)</f>
        <v>1904.2</v>
      </c>
      <c r="H52" s="1">
        <v>40892</v>
      </c>
      <c r="I52" s="33">
        <v>0.79646175435893696</v>
      </c>
      <c r="O52" s="1">
        <v>40892</v>
      </c>
      <c r="P52" s="33">
        <v>0.79669049657242397</v>
      </c>
    </row>
    <row r="53" spans="2:16">
      <c r="B53" s="95">
        <v>42040</v>
      </c>
      <c r="C53" s="96">
        <v>0.68613791923063638</v>
      </c>
      <c r="D53" s="96">
        <f>VLOOKUP(CurrentMtgRatesDataTable825[[#This Row],[asOfDate]],H:I,2,0)</f>
        <v>0.65455905311871299</v>
      </c>
      <c r="E53" s="96">
        <f>VLOOKUP(CurrentMtgRatesDataTable825[[#This Row],[asOfDate]],O:P,2,0)</f>
        <v>0.17933240004933601</v>
      </c>
      <c r="F53" s="97">
        <f ca="1">VLOOKUP(CurrentMtgRatesDataTable825[[#This Row],[asOfDate]]+1,Bloomberg!B:C,2,0)</f>
        <v>2291.3000000000002</v>
      </c>
      <c r="H53" s="1">
        <v>40899</v>
      </c>
      <c r="I53" s="33">
        <v>0.82537040355923197</v>
      </c>
      <c r="O53" s="1">
        <v>40899</v>
      </c>
      <c r="P53" s="33">
        <v>0.82559057548597004</v>
      </c>
    </row>
    <row r="54" spans="2:16">
      <c r="B54" s="95">
        <v>42033</v>
      </c>
      <c r="C54" s="96">
        <v>0.66237769243691424</v>
      </c>
      <c r="D54" s="96">
        <f>VLOOKUP(CurrentMtgRatesDataTable825[[#This Row],[asOfDate]],H:I,2,0)</f>
        <v>0.65582330233583797</v>
      </c>
      <c r="E54" s="96">
        <f>VLOOKUP(CurrentMtgRatesDataTable825[[#This Row],[asOfDate]],O:P,2,0)</f>
        <v>0</v>
      </c>
      <c r="F54" s="97">
        <f ca="1">VLOOKUP(CurrentMtgRatesDataTable825[[#This Row],[asOfDate]]+1,Bloomberg!B:C,2,0)</f>
        <v>2584.8000000000002</v>
      </c>
      <c r="H54" s="1">
        <v>40906</v>
      </c>
      <c r="I54" s="33">
        <v>0.81734633197465201</v>
      </c>
      <c r="O54" s="1">
        <v>40906</v>
      </c>
      <c r="P54" s="33">
        <v>0</v>
      </c>
    </row>
    <row r="55" spans="2:16">
      <c r="B55" s="95">
        <v>42026</v>
      </c>
      <c r="C55" s="96">
        <v>0.66443740132152351</v>
      </c>
      <c r="D55" s="96">
        <f>VLOOKUP(CurrentMtgRatesDataTable825[[#This Row],[asOfDate]],H:I,2,0)</f>
        <v>0.65720471867066899</v>
      </c>
      <c r="E55" s="96">
        <f>VLOOKUP(CurrentMtgRatesDataTable825[[#This Row],[asOfDate]],O:P,2,0)</f>
        <v>0.17811212012226099</v>
      </c>
      <c r="F55" s="97">
        <f ca="1">VLOOKUP(CurrentMtgRatesDataTable825[[#This Row],[asOfDate]]+1,Bloomberg!B:C,2,0)</f>
        <v>2572.3000000000002</v>
      </c>
      <c r="H55" s="1">
        <v>40913</v>
      </c>
      <c r="I55" s="33">
        <v>0.80629912189469399</v>
      </c>
      <c r="O55" s="1">
        <v>40913</v>
      </c>
      <c r="P55" s="33">
        <v>0</v>
      </c>
    </row>
    <row r="56" spans="2:16">
      <c r="B56" s="95">
        <v>42019</v>
      </c>
      <c r="C56" s="96">
        <v>0.66237769243691424</v>
      </c>
      <c r="D56" s="96">
        <f>VLOOKUP(CurrentMtgRatesDataTable825[[#This Row],[asOfDate]],H:I,2,0)</f>
        <v>0.65582330233583797</v>
      </c>
      <c r="E56" s="96">
        <f>VLOOKUP(CurrentMtgRatesDataTable825[[#This Row],[asOfDate]],O:P,2,0)</f>
        <v>0.177765501913389</v>
      </c>
      <c r="F56" s="97">
        <f ca="1">VLOOKUP(CurrentMtgRatesDataTable825[[#This Row],[asOfDate]]+1,Bloomberg!B:C,2,0)</f>
        <v>2799.3</v>
      </c>
      <c r="H56" s="1">
        <v>40920</v>
      </c>
      <c r="I56" s="33">
        <v>0.81626218699844599</v>
      </c>
      <c r="O56" s="1">
        <v>40920</v>
      </c>
      <c r="P56" s="33">
        <v>0.81663205917875104</v>
      </c>
    </row>
    <row r="57" spans="2:16">
      <c r="B57" s="95">
        <v>42012</v>
      </c>
      <c r="C57" s="96">
        <v>0.63535246046030358</v>
      </c>
      <c r="D57" s="96">
        <f>VLOOKUP(CurrentMtgRatesDataTable825[[#This Row],[asOfDate]],H:I,2,0)</f>
        <v>0.59931706558407905</v>
      </c>
      <c r="E57" s="96">
        <f>VLOOKUP(CurrentMtgRatesDataTable825[[#This Row],[asOfDate]],O:P,2,0)</f>
        <v>0.14268475210645201</v>
      </c>
      <c r="F57" s="97">
        <f ca="1">VLOOKUP(CurrentMtgRatesDataTable825[[#This Row],[asOfDate]]+1,Bloomberg!B:C,2,0)</f>
        <v>2271.5</v>
      </c>
      <c r="H57" s="1">
        <v>40927</v>
      </c>
      <c r="I57" s="33">
        <v>0.81461584859780101</v>
      </c>
      <c r="O57" s="1">
        <v>40927</v>
      </c>
      <c r="P57" s="33">
        <v>0</v>
      </c>
    </row>
    <row r="58" spans="2:16">
      <c r="B58" s="95">
        <v>42004</v>
      </c>
      <c r="C58" s="96">
        <v>0.59452652549193286</v>
      </c>
      <c r="D58" s="96">
        <f>VLOOKUP(CurrentMtgRatesDataTable825[[#This Row],[asOfDate]],H:I,2,0)</f>
        <v>0.53680415412734395</v>
      </c>
      <c r="E58" s="96">
        <f>VLOOKUP(CurrentMtgRatesDataTable825[[#This Row],[asOfDate]],O:P,2,0)</f>
        <v>0</v>
      </c>
      <c r="F58" s="97">
        <f ca="1">VLOOKUP(CurrentMtgRatesDataTable825[[#This Row],[asOfDate]]+1,Bloomberg!B:C,2,0)</f>
        <v>1347.6</v>
      </c>
      <c r="H58" s="1">
        <v>40934</v>
      </c>
      <c r="I58" s="33">
        <v>0.78339393568549298</v>
      </c>
      <c r="O58" s="1">
        <v>40934</v>
      </c>
      <c r="P58" s="33">
        <v>0</v>
      </c>
    </row>
    <row r="59" spans="2:16">
      <c r="B59" s="95">
        <v>41997</v>
      </c>
      <c r="C59" s="96">
        <v>0.6078826622396406</v>
      </c>
      <c r="D59" s="96">
        <f>VLOOKUP(CurrentMtgRatesDataTable825[[#This Row],[asOfDate]],H:I,2,0)</f>
        <v>0.57166642614489205</v>
      </c>
      <c r="E59" s="96">
        <f>VLOOKUP(CurrentMtgRatesDataTable825[[#This Row],[asOfDate]],O:P,2,0)</f>
        <v>0</v>
      </c>
      <c r="F59" s="97">
        <f ca="1">VLOOKUP(CurrentMtgRatesDataTable825[[#This Row],[asOfDate]]+1,Bloomberg!B:C,2,0)</f>
        <v>1164.2</v>
      </c>
      <c r="H59" s="1">
        <v>40941</v>
      </c>
      <c r="I59" s="33">
        <v>0.79842547980239797</v>
      </c>
      <c r="O59" s="1">
        <v>40941</v>
      </c>
      <c r="P59" s="33">
        <v>0</v>
      </c>
    </row>
    <row r="60" spans="2:16">
      <c r="B60" s="95">
        <v>41991</v>
      </c>
      <c r="C60" s="96">
        <v>0.61729602418947438</v>
      </c>
      <c r="D60" s="96">
        <f>VLOOKUP(CurrentMtgRatesDataTable825[[#This Row],[asOfDate]],H:I,2,0)</f>
        <v>0.57447022909045797</v>
      </c>
      <c r="E60" s="96">
        <f>VLOOKUP(CurrentMtgRatesDataTable825[[#This Row],[asOfDate]],O:P,2,0)</f>
        <v>0.127103043508559</v>
      </c>
      <c r="F60" s="97">
        <f ca="1">VLOOKUP(CurrentMtgRatesDataTable825[[#This Row],[asOfDate]]+1,Bloomberg!B:C,2,0)</f>
        <v>1538.7</v>
      </c>
      <c r="H60" s="1">
        <v>40948</v>
      </c>
      <c r="I60" s="33">
        <v>0.79842547980239797</v>
      </c>
      <c r="O60" s="1">
        <v>40948</v>
      </c>
      <c r="P60" s="33">
        <v>0</v>
      </c>
    </row>
    <row r="61" spans="2:16">
      <c r="B61" s="95">
        <v>41984</v>
      </c>
      <c r="C61" s="96">
        <v>0.58317600569372552</v>
      </c>
      <c r="D61" s="96">
        <f>VLOOKUP(CurrentMtgRatesDataTable825[[#This Row],[asOfDate]],H:I,2,0)</f>
        <v>0.53353274326337596</v>
      </c>
      <c r="E61" s="96">
        <f>VLOOKUP(CurrentMtgRatesDataTable825[[#This Row],[asOfDate]],O:P,2,0)</f>
        <v>0</v>
      </c>
      <c r="F61" s="97">
        <f ca="1">VLOOKUP(CurrentMtgRatesDataTable825[[#This Row],[asOfDate]]+1,Bloomberg!B:C,2,0)</f>
        <v>1518.8</v>
      </c>
      <c r="H61" s="1">
        <v>40955</v>
      </c>
      <c r="I61" s="33">
        <v>0.79842547980239797</v>
      </c>
      <c r="O61" s="1">
        <v>40955</v>
      </c>
      <c r="P61" s="33">
        <v>0</v>
      </c>
    </row>
    <row r="62" spans="2:16">
      <c r="B62" s="95">
        <v>41977</v>
      </c>
      <c r="C62" s="96">
        <v>0.59653157178880079</v>
      </c>
      <c r="D62" s="96">
        <f>VLOOKUP(CurrentMtgRatesDataTable825[[#This Row],[asOfDate]],H:I,2,0)</f>
        <v>0.53685925114667898</v>
      </c>
      <c r="E62" s="96">
        <f>VLOOKUP(CurrentMtgRatesDataTable825[[#This Row],[asOfDate]],O:P,2,0)</f>
        <v>0.106230521131833</v>
      </c>
      <c r="F62" s="97">
        <f ca="1">VLOOKUP(CurrentMtgRatesDataTable825[[#This Row],[asOfDate]]+1,Bloomberg!B:C,2,0)</f>
        <v>1548.6</v>
      </c>
      <c r="H62" s="1">
        <v>40962</v>
      </c>
      <c r="I62" s="33">
        <v>0.76669716579457303</v>
      </c>
      <c r="O62" s="1">
        <v>40962</v>
      </c>
      <c r="P62" s="33">
        <v>0</v>
      </c>
    </row>
    <row r="63" spans="2:16">
      <c r="B63" s="95">
        <v>41969</v>
      </c>
      <c r="C63" s="96">
        <v>0.57517284737260799</v>
      </c>
      <c r="D63" s="96">
        <f>VLOOKUP(CurrentMtgRatesDataTable825[[#This Row],[asOfDate]],H:I,2,0)</f>
        <v>0.51222876537846296</v>
      </c>
      <c r="E63" s="96">
        <f>VLOOKUP(CurrentMtgRatesDataTable825[[#This Row],[asOfDate]],O:P,2,0)</f>
        <v>1.9601498700341099E-3</v>
      </c>
      <c r="F63" s="97" t="e">
        <f ca="1">VLOOKUP(CurrentMtgRatesDataTable825[[#This Row],[asOfDate]]+1,Bloomberg!B:C,2,0)</f>
        <v>#N/A</v>
      </c>
      <c r="H63" s="1">
        <v>40969</v>
      </c>
      <c r="I63" s="33">
        <v>0.77480777056815697</v>
      </c>
      <c r="O63" s="1">
        <v>40969</v>
      </c>
      <c r="P63" s="33">
        <v>0</v>
      </c>
    </row>
    <row r="64" spans="2:16">
      <c r="B64" s="95">
        <v>41963</v>
      </c>
      <c r="C64" s="96">
        <v>0.56861607014134152</v>
      </c>
      <c r="D64" s="96">
        <f>VLOOKUP(CurrentMtgRatesDataTable825[[#This Row],[asOfDate]],H:I,2,0)</f>
        <v>0.51126312077979097</v>
      </c>
      <c r="E64" s="96">
        <f>VLOOKUP(CurrentMtgRatesDataTable825[[#This Row],[asOfDate]],O:P,2,0)</f>
        <v>1.9465534524820899E-3</v>
      </c>
      <c r="F64" s="97">
        <f ca="1">VLOOKUP(CurrentMtgRatesDataTable825[[#This Row],[asOfDate]]+1,Bloomberg!B:C,2,0)</f>
        <v>1547.9</v>
      </c>
      <c r="H64" s="1">
        <v>40976</v>
      </c>
      <c r="I64" s="33">
        <v>0.78283886771012201</v>
      </c>
      <c r="O64" s="1">
        <v>40976</v>
      </c>
      <c r="P64" s="33">
        <v>7.6028475141971797E-4</v>
      </c>
    </row>
    <row r="65" spans="2:16">
      <c r="B65" s="95">
        <v>41956</v>
      </c>
      <c r="C65" s="96">
        <v>0.55727419854014459</v>
      </c>
      <c r="D65" s="96">
        <f>VLOOKUP(CurrentMtgRatesDataTable825[[#This Row],[asOfDate]],H:I,2,0)</f>
        <v>0.47696082053878203</v>
      </c>
      <c r="E65" s="96">
        <f>VLOOKUP(CurrentMtgRatesDataTable825[[#This Row],[asOfDate]],O:P,2,0)</f>
        <v>1.4902494177175701E-3</v>
      </c>
      <c r="F65" s="97">
        <f ca="1">VLOOKUP(CurrentMtgRatesDataTable825[[#This Row],[asOfDate]]+1,Bloomberg!B:C,2,0)</f>
        <v>1563.2</v>
      </c>
      <c r="H65" s="1">
        <v>40983</v>
      </c>
      <c r="I65" s="33">
        <v>0.77421402081353796</v>
      </c>
      <c r="O65" s="1">
        <v>40983</v>
      </c>
      <c r="P65" s="33">
        <v>0</v>
      </c>
    </row>
    <row r="66" spans="2:16">
      <c r="B66" s="95">
        <v>41949</v>
      </c>
      <c r="C66" s="96">
        <v>0.55093013331653118</v>
      </c>
      <c r="D66" s="96">
        <f>VLOOKUP(CurrentMtgRatesDataTable825[[#This Row],[asOfDate]],H:I,2,0)</f>
        <v>0.47679161148246502</v>
      </c>
      <c r="E66" s="96">
        <f>VLOOKUP(CurrentMtgRatesDataTable825[[#This Row],[asOfDate]],O:P,2,0)</f>
        <v>0</v>
      </c>
      <c r="F66" s="97">
        <f ca="1">VLOOKUP(CurrentMtgRatesDataTable825[[#This Row],[asOfDate]]+1,Bloomberg!B:C,2,0)</f>
        <v>1565.3</v>
      </c>
      <c r="H66" s="1">
        <v>40990</v>
      </c>
      <c r="I66" s="33">
        <v>0.69937061468571404</v>
      </c>
      <c r="O66" s="1">
        <v>40990</v>
      </c>
      <c r="P66" s="33">
        <v>0</v>
      </c>
    </row>
    <row r="67" spans="2:16">
      <c r="B67" s="95">
        <v>41942</v>
      </c>
      <c r="C67" s="96">
        <v>0.57465727832154401</v>
      </c>
      <c r="D67" s="96">
        <f>VLOOKUP(CurrentMtgRatesDataTable825[[#This Row],[asOfDate]],H:I,2,0)</f>
        <v>0.519221652370358</v>
      </c>
      <c r="E67" s="96">
        <f>VLOOKUP(CurrentMtgRatesDataTable825[[#This Row],[asOfDate]],O:P,2,0)</f>
        <v>0</v>
      </c>
      <c r="F67" s="97">
        <f ca="1">VLOOKUP(CurrentMtgRatesDataTable825[[#This Row],[asOfDate]]+1,Bloomberg!B:C,2,0)</f>
        <v>1604.8</v>
      </c>
      <c r="H67" s="1">
        <v>40997</v>
      </c>
      <c r="I67" s="33">
        <v>0.749723434167341</v>
      </c>
      <c r="O67" s="1">
        <v>40997</v>
      </c>
      <c r="P67" s="33">
        <v>0</v>
      </c>
    </row>
    <row r="68" spans="2:16">
      <c r="B68" s="95">
        <v>41935</v>
      </c>
      <c r="C68" s="96">
        <v>0.58902995061120811</v>
      </c>
      <c r="D68" s="96">
        <f>VLOOKUP(CurrentMtgRatesDataTable825[[#This Row],[asOfDate]],H:I,2,0)</f>
        <v>0.54838604953283498</v>
      </c>
      <c r="E68" s="96">
        <f>VLOOKUP(CurrentMtgRatesDataTable825[[#This Row],[asOfDate]],O:P,2,0)</f>
        <v>0.103644934949105</v>
      </c>
      <c r="F68" s="97">
        <f ca="1">VLOOKUP(CurrentMtgRatesDataTable825[[#This Row],[asOfDate]]+1,Bloomberg!B:C,2,0)</f>
        <v>1713.6</v>
      </c>
      <c r="H68" s="1">
        <v>41004</v>
      </c>
      <c r="I68" s="33">
        <v>0.75253147533014197</v>
      </c>
      <c r="O68" s="1">
        <v>41004</v>
      </c>
      <c r="P68" s="33">
        <v>0</v>
      </c>
    </row>
    <row r="69" spans="2:16">
      <c r="B69" s="95">
        <v>41928</v>
      </c>
      <c r="C69" s="96">
        <v>0.57793839140083469</v>
      </c>
      <c r="D69" s="96">
        <f>VLOOKUP(CurrentMtgRatesDataTable825[[#This Row],[asOfDate]],H:I,2,0)</f>
        <v>0.51982909302980596</v>
      </c>
      <c r="E69" s="96">
        <f>VLOOKUP(CurrentMtgRatesDataTable825[[#This Row],[asOfDate]],O:P,2,0)</f>
        <v>9.0356790924596503E-2</v>
      </c>
      <c r="F69" s="97">
        <f ca="1">VLOOKUP(CurrentMtgRatesDataTable825[[#This Row],[asOfDate]]+1,Bloomberg!B:C,2,0)</f>
        <v>1898.2</v>
      </c>
      <c r="H69" s="1">
        <v>41011</v>
      </c>
      <c r="I69" s="33">
        <v>0.80193881910043296</v>
      </c>
      <c r="O69" s="1">
        <v>41011</v>
      </c>
      <c r="P69" s="33">
        <v>0.80265108338267499</v>
      </c>
    </row>
    <row r="70" spans="2:16">
      <c r="B70" s="95">
        <v>41921</v>
      </c>
      <c r="C70" s="96">
        <v>0.4741591952243816</v>
      </c>
      <c r="D70" s="96">
        <f>VLOOKUP(CurrentMtgRatesDataTable825[[#This Row],[asOfDate]],H:I,2,0)</f>
        <v>0.45168042618119703</v>
      </c>
      <c r="E70" s="96">
        <f>VLOOKUP(CurrentMtgRatesDataTable825[[#This Row],[asOfDate]],O:P,2,0)</f>
        <v>1.00775509847578E-3</v>
      </c>
      <c r="F70" s="97">
        <f ca="1">VLOOKUP(CurrentMtgRatesDataTable825[[#This Row],[asOfDate]]+1,Bloomberg!B:C,2,0)</f>
        <v>1560.6</v>
      </c>
      <c r="H70" s="1">
        <v>41018</v>
      </c>
      <c r="I70" s="33">
        <v>0.77781138796328697</v>
      </c>
      <c r="O70" s="1">
        <v>41018</v>
      </c>
      <c r="P70" s="33">
        <v>0</v>
      </c>
    </row>
    <row r="71" spans="2:16">
      <c r="B71" s="95">
        <v>41914</v>
      </c>
      <c r="C71" s="96">
        <v>0.43658809651451691</v>
      </c>
      <c r="D71" s="96">
        <f>VLOOKUP(CurrentMtgRatesDataTable825[[#This Row],[asOfDate]],H:I,2,0)</f>
        <v>0.419925946793896</v>
      </c>
      <c r="E71" s="96">
        <f>VLOOKUP(CurrentMtgRatesDataTable825[[#This Row],[asOfDate]],O:P,2,0)</f>
        <v>0</v>
      </c>
      <c r="F71" s="97">
        <f ca="1">VLOOKUP(CurrentMtgRatesDataTable825[[#This Row],[asOfDate]]+1,Bloomberg!B:C,2,0)</f>
        <v>1387.1</v>
      </c>
      <c r="H71" s="1">
        <v>41025</v>
      </c>
      <c r="I71" s="33">
        <v>0.80193881910043296</v>
      </c>
      <c r="O71" s="1">
        <v>41025</v>
      </c>
      <c r="P71" s="33">
        <v>0.80265108338267499</v>
      </c>
    </row>
    <row r="72" spans="2:16">
      <c r="B72" s="95">
        <v>41907</v>
      </c>
      <c r="C72" s="96">
        <v>0.41765287093842862</v>
      </c>
      <c r="D72" s="96">
        <f>VLOOKUP(CurrentMtgRatesDataTable825[[#This Row],[asOfDate]],H:I,2,0)</f>
        <v>0.40569534905697002</v>
      </c>
      <c r="E72" s="96">
        <f>VLOOKUP(CurrentMtgRatesDataTable825[[#This Row],[asOfDate]],O:P,2,0)</f>
        <v>0</v>
      </c>
      <c r="F72" s="97">
        <f ca="1">VLOOKUP(CurrentMtgRatesDataTable825[[#This Row],[asOfDate]]+1,Bloomberg!B:C,2,0)</f>
        <v>1326.2</v>
      </c>
      <c r="H72" s="1">
        <v>41032</v>
      </c>
      <c r="I72" s="33">
        <v>0.80437080516661097</v>
      </c>
      <c r="O72" s="1">
        <v>41032</v>
      </c>
      <c r="P72" s="33">
        <v>0.80415566862182497</v>
      </c>
    </row>
    <row r="73" spans="2:16">
      <c r="B73" s="95">
        <v>41900</v>
      </c>
      <c r="C73" s="96">
        <v>0.4028098229838899</v>
      </c>
      <c r="D73" s="96">
        <f>VLOOKUP(CurrentMtgRatesDataTable825[[#This Row],[asOfDate]],H:I,2,0)</f>
        <v>0.403775681059653</v>
      </c>
      <c r="E73" s="96">
        <f>VLOOKUP(CurrentMtgRatesDataTable825[[#This Row],[asOfDate]],O:P,2,0)</f>
        <v>0</v>
      </c>
      <c r="F73" s="97">
        <f ca="1">VLOOKUP(CurrentMtgRatesDataTable825[[#This Row],[asOfDate]]+1,Bloomberg!B:C,2,0)</f>
        <v>1335.1</v>
      </c>
      <c r="H73" s="1">
        <v>41039</v>
      </c>
      <c r="I73" s="33">
        <v>0.807152941952609</v>
      </c>
      <c r="O73" s="1">
        <v>41039</v>
      </c>
      <c r="P73" s="33">
        <v>0.80754152596055995</v>
      </c>
    </row>
    <row r="74" spans="2:16">
      <c r="B74" s="95">
        <v>41893</v>
      </c>
      <c r="C74" s="96">
        <v>0.47788907778136447</v>
      </c>
      <c r="D74" s="96">
        <f>VLOOKUP(CurrentMtgRatesDataTable825[[#This Row],[asOfDate]],H:I,2,0)</f>
        <v>0.45995272695767497</v>
      </c>
      <c r="E74" s="96">
        <f>VLOOKUP(CurrentMtgRatesDataTable825[[#This Row],[asOfDate]],O:P,2,0)</f>
        <v>0</v>
      </c>
      <c r="F74" s="97">
        <f ca="1">VLOOKUP(CurrentMtgRatesDataTable825[[#This Row],[asOfDate]]+1,Bloomberg!B:C,2,0)</f>
        <v>1398.4</v>
      </c>
      <c r="H74" s="1">
        <v>41046</v>
      </c>
      <c r="I74" s="33">
        <v>0.83152220645888697</v>
      </c>
      <c r="O74" s="1">
        <v>41046</v>
      </c>
      <c r="P74" s="33">
        <v>0.831927164274886</v>
      </c>
    </row>
    <row r="75" spans="2:16">
      <c r="B75" s="95">
        <v>41886</v>
      </c>
      <c r="C75" s="96">
        <v>0.49084413664233395</v>
      </c>
      <c r="D75" s="96">
        <f>VLOOKUP(CurrentMtgRatesDataTable825[[#This Row],[asOfDate]],H:I,2,0)</f>
        <v>0.46145357757128402</v>
      </c>
      <c r="E75" s="96">
        <f>VLOOKUP(CurrentMtgRatesDataTable825[[#This Row],[asOfDate]],O:P,2,0)</f>
        <v>0</v>
      </c>
      <c r="F75" s="97">
        <f ca="1">VLOOKUP(CurrentMtgRatesDataTable825[[#This Row],[asOfDate]]+1,Bloomberg!B:C,2,0)</f>
        <v>1275.8</v>
      </c>
      <c r="H75" s="1">
        <v>41053</v>
      </c>
      <c r="I75" s="33">
        <v>0.82948257912141399</v>
      </c>
      <c r="O75" s="1">
        <v>41053</v>
      </c>
      <c r="P75" s="33">
        <v>0</v>
      </c>
    </row>
    <row r="76" spans="2:16">
      <c r="B76" s="95">
        <v>41879</v>
      </c>
      <c r="C76" s="96">
        <v>0.49450426590474372</v>
      </c>
      <c r="D76" s="96">
        <f>VLOOKUP(CurrentMtgRatesDataTable825[[#This Row],[asOfDate]],H:I,2,0)</f>
        <v>0.46725416935729103</v>
      </c>
      <c r="E76" s="96">
        <f>VLOOKUP(CurrentMtgRatesDataTable825[[#This Row],[asOfDate]],O:P,2,0)</f>
        <v>0</v>
      </c>
      <c r="F76" s="97">
        <f ca="1">VLOOKUP(CurrentMtgRatesDataTable825[[#This Row],[asOfDate]]+1,Bloomberg!B:C,2,0)</f>
        <v>1436</v>
      </c>
      <c r="H76" s="1">
        <v>41060</v>
      </c>
      <c r="I76" s="33">
        <v>0.83268888035603505</v>
      </c>
      <c r="O76" s="1">
        <v>41060</v>
      </c>
      <c r="P76" s="33">
        <v>0.83309495413351498</v>
      </c>
    </row>
    <row r="77" spans="2:16">
      <c r="B77" s="95">
        <v>41872</v>
      </c>
      <c r="C77" s="96">
        <v>0.49450426590474372</v>
      </c>
      <c r="D77" s="96">
        <f>VLOOKUP(CurrentMtgRatesDataTable825[[#This Row],[asOfDate]],H:I,2,0)</f>
        <v>0.46725416935729103</v>
      </c>
      <c r="E77" s="96">
        <f>VLOOKUP(CurrentMtgRatesDataTable825[[#This Row],[asOfDate]],O:P,2,0)</f>
        <v>5.44200843584444E-2</v>
      </c>
      <c r="F77" s="97">
        <f ca="1">VLOOKUP(CurrentMtgRatesDataTable825[[#This Row],[asOfDate]]+1,Bloomberg!B:C,2,0)</f>
        <v>1439.4</v>
      </c>
      <c r="H77" s="1">
        <v>41067</v>
      </c>
      <c r="I77" s="33">
        <v>0.86243439572202496</v>
      </c>
      <c r="O77" s="1">
        <v>41067</v>
      </c>
      <c r="P77" s="33">
        <v>0.86123151402869003</v>
      </c>
    </row>
    <row r="78" spans="2:16">
      <c r="B78" s="95">
        <v>41865</v>
      </c>
      <c r="C78" s="96">
        <v>0.45923072088835232</v>
      </c>
      <c r="D78" s="96">
        <f>VLOOKUP(CurrentMtgRatesDataTable825[[#This Row],[asOfDate]],H:I,2,0)</f>
        <v>0.437009219217877</v>
      </c>
      <c r="E78" s="96">
        <f>VLOOKUP(CurrentMtgRatesDataTable825[[#This Row],[asOfDate]],O:P,2,0)</f>
        <v>5.9130346511517896E-4</v>
      </c>
      <c r="F78" s="97">
        <f ca="1">VLOOKUP(CurrentMtgRatesDataTable825[[#This Row],[asOfDate]]+1,Bloomberg!B:C,2,0)</f>
        <v>1404.9</v>
      </c>
      <c r="H78" s="1">
        <v>41074</v>
      </c>
      <c r="I78" s="33">
        <v>0.84549296973434196</v>
      </c>
      <c r="O78" s="1">
        <v>41074</v>
      </c>
      <c r="P78" s="33">
        <v>0</v>
      </c>
    </row>
    <row r="79" spans="2:16">
      <c r="B79" s="95">
        <v>41858</v>
      </c>
      <c r="C79" s="96">
        <v>0.42761316319375164</v>
      </c>
      <c r="D79" s="96">
        <f>VLOOKUP(CurrentMtgRatesDataTable825[[#This Row],[asOfDate]],H:I,2,0)</f>
        <v>0.41284557270170602</v>
      </c>
      <c r="E79" s="96">
        <f>VLOOKUP(CurrentMtgRatesDataTable825[[#This Row],[asOfDate]],O:P,2,0)</f>
        <v>0</v>
      </c>
      <c r="F79" s="97">
        <f ca="1">VLOOKUP(CurrentMtgRatesDataTable825[[#This Row],[asOfDate]]+1,Bloomberg!B:C,2,0)</f>
        <v>1342.6</v>
      </c>
      <c r="H79" s="1">
        <v>41081</v>
      </c>
      <c r="I79" s="33">
        <v>0.86306170802286497</v>
      </c>
      <c r="O79" s="1">
        <v>41081</v>
      </c>
      <c r="P79" s="33">
        <v>0.86355719580735102</v>
      </c>
    </row>
    <row r="80" spans="2:16">
      <c r="B80" s="95">
        <v>41851</v>
      </c>
      <c r="C80" s="96">
        <v>0.46227032845945415</v>
      </c>
      <c r="D80" s="96">
        <f>VLOOKUP(CurrentMtgRatesDataTable825[[#This Row],[asOfDate]],H:I,2,0)</f>
        <v>0.44366576481104603</v>
      </c>
      <c r="E80" s="96">
        <f>VLOOKUP(CurrentMtgRatesDataTable825[[#This Row],[asOfDate]],O:P,2,0)</f>
        <v>0</v>
      </c>
      <c r="F80" s="97">
        <f ca="1">VLOOKUP(CurrentMtgRatesDataTable825[[#This Row],[asOfDate]]+1,Bloomberg!B:C,2,0)</f>
        <v>1373.9</v>
      </c>
      <c r="H80" s="1">
        <v>41088</v>
      </c>
      <c r="I80" s="33">
        <v>0.86306170802286497</v>
      </c>
      <c r="O80" s="1">
        <v>41088</v>
      </c>
      <c r="P80" s="33">
        <v>0.86355719580735102</v>
      </c>
    </row>
    <row r="81" spans="2:16">
      <c r="B81" s="95">
        <v>41844</v>
      </c>
      <c r="C81" s="96">
        <v>0.45404122340567382</v>
      </c>
      <c r="D81" s="96">
        <f>VLOOKUP(CurrentMtgRatesDataTable825[[#This Row],[asOfDate]],H:I,2,0)</f>
        <v>0.44241787954298001</v>
      </c>
      <c r="E81" s="96">
        <f>VLOOKUP(CurrentMtgRatesDataTable825[[#This Row],[asOfDate]],O:P,2,0)</f>
        <v>0</v>
      </c>
      <c r="F81" s="97">
        <f ca="1">VLOOKUP(CurrentMtgRatesDataTable825[[#This Row],[asOfDate]]+1,Bloomberg!B:C,2,0)</f>
        <v>1327.5</v>
      </c>
      <c r="H81" s="1">
        <v>41095</v>
      </c>
      <c r="I81" s="33">
        <v>0.85531584833132801</v>
      </c>
      <c r="O81" s="1">
        <v>41095</v>
      </c>
      <c r="P81" s="33">
        <v>0.85480310148891403</v>
      </c>
    </row>
    <row r="82" spans="2:16">
      <c r="B82" s="95">
        <v>41837</v>
      </c>
      <c r="C82" s="96">
        <v>0.45404122340567382</v>
      </c>
      <c r="D82" s="96">
        <f>VLOOKUP(CurrentMtgRatesDataTable825[[#This Row],[asOfDate]],H:I,2,0)</f>
        <v>0.44241787954298001</v>
      </c>
      <c r="E82" s="96">
        <f>VLOOKUP(CurrentMtgRatesDataTable825[[#This Row],[asOfDate]],O:P,2,0)</f>
        <v>0</v>
      </c>
      <c r="F82" s="97">
        <f ca="1">VLOOKUP(CurrentMtgRatesDataTable825[[#This Row],[asOfDate]]+1,Bloomberg!B:C,2,0)</f>
        <v>1400.7</v>
      </c>
      <c r="H82" s="1">
        <v>41102</v>
      </c>
      <c r="I82" s="33">
        <v>0.88265848165302496</v>
      </c>
      <c r="O82" s="1">
        <v>41102</v>
      </c>
      <c r="P82" s="33">
        <v>0.88306588959651799</v>
      </c>
    </row>
    <row r="83" spans="2:16">
      <c r="B83" s="95">
        <v>41830</v>
      </c>
      <c r="C83" s="96">
        <v>0.42364839961947226</v>
      </c>
      <c r="D83" s="96">
        <f>VLOOKUP(CurrentMtgRatesDataTable825[[#This Row],[asOfDate]],H:I,2,0)</f>
        <v>0.41926854513922601</v>
      </c>
      <c r="E83" s="96">
        <f>VLOOKUP(CurrentMtgRatesDataTable825[[#This Row],[asOfDate]],O:P,2,0)</f>
        <v>0</v>
      </c>
      <c r="F83" s="97">
        <f ca="1">VLOOKUP(CurrentMtgRatesDataTable825[[#This Row],[asOfDate]]+1,Bloomberg!B:C,2,0)</f>
        <v>1329.7</v>
      </c>
      <c r="H83" s="1">
        <v>41109</v>
      </c>
      <c r="I83" s="33">
        <v>0.88516739973977598</v>
      </c>
      <c r="O83" s="1">
        <v>41109</v>
      </c>
      <c r="P83" s="33">
        <v>0.88557582733423201</v>
      </c>
    </row>
    <row r="84" spans="2:16">
      <c r="B84" s="95">
        <v>41823</v>
      </c>
      <c r="C84" s="96">
        <v>0.48442990028209243</v>
      </c>
      <c r="D84" s="96">
        <f>VLOOKUP(CurrentMtgRatesDataTable825[[#This Row],[asOfDate]],H:I,2,0)</f>
        <v>0.47241973099249801</v>
      </c>
      <c r="E84" s="96">
        <f>VLOOKUP(CurrentMtgRatesDataTable825[[#This Row],[asOfDate]],O:P,2,0)</f>
        <v>4.9242422986382497E-2</v>
      </c>
      <c r="F84" s="97">
        <f ca="1">VLOOKUP(CurrentMtgRatesDataTable825[[#This Row],[asOfDate]]+1,Bloomberg!B:C,2,0)</f>
        <v>1346.8</v>
      </c>
      <c r="H84" s="1">
        <v>41116</v>
      </c>
      <c r="I84" s="33">
        <v>0.89814744996460805</v>
      </c>
      <c r="O84" s="1">
        <v>41116</v>
      </c>
      <c r="P84" s="33">
        <v>0.89854811201564799</v>
      </c>
    </row>
    <row r="85" spans="2:16">
      <c r="B85" s="95">
        <v>41816</v>
      </c>
      <c r="C85" s="96">
        <v>0.47018466104096124</v>
      </c>
      <c r="D85" s="96">
        <f>VLOOKUP(CurrentMtgRatesDataTable825[[#This Row],[asOfDate]],H:I,2,0)</f>
        <v>0.447997908024105</v>
      </c>
      <c r="E85" s="96">
        <f>VLOOKUP(CurrentMtgRatesDataTable825[[#This Row],[asOfDate]],O:P,2,0)</f>
        <v>0</v>
      </c>
      <c r="F85" s="97">
        <f ca="1">VLOOKUP(CurrentMtgRatesDataTable825[[#This Row],[asOfDate]]+1,Bloomberg!B:C,2,0)</f>
        <v>1341.8</v>
      </c>
      <c r="H85" s="1">
        <v>41123</v>
      </c>
      <c r="I85" s="33">
        <v>0.86768818253450297</v>
      </c>
      <c r="O85" s="1">
        <v>41123</v>
      </c>
      <c r="P85" s="33">
        <v>0</v>
      </c>
    </row>
    <row r="86" spans="2:16">
      <c r="B86" s="95">
        <v>41809</v>
      </c>
      <c r="C86" s="96">
        <v>0.42786281792681791</v>
      </c>
      <c r="D86" s="96">
        <f>VLOOKUP(CurrentMtgRatesDataTable825[[#This Row],[asOfDate]],H:I,2,0)</f>
        <v>0.42434402519227898</v>
      </c>
      <c r="E86" s="96">
        <f>VLOOKUP(CurrentMtgRatesDataTable825[[#This Row],[asOfDate]],O:P,2,0)</f>
        <v>0</v>
      </c>
      <c r="F86" s="97">
        <f ca="1">VLOOKUP(CurrentMtgRatesDataTable825[[#This Row],[asOfDate]]+1,Bloomberg!B:C,2,0)</f>
        <v>1333.5</v>
      </c>
      <c r="H86" s="1">
        <v>41130</v>
      </c>
      <c r="I86" s="33">
        <v>0.86745968477328095</v>
      </c>
      <c r="O86" s="1">
        <v>41130</v>
      </c>
      <c r="P86" s="33">
        <v>0</v>
      </c>
    </row>
    <row r="87" spans="2:16">
      <c r="B87" s="95">
        <v>41802</v>
      </c>
      <c r="C87" s="96">
        <v>0.4132153406951769</v>
      </c>
      <c r="D87" s="96">
        <f>VLOOKUP(CurrentMtgRatesDataTable825[[#This Row],[asOfDate]],H:I,2,0)</f>
        <v>0.42258598579352902</v>
      </c>
      <c r="E87" s="96">
        <f>VLOOKUP(CurrentMtgRatesDataTable825[[#This Row],[asOfDate]],O:P,2,0)</f>
        <v>0</v>
      </c>
      <c r="F87" s="97">
        <f ca="1">VLOOKUP(CurrentMtgRatesDataTable825[[#This Row],[asOfDate]]+1,Bloomberg!B:C,2,0)</f>
        <v>1321.3</v>
      </c>
      <c r="H87" s="1">
        <v>41137</v>
      </c>
      <c r="I87" s="33">
        <v>0.85198632502448901</v>
      </c>
      <c r="O87" s="1">
        <v>41137</v>
      </c>
      <c r="P87" s="33">
        <v>0</v>
      </c>
    </row>
    <row r="88" spans="2:16">
      <c r="B88" s="95">
        <v>41795</v>
      </c>
      <c r="C88" s="96">
        <v>0.47018466104096124</v>
      </c>
      <c r="D88" s="96">
        <f>VLOOKUP(CurrentMtgRatesDataTable825[[#This Row],[asOfDate]],H:I,2,0)</f>
        <v>0.447997908024105</v>
      </c>
      <c r="E88" s="96">
        <f>VLOOKUP(CurrentMtgRatesDataTable825[[#This Row],[asOfDate]],O:P,2,0)</f>
        <v>3.2896088379140397E-2</v>
      </c>
      <c r="F88" s="97">
        <f ca="1">VLOOKUP(CurrentMtgRatesDataTable825[[#This Row],[asOfDate]]+1,Bloomberg!B:C,2,0)</f>
        <v>1516.9</v>
      </c>
      <c r="H88" s="1">
        <v>41144</v>
      </c>
      <c r="I88" s="33">
        <v>0.83819941388679298</v>
      </c>
      <c r="O88" s="1">
        <v>41144</v>
      </c>
      <c r="P88" s="33">
        <v>0</v>
      </c>
    </row>
    <row r="89" spans="2:16">
      <c r="B89" s="95">
        <v>41788</v>
      </c>
      <c r="C89" s="96">
        <v>0.46212093229047874</v>
      </c>
      <c r="D89" s="96">
        <f>VLOOKUP(CurrentMtgRatesDataTable825[[#This Row],[asOfDate]],H:I,2,0)</f>
        <v>0.44740081291084099</v>
      </c>
      <c r="E89" s="96">
        <f>VLOOKUP(CurrentMtgRatesDataTable825[[#This Row],[asOfDate]],O:P,2,0)</f>
        <v>2.8641136811507002E-2</v>
      </c>
      <c r="F89" s="97">
        <f ca="1">VLOOKUP(CurrentMtgRatesDataTable825[[#This Row],[asOfDate]]+1,Bloomberg!B:C,2,0)</f>
        <v>1382.6</v>
      </c>
      <c r="H89" s="1">
        <v>41151</v>
      </c>
      <c r="I89" s="33">
        <v>0.86745968477328095</v>
      </c>
      <c r="O89" s="1">
        <v>41151</v>
      </c>
      <c r="P89" s="33">
        <v>0</v>
      </c>
    </row>
    <row r="90" spans="2:16">
      <c r="B90" s="95">
        <v>41781</v>
      </c>
      <c r="C90" s="96">
        <v>0.44690273635148237</v>
      </c>
      <c r="D90" s="96">
        <f>VLOOKUP(CurrentMtgRatesDataTable825[[#This Row],[asOfDate]],H:I,2,0)</f>
        <v>0.44562837110466802</v>
      </c>
      <c r="E90" s="96">
        <f>VLOOKUP(CurrentMtgRatesDataTable825[[#This Row],[asOfDate]],O:P,2,0)</f>
        <v>1.7600292816905099E-2</v>
      </c>
      <c r="F90" s="97">
        <f ca="1">VLOOKUP(CurrentMtgRatesDataTable825[[#This Row],[asOfDate]]+1,Bloomberg!B:C,2,0)</f>
        <v>1453.4</v>
      </c>
      <c r="H90" s="1">
        <v>41158</v>
      </c>
      <c r="I90" s="33">
        <v>0.854493626143913</v>
      </c>
      <c r="O90" s="1">
        <v>41158</v>
      </c>
      <c r="P90" s="33">
        <v>0</v>
      </c>
    </row>
    <row r="91" spans="2:16">
      <c r="B91" s="95">
        <v>41774</v>
      </c>
      <c r="C91" s="96">
        <v>0.41535226346324033</v>
      </c>
      <c r="D91" s="96">
        <f>VLOOKUP(CurrentMtgRatesDataTable825[[#This Row],[asOfDate]],H:I,2,0)</f>
        <v>0.42349289634896597</v>
      </c>
      <c r="E91" s="96">
        <f>VLOOKUP(CurrentMtgRatesDataTable825[[#This Row],[asOfDate]],O:P,2,0)</f>
        <v>1.3390108612719401E-2</v>
      </c>
      <c r="F91" s="97">
        <f ca="1">VLOOKUP(CurrentMtgRatesDataTable825[[#This Row],[asOfDate]]+1,Bloomberg!B:C,2,0)</f>
        <v>1460.6</v>
      </c>
      <c r="H91" s="1">
        <v>41165</v>
      </c>
      <c r="I91" s="33">
        <v>0.85731125996939705</v>
      </c>
      <c r="O91" s="1">
        <v>41165</v>
      </c>
      <c r="P91" s="33">
        <v>3.4287960012666001E-3</v>
      </c>
    </row>
    <row r="92" spans="2:16">
      <c r="B92" s="95">
        <v>41767</v>
      </c>
      <c r="C92" s="96">
        <v>0.41189601141635707</v>
      </c>
      <c r="D92" s="96">
        <f>VLOOKUP(CurrentMtgRatesDataTable825[[#This Row],[asOfDate]],H:I,2,0)</f>
        <v>0.42315654967107302</v>
      </c>
      <c r="E92" s="96">
        <f>VLOOKUP(CurrentMtgRatesDataTable825[[#This Row],[asOfDate]],O:P,2,0)</f>
        <v>1.33698656511534E-2</v>
      </c>
      <c r="F92" s="97">
        <f ca="1">VLOOKUP(CurrentMtgRatesDataTable825[[#This Row],[asOfDate]]+1,Bloomberg!B:C,2,0)</f>
        <v>1400.9</v>
      </c>
      <c r="H92" s="1">
        <v>41172</v>
      </c>
      <c r="I92" s="33">
        <v>0.87344930653794395</v>
      </c>
      <c r="O92" s="1">
        <v>41172</v>
      </c>
      <c r="P92" s="33">
        <v>0.87391634150534703</v>
      </c>
    </row>
    <row r="93" spans="2:16">
      <c r="B93" s="95">
        <v>41760</v>
      </c>
      <c r="C93" s="96">
        <v>0.37749232793152004</v>
      </c>
      <c r="D93" s="96">
        <f>VLOOKUP(CurrentMtgRatesDataTable825[[#This Row],[asOfDate]],H:I,2,0)</f>
        <v>0.37348002875422498</v>
      </c>
      <c r="E93" s="96">
        <f>VLOOKUP(CurrentMtgRatesDataTable825[[#This Row],[asOfDate]],O:P,2,0)</f>
        <v>0</v>
      </c>
      <c r="F93" s="97">
        <f ca="1">VLOOKUP(CurrentMtgRatesDataTable825[[#This Row],[asOfDate]]+1,Bloomberg!B:C,2,0)</f>
        <v>1323.9</v>
      </c>
      <c r="H93" s="1">
        <v>41179</v>
      </c>
      <c r="I93" s="33">
        <v>0.91259028169208301</v>
      </c>
      <c r="O93" s="1">
        <v>41179</v>
      </c>
      <c r="P93" s="33">
        <v>0.91307424668051995</v>
      </c>
    </row>
    <row r="94" spans="2:16">
      <c r="B94" s="95">
        <v>41753</v>
      </c>
      <c r="C94" s="96">
        <v>0.37795299805706567</v>
      </c>
      <c r="D94" s="96">
        <f>VLOOKUP(CurrentMtgRatesDataTable825[[#This Row],[asOfDate]],H:I,2,0)</f>
        <v>0.37394334466633</v>
      </c>
      <c r="E94" s="96">
        <f>VLOOKUP(CurrentMtgRatesDataTable825[[#This Row],[asOfDate]],O:P,2,0)</f>
        <v>0</v>
      </c>
      <c r="F94" s="97">
        <f ca="1">VLOOKUP(CurrentMtgRatesDataTable825[[#This Row],[asOfDate]]+1,Bloomberg!B:C,2,0)</f>
        <v>1298.0999999999999</v>
      </c>
      <c r="H94" s="1">
        <v>41186</v>
      </c>
      <c r="I94" s="33">
        <v>0.89522709255279198</v>
      </c>
      <c r="O94" s="1">
        <v>41186</v>
      </c>
      <c r="P94" s="33">
        <v>0.89337068210282</v>
      </c>
    </row>
    <row r="95" spans="2:16">
      <c r="B95" s="95">
        <v>41746</v>
      </c>
      <c r="C95" s="96">
        <v>0.38501077847486359</v>
      </c>
      <c r="D95" s="96">
        <f>VLOOKUP(CurrentMtgRatesDataTable825[[#This Row],[asOfDate]],H:I,2,0)</f>
        <v>0.37550642358643799</v>
      </c>
      <c r="E95" s="96">
        <f>VLOOKUP(CurrentMtgRatesDataTable825[[#This Row],[asOfDate]],O:P,2,0)</f>
        <v>1.3569924293908599E-3</v>
      </c>
      <c r="F95" s="97">
        <f ca="1">VLOOKUP(CurrentMtgRatesDataTable825[[#This Row],[asOfDate]]+1,Bloomberg!B:C,2,0)</f>
        <v>1370.9</v>
      </c>
      <c r="H95" s="1">
        <v>41193</v>
      </c>
      <c r="I95" s="33">
        <v>0.87811016351224602</v>
      </c>
      <c r="O95" s="1">
        <v>41193</v>
      </c>
      <c r="P95" s="33">
        <v>0</v>
      </c>
    </row>
    <row r="96" spans="2:16">
      <c r="B96" s="95">
        <v>41739</v>
      </c>
      <c r="C96" s="96">
        <v>0.37093015775517096</v>
      </c>
      <c r="D96" s="96">
        <f>VLOOKUP(CurrentMtgRatesDataTable825[[#This Row],[asOfDate]],H:I,2,0)</f>
        <v>0.34451093908200903</v>
      </c>
      <c r="E96" s="96">
        <f>VLOOKUP(CurrentMtgRatesDataTable825[[#This Row],[asOfDate]],O:P,2,0)</f>
        <v>3.2608018628066501E-4</v>
      </c>
      <c r="F96" s="97">
        <f ca="1">VLOOKUP(CurrentMtgRatesDataTable825[[#This Row],[asOfDate]]+1,Bloomberg!B:C,2,0)</f>
        <v>1429.9</v>
      </c>
      <c r="H96" s="1">
        <v>41200</v>
      </c>
      <c r="I96" s="33">
        <v>0.89368551357821302</v>
      </c>
      <c r="O96" s="1">
        <v>41200</v>
      </c>
      <c r="P96" s="33">
        <v>0</v>
      </c>
    </row>
    <row r="97" spans="2:16">
      <c r="B97" s="95">
        <v>41732</v>
      </c>
      <c r="C97" s="96">
        <v>0.35962750862378579</v>
      </c>
      <c r="D97" s="96">
        <f>VLOOKUP(CurrentMtgRatesDataTable825[[#This Row],[asOfDate]],H:I,2,0)</f>
        <v>0.31383635422742501</v>
      </c>
      <c r="E97" s="96">
        <f>VLOOKUP(CurrentMtgRatesDataTable825[[#This Row],[asOfDate]],O:P,2,0)</f>
        <v>0</v>
      </c>
      <c r="F97" s="97">
        <f ca="1">VLOOKUP(CurrentMtgRatesDataTable825[[#This Row],[asOfDate]]+1,Bloomberg!B:C,2,0)</f>
        <v>1324.7</v>
      </c>
      <c r="H97" s="1">
        <v>41207</v>
      </c>
      <c r="I97" s="33">
        <v>0.87683234085301398</v>
      </c>
      <c r="O97" s="1">
        <v>41207</v>
      </c>
      <c r="P97" s="33">
        <v>0</v>
      </c>
    </row>
    <row r="98" spans="2:16">
      <c r="B98" s="95">
        <v>41725</v>
      </c>
      <c r="C98" s="96">
        <v>0.36918426917853386</v>
      </c>
      <c r="D98" s="96">
        <f>VLOOKUP(CurrentMtgRatesDataTable825[[#This Row],[asOfDate]],H:I,2,0)</f>
        <v>0.34373332978073601</v>
      </c>
      <c r="E98" s="96">
        <f>VLOOKUP(CurrentMtgRatesDataTable825[[#This Row],[asOfDate]],O:P,2,0)</f>
        <v>0</v>
      </c>
      <c r="F98" s="97">
        <f ca="1">VLOOKUP(CurrentMtgRatesDataTable825[[#This Row],[asOfDate]]+1,Bloomberg!B:C,2,0)</f>
        <v>1383.5</v>
      </c>
      <c r="H98" s="1">
        <v>41214</v>
      </c>
      <c r="I98" s="33">
        <v>0.85225052894835196</v>
      </c>
      <c r="O98" s="1">
        <v>41214</v>
      </c>
      <c r="P98" s="33">
        <v>0</v>
      </c>
    </row>
    <row r="99" spans="2:16">
      <c r="B99" s="95">
        <v>41718</v>
      </c>
      <c r="C99" s="96">
        <v>0.38281318096373629</v>
      </c>
      <c r="D99" s="96">
        <f>VLOOKUP(CurrentMtgRatesDataTable825[[#This Row],[asOfDate]],H:I,2,0)</f>
        <v>0.37475184713589199</v>
      </c>
      <c r="E99" s="96">
        <f>VLOOKUP(CurrentMtgRatesDataTable825[[#This Row],[asOfDate]],O:P,2,0)</f>
        <v>0</v>
      </c>
      <c r="F99" s="97">
        <f ca="1">VLOOKUP(CurrentMtgRatesDataTable825[[#This Row],[asOfDate]]+1,Bloomberg!B:C,2,0)</f>
        <v>1426.3</v>
      </c>
      <c r="H99" s="1">
        <v>41221</v>
      </c>
      <c r="I99" s="33">
        <v>0.85194480836680198</v>
      </c>
      <c r="O99" s="1">
        <v>41221</v>
      </c>
      <c r="P99" s="33">
        <v>0</v>
      </c>
    </row>
    <row r="100" spans="2:16">
      <c r="B100" s="95">
        <v>41711</v>
      </c>
      <c r="C100" s="96">
        <v>0.37243700930193413</v>
      </c>
      <c r="D100" s="96">
        <f>VLOOKUP(CurrentMtgRatesDataTable825[[#This Row],[asOfDate]],H:I,2,0)</f>
        <v>0.34537825411835699</v>
      </c>
      <c r="E100" s="96">
        <f>VLOOKUP(CurrentMtgRatesDataTable825[[#This Row],[asOfDate]],O:P,2,0)</f>
        <v>0</v>
      </c>
      <c r="F100" s="97">
        <f ca="1">VLOOKUP(CurrentMtgRatesDataTable825[[#This Row],[asOfDate]]+1,Bloomberg!B:C,2,0)</f>
        <v>1552.1</v>
      </c>
      <c r="H100" s="1">
        <v>41228</v>
      </c>
      <c r="I100" s="33">
        <v>0.86999483052125803</v>
      </c>
      <c r="O100" s="1">
        <v>41228</v>
      </c>
      <c r="P100" s="33">
        <v>3.6805392889150699E-3</v>
      </c>
    </row>
    <row r="101" spans="2:16">
      <c r="B101" s="95">
        <v>41704</v>
      </c>
      <c r="C101" s="96">
        <v>0.38532630107916044</v>
      </c>
      <c r="D101" s="96">
        <f>VLOOKUP(CurrentMtgRatesDataTable825[[#This Row],[asOfDate]],H:I,2,0)</f>
        <v>0.37584545219724702</v>
      </c>
      <c r="E101" s="96">
        <f>VLOOKUP(CurrentMtgRatesDataTable825[[#This Row],[asOfDate]],O:P,2,0)</f>
        <v>0</v>
      </c>
      <c r="F101" s="97">
        <f ca="1">VLOOKUP(CurrentMtgRatesDataTable825[[#This Row],[asOfDate]]+1,Bloomberg!B:C,2,0)</f>
        <v>1528</v>
      </c>
      <c r="H101" s="1">
        <v>41234</v>
      </c>
      <c r="I101" s="33">
        <v>0.88773399472374204</v>
      </c>
      <c r="O101" s="1">
        <v>41234</v>
      </c>
      <c r="P101" s="33">
        <v>0.88870182147749199</v>
      </c>
    </row>
    <row r="102" spans="2:16">
      <c r="B102" s="95">
        <v>41697</v>
      </c>
      <c r="C102" s="96">
        <v>0.37411351911497304</v>
      </c>
      <c r="D102" s="96">
        <f>VLOOKUP(CurrentMtgRatesDataTable825[[#This Row],[asOfDate]],H:I,2,0)</f>
        <v>0.34853875137296803</v>
      </c>
      <c r="E102" s="96">
        <f>VLOOKUP(CurrentMtgRatesDataTable825[[#This Row],[asOfDate]],O:P,2,0)</f>
        <v>0</v>
      </c>
      <c r="F102" s="97">
        <f ca="1">VLOOKUP(CurrentMtgRatesDataTable825[[#This Row],[asOfDate]]+1,Bloomberg!B:C,2,0)</f>
        <v>1600.6</v>
      </c>
      <c r="H102" s="1">
        <v>41242</v>
      </c>
      <c r="I102" s="33">
        <v>0.86996445945149903</v>
      </c>
      <c r="O102" s="1">
        <v>41242</v>
      </c>
      <c r="P102" s="33">
        <v>0</v>
      </c>
    </row>
    <row r="103" spans="2:16">
      <c r="B103" s="95">
        <v>41690</v>
      </c>
      <c r="C103" s="96">
        <v>0.37945519055423005</v>
      </c>
      <c r="D103" s="96">
        <f>VLOOKUP(CurrentMtgRatesDataTable825[[#This Row],[asOfDate]],H:I,2,0)</f>
        <v>0.35043602810261099</v>
      </c>
      <c r="E103" s="96">
        <f>VLOOKUP(CurrentMtgRatesDataTable825[[#This Row],[asOfDate]],O:P,2,0)</f>
        <v>0</v>
      </c>
      <c r="F103" s="97">
        <f ca="1">VLOOKUP(CurrentMtgRatesDataTable825[[#This Row],[asOfDate]]+1,Bloomberg!B:C,2,0)</f>
        <v>1442.3</v>
      </c>
      <c r="H103" s="1">
        <v>41249</v>
      </c>
      <c r="I103" s="33">
        <v>0.85662578219432695</v>
      </c>
      <c r="O103" s="1">
        <v>41249</v>
      </c>
      <c r="P103" s="33">
        <v>0</v>
      </c>
    </row>
    <row r="104" spans="2:16">
      <c r="B104" s="95">
        <v>41683</v>
      </c>
      <c r="C104" s="96">
        <v>0.38811614070914796</v>
      </c>
      <c r="D104" s="96">
        <f>VLOOKUP(CurrentMtgRatesDataTable825[[#This Row],[asOfDate]],H:I,2,0)</f>
        <v>0.380280894786581</v>
      </c>
      <c r="E104" s="96">
        <f>VLOOKUP(CurrentMtgRatesDataTable825[[#This Row],[asOfDate]],O:P,2,0)</f>
        <v>0</v>
      </c>
      <c r="F104" s="97">
        <f ca="1">VLOOKUP(CurrentMtgRatesDataTable825[[#This Row],[asOfDate]]+1,Bloomberg!B:C,2,0)</f>
        <v>1650.6</v>
      </c>
      <c r="H104" s="1">
        <v>41256</v>
      </c>
      <c r="I104" s="33">
        <v>0.87412257034895602</v>
      </c>
      <c r="O104" s="1">
        <v>41256</v>
      </c>
      <c r="P104" s="33">
        <v>1.92397129365898E-3</v>
      </c>
    </row>
    <row r="105" spans="2:16">
      <c r="B105" s="95">
        <v>41676</v>
      </c>
      <c r="C105" s="96">
        <v>0.40297154475851232</v>
      </c>
      <c r="D105" s="96">
        <f>VLOOKUP(CurrentMtgRatesDataTable825[[#This Row],[asOfDate]],H:I,2,0)</f>
        <v>0.407383000493176</v>
      </c>
      <c r="E105" s="96">
        <f>VLOOKUP(CurrentMtgRatesDataTable825[[#This Row],[asOfDate]],O:P,2,0)</f>
        <v>1.56502134325395E-3</v>
      </c>
      <c r="F105" s="97">
        <f ca="1">VLOOKUP(CurrentMtgRatesDataTable825[[#This Row],[asOfDate]]+1,Bloomberg!B:C,2,0)</f>
        <v>1674.2</v>
      </c>
      <c r="H105" s="1">
        <v>41263</v>
      </c>
      <c r="I105" s="33">
        <v>0.85522983991809798</v>
      </c>
      <c r="O105" s="1">
        <v>41263</v>
      </c>
      <c r="P105" s="33">
        <v>0</v>
      </c>
    </row>
    <row r="106" spans="2:16">
      <c r="B106" s="95">
        <v>41669</v>
      </c>
      <c r="C106" s="96">
        <v>0.38688449383864632</v>
      </c>
      <c r="D106" s="96">
        <f>VLOOKUP(CurrentMtgRatesDataTable825[[#This Row],[asOfDate]],H:I,2,0)</f>
        <v>0.38449844249950499</v>
      </c>
      <c r="E106" s="96">
        <f>VLOOKUP(CurrentMtgRatesDataTable825[[#This Row],[asOfDate]],O:P,2,0)</f>
        <v>9.04155248858617E-4</v>
      </c>
      <c r="F106" s="97">
        <f ca="1">VLOOKUP(CurrentMtgRatesDataTable825[[#This Row],[asOfDate]]+1,Bloomberg!B:C,2,0)</f>
        <v>1667.5</v>
      </c>
      <c r="H106" s="1">
        <v>41270</v>
      </c>
      <c r="I106" s="33">
        <v>0.85626060279274896</v>
      </c>
      <c r="O106" s="1">
        <v>41270</v>
      </c>
      <c r="P106" s="33">
        <v>0</v>
      </c>
    </row>
    <row r="107" spans="2:16">
      <c r="B107" s="95">
        <v>41662</v>
      </c>
      <c r="C107" s="96">
        <v>0.37647743708570247</v>
      </c>
      <c r="D107" s="96">
        <f>VLOOKUP(CurrentMtgRatesDataTable825[[#This Row],[asOfDate]],H:I,2,0)</f>
        <v>0.32547727058860199</v>
      </c>
      <c r="E107" s="96">
        <f>VLOOKUP(CurrentMtgRatesDataTable825[[#This Row],[asOfDate]],O:P,2,0)</f>
        <v>4.3538471617421198E-4</v>
      </c>
      <c r="F107" s="97">
        <f ca="1">VLOOKUP(CurrentMtgRatesDataTable825[[#This Row],[asOfDate]]+1,Bloomberg!B:C,2,0)</f>
        <v>1601.2</v>
      </c>
      <c r="H107" s="1">
        <v>41277</v>
      </c>
      <c r="I107" s="33">
        <v>0.83696581575361895</v>
      </c>
      <c r="O107" s="1">
        <v>41277</v>
      </c>
      <c r="P107" s="33">
        <v>0</v>
      </c>
    </row>
    <row r="108" spans="2:16">
      <c r="B108" s="95">
        <v>41655</v>
      </c>
      <c r="C108" s="96">
        <v>0.37338021104571051</v>
      </c>
      <c r="D108" s="96">
        <f>VLOOKUP(CurrentMtgRatesDataTable825[[#This Row],[asOfDate]],H:I,2,0)</f>
        <v>0.32467403778332998</v>
      </c>
      <c r="E108" s="96">
        <f>VLOOKUP(CurrentMtgRatesDataTable825[[#This Row],[asOfDate]],O:P,2,0)</f>
        <v>4.3244857845843099E-4</v>
      </c>
      <c r="F108" s="97">
        <f ca="1">VLOOKUP(CurrentMtgRatesDataTable825[[#This Row],[asOfDate]]+1,Bloomberg!B:C,2,0)</f>
        <v>1675.8</v>
      </c>
      <c r="H108" s="1">
        <v>41284</v>
      </c>
      <c r="I108" s="33">
        <v>0.81798384699460103</v>
      </c>
      <c r="O108" s="1">
        <v>41284</v>
      </c>
      <c r="P108" s="33">
        <v>0</v>
      </c>
    </row>
    <row r="109" spans="2:16">
      <c r="B109" s="95">
        <v>41648</v>
      </c>
      <c r="C109" s="96">
        <v>0.29562447577972156</v>
      </c>
      <c r="D109" s="96">
        <f>VLOOKUP(CurrentMtgRatesDataTable825[[#This Row],[asOfDate]],H:I,2,0)</f>
        <v>0.29015447722721099</v>
      </c>
      <c r="E109" s="96">
        <f>VLOOKUP(CurrentMtgRatesDataTable825[[#This Row],[asOfDate]],O:P,2,0)</f>
        <v>1.04165660314928E-4</v>
      </c>
      <c r="F109" s="97">
        <f ca="1">VLOOKUP(CurrentMtgRatesDataTable825[[#This Row],[asOfDate]]+1,Bloomberg!B:C,2,0)</f>
        <v>1507</v>
      </c>
      <c r="H109" s="1">
        <v>41291</v>
      </c>
      <c r="I109" s="33">
        <v>0.83503612629874802</v>
      </c>
      <c r="O109" s="1">
        <v>41291</v>
      </c>
      <c r="P109" s="33">
        <v>0</v>
      </c>
    </row>
    <row r="110" spans="2:16">
      <c r="B110" s="95">
        <v>41641</v>
      </c>
      <c r="C110" s="96">
        <v>0.26713898011245318</v>
      </c>
      <c r="D110" s="96">
        <f>VLOOKUP(CurrentMtgRatesDataTable825[[#This Row],[asOfDate]],H:I,2,0)</f>
        <v>0.265306805945277</v>
      </c>
      <c r="E110" s="96">
        <f>VLOOKUP(CurrentMtgRatesDataTable825[[#This Row],[asOfDate]],O:P,2,0)</f>
        <v>0</v>
      </c>
      <c r="F110" s="97">
        <f ca="1">VLOOKUP(CurrentMtgRatesDataTable825[[#This Row],[asOfDate]]+1,Bloomberg!B:C,2,0)</f>
        <v>1352.7</v>
      </c>
      <c r="H110" s="1">
        <v>41298</v>
      </c>
      <c r="I110" s="33">
        <v>0.81634992305868503</v>
      </c>
      <c r="O110" s="1">
        <v>41298</v>
      </c>
      <c r="P110" s="33">
        <v>0</v>
      </c>
    </row>
    <row r="111" spans="2:16">
      <c r="B111" s="95">
        <v>41634</v>
      </c>
      <c r="C111" s="96">
        <v>0.33707254184688035</v>
      </c>
      <c r="D111" s="96">
        <f>VLOOKUP(CurrentMtgRatesDataTable825[[#This Row],[asOfDate]],H:I,2,0)</f>
        <v>0.29162362501885603</v>
      </c>
      <c r="E111" s="96">
        <f>VLOOKUP(CurrentMtgRatesDataTable825[[#This Row],[asOfDate]],O:P,2,0)</f>
        <v>0</v>
      </c>
      <c r="F111" s="97">
        <f ca="1">VLOOKUP(CurrentMtgRatesDataTable825[[#This Row],[asOfDate]]+1,Bloomberg!B:C,2,0)</f>
        <v>1277.8</v>
      </c>
      <c r="H111" s="1">
        <v>41305</v>
      </c>
      <c r="I111" s="33">
        <v>0.77322369572310801</v>
      </c>
      <c r="O111" s="1">
        <v>41305</v>
      </c>
      <c r="P111" s="33">
        <v>0</v>
      </c>
    </row>
    <row r="112" spans="2:16">
      <c r="B112" s="95">
        <v>41627</v>
      </c>
      <c r="C112" s="96">
        <v>0.34660194288586071</v>
      </c>
      <c r="D112" s="96">
        <f>VLOOKUP(CurrentMtgRatesDataTable825[[#This Row],[asOfDate]],H:I,2,0)</f>
        <v>0.29198850689481598</v>
      </c>
      <c r="E112" s="96">
        <f>VLOOKUP(CurrentMtgRatesDataTable825[[#This Row],[asOfDate]],O:P,2,0)</f>
        <v>0</v>
      </c>
      <c r="F112" s="97">
        <f ca="1">VLOOKUP(CurrentMtgRatesDataTable825[[#This Row],[asOfDate]]+1,Bloomberg!B:C,2,0)</f>
        <v>1426.7</v>
      </c>
      <c r="H112" s="1">
        <v>41312</v>
      </c>
      <c r="I112" s="33">
        <v>0.75155379277106704</v>
      </c>
      <c r="O112" s="1">
        <v>41312</v>
      </c>
      <c r="P112" s="33">
        <v>0</v>
      </c>
    </row>
    <row r="113" spans="2:16">
      <c r="B113" s="95">
        <v>41620</v>
      </c>
      <c r="C113" s="96">
        <v>0.37693581248534513</v>
      </c>
      <c r="D113" s="96">
        <f>VLOOKUP(CurrentMtgRatesDataTable825[[#This Row],[asOfDate]],H:I,2,0)</f>
        <v>0.33082970500556302</v>
      </c>
      <c r="E113" s="96">
        <f>VLOOKUP(CurrentMtgRatesDataTable825[[#This Row],[asOfDate]],O:P,2,0)</f>
        <v>0</v>
      </c>
      <c r="F113" s="97">
        <f ca="1">VLOOKUP(CurrentMtgRatesDataTable825[[#This Row],[asOfDate]]+1,Bloomberg!B:C,2,0)</f>
        <v>1529.8</v>
      </c>
      <c r="H113" s="1">
        <v>41319</v>
      </c>
      <c r="I113" s="33">
        <v>0.75155379277106704</v>
      </c>
      <c r="O113" s="1">
        <v>41319</v>
      </c>
      <c r="P113" s="33">
        <v>5.4993651942507197E-4</v>
      </c>
    </row>
    <row r="114" spans="2:16">
      <c r="B114" s="95">
        <v>41613</v>
      </c>
      <c r="C114" s="96">
        <v>0.37955489771721246</v>
      </c>
      <c r="D114" s="96">
        <f>VLOOKUP(CurrentMtgRatesDataTable825[[#This Row],[asOfDate]],H:I,2,0)</f>
        <v>0.331227934580689</v>
      </c>
      <c r="E114" s="96">
        <f>VLOOKUP(CurrentMtgRatesDataTable825[[#This Row],[asOfDate]],O:P,2,0)</f>
        <v>0</v>
      </c>
      <c r="F114" s="97">
        <f ca="1">VLOOKUP(CurrentMtgRatesDataTable825[[#This Row],[asOfDate]]+1,Bloomberg!B:C,2,0)</f>
        <v>1599.4</v>
      </c>
      <c r="H114" s="1">
        <v>41326</v>
      </c>
      <c r="I114" s="33">
        <v>0.73462902469773095</v>
      </c>
      <c r="O114" s="1">
        <v>41326</v>
      </c>
      <c r="P114" s="33">
        <v>0</v>
      </c>
    </row>
    <row r="115" spans="2:16">
      <c r="B115" s="95">
        <v>41605</v>
      </c>
      <c r="C115" s="96">
        <v>0.4012610510109535</v>
      </c>
      <c r="D115" s="96">
        <f>VLOOKUP(CurrentMtgRatesDataTable825[[#This Row],[asOfDate]],H:I,2,0)</f>
        <v>0.401262959025458</v>
      </c>
      <c r="E115" s="96">
        <f>VLOOKUP(CurrentMtgRatesDataTable825[[#This Row],[asOfDate]],O:P,2,0)</f>
        <v>0</v>
      </c>
      <c r="F115" s="97" t="e">
        <f ca="1">VLOOKUP(CurrentMtgRatesDataTable825[[#This Row],[asOfDate]]+1,Bloomberg!B:C,2,0)</f>
        <v>#N/A</v>
      </c>
      <c r="H115" s="1">
        <v>41333</v>
      </c>
      <c r="I115" s="33">
        <v>0.75332777657917305</v>
      </c>
      <c r="O115" s="1">
        <v>41333</v>
      </c>
      <c r="P115" s="33">
        <v>5.5309707563809801E-4</v>
      </c>
    </row>
    <row r="116" spans="2:16">
      <c r="B116" s="95">
        <v>41599</v>
      </c>
      <c r="C116" s="96">
        <v>0.41528178559290679</v>
      </c>
      <c r="D116" s="96">
        <f>VLOOKUP(CurrentMtgRatesDataTable825[[#This Row],[asOfDate]],H:I,2,0)</f>
        <v>0.42989701258795199</v>
      </c>
      <c r="E116" s="96">
        <f>VLOOKUP(CurrentMtgRatesDataTable825[[#This Row],[asOfDate]],O:P,2,0)</f>
        <v>0</v>
      </c>
      <c r="F116" s="97">
        <f ca="1">VLOOKUP(CurrentMtgRatesDataTable825[[#This Row],[asOfDate]]+1,Bloomberg!B:C,2,0)</f>
        <v>1917.2</v>
      </c>
      <c r="H116" s="1">
        <v>41340</v>
      </c>
      <c r="I116" s="33">
        <v>0.731898053840778</v>
      </c>
      <c r="O116" s="1">
        <v>41340</v>
      </c>
      <c r="P116" s="33">
        <v>7.62863846133132E-4</v>
      </c>
    </row>
    <row r="117" spans="2:16">
      <c r="B117" s="95">
        <v>41592</v>
      </c>
      <c r="C117" s="96">
        <v>0.39324233603958814</v>
      </c>
      <c r="D117" s="96">
        <f>VLOOKUP(CurrentMtgRatesDataTable825[[#This Row],[asOfDate]],H:I,2,0)</f>
        <v>0.37120289750535601</v>
      </c>
      <c r="E117" s="96">
        <f>VLOOKUP(CurrentMtgRatesDataTable825[[#This Row],[asOfDate]],O:P,2,0)</f>
        <v>0</v>
      </c>
      <c r="F117" s="97">
        <f ca="1">VLOOKUP(CurrentMtgRatesDataTable825[[#This Row],[asOfDate]]+1,Bloomberg!B:C,2,0)</f>
        <v>1903.5</v>
      </c>
      <c r="H117" s="1">
        <v>41347</v>
      </c>
      <c r="I117" s="33">
        <v>0.69793386100167498</v>
      </c>
      <c r="O117" s="1">
        <v>41347</v>
      </c>
      <c r="P117" s="33">
        <v>0</v>
      </c>
    </row>
    <row r="118" spans="2:16">
      <c r="B118" s="95">
        <v>41585</v>
      </c>
      <c r="C118" s="96">
        <v>0.42241812473217372</v>
      </c>
      <c r="D118" s="96">
        <f>VLOOKUP(CurrentMtgRatesDataTable825[[#This Row],[asOfDate]],H:I,2,0)</f>
        <v>0.44788779304034998</v>
      </c>
      <c r="E118" s="96">
        <f>VLOOKUP(CurrentMtgRatesDataTable825[[#This Row],[asOfDate]],O:P,2,0)</f>
        <v>0</v>
      </c>
      <c r="F118" s="97">
        <f ca="1">VLOOKUP(CurrentMtgRatesDataTable825[[#This Row],[asOfDate]]+1,Bloomberg!B:C,2,0)</f>
        <v>2056.9</v>
      </c>
      <c r="H118" s="1">
        <v>41354</v>
      </c>
      <c r="I118" s="33">
        <v>0.72870485724391698</v>
      </c>
      <c r="O118" s="1">
        <v>41354</v>
      </c>
      <c r="P118" s="33">
        <v>0</v>
      </c>
    </row>
    <row r="119" spans="2:16">
      <c r="B119" s="95">
        <v>41578</v>
      </c>
      <c r="C119" s="96">
        <v>0.45812068858697386</v>
      </c>
      <c r="D119" s="96">
        <f>VLOOKUP(CurrentMtgRatesDataTable825[[#This Row],[asOfDate]],H:I,2,0)</f>
        <v>0.47501022290439499</v>
      </c>
      <c r="E119" s="96">
        <f>VLOOKUP(CurrentMtgRatesDataTable825[[#This Row],[asOfDate]],O:P,2,0)</f>
        <v>6.1587902327108696E-3</v>
      </c>
      <c r="F119" s="97">
        <f ca="1">VLOOKUP(CurrentMtgRatesDataTable825[[#This Row],[asOfDate]]+1,Bloomberg!B:C,2,0)</f>
        <v>2105.6</v>
      </c>
      <c r="H119" s="1">
        <v>41361</v>
      </c>
      <c r="I119" s="33">
        <v>0.712062870316722</v>
      </c>
      <c r="O119" s="1">
        <v>41361</v>
      </c>
      <c r="P119" s="33">
        <v>0</v>
      </c>
    </row>
    <row r="120" spans="2:16">
      <c r="B120" s="95">
        <v>41571</v>
      </c>
      <c r="C120" s="96">
        <v>0.42936473511090067</v>
      </c>
      <c r="D120" s="96">
        <f>VLOOKUP(CurrentMtgRatesDataTable825[[#This Row],[asOfDate]],H:I,2,0)</f>
        <v>0.45648777309490202</v>
      </c>
      <c r="E120" s="96">
        <f>VLOOKUP(CurrentMtgRatesDataTable825[[#This Row],[asOfDate]],O:P,2,0)</f>
        <v>4.7022607373106203E-3</v>
      </c>
      <c r="F120" s="97">
        <f ca="1">VLOOKUP(CurrentMtgRatesDataTable825[[#This Row],[asOfDate]]+1,Bloomberg!B:C,2,0)</f>
        <v>2211.8000000000002</v>
      </c>
      <c r="H120" s="1">
        <v>41368</v>
      </c>
      <c r="I120" s="33">
        <v>0.71361316522728502</v>
      </c>
      <c r="O120" s="1">
        <v>41368</v>
      </c>
      <c r="P120" s="33">
        <v>0</v>
      </c>
    </row>
    <row r="121" spans="2:16">
      <c r="B121" s="95">
        <v>41564</v>
      </c>
      <c r="C121" s="96">
        <v>0.40745334709317088</v>
      </c>
      <c r="D121" s="96">
        <f>VLOOKUP(CurrentMtgRatesDataTable825[[#This Row],[asOfDate]],H:I,2,0)</f>
        <v>0.40902347477168999</v>
      </c>
      <c r="E121" s="96">
        <f>VLOOKUP(CurrentMtgRatesDataTable825[[#This Row],[asOfDate]],O:P,2,0)</f>
        <v>0</v>
      </c>
      <c r="F121" s="97">
        <f ca="1">VLOOKUP(CurrentMtgRatesDataTable825[[#This Row],[asOfDate]]+1,Bloomberg!B:C,2,0)</f>
        <v>2033.7</v>
      </c>
      <c r="H121" s="1">
        <v>41375</v>
      </c>
      <c r="I121" s="33">
        <v>0.73719138808657003</v>
      </c>
      <c r="O121" s="1">
        <v>41375</v>
      </c>
      <c r="P121" s="33">
        <v>3.9681299102296798E-3</v>
      </c>
    </row>
    <row r="122" spans="2:16">
      <c r="B122" s="95">
        <v>41557</v>
      </c>
      <c r="C122" s="96">
        <v>0.41309884742174274</v>
      </c>
      <c r="D122" s="96">
        <f>VLOOKUP(CurrentMtgRatesDataTable825[[#This Row],[asOfDate]],H:I,2,0)</f>
        <v>0.43701315967767701</v>
      </c>
      <c r="E122" s="96">
        <f>VLOOKUP(CurrentMtgRatesDataTable825[[#This Row],[asOfDate]],O:P,2,0)</f>
        <v>0</v>
      </c>
      <c r="F122" s="97">
        <f ca="1">VLOOKUP(CurrentMtgRatesDataTable825[[#This Row],[asOfDate]]+1,Bloomberg!B:C,2,0)</f>
        <v>2102.6999999999998</v>
      </c>
      <c r="H122" s="1">
        <v>41382</v>
      </c>
      <c r="I122" s="33">
        <v>0.76108985756873504</v>
      </c>
      <c r="O122" s="1">
        <v>41382</v>
      </c>
      <c r="P122" s="33">
        <v>5.4959854023419203E-3</v>
      </c>
    </row>
    <row r="123" spans="2:16">
      <c r="B123" s="95">
        <v>41550</v>
      </c>
      <c r="C123" s="96">
        <v>0.41413970489530927</v>
      </c>
      <c r="D123" s="96">
        <f>VLOOKUP(CurrentMtgRatesDataTable825[[#This Row],[asOfDate]],H:I,2,0)</f>
        <v>0.43751781158176101</v>
      </c>
      <c r="E123" s="96">
        <f>VLOOKUP(CurrentMtgRatesDataTable825[[#This Row],[asOfDate]],O:P,2,0)</f>
        <v>1.7927762872913E-3</v>
      </c>
      <c r="F123" s="97">
        <f ca="1">VLOOKUP(CurrentMtgRatesDataTable825[[#This Row],[asOfDate]]+1,Bloomberg!B:C,2,0)</f>
        <v>2025.3</v>
      </c>
      <c r="H123" s="1">
        <v>41389</v>
      </c>
      <c r="I123" s="33">
        <v>0.759939269856726</v>
      </c>
      <c r="O123" s="1">
        <v>41389</v>
      </c>
      <c r="P123" s="33">
        <v>0</v>
      </c>
    </row>
    <row r="124" spans="2:16">
      <c r="B124" s="95">
        <v>41543</v>
      </c>
      <c r="C124" s="96">
        <v>0.41584354527777323</v>
      </c>
      <c r="D124" s="96">
        <f>VLOOKUP(CurrentMtgRatesDataTable825[[#This Row],[asOfDate]],H:I,2,0)</f>
        <v>0.41607421536967498</v>
      </c>
      <c r="E124" s="96">
        <f>VLOOKUP(CurrentMtgRatesDataTable825[[#This Row],[asOfDate]],O:P,2,0)</f>
        <v>8.9334697556313401E-4</v>
      </c>
      <c r="F124" s="97">
        <f ca="1">VLOOKUP(CurrentMtgRatesDataTable825[[#This Row],[asOfDate]]+1,Bloomberg!B:C,2,0)</f>
        <v>1956.6</v>
      </c>
      <c r="H124" s="1">
        <v>41396</v>
      </c>
      <c r="I124" s="33">
        <v>0.77520531199879605</v>
      </c>
      <c r="O124" s="1">
        <v>41396</v>
      </c>
      <c r="P124" s="33">
        <v>9.3714860500272602E-3</v>
      </c>
    </row>
    <row r="125" spans="2:16">
      <c r="B125" s="95">
        <v>41536</v>
      </c>
      <c r="C125" s="96">
        <v>0.34352499045119317</v>
      </c>
      <c r="D125" s="96">
        <f>VLOOKUP(CurrentMtgRatesDataTable825[[#This Row],[asOfDate]],H:I,2,0)</f>
        <v>0.32091811677951898</v>
      </c>
      <c r="E125" s="96">
        <f>VLOOKUP(CurrentMtgRatesDataTable825[[#This Row],[asOfDate]],O:P,2,0)</f>
        <v>1.2070812662829E-4</v>
      </c>
      <c r="F125" s="97">
        <f ca="1">VLOOKUP(CurrentMtgRatesDataTable825[[#This Row],[asOfDate]]+1,Bloomberg!B:C,2,0)</f>
        <v>1922.9</v>
      </c>
      <c r="H125" s="1">
        <v>41403</v>
      </c>
      <c r="I125" s="33">
        <v>0.75094523370436095</v>
      </c>
      <c r="O125" s="1">
        <v>41403</v>
      </c>
      <c r="P125" s="33">
        <v>0</v>
      </c>
    </row>
    <row r="126" spans="2:16">
      <c r="B126" s="95">
        <v>41529</v>
      </c>
      <c r="C126" s="96">
        <v>0.28418148180009006</v>
      </c>
      <c r="D126" s="96">
        <f>VLOOKUP(CurrentMtgRatesDataTable825[[#This Row],[asOfDate]],H:I,2,0)</f>
        <v>0.28251411119681702</v>
      </c>
      <c r="E126" s="96">
        <f>VLOOKUP(CurrentMtgRatesDataTable825[[#This Row],[asOfDate]],O:P,2,0)</f>
        <v>0</v>
      </c>
      <c r="F126" s="97">
        <f ca="1">VLOOKUP(CurrentMtgRatesDataTable825[[#This Row],[asOfDate]]+1,Bloomberg!B:C,2,0)</f>
        <v>1814</v>
      </c>
      <c r="H126" s="1">
        <v>41410</v>
      </c>
      <c r="I126" s="33">
        <v>0.72159050384319001</v>
      </c>
      <c r="O126" s="1">
        <v>41410</v>
      </c>
      <c r="P126" s="33">
        <v>0</v>
      </c>
    </row>
    <row r="127" spans="2:16">
      <c r="B127" s="95">
        <v>41522</v>
      </c>
      <c r="C127" s="96">
        <v>0.29149943706266673</v>
      </c>
      <c r="D127" s="96">
        <f>VLOOKUP(CurrentMtgRatesDataTable825[[#This Row],[asOfDate]],H:I,2,0)</f>
        <v>0.29894428975906101</v>
      </c>
      <c r="E127" s="96">
        <f>VLOOKUP(CurrentMtgRatesDataTable825[[#This Row],[asOfDate]],O:P,2,0)</f>
        <v>0</v>
      </c>
      <c r="F127" s="97">
        <f ca="1">VLOOKUP(CurrentMtgRatesDataTable825[[#This Row],[asOfDate]]+1,Bloomberg!B:C,2,0)</f>
        <v>1512.9</v>
      </c>
      <c r="H127" s="1">
        <v>41417</v>
      </c>
      <c r="I127" s="33">
        <v>0.68530860108825797</v>
      </c>
      <c r="O127" s="1">
        <v>41417</v>
      </c>
      <c r="P127" s="33">
        <v>0</v>
      </c>
    </row>
    <row r="128" spans="2:16">
      <c r="B128" s="95">
        <v>41515</v>
      </c>
      <c r="C128" s="96">
        <v>0.34144008855173769</v>
      </c>
      <c r="D128" s="96">
        <f>VLOOKUP(CurrentMtgRatesDataTable825[[#This Row],[asOfDate]],H:I,2,0)</f>
        <v>0.32738957382411199</v>
      </c>
      <c r="E128" s="96">
        <f>VLOOKUP(CurrentMtgRatesDataTable825[[#This Row],[asOfDate]],O:P,2,0)</f>
        <v>0</v>
      </c>
      <c r="F128" s="97">
        <f ca="1">VLOOKUP(CurrentMtgRatesDataTable825[[#This Row],[asOfDate]]+1,Bloomberg!B:C,2,0)</f>
        <v>1909</v>
      </c>
      <c r="H128" s="1">
        <v>41424</v>
      </c>
      <c r="I128" s="33">
        <v>0.61546645850988302</v>
      </c>
      <c r="O128" s="1">
        <v>41424</v>
      </c>
      <c r="P128" s="33">
        <v>0</v>
      </c>
    </row>
    <row r="129" spans="2:16">
      <c r="B129" s="95">
        <v>41508</v>
      </c>
      <c r="C129" s="96">
        <v>0.29455543788744365</v>
      </c>
      <c r="D129" s="96">
        <f>VLOOKUP(CurrentMtgRatesDataTable825[[#This Row],[asOfDate]],H:I,2,0)</f>
        <v>0.28848466841060699</v>
      </c>
      <c r="E129" s="96">
        <f>VLOOKUP(CurrentMtgRatesDataTable825[[#This Row],[asOfDate]],O:P,2,0)</f>
        <v>0</v>
      </c>
      <c r="F129" s="97">
        <f ca="1">VLOOKUP(CurrentMtgRatesDataTable825[[#This Row],[asOfDate]]+1,Bloomberg!B:C,2,0)</f>
        <v>1842.6</v>
      </c>
      <c r="H129" s="1">
        <v>41431</v>
      </c>
      <c r="I129" s="33">
        <v>0.57861777554698002</v>
      </c>
      <c r="O129" s="1">
        <v>41431</v>
      </c>
      <c r="P129" s="33">
        <v>0</v>
      </c>
    </row>
    <row r="130" spans="2:16">
      <c r="B130" s="95">
        <v>41501</v>
      </c>
      <c r="C130" s="96">
        <v>0.42309347536926606</v>
      </c>
      <c r="D130" s="96">
        <f>VLOOKUP(CurrentMtgRatesDataTable825[[#This Row],[asOfDate]],H:I,2,0)</f>
        <v>0.36292296585782302</v>
      </c>
      <c r="E130" s="96">
        <f>VLOOKUP(CurrentMtgRatesDataTable825[[#This Row],[asOfDate]],O:P,2,0)</f>
        <v>0</v>
      </c>
      <c r="F130" s="97">
        <f ca="1">VLOOKUP(CurrentMtgRatesDataTable825[[#This Row],[asOfDate]]+1,Bloomberg!B:C,2,0)</f>
        <v>1935.1</v>
      </c>
      <c r="H130" s="1">
        <v>41438</v>
      </c>
      <c r="I130" s="33">
        <v>0.55842108987699401</v>
      </c>
      <c r="O130" s="1">
        <v>41438</v>
      </c>
      <c r="P130" s="33">
        <v>0</v>
      </c>
    </row>
    <row r="131" spans="2:16">
      <c r="B131" s="95">
        <v>41494</v>
      </c>
      <c r="C131" s="96">
        <v>0.42309347536926606</v>
      </c>
      <c r="D131" s="96">
        <f>VLOOKUP(CurrentMtgRatesDataTable825[[#This Row],[asOfDate]],H:I,2,0)</f>
        <v>0.36292296585782302</v>
      </c>
      <c r="E131" s="96">
        <f>VLOOKUP(CurrentMtgRatesDataTable825[[#This Row],[asOfDate]],O:P,2,0)</f>
        <v>0</v>
      </c>
      <c r="F131" s="97">
        <f ca="1">VLOOKUP(CurrentMtgRatesDataTable825[[#This Row],[asOfDate]]+1,Bloomberg!B:C,2,0)</f>
        <v>2110.6</v>
      </c>
      <c r="H131" s="1">
        <v>41445</v>
      </c>
      <c r="I131" s="33">
        <v>0.55919632116239604</v>
      </c>
      <c r="O131" s="1">
        <v>41445</v>
      </c>
      <c r="P131" s="33">
        <v>0</v>
      </c>
    </row>
    <row r="132" spans="2:16">
      <c r="B132" s="95">
        <v>41487</v>
      </c>
      <c r="C132" s="96">
        <v>0.4242223603405651</v>
      </c>
      <c r="D132" s="96">
        <f>VLOOKUP(CurrentMtgRatesDataTable825[[#This Row],[asOfDate]],H:I,2,0)</f>
        <v>0.36357930006355599</v>
      </c>
      <c r="E132" s="96">
        <f>VLOOKUP(CurrentMtgRatesDataTable825[[#This Row],[asOfDate]],O:P,2,0)</f>
        <v>0</v>
      </c>
      <c r="F132" s="97">
        <f ca="1">VLOOKUP(CurrentMtgRatesDataTable825[[#This Row],[asOfDate]]+1,Bloomberg!B:C,2,0)</f>
        <v>2228.9</v>
      </c>
      <c r="H132" s="1">
        <v>41452</v>
      </c>
      <c r="I132" s="33">
        <v>0.35042164075900101</v>
      </c>
      <c r="O132" s="1">
        <v>41452</v>
      </c>
      <c r="P132" s="33">
        <v>0</v>
      </c>
    </row>
    <row r="133" spans="2:16">
      <c r="B133" s="95">
        <v>41480</v>
      </c>
      <c r="C133" s="96">
        <v>0.44748005520806433</v>
      </c>
      <c r="D133" s="96">
        <f>VLOOKUP(CurrentMtgRatesDataTable825[[#This Row],[asOfDate]],H:I,2,0)</f>
        <v>0.40895553727695599</v>
      </c>
      <c r="E133" s="96">
        <f>VLOOKUP(CurrentMtgRatesDataTable825[[#This Row],[asOfDate]],O:P,2,0)</f>
        <v>0</v>
      </c>
      <c r="F133" s="97">
        <f ca="1">VLOOKUP(CurrentMtgRatesDataTable825[[#This Row],[asOfDate]]+1,Bloomberg!B:C,2,0)</f>
        <v>2218.3000000000002</v>
      </c>
      <c r="H133" s="1">
        <v>41458</v>
      </c>
      <c r="I133" s="33">
        <v>0.439218479739446</v>
      </c>
      <c r="O133" s="1">
        <v>41458</v>
      </c>
      <c r="P133" s="33">
        <v>0</v>
      </c>
    </row>
    <row r="134" spans="2:16">
      <c r="B134" s="95">
        <v>41473</v>
      </c>
      <c r="C134" s="96">
        <v>0.44439106685925217</v>
      </c>
      <c r="D134" s="96">
        <f>VLOOKUP(CurrentMtgRatesDataTable825[[#This Row],[asOfDate]],H:I,2,0)</f>
        <v>0.407195502334876</v>
      </c>
      <c r="E134" s="96">
        <f>VLOOKUP(CurrentMtgRatesDataTable825[[#This Row],[asOfDate]],O:P,2,0)</f>
        <v>0</v>
      </c>
      <c r="F134" s="97">
        <f ca="1">VLOOKUP(CurrentMtgRatesDataTable825[[#This Row],[asOfDate]]+1,Bloomberg!B:C,2,0)</f>
        <v>2288</v>
      </c>
      <c r="H134" s="1">
        <v>41466</v>
      </c>
      <c r="I134" s="33">
        <v>0.32003461094412999</v>
      </c>
      <c r="O134" s="1">
        <v>41466</v>
      </c>
      <c r="P134" s="33">
        <v>0</v>
      </c>
    </row>
    <row r="135" spans="2:16">
      <c r="B135" s="95">
        <v>41466</v>
      </c>
      <c r="C135" s="96">
        <v>0.33290156371151358</v>
      </c>
      <c r="D135" s="96">
        <f>VLOOKUP(CurrentMtgRatesDataTable825[[#This Row],[asOfDate]],H:I,2,0)</f>
        <v>0.32003461094412999</v>
      </c>
      <c r="E135" s="96">
        <f>VLOOKUP(CurrentMtgRatesDataTable825[[#This Row],[asOfDate]],O:P,2,0)</f>
        <v>0</v>
      </c>
      <c r="F135" s="97">
        <f ca="1">VLOOKUP(CurrentMtgRatesDataTable825[[#This Row],[asOfDate]]+1,Bloomberg!B:C,2,0)</f>
        <v>2242.1999999999998</v>
      </c>
      <c r="H135" s="1">
        <v>41473</v>
      </c>
      <c r="I135" s="33">
        <v>0.407195502334876</v>
      </c>
      <c r="O135" s="1">
        <v>41473</v>
      </c>
      <c r="P135" s="33">
        <v>0</v>
      </c>
    </row>
    <row r="136" spans="2:16">
      <c r="B136" s="95">
        <v>41458</v>
      </c>
      <c r="C136" s="96">
        <v>0.45140989566277362</v>
      </c>
      <c r="D136" s="96">
        <f>VLOOKUP(CurrentMtgRatesDataTable825[[#This Row],[asOfDate]],H:I,2,0)</f>
        <v>0.439218479739446</v>
      </c>
      <c r="E136" s="96">
        <f>VLOOKUP(CurrentMtgRatesDataTable825[[#This Row],[asOfDate]],O:P,2,0)</f>
        <v>0</v>
      </c>
      <c r="F136" s="97" t="e">
        <f ca="1">VLOOKUP(CurrentMtgRatesDataTable825[[#This Row],[asOfDate]]+1,Bloomberg!B:C,2,0)</f>
        <v>#N/A</v>
      </c>
      <c r="H136" s="1">
        <v>41480</v>
      </c>
      <c r="I136" s="33">
        <v>0.40895553727695599</v>
      </c>
      <c r="O136" s="1">
        <v>41480</v>
      </c>
      <c r="P136" s="33">
        <v>0</v>
      </c>
    </row>
    <row r="137" spans="2:16">
      <c r="B137" s="95">
        <v>41452</v>
      </c>
      <c r="C137" s="96">
        <v>0.40700739043562867</v>
      </c>
      <c r="D137" s="96">
        <f>VLOOKUP(CurrentMtgRatesDataTable825[[#This Row],[asOfDate]],H:I,2,0)</f>
        <v>0.35042164075900101</v>
      </c>
      <c r="E137" s="96">
        <f>VLOOKUP(CurrentMtgRatesDataTable825[[#This Row],[asOfDate]],O:P,2,0)</f>
        <v>0</v>
      </c>
      <c r="F137" s="97">
        <f ca="1">VLOOKUP(CurrentMtgRatesDataTable825[[#This Row],[asOfDate]]+1,Bloomberg!B:C,2,0)</f>
        <v>2573.4</v>
      </c>
      <c r="H137" s="1">
        <v>41487</v>
      </c>
      <c r="I137" s="33">
        <v>0.36357930006355599</v>
      </c>
      <c r="O137" s="1">
        <v>41487</v>
      </c>
      <c r="P137" s="33">
        <v>0</v>
      </c>
    </row>
    <row r="138" spans="2:16">
      <c r="B138" s="95">
        <v>41445</v>
      </c>
      <c r="C138" s="96">
        <v>0.60892644255269435</v>
      </c>
      <c r="D138" s="96">
        <f>VLOOKUP(CurrentMtgRatesDataTable825[[#This Row],[asOfDate]],H:I,2,0)</f>
        <v>0.55919632116239604</v>
      </c>
      <c r="E138" s="96">
        <f>VLOOKUP(CurrentMtgRatesDataTable825[[#This Row],[asOfDate]],O:P,2,0)</f>
        <v>0</v>
      </c>
      <c r="F138" s="97">
        <f ca="1">VLOOKUP(CurrentMtgRatesDataTable825[[#This Row],[asOfDate]]+1,Bloomberg!B:C,2,0)</f>
        <v>3040.1</v>
      </c>
      <c r="H138" s="1">
        <v>41494</v>
      </c>
      <c r="I138" s="33">
        <v>0.36292296585782302</v>
      </c>
      <c r="O138" s="1">
        <v>41494</v>
      </c>
      <c r="P138" s="33">
        <v>0</v>
      </c>
    </row>
    <row r="139" spans="2:16">
      <c r="B139" s="95">
        <v>41438</v>
      </c>
      <c r="C139" s="96">
        <v>0.59423864514046321</v>
      </c>
      <c r="D139" s="96">
        <f>VLOOKUP(CurrentMtgRatesDataTable825[[#This Row],[asOfDate]],H:I,2,0)</f>
        <v>0.55842108987699401</v>
      </c>
      <c r="E139" s="96">
        <f>VLOOKUP(CurrentMtgRatesDataTable825[[#This Row],[asOfDate]],O:P,2,0)</f>
        <v>0</v>
      </c>
      <c r="F139" s="97">
        <f ca="1">VLOOKUP(CurrentMtgRatesDataTable825[[#This Row],[asOfDate]]+1,Bloomberg!B:C,2,0)</f>
        <v>3214.4</v>
      </c>
      <c r="H139" s="1">
        <v>41501</v>
      </c>
      <c r="I139" s="33">
        <v>0.36292296585782302</v>
      </c>
      <c r="O139" s="1">
        <v>41501</v>
      </c>
      <c r="P139" s="33">
        <v>0</v>
      </c>
    </row>
    <row r="140" spans="2:16">
      <c r="B140" s="95">
        <v>41431</v>
      </c>
      <c r="C140" s="96">
        <v>0.6263848307897435</v>
      </c>
      <c r="D140" s="96">
        <f>VLOOKUP(CurrentMtgRatesDataTable825[[#This Row],[asOfDate]],H:I,2,0)</f>
        <v>0.57861777554698002</v>
      </c>
      <c r="E140" s="96">
        <f>VLOOKUP(CurrentMtgRatesDataTable825[[#This Row],[asOfDate]],O:P,2,0)</f>
        <v>0</v>
      </c>
      <c r="F140" s="97">
        <f ca="1">VLOOKUP(CurrentMtgRatesDataTable825[[#This Row],[asOfDate]]+1,Bloomberg!B:C,2,0)</f>
        <v>3339.8</v>
      </c>
      <c r="H140" s="1">
        <v>41508</v>
      </c>
      <c r="I140" s="33">
        <v>0.28848466841060699</v>
      </c>
      <c r="O140" s="1">
        <v>41508</v>
      </c>
      <c r="P140" s="33">
        <v>0</v>
      </c>
    </row>
    <row r="141" spans="2:16">
      <c r="B141" s="95">
        <v>41424</v>
      </c>
      <c r="C141" s="96">
        <v>0.65480493130822182</v>
      </c>
      <c r="D141" s="96">
        <f>VLOOKUP(CurrentMtgRatesDataTable825[[#This Row],[asOfDate]],H:I,2,0)</f>
        <v>0.61546645850988302</v>
      </c>
      <c r="E141" s="96">
        <f>VLOOKUP(CurrentMtgRatesDataTable825[[#This Row],[asOfDate]],O:P,2,0)</f>
        <v>0</v>
      </c>
      <c r="F141" s="97">
        <f ca="1">VLOOKUP(CurrentMtgRatesDataTable825[[#This Row],[asOfDate]]+1,Bloomberg!B:C,2,0)</f>
        <v>3163.6</v>
      </c>
      <c r="H141" s="1">
        <v>41515</v>
      </c>
      <c r="I141" s="33">
        <v>0.32738957382411199</v>
      </c>
      <c r="O141" s="1">
        <v>41515</v>
      </c>
      <c r="P141" s="33">
        <v>0</v>
      </c>
    </row>
    <row r="142" spans="2:16">
      <c r="B142" s="95">
        <v>41417</v>
      </c>
      <c r="C142" s="96">
        <v>0.71597160462029186</v>
      </c>
      <c r="D142" s="96">
        <f>VLOOKUP(CurrentMtgRatesDataTable825[[#This Row],[asOfDate]],H:I,2,0)</f>
        <v>0.68530860108825797</v>
      </c>
      <c r="E142" s="96">
        <f>VLOOKUP(CurrentMtgRatesDataTable825[[#This Row],[asOfDate]],O:P,2,0)</f>
        <v>0</v>
      </c>
      <c r="F142" s="97">
        <f ca="1">VLOOKUP(CurrentMtgRatesDataTable825[[#This Row],[asOfDate]]+1,Bloomberg!B:C,2,0)</f>
        <v>3709.4</v>
      </c>
      <c r="H142" s="1">
        <v>41522</v>
      </c>
      <c r="I142" s="33">
        <v>0.29894428975906101</v>
      </c>
      <c r="O142" s="1">
        <v>41522</v>
      </c>
      <c r="P142" s="33">
        <v>0</v>
      </c>
    </row>
    <row r="143" spans="2:16">
      <c r="B143" s="95">
        <v>41410</v>
      </c>
      <c r="C143" s="96">
        <v>0.79936031324337575</v>
      </c>
      <c r="D143" s="96">
        <f>VLOOKUP(CurrentMtgRatesDataTable825[[#This Row],[asOfDate]],H:I,2,0)</f>
        <v>0.72159050384319001</v>
      </c>
      <c r="E143" s="96">
        <f>VLOOKUP(CurrentMtgRatesDataTable825[[#This Row],[asOfDate]],O:P,2,0)</f>
        <v>0</v>
      </c>
      <c r="F143" s="97">
        <f ca="1">VLOOKUP(CurrentMtgRatesDataTable825[[#This Row],[asOfDate]]+1,Bloomberg!B:C,2,0)</f>
        <v>4241.5</v>
      </c>
      <c r="H143" s="1">
        <v>41529</v>
      </c>
      <c r="I143" s="33">
        <v>0.28251411119681702</v>
      </c>
      <c r="O143" s="1">
        <v>41529</v>
      </c>
      <c r="P143" s="33">
        <v>0</v>
      </c>
    </row>
    <row r="144" spans="2:16">
      <c r="B144" s="95">
        <v>41403</v>
      </c>
      <c r="C144" s="96">
        <v>0.8256608129051427</v>
      </c>
      <c r="D144" s="96">
        <f>VLOOKUP(CurrentMtgRatesDataTable825[[#This Row],[asOfDate]],H:I,2,0)</f>
        <v>0.75094523370436095</v>
      </c>
      <c r="E144" s="96">
        <f>VLOOKUP(CurrentMtgRatesDataTable825[[#This Row],[asOfDate]],O:P,2,0)</f>
        <v>0</v>
      </c>
      <c r="F144" s="97">
        <f ca="1">VLOOKUP(CurrentMtgRatesDataTable825[[#This Row],[asOfDate]]+1,Bloomberg!B:C,2,0)</f>
        <v>4797.2</v>
      </c>
      <c r="H144" s="1">
        <v>41536</v>
      </c>
      <c r="I144" s="33">
        <v>0.32091811677951898</v>
      </c>
      <c r="O144" s="1">
        <v>41536</v>
      </c>
      <c r="P144" s="33">
        <v>1.2070812662829E-4</v>
      </c>
    </row>
    <row r="145" spans="2:16">
      <c r="B145" s="95">
        <v>41396</v>
      </c>
      <c r="C145" s="96">
        <v>0.83257474781957852</v>
      </c>
      <c r="D145" s="96">
        <f>VLOOKUP(CurrentMtgRatesDataTable825[[#This Row],[asOfDate]],H:I,2,0)</f>
        <v>0.77520531199879605</v>
      </c>
      <c r="E145" s="96">
        <f>VLOOKUP(CurrentMtgRatesDataTable825[[#This Row],[asOfDate]],O:P,2,0)</f>
        <v>9.3714860500272602E-3</v>
      </c>
      <c r="F145" s="97">
        <f ca="1">VLOOKUP(CurrentMtgRatesDataTable825[[#This Row],[asOfDate]]+1,Bloomberg!B:C,2,0)</f>
        <v>5279.9</v>
      </c>
      <c r="H145" s="1">
        <v>41543</v>
      </c>
      <c r="I145" s="33">
        <v>0.41607421536967498</v>
      </c>
      <c r="O145" s="1">
        <v>41543</v>
      </c>
      <c r="P145" s="33">
        <v>8.9334697556313401E-4</v>
      </c>
    </row>
    <row r="146" spans="2:16">
      <c r="B146" s="95">
        <v>41389</v>
      </c>
      <c r="C146" s="96">
        <v>0.84305925134198079</v>
      </c>
      <c r="D146" s="96">
        <f>VLOOKUP(CurrentMtgRatesDataTable825[[#This Row],[asOfDate]],H:I,2,0)</f>
        <v>0.759939269856726</v>
      </c>
      <c r="E146" s="96">
        <f>VLOOKUP(CurrentMtgRatesDataTable825[[#This Row],[asOfDate]],O:P,2,0)</f>
        <v>0</v>
      </c>
      <c r="F146" s="97">
        <f ca="1">VLOOKUP(CurrentMtgRatesDataTable825[[#This Row],[asOfDate]]+1,Bloomberg!B:C,2,0)</f>
        <v>4854.1000000000004</v>
      </c>
      <c r="H146" s="1">
        <v>41550</v>
      </c>
      <c r="I146" s="33">
        <v>0.43751781158176101</v>
      </c>
      <c r="O146" s="1">
        <v>41550</v>
      </c>
      <c r="P146" s="33">
        <v>1.7927762872913E-3</v>
      </c>
    </row>
    <row r="147" spans="2:16">
      <c r="B147" s="95">
        <v>41382</v>
      </c>
      <c r="C147" s="96">
        <v>0.84439179341474835</v>
      </c>
      <c r="D147" s="96">
        <f>VLOOKUP(CurrentMtgRatesDataTable825[[#This Row],[asOfDate]],H:I,2,0)</f>
        <v>0.76108985756873504</v>
      </c>
      <c r="E147" s="96">
        <f>VLOOKUP(CurrentMtgRatesDataTable825[[#This Row],[asOfDate]],O:P,2,0)</f>
        <v>5.4959854023419203E-3</v>
      </c>
      <c r="F147" s="97">
        <f ca="1">VLOOKUP(CurrentMtgRatesDataTable825[[#This Row],[asOfDate]]+1,Bloomberg!B:C,2,0)</f>
        <v>4672.1000000000004</v>
      </c>
      <c r="H147" s="1">
        <v>41557</v>
      </c>
      <c r="I147" s="33">
        <v>0.43701315967767701</v>
      </c>
      <c r="O147" s="1">
        <v>41557</v>
      </c>
      <c r="P147" s="33">
        <v>0</v>
      </c>
    </row>
    <row r="148" spans="2:16">
      <c r="B148" s="95">
        <v>41375</v>
      </c>
      <c r="C148" s="96">
        <v>0.83798948836137577</v>
      </c>
      <c r="D148" s="96">
        <f>VLOOKUP(CurrentMtgRatesDataTable825[[#This Row],[asOfDate]],H:I,2,0)</f>
        <v>0.73719138808657003</v>
      </c>
      <c r="E148" s="96">
        <f>VLOOKUP(CurrentMtgRatesDataTable825[[#This Row],[asOfDate]],O:P,2,0)</f>
        <v>3.9681299102296798E-3</v>
      </c>
      <c r="F148" s="97">
        <f ca="1">VLOOKUP(CurrentMtgRatesDataTable825[[#This Row],[asOfDate]]+1,Bloomberg!B:C,2,0)</f>
        <v>4726.8999999999996</v>
      </c>
      <c r="H148" s="1">
        <v>41564</v>
      </c>
      <c r="I148" s="33">
        <v>0.40902347477168999</v>
      </c>
      <c r="O148" s="1">
        <v>41564</v>
      </c>
      <c r="P148" s="33">
        <v>0</v>
      </c>
    </row>
    <row r="149" spans="2:16">
      <c r="B149" s="95">
        <v>41368</v>
      </c>
      <c r="C149" s="96">
        <v>0.76832708554350626</v>
      </c>
      <c r="D149" s="96">
        <f>VLOOKUP(CurrentMtgRatesDataTable825[[#This Row],[asOfDate]],H:I,2,0)</f>
        <v>0.71361316522728502</v>
      </c>
      <c r="E149" s="96">
        <f>VLOOKUP(CurrentMtgRatesDataTable825[[#This Row],[asOfDate]],O:P,2,0)</f>
        <v>0</v>
      </c>
      <c r="F149" s="97">
        <f ca="1">VLOOKUP(CurrentMtgRatesDataTable825[[#This Row],[asOfDate]]+1,Bloomberg!B:C,2,0)</f>
        <v>4528.8999999999996</v>
      </c>
      <c r="H149" s="1">
        <v>41571</v>
      </c>
      <c r="I149" s="33">
        <v>0.45648777309490202</v>
      </c>
      <c r="O149" s="1">
        <v>41571</v>
      </c>
      <c r="P149" s="33">
        <v>4.7022607373106203E-3</v>
      </c>
    </row>
    <row r="150" spans="2:16">
      <c r="B150" s="95">
        <v>41361</v>
      </c>
      <c r="C150" s="96">
        <v>0.74949629336244095</v>
      </c>
      <c r="D150" s="96">
        <f>VLOOKUP(CurrentMtgRatesDataTable825[[#This Row],[asOfDate]],H:I,2,0)</f>
        <v>0.712062870316722</v>
      </c>
      <c r="E150" s="96">
        <f>VLOOKUP(CurrentMtgRatesDataTable825[[#This Row],[asOfDate]],O:P,2,0)</f>
        <v>0</v>
      </c>
      <c r="F150" s="97">
        <f ca="1">VLOOKUP(CurrentMtgRatesDataTable825[[#This Row],[asOfDate]]+1,Bloomberg!B:C,2,0)</f>
        <v>4119.2</v>
      </c>
      <c r="H150" s="1">
        <v>41578</v>
      </c>
      <c r="I150" s="33">
        <v>0.47501022290439499</v>
      </c>
      <c r="O150" s="1">
        <v>41578</v>
      </c>
      <c r="P150" s="33">
        <v>6.1587902327108696E-3</v>
      </c>
    </row>
    <row r="151" spans="2:16">
      <c r="B151" s="95">
        <v>41354</v>
      </c>
      <c r="C151" s="96">
        <v>0.78721266500464782</v>
      </c>
      <c r="D151" s="96">
        <f>VLOOKUP(CurrentMtgRatesDataTable825[[#This Row],[asOfDate]],H:I,2,0)</f>
        <v>0.72870485724391698</v>
      </c>
      <c r="E151" s="96">
        <f>VLOOKUP(CurrentMtgRatesDataTable825[[#This Row],[asOfDate]],O:P,2,0)</f>
        <v>0</v>
      </c>
      <c r="F151" s="97">
        <f ca="1">VLOOKUP(CurrentMtgRatesDataTable825[[#This Row],[asOfDate]]+1,Bloomberg!B:C,2,0)</f>
        <v>4412.8999999999996</v>
      </c>
      <c r="H151" s="1">
        <v>41585</v>
      </c>
      <c r="I151" s="33">
        <v>0.44788779304034998</v>
      </c>
      <c r="O151" s="1">
        <v>41585</v>
      </c>
      <c r="P151" s="33">
        <v>0</v>
      </c>
    </row>
    <row r="152" spans="2:16">
      <c r="B152" s="95">
        <v>41347</v>
      </c>
      <c r="C152" s="96">
        <v>0.72169822774356485</v>
      </c>
      <c r="D152" s="96">
        <f>VLOOKUP(CurrentMtgRatesDataTable825[[#This Row],[asOfDate]],H:I,2,0)</f>
        <v>0.69793386100167498</v>
      </c>
      <c r="E152" s="96">
        <f>VLOOKUP(CurrentMtgRatesDataTable825[[#This Row],[asOfDate]],O:P,2,0)</f>
        <v>0</v>
      </c>
      <c r="F152" s="97">
        <f ca="1">VLOOKUP(CurrentMtgRatesDataTable825[[#This Row],[asOfDate]]+1,Bloomberg!B:C,2,0)</f>
        <v>4111.3</v>
      </c>
      <c r="H152" s="1">
        <v>41592</v>
      </c>
      <c r="I152" s="33">
        <v>0.37120289750535601</v>
      </c>
      <c r="O152" s="1">
        <v>41592</v>
      </c>
      <c r="P152" s="33">
        <v>0</v>
      </c>
    </row>
    <row r="153" spans="2:16">
      <c r="B153" s="95">
        <v>41340</v>
      </c>
      <c r="C153" s="96">
        <v>0.83079065598448121</v>
      </c>
      <c r="D153" s="96">
        <f>VLOOKUP(CurrentMtgRatesDataTable825[[#This Row],[asOfDate]],H:I,2,0)</f>
        <v>0.731898053840778</v>
      </c>
      <c r="E153" s="96">
        <f>VLOOKUP(CurrentMtgRatesDataTable825[[#This Row],[asOfDate]],O:P,2,0)</f>
        <v>7.62863846133132E-4</v>
      </c>
      <c r="F153" s="97">
        <f ca="1">VLOOKUP(CurrentMtgRatesDataTable825[[#This Row],[asOfDate]]+1,Bloomberg!B:C,2,0)</f>
        <v>4485.2</v>
      </c>
      <c r="H153" s="1">
        <v>41599</v>
      </c>
      <c r="I153" s="33">
        <v>0.42989701258795199</v>
      </c>
      <c r="O153" s="1">
        <v>41599</v>
      </c>
      <c r="P153" s="33">
        <v>0</v>
      </c>
    </row>
    <row r="154" spans="2:16">
      <c r="B154" s="95">
        <v>41333</v>
      </c>
      <c r="C154" s="96">
        <v>0.84063472269635875</v>
      </c>
      <c r="D154" s="96">
        <f>VLOOKUP(CurrentMtgRatesDataTable825[[#This Row],[asOfDate]],H:I,2,0)</f>
        <v>0.75332777657917305</v>
      </c>
      <c r="E154" s="96">
        <f>VLOOKUP(CurrentMtgRatesDataTable825[[#This Row],[asOfDate]],O:P,2,0)</f>
        <v>5.5309707563809801E-4</v>
      </c>
      <c r="F154" s="97">
        <f ca="1">VLOOKUP(CurrentMtgRatesDataTable825[[#This Row],[asOfDate]]+1,Bloomberg!B:C,2,0)</f>
        <v>4724.8999999999996</v>
      </c>
      <c r="H154" s="1">
        <v>41605</v>
      </c>
      <c r="I154" s="33">
        <v>0.401262959025458</v>
      </c>
      <c r="O154" s="1">
        <v>41605</v>
      </c>
      <c r="P154" s="33">
        <v>0</v>
      </c>
    </row>
    <row r="155" spans="2:16">
      <c r="B155" s="95">
        <v>41326</v>
      </c>
      <c r="C155" s="96">
        <v>0.78197458672123177</v>
      </c>
      <c r="D155" s="96">
        <f>VLOOKUP(CurrentMtgRatesDataTable825[[#This Row],[asOfDate]],H:I,2,0)</f>
        <v>0.73462902469773095</v>
      </c>
      <c r="E155" s="96">
        <f>VLOOKUP(CurrentMtgRatesDataTable825[[#This Row],[asOfDate]],O:P,2,0)</f>
        <v>0</v>
      </c>
      <c r="F155" s="97">
        <f ca="1">VLOOKUP(CurrentMtgRatesDataTable825[[#This Row],[asOfDate]]+1,Bloomberg!B:C,2,0)</f>
        <v>4136.3</v>
      </c>
      <c r="H155" s="1">
        <v>41613</v>
      </c>
      <c r="I155" s="33">
        <v>0.331227934580689</v>
      </c>
      <c r="O155" s="1">
        <v>41613</v>
      </c>
      <c r="P155" s="33">
        <v>0</v>
      </c>
    </row>
    <row r="156" spans="2:16">
      <c r="B156" s="95">
        <v>41319</v>
      </c>
      <c r="C156" s="96">
        <v>0.82228594543390077</v>
      </c>
      <c r="D156" s="96">
        <f>VLOOKUP(CurrentMtgRatesDataTable825[[#This Row],[asOfDate]],H:I,2,0)</f>
        <v>0.75155379277106704</v>
      </c>
      <c r="E156" s="96">
        <f>VLOOKUP(CurrentMtgRatesDataTable825[[#This Row],[asOfDate]],O:P,2,0)</f>
        <v>5.4993651942507197E-4</v>
      </c>
      <c r="F156" s="97">
        <f ca="1">VLOOKUP(CurrentMtgRatesDataTable825[[#This Row],[asOfDate]]+1,Bloomberg!B:C,2,0)</f>
        <v>4261.8</v>
      </c>
      <c r="H156" s="1">
        <v>41620</v>
      </c>
      <c r="I156" s="33">
        <v>0.33082970500556302</v>
      </c>
      <c r="O156" s="1">
        <v>41620</v>
      </c>
      <c r="P156" s="33">
        <v>0</v>
      </c>
    </row>
    <row r="157" spans="2:16">
      <c r="B157" s="95">
        <v>41312</v>
      </c>
      <c r="C157" s="96">
        <v>0.82228594543390077</v>
      </c>
      <c r="D157" s="96">
        <f>VLOOKUP(CurrentMtgRatesDataTable825[[#This Row],[asOfDate]],H:I,2,0)</f>
        <v>0.75155379277106704</v>
      </c>
      <c r="E157" s="96">
        <f>VLOOKUP(CurrentMtgRatesDataTable825[[#This Row],[asOfDate]],O:P,2,0)</f>
        <v>0</v>
      </c>
      <c r="F157" s="97">
        <f ca="1">VLOOKUP(CurrentMtgRatesDataTable825[[#This Row],[asOfDate]]+1,Bloomberg!B:C,2,0)</f>
        <v>4284.3</v>
      </c>
      <c r="H157" s="1">
        <v>41627</v>
      </c>
      <c r="I157" s="33">
        <v>0.29198850689481598</v>
      </c>
      <c r="O157" s="1">
        <v>41627</v>
      </c>
      <c r="P157" s="33">
        <v>0</v>
      </c>
    </row>
    <row r="158" spans="2:16">
      <c r="B158" s="95">
        <v>41305</v>
      </c>
      <c r="C158" s="96">
        <v>0.87254552435126431</v>
      </c>
      <c r="D158" s="96">
        <f>VLOOKUP(CurrentMtgRatesDataTable825[[#This Row],[asOfDate]],H:I,2,0)</f>
        <v>0.77322369572310801</v>
      </c>
      <c r="E158" s="96">
        <f>VLOOKUP(CurrentMtgRatesDataTable825[[#This Row],[asOfDate]],O:P,2,0)</f>
        <v>0</v>
      </c>
      <c r="F158" s="97">
        <f ca="1">VLOOKUP(CurrentMtgRatesDataTable825[[#This Row],[asOfDate]]+1,Bloomberg!B:C,2,0)</f>
        <v>4579</v>
      </c>
      <c r="H158" s="1">
        <v>41634</v>
      </c>
      <c r="I158" s="33">
        <v>0.29162362501885603</v>
      </c>
      <c r="O158" s="1">
        <v>41634</v>
      </c>
      <c r="P158" s="33">
        <v>0</v>
      </c>
    </row>
    <row r="159" spans="2:16">
      <c r="B159" s="95">
        <v>41298</v>
      </c>
      <c r="C159" s="96">
        <v>0.90688789142571524</v>
      </c>
      <c r="D159" s="96">
        <f>VLOOKUP(CurrentMtgRatesDataTable825[[#This Row],[asOfDate]],H:I,2,0)</f>
        <v>0.81634992305868503</v>
      </c>
      <c r="E159" s="96">
        <f>VLOOKUP(CurrentMtgRatesDataTable825[[#This Row],[asOfDate]],O:P,2,0)</f>
        <v>0</v>
      </c>
      <c r="F159" s="97">
        <f ca="1">VLOOKUP(CurrentMtgRatesDataTable825[[#This Row],[asOfDate]]+1,Bloomberg!B:C,2,0)</f>
        <v>4433.6000000000004</v>
      </c>
      <c r="H159" s="1">
        <v>41641</v>
      </c>
      <c r="I159" s="33">
        <v>0.265306805945277</v>
      </c>
      <c r="O159" s="1">
        <v>41641</v>
      </c>
      <c r="P159" s="33">
        <v>0</v>
      </c>
    </row>
    <row r="160" spans="2:16">
      <c r="B160" s="95">
        <v>41291</v>
      </c>
      <c r="C160" s="96">
        <v>0.90904564835754453</v>
      </c>
      <c r="D160" s="96">
        <f>VLOOKUP(CurrentMtgRatesDataTable825[[#This Row],[asOfDate]],H:I,2,0)</f>
        <v>0.83503612629874802</v>
      </c>
      <c r="E160" s="96">
        <f>VLOOKUP(CurrentMtgRatesDataTable825[[#This Row],[asOfDate]],O:P,2,0)</f>
        <v>0</v>
      </c>
      <c r="F160" s="97">
        <f ca="1">VLOOKUP(CurrentMtgRatesDataTable825[[#This Row],[asOfDate]]+1,Bloomberg!B:C,2,0)</f>
        <v>4937.3999999999996</v>
      </c>
      <c r="H160" s="1">
        <v>41648</v>
      </c>
      <c r="I160" s="33">
        <v>0.29015447722721099</v>
      </c>
      <c r="O160" s="1">
        <v>41648</v>
      </c>
      <c r="P160" s="33">
        <v>1.04165660314928E-4</v>
      </c>
    </row>
    <row r="161" spans="2:16">
      <c r="B161" s="95">
        <v>41284</v>
      </c>
      <c r="C161" s="96">
        <v>0.90782006120518755</v>
      </c>
      <c r="D161" s="96">
        <f>VLOOKUP(CurrentMtgRatesDataTable825[[#This Row],[asOfDate]],H:I,2,0)</f>
        <v>0.81798384699460103</v>
      </c>
      <c r="E161" s="96">
        <f>VLOOKUP(CurrentMtgRatesDataTable825[[#This Row],[asOfDate]],O:P,2,0)</f>
        <v>0</v>
      </c>
      <c r="F161" s="97">
        <f ca="1">VLOOKUP(CurrentMtgRatesDataTable825[[#This Row],[asOfDate]]+1,Bloomberg!B:C,2,0)</f>
        <v>4554.3999999999996</v>
      </c>
      <c r="H161" s="1">
        <v>41655</v>
      </c>
      <c r="I161" s="33">
        <v>0.32467403778332998</v>
      </c>
      <c r="O161" s="1">
        <v>41655</v>
      </c>
      <c r="P161" s="33">
        <v>4.3244857845843099E-4</v>
      </c>
    </row>
    <row r="162" spans="2:16">
      <c r="B162" s="95">
        <v>41277</v>
      </c>
      <c r="C162" s="96">
        <v>0.9105479087849232</v>
      </c>
      <c r="D162" s="96">
        <f>VLOOKUP(CurrentMtgRatesDataTable825[[#This Row],[asOfDate]],H:I,2,0)</f>
        <v>0.83696581575361895</v>
      </c>
      <c r="E162" s="96">
        <f>VLOOKUP(CurrentMtgRatesDataTable825[[#This Row],[asOfDate]],O:P,2,0)</f>
        <v>0</v>
      </c>
      <c r="F162" s="97">
        <f ca="1">VLOOKUP(CurrentMtgRatesDataTable825[[#This Row],[asOfDate]]+1,Bloomberg!B:C,2,0)</f>
        <v>3896.4</v>
      </c>
      <c r="H162" s="1">
        <v>41662</v>
      </c>
      <c r="I162" s="33">
        <v>0.32547727058860199</v>
      </c>
      <c r="O162" s="1">
        <v>41662</v>
      </c>
      <c r="P162" s="33">
        <v>4.3538471617421198E-4</v>
      </c>
    </row>
    <row r="163" spans="2:16">
      <c r="B163" s="95">
        <v>41270</v>
      </c>
      <c r="C163" s="96">
        <v>0.92736895436677724</v>
      </c>
      <c r="D163" s="96">
        <f>VLOOKUP(CurrentMtgRatesDataTable825[[#This Row],[asOfDate]],H:I,2,0)</f>
        <v>0.85626060279274896</v>
      </c>
      <c r="E163" s="96">
        <f>VLOOKUP(CurrentMtgRatesDataTable825[[#This Row],[asOfDate]],O:P,2,0)</f>
        <v>0</v>
      </c>
      <c r="F163" s="97">
        <f ca="1">VLOOKUP(CurrentMtgRatesDataTable825[[#This Row],[asOfDate]]+1,Bloomberg!B:C,2,0)</f>
        <v>3488.9</v>
      </c>
      <c r="H163" s="1">
        <v>41669</v>
      </c>
      <c r="I163" s="33">
        <v>0.38449844249950499</v>
      </c>
      <c r="O163" s="1">
        <v>41669</v>
      </c>
      <c r="P163" s="33">
        <v>9.04155248858617E-4</v>
      </c>
    </row>
    <row r="164" spans="2:16">
      <c r="B164" s="95">
        <v>41263</v>
      </c>
      <c r="C164" s="96">
        <v>0.92693774833595899</v>
      </c>
      <c r="D164" s="96">
        <f>VLOOKUP(CurrentMtgRatesDataTable825[[#This Row],[asOfDate]],H:I,2,0)</f>
        <v>0.85522983991809798</v>
      </c>
      <c r="E164" s="96">
        <f>VLOOKUP(CurrentMtgRatesDataTable825[[#This Row],[asOfDate]],O:P,2,0)</f>
        <v>0</v>
      </c>
      <c r="F164" s="97">
        <f ca="1">VLOOKUP(CurrentMtgRatesDataTable825[[#This Row],[asOfDate]]+1,Bloomberg!B:C,2,0)</f>
        <v>3983.2</v>
      </c>
      <c r="H164" s="1">
        <v>41676</v>
      </c>
      <c r="I164" s="33">
        <v>0.407383000493176</v>
      </c>
      <c r="O164" s="1">
        <v>41676</v>
      </c>
      <c r="P164" s="33">
        <v>1.56502134325395E-3</v>
      </c>
    </row>
    <row r="165" spans="2:16">
      <c r="B165" s="95">
        <v>41256</v>
      </c>
      <c r="C165" s="96">
        <v>0.92962672480790975</v>
      </c>
      <c r="D165" s="96">
        <f>VLOOKUP(CurrentMtgRatesDataTable825[[#This Row],[asOfDate]],H:I,2,0)</f>
        <v>0.87412257034895602</v>
      </c>
      <c r="E165" s="96">
        <f>VLOOKUP(CurrentMtgRatesDataTable825[[#This Row],[asOfDate]],O:P,2,0)</f>
        <v>1.92397129365898E-3</v>
      </c>
      <c r="F165" s="97">
        <f ca="1">VLOOKUP(CurrentMtgRatesDataTable825[[#This Row],[asOfDate]]+1,Bloomberg!B:C,2,0)</f>
        <v>4564.3999999999996</v>
      </c>
      <c r="H165" s="1">
        <v>41683</v>
      </c>
      <c r="I165" s="33">
        <v>0.380280894786581</v>
      </c>
      <c r="O165" s="1">
        <v>41683</v>
      </c>
      <c r="P165" s="33">
        <v>0</v>
      </c>
    </row>
    <row r="166" spans="2:16">
      <c r="B166" s="95">
        <v>41249</v>
      </c>
      <c r="C166" s="96">
        <v>0.92772026190850965</v>
      </c>
      <c r="D166" s="96">
        <f>VLOOKUP(CurrentMtgRatesDataTable825[[#This Row],[asOfDate]],H:I,2,0)</f>
        <v>0.85662578219432695</v>
      </c>
      <c r="E166" s="96">
        <f>VLOOKUP(CurrentMtgRatesDataTable825[[#This Row],[asOfDate]],O:P,2,0)</f>
        <v>0</v>
      </c>
      <c r="F166" s="97">
        <f ca="1">VLOOKUP(CurrentMtgRatesDataTable825[[#This Row],[asOfDate]]+1,Bloomberg!B:C,2,0)</f>
        <v>5368.1</v>
      </c>
      <c r="H166" s="1">
        <v>41690</v>
      </c>
      <c r="I166" s="33">
        <v>0.35043602810261099</v>
      </c>
      <c r="O166" s="1">
        <v>41690</v>
      </c>
      <c r="P166" s="33">
        <v>0</v>
      </c>
    </row>
    <row r="167" spans="2:16">
      <c r="B167" s="95">
        <v>41242</v>
      </c>
      <c r="C167" s="96">
        <v>0.95324471839825531</v>
      </c>
      <c r="D167" s="96">
        <f>VLOOKUP(CurrentMtgRatesDataTable825[[#This Row],[asOfDate]],H:I,2,0)</f>
        <v>0.86996445945149903</v>
      </c>
      <c r="E167" s="96">
        <f>VLOOKUP(CurrentMtgRatesDataTable825[[#This Row],[asOfDate]],O:P,2,0)</f>
        <v>0</v>
      </c>
      <c r="F167" s="97">
        <f ca="1">VLOOKUP(CurrentMtgRatesDataTable825[[#This Row],[asOfDate]]+1,Bloomberg!B:C,2,0)</f>
        <v>4943</v>
      </c>
      <c r="H167" s="1">
        <v>41697</v>
      </c>
      <c r="I167" s="33">
        <v>0.34853875137296803</v>
      </c>
      <c r="O167" s="1">
        <v>41697</v>
      </c>
      <c r="P167" s="33">
        <v>0</v>
      </c>
    </row>
    <row r="168" spans="2:16">
      <c r="B168" s="95">
        <v>41234</v>
      </c>
      <c r="C168" s="96">
        <v>0.95520978776140819</v>
      </c>
      <c r="D168" s="96">
        <f>VLOOKUP(CurrentMtgRatesDataTable825[[#This Row],[asOfDate]],H:I,2,0)</f>
        <v>0.88773399472374204</v>
      </c>
      <c r="E168" s="96">
        <f>VLOOKUP(CurrentMtgRatesDataTable825[[#This Row],[asOfDate]],O:P,2,0)</f>
        <v>0.88870182147749199</v>
      </c>
      <c r="F168" s="97" t="e">
        <f ca="1">VLOOKUP(CurrentMtgRatesDataTable825[[#This Row],[asOfDate]]+1,Bloomberg!B:C,2,0)</f>
        <v>#N/A</v>
      </c>
      <c r="H168" s="1">
        <v>41704</v>
      </c>
      <c r="I168" s="33">
        <v>0.37584545219724702</v>
      </c>
      <c r="O168" s="1">
        <v>41704</v>
      </c>
      <c r="P168" s="33">
        <v>0</v>
      </c>
    </row>
    <row r="169" spans="2:16">
      <c r="B169" s="95">
        <v>41228</v>
      </c>
      <c r="C169" s="96">
        <v>0.95335910637163435</v>
      </c>
      <c r="D169" s="96">
        <f>VLOOKUP(CurrentMtgRatesDataTable825[[#This Row],[asOfDate]],H:I,2,0)</f>
        <v>0.86999483052125803</v>
      </c>
      <c r="E169" s="96">
        <f>VLOOKUP(CurrentMtgRatesDataTable825[[#This Row],[asOfDate]],O:P,2,0)</f>
        <v>3.6805392889150699E-3</v>
      </c>
      <c r="F169" s="97">
        <f ca="1">VLOOKUP(CurrentMtgRatesDataTable825[[#This Row],[asOfDate]]+1,Bloomberg!B:C,2,0)</f>
        <v>4702.3999999999996</v>
      </c>
      <c r="H169" s="1">
        <v>41711</v>
      </c>
      <c r="I169" s="33">
        <v>0.34537825411835699</v>
      </c>
      <c r="O169" s="1">
        <v>41711</v>
      </c>
      <c r="P169" s="33">
        <v>0</v>
      </c>
    </row>
    <row r="170" spans="2:16">
      <c r="B170" s="95">
        <v>41221</v>
      </c>
      <c r="C170" s="96">
        <v>0.95122523158751371</v>
      </c>
      <c r="D170" s="96">
        <f>VLOOKUP(CurrentMtgRatesDataTable825[[#This Row],[asOfDate]],H:I,2,0)</f>
        <v>0.85194480836680198</v>
      </c>
      <c r="E170" s="96">
        <f>VLOOKUP(CurrentMtgRatesDataTable825[[#This Row],[asOfDate]],O:P,2,0)</f>
        <v>0</v>
      </c>
      <c r="F170" s="97">
        <f ca="1">VLOOKUP(CurrentMtgRatesDataTable825[[#This Row],[asOfDate]]+1,Bloomberg!B:C,2,0)</f>
        <v>4856.1000000000004</v>
      </c>
      <c r="H170" s="1">
        <v>41718</v>
      </c>
      <c r="I170" s="33">
        <v>0.37475184713589199</v>
      </c>
      <c r="O170" s="1">
        <v>41718</v>
      </c>
      <c r="P170" s="33">
        <v>0</v>
      </c>
    </row>
    <row r="171" spans="2:16">
      <c r="B171" s="95">
        <v>41214</v>
      </c>
      <c r="C171" s="96">
        <v>0.95159604304738465</v>
      </c>
      <c r="D171" s="96">
        <f>VLOOKUP(CurrentMtgRatesDataTable825[[#This Row],[asOfDate]],H:I,2,0)</f>
        <v>0.85225052894835196</v>
      </c>
      <c r="E171" s="96">
        <f>VLOOKUP(CurrentMtgRatesDataTable825[[#This Row],[asOfDate]],O:P,2,0)</f>
        <v>0</v>
      </c>
      <c r="F171" s="97">
        <f ca="1">VLOOKUP(CurrentMtgRatesDataTable825[[#This Row],[asOfDate]]+1,Bloomberg!B:C,2,0)</f>
        <v>4297.7</v>
      </c>
      <c r="H171" s="1">
        <v>41725</v>
      </c>
      <c r="I171" s="33">
        <v>0.34373332978073601</v>
      </c>
      <c r="O171" s="1">
        <v>41725</v>
      </c>
      <c r="P171" s="33">
        <v>0</v>
      </c>
    </row>
    <row r="172" spans="2:16">
      <c r="B172" s="95">
        <v>41207</v>
      </c>
      <c r="C172" s="96">
        <v>0.96333796137203465</v>
      </c>
      <c r="D172" s="96">
        <f>VLOOKUP(CurrentMtgRatesDataTable825[[#This Row],[asOfDate]],H:I,2,0)</f>
        <v>0.87683234085301398</v>
      </c>
      <c r="E172" s="96">
        <f>VLOOKUP(CurrentMtgRatesDataTable825[[#This Row],[asOfDate]],O:P,2,0)</f>
        <v>0</v>
      </c>
      <c r="F172" s="97">
        <f ca="1">VLOOKUP(CurrentMtgRatesDataTable825[[#This Row],[asOfDate]]+1,Bloomberg!B:C,2,0)</f>
        <v>4550.7</v>
      </c>
      <c r="H172" s="1">
        <v>41732</v>
      </c>
      <c r="I172" s="33">
        <v>0.31383635422742501</v>
      </c>
      <c r="O172" s="1">
        <v>41732</v>
      </c>
      <c r="P172" s="33">
        <v>0</v>
      </c>
    </row>
    <row r="173" spans="2:16">
      <c r="B173" s="95">
        <v>41200</v>
      </c>
      <c r="C173" s="96">
        <v>0.96475073661562716</v>
      </c>
      <c r="D173" s="96">
        <f>VLOOKUP(CurrentMtgRatesDataTable825[[#This Row],[asOfDate]],H:I,2,0)</f>
        <v>0.89368551357821302</v>
      </c>
      <c r="E173" s="96">
        <f>VLOOKUP(CurrentMtgRatesDataTable825[[#This Row],[asOfDate]],O:P,2,0)</f>
        <v>0</v>
      </c>
      <c r="F173" s="97">
        <f ca="1">VLOOKUP(CurrentMtgRatesDataTable825[[#This Row],[asOfDate]]+1,Bloomberg!B:C,2,0)</f>
        <v>4847.2</v>
      </c>
      <c r="H173" s="1">
        <v>41739</v>
      </c>
      <c r="I173" s="33">
        <v>0.34451093908200903</v>
      </c>
      <c r="O173" s="1">
        <v>41739</v>
      </c>
      <c r="P173" s="33">
        <v>3.2608018628066501E-4</v>
      </c>
    </row>
    <row r="174" spans="2:16">
      <c r="B174" s="95">
        <v>41193</v>
      </c>
      <c r="C174" s="96">
        <v>0.96375870927153184</v>
      </c>
      <c r="D174" s="96">
        <f>VLOOKUP(CurrentMtgRatesDataTable825[[#This Row],[asOfDate]],H:I,2,0)</f>
        <v>0.87811016351224602</v>
      </c>
      <c r="E174" s="96">
        <f>VLOOKUP(CurrentMtgRatesDataTable825[[#This Row],[asOfDate]],O:P,2,0)</f>
        <v>0</v>
      </c>
      <c r="F174" s="97">
        <f ca="1">VLOOKUP(CurrentMtgRatesDataTable825[[#This Row],[asOfDate]]+1,Bloomberg!B:C,2,0)</f>
        <v>5572.2</v>
      </c>
      <c r="H174" s="1">
        <v>41746</v>
      </c>
      <c r="I174" s="33">
        <v>0.37550642358643799</v>
      </c>
      <c r="O174" s="1">
        <v>41746</v>
      </c>
      <c r="P174" s="33">
        <v>1.3569924293908599E-3</v>
      </c>
    </row>
    <row r="175" spans="2:16">
      <c r="B175" s="95">
        <v>41186</v>
      </c>
      <c r="C175" s="96">
        <v>0.96549727195050905</v>
      </c>
      <c r="D175" s="96">
        <f>VLOOKUP(CurrentMtgRatesDataTable825[[#This Row],[asOfDate]],H:I,2,0)</f>
        <v>0.89522709255279198</v>
      </c>
      <c r="E175" s="96">
        <f>VLOOKUP(CurrentMtgRatesDataTable825[[#This Row],[asOfDate]],O:P,2,0)</f>
        <v>0.89337068210282</v>
      </c>
      <c r="F175" s="97">
        <f ca="1">VLOOKUP(CurrentMtgRatesDataTable825[[#This Row],[asOfDate]]+1,Bloomberg!B:C,2,0)</f>
        <v>5892.5</v>
      </c>
      <c r="H175" s="1">
        <v>41753</v>
      </c>
      <c r="I175" s="33">
        <v>0.37394334466633</v>
      </c>
      <c r="O175" s="1">
        <v>41753</v>
      </c>
      <c r="P175" s="33">
        <v>0</v>
      </c>
    </row>
    <row r="176" spans="2:16">
      <c r="B176" s="95">
        <v>41179</v>
      </c>
      <c r="C176" s="96">
        <v>0.97972824609281739</v>
      </c>
      <c r="D176" s="96">
        <f>VLOOKUP(CurrentMtgRatesDataTable825[[#This Row],[asOfDate]],H:I,2,0)</f>
        <v>0.91259028169208301</v>
      </c>
      <c r="E176" s="96">
        <f>VLOOKUP(CurrentMtgRatesDataTable825[[#This Row],[asOfDate]],O:P,2,0)</f>
        <v>0.91307424668051995</v>
      </c>
      <c r="F176" s="97">
        <f ca="1">VLOOKUP(CurrentMtgRatesDataTable825[[#This Row],[asOfDate]]+1,Bloomberg!B:C,2,0)</f>
        <v>5965.5</v>
      </c>
      <c r="H176" s="1">
        <v>41760</v>
      </c>
      <c r="I176" s="33">
        <v>0.37348002875422498</v>
      </c>
      <c r="O176" s="1">
        <v>41760</v>
      </c>
      <c r="P176" s="33">
        <v>0</v>
      </c>
    </row>
    <row r="177" spans="2:16">
      <c r="B177" s="95">
        <v>41172</v>
      </c>
      <c r="C177" s="96">
        <v>0.97557589212912299</v>
      </c>
      <c r="D177" s="96">
        <f>VLOOKUP(CurrentMtgRatesDataTable825[[#This Row],[asOfDate]],H:I,2,0)</f>
        <v>0.87344930653794395</v>
      </c>
      <c r="E177" s="96">
        <f>VLOOKUP(CurrentMtgRatesDataTable825[[#This Row],[asOfDate]],O:P,2,0)</f>
        <v>0.87391634150534703</v>
      </c>
      <c r="F177" s="97">
        <f ca="1">VLOOKUP(CurrentMtgRatesDataTable825[[#This Row],[asOfDate]]+1,Bloomberg!B:C,2,0)</f>
        <v>4979</v>
      </c>
      <c r="H177" s="1">
        <v>41767</v>
      </c>
      <c r="I177" s="33">
        <v>0.42315654967107302</v>
      </c>
      <c r="O177" s="1">
        <v>41767</v>
      </c>
      <c r="P177" s="33">
        <v>1.33698656511534E-2</v>
      </c>
    </row>
    <row r="178" spans="2:16">
      <c r="B178" s="95">
        <v>41165</v>
      </c>
      <c r="C178" s="96">
        <v>0.95934690244536402</v>
      </c>
      <c r="D178" s="96">
        <f>VLOOKUP(CurrentMtgRatesDataTable825[[#This Row],[asOfDate]],H:I,2,0)</f>
        <v>0.85731125996939705</v>
      </c>
      <c r="E178" s="96">
        <f>VLOOKUP(CurrentMtgRatesDataTable825[[#This Row],[asOfDate]],O:P,2,0)</f>
        <v>3.4287960012666001E-3</v>
      </c>
      <c r="F178" s="97">
        <f ca="1">VLOOKUP(CurrentMtgRatesDataTable825[[#This Row],[asOfDate]]+1,Bloomberg!B:C,2,0)</f>
        <v>4823.3</v>
      </c>
      <c r="H178" s="1">
        <v>41774</v>
      </c>
      <c r="I178" s="33">
        <v>0.42349289634896597</v>
      </c>
      <c r="O178" s="1">
        <v>41774</v>
      </c>
      <c r="P178" s="33">
        <v>1.3390108612719401E-2</v>
      </c>
    </row>
    <row r="179" spans="2:16">
      <c r="B179" s="95">
        <v>41158</v>
      </c>
      <c r="C179" s="96">
        <v>0.9385222539497815</v>
      </c>
      <c r="D179" s="96">
        <f>VLOOKUP(CurrentMtgRatesDataTable825[[#This Row],[asOfDate]],H:I,2,0)</f>
        <v>0.854493626143913</v>
      </c>
      <c r="E179" s="96">
        <f>VLOOKUP(CurrentMtgRatesDataTable825[[#This Row],[asOfDate]],O:P,2,0)</f>
        <v>0</v>
      </c>
      <c r="F179" s="97">
        <f ca="1">VLOOKUP(CurrentMtgRatesDataTable825[[#This Row],[asOfDate]]+1,Bloomberg!B:C,2,0)</f>
        <v>4779.1000000000004</v>
      </c>
      <c r="H179" s="1">
        <v>41781</v>
      </c>
      <c r="I179" s="33">
        <v>0.44562837110466802</v>
      </c>
      <c r="O179" s="1">
        <v>41781</v>
      </c>
      <c r="P179" s="33">
        <v>1.7600292816905099E-2</v>
      </c>
    </row>
    <row r="180" spans="2:16">
      <c r="B180" s="95">
        <v>41151</v>
      </c>
      <c r="C180" s="96">
        <v>0.94205857388199854</v>
      </c>
      <c r="D180" s="96">
        <f>VLOOKUP(CurrentMtgRatesDataTable825[[#This Row],[asOfDate]],H:I,2,0)</f>
        <v>0.86745968477328095</v>
      </c>
      <c r="E180" s="96">
        <f>VLOOKUP(CurrentMtgRatesDataTable825[[#This Row],[asOfDate]],O:P,2,0)</f>
        <v>0</v>
      </c>
      <c r="F180" s="97">
        <f ca="1">VLOOKUP(CurrentMtgRatesDataTable825[[#This Row],[asOfDate]]+1,Bloomberg!B:C,2,0)</f>
        <v>4274.8</v>
      </c>
      <c r="H180" s="1">
        <v>41788</v>
      </c>
      <c r="I180" s="33">
        <v>0.44740081291084099</v>
      </c>
      <c r="O180" s="1">
        <v>41788</v>
      </c>
      <c r="P180" s="33">
        <v>2.8641136811507002E-2</v>
      </c>
    </row>
    <row r="181" spans="2:16">
      <c r="B181" s="95">
        <v>41144</v>
      </c>
      <c r="C181" s="96">
        <v>0.87748700775465949</v>
      </c>
      <c r="D181" s="96">
        <f>VLOOKUP(CurrentMtgRatesDataTable825[[#This Row],[asOfDate]],H:I,2,0)</f>
        <v>0.83819941388679298</v>
      </c>
      <c r="E181" s="96">
        <f>VLOOKUP(CurrentMtgRatesDataTable825[[#This Row],[asOfDate]],O:P,2,0)</f>
        <v>0</v>
      </c>
      <c r="F181" s="97">
        <f ca="1">VLOOKUP(CurrentMtgRatesDataTable825[[#This Row],[asOfDate]]+1,Bloomberg!B:C,2,0)</f>
        <v>4414.6000000000004</v>
      </c>
      <c r="H181" s="1">
        <v>41795</v>
      </c>
      <c r="I181" s="33">
        <v>0.447997908024105</v>
      </c>
      <c r="O181" s="1">
        <v>41795</v>
      </c>
      <c r="P181" s="33">
        <v>3.2896088379140397E-2</v>
      </c>
    </row>
    <row r="182" spans="2:16">
      <c r="B182" s="95">
        <v>41137</v>
      </c>
      <c r="C182" s="96">
        <v>0.90339137243763723</v>
      </c>
      <c r="D182" s="96">
        <f>VLOOKUP(CurrentMtgRatesDataTable825[[#This Row],[asOfDate]],H:I,2,0)</f>
        <v>0.85198632502448901</v>
      </c>
      <c r="E182" s="96">
        <f>VLOOKUP(CurrentMtgRatesDataTable825[[#This Row],[asOfDate]],O:P,2,0)</f>
        <v>0</v>
      </c>
      <c r="F182" s="97">
        <f ca="1">VLOOKUP(CurrentMtgRatesDataTable825[[#This Row],[asOfDate]]+1,Bloomberg!B:C,2,0)</f>
        <v>4671.1000000000004</v>
      </c>
      <c r="H182" s="1">
        <v>41802</v>
      </c>
      <c r="I182" s="33">
        <v>0.42258598579352902</v>
      </c>
      <c r="O182" s="1">
        <v>41802</v>
      </c>
      <c r="P182" s="33">
        <v>0</v>
      </c>
    </row>
    <row r="183" spans="2:16">
      <c r="B183" s="95">
        <v>41130</v>
      </c>
      <c r="C183" s="96">
        <v>0.94205857388199854</v>
      </c>
      <c r="D183" s="96">
        <f>VLOOKUP(CurrentMtgRatesDataTable825[[#This Row],[asOfDate]],H:I,2,0)</f>
        <v>0.86745968477328095</v>
      </c>
      <c r="E183" s="96">
        <f>VLOOKUP(CurrentMtgRatesDataTable825[[#This Row],[asOfDate]],O:P,2,0)</f>
        <v>0</v>
      </c>
      <c r="F183" s="97">
        <f ca="1">VLOOKUP(CurrentMtgRatesDataTable825[[#This Row],[asOfDate]]+1,Bloomberg!B:C,2,0)</f>
        <v>5172.2</v>
      </c>
      <c r="H183" s="1">
        <v>41809</v>
      </c>
      <c r="I183" s="33">
        <v>0.42434402519227898</v>
      </c>
      <c r="O183" s="1">
        <v>41809</v>
      </c>
      <c r="P183" s="33">
        <v>0</v>
      </c>
    </row>
    <row r="184" spans="2:16">
      <c r="B184" s="95">
        <v>41123</v>
      </c>
      <c r="C184" s="96">
        <v>0.95587425416287319</v>
      </c>
      <c r="D184" s="96">
        <f>VLOOKUP(CurrentMtgRatesDataTable825[[#This Row],[asOfDate]],H:I,2,0)</f>
        <v>0.86768818253450297</v>
      </c>
      <c r="E184" s="96">
        <f>VLOOKUP(CurrentMtgRatesDataTable825[[#This Row],[asOfDate]],O:P,2,0)</f>
        <v>0</v>
      </c>
      <c r="F184" s="97">
        <f ca="1">VLOOKUP(CurrentMtgRatesDataTable825[[#This Row],[asOfDate]]+1,Bloomberg!B:C,2,0)</f>
        <v>5444.3</v>
      </c>
      <c r="H184" s="1">
        <v>41816</v>
      </c>
      <c r="I184" s="33">
        <v>0.447997908024105</v>
      </c>
      <c r="O184" s="1">
        <v>41816</v>
      </c>
      <c r="P184" s="33">
        <v>0</v>
      </c>
    </row>
    <row r="185" spans="2:16">
      <c r="B185" s="95">
        <v>41116</v>
      </c>
      <c r="C185" s="96">
        <v>0.99027447530696866</v>
      </c>
      <c r="D185" s="96">
        <f>VLOOKUP(CurrentMtgRatesDataTable825[[#This Row],[asOfDate]],H:I,2,0)</f>
        <v>0.89814744996460805</v>
      </c>
      <c r="E185" s="96">
        <f>VLOOKUP(CurrentMtgRatesDataTable825[[#This Row],[asOfDate]],O:P,2,0)</f>
        <v>0.89854811201564799</v>
      </c>
      <c r="F185" s="97">
        <f ca="1">VLOOKUP(CurrentMtgRatesDataTable825[[#This Row],[asOfDate]]+1,Bloomberg!B:C,2,0)</f>
        <v>5492.1</v>
      </c>
      <c r="H185" s="1">
        <v>41823</v>
      </c>
      <c r="I185" s="33">
        <v>0.47241973099249801</v>
      </c>
      <c r="O185" s="1">
        <v>41823</v>
      </c>
      <c r="P185" s="33">
        <v>4.9242422986382497E-2</v>
      </c>
    </row>
    <row r="186" spans="2:16">
      <c r="B186" s="95">
        <v>41109</v>
      </c>
      <c r="C186" s="96">
        <v>0.97847366123619861</v>
      </c>
      <c r="D186" s="96">
        <f>VLOOKUP(CurrentMtgRatesDataTable825[[#This Row],[asOfDate]],H:I,2,0)</f>
        <v>0.88516739973977598</v>
      </c>
      <c r="E186" s="96">
        <f>VLOOKUP(CurrentMtgRatesDataTable825[[#This Row],[asOfDate]],O:P,2,0)</f>
        <v>0.88557582733423201</v>
      </c>
      <c r="F186" s="97">
        <f ca="1">VLOOKUP(CurrentMtgRatesDataTable825[[#This Row],[asOfDate]]+1,Bloomberg!B:C,2,0)</f>
        <v>5383.1</v>
      </c>
      <c r="H186" s="1">
        <v>41830</v>
      </c>
      <c r="I186" s="33">
        <v>0.41926854513922601</v>
      </c>
      <c r="O186" s="1">
        <v>41830</v>
      </c>
      <c r="P186" s="33">
        <v>0</v>
      </c>
    </row>
    <row r="187" spans="2:16">
      <c r="B187" s="95">
        <v>41102</v>
      </c>
      <c r="C187" s="96">
        <v>0.95580172872477098</v>
      </c>
      <c r="D187" s="96">
        <f>VLOOKUP(CurrentMtgRatesDataTable825[[#This Row],[asOfDate]],H:I,2,0)</f>
        <v>0.88265848165302496</v>
      </c>
      <c r="E187" s="96">
        <f>VLOOKUP(CurrentMtgRatesDataTable825[[#This Row],[asOfDate]],O:P,2,0)</f>
        <v>0.88306588959651799</v>
      </c>
      <c r="F187" s="97">
        <f ca="1">VLOOKUP(CurrentMtgRatesDataTable825[[#This Row],[asOfDate]]+1,Bloomberg!B:C,2,0)</f>
        <v>5246.8</v>
      </c>
      <c r="H187" s="1">
        <v>41837</v>
      </c>
      <c r="I187" s="33">
        <v>0.44241787954298001</v>
      </c>
      <c r="O187" s="1">
        <v>41837</v>
      </c>
      <c r="P187" s="33">
        <v>0</v>
      </c>
    </row>
    <row r="188" spans="2:16">
      <c r="B188" s="95">
        <v>41095</v>
      </c>
      <c r="C188" s="96">
        <v>0.89815584955046668</v>
      </c>
      <c r="D188" s="96">
        <f>VLOOKUP(CurrentMtgRatesDataTable825[[#This Row],[asOfDate]],H:I,2,0)</f>
        <v>0.85531584833132801</v>
      </c>
      <c r="E188" s="96">
        <f>VLOOKUP(CurrentMtgRatesDataTable825[[#This Row],[asOfDate]],O:P,2,0)</f>
        <v>0.85480310148891403</v>
      </c>
      <c r="F188" s="97">
        <f ca="1">VLOOKUP(CurrentMtgRatesDataTable825[[#This Row],[asOfDate]]+1,Bloomberg!B:C,2,0)</f>
        <v>4267.8999999999996</v>
      </c>
      <c r="H188" s="1">
        <v>41844</v>
      </c>
      <c r="I188" s="33">
        <v>0.44241787954298001</v>
      </c>
      <c r="O188" s="1">
        <v>41844</v>
      </c>
      <c r="P188" s="33">
        <v>0</v>
      </c>
    </row>
    <row r="189" spans="2:16">
      <c r="B189" s="95">
        <v>41088</v>
      </c>
      <c r="C189" s="96">
        <v>0.90433551745614671</v>
      </c>
      <c r="D189" s="96">
        <f>VLOOKUP(CurrentMtgRatesDataTable825[[#This Row],[asOfDate]],H:I,2,0)</f>
        <v>0.86306170802286497</v>
      </c>
      <c r="E189" s="96">
        <f>VLOOKUP(CurrentMtgRatesDataTable825[[#This Row],[asOfDate]],O:P,2,0)</f>
        <v>0.86355719580735102</v>
      </c>
      <c r="F189" s="97">
        <f ca="1">VLOOKUP(CurrentMtgRatesDataTable825[[#This Row],[asOfDate]]+1,Bloomberg!B:C,2,0)</f>
        <v>4372.2</v>
      </c>
      <c r="H189" s="1">
        <v>41851</v>
      </c>
      <c r="I189" s="33">
        <v>0.44366576481104603</v>
      </c>
      <c r="O189" s="1">
        <v>41851</v>
      </c>
      <c r="P189" s="33">
        <v>0</v>
      </c>
    </row>
    <row r="190" spans="2:16">
      <c r="B190" s="95">
        <v>41081</v>
      </c>
      <c r="C190" s="96">
        <v>0.90433551745614671</v>
      </c>
      <c r="D190" s="96">
        <f>VLOOKUP(CurrentMtgRatesDataTable825[[#This Row],[asOfDate]],H:I,2,0)</f>
        <v>0.86306170802286497</v>
      </c>
      <c r="E190" s="96">
        <f>VLOOKUP(CurrentMtgRatesDataTable825[[#This Row],[asOfDate]],O:P,2,0)</f>
        <v>0.86355719580735102</v>
      </c>
      <c r="F190" s="97">
        <f ca="1">VLOOKUP(CurrentMtgRatesDataTable825[[#This Row],[asOfDate]]+1,Bloomberg!B:C,2,0)</f>
        <v>4585.8</v>
      </c>
      <c r="H190" s="1">
        <v>41858</v>
      </c>
      <c r="I190" s="33">
        <v>0.41284557270170602</v>
      </c>
      <c r="O190" s="1">
        <v>41858</v>
      </c>
      <c r="P190" s="33">
        <v>0</v>
      </c>
    </row>
    <row r="191" spans="2:16">
      <c r="B191" s="95">
        <v>41074</v>
      </c>
      <c r="C191" s="96">
        <v>0.89875319576913215</v>
      </c>
      <c r="D191" s="96">
        <f>VLOOKUP(CurrentMtgRatesDataTable825[[#This Row],[asOfDate]],H:I,2,0)</f>
        <v>0.84549296973434196</v>
      </c>
      <c r="E191" s="96">
        <f>VLOOKUP(CurrentMtgRatesDataTable825[[#This Row],[asOfDate]],O:P,2,0)</f>
        <v>0</v>
      </c>
      <c r="F191" s="97">
        <f ca="1">VLOOKUP(CurrentMtgRatesDataTable825[[#This Row],[asOfDate]]+1,Bloomberg!B:C,2,0)</f>
        <v>4719.6000000000004</v>
      </c>
      <c r="H191" s="1">
        <v>41865</v>
      </c>
      <c r="I191" s="33">
        <v>0.437009219217877</v>
      </c>
      <c r="O191" s="1">
        <v>41865</v>
      </c>
      <c r="P191" s="33">
        <v>5.9130346511517896E-4</v>
      </c>
    </row>
    <row r="192" spans="2:16">
      <c r="B192" s="95">
        <v>41067</v>
      </c>
      <c r="C192" s="96">
        <v>0.90226538815009849</v>
      </c>
      <c r="D192" s="96">
        <f>VLOOKUP(CurrentMtgRatesDataTable825[[#This Row],[asOfDate]],H:I,2,0)</f>
        <v>0.86243439572202496</v>
      </c>
      <c r="E192" s="96">
        <f>VLOOKUP(CurrentMtgRatesDataTable825[[#This Row],[asOfDate]],O:P,2,0)</f>
        <v>0.86123151402869003</v>
      </c>
      <c r="F192" s="97">
        <f ca="1">VLOOKUP(CurrentMtgRatesDataTable825[[#This Row],[asOfDate]]+1,Bloomberg!B:C,2,0)</f>
        <v>5590</v>
      </c>
      <c r="H192" s="1">
        <v>41872</v>
      </c>
      <c r="I192" s="33">
        <v>0.46725416935729103</v>
      </c>
      <c r="O192" s="1">
        <v>41872</v>
      </c>
      <c r="P192" s="33">
        <v>5.44200843584444E-2</v>
      </c>
    </row>
    <row r="193" spans="2:16">
      <c r="B193" s="95">
        <v>41060</v>
      </c>
      <c r="C193" s="96">
        <v>0.91172389347479832</v>
      </c>
      <c r="D193" s="96">
        <f>VLOOKUP(CurrentMtgRatesDataTable825[[#This Row],[asOfDate]],H:I,2,0)</f>
        <v>0.83268888035603505</v>
      </c>
      <c r="E193" s="96">
        <f>VLOOKUP(CurrentMtgRatesDataTable825[[#This Row],[asOfDate]],O:P,2,0)</f>
        <v>0.83309495413351498</v>
      </c>
      <c r="F193" s="97">
        <f ca="1">VLOOKUP(CurrentMtgRatesDataTable825[[#This Row],[asOfDate]]+1,Bloomberg!B:C,2,0)</f>
        <v>4736</v>
      </c>
      <c r="H193" s="1">
        <v>41879</v>
      </c>
      <c r="I193" s="33">
        <v>0.46725416935729103</v>
      </c>
      <c r="O193" s="1">
        <v>41879</v>
      </c>
      <c r="P193" s="33">
        <v>0</v>
      </c>
    </row>
    <row r="194" spans="2:16">
      <c r="B194" s="95">
        <v>41053</v>
      </c>
      <c r="C194" s="96">
        <v>0.91139854356807648</v>
      </c>
      <c r="D194" s="96">
        <f>VLOOKUP(CurrentMtgRatesDataTable825[[#This Row],[asOfDate]],H:I,2,0)</f>
        <v>0.82948257912141399</v>
      </c>
      <c r="E194" s="96">
        <f>VLOOKUP(CurrentMtgRatesDataTable825[[#This Row],[asOfDate]],O:P,2,0)</f>
        <v>0</v>
      </c>
      <c r="F194" s="97">
        <f ca="1">VLOOKUP(CurrentMtgRatesDataTable825[[#This Row],[asOfDate]]+1,Bloomberg!B:C,2,0)</f>
        <v>4675.8999999999996</v>
      </c>
      <c r="H194" s="1">
        <v>41886</v>
      </c>
      <c r="I194" s="33">
        <v>0.46145357757128402</v>
      </c>
      <c r="O194" s="1">
        <v>41886</v>
      </c>
      <c r="P194" s="33">
        <v>0</v>
      </c>
    </row>
    <row r="195" spans="2:16">
      <c r="B195" s="95">
        <v>41046</v>
      </c>
      <c r="C195" s="96">
        <v>0.91158635954379463</v>
      </c>
      <c r="D195" s="96">
        <f>VLOOKUP(CurrentMtgRatesDataTable825[[#This Row],[asOfDate]],H:I,2,0)</f>
        <v>0.83152220645888697</v>
      </c>
      <c r="E195" s="96">
        <f>VLOOKUP(CurrentMtgRatesDataTable825[[#This Row],[asOfDate]],O:P,2,0)</f>
        <v>0.831927164274886</v>
      </c>
      <c r="F195" s="97">
        <f ca="1">VLOOKUP(CurrentMtgRatesDataTable825[[#This Row],[asOfDate]]+1,Bloomberg!B:C,2,0)</f>
        <v>4732</v>
      </c>
      <c r="H195" s="1">
        <v>41893</v>
      </c>
      <c r="I195" s="33">
        <v>0.45995272695767497</v>
      </c>
      <c r="O195" s="1">
        <v>41893</v>
      </c>
      <c r="P195" s="33">
        <v>0</v>
      </c>
    </row>
    <row r="196" spans="2:16">
      <c r="B196" s="95">
        <v>41039</v>
      </c>
      <c r="C196" s="96">
        <v>0.91043730151525848</v>
      </c>
      <c r="D196" s="96">
        <f>VLOOKUP(CurrentMtgRatesDataTable825[[#This Row],[asOfDate]],H:I,2,0)</f>
        <v>0.807152941952609</v>
      </c>
      <c r="E196" s="96">
        <f>VLOOKUP(CurrentMtgRatesDataTable825[[#This Row],[asOfDate]],O:P,2,0)</f>
        <v>0.80754152596055995</v>
      </c>
      <c r="F196" s="97">
        <f ca="1">VLOOKUP(CurrentMtgRatesDataTable825[[#This Row],[asOfDate]]+1,Bloomberg!B:C,2,0)</f>
        <v>4482</v>
      </c>
      <c r="H196" s="1">
        <v>41900</v>
      </c>
      <c r="I196" s="33">
        <v>0.403775681059653</v>
      </c>
      <c r="O196" s="1">
        <v>41900</v>
      </c>
      <c r="P196" s="33">
        <v>0</v>
      </c>
    </row>
    <row r="197" spans="2:16">
      <c r="B197" s="95">
        <v>41032</v>
      </c>
      <c r="C197" s="96">
        <v>0.90933155768623286</v>
      </c>
      <c r="D197" s="96">
        <f>VLOOKUP(CurrentMtgRatesDataTable825[[#This Row],[asOfDate]],H:I,2,0)</f>
        <v>0.80437080516661097</v>
      </c>
      <c r="E197" s="96">
        <f>VLOOKUP(CurrentMtgRatesDataTable825[[#This Row],[asOfDate]],O:P,2,0)</f>
        <v>0.80415566862182497</v>
      </c>
      <c r="F197" s="97">
        <f ca="1">VLOOKUP(CurrentMtgRatesDataTable825[[#This Row],[asOfDate]]+1,Bloomberg!B:C,2,0)</f>
        <v>3924.4</v>
      </c>
      <c r="H197" s="1">
        <v>41907</v>
      </c>
      <c r="I197" s="33">
        <v>0.40569534905697002</v>
      </c>
      <c r="O197" s="1">
        <v>41907</v>
      </c>
      <c r="P197" s="33">
        <v>0</v>
      </c>
    </row>
    <row r="198" spans="2:16">
      <c r="B198" s="95">
        <v>41025</v>
      </c>
      <c r="C198" s="96">
        <v>0.92081224691907704</v>
      </c>
      <c r="D198" s="96">
        <f>VLOOKUP(CurrentMtgRatesDataTable825[[#This Row],[asOfDate]],H:I,2,0)</f>
        <v>0.80193881910043296</v>
      </c>
      <c r="E198" s="96">
        <f>VLOOKUP(CurrentMtgRatesDataTable825[[#This Row],[asOfDate]],O:P,2,0)</f>
        <v>0.80265108338267499</v>
      </c>
      <c r="F198" s="97">
        <f ca="1">VLOOKUP(CurrentMtgRatesDataTable825[[#This Row],[asOfDate]]+1,Bloomberg!B:C,2,0)</f>
        <v>3856</v>
      </c>
      <c r="H198" s="1">
        <v>41914</v>
      </c>
      <c r="I198" s="33">
        <v>0.419925946793896</v>
      </c>
      <c r="O198" s="1">
        <v>41914</v>
      </c>
      <c r="P198" s="33">
        <v>0</v>
      </c>
    </row>
    <row r="199" spans="2:16">
      <c r="B199" s="95">
        <v>41018</v>
      </c>
      <c r="C199" s="96">
        <v>0.91584710240533518</v>
      </c>
      <c r="D199" s="96">
        <f>VLOOKUP(CurrentMtgRatesDataTable825[[#This Row],[asOfDate]],H:I,2,0)</f>
        <v>0.77781138796328697</v>
      </c>
      <c r="E199" s="96">
        <f>VLOOKUP(CurrentMtgRatesDataTable825[[#This Row],[asOfDate]],O:P,2,0)</f>
        <v>0</v>
      </c>
      <c r="F199" s="97">
        <f ca="1">VLOOKUP(CurrentMtgRatesDataTable825[[#This Row],[asOfDate]]+1,Bloomberg!B:C,2,0)</f>
        <v>3892.2</v>
      </c>
      <c r="H199" s="1">
        <v>41921</v>
      </c>
      <c r="I199" s="33">
        <v>0.45168042618119703</v>
      </c>
      <c r="O199" s="1">
        <v>41921</v>
      </c>
      <c r="P199" s="33">
        <v>1.00775509847578E-3</v>
      </c>
    </row>
    <row r="200" spans="2:16">
      <c r="B200" s="95">
        <v>41011</v>
      </c>
      <c r="C200" s="96">
        <v>0.92081224691907704</v>
      </c>
      <c r="D200" s="96">
        <f>VLOOKUP(CurrentMtgRatesDataTable825[[#This Row],[asOfDate]],H:I,2,0)</f>
        <v>0.80193881910043296</v>
      </c>
      <c r="E200" s="96">
        <f>VLOOKUP(CurrentMtgRatesDataTable825[[#This Row],[asOfDate]],O:P,2,0)</f>
        <v>0.80265108338267499</v>
      </c>
      <c r="F200" s="97">
        <f ca="1">VLOOKUP(CurrentMtgRatesDataTable825[[#This Row],[asOfDate]]+1,Bloomberg!B:C,2,0)</f>
        <v>4144.3</v>
      </c>
      <c r="H200" s="1">
        <v>41928</v>
      </c>
      <c r="I200" s="33">
        <v>0.51982909302980596</v>
      </c>
      <c r="O200" s="1">
        <v>41928</v>
      </c>
      <c r="P200" s="33">
        <v>9.0356790924596503E-2</v>
      </c>
    </row>
    <row r="201" spans="2:16">
      <c r="B201" s="95">
        <v>41004</v>
      </c>
      <c r="C201" s="96">
        <v>0.88207169423008958</v>
      </c>
      <c r="D201" s="96">
        <f>VLOOKUP(CurrentMtgRatesDataTable825[[#This Row],[asOfDate]],H:I,2,0)</f>
        <v>0.75253147533014197</v>
      </c>
      <c r="E201" s="96">
        <f>VLOOKUP(CurrentMtgRatesDataTable825[[#This Row],[asOfDate]],O:P,2,0)</f>
        <v>0</v>
      </c>
      <c r="F201" s="97">
        <f ca="1">VLOOKUP(CurrentMtgRatesDataTable825[[#This Row],[asOfDate]]+1,Bloomberg!B:C,2,0)</f>
        <v>3549.3</v>
      </c>
      <c r="H201" s="1">
        <v>41935</v>
      </c>
      <c r="I201" s="33">
        <v>0.54838604953283498</v>
      </c>
      <c r="O201" s="1">
        <v>41935</v>
      </c>
      <c r="P201" s="33">
        <v>0.103644934949105</v>
      </c>
    </row>
    <row r="202" spans="2:16">
      <c r="B202" s="95">
        <v>40997</v>
      </c>
      <c r="C202" s="96">
        <v>0.89839647193495631</v>
      </c>
      <c r="D202" s="96">
        <f>VLOOKUP(CurrentMtgRatesDataTable825[[#This Row],[asOfDate]],H:I,2,0)</f>
        <v>0.749723434167341</v>
      </c>
      <c r="E202" s="96">
        <f>VLOOKUP(CurrentMtgRatesDataTable825[[#This Row],[asOfDate]],O:P,2,0)</f>
        <v>0</v>
      </c>
      <c r="F202" s="97">
        <f ca="1">VLOOKUP(CurrentMtgRatesDataTable825[[#This Row],[asOfDate]]+1,Bloomberg!B:C,2,0)</f>
        <v>3699.5</v>
      </c>
      <c r="H202" s="1">
        <v>41942</v>
      </c>
      <c r="I202" s="33">
        <v>0.519221652370358</v>
      </c>
      <c r="O202" s="1">
        <v>41942</v>
      </c>
      <c r="P202" s="33">
        <v>0</v>
      </c>
    </row>
    <row r="203" spans="2:16">
      <c r="B203" s="95">
        <v>40990</v>
      </c>
      <c r="C203" s="96">
        <v>0.81613042553286597</v>
      </c>
      <c r="D203" s="96">
        <f>VLOOKUP(CurrentMtgRatesDataTable825[[#This Row],[asOfDate]],H:I,2,0)</f>
        <v>0.69937061468571404</v>
      </c>
      <c r="E203" s="96">
        <f>VLOOKUP(CurrentMtgRatesDataTable825[[#This Row],[asOfDate]],O:P,2,0)</f>
        <v>0</v>
      </c>
      <c r="F203" s="97">
        <f ca="1">VLOOKUP(CurrentMtgRatesDataTable825[[#This Row],[asOfDate]]+1,Bloomberg!B:C,2,0)</f>
        <v>3588.4</v>
      </c>
      <c r="H203" s="1">
        <v>41949</v>
      </c>
      <c r="I203" s="33">
        <v>0.47679161148246502</v>
      </c>
      <c r="O203" s="1">
        <v>41949</v>
      </c>
      <c r="P203" s="33">
        <v>0</v>
      </c>
    </row>
    <row r="204" spans="2:16">
      <c r="B204" s="95">
        <v>40983</v>
      </c>
      <c r="C204" s="96">
        <v>0.92731884222020211</v>
      </c>
      <c r="D204" s="96">
        <f>VLOOKUP(CurrentMtgRatesDataTable825[[#This Row],[asOfDate]],H:I,2,0)</f>
        <v>0.77421402081353796</v>
      </c>
      <c r="E204" s="96">
        <f>VLOOKUP(CurrentMtgRatesDataTable825[[#This Row],[asOfDate]],O:P,2,0)</f>
        <v>0</v>
      </c>
      <c r="F204" s="97">
        <f ca="1">VLOOKUP(CurrentMtgRatesDataTable825[[#This Row],[asOfDate]]+1,Bloomberg!B:C,2,0)</f>
        <v>3715.2</v>
      </c>
      <c r="H204" s="1">
        <v>41956</v>
      </c>
      <c r="I204" s="33">
        <v>0.47696082053878203</v>
      </c>
      <c r="O204" s="1">
        <v>41956</v>
      </c>
      <c r="P204" s="33">
        <v>1.4902494177175701E-3</v>
      </c>
    </row>
    <row r="205" spans="2:16">
      <c r="B205" s="95">
        <v>40976</v>
      </c>
      <c r="C205" s="96">
        <v>0.94021222625007095</v>
      </c>
      <c r="D205" s="96">
        <f>VLOOKUP(CurrentMtgRatesDataTable825[[#This Row],[asOfDate]],H:I,2,0)</f>
        <v>0.78283886771012201</v>
      </c>
      <c r="E205" s="96">
        <f>VLOOKUP(CurrentMtgRatesDataTable825[[#This Row],[asOfDate]],O:P,2,0)</f>
        <v>7.6028475141971797E-4</v>
      </c>
      <c r="F205" s="97">
        <f ca="1">VLOOKUP(CurrentMtgRatesDataTable825[[#This Row],[asOfDate]]+1,Bloomberg!B:C,2,0)</f>
        <v>4063.4</v>
      </c>
      <c r="H205" s="1">
        <v>41963</v>
      </c>
      <c r="I205" s="33">
        <v>0.51126312077979097</v>
      </c>
      <c r="O205" s="1">
        <v>41963</v>
      </c>
      <c r="P205" s="33">
        <v>1.9465534524820899E-3</v>
      </c>
    </row>
    <row r="206" spans="2:16">
      <c r="B206" s="95">
        <v>40969</v>
      </c>
      <c r="C206" s="96">
        <v>0.93754446570186334</v>
      </c>
      <c r="D206" s="96">
        <f>VLOOKUP(CurrentMtgRatesDataTable825[[#This Row],[asOfDate]],H:I,2,0)</f>
        <v>0.77480777056815697</v>
      </c>
      <c r="E206" s="96">
        <f>VLOOKUP(CurrentMtgRatesDataTable825[[#This Row],[asOfDate]],O:P,2,0)</f>
        <v>0</v>
      </c>
      <c r="F206" s="97">
        <f ca="1">VLOOKUP(CurrentMtgRatesDataTable825[[#This Row],[asOfDate]]+1,Bloomberg!B:C,2,0)</f>
        <v>4277.6000000000004</v>
      </c>
      <c r="H206" s="1">
        <v>41969</v>
      </c>
      <c r="I206" s="33">
        <v>0.51222876537846296</v>
      </c>
      <c r="O206" s="1">
        <v>41969</v>
      </c>
      <c r="P206" s="33">
        <v>1.9601498700341099E-3</v>
      </c>
    </row>
    <row r="207" spans="2:16">
      <c r="B207" s="95">
        <v>40962</v>
      </c>
      <c r="C207" s="96">
        <v>0.92213501804792164</v>
      </c>
      <c r="D207" s="96">
        <f>VLOOKUP(CurrentMtgRatesDataTable825[[#This Row],[asOfDate]],H:I,2,0)</f>
        <v>0.76669716579457303</v>
      </c>
      <c r="E207" s="96">
        <f>VLOOKUP(CurrentMtgRatesDataTable825[[#This Row],[asOfDate]],O:P,2,0)</f>
        <v>0</v>
      </c>
      <c r="F207" s="97">
        <f ca="1">VLOOKUP(CurrentMtgRatesDataTable825[[#This Row],[asOfDate]]+1,Bloomberg!B:C,2,0)</f>
        <v>4379.1000000000004</v>
      </c>
      <c r="H207" s="1">
        <v>41977</v>
      </c>
      <c r="I207" s="33">
        <v>0.53685925114667898</v>
      </c>
      <c r="O207" s="1">
        <v>41977</v>
      </c>
      <c r="P207" s="33">
        <v>0.106230521131833</v>
      </c>
    </row>
    <row r="208" spans="2:16">
      <c r="B208" s="95">
        <v>40955</v>
      </c>
      <c r="C208" s="96">
        <v>0.95301550179731664</v>
      </c>
      <c r="D208" s="96">
        <f>VLOOKUP(CurrentMtgRatesDataTable825[[#This Row],[asOfDate]],H:I,2,0)</f>
        <v>0.79842547980239797</v>
      </c>
      <c r="E208" s="96">
        <f>VLOOKUP(CurrentMtgRatesDataTable825[[#This Row],[asOfDate]],O:P,2,0)</f>
        <v>0</v>
      </c>
      <c r="F208" s="97">
        <f ca="1">VLOOKUP(CurrentMtgRatesDataTable825[[#This Row],[asOfDate]]+1,Bloomberg!B:C,2,0)</f>
        <v>4466.8999999999996</v>
      </c>
      <c r="H208" s="1">
        <v>41984</v>
      </c>
      <c r="I208" s="33">
        <v>0.53353274326337596</v>
      </c>
      <c r="O208" s="1">
        <v>41984</v>
      </c>
      <c r="P208" s="33">
        <v>0</v>
      </c>
    </row>
    <row r="209" spans="2:16">
      <c r="B209" s="95">
        <v>40948</v>
      </c>
      <c r="C209" s="96">
        <v>0.95301550179731664</v>
      </c>
      <c r="D209" s="96">
        <f>VLOOKUP(CurrentMtgRatesDataTable825[[#This Row],[asOfDate]],H:I,2,0)</f>
        <v>0.79842547980239797</v>
      </c>
      <c r="E209" s="96">
        <f>VLOOKUP(CurrentMtgRatesDataTable825[[#This Row],[asOfDate]],O:P,2,0)</f>
        <v>0</v>
      </c>
      <c r="F209" s="97">
        <f ca="1">VLOOKUP(CurrentMtgRatesDataTable825[[#This Row],[asOfDate]]+1,Bloomberg!B:C,2,0)</f>
        <v>4716.1000000000004</v>
      </c>
      <c r="H209" s="1">
        <v>41991</v>
      </c>
      <c r="I209" s="33">
        <v>0.57447022909045797</v>
      </c>
      <c r="O209" s="1">
        <v>41991</v>
      </c>
      <c r="P209" s="33">
        <v>0.127103043508559</v>
      </c>
    </row>
    <row r="210" spans="2:16">
      <c r="B210" s="95">
        <v>40941</v>
      </c>
      <c r="C210" s="96">
        <v>0.95301550179731664</v>
      </c>
      <c r="D210" s="96">
        <f>VLOOKUP(CurrentMtgRatesDataTable825[[#This Row],[asOfDate]],H:I,2,0)</f>
        <v>0.79842547980239797</v>
      </c>
      <c r="E210" s="96">
        <f>VLOOKUP(CurrentMtgRatesDataTable825[[#This Row],[asOfDate]],O:P,2,0)</f>
        <v>0</v>
      </c>
      <c r="F210" s="97">
        <f ca="1">VLOOKUP(CurrentMtgRatesDataTable825[[#This Row],[asOfDate]]+1,Bloomberg!B:C,2,0)</f>
        <v>4617.1000000000004</v>
      </c>
      <c r="H210" s="1">
        <v>41997</v>
      </c>
      <c r="I210" s="33">
        <v>0.57166642614489205</v>
      </c>
      <c r="O210" s="1">
        <v>41997</v>
      </c>
      <c r="P210" s="33">
        <v>0</v>
      </c>
    </row>
    <row r="211" spans="2:16">
      <c r="B211" s="95">
        <v>40934</v>
      </c>
      <c r="C211" s="96">
        <v>0.93095663396698869</v>
      </c>
      <c r="D211" s="96">
        <f>VLOOKUP(CurrentMtgRatesDataTable825[[#This Row],[asOfDate]],H:I,2,0)</f>
        <v>0.78339393568549298</v>
      </c>
      <c r="E211" s="96">
        <f>VLOOKUP(CurrentMtgRatesDataTable825[[#This Row],[asOfDate]],O:P,2,0)</f>
        <v>0</v>
      </c>
      <c r="F211" s="97">
        <f ca="1">VLOOKUP(CurrentMtgRatesDataTable825[[#This Row],[asOfDate]]+1,Bloomberg!B:C,2,0)</f>
        <v>4184.3</v>
      </c>
      <c r="H211" s="1">
        <v>42004</v>
      </c>
      <c r="I211" s="33">
        <v>0.53680415412734395</v>
      </c>
      <c r="O211" s="1">
        <v>42004</v>
      </c>
      <c r="P211" s="33">
        <v>0</v>
      </c>
    </row>
    <row r="212" spans="2:16">
      <c r="B212" s="95">
        <v>40927</v>
      </c>
      <c r="C212" s="96">
        <v>0.9605332037897929</v>
      </c>
      <c r="D212" s="96">
        <f>VLOOKUP(CurrentMtgRatesDataTable825[[#This Row],[asOfDate]],H:I,2,0)</f>
        <v>0.81461584859780101</v>
      </c>
      <c r="E212" s="96">
        <f>VLOOKUP(CurrentMtgRatesDataTable825[[#This Row],[asOfDate]],O:P,2,0)</f>
        <v>0</v>
      </c>
      <c r="F212" s="97">
        <f ca="1">VLOOKUP(CurrentMtgRatesDataTable825[[#This Row],[asOfDate]]+1,Bloomberg!B:C,2,0)</f>
        <v>4326.3999999999996</v>
      </c>
      <c r="H212" s="1">
        <v>42012</v>
      </c>
      <c r="I212" s="33">
        <v>0.59931706558407905</v>
      </c>
      <c r="O212" s="1">
        <v>42012</v>
      </c>
      <c r="P212" s="33">
        <v>0.14268475210645201</v>
      </c>
    </row>
    <row r="213" spans="2:16">
      <c r="B213" s="95">
        <v>40920</v>
      </c>
      <c r="C213" s="96">
        <v>0.96186747708451303</v>
      </c>
      <c r="D213" s="96">
        <f>VLOOKUP(CurrentMtgRatesDataTable825[[#This Row],[asOfDate]],H:I,2,0)</f>
        <v>0.81626218699844599</v>
      </c>
      <c r="E213" s="96">
        <f>VLOOKUP(CurrentMtgRatesDataTable825[[#This Row],[asOfDate]],O:P,2,0)</f>
        <v>0.81663205917875104</v>
      </c>
      <c r="F213" s="97">
        <f ca="1">VLOOKUP(CurrentMtgRatesDataTable825[[#This Row],[asOfDate]]+1,Bloomberg!B:C,2,0)</f>
        <v>4626.5</v>
      </c>
      <c r="H213" s="1">
        <v>42019</v>
      </c>
      <c r="I213" s="33">
        <v>0.65582330233583797</v>
      </c>
      <c r="O213" s="1">
        <v>42019</v>
      </c>
      <c r="P213" s="33">
        <v>0.177765501913389</v>
      </c>
    </row>
    <row r="214" spans="2:16">
      <c r="B214" s="95">
        <v>40913</v>
      </c>
      <c r="C214" s="96">
        <v>0.95441320378126659</v>
      </c>
      <c r="D214" s="96">
        <f>VLOOKUP(CurrentMtgRatesDataTable825[[#This Row],[asOfDate]],H:I,2,0)</f>
        <v>0.80629912189469399</v>
      </c>
      <c r="E214" s="96">
        <f>VLOOKUP(CurrentMtgRatesDataTable825[[#This Row],[asOfDate]],O:P,2,0)</f>
        <v>0</v>
      </c>
      <c r="F214" s="97">
        <f ca="1">VLOOKUP(CurrentMtgRatesDataTable825[[#This Row],[asOfDate]]+1,Bloomberg!B:C,2,0)</f>
        <v>3668.3</v>
      </c>
      <c r="H214" s="1">
        <v>42026</v>
      </c>
      <c r="I214" s="33">
        <v>0.65720471867066899</v>
      </c>
      <c r="O214" s="1">
        <v>42026</v>
      </c>
      <c r="P214" s="33">
        <v>0.17811212012226099</v>
      </c>
    </row>
    <row r="215" spans="2:16">
      <c r="B215" s="95">
        <v>40906</v>
      </c>
      <c r="C215" s="96">
        <v>0.96468401373452672</v>
      </c>
      <c r="D215" s="96">
        <f>VLOOKUP(CurrentMtgRatesDataTable825[[#This Row],[asOfDate]],H:I,2,0)</f>
        <v>0.81734633197465201</v>
      </c>
      <c r="E215" s="96">
        <f>VLOOKUP(CurrentMtgRatesDataTable825[[#This Row],[asOfDate]],O:P,2,0)</f>
        <v>0</v>
      </c>
      <c r="F215" s="97">
        <f ca="1">VLOOKUP(CurrentMtgRatesDataTable825[[#This Row],[asOfDate]]+1,Bloomberg!B:C,2,0)</f>
        <v>3608.1</v>
      </c>
      <c r="H215" s="1">
        <v>42033</v>
      </c>
      <c r="I215" s="33">
        <v>0.65582330233583797</v>
      </c>
      <c r="O215" s="1">
        <v>42033</v>
      </c>
      <c r="P215" s="33">
        <v>0</v>
      </c>
    </row>
    <row r="216" spans="2:16">
      <c r="B216" s="95">
        <v>40899</v>
      </c>
      <c r="C216" s="96">
        <v>0.97266763503004883</v>
      </c>
      <c r="D216" s="96">
        <f>VLOOKUP(CurrentMtgRatesDataTable825[[#This Row],[asOfDate]],H:I,2,0)</f>
        <v>0.82537040355923197</v>
      </c>
      <c r="E216" s="96">
        <f>VLOOKUP(CurrentMtgRatesDataTable825[[#This Row],[asOfDate]],O:P,2,0)</f>
        <v>0.82559057548597004</v>
      </c>
      <c r="F216" s="97">
        <f ca="1">VLOOKUP(CurrentMtgRatesDataTable825[[#This Row],[asOfDate]]+1,Bloomberg!B:C,2,0)</f>
        <v>3684.5</v>
      </c>
      <c r="H216" s="1">
        <v>42040</v>
      </c>
      <c r="I216" s="33">
        <v>0.65455905311871299</v>
      </c>
      <c r="O216" s="1">
        <v>42040</v>
      </c>
      <c r="P216" s="33">
        <v>0.17933240004933601</v>
      </c>
    </row>
    <row r="217" spans="2:16">
      <c r="B217" s="95">
        <v>40892</v>
      </c>
      <c r="C217" s="96">
        <v>0.95776869813018495</v>
      </c>
      <c r="D217" s="96">
        <f>VLOOKUP(CurrentMtgRatesDataTable825[[#This Row],[asOfDate]],H:I,2,0)</f>
        <v>0.79646175435893696</v>
      </c>
      <c r="E217" s="96">
        <f>VLOOKUP(CurrentMtgRatesDataTable825[[#This Row],[asOfDate]],O:P,2,0)</f>
        <v>0.79669049657242397</v>
      </c>
      <c r="F217" s="97">
        <f ca="1">VLOOKUP(CurrentMtgRatesDataTable825[[#This Row],[asOfDate]]+1,Bloomberg!B:C,2,0)</f>
        <v>3676.1</v>
      </c>
      <c r="H217" s="1">
        <v>42047</v>
      </c>
      <c r="I217" s="33">
        <v>0.62719075850631201</v>
      </c>
      <c r="O217" s="1">
        <v>42047</v>
      </c>
      <c r="P217" s="33">
        <v>0</v>
      </c>
    </row>
    <row r="218" spans="2:16">
      <c r="B218" s="95">
        <v>40885</v>
      </c>
      <c r="C218" s="96">
        <v>0.94404770550683115</v>
      </c>
      <c r="D218" s="96">
        <f>VLOOKUP(CurrentMtgRatesDataTable825[[#This Row],[asOfDate]],H:I,2,0)</f>
        <v>0.79445840936885304</v>
      </c>
      <c r="E218" s="96">
        <f>VLOOKUP(CurrentMtgRatesDataTable825[[#This Row],[asOfDate]],O:P,2,0)</f>
        <v>6.7786594921879302E-4</v>
      </c>
      <c r="F218" s="97">
        <f ca="1">VLOOKUP(CurrentMtgRatesDataTable825[[#This Row],[asOfDate]]+1,Bloomberg!B:C,2,0)</f>
        <v>3708.6</v>
      </c>
      <c r="H218" s="1">
        <v>42054</v>
      </c>
      <c r="I218" s="33">
        <v>0.59003468905342005</v>
      </c>
      <c r="O218" s="1">
        <v>42054</v>
      </c>
      <c r="P218" s="33">
        <v>0</v>
      </c>
    </row>
    <row r="219" spans="2:16">
      <c r="B219" s="95">
        <v>40878</v>
      </c>
      <c r="C219" s="96">
        <v>0.93485323798856346</v>
      </c>
      <c r="D219" s="96">
        <f>VLOOKUP(CurrentMtgRatesDataTable825[[#This Row],[asOfDate]],H:I,2,0)</f>
        <v>0.79441104681633201</v>
      </c>
      <c r="E219" s="96">
        <f>VLOOKUP(CurrentMtgRatesDataTable825[[#This Row],[asOfDate]],O:P,2,0)</f>
        <v>0</v>
      </c>
      <c r="F219" s="97">
        <f ca="1">VLOOKUP(CurrentMtgRatesDataTable825[[#This Row],[asOfDate]]+1,Bloomberg!B:C,2,0)</f>
        <v>3394.7</v>
      </c>
      <c r="H219" s="1">
        <v>42061</v>
      </c>
      <c r="I219" s="33">
        <v>0.56144623129586702</v>
      </c>
      <c r="O219" s="1">
        <v>42061</v>
      </c>
      <c r="P219" s="33">
        <v>0</v>
      </c>
    </row>
    <row r="220" spans="2:16">
      <c r="B220" s="95">
        <v>40870</v>
      </c>
      <c r="C220" s="96">
        <v>0.96106992079841158</v>
      </c>
      <c r="D220" s="96">
        <f>VLOOKUP(CurrentMtgRatesDataTable825[[#This Row],[asOfDate]],H:I,2,0)</f>
        <v>0.80850149462655696</v>
      </c>
      <c r="E220" s="96">
        <f>VLOOKUP(CurrentMtgRatesDataTable825[[#This Row],[asOfDate]],O:P,2,0)</f>
        <v>8.8101230968728496E-4</v>
      </c>
      <c r="F220" s="97" t="e">
        <f ca="1">VLOOKUP(CurrentMtgRatesDataTable825[[#This Row],[asOfDate]]+1,Bloomberg!B:C,2,0)</f>
        <v>#N/A</v>
      </c>
      <c r="H220" s="1">
        <v>42068</v>
      </c>
      <c r="I220" s="33">
        <v>0.58384753948448997</v>
      </c>
      <c r="O220" s="1">
        <v>42068</v>
      </c>
      <c r="P220" s="33">
        <v>0</v>
      </c>
    </row>
    <row r="221" spans="2:16">
      <c r="B221" s="95">
        <v>40864</v>
      </c>
      <c r="C221" s="96">
        <v>0.94774748297200118</v>
      </c>
      <c r="D221" s="96">
        <f>VLOOKUP(CurrentMtgRatesDataTable825[[#This Row],[asOfDate]],H:I,2,0)</f>
        <v>0.80719780316763601</v>
      </c>
      <c r="E221" s="96">
        <f>VLOOKUP(CurrentMtgRatesDataTable825[[#This Row],[asOfDate]],O:P,2,0)</f>
        <v>0</v>
      </c>
      <c r="F221" s="97">
        <f ca="1">VLOOKUP(CurrentMtgRatesDataTable825[[#This Row],[asOfDate]]+1,Bloomberg!B:C,2,0)</f>
        <v>3466.8</v>
      </c>
      <c r="H221" s="1">
        <v>42075</v>
      </c>
      <c r="I221" s="33">
        <v>0.51703371456013503</v>
      </c>
      <c r="O221" s="1">
        <v>42075</v>
      </c>
      <c r="P221" s="33">
        <v>0</v>
      </c>
    </row>
    <row r="222" spans="2:16">
      <c r="B222" s="95">
        <v>40857</v>
      </c>
      <c r="C222" s="96">
        <v>0.95604869553761263</v>
      </c>
      <c r="D222" s="96">
        <f>VLOOKUP(CurrentMtgRatesDataTable825[[#This Row],[asOfDate]],H:I,2,0)</f>
        <v>0.80724570771905702</v>
      </c>
      <c r="E222" s="96">
        <f>VLOOKUP(CurrentMtgRatesDataTable825[[#This Row],[asOfDate]],O:P,2,0)</f>
        <v>8.7950076846855297E-4</v>
      </c>
      <c r="F222" s="97">
        <f ca="1">VLOOKUP(CurrentMtgRatesDataTable825[[#This Row],[asOfDate]]+1,Bloomberg!B:C,2,0)</f>
        <v>3664.5</v>
      </c>
      <c r="H222" s="1">
        <v>42082</v>
      </c>
      <c r="I222" s="33">
        <v>0.58146564562660097</v>
      </c>
      <c r="O222" s="1">
        <v>42082</v>
      </c>
      <c r="P222" s="33">
        <v>0</v>
      </c>
    </row>
    <row r="223" spans="2:16">
      <c r="B223" s="95">
        <v>40850</v>
      </c>
      <c r="C223" s="96">
        <v>0.94774748297200118</v>
      </c>
      <c r="D223" s="96">
        <f>VLOOKUP(CurrentMtgRatesDataTable825[[#This Row],[asOfDate]],H:I,2,0)</f>
        <v>0.80719780316763601</v>
      </c>
      <c r="E223" s="96">
        <f>VLOOKUP(CurrentMtgRatesDataTable825[[#This Row],[asOfDate]],O:P,2,0)</f>
        <v>0</v>
      </c>
      <c r="F223" s="97">
        <f ca="1">VLOOKUP(CurrentMtgRatesDataTable825[[#This Row],[asOfDate]]+1,Bloomberg!B:C,2,0)</f>
        <v>4137.6000000000004</v>
      </c>
      <c r="H223" s="1">
        <v>42089</v>
      </c>
      <c r="I223" s="33">
        <v>0.61985540937113104</v>
      </c>
      <c r="O223" s="1">
        <v>42089</v>
      </c>
      <c r="P223" s="33">
        <v>9.60298428502188E-4</v>
      </c>
    </row>
    <row r="224" spans="2:16">
      <c r="B224" s="95">
        <v>40843</v>
      </c>
      <c r="C224" s="96">
        <v>0.87447330791091027</v>
      </c>
      <c r="D224" s="96">
        <f>VLOOKUP(CurrentMtgRatesDataTable825[[#This Row],[asOfDate]],H:I,2,0)</f>
        <v>0.77033919514702098</v>
      </c>
      <c r="E224" s="96">
        <f>VLOOKUP(CurrentMtgRatesDataTable825[[#This Row],[asOfDate]],O:P,2,0)</f>
        <v>0</v>
      </c>
      <c r="F224" s="97">
        <f ca="1">VLOOKUP(CurrentMtgRatesDataTable825[[#This Row],[asOfDate]]+1,Bloomberg!B:C,2,0)</f>
        <v>3695</v>
      </c>
      <c r="H224" s="1">
        <v>42096</v>
      </c>
      <c r="I224" s="33">
        <v>0.60618674833379105</v>
      </c>
      <c r="O224" s="1">
        <v>42096</v>
      </c>
      <c r="P224" s="33">
        <v>0</v>
      </c>
    </row>
    <row r="225" spans="2:16">
      <c r="B225" s="95">
        <v>40836</v>
      </c>
      <c r="C225" s="96">
        <v>0.86610822666592668</v>
      </c>
      <c r="D225" s="96">
        <f>VLOOKUP(CurrentMtgRatesDataTable825[[#This Row],[asOfDate]],H:I,2,0)</f>
        <v>0.76889855223368597</v>
      </c>
      <c r="E225" s="96">
        <f>VLOOKUP(CurrentMtgRatesDataTable825[[#This Row],[asOfDate]],O:P,2,0)</f>
        <v>0</v>
      </c>
      <c r="F225" s="97">
        <f ca="1">VLOOKUP(CurrentMtgRatesDataTable825[[#This Row],[asOfDate]]+1,Bloomberg!B:C,2,0)</f>
        <v>3719.3</v>
      </c>
      <c r="H225" s="1">
        <v>42103</v>
      </c>
      <c r="I225" s="33">
        <v>0.63179874985391804</v>
      </c>
      <c r="O225" s="1">
        <v>42103</v>
      </c>
      <c r="P225" s="33">
        <v>3.87908393633439E-3</v>
      </c>
    </row>
    <row r="226" spans="2:16">
      <c r="B226" s="95">
        <v>40829</v>
      </c>
      <c r="C226" s="96">
        <v>0.85855481757872876</v>
      </c>
      <c r="D226" s="96">
        <f>VLOOKUP(CurrentMtgRatesDataTable825[[#This Row],[asOfDate]],H:I,2,0)</f>
        <v>0.75043074974252599</v>
      </c>
      <c r="E226" s="96">
        <f>VLOOKUP(CurrentMtgRatesDataTable825[[#This Row],[asOfDate]],O:P,2,0)</f>
        <v>0</v>
      </c>
      <c r="F226" s="97">
        <f ca="1">VLOOKUP(CurrentMtgRatesDataTable825[[#This Row],[asOfDate]]+1,Bloomberg!B:C,2,0)</f>
        <v>3553.2</v>
      </c>
      <c r="H226" s="1">
        <v>42110</v>
      </c>
      <c r="I226" s="33">
        <v>0.60745911385405604</v>
      </c>
      <c r="O226" s="1">
        <v>42110</v>
      </c>
      <c r="P226" s="33">
        <v>0</v>
      </c>
    </row>
    <row r="227" spans="2:16">
      <c r="B227" s="95">
        <v>40822</v>
      </c>
      <c r="C227" s="96">
        <v>0.97239746277661943</v>
      </c>
      <c r="D227" s="96">
        <f>VLOOKUP(CurrentMtgRatesDataTable825[[#This Row],[asOfDate]],H:I,2,0)</f>
        <v>0.82324225699227804</v>
      </c>
      <c r="E227" s="96">
        <f>VLOOKUP(CurrentMtgRatesDataTable825[[#This Row],[asOfDate]],O:P,2,0)</f>
        <v>0.82194247765297301</v>
      </c>
      <c r="F227" s="97">
        <f ca="1">VLOOKUP(CurrentMtgRatesDataTable825[[#This Row],[asOfDate]]+1,Bloomberg!B:C,2,0)</f>
        <v>4251.1000000000004</v>
      </c>
      <c r="H227" s="1">
        <v>42117</v>
      </c>
      <c r="I227" s="33">
        <v>0.63350921207897204</v>
      </c>
      <c r="O227" s="1">
        <v>42117</v>
      </c>
      <c r="P227" s="33">
        <v>3.9431628666260904E-3</v>
      </c>
    </row>
    <row r="228" spans="2:16">
      <c r="B228" s="95">
        <v>40815</v>
      </c>
      <c r="C228" s="96">
        <v>0.94760091430176863</v>
      </c>
      <c r="D228" s="96">
        <f>VLOOKUP(CurrentMtgRatesDataTable825[[#This Row],[asOfDate]],H:I,2,0)</f>
        <v>0.83535228019697605</v>
      </c>
      <c r="E228" s="96">
        <f>VLOOKUP(CurrentMtgRatesDataTable825[[#This Row],[asOfDate]],O:P,2,0)</f>
        <v>0.83561176946303795</v>
      </c>
      <c r="F228" s="97">
        <f ca="1">VLOOKUP(CurrentMtgRatesDataTable825[[#This Row],[asOfDate]]+1,Bloomberg!B:C,2,0)</f>
        <v>4241.8</v>
      </c>
      <c r="H228" s="1">
        <v>42124</v>
      </c>
      <c r="I228" s="33">
        <v>0.608876308109219</v>
      </c>
      <c r="O228" s="1">
        <v>42124</v>
      </c>
      <c r="P228" s="33">
        <v>0</v>
      </c>
    </row>
    <row r="229" spans="2:16">
      <c r="B229" s="95">
        <v>40808</v>
      </c>
      <c r="C229" s="96">
        <v>0.90530545432094578</v>
      </c>
      <c r="D229" s="96">
        <f>VLOOKUP(CurrentMtgRatesDataTable825[[#This Row],[asOfDate]],H:I,2,0)</f>
        <v>0.78804143101353397</v>
      </c>
      <c r="E229" s="96">
        <f>VLOOKUP(CurrentMtgRatesDataTable825[[#This Row],[asOfDate]],O:P,2,0)</f>
        <v>0</v>
      </c>
      <c r="F229" s="97">
        <f ca="1">VLOOKUP(CurrentMtgRatesDataTable825[[#This Row],[asOfDate]]+1,Bloomberg!B:C,2,0)</f>
        <v>4512.1000000000004</v>
      </c>
      <c r="H229" s="1">
        <v>42131</v>
      </c>
      <c r="I229" s="33">
        <v>0.53238458781035902</v>
      </c>
      <c r="O229" s="1">
        <v>42131</v>
      </c>
      <c r="P229" s="33">
        <v>0</v>
      </c>
    </row>
    <row r="230" spans="2:16">
      <c r="B230" s="95">
        <v>40801</v>
      </c>
      <c r="C230" s="96">
        <v>0.90530545432094578</v>
      </c>
      <c r="D230" s="96">
        <f>VLOOKUP(CurrentMtgRatesDataTable825[[#This Row],[asOfDate]],H:I,2,0)</f>
        <v>0.78804143101353397</v>
      </c>
      <c r="E230" s="96">
        <f>VLOOKUP(CurrentMtgRatesDataTable825[[#This Row],[asOfDate]],O:P,2,0)</f>
        <v>0.78833832359916201</v>
      </c>
      <c r="F230" s="97">
        <f ca="1">VLOOKUP(CurrentMtgRatesDataTable825[[#This Row],[asOfDate]]+1,Bloomberg!B:C,2,0)</f>
        <v>4033.8</v>
      </c>
      <c r="H230" s="1">
        <v>42138</v>
      </c>
      <c r="I230" s="33">
        <v>0.52626041924754496</v>
      </c>
      <c r="O230" s="1">
        <v>42138</v>
      </c>
      <c r="P230" s="33">
        <v>0</v>
      </c>
    </row>
    <row r="231" spans="2:16">
      <c r="B231" s="95">
        <v>40794</v>
      </c>
      <c r="C231" s="96">
        <v>0.88187964847597478</v>
      </c>
      <c r="D231" s="96">
        <f>VLOOKUP(CurrentMtgRatesDataTable825[[#This Row],[asOfDate]],H:I,2,0)</f>
        <v>0.78586619764471199</v>
      </c>
      <c r="E231" s="96">
        <f>VLOOKUP(CurrentMtgRatesDataTable825[[#This Row],[asOfDate]],O:P,2,0)</f>
        <v>0.786160649616369</v>
      </c>
      <c r="F231" s="97">
        <f ca="1">VLOOKUP(CurrentMtgRatesDataTable825[[#This Row],[asOfDate]]+1,Bloomberg!B:C,2,0)</f>
        <v>3571.7</v>
      </c>
      <c r="H231" s="1">
        <v>42145</v>
      </c>
      <c r="I231" s="33">
        <v>0.49530657385961702</v>
      </c>
      <c r="O231" s="1">
        <v>42145</v>
      </c>
      <c r="P231" s="33">
        <v>0</v>
      </c>
    </row>
    <row r="232" spans="2:16">
      <c r="B232" s="95">
        <v>40787</v>
      </c>
      <c r="C232" s="96">
        <v>0.84714025108084823</v>
      </c>
      <c r="D232" s="96">
        <f>VLOOKUP(CurrentMtgRatesDataTable825[[#This Row],[asOfDate]],H:I,2,0)</f>
        <v>0.72518805605942505</v>
      </c>
      <c r="E232" s="96">
        <f>VLOOKUP(CurrentMtgRatesDataTable825[[#This Row],[asOfDate]],O:P,2,0)</f>
        <v>0</v>
      </c>
      <c r="F232" s="97">
        <f ca="1">VLOOKUP(CurrentMtgRatesDataTable825[[#This Row],[asOfDate]]+1,Bloomberg!B:C,2,0)</f>
        <v>3372</v>
      </c>
      <c r="H232" s="28">
        <v>42152</v>
      </c>
      <c r="I232" s="32">
        <v>0.49518214427458052</v>
      </c>
      <c r="O232" s="28">
        <v>42152</v>
      </c>
      <c r="P232" s="32">
        <v>0</v>
      </c>
    </row>
    <row r="233" spans="2:16">
      <c r="B233" s="95">
        <v>40780</v>
      </c>
      <c r="C233" s="96">
        <v>0.85057469901096172</v>
      </c>
      <c r="D233" s="96">
        <f>VLOOKUP(CurrentMtgRatesDataTable825[[#This Row],[asOfDate]],H:I,2,0)</f>
        <v>0.73013076231760698</v>
      </c>
      <c r="E233" s="96">
        <f>VLOOKUP(CurrentMtgRatesDataTable825[[#This Row],[asOfDate]],O:P,2,0)</f>
        <v>0</v>
      </c>
      <c r="F233" s="97">
        <f ca="1">VLOOKUP(CurrentMtgRatesDataTable825[[#This Row],[asOfDate]]+1,Bloomberg!B:C,2,0)</f>
        <v>3601.3</v>
      </c>
      <c r="H233" s="28">
        <v>42159</v>
      </c>
      <c r="I233" s="32">
        <v>0.49151040605794738</v>
      </c>
      <c r="O233" s="28">
        <v>42159</v>
      </c>
      <c r="P233" s="32">
        <v>0</v>
      </c>
    </row>
    <row r="234" spans="2:16">
      <c r="B234" s="95">
        <v>40773</v>
      </c>
      <c r="C234" s="96">
        <v>0.86318334905076011</v>
      </c>
      <c r="D234" s="96">
        <f>VLOOKUP(CurrentMtgRatesDataTable825[[#This Row],[asOfDate]],H:I,2,0)</f>
        <v>0.76968967049094095</v>
      </c>
      <c r="E234" s="96">
        <f>VLOOKUP(CurrentMtgRatesDataTable825[[#This Row],[asOfDate]],O:P,2,0)</f>
        <v>0.76977670194978398</v>
      </c>
      <c r="F234" s="97">
        <f ca="1">VLOOKUP(CurrentMtgRatesDataTable825[[#This Row],[asOfDate]]+1,Bloomberg!B:C,2,0)</f>
        <v>4110.8</v>
      </c>
      <c r="H234" s="28">
        <v>42166</v>
      </c>
      <c r="I234" s="32">
        <v>0.39779633268543002</v>
      </c>
      <c r="O234" s="28">
        <v>42166</v>
      </c>
      <c r="P234" s="32">
        <v>0</v>
      </c>
    </row>
    <row r="235" spans="2:16">
      <c r="B235" s="95">
        <v>40766</v>
      </c>
      <c r="C235" s="96">
        <v>0.83807343208953389</v>
      </c>
      <c r="D235" s="96">
        <f>VLOOKUP(CurrentMtgRatesDataTable825[[#This Row],[asOfDate]],H:I,2,0)</f>
        <v>0.68796050816059295</v>
      </c>
      <c r="E235" s="96">
        <f>VLOOKUP(CurrentMtgRatesDataTable825[[#This Row],[asOfDate]],O:P,2,0)</f>
        <v>3.6312412114141997E-2</v>
      </c>
      <c r="F235" s="97">
        <f ca="1">VLOOKUP(CurrentMtgRatesDataTable825[[#This Row],[asOfDate]]+1,Bloomberg!B:C,2,0)</f>
        <v>4184.3999999999996</v>
      </c>
      <c r="H235" s="28">
        <v>42173</v>
      </c>
      <c r="I235" s="32">
        <v>0.42202391195455535</v>
      </c>
      <c r="O235" s="28">
        <v>42173</v>
      </c>
      <c r="P235" s="32">
        <v>0</v>
      </c>
    </row>
    <row r="236" spans="2:16">
      <c r="B236" s="95">
        <v>40759</v>
      </c>
      <c r="C236" s="96">
        <v>0.82222220988865746</v>
      </c>
      <c r="D236" s="96">
        <f>VLOOKUP(CurrentMtgRatesDataTable825[[#This Row],[asOfDate]],H:I,2,0)</f>
        <v>0.59636201439054404</v>
      </c>
      <c r="E236" s="96">
        <f>VLOOKUP(CurrentMtgRatesDataTable825[[#This Row],[asOfDate]],O:P,2,0)</f>
        <v>1.93393301571353E-2</v>
      </c>
      <c r="F236" s="97">
        <f ca="1">VLOOKUP(CurrentMtgRatesDataTable825[[#This Row],[asOfDate]]+1,Bloomberg!B:C,2,0)</f>
        <v>3880.9</v>
      </c>
      <c r="H236" s="28">
        <v>42180</v>
      </c>
      <c r="I236" s="32">
        <v>0.39696021691334338</v>
      </c>
      <c r="O236" s="28">
        <v>42180</v>
      </c>
      <c r="P236" s="32">
        <v>0</v>
      </c>
    </row>
    <row r="237" spans="2:16">
      <c r="B237" s="95">
        <v>40752</v>
      </c>
      <c r="C237" s="96">
        <v>0.62275368206073134</v>
      </c>
      <c r="D237" s="96">
        <f>VLOOKUP(CurrentMtgRatesDataTable825[[#This Row],[asOfDate]],H:I,2,0)</f>
        <v>0.52333294764067595</v>
      </c>
      <c r="E237" s="96">
        <f>VLOOKUP(CurrentMtgRatesDataTable825[[#This Row],[asOfDate]],O:P,2,0)</f>
        <v>0</v>
      </c>
      <c r="F237" s="97">
        <f ca="1">VLOOKUP(CurrentMtgRatesDataTable825[[#This Row],[asOfDate]]+1,Bloomberg!B:C,2,0)</f>
        <v>2974.1</v>
      </c>
      <c r="H237" s="28">
        <v>42187</v>
      </c>
      <c r="I237" s="32">
        <v>0.39179509217736908</v>
      </c>
      <c r="O237" s="28">
        <v>42187</v>
      </c>
      <c r="P237" s="32">
        <v>0</v>
      </c>
    </row>
    <row r="238" spans="2:16">
      <c r="B238" s="95">
        <v>40745</v>
      </c>
      <c r="C238" s="96">
        <v>0.67230326575429078</v>
      </c>
      <c r="D238" s="96">
        <f>VLOOKUP(CurrentMtgRatesDataTable825[[#This Row],[asOfDate]],H:I,2,0)</f>
        <v>0.53018048409344898</v>
      </c>
      <c r="E238" s="96">
        <f>VLOOKUP(CurrentMtgRatesDataTable825[[#This Row],[asOfDate]],O:P,2,0)</f>
        <v>0</v>
      </c>
      <c r="F238" s="97">
        <f ca="1">VLOOKUP(CurrentMtgRatesDataTable825[[#This Row],[asOfDate]]+1,Bloomberg!B:C,2,0)</f>
        <v>2769.6</v>
      </c>
      <c r="H238" s="28">
        <v>42194</v>
      </c>
      <c r="I238" s="32">
        <v>0.39501005586426785</v>
      </c>
      <c r="O238" s="28">
        <v>42194</v>
      </c>
      <c r="P238" s="32">
        <v>1.4184380661503394E-4</v>
      </c>
    </row>
    <row r="239" spans="2:16">
      <c r="B239" s="95">
        <v>40738</v>
      </c>
      <c r="C239" s="96">
        <v>0.69050447134038251</v>
      </c>
      <c r="D239" s="96">
        <f>VLOOKUP(CurrentMtgRatesDataTable825[[#This Row],[asOfDate]],H:I,2,0)</f>
        <v>0.55014388201104203</v>
      </c>
      <c r="E239" s="96">
        <f>VLOOKUP(CurrentMtgRatesDataTable825[[#This Row],[asOfDate]],O:P,2,0)</f>
        <v>6.2583851957797503E-4</v>
      </c>
      <c r="F239" s="97">
        <f ca="1">VLOOKUP(CurrentMtgRatesDataTable825[[#This Row],[asOfDate]]+1,Bloomberg!B:C,2,0)</f>
        <v>2923.8</v>
      </c>
      <c r="H239" s="28">
        <v>42201</v>
      </c>
      <c r="I239" s="32">
        <v>0.39138037249660224</v>
      </c>
      <c r="O239" s="28">
        <v>42201</v>
      </c>
      <c r="P239" s="32">
        <v>0</v>
      </c>
    </row>
    <row r="240" spans="2:16">
      <c r="B240" s="95">
        <v>40731</v>
      </c>
      <c r="C240" s="96">
        <v>0.61033542977678468</v>
      </c>
      <c r="D240" s="96">
        <f>VLOOKUP(CurrentMtgRatesDataTable825[[#This Row],[asOfDate]],H:I,2,0)</f>
        <v>0.49771283747510803</v>
      </c>
      <c r="E240" s="96">
        <f>VLOOKUP(CurrentMtgRatesDataTable825[[#This Row],[asOfDate]],O:P,2,0)</f>
        <v>0</v>
      </c>
      <c r="F240" s="97">
        <f ca="1">VLOOKUP(CurrentMtgRatesDataTable825[[#This Row],[asOfDate]]+1,Bloomberg!B:C,2,0)</f>
        <v>2362.6999999999998</v>
      </c>
      <c r="H240" s="28">
        <v>42208</v>
      </c>
      <c r="I240" s="32">
        <v>0.39501005586426785</v>
      </c>
      <c r="O240" s="28">
        <v>42208</v>
      </c>
      <c r="P240" s="32">
        <v>1.4184158649271941E-4</v>
      </c>
    </row>
    <row r="241" spans="2:16">
      <c r="B241" s="95">
        <v>40724</v>
      </c>
      <c r="C241" s="96">
        <v>0.6939569757734102</v>
      </c>
      <c r="D241" s="96">
        <f>VLOOKUP(CurrentMtgRatesDataTable825[[#This Row],[asOfDate]],H:I,2,0)</f>
        <v>0.55445082777023702</v>
      </c>
      <c r="E241" s="96">
        <f>VLOOKUP(CurrentMtgRatesDataTable825[[#This Row],[asOfDate]],O:P,2,0)</f>
        <v>0</v>
      </c>
      <c r="F241" s="97">
        <f ca="1">VLOOKUP(CurrentMtgRatesDataTable825[[#This Row],[asOfDate]]+1,Bloomberg!B:C,2,0)</f>
        <v>2527.5</v>
      </c>
      <c r="H241" s="28">
        <v>42215</v>
      </c>
      <c r="I241" s="32">
        <v>0.42269076065729377</v>
      </c>
      <c r="O241" s="28">
        <v>42215</v>
      </c>
      <c r="P241" s="32">
        <v>1.9969014490481407E-4</v>
      </c>
    </row>
    <row r="242" spans="2:16">
      <c r="B242" s="95">
        <v>40717</v>
      </c>
      <c r="C242" s="96">
        <v>0.66754333395655185</v>
      </c>
      <c r="D242" s="96">
        <f>VLOOKUP(CurrentMtgRatesDataTable825[[#This Row],[asOfDate]],H:I,2,0)</f>
        <v>0.53450860338875705</v>
      </c>
      <c r="E242" s="96">
        <f>VLOOKUP(CurrentMtgRatesDataTable825[[#This Row],[asOfDate]],O:P,2,0)</f>
        <v>0</v>
      </c>
      <c r="F242" s="97">
        <f ca="1">VLOOKUP(CurrentMtgRatesDataTable825[[#This Row],[asOfDate]]+1,Bloomberg!B:C,2,0)</f>
        <v>2809.5</v>
      </c>
      <c r="H242" s="28">
        <v>42222</v>
      </c>
      <c r="I242" s="32">
        <v>0.47053858271925847</v>
      </c>
      <c r="O242" s="28">
        <v>42222</v>
      </c>
      <c r="P242" s="32">
        <v>6.2347278968544445E-4</v>
      </c>
    </row>
    <row r="243" spans="2:16">
      <c r="B243" s="95">
        <v>40710</v>
      </c>
      <c r="C243" s="96">
        <v>0.72609301543362903</v>
      </c>
      <c r="D243" s="96">
        <f>VLOOKUP(CurrentMtgRatesDataTable825[[#This Row],[asOfDate]],H:I,2,0)</f>
        <v>0.55544034698333999</v>
      </c>
      <c r="E243" s="96">
        <f>VLOOKUP(CurrentMtgRatesDataTable825[[#This Row],[asOfDate]],O:P,2,0)</f>
        <v>0</v>
      </c>
      <c r="F243" s="97">
        <f ca="1">VLOOKUP(CurrentMtgRatesDataTable825[[#This Row],[asOfDate]]+1,Bloomberg!B:C,2,0)</f>
        <v>2857.9</v>
      </c>
      <c r="H243" s="28">
        <v>42229</v>
      </c>
      <c r="I243" s="32">
        <v>0.44651143610405097</v>
      </c>
      <c r="O243" s="28">
        <v>42229</v>
      </c>
      <c r="P243" s="32">
        <v>0</v>
      </c>
    </row>
    <row r="244" spans="2:16">
      <c r="B244" s="95">
        <v>40703</v>
      </c>
      <c r="C244" s="96">
        <v>0.74663166442725448</v>
      </c>
      <c r="D244" s="96">
        <f>VLOOKUP(CurrentMtgRatesDataTable825[[#This Row],[asOfDate]],H:I,2,0)</f>
        <v>0.55556126357331004</v>
      </c>
      <c r="E244" s="96">
        <f>VLOOKUP(CurrentMtgRatesDataTable825[[#This Row],[asOfDate]],O:P,2,0)</f>
        <v>1.05889699277147E-2</v>
      </c>
      <c r="F244" s="97">
        <f ca="1">VLOOKUP(CurrentMtgRatesDataTable825[[#This Row],[asOfDate]]+1,Bloomberg!B:C,2,0)</f>
        <v>3101.7</v>
      </c>
      <c r="H244" s="28">
        <v>42236</v>
      </c>
      <c r="I244" s="32">
        <v>0.44680494601844289</v>
      </c>
      <c r="O244" s="28">
        <v>42236</v>
      </c>
      <c r="P244" s="32">
        <v>0</v>
      </c>
    </row>
    <row r="245" spans="2:16">
      <c r="B245" s="95">
        <v>40696</v>
      </c>
      <c r="C245" s="96">
        <v>0.66754333395655185</v>
      </c>
      <c r="D245" s="96">
        <f>VLOOKUP(CurrentMtgRatesDataTable825[[#This Row],[asOfDate]],H:I,2,0)</f>
        <v>0.53450860338875705</v>
      </c>
      <c r="E245" s="96">
        <f>VLOOKUP(CurrentMtgRatesDataTable825[[#This Row],[asOfDate]],O:P,2,0)</f>
        <v>7.3340957383171597E-3</v>
      </c>
      <c r="F245" s="97">
        <f ca="1">VLOOKUP(CurrentMtgRatesDataTable825[[#This Row],[asOfDate]]+1,Bloomberg!B:C,2,0)</f>
        <v>2648</v>
      </c>
      <c r="H245" s="28">
        <v>42243</v>
      </c>
      <c r="I245" s="32">
        <v>0.53237291122190666</v>
      </c>
      <c r="O245" s="28">
        <v>42243</v>
      </c>
      <c r="P245" s="32">
        <v>3.1195278145772281E-3</v>
      </c>
    </row>
    <row r="246" spans="2:16">
      <c r="B246" s="95">
        <v>40689</v>
      </c>
      <c r="C246" s="96">
        <v>0.62123716526554651</v>
      </c>
      <c r="D246" s="96">
        <f>VLOOKUP(CurrentMtgRatesDataTable825[[#This Row],[asOfDate]],H:I,2,0)</f>
        <v>0.50568534347274297</v>
      </c>
      <c r="E246" s="96">
        <f>VLOOKUP(CurrentMtgRatesDataTable825[[#This Row],[asOfDate]],O:P,2,0)</f>
        <v>4.6547514757033599E-3</v>
      </c>
      <c r="F246" s="97">
        <f ca="1">VLOOKUP(CurrentMtgRatesDataTable825[[#This Row],[asOfDate]]+1,Bloomberg!B:C,2,0)</f>
        <v>2619.6999999999998</v>
      </c>
      <c r="H246" s="28">
        <v>42250</v>
      </c>
      <c r="I246" s="32">
        <v>0.4874742059346423</v>
      </c>
      <c r="O246" s="28">
        <v>42250</v>
      </c>
      <c r="P246" s="32">
        <v>0</v>
      </c>
    </row>
    <row r="247" spans="2:16">
      <c r="B247" s="95">
        <v>40682</v>
      </c>
      <c r="C247" s="96">
        <v>0.6180222680328239</v>
      </c>
      <c r="D247" s="96">
        <f>VLOOKUP(CurrentMtgRatesDataTable825[[#This Row],[asOfDate]],H:I,2,0)</f>
        <v>0.50447592982476996</v>
      </c>
      <c r="E247" s="96">
        <f>VLOOKUP(CurrentMtgRatesDataTable825[[#This Row],[asOfDate]],O:P,2,0)</f>
        <v>4.6431452038205798E-3</v>
      </c>
      <c r="F247" s="97">
        <f ca="1">VLOOKUP(CurrentMtgRatesDataTable825[[#This Row],[asOfDate]]+1,Bloomberg!B:C,2,0)</f>
        <v>2764.6</v>
      </c>
      <c r="H247" s="28">
        <v>42257</v>
      </c>
      <c r="I247" s="32">
        <v>0.48663724314238854</v>
      </c>
      <c r="O247" s="28">
        <v>42257</v>
      </c>
      <c r="P247" s="32">
        <v>0</v>
      </c>
    </row>
    <row r="248" spans="2:16">
      <c r="B248" s="95">
        <v>40675</v>
      </c>
      <c r="C248" s="96">
        <v>0.61208356800738151</v>
      </c>
      <c r="D248" s="96">
        <f>VLOOKUP(CurrentMtgRatesDataTable825[[#This Row],[asOfDate]],H:I,2,0)</f>
        <v>0.50042582297659</v>
      </c>
      <c r="E248" s="96">
        <f>VLOOKUP(CurrentMtgRatesDataTable825[[#This Row],[asOfDate]],O:P,2,0)</f>
        <v>4.5959167751793003E-3</v>
      </c>
      <c r="F248" s="97">
        <f ca="1">VLOOKUP(CurrentMtgRatesDataTable825[[#This Row],[asOfDate]]+1,Bloomberg!B:C,2,0)</f>
        <v>2742.2</v>
      </c>
      <c r="H248" s="28">
        <v>42264</v>
      </c>
      <c r="I248" s="32">
        <v>0.48469774680333999</v>
      </c>
      <c r="O248" s="28">
        <v>42264</v>
      </c>
      <c r="P248" s="32">
        <v>0</v>
      </c>
    </row>
    <row r="249" spans="2:16">
      <c r="B249" s="95">
        <v>40668</v>
      </c>
      <c r="C249" s="96">
        <v>0.59958841658177919</v>
      </c>
      <c r="D249" s="96">
        <f>VLOOKUP(CurrentMtgRatesDataTable825[[#This Row],[asOfDate]],H:I,2,0)</f>
        <v>0.45891120103405703</v>
      </c>
      <c r="E249" s="96">
        <f>VLOOKUP(CurrentMtgRatesDataTable825[[#This Row],[asOfDate]],O:P,2,0)</f>
        <v>1.82362980081562E-3</v>
      </c>
      <c r="F249" s="97">
        <f ca="1">VLOOKUP(CurrentMtgRatesDataTable825[[#This Row],[asOfDate]]+1,Bloomberg!B:C,2,0)</f>
        <v>2414.9</v>
      </c>
      <c r="H249" s="28">
        <v>42271</v>
      </c>
      <c r="I249" s="32">
        <v>0.48860274852887836</v>
      </c>
      <c r="O249" s="28">
        <v>42271</v>
      </c>
      <c r="P249" s="32">
        <v>1.3173079222055612E-3</v>
      </c>
    </row>
    <row r="250" spans="2:16">
      <c r="B250" s="95">
        <v>40661</v>
      </c>
      <c r="C250" s="96">
        <v>0.60103263205619939</v>
      </c>
      <c r="D250" s="96">
        <f>VLOOKUP(CurrentMtgRatesDataTable825[[#This Row],[asOfDate]],H:I,2,0)</f>
        <v>0.44565511936132601</v>
      </c>
      <c r="E250" s="96">
        <f>VLOOKUP(CurrentMtgRatesDataTable825[[#This Row],[asOfDate]],O:P,2,0)</f>
        <v>3.6290053539469699E-4</v>
      </c>
      <c r="F250" s="97">
        <f ca="1">VLOOKUP(CurrentMtgRatesDataTable825[[#This Row],[asOfDate]]+1,Bloomberg!B:C,2,0)</f>
        <v>2220.1</v>
      </c>
      <c r="H250" s="28">
        <v>42278</v>
      </c>
      <c r="I250" s="32">
        <v>0.51784913770324514</v>
      </c>
      <c r="O250" s="28">
        <v>42278</v>
      </c>
      <c r="P250" s="32">
        <v>2.9859537173618188E-3</v>
      </c>
    </row>
    <row r="251" spans="2:16">
      <c r="B251" s="95">
        <v>40654</v>
      </c>
      <c r="C251" s="96">
        <v>0.60029604092737399</v>
      </c>
      <c r="D251" s="96">
        <f>VLOOKUP(CurrentMtgRatesDataTable825[[#This Row],[asOfDate]],H:I,2,0)</f>
        <v>0.44381782258269298</v>
      </c>
      <c r="E251" s="96">
        <f>VLOOKUP(CurrentMtgRatesDataTable825[[#This Row],[asOfDate]],O:P,2,0)</f>
        <v>3.6012387911354998E-4</v>
      </c>
      <c r="F251" s="97">
        <f ca="1">VLOOKUP(CurrentMtgRatesDataTable825[[#This Row],[asOfDate]]+1,Bloomberg!B:C,2,0)</f>
        <v>2091.4</v>
      </c>
      <c r="H251" s="28">
        <v>42285</v>
      </c>
      <c r="I251" s="32">
        <v>0.55255659565598092</v>
      </c>
      <c r="O251" s="28">
        <v>42285</v>
      </c>
      <c r="P251" s="32">
        <v>1.4441528640997686E-2</v>
      </c>
    </row>
    <row r="252" spans="2:16">
      <c r="B252" s="95">
        <v>40647</v>
      </c>
      <c r="C252" s="96">
        <v>0.58845851438886132</v>
      </c>
      <c r="D252" s="96">
        <f>VLOOKUP(CurrentMtgRatesDataTable825[[#This Row],[asOfDate]],H:I,2,0)</f>
        <v>0.41340612440810998</v>
      </c>
      <c r="E252" s="96">
        <f>VLOOKUP(CurrentMtgRatesDataTable825[[#This Row],[asOfDate]],O:P,2,0)</f>
        <v>0</v>
      </c>
      <c r="F252" s="97">
        <f ca="1">VLOOKUP(CurrentMtgRatesDataTable825[[#This Row],[asOfDate]]+1,Bloomberg!B:C,2,0)</f>
        <v>2065.3000000000002</v>
      </c>
      <c r="H252" s="28">
        <v>42292</v>
      </c>
      <c r="I252" s="32">
        <v>0.52010113675112479</v>
      </c>
      <c r="O252" s="28">
        <v>42292</v>
      </c>
      <c r="P252" s="32">
        <v>0</v>
      </c>
    </row>
    <row r="253" spans="2:16">
      <c r="B253" s="95">
        <v>40640</v>
      </c>
      <c r="C253" s="96">
        <v>0.59224775585706535</v>
      </c>
      <c r="D253" s="96">
        <f>VLOOKUP(CurrentMtgRatesDataTable825[[#This Row],[asOfDate]],H:I,2,0)</f>
        <v>0.414778538159287</v>
      </c>
      <c r="E253" s="96">
        <f>VLOOKUP(CurrentMtgRatesDataTable825[[#This Row],[asOfDate]],O:P,2,0)</f>
        <v>0</v>
      </c>
      <c r="F253" s="97">
        <f ca="1">VLOOKUP(CurrentMtgRatesDataTable825[[#This Row],[asOfDate]]+1,Bloomberg!B:C,2,0)</f>
        <v>2010.6</v>
      </c>
      <c r="H253" s="28">
        <v>42299</v>
      </c>
      <c r="I253" s="32">
        <v>0.52254107122394533</v>
      </c>
      <c r="O253" s="28">
        <v>42299</v>
      </c>
      <c r="P253" s="32">
        <v>0</v>
      </c>
    </row>
    <row r="254" spans="2:16">
      <c r="B254" s="95">
        <v>40633</v>
      </c>
      <c r="C254" s="96">
        <v>0.604601625895822</v>
      </c>
      <c r="D254" s="96">
        <f>VLOOKUP(CurrentMtgRatesDataTable825[[#This Row],[asOfDate]],H:I,2,0)</f>
        <v>0.42282958858632702</v>
      </c>
      <c r="E254" s="96">
        <f>VLOOKUP(CurrentMtgRatesDataTable825[[#This Row],[asOfDate]],O:P,2,0)</f>
        <v>0</v>
      </c>
      <c r="F254" s="97">
        <f ca="1">VLOOKUP(CurrentMtgRatesDataTable825[[#This Row],[asOfDate]]+1,Bloomberg!B:C,2,0)</f>
        <v>2194.4</v>
      </c>
      <c r="H254" s="28">
        <v>42306</v>
      </c>
      <c r="I254" s="32">
        <v>0.55255659565598092</v>
      </c>
      <c r="O254" s="28">
        <v>42306</v>
      </c>
      <c r="P254" s="32">
        <v>0</v>
      </c>
    </row>
    <row r="255" spans="2:16">
      <c r="B255" s="95">
        <v>40626</v>
      </c>
      <c r="C255" s="96">
        <v>0.61074045486204243</v>
      </c>
      <c r="D255" s="96">
        <f>VLOOKUP(CurrentMtgRatesDataTable825[[#This Row],[asOfDate]],H:I,2,0)</f>
        <v>0.450158099668103</v>
      </c>
      <c r="E255" s="96">
        <f>VLOOKUP(CurrentMtgRatesDataTable825[[#This Row],[asOfDate]],O:P,2,0)</f>
        <v>0</v>
      </c>
      <c r="F255" s="97">
        <f ca="1">VLOOKUP(CurrentMtgRatesDataTable825[[#This Row],[asOfDate]]+1,Bloomberg!B:C,2,0)</f>
        <v>2350.6999999999998</v>
      </c>
      <c r="H255" s="28">
        <v>42313</v>
      </c>
      <c r="I255" s="32">
        <v>0.47756205149100972</v>
      </c>
      <c r="O255" s="28">
        <v>42313</v>
      </c>
      <c r="P255" s="32">
        <v>0</v>
      </c>
    </row>
    <row r="256" spans="2:16">
      <c r="B256" s="95">
        <v>40619</v>
      </c>
      <c r="C256" s="96">
        <v>0.61389489282556919</v>
      </c>
      <c r="D256" s="96">
        <f>VLOOKUP(CurrentMtgRatesDataTable825[[#This Row],[asOfDate]],H:I,2,0)</f>
        <v>0.46784663358763601</v>
      </c>
      <c r="E256" s="96">
        <f>VLOOKUP(CurrentMtgRatesDataTable825[[#This Row],[asOfDate]],O:P,2,0)</f>
        <v>4.9225242343752603E-4</v>
      </c>
      <c r="F256" s="97">
        <f ca="1">VLOOKUP(CurrentMtgRatesDataTable825[[#This Row],[asOfDate]]+1,Bloomberg!B:C,2,0)</f>
        <v>2620.8000000000002</v>
      </c>
      <c r="H256" s="28">
        <v>42320</v>
      </c>
      <c r="I256" s="32">
        <v>0.41424676173976599</v>
      </c>
      <c r="O256" s="28">
        <v>42320</v>
      </c>
      <c r="P256" s="32">
        <v>0</v>
      </c>
    </row>
    <row r="257" spans="2:16">
      <c r="B257" s="95">
        <v>40612</v>
      </c>
      <c r="C257" s="96">
        <v>0.60233041560273004</v>
      </c>
      <c r="D257" s="96">
        <f>VLOOKUP(CurrentMtgRatesDataTable825[[#This Row],[asOfDate]],H:I,2,0)</f>
        <v>0.42124985629360401</v>
      </c>
      <c r="E257" s="96">
        <f>VLOOKUP(CurrentMtgRatesDataTable825[[#This Row],[asOfDate]],O:P,2,0)</f>
        <v>0</v>
      </c>
      <c r="F257" s="97">
        <f ca="1">VLOOKUP(CurrentMtgRatesDataTable825[[#This Row],[asOfDate]]+1,Bloomberg!B:C,2,0)</f>
        <v>2563.6</v>
      </c>
      <c r="H257" s="28">
        <v>42320</v>
      </c>
      <c r="I257" s="32">
        <v>0.41424676173976599</v>
      </c>
      <c r="O257" s="28">
        <v>42320</v>
      </c>
      <c r="P257" s="32">
        <v>0</v>
      </c>
    </row>
    <row r="258" spans="2:16">
      <c r="B258" s="95">
        <v>40605</v>
      </c>
      <c r="C258" s="96">
        <v>0.6037352344540472</v>
      </c>
      <c r="D258" s="96">
        <f>VLOOKUP(CurrentMtgRatesDataTable825[[#This Row],[asOfDate]],H:I,2,0)</f>
        <v>0.42215163100202302</v>
      </c>
      <c r="E258" s="96">
        <f>VLOOKUP(CurrentMtgRatesDataTable825[[#This Row],[asOfDate]],O:P,2,0)</f>
        <v>0</v>
      </c>
      <c r="F258" s="97">
        <f ca="1">VLOOKUP(CurrentMtgRatesDataTable825[[#This Row],[asOfDate]]+1,Bloomberg!B:C,2,0)</f>
        <v>2539.4</v>
      </c>
      <c r="H258" s="28">
        <v>42327</v>
      </c>
      <c r="I258" s="32">
        <v>0.44227071864556189</v>
      </c>
      <c r="O258" s="28">
        <v>42327</v>
      </c>
      <c r="P258" s="32">
        <v>0</v>
      </c>
    </row>
    <row r="259" spans="2:16">
      <c r="B259" s="95">
        <v>40598</v>
      </c>
      <c r="C259" s="96">
        <v>0.58942459149155479</v>
      </c>
      <c r="D259" s="96">
        <f>VLOOKUP(CurrentMtgRatesDataTable825[[#This Row],[asOfDate]],H:I,2,0)</f>
        <v>0.41551493659156002</v>
      </c>
      <c r="E259" s="96">
        <f>VLOOKUP(CurrentMtgRatesDataTable825[[#This Row],[asOfDate]],O:P,2,0)</f>
        <v>0</v>
      </c>
      <c r="F259" s="97">
        <f ca="1">VLOOKUP(CurrentMtgRatesDataTable825[[#This Row],[asOfDate]]+1,Bloomberg!B:C,2,0)</f>
        <v>2155.5</v>
      </c>
      <c r="H259" s="28">
        <v>42333</v>
      </c>
      <c r="I259" s="32">
        <v>0.44809866053416347</v>
      </c>
      <c r="O259" s="28">
        <v>42333</v>
      </c>
      <c r="P259" s="32">
        <v>0</v>
      </c>
    </row>
    <row r="260" spans="2:16">
      <c r="B260" s="95">
        <v>40591</v>
      </c>
      <c r="C260" s="96">
        <v>0.54205032767488659</v>
      </c>
      <c r="D260" s="96">
        <f>VLOOKUP(CurrentMtgRatesDataTable825[[#This Row],[asOfDate]],H:I,2,0)</f>
        <v>0.37678804128174298</v>
      </c>
      <c r="E260" s="96">
        <f>VLOOKUP(CurrentMtgRatesDataTable825[[#This Row],[asOfDate]],O:P,2,0)</f>
        <v>0</v>
      </c>
      <c r="F260" s="97">
        <f ca="1">VLOOKUP(CurrentMtgRatesDataTable825[[#This Row],[asOfDate]]+1,Bloomberg!B:C,2,0)</f>
        <v>2325.3000000000002</v>
      </c>
      <c r="H260" s="28">
        <v>42341</v>
      </c>
      <c r="I260" s="32">
        <v>0.44656607927794312</v>
      </c>
      <c r="O260" s="28">
        <v>42341</v>
      </c>
      <c r="P260" s="32">
        <v>0</v>
      </c>
    </row>
    <row r="261" spans="2:16">
      <c r="B261" s="95">
        <v>40584</v>
      </c>
      <c r="C261" s="96">
        <v>0.52056927566475342</v>
      </c>
      <c r="D261" s="96">
        <f>VLOOKUP(CurrentMtgRatesDataTable825[[#This Row],[asOfDate]],H:I,2,0)</f>
        <v>0.35529176669040102</v>
      </c>
      <c r="E261" s="96">
        <f>VLOOKUP(CurrentMtgRatesDataTable825[[#This Row],[asOfDate]],O:P,2,0)</f>
        <v>0</v>
      </c>
      <c r="F261" s="97">
        <f ca="1">VLOOKUP(CurrentMtgRatesDataTable825[[#This Row],[asOfDate]]+1,Bloomberg!B:C,2,0)</f>
        <v>1953.2</v>
      </c>
      <c r="H261" s="28">
        <v>42348</v>
      </c>
      <c r="I261" s="32">
        <v>0.44439599984148415</v>
      </c>
      <c r="O261" s="28">
        <v>42348</v>
      </c>
      <c r="P261" s="32">
        <v>0</v>
      </c>
    </row>
    <row r="262" spans="2:16">
      <c r="B262" s="95">
        <v>40577</v>
      </c>
      <c r="C262" s="96">
        <v>0.61889055550431171</v>
      </c>
      <c r="D262" s="96">
        <f>VLOOKUP(CurrentMtgRatesDataTable825[[#This Row],[asOfDate]],H:I,2,0)</f>
        <v>0.43462013043084002</v>
      </c>
      <c r="E262" s="96">
        <f>VLOOKUP(CurrentMtgRatesDataTable825[[#This Row],[asOfDate]],O:P,2,0)</f>
        <v>0</v>
      </c>
      <c r="F262" s="97">
        <f ca="1">VLOOKUP(CurrentMtgRatesDataTable825[[#This Row],[asOfDate]]+1,Bloomberg!B:C,2,0)</f>
        <v>2190.4</v>
      </c>
      <c r="H262" s="28">
        <v>42355</v>
      </c>
      <c r="I262" s="32">
        <v>0.4426892560799261</v>
      </c>
      <c r="O262" s="28">
        <v>42355</v>
      </c>
      <c r="P262" s="32">
        <v>0</v>
      </c>
    </row>
    <row r="263" spans="2:16">
      <c r="B263" s="95">
        <v>40570</v>
      </c>
      <c r="C263" s="96">
        <v>0.63857444674020136</v>
      </c>
      <c r="D263" s="96">
        <f>VLOOKUP(CurrentMtgRatesDataTable825[[#This Row],[asOfDate]],H:I,2,0)</f>
        <v>0.47679593730615699</v>
      </c>
      <c r="E263" s="96">
        <f>VLOOKUP(CurrentMtgRatesDataTable825[[#This Row],[asOfDate]],O:P,2,0)</f>
        <v>0</v>
      </c>
      <c r="F263" s="97">
        <f ca="1">VLOOKUP(CurrentMtgRatesDataTable825[[#This Row],[asOfDate]]+1,Bloomberg!B:C,2,0)</f>
        <v>2371.1</v>
      </c>
      <c r="H263" s="28">
        <v>42362</v>
      </c>
      <c r="I263" s="32">
        <v>0.44353361272975167</v>
      </c>
      <c r="O263" s="28">
        <v>42362</v>
      </c>
      <c r="P263" s="32">
        <v>0</v>
      </c>
    </row>
    <row r="264" spans="2:16">
      <c r="B264" s="95">
        <v>40563</v>
      </c>
      <c r="C264" s="96">
        <v>0.64069519706314115</v>
      </c>
      <c r="D264" s="96">
        <f>VLOOKUP(CurrentMtgRatesDataTable825[[#This Row],[asOfDate]],H:I,2,0)</f>
        <v>0.48029569588235599</v>
      </c>
      <c r="E264" s="96">
        <f>VLOOKUP(CurrentMtgRatesDataTable825[[#This Row],[asOfDate]],O:P,2,0)</f>
        <v>0</v>
      </c>
      <c r="F264" s="97">
        <f ca="1">VLOOKUP(CurrentMtgRatesDataTable825[[#This Row],[asOfDate]]+1,Bloomberg!B:C,2,0)</f>
        <v>2129.6999999999998</v>
      </c>
      <c r="H264" s="28">
        <v>42369</v>
      </c>
      <c r="I264" s="32">
        <v>0.41128790488114564</v>
      </c>
      <c r="O264" s="28">
        <v>42369</v>
      </c>
      <c r="P264" s="32">
        <v>0</v>
      </c>
    </row>
    <row r="265" spans="2:16">
      <c r="B265" s="95">
        <v>40556</v>
      </c>
      <c r="C265" s="96">
        <v>0.64288827641604773</v>
      </c>
      <c r="D265" s="96">
        <f>VLOOKUP(CurrentMtgRatesDataTable825[[#This Row],[asOfDate]],H:I,2,0)</f>
        <v>0.49650185657562101</v>
      </c>
      <c r="E265" s="96">
        <f>VLOOKUP(CurrentMtgRatesDataTable825[[#This Row],[asOfDate]],O:P,2,0)</f>
        <v>5.80030998251819E-5</v>
      </c>
      <c r="F265" s="97">
        <f ca="1">VLOOKUP(CurrentMtgRatesDataTable825[[#This Row],[asOfDate]]+1,Bloomberg!B:C,2,0)</f>
        <v>2528.6999999999998</v>
      </c>
      <c r="H265" s="28">
        <v>42362</v>
      </c>
      <c r="I265" s="32">
        <v>0.44353361272975167</v>
      </c>
      <c r="O265" s="28">
        <v>42362</v>
      </c>
      <c r="P265" s="32">
        <v>0</v>
      </c>
    </row>
    <row r="266" spans="2:16">
      <c r="B266" s="102">
        <v>40549</v>
      </c>
      <c r="C266" s="103">
        <v>0.63874575831359703</v>
      </c>
      <c r="D266" s="103">
        <f>VLOOKUP(CurrentMtgRatesDataTable825[[#This Row],[asOfDate]],H:I,2,0)</f>
        <v>0.477996028899563</v>
      </c>
      <c r="E266" s="103">
        <f>VLOOKUP(CurrentMtgRatesDataTable825[[#This Row],[asOfDate]],O:P,2,0)</f>
        <v>0</v>
      </c>
      <c r="F266" s="104">
        <f ca="1">VLOOKUP(CurrentMtgRatesDataTable825[[#This Row],[asOfDate]]+1,Bloomberg!B:C,2,0)</f>
        <v>2344.3000000000002</v>
      </c>
      <c r="H266" s="28">
        <v>42383</v>
      </c>
      <c r="I266" s="32">
        <v>0.44103197340208022</v>
      </c>
      <c r="O266" s="28">
        <v>42383</v>
      </c>
      <c r="P266" s="32">
        <v>1.567204072611725E-3</v>
      </c>
    </row>
    <row r="267" spans="2:16">
      <c r="H267" s="28">
        <v>42390</v>
      </c>
      <c r="I267" s="32">
        <v>0.51058732016564734</v>
      </c>
      <c r="O267" s="28">
        <v>42390</v>
      </c>
      <c r="P267" s="32">
        <v>5.9883323412895321E-3</v>
      </c>
    </row>
    <row r="268" spans="2:16">
      <c r="H268" s="28"/>
      <c r="I268" s="32"/>
      <c r="O268" s="28"/>
      <c r="P268" s="10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41"/>
  <sheetViews>
    <sheetView topLeftCell="A391" workbookViewId="0">
      <selection activeCell="D447" sqref="D447"/>
    </sheetView>
  </sheetViews>
  <sheetFormatPr defaultRowHeight="15"/>
  <cols>
    <col min="2" max="2" width="16.28515625" customWidth="1"/>
  </cols>
  <sheetData>
    <row r="1" spans="2:3">
      <c r="C1" t="s">
        <v>29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>
        <v>42188</v>
      </c>
      <c r="C414">
        <v>1299.9000000000001</v>
      </c>
    </row>
    <row r="415" spans="2:3">
      <c r="B415" s="1">
        <v>42195</v>
      </c>
      <c r="C415">
        <v>1332.4</v>
      </c>
    </row>
    <row r="416" spans="2:3">
      <c r="B416" s="1">
        <v>42202</v>
      </c>
      <c r="C416">
        <v>1305.5999999999999</v>
      </c>
    </row>
    <row r="417" spans="2:13">
      <c r="B417" s="1">
        <v>42209</v>
      </c>
      <c r="C417">
        <v>1339.9</v>
      </c>
      <c r="J417" s="1"/>
      <c r="K417" s="69"/>
      <c r="L417" s="69"/>
      <c r="M417" s="70"/>
    </row>
    <row r="418" spans="2:13">
      <c r="B418" s="1">
        <v>42216</v>
      </c>
      <c r="C418">
        <v>1418</v>
      </c>
    </row>
    <row r="419" spans="2:13">
      <c r="B419" s="1">
        <v>42223</v>
      </c>
      <c r="C419">
        <v>1455.2</v>
      </c>
    </row>
    <row r="420" spans="2:13">
      <c r="B420" s="1">
        <v>42230</v>
      </c>
      <c r="C420">
        <v>1561.2</v>
      </c>
    </row>
    <row r="421" spans="2:13">
      <c r="B421" s="1">
        <v>42237</v>
      </c>
      <c r="C421">
        <v>1545.5</v>
      </c>
    </row>
    <row r="422" spans="2:13">
      <c r="B422" s="1">
        <v>42244</v>
      </c>
      <c r="C422">
        <v>1857.7</v>
      </c>
    </row>
    <row r="423" spans="2:13">
      <c r="B423" s="1">
        <v>42251</v>
      </c>
      <c r="C423">
        <v>1626.9</v>
      </c>
    </row>
    <row r="424" spans="2:13">
      <c r="B424" s="1">
        <v>42258</v>
      </c>
      <c r="C424">
        <v>1473.7</v>
      </c>
    </row>
    <row r="425" spans="2:13">
      <c r="B425" s="1">
        <v>42265</v>
      </c>
      <c r="C425">
        <v>1759.9</v>
      </c>
    </row>
    <row r="426" spans="2:13">
      <c r="B426" s="1">
        <v>42272</v>
      </c>
      <c r="C426">
        <v>1589.5</v>
      </c>
    </row>
    <row r="427" spans="2:13">
      <c r="B427" s="1">
        <v>42279</v>
      </c>
      <c r="C427">
        <v>2071.6</v>
      </c>
    </row>
    <row r="428" spans="2:13">
      <c r="B428" s="1">
        <v>42286</v>
      </c>
      <c r="C428">
        <v>1534.5</v>
      </c>
    </row>
    <row r="429" spans="2:13">
      <c r="B429" s="1">
        <v>42293</v>
      </c>
      <c r="C429">
        <v>1575.3</v>
      </c>
    </row>
    <row r="430" spans="2:13">
      <c r="B430" s="1">
        <v>42300</v>
      </c>
      <c r="C430">
        <v>1544.8</v>
      </c>
    </row>
    <row r="431" spans="2:13">
      <c r="B431" s="1">
        <v>42307</v>
      </c>
      <c r="C431">
        <v>1548.6</v>
      </c>
    </row>
    <row r="432" spans="2:13">
      <c r="B432" s="1">
        <v>42314</v>
      </c>
      <c r="C432">
        <v>1514.1</v>
      </c>
    </row>
    <row r="433" spans="2:3">
      <c r="B433" s="1">
        <v>42321</v>
      </c>
      <c r="C433">
        <v>1528.7</v>
      </c>
    </row>
    <row r="434" spans="2:3">
      <c r="B434" s="1">
        <v>42328</v>
      </c>
      <c r="C434">
        <v>1489</v>
      </c>
    </row>
    <row r="435" spans="2:3">
      <c r="B435" s="1">
        <v>42334</v>
      </c>
      <c r="C435">
        <v>1410.2</v>
      </c>
    </row>
    <row r="436" spans="2:3">
      <c r="B436" s="1">
        <v>42342</v>
      </c>
      <c r="C436">
        <v>1451.5</v>
      </c>
    </row>
    <row r="437" spans="2:3">
      <c r="B437" s="1">
        <v>42349</v>
      </c>
      <c r="C437">
        <v>1470.6</v>
      </c>
    </row>
    <row r="438" spans="2:3">
      <c r="B438" s="1">
        <v>42356</v>
      </c>
      <c r="C438">
        <v>1667.4</v>
      </c>
    </row>
    <row r="439" spans="2:3">
      <c r="B439" s="1">
        <v>42363</v>
      </c>
      <c r="C439">
        <v>1174.0999999999999</v>
      </c>
    </row>
    <row r="440" spans="2:3">
      <c r="B440" s="1">
        <v>42370</v>
      </c>
      <c r="C440">
        <v>1020.5</v>
      </c>
    </row>
    <row r="441" spans="2:3">
      <c r="B441" s="1">
        <v>42377</v>
      </c>
      <c r="C441">
        <v>1273.8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8"/>
  <sheetViews>
    <sheetView workbookViewId="0">
      <selection activeCell="B10" sqref="B10"/>
    </sheetView>
  </sheetViews>
  <sheetFormatPr defaultRowHeight="12.75"/>
  <cols>
    <col min="1" max="1" width="15.140625" style="6" bestFit="1" customWidth="1"/>
    <col min="2" max="2" width="10.42578125" style="6" bestFit="1" customWidth="1"/>
    <col min="3" max="16384" width="9.140625" style="6"/>
  </cols>
  <sheetData>
    <row r="1" spans="1:16">
      <c r="F1" s="6" t="s">
        <v>26</v>
      </c>
    </row>
    <row r="2" spans="1:16">
      <c r="B2" s="6" t="s">
        <v>35</v>
      </c>
      <c r="C2" s="6" t="s">
        <v>36</v>
      </c>
      <c r="F2" s="6" t="s">
        <v>37</v>
      </c>
      <c r="G2" s="6" t="s">
        <v>38</v>
      </c>
      <c r="H2" s="6" t="s">
        <v>39</v>
      </c>
      <c r="I2" s="6" t="s">
        <v>40</v>
      </c>
      <c r="J2" s="6" t="s">
        <v>41</v>
      </c>
      <c r="K2" s="6" t="s">
        <v>42</v>
      </c>
      <c r="L2" s="6" t="s">
        <v>43</v>
      </c>
      <c r="M2" s="6" t="s">
        <v>44</v>
      </c>
      <c r="N2" s="6" t="s">
        <v>45</v>
      </c>
      <c r="O2" s="6" t="s">
        <v>46</v>
      </c>
      <c r="P2" s="6" t="s">
        <v>47</v>
      </c>
    </row>
    <row r="3" spans="1:16">
      <c r="B3" s="18">
        <v>42390</v>
      </c>
      <c r="C3" s="35">
        <v>3.71</v>
      </c>
      <c r="F3" s="31">
        <v>0.86053180244373184</v>
      </c>
      <c r="G3" s="31">
        <v>0.8184510925623657</v>
      </c>
      <c r="H3" s="31">
        <v>0.792866485196005</v>
      </c>
      <c r="I3" s="31">
        <v>0.72966650219578055</v>
      </c>
      <c r="J3" s="31">
        <v>0.63326735135921475</v>
      </c>
      <c r="K3" s="31">
        <v>0.56800749856224098</v>
      </c>
      <c r="L3" s="31">
        <v>0.51003079367236948</v>
      </c>
      <c r="M3" s="31">
        <v>0.4717835174387458</v>
      </c>
      <c r="N3" s="31">
        <v>0.40258680715943373</v>
      </c>
      <c r="O3" s="31">
        <v>0.33462040705764007</v>
      </c>
      <c r="P3" s="31">
        <v>0.28177528893959342</v>
      </c>
    </row>
    <row r="5" spans="1:16">
      <c r="B5" s="18">
        <f>CurrentMtgRatesDataTable82523[AsOfDate]</f>
        <v>42390</v>
      </c>
      <c r="C5" s="6">
        <f>CurrentMtgRatesDataTable82523[SeriesNumValue]</f>
        <v>3.71</v>
      </c>
    </row>
    <row r="6" spans="1:16">
      <c r="F6" s="6" t="s">
        <v>27</v>
      </c>
    </row>
    <row r="7" spans="1:16">
      <c r="F7" s="6" t="s">
        <v>58</v>
      </c>
      <c r="G7" s="6" t="s">
        <v>59</v>
      </c>
      <c r="H7" s="6" t="s">
        <v>60</v>
      </c>
      <c r="I7" s="6" t="s">
        <v>61</v>
      </c>
      <c r="J7" s="6" t="s">
        <v>62</v>
      </c>
      <c r="K7" s="6" t="s">
        <v>63</v>
      </c>
      <c r="L7" s="6" t="s">
        <v>64</v>
      </c>
      <c r="M7" s="6" t="s">
        <v>65</v>
      </c>
      <c r="N7" s="6" t="s">
        <v>66</v>
      </c>
      <c r="O7" s="6" t="s">
        <v>67</v>
      </c>
      <c r="P7" s="6" t="s">
        <v>68</v>
      </c>
    </row>
    <row r="8" spans="1:16">
      <c r="A8" s="6" t="s">
        <v>108</v>
      </c>
      <c r="B8" s="80" t="str">
        <f>TEXT(CurrentCloseDate,"yyyy-mm-dd")</f>
        <v>2016-01-27</v>
      </c>
      <c r="C8" s="6">
        <f>VLOOKUP(B8,'Current Coupon'!S:T,2,0)</f>
        <v>2.73574020589367</v>
      </c>
      <c r="F8" s="31">
        <v>0.84643843890489245</v>
      </c>
      <c r="G8" s="31">
        <v>0.78152591353017187</v>
      </c>
      <c r="H8" s="31">
        <v>0.746818843150719</v>
      </c>
      <c r="I8" s="31">
        <v>0.66715703091155365</v>
      </c>
      <c r="J8" s="31">
        <v>0.61558305422363835</v>
      </c>
      <c r="K8" s="31">
        <v>0.54312817108621503</v>
      </c>
      <c r="L8" s="31">
        <v>0.47321858328194433</v>
      </c>
      <c r="M8" s="31">
        <v>0.43741825263314521</v>
      </c>
      <c r="N8" s="31">
        <v>0.3767105638497712</v>
      </c>
      <c r="O8" s="31">
        <v>0.34196709950175791</v>
      </c>
      <c r="P8" s="31">
        <v>0.29865465031952421</v>
      </c>
    </row>
    <row r="9" spans="1:16">
      <c r="A9" s="6" t="s">
        <v>94</v>
      </c>
      <c r="B9" s="6" t="str">
        <f>TEXT(B5-1,"yyyy-mm-dd")</f>
        <v>2016-01-20</v>
      </c>
      <c r="C9" s="6">
        <f>VLOOKUP(B9,'Current Coupon'!A:M,11,0)</f>
        <v>0.92584729351585482</v>
      </c>
    </row>
    <row r="10" spans="1:16">
      <c r="A10" s="6" t="s">
        <v>109</v>
      </c>
      <c r="C10" s="6">
        <f>C8+C9</f>
        <v>3.6615874994095248</v>
      </c>
      <c r="F10" s="6" t="s">
        <v>82</v>
      </c>
    </row>
    <row r="11" spans="1:16">
      <c r="F11" s="6" t="s">
        <v>58</v>
      </c>
      <c r="G11" s="6" t="s">
        <v>59</v>
      </c>
      <c r="H11" s="6" t="s">
        <v>60</v>
      </c>
      <c r="I11" s="6" t="s">
        <v>61</v>
      </c>
      <c r="J11" s="6" t="s">
        <v>62</v>
      </c>
      <c r="K11" s="6" t="s">
        <v>63</v>
      </c>
      <c r="L11" s="6" t="s">
        <v>64</v>
      </c>
      <c r="M11" s="6" t="s">
        <v>65</v>
      </c>
      <c r="N11" s="6" t="s">
        <v>66</v>
      </c>
      <c r="O11" s="6" t="s">
        <v>67</v>
      </c>
      <c r="P11" s="6" t="s">
        <v>68</v>
      </c>
    </row>
    <row r="12" spans="1:16">
      <c r="F12" s="31">
        <v>0.84640930475898668</v>
      </c>
      <c r="G12" s="31">
        <v>0.34932649060755155</v>
      </c>
      <c r="H12" s="31">
        <v>0.30138358197724158</v>
      </c>
      <c r="I12" s="31">
        <v>0.25820318523572161</v>
      </c>
      <c r="J12" s="31">
        <v>4.1692117251124428E-2</v>
      </c>
      <c r="K12" s="31">
        <v>4.262751272507909E-3</v>
      </c>
      <c r="L12" s="31">
        <v>2.1705889654440326E-3</v>
      </c>
      <c r="M12" s="31">
        <v>0</v>
      </c>
      <c r="N12" s="31">
        <v>0</v>
      </c>
      <c r="O12" s="31">
        <v>0</v>
      </c>
      <c r="P12" s="31">
        <v>0</v>
      </c>
    </row>
    <row r="15" spans="1:16">
      <c r="E15" s="29"/>
      <c r="F15" s="29" t="s">
        <v>52</v>
      </c>
      <c r="G15" s="29" t="s">
        <v>51</v>
      </c>
      <c r="H15" s="29" t="s">
        <v>50</v>
      </c>
      <c r="I15" s="29" t="s">
        <v>49</v>
      </c>
      <c r="J15" s="29" t="s">
        <v>48</v>
      </c>
      <c r="K15" s="38">
        <f>ImpliedRate</f>
        <v>3.6615874994095248</v>
      </c>
      <c r="L15" s="29" t="s">
        <v>53</v>
      </c>
      <c r="M15" s="29" t="s">
        <v>54</v>
      </c>
      <c r="N15" s="29" t="s">
        <v>55</v>
      </c>
      <c r="O15" s="29" t="s">
        <v>56</v>
      </c>
      <c r="P15" s="29" t="s">
        <v>57</v>
      </c>
    </row>
    <row r="16" spans="1:16">
      <c r="E16" s="81" t="s">
        <v>28</v>
      </c>
      <c r="F16" s="82">
        <f>CurrentMtgRatesDataTable825234[refinancible1]</f>
        <v>0.86053180244373184</v>
      </c>
      <c r="G16" s="82">
        <f>CurrentMtgRatesDataTable825234[refinancible2]</f>
        <v>0.8184510925623657</v>
      </c>
      <c r="H16" s="82">
        <f>CurrentMtgRatesDataTable825234[refinancible3]</f>
        <v>0.792866485196005</v>
      </c>
      <c r="I16" s="82">
        <f>CurrentMtgRatesDataTable825234[refinancible4]</f>
        <v>0.72966650219578055</v>
      </c>
      <c r="J16" s="82">
        <f>CurrentMtgRatesDataTable825234[refinancible5]</f>
        <v>0.63326735135921475</v>
      </c>
      <c r="K16" s="82">
        <f>CurrentMtgRatesDataTable825234[refinancible6]</f>
        <v>0.56800749856224098</v>
      </c>
      <c r="L16" s="82">
        <f>CurrentMtgRatesDataTable825234[refinancible7]</f>
        <v>0.51003079367236948</v>
      </c>
      <c r="M16" s="82">
        <f>CurrentMtgRatesDataTable825234[refinancible8]</f>
        <v>0.4717835174387458</v>
      </c>
      <c r="N16" s="82">
        <f>CurrentMtgRatesDataTable825234[refinancible9]</f>
        <v>0.40258680715943373</v>
      </c>
      <c r="O16" s="82">
        <f>CurrentMtgRatesDataTable825234[refinancible10]</f>
        <v>0.33462040705764007</v>
      </c>
      <c r="P16" s="82">
        <f>CurrentMtgRatesDataTable825234[refinancible11]</f>
        <v>0.28177528893959342</v>
      </c>
    </row>
    <row r="17" spans="5:16">
      <c r="E17" s="81" t="s">
        <v>25</v>
      </c>
      <c r="F17" s="82">
        <f>CurrentMtgRatesDataTable8252346[refinanceible1]</f>
        <v>0.84643843890489245</v>
      </c>
      <c r="G17" s="82">
        <f>CurrentMtgRatesDataTable8252346[refinanceible2]</f>
        <v>0.78152591353017187</v>
      </c>
      <c r="H17" s="82">
        <f>CurrentMtgRatesDataTable8252346[refinanceible3]</f>
        <v>0.746818843150719</v>
      </c>
      <c r="I17" s="82">
        <f>CurrentMtgRatesDataTable8252346[refinanceible4]</f>
        <v>0.66715703091155365</v>
      </c>
      <c r="J17" s="82">
        <f>CurrentMtgRatesDataTable8252346[refinanceible5]</f>
        <v>0.61558305422363835</v>
      </c>
      <c r="K17" s="82">
        <f>CurrentMtgRatesDataTable8252346[refinanceible6]</f>
        <v>0.54312817108621503</v>
      </c>
      <c r="L17" s="82">
        <f>CurrentMtgRatesDataTable8252346[refinanceible7]</f>
        <v>0.47321858328194433</v>
      </c>
      <c r="M17" s="82">
        <f>CurrentMtgRatesDataTable8252346[refinanceible8]</f>
        <v>0.43741825263314521</v>
      </c>
      <c r="N17" s="82">
        <f>CurrentMtgRatesDataTable8252346[refinanceible9]</f>
        <v>0.3767105638497712</v>
      </c>
      <c r="O17" s="82">
        <f>CurrentMtgRatesDataTable8252346[refinanceible10]</f>
        <v>0.34196709950175791</v>
      </c>
      <c r="P17" s="82">
        <f>CurrentMtgRatesDataTable8252346[refinanceible11]</f>
        <v>0.29865465031952421</v>
      </c>
    </row>
    <row r="18" spans="5:16">
      <c r="E18" s="81" t="s">
        <v>81</v>
      </c>
      <c r="F18" s="82">
        <f>CurrentMtgRatesDataTable82523468[refinanceible1]</f>
        <v>0.84640930475898668</v>
      </c>
      <c r="G18" s="82">
        <f>CurrentMtgRatesDataTable82523468[refinanceible2]</f>
        <v>0.34932649060755155</v>
      </c>
      <c r="H18" s="82">
        <f>CurrentMtgRatesDataTable82523468[refinanceible3]</f>
        <v>0.30138358197724158</v>
      </c>
      <c r="I18" s="82">
        <f>CurrentMtgRatesDataTable82523468[refinanceible4]</f>
        <v>0.25820318523572161</v>
      </c>
      <c r="J18" s="82">
        <f>CurrentMtgRatesDataTable82523468[refinanceible5]</f>
        <v>4.1692117251124428E-2</v>
      </c>
      <c r="K18" s="82">
        <f>CurrentMtgRatesDataTable82523468[refinanceible6]</f>
        <v>4.262751272507909E-3</v>
      </c>
      <c r="L18" s="82">
        <f>CurrentMtgRatesDataTable82523468[refinanceible7]</f>
        <v>2.1705889654440326E-3</v>
      </c>
      <c r="M18" s="82">
        <f>CurrentMtgRatesDataTable82523468[refinanceible8]</f>
        <v>0</v>
      </c>
      <c r="N18" s="82">
        <f>CurrentMtgRatesDataTable82523468[refinanceible9]</f>
        <v>0</v>
      </c>
      <c r="O18" s="82">
        <f>CurrentMtgRatesDataTable82523468[refinanceible10]</f>
        <v>0</v>
      </c>
      <c r="P18" s="82">
        <f>CurrentMtgRatesDataTable82523468[refinanceible11]</f>
        <v>0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K33" sqref="K33"/>
    </sheetView>
  </sheetViews>
  <sheetFormatPr defaultRowHeight="12.75"/>
  <cols>
    <col min="1" max="1" width="16.7109375" style="74" customWidth="1"/>
    <col min="2" max="2" width="10.140625" style="74" bestFit="1" customWidth="1"/>
    <col min="3" max="6" width="10.140625" style="74" customWidth="1"/>
    <col min="7" max="7" width="14.140625" style="74" bestFit="1" customWidth="1"/>
    <col min="8" max="8" width="13.85546875" style="74" bestFit="1" customWidth="1"/>
    <col min="9" max="9" width="21.85546875" style="74" bestFit="1" customWidth="1"/>
    <col min="10" max="10" width="16.7109375" style="74" bestFit="1" customWidth="1"/>
    <col min="11" max="11" width="15.7109375" style="74" bestFit="1" customWidth="1"/>
    <col min="12" max="12" width="13.85546875" style="74" bestFit="1" customWidth="1"/>
    <col min="13" max="13" width="22" style="74" bestFit="1" customWidth="1"/>
    <col min="14" max="14" width="13.85546875" style="74" bestFit="1" customWidth="1"/>
    <col min="15" max="15" width="12.5703125" style="74" bestFit="1" customWidth="1"/>
    <col min="16" max="16" width="12" style="74" bestFit="1" customWidth="1"/>
    <col min="17" max="17" width="15.140625" style="74" bestFit="1" customWidth="1"/>
    <col min="18" max="18" width="15.140625" style="74" customWidth="1"/>
    <col min="19" max="19" width="14.140625" style="74" bestFit="1" customWidth="1"/>
    <col min="20" max="20" width="14.140625" style="74" customWidth="1"/>
    <col min="21" max="21" width="12" style="74" bestFit="1" customWidth="1"/>
    <col min="22" max="22" width="12" style="74" customWidth="1"/>
    <col min="23" max="23" width="12" style="74" bestFit="1" customWidth="1"/>
    <col min="24" max="24" width="16" style="74" bestFit="1" customWidth="1"/>
    <col min="25" max="25" width="14.7109375" style="74" bestFit="1" customWidth="1"/>
    <col min="26" max="26" width="16" style="74" bestFit="1" customWidth="1"/>
    <col min="27" max="27" width="17.5703125" style="74" bestFit="1" customWidth="1"/>
    <col min="28" max="28" width="12.140625" style="74" bestFit="1" customWidth="1"/>
    <col min="29" max="29" width="8.5703125" style="74" bestFit="1" customWidth="1"/>
    <col min="30" max="30" width="15.28515625" style="74" customWidth="1"/>
    <col min="31" max="31" width="11.7109375" style="74" bestFit="1" customWidth="1"/>
    <col min="32" max="32" width="10.28515625" style="74" bestFit="1" customWidth="1"/>
    <col min="33" max="33" width="12" style="74" bestFit="1" customWidth="1"/>
    <col min="34" max="34" width="14.42578125" style="74" customWidth="1"/>
    <col min="35" max="35" width="18.5703125" style="74" bestFit="1" customWidth="1"/>
    <col min="36" max="36" width="10.7109375" style="74" bestFit="1" customWidth="1"/>
    <col min="37" max="37" width="16.42578125" style="74" bestFit="1" customWidth="1"/>
    <col min="38" max="38" width="16.140625" style="74" bestFit="1" customWidth="1"/>
    <col min="39" max="39" width="14.42578125" style="74" customWidth="1"/>
    <col min="40" max="40" width="12.28515625" style="74" customWidth="1"/>
    <col min="41" max="16384" width="9.140625" style="74"/>
  </cols>
  <sheetData>
    <row r="3" spans="1:22" ht="23.25">
      <c r="A3" s="73" t="s">
        <v>105</v>
      </c>
      <c r="U3" s="73" t="s">
        <v>105</v>
      </c>
      <c r="V3" s="73"/>
    </row>
    <row r="4" spans="1:22" s="75" customFormat="1">
      <c r="A4" s="75" t="s">
        <v>35</v>
      </c>
      <c r="B4" s="75" t="s">
        <v>36</v>
      </c>
      <c r="C4" s="75" t="s">
        <v>87</v>
      </c>
      <c r="D4" s="75" t="s">
        <v>88</v>
      </c>
      <c r="E4" s="75" t="s">
        <v>89</v>
      </c>
      <c r="F4" s="75" t="s">
        <v>90</v>
      </c>
      <c r="G4" s="75" t="s">
        <v>91</v>
      </c>
      <c r="H4" s="75" t="s">
        <v>92</v>
      </c>
      <c r="I4" s="75" t="s">
        <v>93</v>
      </c>
      <c r="J4" s="75" t="s">
        <v>94</v>
      </c>
      <c r="K4" s="75" t="s">
        <v>95</v>
      </c>
      <c r="L4" s="75" t="s">
        <v>96</v>
      </c>
      <c r="M4" s="75" t="s">
        <v>97</v>
      </c>
      <c r="S4" s="75" t="s">
        <v>35</v>
      </c>
      <c r="T4" s="75" t="s">
        <v>36</v>
      </c>
      <c r="U4" s="75" t="s">
        <v>106</v>
      </c>
    </row>
    <row r="5" spans="1:22" s="78" customFormat="1">
      <c r="A5" s="76" t="s">
        <v>114</v>
      </c>
      <c r="B5" s="77">
        <v>2.8947298491443201</v>
      </c>
      <c r="C5" s="77">
        <v>3.83</v>
      </c>
      <c r="D5" s="78">
        <f t="shared" ref="D5:D38" si="0">WEEKDAY(A5,14)</f>
        <v>6</v>
      </c>
      <c r="E5" s="78">
        <f t="shared" ref="E5:E38" si="1">VLOOKUP(D5,P$5:Q$11,2,FALSE)</f>
        <v>0.2</v>
      </c>
      <c r="F5" s="78">
        <f t="shared" ref="F5:F38" si="2">IF(AND(D5&gt;D4,F4&lt;6),F4+1,1)</f>
        <v>1</v>
      </c>
      <c r="G5" s="78">
        <f t="shared" ref="G5:G38" si="3">IF(F5&gt;F4,G4+B5*E5,B5*E5)</f>
        <v>0.57894596982886404</v>
      </c>
      <c r="H5" s="78">
        <f t="shared" ref="H5:H38" si="4">IF(AND(F5&lt;6,F5&gt;F4),E5+H4,E5)</f>
        <v>0.2</v>
      </c>
      <c r="I5" s="78">
        <f t="shared" ref="I5:I38" si="5">IF(F5&gt;F6,G5/H5,0)</f>
        <v>0</v>
      </c>
      <c r="J5" s="77">
        <f>IF(CurrentMtgRatesDataTable811[[#This Row],[WA CC]]&lt;&gt;0,C4-CurrentMtgRatesDataTable811[[#This Row],[WA CC]],0)</f>
        <v>0</v>
      </c>
      <c r="K5" s="77" t="str">
        <f>IF(CurrentMtgRatesDataTable811[[#This Row],[Servicing Spread]]&lt;=0,K4,CurrentMtgRatesDataTable811[[#This Row],[Servicing Spread]])</f>
        <v>Servicing Spread Non-Zero</v>
      </c>
      <c r="L5" s="77" t="e">
        <f>CurrentMtgRatesDataTable811[[#This Row],[Servicing Spread Non-Zero]]-K4</f>
        <v>#VALUE!</v>
      </c>
      <c r="M5" s="77" t="e">
        <f>IF(I4&lt;&gt;0,CurrentMtgRatesDataTable811[[#This Row],[Rate]]-C4,M4)</f>
        <v>#VALUE!</v>
      </c>
      <c r="O5" s="78" t="s">
        <v>98</v>
      </c>
      <c r="P5" s="78">
        <v>5</v>
      </c>
      <c r="Q5" s="78">
        <v>0.2</v>
      </c>
      <c r="S5" s="76" t="s">
        <v>150</v>
      </c>
      <c r="T5" s="77">
        <v>2.7634717888750999</v>
      </c>
      <c r="U5" s="77" t="s">
        <v>107</v>
      </c>
    </row>
    <row r="6" spans="1:22" s="78" customFormat="1">
      <c r="A6" s="76" t="s">
        <v>115</v>
      </c>
      <c r="B6" s="6">
        <v>2.9165593470462001</v>
      </c>
      <c r="C6" s="6">
        <v>3.83</v>
      </c>
      <c r="D6" s="78">
        <f t="shared" si="0"/>
        <v>7</v>
      </c>
      <c r="E6" s="78">
        <f t="shared" si="1"/>
        <v>0.2</v>
      </c>
      <c r="F6" s="78">
        <f t="shared" si="2"/>
        <v>2</v>
      </c>
      <c r="G6" s="78">
        <f t="shared" si="3"/>
        <v>1.1622578392381042</v>
      </c>
      <c r="H6" s="78">
        <f t="shared" si="4"/>
        <v>0.4</v>
      </c>
      <c r="I6" s="78">
        <f t="shared" si="5"/>
        <v>2.9056445980952605</v>
      </c>
      <c r="J6" s="77">
        <f>IF(CurrentMtgRatesDataTable811[[#This Row],[WA CC]]&lt;&gt;0,C5-CurrentMtgRatesDataTable811[[#This Row],[WA CC]],0)</f>
        <v>0.92435540190473953</v>
      </c>
      <c r="K6" s="77">
        <f>IF(CurrentMtgRatesDataTable811[[#This Row],[Servicing Spread]]&lt;=0,K5,CurrentMtgRatesDataTable811[[#This Row],[Servicing Spread]])</f>
        <v>0.92435540190473953</v>
      </c>
      <c r="L6" s="77" t="e">
        <f>CurrentMtgRatesDataTable811[[#This Row],[Servicing Spread Non-Zero]]-K5</f>
        <v>#VALUE!</v>
      </c>
      <c r="M6" s="77" t="e">
        <f>IF(I5&lt;&gt;0,CurrentMtgRatesDataTable811[[#This Row],[Rate]]-C5,M5)</f>
        <v>#VALUE!</v>
      </c>
      <c r="O6" s="78" t="s">
        <v>99</v>
      </c>
      <c r="P6" s="78">
        <v>6</v>
      </c>
      <c r="Q6" s="78">
        <v>0.2</v>
      </c>
      <c r="S6" s="105" t="s">
        <v>151</v>
      </c>
      <c r="T6" s="101">
        <v>2.7884908118762199</v>
      </c>
      <c r="U6" s="101" t="s">
        <v>107</v>
      </c>
    </row>
    <row r="7" spans="1:22" s="78" customFormat="1">
      <c r="A7" s="76" t="s">
        <v>117</v>
      </c>
      <c r="B7" s="6">
        <v>3.0544306669029599</v>
      </c>
      <c r="C7" s="6">
        <v>3.85</v>
      </c>
      <c r="D7" s="78">
        <f t="shared" si="0"/>
        <v>1</v>
      </c>
      <c r="E7" s="78">
        <f t="shared" si="1"/>
        <v>0.2</v>
      </c>
      <c r="F7" s="78">
        <f t="shared" si="2"/>
        <v>1</v>
      </c>
      <c r="G7" s="78">
        <f t="shared" si="3"/>
        <v>0.61088613338059206</v>
      </c>
      <c r="H7" s="78">
        <f t="shared" si="4"/>
        <v>0.2</v>
      </c>
      <c r="I7" s="78">
        <f t="shared" si="5"/>
        <v>0</v>
      </c>
      <c r="J7" s="77">
        <f>IF(CurrentMtgRatesDataTable811[[#This Row],[WA CC]]&lt;&gt;0,C6-CurrentMtgRatesDataTable811[[#This Row],[WA CC]],0)</f>
        <v>0</v>
      </c>
      <c r="K7" s="77">
        <f>IF(CurrentMtgRatesDataTable811[[#This Row],[Servicing Spread]]&lt;=0,K6,CurrentMtgRatesDataTable811[[#This Row],[Servicing Spread]])</f>
        <v>0.92435540190473953</v>
      </c>
      <c r="L7" s="77">
        <f>CurrentMtgRatesDataTable811[[#This Row],[Servicing Spread Non-Zero]]-K6</f>
        <v>0</v>
      </c>
      <c r="M7" s="77">
        <f>IF(I6&lt;&gt;0,CurrentMtgRatesDataTable811[[#This Row],[Rate]]-C6,M6)</f>
        <v>2.0000000000000018E-2</v>
      </c>
      <c r="O7" s="78" t="s">
        <v>100</v>
      </c>
      <c r="P7" s="78">
        <v>7</v>
      </c>
      <c r="Q7" s="78">
        <v>0.2</v>
      </c>
      <c r="S7" s="105" t="s">
        <v>152</v>
      </c>
      <c r="T7" s="101">
        <v>2.7702129413051901</v>
      </c>
      <c r="U7" s="101" t="s">
        <v>107</v>
      </c>
    </row>
    <row r="8" spans="1:22" s="78" customFormat="1">
      <c r="A8" s="76" t="s">
        <v>118</v>
      </c>
      <c r="B8" s="6">
        <v>2.9966381834712199</v>
      </c>
      <c r="C8" s="6">
        <v>3.85</v>
      </c>
      <c r="D8" s="78">
        <f t="shared" si="0"/>
        <v>2</v>
      </c>
      <c r="E8" s="78">
        <f t="shared" si="1"/>
        <v>0.2</v>
      </c>
      <c r="F8" s="78">
        <f t="shared" si="2"/>
        <v>2</v>
      </c>
      <c r="G8" s="78">
        <f t="shared" si="3"/>
        <v>1.2102137700748361</v>
      </c>
      <c r="H8" s="78">
        <f t="shared" si="4"/>
        <v>0.4</v>
      </c>
      <c r="I8" s="78">
        <f t="shared" si="5"/>
        <v>0</v>
      </c>
      <c r="J8" s="77">
        <f>IF(CurrentMtgRatesDataTable811[[#This Row],[WA CC]]&lt;&gt;0,C7-CurrentMtgRatesDataTable811[[#This Row],[WA CC]],0)</f>
        <v>0</v>
      </c>
      <c r="K8" s="77">
        <f>IF(CurrentMtgRatesDataTable811[[#This Row],[Servicing Spread]]&lt;=0,K7,CurrentMtgRatesDataTable811[[#This Row],[Servicing Spread]])</f>
        <v>0.92435540190473953</v>
      </c>
      <c r="L8" s="77">
        <f>CurrentMtgRatesDataTable811[[#This Row],[Servicing Spread Non-Zero]]-K7</f>
        <v>0</v>
      </c>
      <c r="M8" s="77">
        <f>IF(I7&lt;&gt;0,CurrentMtgRatesDataTable811[[#This Row],[Rate]]-C7,M7)</f>
        <v>2.0000000000000018E-2</v>
      </c>
      <c r="O8" s="78" t="s">
        <v>101</v>
      </c>
      <c r="P8" s="78">
        <v>1</v>
      </c>
      <c r="Q8" s="78">
        <v>0.2</v>
      </c>
      <c r="S8" s="105" t="s">
        <v>153</v>
      </c>
      <c r="T8" s="101">
        <v>2.7316832790579499</v>
      </c>
      <c r="U8" s="101" t="s">
        <v>107</v>
      </c>
    </row>
    <row r="9" spans="1:22" s="78" customFormat="1">
      <c r="A9" s="76" t="s">
        <v>119</v>
      </c>
      <c r="B9" s="6">
        <v>2.9498986890501602</v>
      </c>
      <c r="C9" s="6">
        <v>3.85</v>
      </c>
      <c r="D9" s="78">
        <f t="shared" si="0"/>
        <v>5</v>
      </c>
      <c r="E9" s="78">
        <f t="shared" si="1"/>
        <v>0.2</v>
      </c>
      <c r="F9" s="78">
        <f t="shared" si="2"/>
        <v>3</v>
      </c>
      <c r="G9" s="78">
        <f t="shared" si="3"/>
        <v>1.8001935078848681</v>
      </c>
      <c r="H9" s="78">
        <f t="shared" si="4"/>
        <v>0.60000000000000009</v>
      </c>
      <c r="I9" s="78">
        <f t="shared" si="5"/>
        <v>0</v>
      </c>
      <c r="J9" s="77">
        <f>IF(CurrentMtgRatesDataTable811[[#This Row],[WA CC]]&lt;&gt;0,C8-CurrentMtgRatesDataTable811[[#This Row],[WA CC]],0)</f>
        <v>0</v>
      </c>
      <c r="K9" s="77">
        <f>IF(CurrentMtgRatesDataTable811[[#This Row],[Servicing Spread]]&lt;=0,K8,CurrentMtgRatesDataTable811[[#This Row],[Servicing Spread]])</f>
        <v>0.92435540190473953</v>
      </c>
      <c r="L9" s="77">
        <f>CurrentMtgRatesDataTable811[[#This Row],[Servicing Spread Non-Zero]]-K8</f>
        <v>0</v>
      </c>
      <c r="M9" s="77">
        <f>IF(I8&lt;&gt;0,CurrentMtgRatesDataTable811[[#This Row],[Rate]]-C8,M8)</f>
        <v>2.0000000000000018E-2</v>
      </c>
      <c r="O9" s="78" t="s">
        <v>102</v>
      </c>
      <c r="P9" s="78">
        <v>2</v>
      </c>
      <c r="Q9" s="78">
        <v>0.2</v>
      </c>
      <c r="S9" s="105" t="s">
        <v>154</v>
      </c>
      <c r="T9" s="101">
        <v>2.73574020589367</v>
      </c>
      <c r="U9" s="101" t="s">
        <v>107</v>
      </c>
    </row>
    <row r="10" spans="1:22" s="78" customFormat="1">
      <c r="A10" s="76" t="s">
        <v>120</v>
      </c>
      <c r="B10" s="6">
        <v>2.97492729888162</v>
      </c>
      <c r="C10" s="6">
        <v>3.85</v>
      </c>
      <c r="D10" s="78">
        <f t="shared" si="0"/>
        <v>6</v>
      </c>
      <c r="E10" s="78">
        <f t="shared" si="1"/>
        <v>0.2</v>
      </c>
      <c r="F10" s="78">
        <f t="shared" si="2"/>
        <v>4</v>
      </c>
      <c r="G10" s="78">
        <f t="shared" si="3"/>
        <v>2.3951789676611921</v>
      </c>
      <c r="H10" s="78">
        <f t="shared" si="4"/>
        <v>0.8</v>
      </c>
      <c r="I10" s="78">
        <f t="shared" si="5"/>
        <v>0</v>
      </c>
      <c r="J10" s="77">
        <f>IF(CurrentMtgRatesDataTable811[[#This Row],[WA CC]]&lt;&gt;0,C9-CurrentMtgRatesDataTable811[[#This Row],[WA CC]],0)</f>
        <v>0</v>
      </c>
      <c r="K10" s="77">
        <f>IF(CurrentMtgRatesDataTable811[[#This Row],[Servicing Spread]]&lt;=0,K9,CurrentMtgRatesDataTable811[[#This Row],[Servicing Spread]])</f>
        <v>0.92435540190473953</v>
      </c>
      <c r="L10" s="77">
        <f>CurrentMtgRatesDataTable811[[#This Row],[Servicing Spread Non-Zero]]-K9</f>
        <v>0</v>
      </c>
      <c r="M10" s="77">
        <f>IF(I9&lt;&gt;0,CurrentMtgRatesDataTable811[[#This Row],[Rate]]-C9,M9)</f>
        <v>2.0000000000000018E-2</v>
      </c>
      <c r="O10" s="78" t="s">
        <v>103</v>
      </c>
      <c r="P10" s="78">
        <v>3</v>
      </c>
      <c r="Q10" s="78">
        <v>0</v>
      </c>
    </row>
    <row r="11" spans="1:22" s="78" customFormat="1">
      <c r="A11" s="76" t="s">
        <v>121</v>
      </c>
      <c r="B11" s="6">
        <v>2.9584562580557998</v>
      </c>
      <c r="C11" s="6">
        <v>3.85</v>
      </c>
      <c r="D11" s="78">
        <f t="shared" si="0"/>
        <v>7</v>
      </c>
      <c r="E11" s="78">
        <f t="shared" si="1"/>
        <v>0.2</v>
      </c>
      <c r="F11" s="78">
        <f t="shared" si="2"/>
        <v>5</v>
      </c>
      <c r="G11" s="78">
        <f t="shared" si="3"/>
        <v>2.986870219272352</v>
      </c>
      <c r="H11" s="78">
        <f t="shared" si="4"/>
        <v>1</v>
      </c>
      <c r="I11" s="78">
        <f t="shared" si="5"/>
        <v>2.986870219272352</v>
      </c>
      <c r="J11" s="77">
        <f>IF(CurrentMtgRatesDataTable811[[#This Row],[WA CC]]&lt;&gt;0,C10-CurrentMtgRatesDataTable811[[#This Row],[WA CC]],0)</f>
        <v>0.86312978072764812</v>
      </c>
      <c r="K11" s="77">
        <f>IF(CurrentMtgRatesDataTable811[[#This Row],[Servicing Spread]]&lt;=0,K10,CurrentMtgRatesDataTable811[[#This Row],[Servicing Spread]])</f>
        <v>0.86312978072764812</v>
      </c>
      <c r="L11" s="77">
        <f>CurrentMtgRatesDataTable811[[#This Row],[Servicing Spread Non-Zero]]-K10</f>
        <v>-6.1225621177091405E-2</v>
      </c>
      <c r="M11" s="77">
        <f>IF(I10&lt;&gt;0,CurrentMtgRatesDataTable811[[#This Row],[Rate]]-C10,M10)</f>
        <v>2.0000000000000018E-2</v>
      </c>
      <c r="O11" s="78" t="s">
        <v>104</v>
      </c>
      <c r="P11" s="78">
        <v>4</v>
      </c>
      <c r="Q11" s="78">
        <v>0</v>
      </c>
    </row>
    <row r="12" spans="1:22" s="78" customFormat="1">
      <c r="A12" s="76" t="s">
        <v>122</v>
      </c>
      <c r="B12" s="6">
        <v>2.9975278287112799</v>
      </c>
      <c r="C12" s="6">
        <v>3.87</v>
      </c>
      <c r="D12" s="78">
        <f t="shared" si="0"/>
        <v>1</v>
      </c>
      <c r="E12" s="78">
        <f t="shared" si="1"/>
        <v>0.2</v>
      </c>
      <c r="F12" s="78">
        <f t="shared" si="2"/>
        <v>1</v>
      </c>
      <c r="G12" s="78">
        <f t="shared" si="3"/>
        <v>0.599505565742256</v>
      </c>
      <c r="H12" s="78">
        <f t="shared" si="4"/>
        <v>0.2</v>
      </c>
      <c r="I12" s="78">
        <f t="shared" si="5"/>
        <v>0</v>
      </c>
      <c r="J12" s="77">
        <f>IF(CurrentMtgRatesDataTable811[[#This Row],[WA CC]]&lt;&gt;0,C11-CurrentMtgRatesDataTable811[[#This Row],[WA CC]],0)</f>
        <v>0</v>
      </c>
      <c r="K12" s="77">
        <f>IF(CurrentMtgRatesDataTable811[[#This Row],[Servicing Spread]]&lt;=0,K11,CurrentMtgRatesDataTable811[[#This Row],[Servicing Spread]])</f>
        <v>0.86312978072764812</v>
      </c>
      <c r="L12" s="77">
        <f>CurrentMtgRatesDataTable811[[#This Row],[Servicing Spread Non-Zero]]-K11</f>
        <v>0</v>
      </c>
      <c r="M12" s="77">
        <f>IF(I11&lt;&gt;0,CurrentMtgRatesDataTable811[[#This Row],[Rate]]-C11,M11)</f>
        <v>2.0000000000000018E-2</v>
      </c>
    </row>
    <row r="13" spans="1:22" s="78" customFormat="1">
      <c r="A13" s="76" t="s">
        <v>123</v>
      </c>
      <c r="B13" s="6">
        <v>2.93038775773327</v>
      </c>
      <c r="C13" s="6">
        <v>3.87</v>
      </c>
      <c r="D13" s="78">
        <f t="shared" si="0"/>
        <v>2</v>
      </c>
      <c r="E13" s="78">
        <f t="shared" si="1"/>
        <v>0.2</v>
      </c>
      <c r="F13" s="78">
        <f t="shared" si="2"/>
        <v>2</v>
      </c>
      <c r="G13" s="78">
        <f t="shared" si="3"/>
        <v>1.18558311728891</v>
      </c>
      <c r="H13" s="78">
        <f t="shared" si="4"/>
        <v>0.4</v>
      </c>
      <c r="I13" s="78">
        <f t="shared" si="5"/>
        <v>0</v>
      </c>
      <c r="J13" s="77">
        <f>IF(CurrentMtgRatesDataTable811[[#This Row],[WA CC]]&lt;&gt;0,C12-CurrentMtgRatesDataTable811[[#This Row],[WA CC]],0)</f>
        <v>0</v>
      </c>
      <c r="K13" s="77">
        <f>IF(CurrentMtgRatesDataTable811[[#This Row],[Servicing Spread]]&lt;=0,K12,CurrentMtgRatesDataTable811[[#This Row],[Servicing Spread]])</f>
        <v>0.86312978072764812</v>
      </c>
      <c r="L13" s="77">
        <f>CurrentMtgRatesDataTable811[[#This Row],[Servicing Spread Non-Zero]]-K12</f>
        <v>0</v>
      </c>
      <c r="M13" s="77">
        <f>IF(I12&lt;&gt;0,CurrentMtgRatesDataTable811[[#This Row],[Rate]]-C12,M12)</f>
        <v>2.0000000000000018E-2</v>
      </c>
    </row>
    <row r="14" spans="1:22" s="78" customFormat="1">
      <c r="A14" s="76" t="s">
        <v>124</v>
      </c>
      <c r="B14" s="6">
        <v>2.9956917661864102</v>
      </c>
      <c r="C14" s="6">
        <v>3.87</v>
      </c>
      <c r="D14" s="78">
        <f t="shared" si="0"/>
        <v>5</v>
      </c>
      <c r="E14" s="78">
        <f t="shared" si="1"/>
        <v>0.2</v>
      </c>
      <c r="F14" s="78">
        <f t="shared" si="2"/>
        <v>3</v>
      </c>
      <c r="G14" s="78">
        <f t="shared" si="3"/>
        <v>1.784721470526192</v>
      </c>
      <c r="H14" s="78">
        <f t="shared" si="4"/>
        <v>0.60000000000000009</v>
      </c>
      <c r="I14" s="78">
        <f t="shared" si="5"/>
        <v>0</v>
      </c>
      <c r="J14" s="77">
        <f>IF(CurrentMtgRatesDataTable811[[#This Row],[WA CC]]&lt;&gt;0,C13-CurrentMtgRatesDataTable811[[#This Row],[WA CC]],0)</f>
        <v>0</v>
      </c>
      <c r="K14" s="77">
        <f>IF(CurrentMtgRatesDataTable811[[#This Row],[Servicing Spread]]&lt;=0,K13,CurrentMtgRatesDataTable811[[#This Row],[Servicing Spread]])</f>
        <v>0.86312978072764812</v>
      </c>
      <c r="L14" s="77">
        <f>CurrentMtgRatesDataTable811[[#This Row],[Servicing Spread Non-Zero]]-K13</f>
        <v>0</v>
      </c>
      <c r="M14" s="77">
        <f>IF(I13&lt;&gt;0,CurrentMtgRatesDataTable811[[#This Row],[Rate]]-C13,M13)</f>
        <v>2.0000000000000018E-2</v>
      </c>
    </row>
    <row r="15" spans="1:22" s="78" customFormat="1">
      <c r="A15" s="76" t="s">
        <v>125</v>
      </c>
      <c r="B15" s="6">
        <v>3.0277544715368299</v>
      </c>
      <c r="C15" s="6">
        <v>3.87</v>
      </c>
      <c r="D15" s="78">
        <f t="shared" si="0"/>
        <v>6</v>
      </c>
      <c r="E15" s="78">
        <f t="shared" si="1"/>
        <v>0.2</v>
      </c>
      <c r="F15" s="78">
        <f t="shared" si="2"/>
        <v>4</v>
      </c>
      <c r="G15" s="78">
        <f t="shared" si="3"/>
        <v>2.390272364833558</v>
      </c>
      <c r="H15" s="78">
        <f t="shared" si="4"/>
        <v>0.8</v>
      </c>
      <c r="I15" s="78">
        <f t="shared" si="5"/>
        <v>0</v>
      </c>
      <c r="J15" s="77">
        <f>IF(CurrentMtgRatesDataTable811[[#This Row],[WA CC]]&lt;&gt;0,C14-CurrentMtgRatesDataTable811[[#This Row],[WA CC]],0)</f>
        <v>0</v>
      </c>
      <c r="K15" s="77">
        <f>IF(CurrentMtgRatesDataTable811[[#This Row],[Servicing Spread]]&lt;=0,K14,CurrentMtgRatesDataTable811[[#This Row],[Servicing Spread]])</f>
        <v>0.86312978072764812</v>
      </c>
      <c r="L15" s="77">
        <f>CurrentMtgRatesDataTable811[[#This Row],[Servicing Spread Non-Zero]]-K14</f>
        <v>0</v>
      </c>
      <c r="M15" s="77">
        <f>IF(I14&lt;&gt;0,CurrentMtgRatesDataTable811[[#This Row],[Rate]]-C14,M14)</f>
        <v>2.0000000000000018E-2</v>
      </c>
    </row>
    <row r="16" spans="1:22" s="78" customFormat="1">
      <c r="A16" s="76" t="s">
        <v>126</v>
      </c>
      <c r="B16" s="6">
        <v>3.0337070171743399</v>
      </c>
      <c r="C16" s="6">
        <v>3.87</v>
      </c>
      <c r="D16" s="78">
        <f t="shared" si="0"/>
        <v>7</v>
      </c>
      <c r="E16" s="78">
        <f t="shared" si="1"/>
        <v>0.2</v>
      </c>
      <c r="F16" s="78">
        <f t="shared" si="2"/>
        <v>5</v>
      </c>
      <c r="G16" s="78">
        <f t="shared" si="3"/>
        <v>2.9970137682684261</v>
      </c>
      <c r="H16" s="78">
        <f t="shared" si="4"/>
        <v>1</v>
      </c>
      <c r="I16" s="78">
        <f t="shared" si="5"/>
        <v>2.9970137682684261</v>
      </c>
      <c r="J16" s="77">
        <f>IF(CurrentMtgRatesDataTable811[[#This Row],[WA CC]]&lt;&gt;0,C15-CurrentMtgRatesDataTable811[[#This Row],[WA CC]],0)</f>
        <v>0.87298623173157397</v>
      </c>
      <c r="K16" s="77">
        <f>IF(CurrentMtgRatesDataTable811[[#This Row],[Servicing Spread]]&lt;=0,K15,CurrentMtgRatesDataTable811[[#This Row],[Servicing Spread]])</f>
        <v>0.87298623173157397</v>
      </c>
      <c r="L16" s="77">
        <f>CurrentMtgRatesDataTable811[[#This Row],[Servicing Spread Non-Zero]]-K15</f>
        <v>9.8564510039258479E-3</v>
      </c>
      <c r="M16" s="77">
        <f>IF(I15&lt;&gt;0,CurrentMtgRatesDataTable811[[#This Row],[Rate]]-C15,M15)</f>
        <v>2.0000000000000018E-2</v>
      </c>
    </row>
    <row r="17" spans="1:13" s="78" customFormat="1">
      <c r="A17" s="76" t="s">
        <v>127</v>
      </c>
      <c r="B17" s="6">
        <v>2.9938542795846499</v>
      </c>
      <c r="C17" s="6">
        <v>3.86</v>
      </c>
      <c r="D17" s="78">
        <f t="shared" si="0"/>
        <v>1</v>
      </c>
      <c r="E17" s="78">
        <f t="shared" si="1"/>
        <v>0.2</v>
      </c>
      <c r="F17" s="78">
        <f t="shared" si="2"/>
        <v>1</v>
      </c>
      <c r="G17" s="78">
        <f t="shared" si="3"/>
        <v>0.59877085591693002</v>
      </c>
      <c r="H17" s="78">
        <f t="shared" si="4"/>
        <v>0.2</v>
      </c>
      <c r="I17" s="78">
        <f t="shared" si="5"/>
        <v>0</v>
      </c>
      <c r="J17" s="77">
        <f>IF(CurrentMtgRatesDataTable811[[#This Row],[WA CC]]&lt;&gt;0,C16-CurrentMtgRatesDataTable811[[#This Row],[WA CC]],0)</f>
        <v>0</v>
      </c>
      <c r="K17" s="77">
        <f>IF(CurrentMtgRatesDataTable811[[#This Row],[Servicing Spread]]&lt;=0,K16,CurrentMtgRatesDataTable811[[#This Row],[Servicing Spread]])</f>
        <v>0.87298623173157397</v>
      </c>
      <c r="L17" s="77">
        <f>CurrentMtgRatesDataTable811[[#This Row],[Servicing Spread Non-Zero]]-K16</f>
        <v>0</v>
      </c>
      <c r="M17" s="77">
        <f>IF(I16&lt;&gt;0,CurrentMtgRatesDataTable811[[#This Row],[Rate]]-C16,M16)</f>
        <v>-1.0000000000000231E-2</v>
      </c>
    </row>
    <row r="18" spans="1:13" s="78" customFormat="1">
      <c r="A18" s="76" t="s">
        <v>128</v>
      </c>
      <c r="B18" s="6">
        <v>2.9654454819851401</v>
      </c>
      <c r="C18" s="6">
        <v>3.86</v>
      </c>
      <c r="D18" s="78">
        <f t="shared" si="0"/>
        <v>2</v>
      </c>
      <c r="E18" s="78">
        <f t="shared" si="1"/>
        <v>0.2</v>
      </c>
      <c r="F18" s="78">
        <f t="shared" si="2"/>
        <v>2</v>
      </c>
      <c r="G18" s="78">
        <f t="shared" si="3"/>
        <v>1.1918599523139579</v>
      </c>
      <c r="H18" s="78">
        <f t="shared" si="4"/>
        <v>0.4</v>
      </c>
      <c r="I18" s="78">
        <f t="shared" si="5"/>
        <v>0</v>
      </c>
      <c r="J18" s="77">
        <f>IF(CurrentMtgRatesDataTable811[[#This Row],[WA CC]]&lt;&gt;0,C17-CurrentMtgRatesDataTable811[[#This Row],[WA CC]],0)</f>
        <v>0</v>
      </c>
      <c r="K18" s="77">
        <f>IF(CurrentMtgRatesDataTable811[[#This Row],[Servicing Spread]]&lt;=0,K17,CurrentMtgRatesDataTable811[[#This Row],[Servicing Spread]])</f>
        <v>0.87298623173157397</v>
      </c>
      <c r="L18" s="77">
        <f>CurrentMtgRatesDataTable811[[#This Row],[Servicing Spread Non-Zero]]-K17</f>
        <v>0</v>
      </c>
      <c r="M18" s="77">
        <f>IF(I17&lt;&gt;0,CurrentMtgRatesDataTable811[[#This Row],[Rate]]-C17,M17)</f>
        <v>-1.0000000000000231E-2</v>
      </c>
    </row>
    <row r="19" spans="1:13" s="78" customFormat="1">
      <c r="A19" s="76" t="s">
        <v>129</v>
      </c>
      <c r="B19" s="6">
        <v>2.9731174036640602</v>
      </c>
      <c r="C19" s="6">
        <v>3.86</v>
      </c>
      <c r="D19" s="78">
        <f t="shared" si="0"/>
        <v>5</v>
      </c>
      <c r="E19" s="78">
        <f t="shared" si="1"/>
        <v>0.2</v>
      </c>
      <c r="F19" s="78">
        <f t="shared" si="2"/>
        <v>3</v>
      </c>
      <c r="G19" s="78">
        <f t="shared" si="3"/>
        <v>1.78648343304677</v>
      </c>
      <c r="H19" s="78">
        <f t="shared" si="4"/>
        <v>0.60000000000000009</v>
      </c>
      <c r="I19" s="78">
        <f t="shared" si="5"/>
        <v>0</v>
      </c>
      <c r="J19" s="77">
        <f>IF(CurrentMtgRatesDataTable811[[#This Row],[WA CC]]&lt;&gt;0,C18-CurrentMtgRatesDataTable811[[#This Row],[WA CC]],0)</f>
        <v>0</v>
      </c>
      <c r="K19" s="77">
        <f>IF(CurrentMtgRatesDataTable811[[#This Row],[Servicing Spread]]&lt;=0,K18,CurrentMtgRatesDataTable811[[#This Row],[Servicing Spread]])</f>
        <v>0.87298623173157397</v>
      </c>
      <c r="L19" s="77">
        <f>CurrentMtgRatesDataTable811[[#This Row],[Servicing Spread Non-Zero]]-K18</f>
        <v>0</v>
      </c>
      <c r="M19" s="77">
        <f>IF(I18&lt;&gt;0,CurrentMtgRatesDataTable811[[#This Row],[Rate]]-C18,M18)</f>
        <v>-1.0000000000000231E-2</v>
      </c>
    </row>
    <row r="20" spans="1:13" s="78" customFormat="1">
      <c r="A20" s="76" t="s">
        <v>130</v>
      </c>
      <c r="B20" s="6">
        <v>3.0177597197552002</v>
      </c>
      <c r="C20" s="6">
        <v>3.86</v>
      </c>
      <c r="D20" s="78">
        <f t="shared" si="0"/>
        <v>6</v>
      </c>
      <c r="E20" s="78">
        <f t="shared" si="1"/>
        <v>0.2</v>
      </c>
      <c r="F20" s="78">
        <f t="shared" si="2"/>
        <v>4</v>
      </c>
      <c r="G20" s="78">
        <f t="shared" si="3"/>
        <v>2.39003537699781</v>
      </c>
      <c r="H20" s="78">
        <f t="shared" si="4"/>
        <v>0.8</v>
      </c>
      <c r="I20" s="78">
        <f t="shared" si="5"/>
        <v>0</v>
      </c>
      <c r="J20" s="77">
        <f>IF(CurrentMtgRatesDataTable811[[#This Row],[WA CC]]&lt;&gt;0,C19-CurrentMtgRatesDataTable811[[#This Row],[WA CC]],0)</f>
        <v>0</v>
      </c>
      <c r="K20" s="77">
        <f>IF(CurrentMtgRatesDataTable811[[#This Row],[Servicing Spread]]&lt;=0,K19,CurrentMtgRatesDataTable811[[#This Row],[Servicing Spread]])</f>
        <v>0.87298623173157397</v>
      </c>
      <c r="L20" s="77">
        <f>CurrentMtgRatesDataTable811[[#This Row],[Servicing Spread Non-Zero]]-K19</f>
        <v>0</v>
      </c>
      <c r="M20" s="77">
        <f>IF(I19&lt;&gt;0,CurrentMtgRatesDataTable811[[#This Row],[Rate]]-C19,M19)</f>
        <v>-1.0000000000000231E-2</v>
      </c>
    </row>
    <row r="21" spans="1:13" s="78" customFormat="1">
      <c r="A21" s="76" t="s">
        <v>131</v>
      </c>
      <c r="B21" s="6">
        <v>3.0426080275796101</v>
      </c>
      <c r="C21" s="6">
        <v>3.86</v>
      </c>
      <c r="D21" s="78">
        <f t="shared" si="0"/>
        <v>7</v>
      </c>
      <c r="E21" s="78">
        <f t="shared" si="1"/>
        <v>0.2</v>
      </c>
      <c r="F21" s="78">
        <f t="shared" si="2"/>
        <v>5</v>
      </c>
      <c r="G21" s="78">
        <f t="shared" si="3"/>
        <v>2.9985569825137319</v>
      </c>
      <c r="H21" s="78">
        <f t="shared" si="4"/>
        <v>1</v>
      </c>
      <c r="I21" s="78">
        <f t="shared" si="5"/>
        <v>2.9985569825137319</v>
      </c>
      <c r="J21" s="77">
        <f>IF(CurrentMtgRatesDataTable811[[#This Row],[WA CC]]&lt;&gt;0,C20-CurrentMtgRatesDataTable811[[#This Row],[WA CC]],0)</f>
        <v>0.86144301748626795</v>
      </c>
      <c r="K21" s="77">
        <f>IF(CurrentMtgRatesDataTable811[[#This Row],[Servicing Spread]]&lt;=0,K20,CurrentMtgRatesDataTable811[[#This Row],[Servicing Spread]])</f>
        <v>0.86144301748626795</v>
      </c>
      <c r="L21" s="77">
        <f>CurrentMtgRatesDataTable811[[#This Row],[Servicing Spread Non-Zero]]-K20</f>
        <v>-1.1543214245306022E-2</v>
      </c>
      <c r="M21" s="77">
        <f>IF(I20&lt;&gt;0,CurrentMtgRatesDataTable811[[#This Row],[Rate]]-C20,M20)</f>
        <v>-1.0000000000000231E-2</v>
      </c>
    </row>
    <row r="22" spans="1:13" s="78" customFormat="1">
      <c r="A22" s="87" t="s">
        <v>132</v>
      </c>
      <c r="B22" s="89">
        <v>3.0275766664066102</v>
      </c>
      <c r="C22" s="90">
        <v>3.9099999999999997</v>
      </c>
      <c r="D22" s="88">
        <f t="shared" si="0"/>
        <v>1</v>
      </c>
      <c r="E22" s="88">
        <f t="shared" si="1"/>
        <v>0.2</v>
      </c>
      <c r="F22" s="88">
        <f t="shared" si="2"/>
        <v>1</v>
      </c>
      <c r="G22" s="88">
        <f t="shared" si="3"/>
        <v>0.60551533328132212</v>
      </c>
      <c r="H22" s="88">
        <f t="shared" si="4"/>
        <v>0.2</v>
      </c>
      <c r="I22" s="88">
        <f t="shared" si="5"/>
        <v>0</v>
      </c>
      <c r="J22" s="88">
        <f>IF(CurrentMtgRatesDataTable811[[#This Row],[WA CC]]&lt;&gt;0,C21-CurrentMtgRatesDataTable811[[#This Row],[WA CC]],0)</f>
        <v>0</v>
      </c>
      <c r="K22" s="88">
        <f>IF(CurrentMtgRatesDataTable811[[#This Row],[Servicing Spread]]&lt;=0,K21,CurrentMtgRatesDataTable811[[#This Row],[Servicing Spread]])</f>
        <v>0.86144301748626795</v>
      </c>
      <c r="L22" s="88">
        <f>CurrentMtgRatesDataTable811[[#This Row],[Servicing Spread Non-Zero]]-K21</f>
        <v>0</v>
      </c>
      <c r="M22" s="88">
        <f>IF(I21&lt;&gt;0,CurrentMtgRatesDataTable811[[#This Row],[Rate]]-C21,M21)</f>
        <v>4.9999999999999822E-2</v>
      </c>
    </row>
    <row r="23" spans="1:13" s="78" customFormat="1">
      <c r="A23" s="87" t="s">
        <v>134</v>
      </c>
      <c r="B23" s="89">
        <v>3.0029644484734299</v>
      </c>
      <c r="C23" s="90">
        <v>3.9099999999999997</v>
      </c>
      <c r="D23" s="88">
        <f t="shared" si="0"/>
        <v>5</v>
      </c>
      <c r="E23" s="88">
        <f t="shared" si="1"/>
        <v>0.2</v>
      </c>
      <c r="F23" s="88">
        <f t="shared" si="2"/>
        <v>2</v>
      </c>
      <c r="G23" s="88">
        <f t="shared" si="3"/>
        <v>1.2061082229760083</v>
      </c>
      <c r="H23" s="88">
        <f t="shared" si="4"/>
        <v>0.4</v>
      </c>
      <c r="I23" s="88">
        <f t="shared" si="5"/>
        <v>0</v>
      </c>
      <c r="J23" s="88">
        <f>IF(CurrentMtgRatesDataTable811[[#This Row],[WA CC]]&lt;&gt;0,C22-CurrentMtgRatesDataTable811[[#This Row],[WA CC]],0)</f>
        <v>0</v>
      </c>
      <c r="K23" s="88">
        <f>IF(CurrentMtgRatesDataTable811[[#This Row],[Servicing Spread]]&lt;=0,K22,CurrentMtgRatesDataTable811[[#This Row],[Servicing Spread]])</f>
        <v>0.86144301748626795</v>
      </c>
      <c r="L23" s="88">
        <f>CurrentMtgRatesDataTable811[[#This Row],[Servicing Spread Non-Zero]]-K22</f>
        <v>0</v>
      </c>
      <c r="M23" s="88">
        <f>IF(I22&lt;&gt;0,CurrentMtgRatesDataTable811[[#This Row],[Rate]]-C22,M22)</f>
        <v>4.9999999999999822E-2</v>
      </c>
    </row>
    <row r="24" spans="1:13" s="78" customFormat="1">
      <c r="A24" s="87" t="s">
        <v>135</v>
      </c>
      <c r="B24" s="89">
        <v>3.05738829293283</v>
      </c>
      <c r="C24" s="90">
        <v>3.9099999999999997</v>
      </c>
      <c r="D24" s="88">
        <f t="shared" si="0"/>
        <v>6</v>
      </c>
      <c r="E24" s="88">
        <f t="shared" si="1"/>
        <v>0.2</v>
      </c>
      <c r="F24" s="88">
        <f t="shared" si="2"/>
        <v>3</v>
      </c>
      <c r="G24" s="88">
        <f t="shared" si="3"/>
        <v>1.8175858815625743</v>
      </c>
      <c r="H24" s="88">
        <f t="shared" si="4"/>
        <v>0.60000000000000009</v>
      </c>
      <c r="I24" s="88">
        <f t="shared" si="5"/>
        <v>0</v>
      </c>
      <c r="J24" s="88">
        <f>IF(CurrentMtgRatesDataTable811[[#This Row],[WA CC]]&lt;&gt;0,C23-CurrentMtgRatesDataTable811[[#This Row],[WA CC]],0)</f>
        <v>0</v>
      </c>
      <c r="K24" s="88">
        <f>IF(CurrentMtgRatesDataTable811[[#This Row],[Servicing Spread]]&lt;=0,K23,CurrentMtgRatesDataTable811[[#This Row],[Servicing Spread]])</f>
        <v>0.86144301748626795</v>
      </c>
      <c r="L24" s="88">
        <f>CurrentMtgRatesDataTable811[[#This Row],[Servicing Spread Non-Zero]]-K23</f>
        <v>0</v>
      </c>
      <c r="M24" s="88">
        <f>IF(I23&lt;&gt;0,CurrentMtgRatesDataTable811[[#This Row],[Rate]]-C23,M23)</f>
        <v>4.9999999999999822E-2</v>
      </c>
    </row>
    <row r="25" spans="1:13" s="78" customFormat="1">
      <c r="A25" s="92" t="s">
        <v>136</v>
      </c>
      <c r="B25" s="93">
        <v>3.0484600868524701</v>
      </c>
      <c r="C25" s="94">
        <v>3.9099999999999997</v>
      </c>
      <c r="D25" s="91">
        <f t="shared" si="0"/>
        <v>7</v>
      </c>
      <c r="E25" s="91">
        <f t="shared" si="1"/>
        <v>0.2</v>
      </c>
      <c r="F25" s="91">
        <f t="shared" si="2"/>
        <v>4</v>
      </c>
      <c r="G25" s="91">
        <f t="shared" si="3"/>
        <v>2.4272778989330686</v>
      </c>
      <c r="H25" s="91">
        <f t="shared" si="4"/>
        <v>0.8</v>
      </c>
      <c r="I25" s="91">
        <f t="shared" si="5"/>
        <v>3.0340973736663357</v>
      </c>
      <c r="J25" s="91">
        <f>IF(CurrentMtgRatesDataTable811[[#This Row],[WA CC]]&lt;&gt;0,C24-CurrentMtgRatesDataTable811[[#This Row],[WA CC]],0)</f>
        <v>0.875902626333664</v>
      </c>
      <c r="K25" s="91">
        <f>IF(CurrentMtgRatesDataTable811[[#This Row],[Servicing Spread]]&lt;=0,K24,CurrentMtgRatesDataTable811[[#This Row],[Servicing Spread]])</f>
        <v>0.875902626333664</v>
      </c>
      <c r="L25" s="91">
        <f>CurrentMtgRatesDataTable811[[#This Row],[Servicing Spread Non-Zero]]-K24</f>
        <v>1.4459608847396055E-2</v>
      </c>
      <c r="M25" s="91">
        <f>IF(I24&lt;&gt;0,CurrentMtgRatesDataTable811[[#This Row],[Rate]]-C24,M24)</f>
        <v>4.9999999999999822E-2</v>
      </c>
    </row>
    <row r="26" spans="1:13" s="78" customFormat="1">
      <c r="A26" s="92" t="s">
        <v>137</v>
      </c>
      <c r="B26" s="93">
        <v>3.0053894082817201</v>
      </c>
      <c r="C26" s="94">
        <v>3.87</v>
      </c>
      <c r="D26" s="91">
        <f t="shared" si="0"/>
        <v>1</v>
      </c>
      <c r="E26" s="91">
        <f t="shared" si="1"/>
        <v>0.2</v>
      </c>
      <c r="F26" s="91">
        <f t="shared" si="2"/>
        <v>1</v>
      </c>
      <c r="G26" s="91">
        <f t="shared" si="3"/>
        <v>0.60107788165634402</v>
      </c>
      <c r="H26" s="91">
        <f t="shared" si="4"/>
        <v>0.2</v>
      </c>
      <c r="I26" s="91">
        <f t="shared" si="5"/>
        <v>0</v>
      </c>
      <c r="J26" s="91">
        <f>IF(CurrentMtgRatesDataTable811[[#This Row],[WA CC]]&lt;&gt;0,C25-CurrentMtgRatesDataTable811[[#This Row],[WA CC]],0)</f>
        <v>0</v>
      </c>
      <c r="K26" s="91">
        <f>IF(CurrentMtgRatesDataTable811[[#This Row],[Servicing Spread]]&lt;=0,K25,CurrentMtgRatesDataTable811[[#This Row],[Servicing Spread]])</f>
        <v>0.875902626333664</v>
      </c>
      <c r="L26" s="91">
        <f>CurrentMtgRatesDataTable811[[#This Row],[Servicing Spread Non-Zero]]-K25</f>
        <v>0</v>
      </c>
      <c r="M26" s="91">
        <f>IF(I25&lt;&gt;0,CurrentMtgRatesDataTable811[[#This Row],[Rate]]-C25,M25)</f>
        <v>-3.9999999999999591E-2</v>
      </c>
    </row>
    <row r="27" spans="1:13" s="78" customFormat="1">
      <c r="A27" s="92" t="s">
        <v>138</v>
      </c>
      <c r="B27" s="93">
        <v>2.993452685197</v>
      </c>
      <c r="C27" s="94">
        <v>3.87</v>
      </c>
      <c r="D27" s="91">
        <f t="shared" si="0"/>
        <v>5</v>
      </c>
      <c r="E27" s="91">
        <f t="shared" si="1"/>
        <v>0.2</v>
      </c>
      <c r="F27" s="91">
        <f t="shared" si="2"/>
        <v>2</v>
      </c>
      <c r="G27" s="91">
        <f t="shared" si="3"/>
        <v>1.199768418695744</v>
      </c>
      <c r="H27" s="91">
        <f t="shared" si="4"/>
        <v>0.4</v>
      </c>
      <c r="I27" s="91">
        <f t="shared" si="5"/>
        <v>0</v>
      </c>
      <c r="J27" s="91">
        <f>IF(CurrentMtgRatesDataTable811[[#This Row],[WA CC]]&lt;&gt;0,C26-CurrentMtgRatesDataTable811[[#This Row],[WA CC]],0)</f>
        <v>0</v>
      </c>
      <c r="K27" s="91">
        <f>IF(CurrentMtgRatesDataTable811[[#This Row],[Servicing Spread]]&lt;=0,K26,CurrentMtgRatesDataTable811[[#This Row],[Servicing Spread]])</f>
        <v>0.875902626333664</v>
      </c>
      <c r="L27" s="91">
        <f>CurrentMtgRatesDataTable811[[#This Row],[Servicing Spread Non-Zero]]-K26</f>
        <v>0</v>
      </c>
      <c r="M27" s="91">
        <f>IF(I26&lt;&gt;0,CurrentMtgRatesDataTable811[[#This Row],[Rate]]-C26,M26)</f>
        <v>-3.9999999999999591E-2</v>
      </c>
    </row>
    <row r="28" spans="1:13" s="78" customFormat="1">
      <c r="A28" s="92" t="s">
        <v>139</v>
      </c>
      <c r="B28" s="93">
        <v>2.99513727920968</v>
      </c>
      <c r="C28" s="94">
        <v>3.87</v>
      </c>
      <c r="D28" s="91">
        <f t="shared" si="0"/>
        <v>6</v>
      </c>
      <c r="E28" s="91">
        <f t="shared" si="1"/>
        <v>0.2</v>
      </c>
      <c r="F28" s="91">
        <f t="shared" si="2"/>
        <v>3</v>
      </c>
      <c r="G28" s="91">
        <f t="shared" si="3"/>
        <v>1.7987958745376802</v>
      </c>
      <c r="H28" s="91">
        <f t="shared" si="4"/>
        <v>0.60000000000000009</v>
      </c>
      <c r="I28" s="91">
        <f t="shared" si="5"/>
        <v>0</v>
      </c>
      <c r="J28" s="91">
        <f>IF(CurrentMtgRatesDataTable811[[#This Row],[WA CC]]&lt;&gt;0,C27-CurrentMtgRatesDataTable811[[#This Row],[WA CC]],0)</f>
        <v>0</v>
      </c>
      <c r="K28" s="91">
        <f>IF(CurrentMtgRatesDataTable811[[#This Row],[Servicing Spread]]&lt;=0,K27,CurrentMtgRatesDataTable811[[#This Row],[Servicing Spread]])</f>
        <v>0.875902626333664</v>
      </c>
      <c r="L28" s="91">
        <f>CurrentMtgRatesDataTable811[[#This Row],[Servicing Spread Non-Zero]]-K27</f>
        <v>0</v>
      </c>
      <c r="M28" s="91">
        <f>IF(I27&lt;&gt;0,CurrentMtgRatesDataTable811[[#This Row],[Rate]]-C27,M27)</f>
        <v>-3.9999999999999591E-2</v>
      </c>
    </row>
    <row r="29" spans="1:13" s="78" customFormat="1">
      <c r="A29" s="92" t="s">
        <v>140</v>
      </c>
      <c r="B29" s="93">
        <v>2.9334005201837599</v>
      </c>
      <c r="C29" s="94">
        <v>3.87</v>
      </c>
      <c r="D29" s="91">
        <f t="shared" si="0"/>
        <v>7</v>
      </c>
      <c r="E29" s="91">
        <f t="shared" si="1"/>
        <v>0.2</v>
      </c>
      <c r="F29" s="91">
        <f t="shared" si="2"/>
        <v>4</v>
      </c>
      <c r="G29" s="91">
        <f t="shared" si="3"/>
        <v>2.3854759785744322</v>
      </c>
      <c r="H29" s="91">
        <f t="shared" si="4"/>
        <v>0.8</v>
      </c>
      <c r="I29" s="91">
        <f t="shared" si="5"/>
        <v>2.9818449732180401</v>
      </c>
      <c r="J29" s="91">
        <f>IF(CurrentMtgRatesDataTable811[[#This Row],[WA CC]]&lt;&gt;0,C28-CurrentMtgRatesDataTable811[[#This Row],[WA CC]],0)</f>
        <v>0.88815502678196001</v>
      </c>
      <c r="K29" s="91">
        <f>IF(CurrentMtgRatesDataTable811[[#This Row],[Servicing Spread]]&lt;=0,K28,CurrentMtgRatesDataTable811[[#This Row],[Servicing Spread]])</f>
        <v>0.88815502678196001</v>
      </c>
      <c r="L29" s="91">
        <f>CurrentMtgRatesDataTable811[[#This Row],[Servicing Spread Non-Zero]]-K28</f>
        <v>1.2252400448296008E-2</v>
      </c>
      <c r="M29" s="91">
        <f>IF(I28&lt;&gt;0,CurrentMtgRatesDataTable811[[#This Row],[Rate]]-C28,M28)</f>
        <v>-3.9999999999999591E-2</v>
      </c>
    </row>
    <row r="30" spans="1:13" s="78" customFormat="1">
      <c r="A30" s="92" t="s">
        <v>141</v>
      </c>
      <c r="B30" s="93">
        <v>2.9119506998989602</v>
      </c>
      <c r="C30" s="94">
        <v>3.82</v>
      </c>
      <c r="D30" s="91">
        <f t="shared" si="0"/>
        <v>1</v>
      </c>
      <c r="E30" s="91">
        <f t="shared" si="1"/>
        <v>0.2</v>
      </c>
      <c r="F30" s="91">
        <f t="shared" si="2"/>
        <v>1</v>
      </c>
      <c r="G30" s="91">
        <f t="shared" si="3"/>
        <v>0.58239013997979205</v>
      </c>
      <c r="H30" s="91">
        <f t="shared" si="4"/>
        <v>0.2</v>
      </c>
      <c r="I30" s="91">
        <f t="shared" si="5"/>
        <v>0</v>
      </c>
      <c r="J30" s="91">
        <f>IF(CurrentMtgRatesDataTable811[[#This Row],[WA CC]]&lt;&gt;0,C29-CurrentMtgRatesDataTable811[[#This Row],[WA CC]],0)</f>
        <v>0</v>
      </c>
      <c r="K30" s="91">
        <f>IF(CurrentMtgRatesDataTable811[[#This Row],[Servicing Spread]]&lt;=0,K29,CurrentMtgRatesDataTable811[[#This Row],[Servicing Spread]])</f>
        <v>0.88815502678196001</v>
      </c>
      <c r="L30" s="91">
        <f>CurrentMtgRatesDataTable811[[#This Row],[Servicing Spread Non-Zero]]-K29</f>
        <v>0</v>
      </c>
      <c r="M30" s="91">
        <f>IF(I29&lt;&gt;0,CurrentMtgRatesDataTable811[[#This Row],[Rate]]-C29,M29)</f>
        <v>-5.0000000000000266E-2</v>
      </c>
    </row>
    <row r="31" spans="1:13" s="78" customFormat="1">
      <c r="A31" s="92" t="s">
        <v>142</v>
      </c>
      <c r="B31" s="93">
        <v>2.88545680781831</v>
      </c>
      <c r="C31" s="94">
        <v>3.82</v>
      </c>
      <c r="D31" s="91">
        <f t="shared" si="0"/>
        <v>2</v>
      </c>
      <c r="E31" s="91">
        <f t="shared" si="1"/>
        <v>0.2</v>
      </c>
      <c r="F31" s="91">
        <f t="shared" si="2"/>
        <v>2</v>
      </c>
      <c r="G31" s="91">
        <f t="shared" si="3"/>
        <v>1.1594815015434541</v>
      </c>
      <c r="H31" s="91">
        <f t="shared" si="4"/>
        <v>0.4</v>
      </c>
      <c r="I31" s="91">
        <f t="shared" si="5"/>
        <v>0</v>
      </c>
      <c r="J31" s="91">
        <f>IF(CurrentMtgRatesDataTable811[[#This Row],[WA CC]]&lt;&gt;0,C30-CurrentMtgRatesDataTable811[[#This Row],[WA CC]],0)</f>
        <v>0</v>
      </c>
      <c r="K31" s="91">
        <f>IF(CurrentMtgRatesDataTable811[[#This Row],[Servicing Spread]]&lt;=0,K30,CurrentMtgRatesDataTable811[[#This Row],[Servicing Spread]])</f>
        <v>0.88815502678196001</v>
      </c>
      <c r="L31" s="91">
        <f>CurrentMtgRatesDataTable811[[#This Row],[Servicing Spread Non-Zero]]-K30</f>
        <v>0</v>
      </c>
      <c r="M31" s="91">
        <f>IF(I30&lt;&gt;0,CurrentMtgRatesDataTable811[[#This Row],[Rate]]-C30,M30)</f>
        <v>-5.0000000000000266E-2</v>
      </c>
    </row>
    <row r="32" spans="1:13" s="78" customFormat="1">
      <c r="A32" s="92" t="s">
        <v>143</v>
      </c>
      <c r="B32" s="93">
        <v>2.8978342309890999</v>
      </c>
      <c r="C32" s="94">
        <v>3.82</v>
      </c>
      <c r="D32" s="91">
        <f t="shared" si="0"/>
        <v>5</v>
      </c>
      <c r="E32" s="91">
        <f t="shared" si="1"/>
        <v>0.2</v>
      </c>
      <c r="F32" s="91">
        <f t="shared" si="2"/>
        <v>3</v>
      </c>
      <c r="G32" s="91">
        <f t="shared" si="3"/>
        <v>1.7390483477412739</v>
      </c>
      <c r="H32" s="91">
        <f t="shared" si="4"/>
        <v>0.60000000000000009</v>
      </c>
      <c r="I32" s="91">
        <f t="shared" si="5"/>
        <v>0</v>
      </c>
      <c r="J32" s="91">
        <f>IF(CurrentMtgRatesDataTable811[[#This Row],[WA CC]]&lt;&gt;0,C31-CurrentMtgRatesDataTable811[[#This Row],[WA CC]],0)</f>
        <v>0</v>
      </c>
      <c r="K32" s="91">
        <f>IF(CurrentMtgRatesDataTable811[[#This Row],[Servicing Spread]]&lt;=0,K31,CurrentMtgRatesDataTable811[[#This Row],[Servicing Spread]])</f>
        <v>0.88815502678196001</v>
      </c>
      <c r="L32" s="91">
        <f>CurrentMtgRatesDataTable811[[#This Row],[Servicing Spread Non-Zero]]-K31</f>
        <v>0</v>
      </c>
      <c r="M32" s="91">
        <f>IF(I31&lt;&gt;0,CurrentMtgRatesDataTable811[[#This Row],[Rate]]-C31,M31)</f>
        <v>-5.0000000000000266E-2</v>
      </c>
    </row>
    <row r="33" spans="1:22" s="78" customFormat="1">
      <c r="A33" s="92" t="s">
        <v>144</v>
      </c>
      <c r="B33" s="93">
        <v>2.8424738889513801</v>
      </c>
      <c r="C33" s="94">
        <v>3.82</v>
      </c>
      <c r="D33" s="91">
        <f t="shared" si="0"/>
        <v>6</v>
      </c>
      <c r="E33" s="91">
        <f t="shared" si="1"/>
        <v>0.2</v>
      </c>
      <c r="F33" s="91">
        <f t="shared" si="2"/>
        <v>4</v>
      </c>
      <c r="G33" s="91">
        <f t="shared" si="3"/>
        <v>2.3075431255315499</v>
      </c>
      <c r="H33" s="91">
        <f t="shared" si="4"/>
        <v>0.8</v>
      </c>
      <c r="I33" s="91">
        <f t="shared" si="5"/>
        <v>0</v>
      </c>
      <c r="J33" s="91">
        <f>IF(CurrentMtgRatesDataTable811[[#This Row],[WA CC]]&lt;&gt;0,C32-CurrentMtgRatesDataTable811[[#This Row],[WA CC]],0)</f>
        <v>0</v>
      </c>
      <c r="K33" s="91">
        <f>IF(CurrentMtgRatesDataTable811[[#This Row],[Servicing Spread]]&lt;=0,K32,CurrentMtgRatesDataTable811[[#This Row],[Servicing Spread]])</f>
        <v>0.88815502678196001</v>
      </c>
      <c r="L33" s="91">
        <f>CurrentMtgRatesDataTable811[[#This Row],[Servicing Spread Non-Zero]]-K32</f>
        <v>0</v>
      </c>
      <c r="M33" s="91">
        <f>IF(I32&lt;&gt;0,CurrentMtgRatesDataTable811[[#This Row],[Rate]]-C32,M32)</f>
        <v>-5.0000000000000266E-2</v>
      </c>
    </row>
    <row r="34" spans="1:22" s="78" customFormat="1">
      <c r="A34" s="92" t="s">
        <v>145</v>
      </c>
      <c r="B34" s="93">
        <v>2.8127941632470699</v>
      </c>
      <c r="C34" s="94">
        <v>3.82</v>
      </c>
      <c r="D34" s="91">
        <f t="shared" si="0"/>
        <v>7</v>
      </c>
      <c r="E34" s="91">
        <f t="shared" si="1"/>
        <v>0.2</v>
      </c>
      <c r="F34" s="91">
        <f t="shared" si="2"/>
        <v>5</v>
      </c>
      <c r="G34" s="91">
        <f t="shared" si="3"/>
        <v>2.8701019581809639</v>
      </c>
      <c r="H34" s="91">
        <f t="shared" si="4"/>
        <v>1</v>
      </c>
      <c r="I34" s="91">
        <f t="shared" si="5"/>
        <v>2.8701019581809639</v>
      </c>
      <c r="J34" s="91">
        <f>IF(CurrentMtgRatesDataTable811[[#This Row],[WA CC]]&lt;&gt;0,C33-CurrentMtgRatesDataTable811[[#This Row],[WA CC]],0)</f>
        <v>0.94989804181903592</v>
      </c>
      <c r="K34" s="91">
        <f>IF(CurrentMtgRatesDataTable811[[#This Row],[Servicing Spread]]&lt;=0,K33,CurrentMtgRatesDataTable811[[#This Row],[Servicing Spread]])</f>
        <v>0.94989804181903592</v>
      </c>
      <c r="L34" s="91">
        <f>CurrentMtgRatesDataTable811[[#This Row],[Servicing Spread Non-Zero]]-K33</f>
        <v>6.174301503707591E-2</v>
      </c>
      <c r="M34" s="91">
        <f>IF(I33&lt;&gt;0,CurrentMtgRatesDataTable811[[#This Row],[Rate]]-C33,M33)</f>
        <v>-5.0000000000000266E-2</v>
      </c>
    </row>
    <row r="35" spans="1:22" s="78" customFormat="1">
      <c r="A35" s="98" t="s">
        <v>146</v>
      </c>
      <c r="B35" s="99">
        <v>2.82567876803239</v>
      </c>
      <c r="C35" s="100">
        <v>3.71</v>
      </c>
      <c r="D35" s="101">
        <f t="shared" si="0"/>
        <v>1</v>
      </c>
      <c r="E35" s="101">
        <f t="shared" si="1"/>
        <v>0.2</v>
      </c>
      <c r="F35" s="101">
        <f t="shared" si="2"/>
        <v>1</v>
      </c>
      <c r="G35" s="101">
        <f t="shared" si="3"/>
        <v>0.56513575360647805</v>
      </c>
      <c r="H35" s="101">
        <f t="shared" si="4"/>
        <v>0.2</v>
      </c>
      <c r="I35" s="101">
        <f t="shared" si="5"/>
        <v>0</v>
      </c>
      <c r="J35" s="101">
        <f>IF(CurrentMtgRatesDataTable811[[#This Row],[WA CC]]&lt;&gt;0,C34-CurrentMtgRatesDataTable811[[#This Row],[WA CC]],0)</f>
        <v>0</v>
      </c>
      <c r="K35" s="101">
        <f>IF(CurrentMtgRatesDataTable811[[#This Row],[Servicing Spread]]&lt;=0,K34,CurrentMtgRatesDataTable811[[#This Row],[Servicing Spread]])</f>
        <v>0.94989804181903592</v>
      </c>
      <c r="L35" s="101">
        <f>CurrentMtgRatesDataTable811[[#This Row],[Servicing Spread Non-Zero]]-K34</f>
        <v>0</v>
      </c>
      <c r="M35" s="101">
        <f>IF(I34&lt;&gt;0,CurrentMtgRatesDataTable811[[#This Row],[Rate]]-C34,M34)</f>
        <v>-0.10999999999999988</v>
      </c>
    </row>
    <row r="36" spans="1:22" s="78" customFormat="1">
      <c r="A36" s="98" t="s">
        <v>147</v>
      </c>
      <c r="B36" s="99">
        <v>2.78255799649583</v>
      </c>
      <c r="C36" s="100">
        <v>3.71</v>
      </c>
      <c r="D36" s="101">
        <f t="shared" si="0"/>
        <v>2</v>
      </c>
      <c r="E36" s="101">
        <f t="shared" si="1"/>
        <v>0.2</v>
      </c>
      <c r="F36" s="101">
        <f t="shared" si="2"/>
        <v>2</v>
      </c>
      <c r="G36" s="101">
        <f t="shared" si="3"/>
        <v>1.1216473529056441</v>
      </c>
      <c r="H36" s="101">
        <f t="shared" si="4"/>
        <v>0.4</v>
      </c>
      <c r="I36" s="101">
        <f t="shared" si="5"/>
        <v>0</v>
      </c>
      <c r="J36" s="101">
        <f>IF(CurrentMtgRatesDataTable811[[#This Row],[WA CC]]&lt;&gt;0,C35-CurrentMtgRatesDataTable811[[#This Row],[WA CC]],0)</f>
        <v>0</v>
      </c>
      <c r="K36" s="101">
        <f>IF(CurrentMtgRatesDataTable811[[#This Row],[Servicing Spread]]&lt;=0,K35,CurrentMtgRatesDataTable811[[#This Row],[Servicing Spread]])</f>
        <v>0.94989804181903592</v>
      </c>
      <c r="L36" s="101">
        <f>CurrentMtgRatesDataTable811[[#This Row],[Servicing Spread Non-Zero]]-K35</f>
        <v>0</v>
      </c>
      <c r="M36" s="101">
        <f>IF(I35&lt;&gt;0,CurrentMtgRatesDataTable811[[#This Row],[Rate]]-C35,M35)</f>
        <v>-0.10999999999999988</v>
      </c>
    </row>
    <row r="37" spans="1:22" s="78" customFormat="1">
      <c r="A37" s="98" t="s">
        <v>148</v>
      </c>
      <c r="B37" s="99">
        <v>2.78837847860318</v>
      </c>
      <c r="C37" s="100">
        <v>3.71</v>
      </c>
      <c r="D37" s="101">
        <f t="shared" si="0"/>
        <v>6</v>
      </c>
      <c r="E37" s="101">
        <f t="shared" si="1"/>
        <v>0.2</v>
      </c>
      <c r="F37" s="101">
        <f t="shared" si="2"/>
        <v>3</v>
      </c>
      <c r="G37" s="101">
        <f t="shared" si="3"/>
        <v>1.67932304862628</v>
      </c>
      <c r="H37" s="101">
        <f t="shared" si="4"/>
        <v>0.60000000000000009</v>
      </c>
      <c r="I37" s="101">
        <f t="shared" si="5"/>
        <v>0</v>
      </c>
      <c r="J37" s="101">
        <f>IF(CurrentMtgRatesDataTable811[[#This Row],[WA CC]]&lt;&gt;0,C36-CurrentMtgRatesDataTable811[[#This Row],[WA CC]],0)</f>
        <v>0</v>
      </c>
      <c r="K37" s="101">
        <f>IF(CurrentMtgRatesDataTable811[[#This Row],[Servicing Spread]]&lt;=0,K36,CurrentMtgRatesDataTable811[[#This Row],[Servicing Spread]])</f>
        <v>0.94989804181903592</v>
      </c>
      <c r="L37" s="101">
        <f>CurrentMtgRatesDataTable811[[#This Row],[Servicing Spread Non-Zero]]-K36</f>
        <v>0</v>
      </c>
      <c r="M37" s="101">
        <f>IF(I36&lt;&gt;0,CurrentMtgRatesDataTable811[[#This Row],[Rate]]-C36,M36)</f>
        <v>-0.10999999999999988</v>
      </c>
    </row>
    <row r="38" spans="1:22" s="78" customFormat="1">
      <c r="A38" s="98" t="s">
        <v>149</v>
      </c>
      <c r="B38" s="99">
        <v>2.7399955828051801</v>
      </c>
      <c r="C38" s="100">
        <v>3.71</v>
      </c>
      <c r="D38" s="101">
        <f t="shared" si="0"/>
        <v>7</v>
      </c>
      <c r="E38" s="101">
        <f t="shared" si="1"/>
        <v>0.2</v>
      </c>
      <c r="F38" s="101">
        <f t="shared" si="2"/>
        <v>4</v>
      </c>
      <c r="G38" s="101">
        <f t="shared" si="3"/>
        <v>2.2273221651873163</v>
      </c>
      <c r="H38" s="101">
        <f t="shared" si="4"/>
        <v>0.8</v>
      </c>
      <c r="I38" s="101">
        <f t="shared" si="5"/>
        <v>2.7841527064841451</v>
      </c>
      <c r="J38" s="101">
        <f>IF(CurrentMtgRatesDataTable811[[#This Row],[WA CC]]&lt;&gt;0,C37-CurrentMtgRatesDataTable811[[#This Row],[WA CC]],0)</f>
        <v>0.92584729351585482</v>
      </c>
      <c r="K38" s="101">
        <f>IF(CurrentMtgRatesDataTable811[[#This Row],[Servicing Spread]]&lt;=0,K37,CurrentMtgRatesDataTable811[[#This Row],[Servicing Spread]])</f>
        <v>0.92584729351585482</v>
      </c>
      <c r="L38" s="101">
        <f>CurrentMtgRatesDataTable811[[#This Row],[Servicing Spread Non-Zero]]-K37</f>
        <v>-2.4050748303181102E-2</v>
      </c>
      <c r="M38" s="101">
        <f>IF(I37&lt;&gt;0,CurrentMtgRatesDataTable811[[#This Row],[Rate]]-C37,M37)</f>
        <v>-0.10999999999999988</v>
      </c>
    </row>
    <row r="39" spans="1:22" s="78" customFormat="1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</row>
    <row r="40" spans="1:22" s="78" customFormat="1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</row>
    <row r="41" spans="1:22" s="78" customFormat="1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</row>
    <row r="42" spans="1:22" s="78" customFormat="1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</row>
    <row r="43" spans="1:22" s="78" customFormat="1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</row>
    <row r="44" spans="1:22" s="78" customFormat="1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</row>
    <row r="45" spans="1:22" s="78" customFormat="1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</row>
    <row r="46" spans="1:22" s="78" customFormat="1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</row>
    <row r="47" spans="1:22" s="78" customFormat="1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</row>
    <row r="48" spans="1:22" s="78" customFormat="1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V48" s="74"/>
    </row>
    <row r="49" spans="1:22" s="78" customFormat="1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V49" s="74"/>
    </row>
    <row r="50" spans="1:22" s="78" customFormat="1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T50" s="74"/>
      <c r="U50" s="74"/>
      <c r="V50" s="74"/>
    </row>
    <row r="51" spans="1:22" s="78" customFormat="1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T51" s="74"/>
      <c r="U51" s="74"/>
      <c r="V51" s="74"/>
    </row>
    <row r="52" spans="1:22" s="78" customFormat="1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T52" s="74"/>
      <c r="U52" s="74"/>
      <c r="V52" s="74"/>
    </row>
    <row r="53" spans="1:22" s="78" customFormat="1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T53" s="74"/>
      <c r="U53" s="74"/>
      <c r="V53" s="74"/>
    </row>
    <row r="54" spans="1:22" s="78" customFormat="1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T54" s="74"/>
      <c r="U54" s="74"/>
      <c r="V54" s="74"/>
    </row>
    <row r="55" spans="1:22" s="78" customFormat="1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T55" s="74"/>
      <c r="U55" s="74"/>
      <c r="V55" s="74"/>
    </row>
    <row r="56" spans="1:22" s="78" customFormat="1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T56" s="74"/>
      <c r="U56" s="74"/>
      <c r="V56" s="74"/>
    </row>
    <row r="57" spans="1:22" s="78" customFormat="1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T57" s="74"/>
      <c r="U57" s="74"/>
      <c r="V57" s="74"/>
    </row>
    <row r="58" spans="1:22" s="78" customFormat="1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T58" s="74"/>
      <c r="U58" s="74"/>
      <c r="V58" s="74"/>
    </row>
    <row r="59" spans="1:22" s="78" customFormat="1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T59" s="74"/>
      <c r="U59" s="74"/>
      <c r="V59" s="74"/>
    </row>
    <row r="60" spans="1:22" s="78" customFormat="1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T60" s="74"/>
      <c r="U60" s="74"/>
      <c r="V60" s="74"/>
    </row>
    <row r="61" spans="1:22" s="78" customFormat="1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T61" s="74"/>
      <c r="U61" s="74"/>
      <c r="V61" s="74"/>
    </row>
    <row r="62" spans="1:22" s="78" customFormat="1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T62" s="74"/>
      <c r="U62" s="74"/>
      <c r="V62" s="74"/>
    </row>
    <row r="63" spans="1:22" s="78" customFormat="1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T63" s="74"/>
      <c r="U63" s="74"/>
      <c r="V63" s="74"/>
    </row>
    <row r="64" spans="1:22" s="78" customFormat="1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T64" s="74"/>
      <c r="U64" s="74"/>
      <c r="V64" s="74"/>
    </row>
    <row r="65" spans="1:22" s="78" customFormat="1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T65" s="74"/>
      <c r="U65" s="74"/>
      <c r="V65" s="74"/>
    </row>
    <row r="66" spans="1:22" s="78" customFormat="1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T66" s="74"/>
      <c r="U66" s="74"/>
      <c r="V66" s="74"/>
    </row>
    <row r="67" spans="1:22" s="78" customFormat="1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T67" s="74"/>
      <c r="U67" s="74"/>
      <c r="V67" s="74"/>
    </row>
    <row r="68" spans="1:22">
      <c r="N68" s="78"/>
      <c r="O68" s="78"/>
      <c r="P68" s="78"/>
      <c r="Q68" s="78"/>
      <c r="R68" s="78"/>
      <c r="S68" s="78"/>
    </row>
    <row r="69" spans="1:22">
      <c r="N69" s="78"/>
      <c r="O69" s="78"/>
      <c r="P69" s="78"/>
      <c r="Q69" s="78"/>
      <c r="R69" s="78"/>
      <c r="S69" s="78"/>
    </row>
    <row r="70" spans="1:22">
      <c r="N70" s="78"/>
      <c r="O70" s="78"/>
      <c r="P70" s="78"/>
      <c r="Q70" s="78"/>
      <c r="R70" s="78"/>
    </row>
    <row r="71" spans="1:22">
      <c r="N71" s="78"/>
      <c r="O71" s="78"/>
      <c r="P71" s="78"/>
      <c r="Q71" s="78"/>
      <c r="R71" s="78"/>
    </row>
    <row r="72" spans="1:22">
      <c r="N72" s="78"/>
      <c r="O72" s="78"/>
      <c r="P72" s="78"/>
      <c r="Q72" s="78"/>
      <c r="R72" s="78"/>
    </row>
    <row r="73" spans="1:22">
      <c r="N73" s="78"/>
      <c r="O73" s="78"/>
      <c r="P73" s="78"/>
      <c r="Q73" s="78"/>
      <c r="R73" s="78"/>
    </row>
    <row r="74" spans="1:22">
      <c r="N74" s="78"/>
      <c r="O74" s="78"/>
      <c r="P74" s="78"/>
      <c r="Q74" s="78"/>
      <c r="R74" s="78"/>
    </row>
    <row r="75" spans="1:22">
      <c r="N75" s="78"/>
      <c r="O75" s="78"/>
      <c r="P75" s="78"/>
      <c r="Q75" s="78"/>
      <c r="R75" s="78"/>
    </row>
    <row r="76" spans="1:22">
      <c r="N76" s="78"/>
      <c r="O76" s="78"/>
      <c r="P76" s="78"/>
      <c r="Q76" s="78"/>
      <c r="R76" s="78"/>
    </row>
    <row r="77" spans="1:22">
      <c r="N77" s="78"/>
      <c r="O77" s="78"/>
      <c r="P77" s="78"/>
      <c r="Q77" s="78"/>
      <c r="R77" s="78"/>
    </row>
    <row r="78" spans="1:22">
      <c r="N78" s="78"/>
      <c r="O78" s="78"/>
      <c r="P78" s="78"/>
      <c r="Q78" s="78"/>
      <c r="R78" s="78"/>
    </row>
    <row r="79" spans="1:22">
      <c r="N79" s="79"/>
      <c r="O79" s="79"/>
      <c r="P79" s="79"/>
      <c r="Q79" s="79"/>
      <c r="R79" s="79"/>
    </row>
    <row r="80" spans="1:22">
      <c r="N80" s="79"/>
      <c r="O80" s="79"/>
      <c r="P80" s="79"/>
      <c r="Q80" s="79"/>
      <c r="R80" s="79"/>
    </row>
    <row r="81" spans="14:18">
      <c r="N81" s="79"/>
      <c r="O81" s="79"/>
      <c r="P81" s="79"/>
      <c r="Q81" s="79"/>
      <c r="R81" s="79"/>
    </row>
    <row r="82" spans="14:18">
      <c r="N82" s="79"/>
      <c r="O82" s="79"/>
      <c r="P82" s="79"/>
      <c r="Q82" s="79"/>
      <c r="R82" s="79"/>
    </row>
    <row r="83" spans="14:18">
      <c r="N83" s="79"/>
      <c r="O83" s="79"/>
      <c r="P83" s="79"/>
      <c r="Q83" s="79"/>
      <c r="R83" s="79"/>
    </row>
    <row r="84" spans="14:18">
      <c r="N84" s="79"/>
      <c r="O84" s="79"/>
      <c r="P84" s="79"/>
      <c r="Q84" s="79"/>
      <c r="R84" s="79"/>
    </row>
    <row r="85" spans="14:18">
      <c r="N85" s="79"/>
      <c r="O85" s="79"/>
      <c r="P85" s="79"/>
      <c r="Q85" s="79"/>
      <c r="R85" s="79"/>
    </row>
    <row r="86" spans="14:18">
      <c r="N86" s="79"/>
      <c r="O86" s="79"/>
      <c r="P86" s="79"/>
      <c r="Q86" s="79"/>
      <c r="R86" s="79"/>
    </row>
    <row r="87" spans="14:18">
      <c r="N87" s="79"/>
      <c r="O87" s="79"/>
      <c r="P87" s="79"/>
      <c r="Q87" s="79"/>
      <c r="R87" s="79"/>
    </row>
    <row r="88" spans="14:18">
      <c r="N88" s="79"/>
      <c r="O88" s="79"/>
      <c r="P88" s="79"/>
      <c r="Q88" s="79"/>
      <c r="R88" s="79"/>
    </row>
    <row r="89" spans="14:18">
      <c r="N89" s="79"/>
      <c r="O89" s="79"/>
      <c r="P89" s="79"/>
      <c r="Q89" s="79"/>
      <c r="R89" s="79"/>
    </row>
    <row r="90" spans="14:18">
      <c r="N90" s="79"/>
      <c r="O90" s="79"/>
      <c r="P90" s="79"/>
      <c r="Q90" s="79"/>
      <c r="R90" s="79"/>
    </row>
    <row r="91" spans="14:18">
      <c r="N91" s="79"/>
      <c r="O91" s="79"/>
      <c r="P91" s="79"/>
      <c r="Q91" s="79"/>
      <c r="R91" s="79"/>
    </row>
    <row r="92" spans="14:18">
      <c r="N92" s="79"/>
      <c r="O92" s="79"/>
      <c r="P92" s="79"/>
      <c r="Q92" s="79"/>
      <c r="R92" s="79"/>
    </row>
    <row r="93" spans="14:18">
      <c r="N93" s="79"/>
      <c r="O93" s="79"/>
      <c r="P93" s="79"/>
      <c r="Q93" s="79"/>
      <c r="R93" s="79"/>
    </row>
    <row r="94" spans="14:18">
      <c r="N94" s="79"/>
      <c r="O94" s="79"/>
      <c r="P94" s="79"/>
      <c r="Q94" s="79"/>
      <c r="R94" s="79"/>
    </row>
    <row r="95" spans="14:18">
      <c r="N95" s="79"/>
      <c r="O95" s="79"/>
      <c r="P95" s="79"/>
      <c r="Q95" s="79"/>
      <c r="R95" s="79"/>
    </row>
    <row r="96" spans="14:18">
      <c r="N96" s="79"/>
      <c r="O96" s="79"/>
      <c r="P96" s="79"/>
      <c r="Q96" s="79"/>
      <c r="R96" s="79"/>
    </row>
    <row r="97" spans="14:18">
      <c r="N97" s="79"/>
      <c r="O97" s="79"/>
      <c r="P97" s="79"/>
      <c r="Q97" s="79"/>
      <c r="R97" s="79"/>
    </row>
    <row r="98" spans="14:18">
      <c r="N98" s="79"/>
      <c r="O98" s="79"/>
      <c r="P98" s="79"/>
      <c r="Q98" s="79"/>
      <c r="R98" s="79"/>
    </row>
    <row r="99" spans="14:18">
      <c r="N99" s="79"/>
      <c r="O99" s="79"/>
      <c r="P99" s="79"/>
      <c r="Q99" s="79"/>
      <c r="R99" s="79"/>
    </row>
    <row r="100" spans="14:18">
      <c r="N100" s="79"/>
      <c r="O100" s="79"/>
      <c r="P100" s="79"/>
      <c r="Q100" s="79"/>
      <c r="R100" s="79"/>
    </row>
    <row r="101" spans="14:18">
      <c r="N101" s="79"/>
      <c r="O101" s="79"/>
      <c r="P101" s="79"/>
      <c r="Q101" s="79"/>
      <c r="R101" s="79"/>
    </row>
    <row r="102" spans="14:18">
      <c r="N102" s="79"/>
      <c r="O102" s="79"/>
      <c r="P102" s="79"/>
      <c r="Q102" s="79"/>
      <c r="R102" s="79"/>
    </row>
    <row r="103" spans="14:18">
      <c r="N103" s="79"/>
      <c r="O103" s="79"/>
      <c r="P103" s="79"/>
      <c r="Q103" s="79"/>
      <c r="R103" s="79"/>
    </row>
    <row r="104" spans="14:18">
      <c r="N104" s="79"/>
      <c r="O104" s="79"/>
      <c r="P104" s="79"/>
      <c r="Q104" s="79"/>
      <c r="R104" s="79"/>
    </row>
    <row r="105" spans="14:18">
      <c r="N105" s="79"/>
      <c r="O105" s="79"/>
      <c r="P105" s="79"/>
      <c r="Q105" s="79"/>
      <c r="R105" s="79"/>
    </row>
    <row r="106" spans="14:18">
      <c r="N106" s="79"/>
      <c r="O106" s="79"/>
      <c r="P106" s="79"/>
      <c r="Q106" s="79"/>
      <c r="R106" s="79"/>
    </row>
    <row r="107" spans="14:18">
      <c r="N107" s="79"/>
      <c r="O107" s="79"/>
      <c r="P107" s="79"/>
      <c r="Q107" s="79"/>
      <c r="R107" s="79"/>
    </row>
    <row r="108" spans="14:18">
      <c r="N108" s="79"/>
      <c r="O108" s="79"/>
      <c r="P108" s="79"/>
      <c r="Q108" s="79"/>
      <c r="R108" s="79"/>
    </row>
    <row r="109" spans="14:18">
      <c r="N109" s="79"/>
      <c r="O109" s="79"/>
      <c r="P109" s="79"/>
      <c r="Q109" s="79"/>
      <c r="R109" s="79"/>
    </row>
    <row r="110" spans="14:18">
      <c r="N110" s="79"/>
      <c r="O110" s="79"/>
      <c r="P110" s="79"/>
      <c r="Q110" s="79"/>
      <c r="R110" s="79"/>
    </row>
    <row r="111" spans="14:18">
      <c r="N111" s="79"/>
      <c r="O111" s="79"/>
      <c r="P111" s="79"/>
      <c r="Q111" s="79"/>
      <c r="R111" s="79"/>
    </row>
    <row r="112" spans="14:18">
      <c r="N112" s="79"/>
      <c r="O112" s="79"/>
      <c r="P112" s="79"/>
      <c r="Q112" s="79"/>
      <c r="R112" s="79"/>
    </row>
    <row r="113" spans="14:18">
      <c r="N113" s="79"/>
      <c r="O113" s="79"/>
      <c r="P113" s="79"/>
      <c r="Q113" s="79"/>
      <c r="R113" s="79"/>
    </row>
    <row r="114" spans="14:18">
      <c r="N114" s="79"/>
      <c r="O114" s="79"/>
      <c r="P114" s="79"/>
      <c r="Q114" s="79"/>
      <c r="R114" s="79"/>
    </row>
    <row r="115" spans="14:18">
      <c r="N115" s="79"/>
      <c r="O115" s="79"/>
      <c r="P115" s="79"/>
      <c r="Q115" s="79"/>
      <c r="R115" s="79"/>
    </row>
    <row r="116" spans="14:18">
      <c r="N116" s="79"/>
      <c r="O116" s="79"/>
      <c r="P116" s="79"/>
      <c r="Q116" s="79"/>
      <c r="R116" s="79"/>
    </row>
    <row r="117" spans="14:18">
      <c r="N117" s="79"/>
      <c r="O117" s="79"/>
      <c r="P117" s="79"/>
      <c r="Q117" s="79"/>
      <c r="R117" s="79"/>
    </row>
    <row r="118" spans="14:18">
      <c r="N118" s="79"/>
      <c r="O118" s="79"/>
      <c r="P118" s="79"/>
      <c r="Q118" s="79"/>
      <c r="R118" s="79"/>
    </row>
    <row r="119" spans="14:18">
      <c r="N119" s="79"/>
      <c r="O119" s="79"/>
      <c r="P119" s="79"/>
      <c r="Q119" s="79"/>
      <c r="R119" s="79"/>
    </row>
    <row r="120" spans="14:18">
      <c r="N120" s="79"/>
      <c r="O120" s="79"/>
      <c r="P120" s="79"/>
      <c r="Q120" s="79"/>
      <c r="R120" s="79"/>
    </row>
    <row r="121" spans="14:18">
      <c r="N121" s="79"/>
      <c r="O121" s="79"/>
      <c r="P121" s="79"/>
      <c r="Q121" s="79"/>
      <c r="R121" s="79"/>
    </row>
    <row r="122" spans="14:18">
      <c r="N122" s="79"/>
      <c r="O122" s="79"/>
      <c r="P122" s="79"/>
      <c r="Q122" s="79"/>
      <c r="R122" s="79"/>
    </row>
    <row r="123" spans="14:18">
      <c r="N123" s="79"/>
      <c r="O123" s="79"/>
      <c r="P123" s="79"/>
      <c r="Q123" s="79"/>
      <c r="R123" s="79"/>
    </row>
    <row r="124" spans="14:18">
      <c r="N124" s="79"/>
      <c r="O124" s="79"/>
      <c r="P124" s="79"/>
      <c r="Q124" s="79"/>
      <c r="R124" s="79"/>
    </row>
    <row r="125" spans="14:18">
      <c r="N125" s="79"/>
      <c r="O125" s="79"/>
      <c r="P125" s="79"/>
      <c r="Q125" s="79"/>
      <c r="R125" s="79"/>
    </row>
    <row r="126" spans="14:18">
      <c r="N126" s="79"/>
      <c r="O126" s="79"/>
      <c r="P126" s="79"/>
      <c r="Q126" s="79"/>
      <c r="R126" s="79"/>
    </row>
    <row r="127" spans="14:18">
      <c r="N127" s="79"/>
      <c r="O127" s="79"/>
      <c r="P127" s="79"/>
      <c r="Q127" s="79"/>
      <c r="R127" s="79"/>
    </row>
    <row r="128" spans="14:18">
      <c r="N128" s="79"/>
      <c r="O128" s="79"/>
      <c r="P128" s="79"/>
      <c r="Q128" s="79"/>
      <c r="R128" s="79"/>
    </row>
    <row r="129" spans="14:18">
      <c r="N129" s="79"/>
      <c r="O129" s="79"/>
      <c r="P129" s="79"/>
      <c r="Q129" s="79"/>
      <c r="R129" s="79"/>
    </row>
    <row r="130" spans="14:18">
      <c r="N130" s="79"/>
      <c r="O130" s="79"/>
      <c r="P130" s="79"/>
      <c r="Q130" s="79"/>
      <c r="R130" s="79"/>
    </row>
    <row r="131" spans="14:18">
      <c r="N131" s="79"/>
      <c r="O131" s="79"/>
      <c r="P131" s="79"/>
      <c r="Q131" s="79"/>
      <c r="R131" s="79"/>
    </row>
    <row r="132" spans="14:18">
      <c r="N132" s="79"/>
      <c r="O132" s="79"/>
      <c r="P132" s="79"/>
      <c r="Q132" s="79"/>
      <c r="R132" s="79"/>
    </row>
    <row r="133" spans="14:18">
      <c r="N133" s="79"/>
      <c r="O133" s="79"/>
      <c r="P133" s="79"/>
      <c r="Q133" s="79"/>
      <c r="R133" s="79"/>
    </row>
    <row r="134" spans="14:18">
      <c r="N134" s="79"/>
      <c r="O134" s="79"/>
      <c r="P134" s="79"/>
      <c r="Q134" s="79"/>
      <c r="R134" s="79"/>
    </row>
    <row r="135" spans="14:18">
      <c r="N135" s="79"/>
      <c r="O135" s="79"/>
      <c r="P135" s="79"/>
      <c r="Q135" s="79"/>
      <c r="R135" s="79"/>
    </row>
    <row r="136" spans="14:18">
      <c r="N136" s="79"/>
      <c r="O136" s="79"/>
      <c r="P136" s="79"/>
      <c r="Q136" s="79"/>
      <c r="R136" s="79"/>
    </row>
    <row r="137" spans="14:18">
      <c r="N137" s="79"/>
      <c r="O137" s="79"/>
      <c r="P137" s="79"/>
      <c r="Q137" s="79"/>
      <c r="R137" s="79"/>
    </row>
    <row r="138" spans="14:18">
      <c r="N138" s="79"/>
      <c r="O138" s="79"/>
      <c r="P138" s="79"/>
      <c r="Q138" s="79"/>
      <c r="R138" s="79"/>
    </row>
    <row r="139" spans="14:18">
      <c r="N139" s="79"/>
      <c r="O139" s="79"/>
      <c r="P139" s="79"/>
      <c r="Q139" s="79"/>
      <c r="R139" s="79"/>
    </row>
    <row r="140" spans="14:18">
      <c r="N140" s="79"/>
      <c r="O140" s="79"/>
      <c r="P140" s="79"/>
      <c r="Q140" s="79"/>
      <c r="R140" s="79"/>
    </row>
    <row r="141" spans="14:18">
      <c r="N141" s="79"/>
      <c r="O141" s="79"/>
      <c r="P141" s="79"/>
      <c r="Q141" s="79"/>
      <c r="R141" s="79"/>
    </row>
    <row r="142" spans="14:18">
      <c r="N142" s="79"/>
      <c r="O142" s="79"/>
      <c r="P142" s="79"/>
      <c r="Q142" s="79"/>
      <c r="R142" s="79"/>
    </row>
    <row r="143" spans="14:18">
      <c r="N143" s="79"/>
      <c r="O143" s="79"/>
      <c r="P143" s="79"/>
      <c r="Q143" s="79"/>
      <c r="R143" s="79"/>
    </row>
    <row r="144" spans="14:18">
      <c r="N144" s="79"/>
      <c r="O144" s="79"/>
      <c r="P144" s="79"/>
      <c r="Q144" s="79"/>
      <c r="R144" s="79"/>
    </row>
    <row r="145" spans="14:18">
      <c r="N145" s="79"/>
      <c r="O145" s="79"/>
      <c r="P145" s="79"/>
      <c r="Q145" s="79"/>
      <c r="R145" s="79"/>
    </row>
    <row r="146" spans="14:18">
      <c r="N146" s="79"/>
      <c r="O146" s="79"/>
      <c r="P146" s="79"/>
      <c r="Q146" s="79"/>
      <c r="R146" s="79"/>
    </row>
    <row r="147" spans="14:18">
      <c r="N147" s="79"/>
      <c r="O147" s="79"/>
      <c r="P147" s="79"/>
      <c r="Q147" s="79"/>
      <c r="R147" s="79"/>
    </row>
    <row r="148" spans="14:18">
      <c r="N148" s="79"/>
      <c r="O148" s="79"/>
      <c r="P148" s="79"/>
      <c r="Q148" s="79"/>
      <c r="R148" s="79"/>
    </row>
    <row r="149" spans="14:18">
      <c r="N149" s="79"/>
      <c r="O149" s="79"/>
      <c r="P149" s="79"/>
      <c r="Q149" s="79"/>
      <c r="R149" s="79"/>
    </row>
    <row r="150" spans="14:18">
      <c r="N150" s="79"/>
      <c r="O150" s="79"/>
      <c r="P150" s="79"/>
      <c r="Q150" s="79"/>
      <c r="R150" s="79"/>
    </row>
    <row r="151" spans="14:18">
      <c r="N151" s="79"/>
      <c r="O151" s="79"/>
      <c r="P151" s="79"/>
      <c r="Q151" s="79"/>
      <c r="R151" s="79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ImpliedRate</vt:lpstr>
      <vt:lpstr>LastMonth</vt:lpstr>
      <vt:lpstr>LastThursday</vt:lpstr>
      <vt:lpstr>PDFReportDir</vt:lpstr>
      <vt:lpstr>PDFReportName</vt:lpstr>
      <vt:lpstr>Report!Print_Area</vt:lpstr>
      <vt:lpstr>SaveRatesToDB</vt:lpstr>
      <vt:lpstr>Query!temp</vt:lpstr>
      <vt:lpstr>Query!temp_2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IT-Processing</cp:lastModifiedBy>
  <cp:lastPrinted>2016-01-27T22:50:27Z</cp:lastPrinted>
  <dcterms:created xsi:type="dcterms:W3CDTF">2006-09-16T00:00:00Z</dcterms:created>
  <dcterms:modified xsi:type="dcterms:W3CDTF">2016-01-27T22:50:28Z</dcterms:modified>
</cp:coreProperties>
</file>