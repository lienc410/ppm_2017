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7.xml" ContentType="application/vnd.openxmlformats-officedocument.drawing+xml"/>
  <Override PartName="/xl/queryTables/queryTable11.xml" ContentType="application/vnd.openxmlformats-officedocument.spreadsheetml.queryTab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8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firstSheet="1" activeTab="9"/>
  </bookViews>
  <sheets>
    <sheet name="Report" sheetId="16" state="hidden" r:id="rId1"/>
    <sheet name="PoolRefinancible" sheetId="18" r:id="rId2"/>
    <sheet name="Bloomberg" sheetId="19" r:id="rId3"/>
    <sheet name="Sheet3" sheetId="20" r:id="rId4"/>
    <sheet name="HARP LLPA" sheetId="21" r:id="rId5"/>
    <sheet name="HARPable Universe" sheetId="22" r:id="rId6"/>
    <sheet name="LogReturn" sheetId="23" r:id="rId7"/>
    <sheet name="Plot" sheetId="24" r:id="rId8"/>
    <sheet name="Current Paying PMI" sheetId="25" r:id="rId9"/>
    <sheet name="Pre 2005" sheetId="26" r:id="rId10"/>
  </sheets>
  <functionGroups builtInGroupCount="17"/>
  <externalReferences>
    <externalReference r:id="rId11"/>
    <externalReference r:id="rId12"/>
    <externalReference r:id="rId13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Report!$U$2</definedName>
    <definedName name="DatabaseEnv">Report!$U$1</definedName>
    <definedName name="DateToChangeLag">Report!$U$12</definedName>
    <definedName name="HistoricalMtgRatesDataTable">#REF!</definedName>
    <definedName name="IR">#REF!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Report!$U$3</definedName>
    <definedName name="PDFReportName">Report!$U$4</definedName>
    <definedName name="PivotTable10">#REF!</definedName>
    <definedName name="PivotTable11">#REF!</definedName>
    <definedName name="PivotTable12">#REF!</definedName>
    <definedName name="_xlnm.Print_Area" localSheetId="4">'HARP LLPA'!$D$37:$AB$69</definedName>
    <definedName name="_xlnm.Print_Area" localSheetId="5">'HARPable Universe'!$T$1:$AJ$40</definedName>
    <definedName name="_xlnm.Print_Area" localSheetId="0">Report!$B$1:$Q$59</definedName>
    <definedName name="Query_from_Agency_10" localSheetId="1" hidden="1">PoolRefinancible!$V$2:$W$228</definedName>
    <definedName name="Query_from_Agency_6" localSheetId="1" hidden="1">PoolRefinancible!$B$2:$D$232</definedName>
    <definedName name="Query_from_Agency_7" localSheetId="1" hidden="1">PoolRefinancible!$L$2:$M$227</definedName>
    <definedName name="Query_from_Agency_8" localSheetId="1" hidden="1">PoolRefinancible!$P$2:$Q$228</definedName>
    <definedName name="Query_from_Agency_9" localSheetId="1" hidden="1">PoolRefinancible!$S$2:$T$228</definedName>
    <definedName name="SaveRatesToDB">Report!$W$1</definedName>
    <definedName name="temp" localSheetId="8">'Current Paying PMI'!$H$2:$I$230</definedName>
    <definedName name="temp" localSheetId="9">'Pre 2005'!$J$2:$K$116</definedName>
    <definedName name="temp_1" localSheetId="8">'Current Paying PMI'!$Z$2:$AA$230</definedName>
    <definedName name="temp_1" localSheetId="1">PoolRefinancible!#REF!</definedName>
    <definedName name="temp_1" localSheetId="9">'Pre 2005'!$M$2:$N$298</definedName>
    <definedName name="temp_17">#REF!</definedName>
    <definedName name="temp_2" localSheetId="9">'Pre 2005'!$P$2:$S$230</definedName>
    <definedName name="temp_3" localSheetId="9">'Pre 2005'!$V$2:$Y$230</definedName>
    <definedName name="temp_4" localSheetId="9">'Pre 2005'!$AA$2:$AB$230</definedName>
    <definedName name="temp_8">#REF!</definedName>
    <definedName name="temp1" localSheetId="5">'HARPable Universe'!$F$2:$G$228</definedName>
    <definedName name="temp1" localSheetId="1">PoolRefinancible!$S$2:$S$207</definedName>
    <definedName name="temp1_1" localSheetId="5">'HARPable Universe'!$I$2:$K$228</definedName>
    <definedName name="temp1_1" localSheetId="1">PoolRefinancible!$Y$2:$Z$228</definedName>
    <definedName name="temp1_2" localSheetId="5">'HARPable Universe'!$O$2:$Q$228</definedName>
    <definedName name="temp1_2" localSheetId="1">PoolRefinancible!$AB$2:$AC$228</definedName>
  </definedNames>
  <calcPr calcId="145621"/>
</workbook>
</file>

<file path=xl/calcChain.xml><?xml version="1.0" encoding="utf-8"?>
<calcChain xmlns="http://schemas.openxmlformats.org/spreadsheetml/2006/main">
  <c r="F3" i="18" l="1"/>
  <c r="F4" i="18"/>
  <c r="F5" i="18"/>
  <c r="F6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12" i="18"/>
  <c r="F113" i="18"/>
  <c r="F114" i="18"/>
  <c r="F115" i="18"/>
  <c r="F116" i="18"/>
  <c r="F117" i="18"/>
  <c r="F118" i="18"/>
  <c r="F119" i="18"/>
  <c r="F120" i="18"/>
  <c r="F121" i="18"/>
  <c r="F122" i="18"/>
  <c r="F123" i="18"/>
  <c r="F124" i="18"/>
  <c r="F125" i="18"/>
  <c r="F126" i="18"/>
  <c r="F127" i="18"/>
  <c r="F128" i="18"/>
  <c r="F129" i="18"/>
  <c r="F130" i="18"/>
  <c r="F131" i="18"/>
  <c r="F132" i="18"/>
  <c r="F133" i="18"/>
  <c r="F134" i="18"/>
  <c r="F135" i="18"/>
  <c r="F136" i="18"/>
  <c r="F137" i="18"/>
  <c r="F138" i="18"/>
  <c r="F139" i="18"/>
  <c r="F140" i="18"/>
  <c r="F141" i="18"/>
  <c r="F142" i="18"/>
  <c r="F143" i="18"/>
  <c r="F144" i="18"/>
  <c r="F145" i="18"/>
  <c r="F146" i="18"/>
  <c r="F147" i="18"/>
  <c r="F148" i="18"/>
  <c r="F149" i="18"/>
  <c r="F150" i="18"/>
  <c r="F151" i="18"/>
  <c r="F152" i="18"/>
  <c r="F153" i="18"/>
  <c r="F154" i="18"/>
  <c r="F155" i="18"/>
  <c r="F156" i="18"/>
  <c r="F157" i="18"/>
  <c r="F158" i="18"/>
  <c r="F159" i="18"/>
  <c r="F160" i="18"/>
  <c r="F161" i="18"/>
  <c r="F162" i="18"/>
  <c r="F163" i="18"/>
  <c r="F164" i="18"/>
  <c r="F165" i="18"/>
  <c r="F166" i="18"/>
  <c r="F167" i="18"/>
  <c r="F168" i="18"/>
  <c r="F169" i="18"/>
  <c r="F170" i="18"/>
  <c r="F171" i="18"/>
  <c r="F172" i="18"/>
  <c r="F173" i="18"/>
  <c r="F174" i="18"/>
  <c r="F175" i="18"/>
  <c r="F176" i="18"/>
  <c r="F177" i="18"/>
  <c r="F178" i="18"/>
  <c r="F179" i="18"/>
  <c r="F180" i="18"/>
  <c r="F181" i="18"/>
  <c r="F182" i="18"/>
  <c r="F183" i="18"/>
  <c r="F184" i="18"/>
  <c r="F185" i="18"/>
  <c r="F186" i="18"/>
  <c r="F187" i="18"/>
  <c r="F188" i="18"/>
  <c r="F189" i="18"/>
  <c r="F190" i="18"/>
  <c r="F191" i="18"/>
  <c r="F192" i="18"/>
  <c r="F193" i="18"/>
  <c r="F194" i="18"/>
  <c r="F195" i="18"/>
  <c r="F196" i="18"/>
  <c r="F197" i="18"/>
  <c r="F198" i="18"/>
  <c r="F199" i="18"/>
  <c r="F200" i="18"/>
  <c r="F201" i="18"/>
  <c r="F202" i="18"/>
  <c r="F203" i="18"/>
  <c r="F204" i="18"/>
  <c r="F205" i="18"/>
  <c r="F206" i="18"/>
  <c r="F207" i="18"/>
  <c r="F208" i="18"/>
  <c r="F209" i="18"/>
  <c r="F210" i="18"/>
  <c r="F211" i="18"/>
  <c r="F212" i="18"/>
  <c r="F213" i="18"/>
  <c r="F214" i="18"/>
  <c r="F215" i="18"/>
  <c r="F216" i="18"/>
  <c r="F217" i="18"/>
  <c r="F218" i="18"/>
  <c r="F219" i="18"/>
  <c r="F220" i="18"/>
  <c r="F221" i="18"/>
  <c r="F222" i="18"/>
  <c r="F223" i="18"/>
  <c r="F224" i="18"/>
  <c r="F225" i="18"/>
  <c r="F226" i="18"/>
  <c r="F227" i="18"/>
  <c r="F228" i="18"/>
  <c r="F229" i="18"/>
  <c r="F230" i="18"/>
  <c r="F231" i="18"/>
  <c r="F23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I228" i="18"/>
  <c r="I229" i="18"/>
  <c r="I230" i="18"/>
  <c r="I231" i="18"/>
  <c r="I232" i="18"/>
  <c r="J3" i="18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G80" i="26" l="1"/>
  <c r="G99" i="26"/>
  <c r="H26" i="26"/>
  <c r="G26" i="26" s="1"/>
  <c r="H49" i="26"/>
  <c r="G49" i="26" s="1"/>
  <c r="H66" i="26"/>
  <c r="H81" i="26"/>
  <c r="G81" i="26" s="1"/>
  <c r="H114" i="26"/>
  <c r="H122" i="26"/>
  <c r="G122" i="26" s="1"/>
  <c r="H154" i="26"/>
  <c r="H161" i="26"/>
  <c r="G161" i="26" s="1"/>
  <c r="H162" i="26"/>
  <c r="H177" i="26"/>
  <c r="H202" i="26"/>
  <c r="G202" i="26" s="1"/>
  <c r="H209" i="26"/>
  <c r="G209" i="26" s="1"/>
  <c r="H218" i="26"/>
  <c r="N4" i="25"/>
  <c r="N5" i="25"/>
  <c r="N6" i="25"/>
  <c r="N7" i="25"/>
  <c r="N8" i="25"/>
  <c r="N9" i="25"/>
  <c r="N10" i="25"/>
  <c r="O10" i="25"/>
  <c r="N11" i="25"/>
  <c r="O11" i="25"/>
  <c r="N12" i="25"/>
  <c r="N13" i="25"/>
  <c r="N14" i="25"/>
  <c r="N15" i="25"/>
  <c r="N16" i="25"/>
  <c r="N17" i="25"/>
  <c r="N18" i="25"/>
  <c r="O18" i="25"/>
  <c r="N19" i="25"/>
  <c r="O19" i="25"/>
  <c r="N20" i="25"/>
  <c r="N21" i="25"/>
  <c r="N22" i="25"/>
  <c r="N23" i="25"/>
  <c r="O23" i="25"/>
  <c r="N24" i="25"/>
  <c r="N25" i="25"/>
  <c r="N26" i="25"/>
  <c r="O26" i="25"/>
  <c r="N27" i="25"/>
  <c r="O27" i="25"/>
  <c r="N28" i="25"/>
  <c r="N29" i="25"/>
  <c r="N30" i="25"/>
  <c r="N31" i="25"/>
  <c r="O31" i="25"/>
  <c r="N32" i="25"/>
  <c r="N33" i="25"/>
  <c r="N34" i="25"/>
  <c r="O34" i="25"/>
  <c r="N35" i="25"/>
  <c r="O35" i="25"/>
  <c r="N36" i="25"/>
  <c r="N37" i="25"/>
  <c r="N38" i="25"/>
  <c r="N39" i="25"/>
  <c r="O39" i="25"/>
  <c r="N40" i="25"/>
  <c r="N41" i="25"/>
  <c r="N42" i="25"/>
  <c r="O42" i="25"/>
  <c r="N43" i="25"/>
  <c r="O43" i="25"/>
  <c r="N44" i="25"/>
  <c r="N45" i="25"/>
  <c r="N46" i="25"/>
  <c r="N47" i="25"/>
  <c r="O47" i="25"/>
  <c r="N48" i="25"/>
  <c r="N49" i="25"/>
  <c r="N50" i="25"/>
  <c r="O50" i="25"/>
  <c r="N51" i="25"/>
  <c r="O51" i="25"/>
  <c r="N52" i="25"/>
  <c r="N53" i="25"/>
  <c r="N54" i="25"/>
  <c r="N55" i="25"/>
  <c r="O55" i="25"/>
  <c r="N56" i="25"/>
  <c r="N57" i="25"/>
  <c r="N58" i="25"/>
  <c r="O58" i="25"/>
  <c r="N59" i="25"/>
  <c r="O59" i="25"/>
  <c r="N60" i="25"/>
  <c r="N61" i="25"/>
  <c r="N62" i="25"/>
  <c r="N63" i="25"/>
  <c r="O63" i="25"/>
  <c r="N64" i="25"/>
  <c r="N65" i="25"/>
  <c r="N66" i="25"/>
  <c r="O66" i="25"/>
  <c r="N67" i="25"/>
  <c r="O67" i="25"/>
  <c r="N68" i="25"/>
  <c r="N69" i="25"/>
  <c r="N70" i="25"/>
  <c r="N71" i="25"/>
  <c r="O71" i="25"/>
  <c r="N72" i="25"/>
  <c r="N73" i="25"/>
  <c r="N74" i="25"/>
  <c r="O74" i="25"/>
  <c r="N75" i="25"/>
  <c r="O75" i="25"/>
  <c r="N76" i="25"/>
  <c r="N77" i="25"/>
  <c r="N78" i="25"/>
  <c r="N79" i="25"/>
  <c r="O79" i="25"/>
  <c r="N80" i="25"/>
  <c r="N81" i="25"/>
  <c r="N82" i="25"/>
  <c r="O82" i="25"/>
  <c r="N83" i="25"/>
  <c r="O83" i="25"/>
  <c r="N84" i="25"/>
  <c r="N85" i="25"/>
  <c r="N86" i="25"/>
  <c r="N87" i="25"/>
  <c r="O87" i="25"/>
  <c r="N88" i="25"/>
  <c r="N89" i="25"/>
  <c r="N90" i="25"/>
  <c r="O90" i="25"/>
  <c r="N91" i="25"/>
  <c r="O91" i="25"/>
  <c r="N92" i="25"/>
  <c r="N93" i="25"/>
  <c r="N94" i="25"/>
  <c r="N95" i="25"/>
  <c r="O95" i="25"/>
  <c r="N96" i="25"/>
  <c r="N97" i="25"/>
  <c r="N98" i="25"/>
  <c r="O98" i="25"/>
  <c r="N99" i="25"/>
  <c r="O99" i="25"/>
  <c r="N100" i="25"/>
  <c r="N101" i="25"/>
  <c r="N102" i="25"/>
  <c r="N103" i="25"/>
  <c r="O103" i="25"/>
  <c r="N104" i="25"/>
  <c r="N105" i="25"/>
  <c r="N106" i="25"/>
  <c r="O106" i="25"/>
  <c r="N107" i="25"/>
  <c r="O107" i="25"/>
  <c r="N108" i="25"/>
  <c r="N109" i="25"/>
  <c r="N110" i="25"/>
  <c r="N111" i="25"/>
  <c r="O111" i="25"/>
  <c r="N112" i="25"/>
  <c r="N113" i="25"/>
  <c r="N114" i="25"/>
  <c r="O114" i="25"/>
  <c r="N115" i="25"/>
  <c r="O115" i="25"/>
  <c r="N116" i="25"/>
  <c r="N117" i="25"/>
  <c r="N118" i="25"/>
  <c r="N119" i="25"/>
  <c r="O119" i="25"/>
  <c r="N120" i="25"/>
  <c r="N121" i="25"/>
  <c r="N122" i="25"/>
  <c r="O122" i="25"/>
  <c r="N123" i="25"/>
  <c r="O123" i="25"/>
  <c r="N124" i="25"/>
  <c r="N125" i="25"/>
  <c r="N126" i="25"/>
  <c r="N127" i="25"/>
  <c r="O127" i="25"/>
  <c r="N128" i="25"/>
  <c r="N129" i="25"/>
  <c r="N130" i="25"/>
  <c r="O130" i="25"/>
  <c r="N131" i="25"/>
  <c r="O131" i="25"/>
  <c r="N132" i="25"/>
  <c r="N133" i="25"/>
  <c r="N134" i="25"/>
  <c r="N135" i="25"/>
  <c r="O135" i="25"/>
  <c r="N136" i="25"/>
  <c r="N137" i="25"/>
  <c r="N138" i="25"/>
  <c r="O138" i="25"/>
  <c r="N139" i="25"/>
  <c r="O139" i="25"/>
  <c r="N140" i="25"/>
  <c r="N141" i="25"/>
  <c r="N142" i="25"/>
  <c r="N143" i="25"/>
  <c r="O143" i="25"/>
  <c r="N144" i="25"/>
  <c r="N145" i="25"/>
  <c r="N146" i="25"/>
  <c r="O146" i="25"/>
  <c r="N147" i="25"/>
  <c r="O147" i="25"/>
  <c r="N148" i="25"/>
  <c r="N149" i="25"/>
  <c r="N150" i="25"/>
  <c r="N151" i="25"/>
  <c r="O151" i="25"/>
  <c r="N152" i="25"/>
  <c r="N153" i="25"/>
  <c r="N154" i="25"/>
  <c r="O154" i="25"/>
  <c r="N155" i="25"/>
  <c r="O155" i="25"/>
  <c r="N156" i="25"/>
  <c r="N157" i="25"/>
  <c r="N158" i="25"/>
  <c r="N159" i="25"/>
  <c r="O159" i="25"/>
  <c r="N160" i="25"/>
  <c r="N161" i="25"/>
  <c r="N162" i="25"/>
  <c r="O162" i="25"/>
  <c r="N163" i="25"/>
  <c r="O163" i="25"/>
  <c r="N164" i="25"/>
  <c r="N165" i="25"/>
  <c r="N166" i="25"/>
  <c r="N167" i="25"/>
  <c r="O167" i="25"/>
  <c r="N168" i="25"/>
  <c r="N169" i="25"/>
  <c r="N170" i="25"/>
  <c r="O170" i="25"/>
  <c r="N171" i="25"/>
  <c r="O171" i="25"/>
  <c r="N172" i="25"/>
  <c r="N173" i="25"/>
  <c r="N174" i="25"/>
  <c r="N175" i="25"/>
  <c r="O175" i="25"/>
  <c r="N176" i="25"/>
  <c r="N177" i="25"/>
  <c r="N178" i="25"/>
  <c r="O178" i="25"/>
  <c r="N179" i="25"/>
  <c r="O179" i="25"/>
  <c r="N180" i="25"/>
  <c r="N181" i="25"/>
  <c r="N182" i="25"/>
  <c r="N183" i="25"/>
  <c r="O183" i="25"/>
  <c r="N184" i="25"/>
  <c r="N185" i="25"/>
  <c r="N186" i="25"/>
  <c r="O186" i="25"/>
  <c r="N187" i="25"/>
  <c r="O187" i="25"/>
  <c r="N188" i="25"/>
  <c r="N189" i="25"/>
  <c r="N190" i="25"/>
  <c r="N191" i="25"/>
  <c r="O191" i="25"/>
  <c r="N192" i="25"/>
  <c r="N193" i="25"/>
  <c r="N194" i="25"/>
  <c r="O194" i="25"/>
  <c r="N195" i="25"/>
  <c r="O195" i="25"/>
  <c r="N196" i="25"/>
  <c r="N197" i="25"/>
  <c r="N198" i="25"/>
  <c r="N199" i="25"/>
  <c r="O199" i="25"/>
  <c r="N200" i="25"/>
  <c r="N201" i="25"/>
  <c r="N202" i="25"/>
  <c r="O202" i="25"/>
  <c r="N203" i="25"/>
  <c r="O203" i="25"/>
  <c r="N204" i="25"/>
  <c r="N205" i="25"/>
  <c r="N206" i="25"/>
  <c r="N207" i="25"/>
  <c r="O207" i="25"/>
  <c r="N208" i="25"/>
  <c r="N209" i="25"/>
  <c r="N210" i="25"/>
  <c r="O210" i="25"/>
  <c r="N211" i="25"/>
  <c r="O211" i="25"/>
  <c r="N212" i="25"/>
  <c r="N213" i="25"/>
  <c r="N214" i="25"/>
  <c r="N215" i="25"/>
  <c r="O215" i="25"/>
  <c r="N216" i="25"/>
  <c r="N217" i="25"/>
  <c r="N218" i="25"/>
  <c r="O218" i="25"/>
  <c r="N219" i="25"/>
  <c r="O219" i="25"/>
  <c r="N220" i="25"/>
  <c r="N221" i="25"/>
  <c r="N222" i="25"/>
  <c r="N223" i="25"/>
  <c r="O223" i="25"/>
  <c r="N224" i="25"/>
  <c r="O224" i="25"/>
  <c r="N225" i="25"/>
  <c r="N226" i="25"/>
  <c r="O226" i="25"/>
  <c r="N227" i="25"/>
  <c r="O227" i="25"/>
  <c r="N3" i="25"/>
  <c r="O3" i="25"/>
  <c r="O225" i="25"/>
  <c r="O222" i="25"/>
  <c r="O221" i="25"/>
  <c r="O220" i="25"/>
  <c r="O217" i="25"/>
  <c r="O216" i="25"/>
  <c r="O214" i="25"/>
  <c r="O213" i="25"/>
  <c r="O212" i="25"/>
  <c r="O209" i="25"/>
  <c r="O208" i="25"/>
  <c r="O206" i="25"/>
  <c r="O205" i="25"/>
  <c r="O204" i="25"/>
  <c r="O201" i="25"/>
  <c r="O200" i="25"/>
  <c r="O198" i="25"/>
  <c r="O197" i="25"/>
  <c r="O196" i="25"/>
  <c r="O193" i="25"/>
  <c r="O192" i="25"/>
  <c r="O190" i="25"/>
  <c r="O189" i="25"/>
  <c r="O188" i="25"/>
  <c r="O185" i="25"/>
  <c r="O184" i="25"/>
  <c r="O182" i="25"/>
  <c r="O181" i="25"/>
  <c r="O180" i="25"/>
  <c r="O177" i="25"/>
  <c r="O176" i="25"/>
  <c r="O174" i="25"/>
  <c r="O173" i="25"/>
  <c r="O172" i="25"/>
  <c r="O169" i="25"/>
  <c r="O168" i="25"/>
  <c r="O166" i="25"/>
  <c r="O165" i="25"/>
  <c r="O164" i="25"/>
  <c r="O161" i="25"/>
  <c r="O160" i="25"/>
  <c r="O158" i="25"/>
  <c r="O157" i="25"/>
  <c r="O156" i="25"/>
  <c r="O153" i="25"/>
  <c r="O152" i="25"/>
  <c r="O150" i="25"/>
  <c r="O149" i="25"/>
  <c r="O148" i="25"/>
  <c r="O145" i="25"/>
  <c r="O144" i="25"/>
  <c r="O142" i="25"/>
  <c r="O141" i="25"/>
  <c r="O140" i="25"/>
  <c r="O137" i="25"/>
  <c r="O136" i="25"/>
  <c r="O134" i="25"/>
  <c r="O133" i="25"/>
  <c r="O132" i="25"/>
  <c r="O129" i="25"/>
  <c r="O128" i="25"/>
  <c r="O126" i="25"/>
  <c r="O125" i="25"/>
  <c r="O124" i="25"/>
  <c r="O121" i="25"/>
  <c r="O120" i="25"/>
  <c r="O118" i="25"/>
  <c r="O117" i="25"/>
  <c r="O116" i="25"/>
  <c r="O113" i="25"/>
  <c r="O112" i="25"/>
  <c r="O110" i="25"/>
  <c r="O109" i="25"/>
  <c r="O108" i="25"/>
  <c r="O105" i="25"/>
  <c r="O104" i="25"/>
  <c r="O102" i="25"/>
  <c r="O101" i="25"/>
  <c r="O100" i="25"/>
  <c r="O97" i="25"/>
  <c r="O96" i="25"/>
  <c r="O94" i="25"/>
  <c r="O93" i="25"/>
  <c r="O92" i="25"/>
  <c r="O89" i="25"/>
  <c r="O88" i="25"/>
  <c r="O86" i="25"/>
  <c r="O85" i="25"/>
  <c r="O84" i="25"/>
  <c r="O81" i="25"/>
  <c r="O80" i="25"/>
  <c r="O78" i="25"/>
  <c r="O77" i="25"/>
  <c r="O76" i="25"/>
  <c r="O73" i="25"/>
  <c r="O72" i="25"/>
  <c r="O70" i="25"/>
  <c r="O69" i="25"/>
  <c r="O68" i="25"/>
  <c r="O65" i="25"/>
  <c r="O64" i="25"/>
  <c r="O62" i="25"/>
  <c r="O61" i="25"/>
  <c r="O60" i="25"/>
  <c r="O57" i="25"/>
  <c r="O56" i="25"/>
  <c r="O54" i="25"/>
  <c r="O53" i="25"/>
  <c r="O52" i="25"/>
  <c r="O49" i="25"/>
  <c r="O48" i="25"/>
  <c r="O46" i="25"/>
  <c r="O45" i="25"/>
  <c r="O44" i="25"/>
  <c r="O41" i="25"/>
  <c r="O40" i="25"/>
  <c r="O38" i="25"/>
  <c r="O37" i="25"/>
  <c r="O36" i="25"/>
  <c r="O33" i="25"/>
  <c r="O32" i="25"/>
  <c r="O30" i="25"/>
  <c r="O29" i="25"/>
  <c r="O28" i="25"/>
  <c r="O25" i="25"/>
  <c r="O24" i="25"/>
  <c r="O22" i="25"/>
  <c r="O21" i="25"/>
  <c r="O20" i="25"/>
  <c r="O17" i="25"/>
  <c r="O16" i="25"/>
  <c r="O15" i="25"/>
  <c r="O14" i="25"/>
  <c r="O13" i="25"/>
  <c r="O12" i="25"/>
  <c r="O9" i="25"/>
  <c r="O8" i="25"/>
  <c r="O7" i="25"/>
  <c r="O6" i="25"/>
  <c r="O5" i="25"/>
  <c r="O4" i="25"/>
  <c r="E3" i="26"/>
  <c r="H3" i="26" s="1"/>
  <c r="F3" i="26"/>
  <c r="E4" i="26"/>
  <c r="H4" i="26" s="1"/>
  <c r="F4" i="26"/>
  <c r="E5" i="26"/>
  <c r="F5" i="26" s="1"/>
  <c r="E6" i="26"/>
  <c r="H6" i="26" s="1"/>
  <c r="E7" i="26"/>
  <c r="H7" i="26" s="1"/>
  <c r="F7" i="26"/>
  <c r="E8" i="26"/>
  <c r="H8" i="26" s="1"/>
  <c r="E9" i="26"/>
  <c r="F9" i="26" s="1"/>
  <c r="E10" i="26"/>
  <c r="H10" i="26" s="1"/>
  <c r="E11" i="26"/>
  <c r="H11" i="26" s="1"/>
  <c r="E12" i="26"/>
  <c r="H12" i="26" s="1"/>
  <c r="F12" i="26"/>
  <c r="E13" i="26"/>
  <c r="E14" i="26"/>
  <c r="H14" i="26" s="1"/>
  <c r="E15" i="26"/>
  <c r="E16" i="26"/>
  <c r="H16" i="26" s="1"/>
  <c r="E17" i="26"/>
  <c r="F17" i="26" s="1"/>
  <c r="E18" i="26"/>
  <c r="H18" i="26" s="1"/>
  <c r="G18" i="26" s="1"/>
  <c r="F18" i="26"/>
  <c r="E19" i="26"/>
  <c r="H19" i="26" s="1"/>
  <c r="E20" i="26"/>
  <c r="H20" i="26" s="1"/>
  <c r="E21" i="26"/>
  <c r="E22" i="26"/>
  <c r="H22" i="26" s="1"/>
  <c r="E23" i="26"/>
  <c r="H23" i="26" s="1"/>
  <c r="F23" i="26"/>
  <c r="E24" i="26"/>
  <c r="E25" i="26"/>
  <c r="F25" i="26" s="1"/>
  <c r="E26" i="26"/>
  <c r="F26" i="26"/>
  <c r="E27" i="26"/>
  <c r="H27" i="26" s="1"/>
  <c r="E28" i="26"/>
  <c r="H28" i="26" s="1"/>
  <c r="F28" i="26"/>
  <c r="E29" i="26"/>
  <c r="E30" i="26"/>
  <c r="H30" i="26" s="1"/>
  <c r="E31" i="26"/>
  <c r="F31" i="26" s="1"/>
  <c r="E32" i="26"/>
  <c r="H32" i="26" s="1"/>
  <c r="E33" i="26"/>
  <c r="E34" i="26"/>
  <c r="F34" i="26" s="1"/>
  <c r="E35" i="26"/>
  <c r="H35" i="26" s="1"/>
  <c r="G35" i="26" s="1"/>
  <c r="F35" i="26"/>
  <c r="E36" i="26"/>
  <c r="H36" i="26" s="1"/>
  <c r="F36" i="26"/>
  <c r="E37" i="26"/>
  <c r="E38" i="26"/>
  <c r="E39" i="26"/>
  <c r="H39" i="26" s="1"/>
  <c r="F39" i="26"/>
  <c r="E40" i="26"/>
  <c r="H40" i="26" s="1"/>
  <c r="E41" i="26"/>
  <c r="F41" i="26" s="1"/>
  <c r="E42" i="26"/>
  <c r="H42" i="26" s="1"/>
  <c r="F42" i="26"/>
  <c r="E43" i="26"/>
  <c r="H43" i="26" s="1"/>
  <c r="E44" i="26"/>
  <c r="H44" i="26" s="1"/>
  <c r="F44" i="26"/>
  <c r="E45" i="26"/>
  <c r="E46" i="26"/>
  <c r="H46" i="26" s="1"/>
  <c r="F46" i="26"/>
  <c r="E47" i="26"/>
  <c r="E48" i="26"/>
  <c r="H48" i="26" s="1"/>
  <c r="E49" i="26"/>
  <c r="F49" i="26" s="1"/>
  <c r="E50" i="26"/>
  <c r="H50" i="26" s="1"/>
  <c r="G50" i="26" s="1"/>
  <c r="F50" i="26"/>
  <c r="E51" i="26"/>
  <c r="H51" i="26" s="1"/>
  <c r="F51" i="26"/>
  <c r="G51" i="26" s="1"/>
  <c r="E52" i="26"/>
  <c r="H52" i="26" s="1"/>
  <c r="E53" i="26"/>
  <c r="E54" i="26"/>
  <c r="H54" i="26" s="1"/>
  <c r="E55" i="26"/>
  <c r="H55" i="26" s="1"/>
  <c r="E56" i="26"/>
  <c r="E57" i="26"/>
  <c r="F57" i="26" s="1"/>
  <c r="E58" i="26"/>
  <c r="H58" i="26" s="1"/>
  <c r="E59" i="26"/>
  <c r="H59" i="26" s="1"/>
  <c r="E60" i="26"/>
  <c r="H60" i="26" s="1"/>
  <c r="E61" i="26"/>
  <c r="E62" i="26"/>
  <c r="H62" i="26" s="1"/>
  <c r="F62" i="26"/>
  <c r="E63" i="26"/>
  <c r="F63" i="26" s="1"/>
  <c r="E64" i="26"/>
  <c r="H64" i="26" s="1"/>
  <c r="E65" i="26"/>
  <c r="E66" i="26"/>
  <c r="F66" i="26" s="1"/>
  <c r="E67" i="26"/>
  <c r="H67" i="26" s="1"/>
  <c r="G67" i="26" s="1"/>
  <c r="F67" i="26"/>
  <c r="E68" i="26"/>
  <c r="H68" i="26" s="1"/>
  <c r="E69" i="26"/>
  <c r="E70" i="26"/>
  <c r="E71" i="26"/>
  <c r="H71" i="26" s="1"/>
  <c r="E72" i="26"/>
  <c r="H72" i="26" s="1"/>
  <c r="E73" i="26"/>
  <c r="F73" i="26" s="1"/>
  <c r="E74" i="26"/>
  <c r="H74" i="26" s="1"/>
  <c r="E75" i="26"/>
  <c r="H75" i="26" s="1"/>
  <c r="E76" i="26"/>
  <c r="H76" i="26" s="1"/>
  <c r="F76" i="26"/>
  <c r="E77" i="26"/>
  <c r="E78" i="26"/>
  <c r="H78" i="26" s="1"/>
  <c r="F78" i="26"/>
  <c r="E79" i="26"/>
  <c r="E80" i="26"/>
  <c r="H80" i="26" s="1"/>
  <c r="F80" i="26"/>
  <c r="E81" i="26"/>
  <c r="F81" i="26" s="1"/>
  <c r="E82" i="26"/>
  <c r="F82" i="26" s="1"/>
  <c r="E83" i="26"/>
  <c r="H83" i="26" s="1"/>
  <c r="F83" i="26"/>
  <c r="G83" i="26" s="1"/>
  <c r="E84" i="26"/>
  <c r="H84" i="26" s="1"/>
  <c r="E85" i="26"/>
  <c r="E86" i="26"/>
  <c r="H86" i="26" s="1"/>
  <c r="E87" i="26"/>
  <c r="H87" i="26" s="1"/>
  <c r="F87" i="26"/>
  <c r="E88" i="26"/>
  <c r="E89" i="26"/>
  <c r="F89" i="26" s="1"/>
  <c r="E90" i="26"/>
  <c r="H90" i="26" s="1"/>
  <c r="G90" i="26" s="1"/>
  <c r="F90" i="26"/>
  <c r="E91" i="26"/>
  <c r="H91" i="26" s="1"/>
  <c r="F91" i="26"/>
  <c r="G91" i="26" s="1"/>
  <c r="E92" i="26"/>
  <c r="H92" i="26" s="1"/>
  <c r="E93" i="26"/>
  <c r="E94" i="26"/>
  <c r="H94" i="26" s="1"/>
  <c r="F94" i="26"/>
  <c r="E95" i="26"/>
  <c r="F95" i="26" s="1"/>
  <c r="E96" i="26"/>
  <c r="H96" i="26" s="1"/>
  <c r="F96" i="26"/>
  <c r="E97" i="26"/>
  <c r="E98" i="26"/>
  <c r="F98" i="26" s="1"/>
  <c r="E99" i="26"/>
  <c r="H99" i="26" s="1"/>
  <c r="F99" i="26"/>
  <c r="E100" i="26"/>
  <c r="H100" i="26" s="1"/>
  <c r="F100" i="26"/>
  <c r="E101" i="26"/>
  <c r="E102" i="26"/>
  <c r="E103" i="26"/>
  <c r="H103" i="26" s="1"/>
  <c r="E104" i="26"/>
  <c r="H104" i="26" s="1"/>
  <c r="E105" i="26"/>
  <c r="F105" i="26" s="1"/>
  <c r="E106" i="26"/>
  <c r="H106" i="26" s="1"/>
  <c r="F106" i="26"/>
  <c r="E107" i="26"/>
  <c r="H107" i="26" s="1"/>
  <c r="E108" i="26"/>
  <c r="H108" i="26" s="1"/>
  <c r="E109" i="26"/>
  <c r="E110" i="26"/>
  <c r="H110" i="26" s="1"/>
  <c r="F110" i="26"/>
  <c r="E111" i="26"/>
  <c r="E112" i="26"/>
  <c r="H112" i="26" s="1"/>
  <c r="E113" i="26"/>
  <c r="F113" i="26" s="1"/>
  <c r="E114" i="26"/>
  <c r="F114" i="26" s="1"/>
  <c r="E115" i="26"/>
  <c r="H115" i="26" s="1"/>
  <c r="F115" i="26"/>
  <c r="G115" i="26" s="1"/>
  <c r="E116" i="26"/>
  <c r="H116" i="26" s="1"/>
  <c r="E117" i="26"/>
  <c r="H117" i="26" s="1"/>
  <c r="E118" i="26"/>
  <c r="H118" i="26" s="1"/>
  <c r="E119" i="26"/>
  <c r="H119" i="26" s="1"/>
  <c r="F119" i="26"/>
  <c r="E120" i="26"/>
  <c r="H120" i="26" s="1"/>
  <c r="E121" i="26"/>
  <c r="H121" i="26" s="1"/>
  <c r="F121" i="26"/>
  <c r="E122" i="26"/>
  <c r="F122" i="26"/>
  <c r="E123" i="26"/>
  <c r="H123" i="26" s="1"/>
  <c r="E124" i="26"/>
  <c r="H124" i="26" s="1"/>
  <c r="E125" i="26"/>
  <c r="H125" i="26" s="1"/>
  <c r="F125" i="26"/>
  <c r="E126" i="26"/>
  <c r="H126" i="26" s="1"/>
  <c r="E127" i="26"/>
  <c r="H127" i="26" s="1"/>
  <c r="E128" i="26"/>
  <c r="H128" i="26" s="1"/>
  <c r="E129" i="26"/>
  <c r="H129" i="26" s="1"/>
  <c r="G129" i="26" s="1"/>
  <c r="F129" i="26"/>
  <c r="E130" i="26"/>
  <c r="H130" i="26" s="1"/>
  <c r="G130" i="26" s="1"/>
  <c r="F130" i="26"/>
  <c r="E131" i="26"/>
  <c r="H131" i="26" s="1"/>
  <c r="F131" i="26"/>
  <c r="G131" i="26" s="1"/>
  <c r="E132" i="26"/>
  <c r="H132" i="26" s="1"/>
  <c r="E133" i="26"/>
  <c r="H133" i="26" s="1"/>
  <c r="E134" i="26"/>
  <c r="H134" i="26" s="1"/>
  <c r="F134" i="26"/>
  <c r="E135" i="26"/>
  <c r="H135" i="26" s="1"/>
  <c r="E136" i="26"/>
  <c r="H136" i="26" s="1"/>
  <c r="E137" i="26"/>
  <c r="H137" i="26" s="1"/>
  <c r="E138" i="26"/>
  <c r="H138" i="26" s="1"/>
  <c r="G138" i="26" s="1"/>
  <c r="F138" i="26"/>
  <c r="E139" i="26"/>
  <c r="H139" i="26" s="1"/>
  <c r="F139" i="26"/>
  <c r="E140" i="26"/>
  <c r="H140" i="26" s="1"/>
  <c r="E141" i="26"/>
  <c r="H141" i="26" s="1"/>
  <c r="E142" i="26"/>
  <c r="H142" i="26" s="1"/>
  <c r="E143" i="26"/>
  <c r="H143" i="26" s="1"/>
  <c r="F143" i="26"/>
  <c r="E144" i="26"/>
  <c r="H144" i="26" s="1"/>
  <c r="E145" i="26"/>
  <c r="H145" i="26" s="1"/>
  <c r="G145" i="26" s="1"/>
  <c r="F145" i="26"/>
  <c r="E146" i="26"/>
  <c r="F146" i="26" s="1"/>
  <c r="E147" i="26"/>
  <c r="H147" i="26" s="1"/>
  <c r="F147" i="26"/>
  <c r="G147" i="26" s="1"/>
  <c r="E148" i="26"/>
  <c r="H148" i="26" s="1"/>
  <c r="E149" i="26"/>
  <c r="H149" i="26" s="1"/>
  <c r="E150" i="26"/>
  <c r="H150" i="26" s="1"/>
  <c r="E151" i="26"/>
  <c r="H151" i="26" s="1"/>
  <c r="E152" i="26"/>
  <c r="H152" i="26" s="1"/>
  <c r="E153" i="26"/>
  <c r="H153" i="26" s="1"/>
  <c r="F153" i="26"/>
  <c r="E154" i="26"/>
  <c r="F154" i="26"/>
  <c r="E155" i="26"/>
  <c r="H155" i="26" s="1"/>
  <c r="F155" i="26"/>
  <c r="E156" i="26"/>
  <c r="H156" i="26" s="1"/>
  <c r="E157" i="26"/>
  <c r="H157" i="26" s="1"/>
  <c r="F157" i="26"/>
  <c r="E158" i="26"/>
  <c r="H158" i="26" s="1"/>
  <c r="E159" i="26"/>
  <c r="H159" i="26" s="1"/>
  <c r="E160" i="26"/>
  <c r="H160" i="26" s="1"/>
  <c r="E161" i="26"/>
  <c r="F161" i="26"/>
  <c r="E162" i="26"/>
  <c r="F162" i="26"/>
  <c r="E163" i="26"/>
  <c r="H163" i="26" s="1"/>
  <c r="F163" i="26"/>
  <c r="G163" i="26" s="1"/>
  <c r="E164" i="26"/>
  <c r="H164" i="26" s="1"/>
  <c r="E165" i="26"/>
  <c r="H165" i="26" s="1"/>
  <c r="E166" i="26"/>
  <c r="H166" i="26" s="1"/>
  <c r="F166" i="26"/>
  <c r="E167" i="26"/>
  <c r="H167" i="26" s="1"/>
  <c r="E168" i="26"/>
  <c r="H168" i="26" s="1"/>
  <c r="E169" i="26"/>
  <c r="H169" i="26" s="1"/>
  <c r="F169" i="26"/>
  <c r="E170" i="26"/>
  <c r="H170" i="26" s="1"/>
  <c r="G170" i="26" s="1"/>
  <c r="F170" i="26"/>
  <c r="E171" i="26"/>
  <c r="H171" i="26" s="1"/>
  <c r="F171" i="26"/>
  <c r="E172" i="26"/>
  <c r="H172" i="26" s="1"/>
  <c r="E173" i="26"/>
  <c r="H173" i="26" s="1"/>
  <c r="E174" i="26"/>
  <c r="H174" i="26" s="1"/>
  <c r="E175" i="26"/>
  <c r="H175" i="26" s="1"/>
  <c r="F175" i="26"/>
  <c r="E176" i="26"/>
  <c r="H176" i="26" s="1"/>
  <c r="E177" i="26"/>
  <c r="F177" i="26"/>
  <c r="E178" i="26"/>
  <c r="H178" i="26" s="1"/>
  <c r="G178" i="26" s="1"/>
  <c r="F178" i="26"/>
  <c r="E179" i="26"/>
  <c r="H179" i="26" s="1"/>
  <c r="F179" i="26"/>
  <c r="G179" i="26" s="1"/>
  <c r="E180" i="26"/>
  <c r="H180" i="26" s="1"/>
  <c r="E181" i="26"/>
  <c r="H181" i="26" s="1"/>
  <c r="E182" i="26"/>
  <c r="H182" i="26" s="1"/>
  <c r="E183" i="26"/>
  <c r="H183" i="26" s="1"/>
  <c r="E184" i="26"/>
  <c r="H184" i="26" s="1"/>
  <c r="E185" i="26"/>
  <c r="H185" i="26" s="1"/>
  <c r="F185" i="26"/>
  <c r="E186" i="26"/>
  <c r="H186" i="26" s="1"/>
  <c r="G186" i="26" s="1"/>
  <c r="F186" i="26"/>
  <c r="E187" i="26"/>
  <c r="H187" i="26" s="1"/>
  <c r="F187" i="26"/>
  <c r="E188" i="26"/>
  <c r="H188" i="26" s="1"/>
  <c r="E189" i="26"/>
  <c r="H189" i="26" s="1"/>
  <c r="F189" i="26"/>
  <c r="E190" i="26"/>
  <c r="H190" i="26" s="1"/>
  <c r="E191" i="26"/>
  <c r="H191" i="26" s="1"/>
  <c r="E192" i="26"/>
  <c r="H192" i="26" s="1"/>
  <c r="E193" i="26"/>
  <c r="H193" i="26" s="1"/>
  <c r="G193" i="26" s="1"/>
  <c r="F193" i="26"/>
  <c r="E194" i="26"/>
  <c r="H194" i="26" s="1"/>
  <c r="G194" i="26" s="1"/>
  <c r="F194" i="26"/>
  <c r="E195" i="26"/>
  <c r="H195" i="26" s="1"/>
  <c r="F195" i="26"/>
  <c r="G195" i="26" s="1"/>
  <c r="E196" i="26"/>
  <c r="H196" i="26" s="1"/>
  <c r="E197" i="26"/>
  <c r="H197" i="26" s="1"/>
  <c r="E198" i="26"/>
  <c r="H198" i="26" s="1"/>
  <c r="F198" i="26"/>
  <c r="E199" i="26"/>
  <c r="H199" i="26" s="1"/>
  <c r="E200" i="26"/>
  <c r="H200" i="26" s="1"/>
  <c r="E201" i="26"/>
  <c r="H201" i="26" s="1"/>
  <c r="F201" i="26"/>
  <c r="E202" i="26"/>
  <c r="F202" i="26"/>
  <c r="E203" i="26"/>
  <c r="H203" i="26" s="1"/>
  <c r="F203" i="26"/>
  <c r="E204" i="26"/>
  <c r="H204" i="26" s="1"/>
  <c r="E205" i="26"/>
  <c r="H205" i="26" s="1"/>
  <c r="E206" i="26"/>
  <c r="H206" i="26" s="1"/>
  <c r="E207" i="26"/>
  <c r="H207" i="26" s="1"/>
  <c r="F207" i="26"/>
  <c r="E208" i="26"/>
  <c r="H208" i="26" s="1"/>
  <c r="E209" i="26"/>
  <c r="F209" i="26"/>
  <c r="E210" i="26"/>
  <c r="H210" i="26" s="1"/>
  <c r="G210" i="26" s="1"/>
  <c r="F210" i="26"/>
  <c r="E211" i="26"/>
  <c r="H211" i="26" s="1"/>
  <c r="F211" i="26"/>
  <c r="G211" i="26" s="1"/>
  <c r="E212" i="26"/>
  <c r="H212" i="26" s="1"/>
  <c r="E213" i="26"/>
  <c r="H213" i="26" s="1"/>
  <c r="E214" i="26"/>
  <c r="H214" i="26" s="1"/>
  <c r="E215" i="26"/>
  <c r="H215" i="26" s="1"/>
  <c r="E216" i="26"/>
  <c r="H216" i="26" s="1"/>
  <c r="E217" i="26"/>
  <c r="H217" i="26" s="1"/>
  <c r="F217" i="26"/>
  <c r="E218" i="26"/>
  <c r="F218" i="26"/>
  <c r="E219" i="26"/>
  <c r="H219" i="26" s="1"/>
  <c r="F219" i="26"/>
  <c r="E220" i="26"/>
  <c r="H220" i="26" s="1"/>
  <c r="E221" i="26"/>
  <c r="H221" i="26" s="1"/>
  <c r="F221" i="26"/>
  <c r="E222" i="26"/>
  <c r="H222" i="26" s="1"/>
  <c r="E223" i="26"/>
  <c r="H223" i="26" s="1"/>
  <c r="E224" i="26"/>
  <c r="H224" i="26" s="1"/>
  <c r="E225" i="26"/>
  <c r="H225" i="26" s="1"/>
  <c r="G225" i="26" s="1"/>
  <c r="F225" i="26"/>
  <c r="E226" i="26"/>
  <c r="H226" i="26" s="1"/>
  <c r="G226" i="26" s="1"/>
  <c r="F226" i="26"/>
  <c r="E227" i="26"/>
  <c r="H227" i="26" s="1"/>
  <c r="F227" i="26"/>
  <c r="G227" i="26" s="1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182" i="25"/>
  <c r="F183" i="25"/>
  <c r="F184" i="25"/>
  <c r="F185" i="25"/>
  <c r="F186" i="25"/>
  <c r="F187" i="25"/>
  <c r="F188" i="25"/>
  <c r="F189" i="25"/>
  <c r="F190" i="25"/>
  <c r="F191" i="25"/>
  <c r="F192" i="25"/>
  <c r="F193" i="25"/>
  <c r="F194" i="25"/>
  <c r="F195" i="25"/>
  <c r="F196" i="25"/>
  <c r="F197" i="25"/>
  <c r="F198" i="25"/>
  <c r="F199" i="25"/>
  <c r="F200" i="25"/>
  <c r="F201" i="25"/>
  <c r="F202" i="25"/>
  <c r="F203" i="25"/>
  <c r="F204" i="25"/>
  <c r="F205" i="25"/>
  <c r="F206" i="25"/>
  <c r="F207" i="25"/>
  <c r="F208" i="25"/>
  <c r="F209" i="25"/>
  <c r="F210" i="25"/>
  <c r="F211" i="25"/>
  <c r="F212" i="25"/>
  <c r="F213" i="25"/>
  <c r="F214" i="25"/>
  <c r="F215" i="25"/>
  <c r="F216" i="25"/>
  <c r="F217" i="25"/>
  <c r="F218" i="25"/>
  <c r="F219" i="25"/>
  <c r="F220" i="25"/>
  <c r="F221" i="25"/>
  <c r="F222" i="25"/>
  <c r="F223" i="25"/>
  <c r="F224" i="25"/>
  <c r="F225" i="25"/>
  <c r="F226" i="25"/>
  <c r="F227" i="25"/>
  <c r="F3" i="25"/>
  <c r="L4" i="22"/>
  <c r="M4" i="22"/>
  <c r="L5" i="22"/>
  <c r="M5" i="22"/>
  <c r="L6" i="22"/>
  <c r="M6" i="22"/>
  <c r="L7" i="22"/>
  <c r="M7" i="22"/>
  <c r="L8" i="22"/>
  <c r="M8" i="22"/>
  <c r="L9" i="22"/>
  <c r="M9" i="22"/>
  <c r="L10" i="22"/>
  <c r="M10" i="22"/>
  <c r="L11" i="22"/>
  <c r="M11" i="22"/>
  <c r="L12" i="22"/>
  <c r="M12" i="22"/>
  <c r="L13" i="22"/>
  <c r="M13" i="22"/>
  <c r="L14" i="22"/>
  <c r="M14" i="22"/>
  <c r="L15" i="22"/>
  <c r="M15" i="22"/>
  <c r="L16" i="22"/>
  <c r="M16" i="22"/>
  <c r="L17" i="22"/>
  <c r="M17" i="22"/>
  <c r="L18" i="22"/>
  <c r="M18" i="22"/>
  <c r="L19" i="22"/>
  <c r="M19" i="22"/>
  <c r="L20" i="22"/>
  <c r="M20" i="22"/>
  <c r="L21" i="22"/>
  <c r="M21" i="22"/>
  <c r="L22" i="22"/>
  <c r="M22" i="22"/>
  <c r="L23" i="22"/>
  <c r="M23" i="22"/>
  <c r="L24" i="22"/>
  <c r="M24" i="22"/>
  <c r="L25" i="22"/>
  <c r="M25" i="22"/>
  <c r="L26" i="22"/>
  <c r="M26" i="22"/>
  <c r="L27" i="22"/>
  <c r="M27" i="22"/>
  <c r="L28" i="22"/>
  <c r="M28" i="22"/>
  <c r="L29" i="22"/>
  <c r="M29" i="22"/>
  <c r="L30" i="22"/>
  <c r="M30" i="22"/>
  <c r="L31" i="22"/>
  <c r="M31" i="22"/>
  <c r="L32" i="22"/>
  <c r="M32" i="22"/>
  <c r="L33" i="22"/>
  <c r="M33" i="22"/>
  <c r="L34" i="22"/>
  <c r="M34" i="22"/>
  <c r="L35" i="22"/>
  <c r="M35" i="22"/>
  <c r="L36" i="22"/>
  <c r="M36" i="22"/>
  <c r="L37" i="22"/>
  <c r="M37" i="22"/>
  <c r="L38" i="22"/>
  <c r="M38" i="22"/>
  <c r="L39" i="22"/>
  <c r="M39" i="22"/>
  <c r="L40" i="22"/>
  <c r="M40" i="22"/>
  <c r="L41" i="22"/>
  <c r="M41" i="22"/>
  <c r="L42" i="22"/>
  <c r="M42" i="22"/>
  <c r="L43" i="22"/>
  <c r="M43" i="22"/>
  <c r="L44" i="22"/>
  <c r="M44" i="22"/>
  <c r="L45" i="22"/>
  <c r="M45" i="22"/>
  <c r="L46" i="22"/>
  <c r="M46" i="22"/>
  <c r="L47" i="22"/>
  <c r="M47" i="22"/>
  <c r="L48" i="22"/>
  <c r="M48" i="22"/>
  <c r="L49" i="22"/>
  <c r="M49" i="22"/>
  <c r="L50" i="22"/>
  <c r="M50" i="22"/>
  <c r="L51" i="22"/>
  <c r="M51" i="22"/>
  <c r="L52" i="22"/>
  <c r="M52" i="22"/>
  <c r="L53" i="22"/>
  <c r="M53" i="22"/>
  <c r="L54" i="22"/>
  <c r="M54" i="22"/>
  <c r="L55" i="22"/>
  <c r="M55" i="22"/>
  <c r="L56" i="22"/>
  <c r="M56" i="22"/>
  <c r="L57" i="22"/>
  <c r="M57" i="22"/>
  <c r="L58" i="22"/>
  <c r="M58" i="22"/>
  <c r="L59" i="22"/>
  <c r="M59" i="22"/>
  <c r="L60" i="22"/>
  <c r="M60" i="22"/>
  <c r="L61" i="22"/>
  <c r="M61" i="22"/>
  <c r="L62" i="22"/>
  <c r="M62" i="22"/>
  <c r="L63" i="22"/>
  <c r="M63" i="22"/>
  <c r="L64" i="22"/>
  <c r="M64" i="22"/>
  <c r="L65" i="22"/>
  <c r="M65" i="22"/>
  <c r="L66" i="22"/>
  <c r="M66" i="22"/>
  <c r="L67" i="22"/>
  <c r="M67" i="22"/>
  <c r="L68" i="22"/>
  <c r="M68" i="22"/>
  <c r="L69" i="22"/>
  <c r="M69" i="22"/>
  <c r="L70" i="22"/>
  <c r="M70" i="22"/>
  <c r="L71" i="22"/>
  <c r="M71" i="22"/>
  <c r="L72" i="22"/>
  <c r="M72" i="22"/>
  <c r="L73" i="22"/>
  <c r="M73" i="22"/>
  <c r="L74" i="22"/>
  <c r="M74" i="22"/>
  <c r="L75" i="22"/>
  <c r="M75" i="22"/>
  <c r="L76" i="22"/>
  <c r="M76" i="22"/>
  <c r="L77" i="22"/>
  <c r="M77" i="22"/>
  <c r="L78" i="22"/>
  <c r="M78" i="22"/>
  <c r="L79" i="22"/>
  <c r="M79" i="22"/>
  <c r="L80" i="22"/>
  <c r="M80" i="22"/>
  <c r="L81" i="22"/>
  <c r="M81" i="22"/>
  <c r="L82" i="22"/>
  <c r="M82" i="22"/>
  <c r="L83" i="22"/>
  <c r="M83" i="22"/>
  <c r="L84" i="22"/>
  <c r="M84" i="22"/>
  <c r="L85" i="22"/>
  <c r="M85" i="22"/>
  <c r="L86" i="22"/>
  <c r="M86" i="22"/>
  <c r="L87" i="22"/>
  <c r="M87" i="22"/>
  <c r="L88" i="22"/>
  <c r="M88" i="22"/>
  <c r="L89" i="22"/>
  <c r="M89" i="22"/>
  <c r="L90" i="22"/>
  <c r="M90" i="22"/>
  <c r="L91" i="22"/>
  <c r="M91" i="22"/>
  <c r="L92" i="22"/>
  <c r="M92" i="22"/>
  <c r="L93" i="22"/>
  <c r="M93" i="22"/>
  <c r="L94" i="22"/>
  <c r="M94" i="22"/>
  <c r="L95" i="22"/>
  <c r="M95" i="22"/>
  <c r="L96" i="22"/>
  <c r="M96" i="22"/>
  <c r="L97" i="22"/>
  <c r="M97" i="22"/>
  <c r="L98" i="22"/>
  <c r="M98" i="22"/>
  <c r="L99" i="22"/>
  <c r="M99" i="22"/>
  <c r="L100" i="22"/>
  <c r="M100" i="22"/>
  <c r="L101" i="22"/>
  <c r="M101" i="22"/>
  <c r="L102" i="22"/>
  <c r="M102" i="22"/>
  <c r="L103" i="22"/>
  <c r="M103" i="22"/>
  <c r="L104" i="22"/>
  <c r="M104" i="22"/>
  <c r="L105" i="22"/>
  <c r="M105" i="22"/>
  <c r="L106" i="22"/>
  <c r="M106" i="22"/>
  <c r="L107" i="22"/>
  <c r="M107" i="22"/>
  <c r="L108" i="22"/>
  <c r="M108" i="22"/>
  <c r="L109" i="22"/>
  <c r="M109" i="22"/>
  <c r="L110" i="22"/>
  <c r="M110" i="22"/>
  <c r="L111" i="22"/>
  <c r="M111" i="22"/>
  <c r="L112" i="22"/>
  <c r="M112" i="22"/>
  <c r="L113" i="22"/>
  <c r="M113" i="22"/>
  <c r="L114" i="22"/>
  <c r="M114" i="22"/>
  <c r="L115" i="22"/>
  <c r="M115" i="22"/>
  <c r="L116" i="22"/>
  <c r="M116" i="22"/>
  <c r="L117" i="22"/>
  <c r="M117" i="22"/>
  <c r="L118" i="22"/>
  <c r="M118" i="22"/>
  <c r="L119" i="22"/>
  <c r="M119" i="22"/>
  <c r="L120" i="22"/>
  <c r="M120" i="22"/>
  <c r="L121" i="22"/>
  <c r="M121" i="22"/>
  <c r="L122" i="22"/>
  <c r="M122" i="22"/>
  <c r="L123" i="22"/>
  <c r="M123" i="22"/>
  <c r="L124" i="22"/>
  <c r="M124" i="22"/>
  <c r="L125" i="22"/>
  <c r="M125" i="22"/>
  <c r="L126" i="22"/>
  <c r="M126" i="22"/>
  <c r="L127" i="22"/>
  <c r="M127" i="22"/>
  <c r="L128" i="22"/>
  <c r="M128" i="22"/>
  <c r="L129" i="22"/>
  <c r="M129" i="22"/>
  <c r="L130" i="22"/>
  <c r="M130" i="22"/>
  <c r="L131" i="22"/>
  <c r="M131" i="22"/>
  <c r="L132" i="22"/>
  <c r="M132" i="22"/>
  <c r="L133" i="22"/>
  <c r="M133" i="22"/>
  <c r="L134" i="22"/>
  <c r="M134" i="22"/>
  <c r="L135" i="22"/>
  <c r="M135" i="22"/>
  <c r="L136" i="22"/>
  <c r="M136" i="22"/>
  <c r="L137" i="22"/>
  <c r="M137" i="22"/>
  <c r="L138" i="22"/>
  <c r="M138" i="22"/>
  <c r="L139" i="22"/>
  <c r="M139" i="22"/>
  <c r="L140" i="22"/>
  <c r="M140" i="22"/>
  <c r="L141" i="22"/>
  <c r="M141" i="22"/>
  <c r="L142" i="22"/>
  <c r="M142" i="22"/>
  <c r="L143" i="22"/>
  <c r="M143" i="22"/>
  <c r="L144" i="22"/>
  <c r="M144" i="22"/>
  <c r="L145" i="22"/>
  <c r="M145" i="22"/>
  <c r="L146" i="22"/>
  <c r="M146" i="22"/>
  <c r="L147" i="22"/>
  <c r="M147" i="22"/>
  <c r="L148" i="22"/>
  <c r="M148" i="22"/>
  <c r="L149" i="22"/>
  <c r="M149" i="22"/>
  <c r="L150" i="22"/>
  <c r="M150" i="22"/>
  <c r="L151" i="22"/>
  <c r="M151" i="22"/>
  <c r="L152" i="22"/>
  <c r="M152" i="22"/>
  <c r="L153" i="22"/>
  <c r="M153" i="22"/>
  <c r="L154" i="22"/>
  <c r="M154" i="22"/>
  <c r="L155" i="22"/>
  <c r="M155" i="22"/>
  <c r="L156" i="22"/>
  <c r="M156" i="22"/>
  <c r="L157" i="22"/>
  <c r="M157" i="22"/>
  <c r="L158" i="22"/>
  <c r="M158" i="22"/>
  <c r="L159" i="22"/>
  <c r="M159" i="22"/>
  <c r="L160" i="22"/>
  <c r="M160" i="22"/>
  <c r="L161" i="22"/>
  <c r="M161" i="22"/>
  <c r="L162" i="22"/>
  <c r="M162" i="22"/>
  <c r="L163" i="22"/>
  <c r="M163" i="22"/>
  <c r="L164" i="22"/>
  <c r="M164" i="22"/>
  <c r="L165" i="22"/>
  <c r="M165" i="22"/>
  <c r="L166" i="22"/>
  <c r="M166" i="22"/>
  <c r="L167" i="22"/>
  <c r="M167" i="22"/>
  <c r="L168" i="22"/>
  <c r="M168" i="22"/>
  <c r="L169" i="22"/>
  <c r="M169" i="22"/>
  <c r="L170" i="22"/>
  <c r="M170" i="22"/>
  <c r="L171" i="22"/>
  <c r="M171" i="22"/>
  <c r="L172" i="22"/>
  <c r="M172" i="22"/>
  <c r="L173" i="22"/>
  <c r="M173" i="22"/>
  <c r="L174" i="22"/>
  <c r="M174" i="22"/>
  <c r="L175" i="22"/>
  <c r="M175" i="22"/>
  <c r="L176" i="22"/>
  <c r="M176" i="22"/>
  <c r="L177" i="22"/>
  <c r="M177" i="22"/>
  <c r="L178" i="22"/>
  <c r="M178" i="22"/>
  <c r="L179" i="22"/>
  <c r="M179" i="22"/>
  <c r="L180" i="22"/>
  <c r="M180" i="22"/>
  <c r="L181" i="22"/>
  <c r="M181" i="22"/>
  <c r="L182" i="22"/>
  <c r="M182" i="22"/>
  <c r="L183" i="22"/>
  <c r="M183" i="22"/>
  <c r="L184" i="22"/>
  <c r="M184" i="22"/>
  <c r="L185" i="22"/>
  <c r="M185" i="22"/>
  <c r="L186" i="22"/>
  <c r="M186" i="22"/>
  <c r="L187" i="22"/>
  <c r="M187" i="22"/>
  <c r="L188" i="22"/>
  <c r="M188" i="22"/>
  <c r="L189" i="22"/>
  <c r="M189" i="22"/>
  <c r="L190" i="22"/>
  <c r="M190" i="22"/>
  <c r="L191" i="22"/>
  <c r="M191" i="22"/>
  <c r="L192" i="22"/>
  <c r="M192" i="22"/>
  <c r="L193" i="22"/>
  <c r="M193" i="22"/>
  <c r="L194" i="22"/>
  <c r="M194" i="22"/>
  <c r="L195" i="22"/>
  <c r="M195" i="22"/>
  <c r="L196" i="22"/>
  <c r="M196" i="22"/>
  <c r="L197" i="22"/>
  <c r="M197" i="22"/>
  <c r="L198" i="22"/>
  <c r="M198" i="22"/>
  <c r="L199" i="22"/>
  <c r="M199" i="22"/>
  <c r="L200" i="22"/>
  <c r="M200" i="22"/>
  <c r="L201" i="22"/>
  <c r="M201" i="22"/>
  <c r="L202" i="22"/>
  <c r="M202" i="22"/>
  <c r="L203" i="22"/>
  <c r="M203" i="22"/>
  <c r="L204" i="22"/>
  <c r="M204" i="22"/>
  <c r="L205" i="22"/>
  <c r="M205" i="22"/>
  <c r="L206" i="22"/>
  <c r="M206" i="22"/>
  <c r="L207" i="22"/>
  <c r="M207" i="22"/>
  <c r="L208" i="22"/>
  <c r="M208" i="22"/>
  <c r="L209" i="22"/>
  <c r="M209" i="22"/>
  <c r="L210" i="22"/>
  <c r="M210" i="22"/>
  <c r="L211" i="22"/>
  <c r="M211" i="22"/>
  <c r="L212" i="22"/>
  <c r="M212" i="22"/>
  <c r="L213" i="22"/>
  <c r="M213" i="22"/>
  <c r="L214" i="22"/>
  <c r="M214" i="22"/>
  <c r="L215" i="22"/>
  <c r="M215" i="22"/>
  <c r="L216" i="22"/>
  <c r="M216" i="22"/>
  <c r="L217" i="22"/>
  <c r="M217" i="22"/>
  <c r="L218" i="22"/>
  <c r="M218" i="22"/>
  <c r="L219" i="22"/>
  <c r="M219" i="22"/>
  <c r="L220" i="22"/>
  <c r="M220" i="22"/>
  <c r="L221" i="22"/>
  <c r="M221" i="22"/>
  <c r="L222" i="22"/>
  <c r="M222" i="22"/>
  <c r="L223" i="22"/>
  <c r="M223" i="22"/>
  <c r="L224" i="22"/>
  <c r="M224" i="22"/>
  <c r="L225" i="22"/>
  <c r="M225" i="22"/>
  <c r="L226" i="22"/>
  <c r="M226" i="22"/>
  <c r="L227" i="22"/>
  <c r="M227" i="22"/>
  <c r="L228" i="22"/>
  <c r="M228" i="22"/>
  <c r="L3" i="22"/>
  <c r="M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C39" i="22"/>
  <c r="C40" i="22"/>
  <c r="C41" i="22"/>
  <c r="C42" i="22"/>
  <c r="C43" i="22"/>
  <c r="C4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C175" i="22"/>
  <c r="C176" i="22"/>
  <c r="C177" i="22"/>
  <c r="C178" i="22"/>
  <c r="C179" i="22"/>
  <c r="C180" i="22"/>
  <c r="C181" i="22"/>
  <c r="C182" i="22"/>
  <c r="C183" i="22"/>
  <c r="C184" i="22"/>
  <c r="C185" i="22"/>
  <c r="C186" i="22"/>
  <c r="C187" i="22"/>
  <c r="C188" i="22"/>
  <c r="C189" i="22"/>
  <c r="C190" i="22"/>
  <c r="C191" i="22"/>
  <c r="C192" i="22"/>
  <c r="C193" i="22"/>
  <c r="C194" i="22"/>
  <c r="C195" i="22"/>
  <c r="C196" i="22"/>
  <c r="C197" i="22"/>
  <c r="C198" i="22"/>
  <c r="C199" i="22"/>
  <c r="C200" i="22"/>
  <c r="C201" i="22"/>
  <c r="C202" i="22"/>
  <c r="C203" i="22"/>
  <c r="C204" i="22"/>
  <c r="C205" i="22"/>
  <c r="C206" i="22"/>
  <c r="C207" i="22"/>
  <c r="C208" i="22"/>
  <c r="C209" i="22"/>
  <c r="C210" i="22"/>
  <c r="C211" i="22"/>
  <c r="C212" i="22"/>
  <c r="C213" i="22"/>
  <c r="C214" i="22"/>
  <c r="C215" i="22"/>
  <c r="C216" i="22"/>
  <c r="C217" i="22"/>
  <c r="C218" i="22"/>
  <c r="C219" i="22"/>
  <c r="C220" i="22"/>
  <c r="C221" i="22"/>
  <c r="C222" i="22"/>
  <c r="C223" i="22"/>
  <c r="C224" i="22"/>
  <c r="C225" i="22"/>
  <c r="C226" i="22"/>
  <c r="C227" i="22"/>
  <c r="C3" i="22"/>
  <c r="Z4" i="21"/>
  <c r="Z28" i="21"/>
  <c r="AA4" i="21"/>
  <c r="AA28" i="21"/>
  <c r="Z5" i="21"/>
  <c r="Z29" i="21"/>
  <c r="AA5" i="21"/>
  <c r="AA29" i="21"/>
  <c r="Z6" i="21"/>
  <c r="Z30" i="21"/>
  <c r="AA6" i="21"/>
  <c r="AA30" i="21"/>
  <c r="Z7" i="21"/>
  <c r="Z31" i="21"/>
  <c r="AA7" i="21"/>
  <c r="AA31" i="21"/>
  <c r="Z8" i="21"/>
  <c r="Z32" i="21"/>
  <c r="AA8" i="21"/>
  <c r="AA32" i="21"/>
  <c r="Z9" i="21"/>
  <c r="Z33" i="21"/>
  <c r="AA9" i="21"/>
  <c r="AA33" i="21"/>
  <c r="Z10" i="21"/>
  <c r="Z34" i="21"/>
  <c r="AA10" i="21"/>
  <c r="AA34" i="21"/>
  <c r="Z11" i="21"/>
  <c r="Z35" i="21"/>
  <c r="AA11" i="21"/>
  <c r="AA35" i="21"/>
  <c r="V23" i="21"/>
  <c r="V11" i="21"/>
  <c r="V35" i="21"/>
  <c r="T23" i="21"/>
  <c r="T11" i="21"/>
  <c r="S23" i="21"/>
  <c r="S11" i="21"/>
  <c r="S35" i="21"/>
  <c r="R23" i="21"/>
  <c r="R11" i="21"/>
  <c r="R35" i="21"/>
  <c r="V22" i="21"/>
  <c r="V10" i="21"/>
  <c r="T22" i="21"/>
  <c r="T10" i="21"/>
  <c r="T34" i="21"/>
  <c r="S22" i="21"/>
  <c r="S10" i="21"/>
  <c r="S34" i="21"/>
  <c r="R22" i="21"/>
  <c r="R10" i="21"/>
  <c r="V21" i="21"/>
  <c r="V9" i="21"/>
  <c r="T21" i="21"/>
  <c r="T9" i="21"/>
  <c r="S21" i="21"/>
  <c r="S9" i="21"/>
  <c r="S33" i="21"/>
  <c r="R21" i="21"/>
  <c r="R9" i="21"/>
  <c r="R33" i="21"/>
  <c r="V20" i="21"/>
  <c r="V8" i="21"/>
  <c r="T20" i="21"/>
  <c r="T8" i="21"/>
  <c r="T32" i="21"/>
  <c r="S20" i="21"/>
  <c r="S8" i="21"/>
  <c r="S32" i="21"/>
  <c r="R20" i="21"/>
  <c r="R8" i="21"/>
  <c r="V19" i="21"/>
  <c r="V7" i="21"/>
  <c r="T19" i="21"/>
  <c r="T7" i="21"/>
  <c r="T31" i="21"/>
  <c r="S19" i="21"/>
  <c r="S7" i="21"/>
  <c r="S31" i="21"/>
  <c r="R19" i="21"/>
  <c r="R7" i="21"/>
  <c r="R31" i="21"/>
  <c r="V18" i="21"/>
  <c r="V6" i="21"/>
  <c r="V30" i="21"/>
  <c r="T18" i="21"/>
  <c r="T6" i="21"/>
  <c r="T30" i="21"/>
  <c r="S18" i="21"/>
  <c r="S6" i="21"/>
  <c r="S30" i="21"/>
  <c r="R18" i="21"/>
  <c r="R6" i="21"/>
  <c r="V17" i="21"/>
  <c r="V5" i="21"/>
  <c r="T17" i="21"/>
  <c r="T5" i="21"/>
  <c r="S17" i="21"/>
  <c r="S5" i="21"/>
  <c r="S29" i="21"/>
  <c r="R17" i="21"/>
  <c r="R5" i="21"/>
  <c r="R29" i="21"/>
  <c r="T16" i="21"/>
  <c r="T4" i="21"/>
  <c r="S16" i="21"/>
  <c r="S4" i="21"/>
  <c r="S28" i="21"/>
  <c r="U17" i="21"/>
  <c r="U5" i="21"/>
  <c r="U29" i="21"/>
  <c r="W17" i="21"/>
  <c r="W5" i="21"/>
  <c r="X17" i="21"/>
  <c r="X5" i="21"/>
  <c r="Y17" i="21"/>
  <c r="Y5" i="21"/>
  <c r="U18" i="21"/>
  <c r="U6" i="21"/>
  <c r="U30" i="21"/>
  <c r="W18" i="21"/>
  <c r="W6" i="21"/>
  <c r="W30" i="21"/>
  <c r="X18" i="21"/>
  <c r="X6" i="21"/>
  <c r="Y18" i="21"/>
  <c r="Y6" i="21"/>
  <c r="Y30" i="21"/>
  <c r="U19" i="21"/>
  <c r="U7" i="21"/>
  <c r="U31" i="21"/>
  <c r="W19" i="21"/>
  <c r="W7" i="21"/>
  <c r="X19" i="21"/>
  <c r="X7" i="21"/>
  <c r="Y19" i="21"/>
  <c r="Y7" i="21"/>
  <c r="Y31" i="21"/>
  <c r="U20" i="21"/>
  <c r="U8" i="21"/>
  <c r="U32" i="21"/>
  <c r="W20" i="21"/>
  <c r="W8" i="21"/>
  <c r="W32" i="21"/>
  <c r="X20" i="21"/>
  <c r="X8" i="21"/>
  <c r="X32" i="21"/>
  <c r="Y20" i="21"/>
  <c r="Y8" i="21"/>
  <c r="Y32" i="21"/>
  <c r="U21" i="21"/>
  <c r="U9" i="21"/>
  <c r="U33" i="21"/>
  <c r="W21" i="21"/>
  <c r="W9" i="21"/>
  <c r="X21" i="21"/>
  <c r="X9" i="21"/>
  <c r="Y21" i="21"/>
  <c r="Y9" i="21"/>
  <c r="Y33" i="21"/>
  <c r="U22" i="21"/>
  <c r="U10" i="21"/>
  <c r="U34" i="21"/>
  <c r="W22" i="21"/>
  <c r="W10" i="21"/>
  <c r="W34" i="21"/>
  <c r="X22" i="21"/>
  <c r="X10" i="21"/>
  <c r="X34" i="21"/>
  <c r="Y22" i="21"/>
  <c r="Y10" i="21"/>
  <c r="Y34" i="21"/>
  <c r="U23" i="21"/>
  <c r="U11" i="21"/>
  <c r="U35" i="21"/>
  <c r="W23" i="21"/>
  <c r="W11" i="21"/>
  <c r="X23" i="21"/>
  <c r="X11" i="21"/>
  <c r="Y23" i="21"/>
  <c r="Y11" i="21"/>
  <c r="U16" i="21"/>
  <c r="U4" i="21"/>
  <c r="U28" i="21"/>
  <c r="V16" i="21"/>
  <c r="V4" i="21"/>
  <c r="V28" i="21"/>
  <c r="W16" i="21"/>
  <c r="W4" i="21"/>
  <c r="X16" i="21"/>
  <c r="X4" i="21"/>
  <c r="Y16" i="21"/>
  <c r="Y4" i="21"/>
  <c r="Y28" i="21"/>
  <c r="R16" i="21"/>
  <c r="R4" i="21"/>
  <c r="F29" i="21"/>
  <c r="G29" i="21"/>
  <c r="H29" i="21"/>
  <c r="I29" i="21"/>
  <c r="J29" i="21"/>
  <c r="K29" i="21"/>
  <c r="L29" i="21"/>
  <c r="M29" i="21"/>
  <c r="F30" i="21"/>
  <c r="G30" i="21"/>
  <c r="H30" i="21"/>
  <c r="I30" i="21"/>
  <c r="J30" i="21"/>
  <c r="K30" i="21"/>
  <c r="L30" i="21"/>
  <c r="M30" i="21"/>
  <c r="F31" i="21"/>
  <c r="G31" i="21"/>
  <c r="H31" i="21"/>
  <c r="I31" i="21"/>
  <c r="J31" i="21"/>
  <c r="K31" i="21"/>
  <c r="L31" i="21"/>
  <c r="M31" i="21"/>
  <c r="F32" i="21"/>
  <c r="G32" i="21"/>
  <c r="H32" i="21"/>
  <c r="I32" i="21"/>
  <c r="J32" i="21"/>
  <c r="K32" i="21"/>
  <c r="L32" i="21"/>
  <c r="M32" i="21"/>
  <c r="F33" i="21"/>
  <c r="G33" i="21"/>
  <c r="H33" i="21"/>
  <c r="I33" i="21"/>
  <c r="J33" i="21"/>
  <c r="K33" i="21"/>
  <c r="L33" i="21"/>
  <c r="M33" i="21"/>
  <c r="F34" i="21"/>
  <c r="G34" i="21"/>
  <c r="H34" i="21"/>
  <c r="I34" i="21"/>
  <c r="J34" i="21"/>
  <c r="K34" i="21"/>
  <c r="L34" i="21"/>
  <c r="M34" i="21"/>
  <c r="F35" i="21"/>
  <c r="G35" i="21"/>
  <c r="H35" i="21"/>
  <c r="I35" i="21"/>
  <c r="J35" i="21"/>
  <c r="K35" i="21"/>
  <c r="L35" i="21"/>
  <c r="M35" i="21"/>
  <c r="G28" i="21"/>
  <c r="H28" i="21"/>
  <c r="I28" i="21"/>
  <c r="J28" i="21"/>
  <c r="K28" i="21"/>
  <c r="L28" i="21"/>
  <c r="M28" i="21"/>
  <c r="F28" i="21"/>
  <c r="AD11" i="20"/>
  <c r="AD12" i="20"/>
  <c r="AD13" i="20"/>
  <c r="AD14" i="20"/>
  <c r="AD15" i="20"/>
  <c r="AD16" i="20"/>
  <c r="AD17" i="20"/>
  <c r="AD10" i="20"/>
  <c r="Z11" i="20"/>
  <c r="Z12" i="20"/>
  <c r="Z13" i="20"/>
  <c r="Z14" i="20"/>
  <c r="Z15" i="20"/>
  <c r="Z16" i="20"/>
  <c r="Z17" i="20"/>
  <c r="Z10" i="20"/>
  <c r="U9" i="16"/>
  <c r="F55" i="16" a="1"/>
  <c r="F55" i="16"/>
  <c r="U4" i="16"/>
  <c r="G41" i="16"/>
  <c r="H42" i="16"/>
  <c r="G42" i="16"/>
  <c r="G43" i="16"/>
  <c r="H43" i="16"/>
  <c r="F41" i="16"/>
  <c r="E42" i="16"/>
  <c r="I42" i="16"/>
  <c r="F42" i="16"/>
  <c r="I43" i="16"/>
  <c r="E41" i="16"/>
  <c r="I41" i="16"/>
  <c r="H41" i="16"/>
  <c r="F43" i="16"/>
  <c r="E43" i="16"/>
  <c r="E50" i="16" a="1"/>
  <c r="E50" i="16"/>
  <c r="Y29" i="21"/>
  <c r="W31" i="21"/>
  <c r="R32" i="21"/>
  <c r="W33" i="21"/>
  <c r="V31" i="21"/>
  <c r="X30" i="21"/>
  <c r="T33" i="21"/>
  <c r="W35" i="21"/>
  <c r="T28" i="21"/>
  <c r="T29" i="21"/>
  <c r="V34" i="21"/>
  <c r="T35" i="21"/>
  <c r="W28" i="21"/>
  <c r="Y35" i="21"/>
  <c r="R30" i="21"/>
  <c r="R28" i="21"/>
  <c r="V32" i="21"/>
  <c r="X28" i="21"/>
  <c r="W29" i="21"/>
  <c r="R34" i="21"/>
  <c r="D56" i="16" a="1"/>
  <c r="D56" i="16"/>
  <c r="D50" i="16" a="1"/>
  <c r="D50" i="16"/>
  <c r="U10" i="16"/>
  <c r="F53" i="16" a="1"/>
  <c r="F53" i="16"/>
  <c r="D57" i="16" a="1"/>
  <c r="D57" i="16"/>
  <c r="F49" i="16" a="1"/>
  <c r="F49" i="16"/>
  <c r="F50" i="16" a="1"/>
  <c r="F50" i="16"/>
  <c r="D58" i="16" a="1"/>
  <c r="D58" i="16"/>
  <c r="E52" i="16" a="1"/>
  <c r="E52" i="16"/>
  <c r="E49" i="16" a="1"/>
  <c r="E49" i="16"/>
  <c r="E57" i="16" a="1"/>
  <c r="E57" i="16"/>
  <c r="E58" i="16" a="1"/>
  <c r="E58" i="16"/>
  <c r="F58" i="16" a="1"/>
  <c r="F58" i="16"/>
  <c r="D52" i="16" a="1"/>
  <c r="D52" i="16"/>
  <c r="D49" i="16" a="1"/>
  <c r="D49" i="16"/>
  <c r="F56" i="16" a="1"/>
  <c r="F56" i="16"/>
  <c r="F57" i="16" a="1"/>
  <c r="F57" i="16"/>
  <c r="F52" i="16" a="1"/>
  <c r="F52" i="16"/>
  <c r="E53" i="16" a="1"/>
  <c r="E53" i="16"/>
  <c r="D53" i="16" a="1"/>
  <c r="D53" i="16"/>
  <c r="F47" i="16"/>
  <c r="E51" i="16" a="1"/>
  <c r="E51" i="16"/>
  <c r="F54" i="16" a="1"/>
  <c r="F54" i="16"/>
  <c r="E55" i="16" a="1"/>
  <c r="E55" i="16"/>
  <c r="D55" i="16" a="1"/>
  <c r="D55" i="16"/>
  <c r="E56" i="16" a="1"/>
  <c r="E56" i="16"/>
  <c r="F51" i="16" a="1"/>
  <c r="F51" i="16"/>
  <c r="D54" i="16" a="1"/>
  <c r="D54" i="16"/>
  <c r="D51" i="16" a="1"/>
  <c r="D51" i="16"/>
  <c r="E54" i="16" a="1"/>
  <c r="E54" i="16"/>
  <c r="X29" i="21"/>
  <c r="X33" i="21"/>
  <c r="X35" i="21"/>
  <c r="X31" i="21"/>
  <c r="V29" i="21"/>
  <c r="V33" i="21"/>
  <c r="K53" i="16" a="1"/>
  <c r="K53" i="16"/>
  <c r="I54" i="16" a="1"/>
  <c r="I54" i="16"/>
  <c r="K52" i="16" a="1"/>
  <c r="K52" i="16"/>
  <c r="I53" i="16" a="1"/>
  <c r="I53" i="16"/>
  <c r="K51" i="16" a="1"/>
  <c r="K51" i="16"/>
  <c r="J52" i="16" a="1"/>
  <c r="J52" i="16"/>
  <c r="J51" i="16" a="1"/>
  <c r="J51" i="16"/>
  <c r="I49" i="16" a="1"/>
  <c r="I49" i="16"/>
  <c r="K55" i="16" a="1"/>
  <c r="K55" i="16"/>
  <c r="K56" i="16" a="1"/>
  <c r="K56" i="16"/>
  <c r="J58" i="16" a="1"/>
  <c r="J58" i="16"/>
  <c r="I57" i="16" a="1"/>
  <c r="I57" i="16"/>
  <c r="J56" i="16" a="1"/>
  <c r="J56" i="16"/>
  <c r="I56" i="16" a="1"/>
  <c r="I56" i="16"/>
  <c r="J54" i="16" a="1"/>
  <c r="J54" i="16"/>
  <c r="I58" i="16" a="1"/>
  <c r="I58" i="16"/>
  <c r="J57" i="16" a="1"/>
  <c r="J57" i="16"/>
  <c r="K54" i="16" a="1"/>
  <c r="K54" i="16"/>
  <c r="I52" i="16" a="1"/>
  <c r="I52" i="16"/>
  <c r="J49" i="16" a="1"/>
  <c r="J49" i="16"/>
  <c r="K47" i="16"/>
  <c r="I51" i="16" a="1"/>
  <c r="I51" i="16"/>
  <c r="J55" i="16" a="1"/>
  <c r="J55" i="16"/>
  <c r="K49" i="16" a="1"/>
  <c r="K49" i="16"/>
  <c r="K50" i="16" a="1"/>
  <c r="K50" i="16"/>
  <c r="K57" i="16" a="1"/>
  <c r="K57" i="16"/>
  <c r="I55" i="16" a="1"/>
  <c r="I55" i="16"/>
  <c r="J53" i="16" a="1"/>
  <c r="J53" i="16"/>
  <c r="J50" i="16" a="1"/>
  <c r="J50" i="16"/>
  <c r="K58" i="16" a="1"/>
  <c r="K58" i="16"/>
  <c r="I50" i="16" a="1"/>
  <c r="I50" i="16"/>
  <c r="B1" i="19"/>
  <c r="G112" i="26" l="1"/>
  <c r="G190" i="26"/>
  <c r="G114" i="26"/>
  <c r="G223" i="26"/>
  <c r="G214" i="26"/>
  <c r="G182" i="26"/>
  <c r="G150" i="26"/>
  <c r="G64" i="26"/>
  <c r="G10" i="26"/>
  <c r="G218" i="26"/>
  <c r="G177" i="26"/>
  <c r="H89" i="26"/>
  <c r="G89" i="26" s="1"/>
  <c r="F222" i="26"/>
  <c r="G222" i="26" s="1"/>
  <c r="F213" i="26"/>
  <c r="F199" i="26"/>
  <c r="F190" i="26"/>
  <c r="F181" i="26"/>
  <c r="F167" i="26"/>
  <c r="F158" i="26"/>
  <c r="F149" i="26"/>
  <c r="G149" i="26" s="1"/>
  <c r="F135" i="26"/>
  <c r="F126" i="26"/>
  <c r="G126" i="26" s="1"/>
  <c r="F117" i="26"/>
  <c r="F112" i="26"/>
  <c r="G96" i="26"/>
  <c r="F74" i="26"/>
  <c r="F68" i="26"/>
  <c r="F58" i="26"/>
  <c r="G58" i="26" s="1"/>
  <c r="G42" i="26"/>
  <c r="F30" i="26"/>
  <c r="G30" i="26" s="1"/>
  <c r="F19" i="26"/>
  <c r="G19" i="26" s="1"/>
  <c r="F14" i="26"/>
  <c r="G14" i="26" s="1"/>
  <c r="H82" i="26"/>
  <c r="G82" i="26" s="1"/>
  <c r="H34" i="26"/>
  <c r="G162" i="26"/>
  <c r="G121" i="26"/>
  <c r="G198" i="26"/>
  <c r="G143" i="26"/>
  <c r="F215" i="26"/>
  <c r="F206" i="26"/>
  <c r="G206" i="26" s="1"/>
  <c r="F197" i="26"/>
  <c r="G197" i="26" s="1"/>
  <c r="F183" i="26"/>
  <c r="F174" i="26"/>
  <c r="F165" i="26"/>
  <c r="F151" i="26"/>
  <c r="F142" i="26"/>
  <c r="G142" i="26" s="1"/>
  <c r="F133" i="26"/>
  <c r="G110" i="26"/>
  <c r="F71" i="26"/>
  <c r="G71" i="26" s="1"/>
  <c r="F60" i="26"/>
  <c r="F55" i="26"/>
  <c r="G39" i="26"/>
  <c r="G23" i="26"/>
  <c r="F6" i="26"/>
  <c r="G6" i="26" s="1"/>
  <c r="H146" i="26"/>
  <c r="G146" i="26" s="1"/>
  <c r="H98" i="26"/>
  <c r="G98" i="26" s="1"/>
  <c r="G166" i="26"/>
  <c r="H25" i="26"/>
  <c r="G25" i="26" s="1"/>
  <c r="G174" i="26"/>
  <c r="F137" i="26"/>
  <c r="F123" i="26"/>
  <c r="F103" i="26"/>
  <c r="G103" i="26" s="1"/>
  <c r="F92" i="26"/>
  <c r="G55" i="26"/>
  <c r="F32" i="26"/>
  <c r="G32" i="26" s="1"/>
  <c r="F27" i="26"/>
  <c r="G27" i="26" s="1"/>
  <c r="F16" i="26"/>
  <c r="G16" i="26" s="1"/>
  <c r="H57" i="26"/>
  <c r="G57" i="26" s="1"/>
  <c r="H17" i="26"/>
  <c r="G17" i="26" s="1"/>
  <c r="G158" i="26"/>
  <c r="G217" i="26"/>
  <c r="G185" i="26"/>
  <c r="G153" i="26"/>
  <c r="G46" i="26"/>
  <c r="G207" i="26"/>
  <c r="G175" i="26"/>
  <c r="G134" i="26"/>
  <c r="G78" i="26"/>
  <c r="G7" i="26"/>
  <c r="G154" i="26"/>
  <c r="H113" i="26"/>
  <c r="G113" i="26" s="1"/>
  <c r="F223" i="26"/>
  <c r="F214" i="26"/>
  <c r="F205" i="26"/>
  <c r="G205" i="26" s="1"/>
  <c r="G201" i="26"/>
  <c r="F191" i="26"/>
  <c r="G191" i="26" s="1"/>
  <c r="F182" i="26"/>
  <c r="F173" i="26"/>
  <c r="G173" i="26" s="1"/>
  <c r="G169" i="26"/>
  <c r="F159" i="26"/>
  <c r="G159" i="26" s="1"/>
  <c r="F150" i="26"/>
  <c r="F141" i="26"/>
  <c r="G137" i="26"/>
  <c r="F127" i="26"/>
  <c r="F118" i="26"/>
  <c r="G118" i="26" s="1"/>
  <c r="F108" i="26"/>
  <c r="G108" i="26" s="1"/>
  <c r="G87" i="26"/>
  <c r="F64" i="26"/>
  <c r="F59" i="26"/>
  <c r="G59" i="26" s="1"/>
  <c r="F48" i="26"/>
  <c r="G48" i="26" s="1"/>
  <c r="F10" i="26"/>
  <c r="E3" i="18"/>
  <c r="E11" i="18"/>
  <c r="E19" i="18"/>
  <c r="E27" i="18"/>
  <c r="E35" i="18"/>
  <c r="E43" i="18"/>
  <c r="E51" i="18"/>
  <c r="E59" i="18"/>
  <c r="E67" i="18"/>
  <c r="E75" i="18"/>
  <c r="E83" i="18"/>
  <c r="E91" i="18"/>
  <c r="E99" i="18"/>
  <c r="E107" i="18"/>
  <c r="E115" i="18"/>
  <c r="E123" i="18"/>
  <c r="E131" i="18"/>
  <c r="E139" i="18"/>
  <c r="E147" i="18"/>
  <c r="E155" i="18"/>
  <c r="E163" i="18"/>
  <c r="E171" i="18"/>
  <c r="E179" i="18"/>
  <c r="E187" i="18"/>
  <c r="E195" i="18"/>
  <c r="E203" i="18"/>
  <c r="E211" i="18"/>
  <c r="E219" i="18"/>
  <c r="E227" i="18"/>
  <c r="E14" i="18"/>
  <c r="E102" i="18"/>
  <c r="E134" i="18"/>
  <c r="E158" i="18"/>
  <c r="E182" i="18"/>
  <c r="E198" i="18"/>
  <c r="E222" i="18"/>
  <c r="E7" i="18"/>
  <c r="E39" i="18"/>
  <c r="E63" i="18"/>
  <c r="E87" i="18"/>
  <c r="E111" i="18"/>
  <c r="E135" i="18"/>
  <c r="E159" i="18"/>
  <c r="E183" i="18"/>
  <c r="E207" i="18"/>
  <c r="E231" i="18"/>
  <c r="E8" i="18"/>
  <c r="E32" i="18"/>
  <c r="E56" i="18"/>
  <c r="E80" i="18"/>
  <c r="E112" i="18"/>
  <c r="E136" i="18"/>
  <c r="E160" i="18"/>
  <c r="E184" i="18"/>
  <c r="E208" i="18"/>
  <c r="E232" i="18"/>
  <c r="E4" i="18"/>
  <c r="E12" i="18"/>
  <c r="E20" i="18"/>
  <c r="E28" i="18"/>
  <c r="E36" i="18"/>
  <c r="E44" i="18"/>
  <c r="E52" i="18"/>
  <c r="E60" i="18"/>
  <c r="E68" i="18"/>
  <c r="E76" i="18"/>
  <c r="E84" i="18"/>
  <c r="E92" i="18"/>
  <c r="E100" i="18"/>
  <c r="E108" i="18"/>
  <c r="E116" i="18"/>
  <c r="E124" i="18"/>
  <c r="E132" i="18"/>
  <c r="E140" i="18"/>
  <c r="E148" i="18"/>
  <c r="E156" i="18"/>
  <c r="E164" i="18"/>
  <c r="E172" i="18"/>
  <c r="E180" i="18"/>
  <c r="E188" i="18"/>
  <c r="E196" i="18"/>
  <c r="E204" i="18"/>
  <c r="E212" i="18"/>
  <c r="E220" i="18"/>
  <c r="E228" i="18"/>
  <c r="E22" i="18"/>
  <c r="E94" i="18"/>
  <c r="E126" i="18"/>
  <c r="E150" i="18"/>
  <c r="E174" i="18"/>
  <c r="E206" i="18"/>
  <c r="E230" i="18"/>
  <c r="E15" i="18"/>
  <c r="E31" i="18"/>
  <c r="E55" i="18"/>
  <c r="E79" i="18"/>
  <c r="E103" i="18"/>
  <c r="E127" i="18"/>
  <c r="E151" i="18"/>
  <c r="E175" i="18"/>
  <c r="E199" i="18"/>
  <c r="E223" i="18"/>
  <c r="E16" i="18"/>
  <c r="E40" i="18"/>
  <c r="E72" i="18"/>
  <c r="E96" i="18"/>
  <c r="E120" i="18"/>
  <c r="E144" i="18"/>
  <c r="E168" i="18"/>
  <c r="E192" i="18"/>
  <c r="E216" i="18"/>
  <c r="E5" i="18"/>
  <c r="E13" i="18"/>
  <c r="E21" i="18"/>
  <c r="E29" i="18"/>
  <c r="E37" i="18"/>
  <c r="E45" i="18"/>
  <c r="E53" i="18"/>
  <c r="E61" i="18"/>
  <c r="E69" i="18"/>
  <c r="E77" i="18"/>
  <c r="E85" i="18"/>
  <c r="E93" i="18"/>
  <c r="E101" i="18"/>
  <c r="E109" i="18"/>
  <c r="E117" i="18"/>
  <c r="E125" i="18"/>
  <c r="E133" i="18"/>
  <c r="E141" i="18"/>
  <c r="E149" i="18"/>
  <c r="E157" i="18"/>
  <c r="E165" i="18"/>
  <c r="E173" i="18"/>
  <c r="E181" i="18"/>
  <c r="E189" i="18"/>
  <c r="E197" i="18"/>
  <c r="E205" i="18"/>
  <c r="E213" i="18"/>
  <c r="E221" i="18"/>
  <c r="E229" i="18"/>
  <c r="E6" i="18"/>
  <c r="E30" i="18"/>
  <c r="E38" i="18"/>
  <c r="E46" i="18"/>
  <c r="E54" i="18"/>
  <c r="E62" i="18"/>
  <c r="E70" i="18"/>
  <c r="E78" i="18"/>
  <c r="E86" i="18"/>
  <c r="E110" i="18"/>
  <c r="E118" i="18"/>
  <c r="E142" i="18"/>
  <c r="E166" i="18"/>
  <c r="E190" i="18"/>
  <c r="E214" i="18"/>
  <c r="E23" i="18"/>
  <c r="E47" i="18"/>
  <c r="E71" i="18"/>
  <c r="E95" i="18"/>
  <c r="E119" i="18"/>
  <c r="E143" i="18"/>
  <c r="E167" i="18"/>
  <c r="E191" i="18"/>
  <c r="E215" i="18"/>
  <c r="E24" i="18"/>
  <c r="E48" i="18"/>
  <c r="E64" i="18"/>
  <c r="E88" i="18"/>
  <c r="E104" i="18"/>
  <c r="E128" i="18"/>
  <c r="E152" i="18"/>
  <c r="E176" i="18"/>
  <c r="E200" i="18"/>
  <c r="E224" i="18"/>
  <c r="E9" i="18"/>
  <c r="E17" i="18"/>
  <c r="E25" i="18"/>
  <c r="E33" i="18"/>
  <c r="E41" i="18"/>
  <c r="E49" i="18"/>
  <c r="E57" i="18"/>
  <c r="E65" i="18"/>
  <c r="E73" i="18"/>
  <c r="E81" i="18"/>
  <c r="E89" i="18"/>
  <c r="E97" i="18"/>
  <c r="E105" i="18"/>
  <c r="E113" i="18"/>
  <c r="E121" i="18"/>
  <c r="E129" i="18"/>
  <c r="E137" i="18"/>
  <c r="E145" i="18"/>
  <c r="E153" i="18"/>
  <c r="E161" i="18"/>
  <c r="E169" i="18"/>
  <c r="E177" i="18"/>
  <c r="E185" i="18"/>
  <c r="E193" i="18"/>
  <c r="E201" i="18"/>
  <c r="E209" i="18"/>
  <c r="E217" i="18"/>
  <c r="E225" i="18"/>
  <c r="E10" i="18"/>
  <c r="E18" i="18"/>
  <c r="E26" i="18"/>
  <c r="E34" i="18"/>
  <c r="E42" i="18"/>
  <c r="E50" i="18"/>
  <c r="E58" i="18"/>
  <c r="E66" i="18"/>
  <c r="E74" i="18"/>
  <c r="E82" i="18"/>
  <c r="E90" i="18"/>
  <c r="E98" i="18"/>
  <c r="E106" i="18"/>
  <c r="E114" i="18"/>
  <c r="E122" i="18"/>
  <c r="E130" i="18"/>
  <c r="E138" i="18"/>
  <c r="E146" i="18"/>
  <c r="E154" i="18"/>
  <c r="E162" i="18"/>
  <c r="E170" i="18"/>
  <c r="E178" i="18"/>
  <c r="E186" i="18"/>
  <c r="E194" i="18"/>
  <c r="E202" i="18"/>
  <c r="E210" i="18"/>
  <c r="E218" i="18"/>
  <c r="E226" i="18"/>
  <c r="F47" i="26"/>
  <c r="H47" i="26"/>
  <c r="G34" i="26"/>
  <c r="G199" i="26"/>
  <c r="G167" i="26"/>
  <c r="G135" i="26"/>
  <c r="F79" i="26"/>
  <c r="H79" i="26"/>
  <c r="G79" i="26" s="1"/>
  <c r="G74" i="26"/>
  <c r="G203" i="26"/>
  <c r="G171" i="26"/>
  <c r="G139" i="26"/>
  <c r="F111" i="26"/>
  <c r="H111" i="26"/>
  <c r="G106" i="26"/>
  <c r="H24" i="26"/>
  <c r="F24" i="26"/>
  <c r="G66" i="26"/>
  <c r="G215" i="26"/>
  <c r="G183" i="26"/>
  <c r="G151" i="26"/>
  <c r="G119" i="26"/>
  <c r="F65" i="26"/>
  <c r="H65" i="26"/>
  <c r="G65" i="26" s="1"/>
  <c r="H38" i="26"/>
  <c r="F38" i="26"/>
  <c r="H56" i="26"/>
  <c r="F56" i="26"/>
  <c r="H88" i="26"/>
  <c r="F88" i="26"/>
  <c r="G219" i="26"/>
  <c r="G187" i="26"/>
  <c r="G155" i="26"/>
  <c r="G123" i="26"/>
  <c r="F97" i="26"/>
  <c r="H97" i="26"/>
  <c r="H70" i="26"/>
  <c r="G70" i="26" s="1"/>
  <c r="F70" i="26"/>
  <c r="G54" i="26"/>
  <c r="G104" i="26"/>
  <c r="F33" i="26"/>
  <c r="H33" i="26"/>
  <c r="G127" i="26"/>
  <c r="H102" i="26"/>
  <c r="F102" i="26"/>
  <c r="F15" i="26"/>
  <c r="H15" i="26"/>
  <c r="G15" i="26" s="1"/>
  <c r="G92" i="26"/>
  <c r="G60" i="26"/>
  <c r="H95" i="26"/>
  <c r="G95" i="26" s="1"/>
  <c r="H63" i="26"/>
  <c r="G63" i="26" s="1"/>
  <c r="H31" i="26"/>
  <c r="G31" i="26" s="1"/>
  <c r="F109" i="26"/>
  <c r="H109" i="26"/>
  <c r="F104" i="26"/>
  <c r="G100" i="26"/>
  <c r="F86" i="26"/>
  <c r="G86" i="26" s="1"/>
  <c r="F77" i="26"/>
  <c r="H77" i="26"/>
  <c r="G77" i="26" s="1"/>
  <c r="F72" i="26"/>
  <c r="G72" i="26" s="1"/>
  <c r="G68" i="26"/>
  <c r="F54" i="26"/>
  <c r="F45" i="26"/>
  <c r="H45" i="26"/>
  <c r="G45" i="26" s="1"/>
  <c r="F40" i="26"/>
  <c r="G40" i="26" s="1"/>
  <c r="G36" i="26"/>
  <c r="F22" i="26"/>
  <c r="G22" i="26" s="1"/>
  <c r="F13" i="26"/>
  <c r="H13" i="26"/>
  <c r="F8" i="26"/>
  <c r="G8" i="26" s="1"/>
  <c r="G4" i="26"/>
  <c r="G94" i="26"/>
  <c r="G62" i="26"/>
  <c r="G28" i="26"/>
  <c r="G157" i="26"/>
  <c r="G133" i="26"/>
  <c r="G117" i="26"/>
  <c r="F85" i="26"/>
  <c r="H85" i="26"/>
  <c r="F53" i="26"/>
  <c r="H53" i="26"/>
  <c r="G53" i="26" s="1"/>
  <c r="G44" i="26"/>
  <c r="F21" i="26"/>
  <c r="H21" i="26"/>
  <c r="G12" i="26"/>
  <c r="G3" i="26"/>
  <c r="H105" i="26"/>
  <c r="G105" i="26" s="1"/>
  <c r="H73" i="26"/>
  <c r="G73" i="26" s="1"/>
  <c r="H41" i="26"/>
  <c r="G41" i="26" s="1"/>
  <c r="H9" i="26"/>
  <c r="G9" i="26" s="1"/>
  <c r="F69" i="26"/>
  <c r="H69" i="26"/>
  <c r="F37" i="26"/>
  <c r="H37" i="26"/>
  <c r="G37" i="26" s="1"/>
  <c r="G221" i="26"/>
  <c r="G189" i="26"/>
  <c r="G165" i="26"/>
  <c r="G141" i="26"/>
  <c r="G125" i="26"/>
  <c r="F224" i="26"/>
  <c r="G224" i="26" s="1"/>
  <c r="F220" i="26"/>
  <c r="G220" i="26" s="1"/>
  <c r="F216" i="26"/>
  <c r="G216" i="26" s="1"/>
  <c r="F212" i="26"/>
  <c r="G212" i="26" s="1"/>
  <c r="F208" i="26"/>
  <c r="G208" i="26" s="1"/>
  <c r="F204" i="26"/>
  <c r="G204" i="26" s="1"/>
  <c r="F200" i="26"/>
  <c r="G200" i="26" s="1"/>
  <c r="F196" i="26"/>
  <c r="G196" i="26" s="1"/>
  <c r="F192" i="26"/>
  <c r="G192" i="26" s="1"/>
  <c r="F188" i="26"/>
  <c r="G188" i="26" s="1"/>
  <c r="F184" i="26"/>
  <c r="G184" i="26" s="1"/>
  <c r="F180" i="26"/>
  <c r="G180" i="26" s="1"/>
  <c r="F176" i="26"/>
  <c r="G176" i="26" s="1"/>
  <c r="F172" i="26"/>
  <c r="F168" i="26"/>
  <c r="G168" i="26" s="1"/>
  <c r="F164" i="26"/>
  <c r="G164" i="26" s="1"/>
  <c r="F160" i="26"/>
  <c r="G160" i="26" s="1"/>
  <c r="F156" i="26"/>
  <c r="G156" i="26" s="1"/>
  <c r="F152" i="26"/>
  <c r="G152" i="26" s="1"/>
  <c r="F148" i="26"/>
  <c r="G148" i="26" s="1"/>
  <c r="F144" i="26"/>
  <c r="G144" i="26" s="1"/>
  <c r="F140" i="26"/>
  <c r="F136" i="26"/>
  <c r="G136" i="26" s="1"/>
  <c r="F132" i="26"/>
  <c r="G132" i="26" s="1"/>
  <c r="F128" i="26"/>
  <c r="G128" i="26" s="1"/>
  <c r="F124" i="26"/>
  <c r="G124" i="26" s="1"/>
  <c r="F120" i="26"/>
  <c r="G120" i="26" s="1"/>
  <c r="F116" i="26"/>
  <c r="G116" i="26" s="1"/>
  <c r="F107" i="26"/>
  <c r="G107" i="26" s="1"/>
  <c r="F84" i="26"/>
  <c r="G84" i="26" s="1"/>
  <c r="F75" i="26"/>
  <c r="G75" i="26" s="1"/>
  <c r="F52" i="26"/>
  <c r="G52" i="26" s="1"/>
  <c r="F43" i="26"/>
  <c r="G43" i="26" s="1"/>
  <c r="F20" i="26"/>
  <c r="F11" i="26"/>
  <c r="G11" i="26" s="1"/>
  <c r="F101" i="26"/>
  <c r="H101" i="26"/>
  <c r="G213" i="26"/>
  <c r="G181" i="26"/>
  <c r="G76" i="26"/>
  <c r="G172" i="26"/>
  <c r="G140" i="26"/>
  <c r="F93" i="26"/>
  <c r="H93" i="26"/>
  <c r="F61" i="26"/>
  <c r="H61" i="26"/>
  <c r="G61" i="26" s="1"/>
  <c r="F29" i="26"/>
  <c r="H29" i="26"/>
  <c r="G29" i="26" s="1"/>
  <c r="G20" i="26"/>
  <c r="H5" i="26"/>
  <c r="G5" i="26" s="1"/>
  <c r="N49" i="18"/>
  <c r="N140" i="18"/>
  <c r="N130" i="18"/>
  <c r="N22" i="18"/>
  <c r="N60" i="18"/>
  <c r="N82" i="18"/>
  <c r="N182" i="18"/>
  <c r="N145" i="18"/>
  <c r="N146" i="18"/>
  <c r="N143" i="18"/>
  <c r="N24" i="18"/>
  <c r="N149" i="18"/>
  <c r="N189" i="18"/>
  <c r="N47" i="18"/>
  <c r="N136" i="18"/>
  <c r="N74" i="18"/>
  <c r="N40" i="18"/>
  <c r="N225" i="18"/>
  <c r="N137" i="18"/>
  <c r="N195" i="18"/>
  <c r="N33" i="18"/>
  <c r="N92" i="18"/>
  <c r="N171" i="18"/>
  <c r="N199" i="18"/>
  <c r="N48" i="18"/>
  <c r="N205" i="18"/>
  <c r="N73" i="18"/>
  <c r="N75" i="18"/>
  <c r="N28" i="18"/>
  <c r="N162" i="18"/>
  <c r="N55" i="18"/>
  <c r="N175" i="18"/>
  <c r="N19" i="18"/>
  <c r="N80" i="18"/>
  <c r="N69" i="18"/>
  <c r="N213" i="18"/>
  <c r="N176" i="18"/>
  <c r="N219" i="18"/>
  <c r="N227" i="18"/>
  <c r="N212" i="18"/>
  <c r="N90" i="18"/>
  <c r="N26" i="18"/>
  <c r="N20" i="18"/>
  <c r="N139" i="18"/>
  <c r="N134" i="18"/>
  <c r="N54" i="18"/>
  <c r="N103" i="18"/>
  <c r="N122" i="18"/>
  <c r="N102" i="18"/>
  <c r="N67" i="18"/>
  <c r="N148" i="18"/>
  <c r="N109" i="18"/>
  <c r="N160" i="18"/>
  <c r="N124" i="18"/>
  <c r="N201" i="18"/>
  <c r="N112" i="18"/>
  <c r="N46" i="18"/>
  <c r="N64" i="18"/>
  <c r="N87" i="18"/>
  <c r="N152" i="18"/>
  <c r="N38" i="18"/>
  <c r="N101" i="18"/>
  <c r="N97" i="18"/>
  <c r="N128" i="18"/>
  <c r="N88" i="18"/>
  <c r="N111" i="18"/>
  <c r="N12" i="18"/>
  <c r="N36" i="18"/>
  <c r="N86" i="18"/>
  <c r="N172" i="18"/>
  <c r="N186" i="18"/>
  <c r="N66" i="18"/>
  <c r="N153" i="18"/>
  <c r="N59" i="18"/>
  <c r="N65" i="18"/>
  <c r="N17" i="18"/>
  <c r="N191" i="18"/>
  <c r="N144" i="18"/>
  <c r="N133" i="18"/>
  <c r="N21" i="18"/>
  <c r="N11" i="18"/>
  <c r="N194" i="18"/>
  <c r="N206" i="18"/>
  <c r="N61" i="18"/>
  <c r="N118" i="18"/>
  <c r="N200" i="18"/>
  <c r="N135" i="18"/>
  <c r="N34" i="18"/>
  <c r="N45" i="18"/>
  <c r="N198" i="18"/>
  <c r="N155" i="18"/>
  <c r="N220" i="18"/>
  <c r="N129" i="18"/>
  <c r="N63" i="18"/>
  <c r="N105" i="18"/>
  <c r="N177" i="18"/>
  <c r="N127" i="18"/>
  <c r="N76" i="18"/>
  <c r="N158" i="18"/>
  <c r="N131" i="18"/>
  <c r="N7" i="18"/>
  <c r="N10" i="18"/>
  <c r="N167" i="18"/>
  <c r="N159" i="18"/>
  <c r="N13" i="18"/>
  <c r="N56" i="18"/>
  <c r="N123" i="18"/>
  <c r="N94" i="18"/>
  <c r="N39" i="18"/>
  <c r="N180" i="18"/>
  <c r="N15" i="18"/>
  <c r="N185" i="18"/>
  <c r="N100" i="18"/>
  <c r="N43" i="18"/>
  <c r="N41" i="18"/>
  <c r="N30" i="18"/>
  <c r="N224" i="18"/>
  <c r="N226" i="18"/>
  <c r="N214" i="18"/>
  <c r="N106" i="18"/>
  <c r="N161" i="18"/>
  <c r="N114" i="18"/>
  <c r="N173" i="18"/>
  <c r="N51" i="18"/>
  <c r="N29" i="18"/>
  <c r="N193" i="18"/>
  <c r="N18" i="18"/>
  <c r="N187" i="18"/>
  <c r="N138" i="18"/>
  <c r="N96" i="18"/>
  <c r="N16" i="18"/>
  <c r="N53" i="18"/>
  <c r="N120" i="18"/>
  <c r="N141" i="18"/>
  <c r="N164" i="18"/>
  <c r="N3" i="18"/>
  <c r="N154" i="18"/>
  <c r="N107" i="18"/>
  <c r="N84" i="18"/>
  <c r="N211" i="18"/>
  <c r="N218" i="18"/>
  <c r="N9" i="18"/>
  <c r="N89" i="18"/>
  <c r="N68" i="18"/>
  <c r="N223" i="18"/>
  <c r="N125" i="18"/>
  <c r="N83" i="18"/>
  <c r="N37" i="18"/>
  <c r="N8" i="18"/>
  <c r="N216" i="18"/>
  <c r="N23" i="18"/>
  <c r="N5" i="18"/>
  <c r="N115" i="18"/>
  <c r="N222" i="18"/>
  <c r="N169" i="18"/>
  <c r="N95" i="18"/>
  <c r="N113" i="18"/>
  <c r="N165" i="18"/>
  <c r="N99" i="18"/>
  <c r="N108" i="18"/>
  <c r="N25" i="18"/>
  <c r="N203" i="18"/>
  <c r="N196" i="18"/>
  <c r="N85" i="18"/>
  <c r="N215" i="18"/>
  <c r="N72" i="18"/>
  <c r="N142" i="18"/>
  <c r="N151" i="18"/>
  <c r="N204" i="18"/>
  <c r="N174" i="18"/>
  <c r="N31" i="18"/>
  <c r="N202" i="18"/>
  <c r="N42" i="18"/>
  <c r="N156" i="18"/>
  <c r="N179" i="18"/>
  <c r="N190" i="18"/>
  <c r="N79" i="18"/>
  <c r="N192" i="18"/>
  <c r="N91" i="18"/>
  <c r="N121" i="18"/>
  <c r="N35" i="18"/>
  <c r="N6" i="18"/>
  <c r="N119" i="18"/>
  <c r="N157" i="18"/>
  <c r="N147" i="18"/>
  <c r="N197" i="18"/>
  <c r="N221" i="18"/>
  <c r="N150" i="18"/>
  <c r="N166" i="18"/>
  <c r="N50" i="18"/>
  <c r="N178" i="18"/>
  <c r="N104" i="18"/>
  <c r="N110" i="18"/>
  <c r="N71" i="18"/>
  <c r="N183" i="18"/>
  <c r="N117" i="18"/>
  <c r="N207" i="18"/>
  <c r="N62" i="18"/>
  <c r="N14" i="18"/>
  <c r="N4" i="18"/>
  <c r="N126" i="18"/>
  <c r="N81" i="18"/>
  <c r="N188" i="18"/>
  <c r="N98" i="18"/>
  <c r="N168" i="18"/>
  <c r="N184" i="18"/>
  <c r="N70" i="18"/>
  <c r="N32" i="18"/>
  <c r="N163" i="18"/>
  <c r="N209" i="18"/>
  <c r="N132" i="18"/>
  <c r="N208" i="18"/>
  <c r="N77" i="18"/>
  <c r="N181" i="18"/>
  <c r="N52" i="18"/>
  <c r="N44" i="18"/>
  <c r="N217" i="18"/>
  <c r="N116" i="18"/>
  <c r="N58" i="18"/>
  <c r="N210" i="18"/>
  <c r="N78" i="18"/>
  <c r="N57" i="18"/>
  <c r="N170" i="18"/>
  <c r="N93" i="18"/>
  <c r="N27" i="18"/>
  <c r="G101" i="26" l="1"/>
  <c r="G69" i="26"/>
  <c r="G21" i="26"/>
  <c r="G109" i="26"/>
  <c r="G111" i="26"/>
  <c r="G97" i="26"/>
  <c r="G33" i="26"/>
  <c r="G47" i="26"/>
  <c r="G102" i="26"/>
  <c r="G38" i="26"/>
  <c r="G93" i="26"/>
  <c r="G85" i="26"/>
  <c r="G88" i="26"/>
  <c r="G56" i="26"/>
  <c r="G24" i="26"/>
  <c r="G13" i="26"/>
</calcChain>
</file>

<file path=xl/connections.xml><?xml version="1.0" encoding="utf-8"?>
<connections xmlns="http://schemas.openxmlformats.org/spreadsheetml/2006/main">
  <connection id="1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3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4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5" name="NoLagTopTenQuery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 _x000d__x000a_refinancible = sum(case when f.wac - t.SeriesNumValue &gt;= 0.5 then f.currentBalance else 0 end)/sum(f.currentBalance),  _x000d__x000a_refinancible_satoAdj = sum(case when f.wac - t.SeriesNumValue -s.SATO/100.0 &gt;= 0.5 then f.currentBalance else 0 end)/sum(f.currentBalance)_x000d__x000a_from fhl.sec p, fhl.secFactor f,  #tempone t, fhl.secSupp s_x000d__x000a_where p.issueId = f.issueId_x000d__x000a_and p.issueId = s.issueId_x000d__x000a_and f.asOf = s.asOf_x000d__x000a_and p.collateralType = 'LOAN' _x000d__x000a_and p.marketTicker in ('FGLMC')_x000d__x000a_--and f.calcOrigMonth &gt;= 200906_x000d__x000a_--and t.productionMonth = year(f.asOf)* 100 + month(f.asOf)_x000d__x000a_and year(t.asOfDate) * 100 + month(t.asOfDate) = year(f.asOf)* 100 + month(f.asOf)_x000d__x000a_and t.asOfDate &gt;= '20110101'_x000d__x000a_group by t.asOfDate_x000d__x000a_order by t.asOfDate"/>
  </connection>
  <connection id="6" name="NoLagTopTenQuery111" type="1" refreshedVersion="4" savePassword="1" saveData="1">
    <dbPr connection="DSN=Agency" command="select AsOfDate,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_x000d__x000a_select t.asOfDate,_x000d__x000a_refinanceible = sum(case when l.OrigNoteRate - t.SeriesNumValue &gt;= 0.5 then (case when lh.currentRpb &gt; 0 then lh.currentRpb else 0.000001 end) else 0 end)/sum(case when lh.currentRpb &gt; 0 then lh.currentRpb else 0.000001 end)_x000d__x000a_from fhl.sec p, fhl.Cello_Loan l, fhl.Cello_LoanHist lh, #tempone t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year(t.asOfDate) * 100 + month(t.asOfDate) = year(lh.asOf)* 100 + month(lh.asOf)_x000d__x000a_and t.asOfDate &gt;= '20110101'_x000d__x000a_group by t.asOfDate_x000d__x000a_order by t.asOfDate"/>
  </connection>
  <connection id="7" name="NoLagTopTenQuery1111" type="1" refreshedVersion="4" savePassword="1" saveData="1">
    <dbPr connection="DSN=Agency" command="DROP TABLE IF EXISTS #tempLLPA;_x000d__x000a_select f.FicoStart, f.FicoEnd, f.LtvStart, f.LtvEnd, o.occtype, u.numUnits, f.LLPA as BaseLLTV, a.LLPA as AMDC, HighLTV = (case when l.llpa is null then 999 else l.llpa end), _x000d__x000a_        Occp = (case when o.llpa is null then 999 else o.llpa end), UnitL = (case when u.llpa is null then 999 else u.llpa end),_x000d__x000a_        totalLLPA = (BaseLLTV + AMDC + HighLTV + Occp + UnitL)/100_x000d__x000a_into #tempLLPA_x000d__x000a_from report.LLPAFicoLTV f_x000d__x000a_join report.LLPAAMDC a _x000d__x000a_on f.FicoStart = a.FicoStart _x000d__x000a_and f.FicoEnd = a.FicoEnd _x000d__x000a_and f.LtvStart = a.LtvStart_x000d__x000a_and f.LtvEnd = a.LtvEnd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f.AsofDate = '2015-01-07'_x000d__x000a_and a.AsofDate = '2014-01-08'_x000d__x000a_and l.asofdate = '2013-12-16'_x000d__x000a_and o.asofdate = '2013-11-14'_x000d__x000a_and u.asofdate = '2013-11-14'_x000d__x000a_;_x000d__x000a_COMMIT;_x000d__x000a__x000d__x000a_CREATE INDEX idx_templla_occType ON #tempLLPA(occType);_x000d__x000a_CREATE INDEX idx_templla_numUnits ON #tempLLPA(numUnits);_x000d__x000a_COMMIT;_x000d__x000a__x000d__x000a_DROP TABLE IF EXISTS #tempone;_x000d__x000a_select _x000d__x000a_    AsOfDate,_x000d__x000a_    convert(date, year(asOfDate) || '-' || month(asOfDate) || '-01') as AsOf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OMMIT;_x000d__x000a__x000d__x000a__x000d__x000a__x000d__x000a__x000d__x000a_select t.asOfDate,_x000d__x000a_refinanceible = sum(case when l.OrigNoteRate - t.SeriesNumValue - tl.totalLLPA/4 &gt;= 0.5 _x000d__x000a_                   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--and lh.asOf &lt; '2011-03-01'_x000d__x000a_and l.occType = tl.occType_x000d__x000a_and l.cs &gt;= tl.FicoStart and l.cs &lt; tl.FicoEnd_x000d__x000a_and lh.CLTV &gt; tl.ltvStart and lh.CLTV &lt;= tl.LtvEnd_x000d__x000a_and l.numUnits = tl.numUnits_x000d__x000a_--and l.calcorigmonth_LL &gt; 200906_x000d__x000a_group by t.asOfDate_x000d__x000a_order by t.asOfDate"/>
  </connection>
  <connection id="8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9" name="NoLagTopTenQuery11112" type="1" refreshedVersion="4" savePassword="1" saveData="1">
    <dbPr connection="DSN=Agency" command="DROP TABLE IF EXISTS #tempPMI;_x000d__x000a_select * _x000d__x000a_into #tempPMI_x000d__x000a_from PMI_x000d__x000a_where Asofdate &gt;= '20140101'_x000d__x000a_and LoanPurpose = 'REFI'_x000d__x000a_;_x000d__x000a_COMMIT;_x000d__x000a__x000d__x000a__x000d__x000a_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select t.asOfDate,_x000d__x000a_--t.datebucket,_x000d__x000a_--tl.totalLLPA, tl.asofdate,_x000d__x000a_refinanceible = sum(case when l.OrigNoteRate - t.SeriesNumValue - tl.totalLLPA/4 - tp.PMI/100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, #tempPMI tp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cs &gt;= tp.FICObucketStart and l.cs &lt; tp.FICObucketEnd_x000d__x000a_and lh.CLTV &gt; tp.LTVBucketStart and lh.CLTV &lt;= tp.LTVBucket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0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2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3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6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7" name="temp14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5" type="6" refreshedVersion="4" background="1" saveData="1">
    <textPr codePage="437" sourceFile="C:\Users\lien.chen\Desktop\temp1.csv" space="1" comma="1" consecutive="1" qualifier="singleQuote">
      <textFields count="3">
        <textField/>
        <textField/>
        <textField/>
      </textFields>
    </textPr>
  </connection>
  <connection id="19" name="temp16" type="6" refreshedVersion="4" background="1" saveData="1">
    <textPr codePage="437" sourceFile="C:\Users\lien.chen\Desktop\temp1.csv" space="1" comma="1" consecutive="1" qualifier="singleQuote">
      <textFields count="3">
        <textField/>
        <textField/>
        <textField/>
      </textFields>
    </textPr>
  </connection>
  <connection id="20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1" name="temp3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2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23" name="temp5" type="6" refreshedVersion="4" background="1" saveData="1">
    <textPr codePage="437" sourceFile="C:\Users\lien.chen\Desktop\temp.csv" comma="1" qualifier="singleQuote">
      <textFields count="4">
        <textField/>
        <textField/>
        <textField/>
        <textField/>
      </textFields>
    </textPr>
  </connection>
  <connection id="24" name="temp6" type="6" refreshedVersion="4" background="1" saveData="1">
    <textPr codePage="437" sourceFile="C:\Users\lien.chen\Desktop\temp.csv" comma="1" qualifier="singleQuote">
      <textFields count="4">
        <textField/>
        <textField/>
        <textField/>
        <textField/>
      </textFields>
    </textPr>
  </connection>
  <connection id="25" name="temp7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6" name="temp8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<sst xmlns="http://schemas.openxmlformats.org/spreadsheetml/2006/main" count="341" uniqueCount="106">
  <si>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</si>
  <si>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</si>
  <si>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</si>
  <si>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</si>
  <si>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</si>
  <si>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</si>
  <si>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</si>
  <si>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</si>
  <si>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</si>
  <si>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</si>
  <si>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</si>
  <si>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</si>
  <si>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Top 10 Lenders</t>
  </si>
  <si>
    <t>Top 5 Lenders</t>
  </si>
  <si>
    <t>Top 1 Lender</t>
  </si>
  <si>
    <t>Current Mkt Share</t>
  </si>
  <si>
    <t>1M Chg</t>
  </si>
  <si>
    <t>3M Chg</t>
  </si>
  <si>
    <t>6M Chg</t>
  </si>
  <si>
    <t>1Y Chg</t>
  </si>
  <si>
    <t>Market Share</t>
  </si>
  <si>
    <t>Month</t>
  </si>
  <si>
    <t>Last Month</t>
  </si>
  <si>
    <t>Servicer Name</t>
  </si>
  <si>
    <t>Top 10 For Current Month</t>
  </si>
  <si>
    <t>Top 10 For Previous Month</t>
  </si>
  <si>
    <t>Report Folder</t>
  </si>
  <si>
    <t>Change lag on</t>
  </si>
  <si>
    <t>Volume (M)</t>
  </si>
  <si>
    <t>S:\IT\Production\Daily Reports\Primary Market\tmp\</t>
  </si>
  <si>
    <t>Issue Month:</t>
  </si>
  <si>
    <t>asOfDate</t>
  </si>
  <si>
    <t>refinancible</t>
  </si>
  <si>
    <t>refinancible_satoAdj</t>
  </si>
  <si>
    <t>Conv Refi Index</t>
  </si>
  <si>
    <t>ITMBalance</t>
  </si>
  <si>
    <t>currBalance</t>
  </si>
  <si>
    <t>refinanceible</t>
  </si>
  <si>
    <t>fnma</t>
  </si>
  <si>
    <t>loan</t>
  </si>
  <si>
    <t>pool</t>
  </si>
  <si>
    <t>FHL</t>
  </si>
  <si>
    <t>Loan Level</t>
  </si>
  <si>
    <t>LLPA</t>
  </si>
  <si>
    <t>l.calcorigmonth_LL &gt; 200906</t>
  </si>
  <si>
    <t>Loan with LLPA</t>
  </si>
  <si>
    <t>l.calcorigmonth &gt; 200906</t>
  </si>
  <si>
    <t>Pool</t>
  </si>
  <si>
    <t>Loan</t>
  </si>
  <si>
    <t>Difference</t>
  </si>
  <si>
    <t>datebucket</t>
  </si>
  <si>
    <t>Time Dependent LLPA</t>
  </si>
  <si>
    <t>Time-Dependent LLPA</t>
  </si>
  <si>
    <t>Base</t>
  </si>
  <si>
    <t>Occupancy</t>
  </si>
  <si>
    <t>Unit</t>
  </si>
  <si>
    <t>High LTV</t>
  </si>
  <si>
    <t>AMDC</t>
  </si>
  <si>
    <t>PMI</t>
  </si>
  <si>
    <t>LLPA &amp; PMI</t>
  </si>
  <si>
    <t>HARP</t>
  </si>
  <si>
    <t>LTV</t>
  </si>
  <si>
    <t>Credit Score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</si>
  <si>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</si>
  <si>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</si>
  <si>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</si>
  <si>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</si>
  <si>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</si>
  <si>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</si>
  <si>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</si>
  <si>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</si>
  <si>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</si>
  <si>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</si>
  <si>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</si>
  <si>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</si>
  <si>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</si>
  <si>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</si>
  <si>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</si>
  <si>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</si>
  <si>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97.01-105</t>
  </si>
  <si>
    <t>&gt;105</t>
  </si>
  <si>
    <t>LLPA plus</t>
  </si>
  <si>
    <t>Delta</t>
  </si>
  <si>
    <t>With Cap 0.75</t>
  </si>
  <si>
    <t>N/A</t>
  </si>
  <si>
    <t>Refi Plus</t>
  </si>
  <si>
    <t>Regular Refi Matrix</t>
  </si>
  <si>
    <t>Regular</t>
  </si>
  <si>
    <t>Total Universe</t>
  </si>
  <si>
    <t>HARPable Balance</t>
  </si>
  <si>
    <t>Total Balance</t>
  </si>
  <si>
    <t>Percentage</t>
  </si>
  <si>
    <t>Pool Level</t>
  </si>
  <si>
    <t>Currnet PMI</t>
  </si>
  <si>
    <t>Diff(New-HARP)</t>
  </si>
  <si>
    <t>poolIssueDate</t>
  </si>
  <si>
    <t>issueDate</t>
  </si>
  <si>
    <t>Pool Issue Amount</t>
  </si>
  <si>
    <t>Loan Issue Amount</t>
  </si>
  <si>
    <t>Pre2005 Pool</t>
  </si>
  <si>
    <t>Total Pool</t>
  </si>
  <si>
    <t>Pre 2005</t>
  </si>
  <si>
    <t>Diff(Pre2005,Current PMI)</t>
  </si>
  <si>
    <t>Wrong</t>
  </si>
  <si>
    <t>Correct</t>
  </si>
  <si>
    <t>Diff(Pre 2005, HARP)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</si>
</sst>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_(* #,##0_);_(* \(#,##0\);_(* &quot;-&quot;??_);_(@_)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4"/>
        <bgColor theme="4"/>
      </patternFill>
    </fill>
  </fills>
  <borders count="5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051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4" applyNumberFormat="0"/>
    <xf numFmtId="0" fontId="80" fillId="36" borderId="44" applyNumberFormat="0"/>
    <xf numFmtId="0" fontId="34" fillId="38" borderId="8" applyNumberFormat="0"/>
    <xf numFmtId="0" fontId="136" fillId="65" borderId="44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3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  <xf numFmtId="43" fontId="1" fillId="0" borderId="0" applyFont="0" applyFill="0" applyBorder="0" applyAlignment="0" applyProtection="0"/>
  </cellStyleXfs>
  <cellXfs count="89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164" fontId="8" fillId="7" borderId="38" xfId="0" applyNumberFormat="1" applyFont="1" applyFill="1" applyBorder="1" applyAlignment="1">
      <alignment horizontal="left"/>
    </xf>
    <xf numFmtId="164" fontId="8" fillId="7" borderId="38" xfId="0" applyNumberFormat="1" applyFont="1" applyFill="1" applyBorder="1" applyAlignment="1">
      <alignment horizontal="center"/>
    </xf>
    <xf numFmtId="164" fontId="8" fillId="7" borderId="39" xfId="0" applyNumberFormat="1" applyFont="1" applyFill="1" applyBorder="1" applyAlignment="1">
      <alignment horizontal="center"/>
    </xf>
    <xf numFmtId="164" fontId="7" fillId="0" borderId="38" xfId="1" applyNumberFormat="1" applyFont="1" applyBorder="1" applyAlignment="1">
      <alignment horizontal="left"/>
    </xf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94" fontId="7" fillId="0" borderId="39" xfId="1" applyNumberFormat="1" applyFont="1" applyBorder="1" applyAlignment="1">
      <alignment horizontal="center"/>
    </xf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94" fontId="4" fillId="0" borderId="38" xfId="1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0" xfId="0" applyNumberFormat="1" applyFont="1"/>
    <xf numFmtId="9" fontId="7" fillId="0" borderId="0" xfId="1" applyFont="1"/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14" fontId="7" fillId="0" borderId="41" xfId="0" applyNumberFormat="1" applyFont="1" applyBorder="1" applyAlignment="1">
      <alignment horizontal="left"/>
    </xf>
    <xf numFmtId="194" fontId="7" fillId="0" borderId="41" xfId="1" applyNumberFormat="1" applyFont="1" applyBorder="1" applyAlignment="1">
      <alignment horizontal="center"/>
    </xf>
    <xf numFmtId="195" fontId="7" fillId="0" borderId="42" xfId="1" applyNumberFormat="1" applyFont="1" applyBorder="1" applyAlignment="1">
      <alignment horizontal="center"/>
    </xf>
    <xf numFmtId="195" fontId="7" fillId="0" borderId="42" xfId="0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9" fontId="0" fillId="0" borderId="0" xfId="1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9" fontId="138" fillId="0" borderId="0" xfId="1" applyFont="1" applyAlignment="1">
      <alignment horizontal="center"/>
    </xf>
    <xf numFmtId="9" fontId="138" fillId="0" borderId="0" xfId="0" applyNumberFormat="1" applyFont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14" fontId="0" fillId="0" borderId="48" xfId="0" applyNumberFormat="1" applyBorder="1" applyAlignment="1">
      <alignment horizontal="center"/>
    </xf>
    <xf numFmtId="9" fontId="0" fillId="0" borderId="0" xfId="1" applyFont="1" applyBorder="1" applyAlignment="1">
      <alignment horizontal="center"/>
    </xf>
    <xf numFmtId="9" fontId="0" fillId="0" borderId="0" xfId="1" applyFont="1" applyBorder="1"/>
    <xf numFmtId="9" fontId="138" fillId="0" borderId="49" xfId="1" applyFont="1" applyBorder="1" applyAlignment="1">
      <alignment horizontal="center"/>
    </xf>
    <xf numFmtId="14" fontId="0" fillId="0" borderId="50" xfId="0" applyNumberFormat="1" applyBorder="1" applyAlignment="1">
      <alignment horizontal="center"/>
    </xf>
    <xf numFmtId="9" fontId="0" fillId="0" borderId="30" xfId="1" applyFont="1" applyBorder="1" applyAlignment="1">
      <alignment horizontal="center"/>
    </xf>
    <xf numFmtId="9" fontId="0" fillId="0" borderId="30" xfId="1" applyFont="1" applyBorder="1"/>
    <xf numFmtId="9" fontId="138" fillId="0" borderId="51" xfId="1" applyFont="1" applyBorder="1" applyAlignment="1">
      <alignment horizontal="center"/>
    </xf>
    <xf numFmtId="14" fontId="0" fillId="0" borderId="0" xfId="1" applyNumberFormat="1" applyFont="1"/>
    <xf numFmtId="10" fontId="0" fillId="0" borderId="0" xfId="1" applyNumberFormat="1" applyFont="1"/>
    <xf numFmtId="14" fontId="0" fillId="0" borderId="3" xfId="0" applyNumberFormat="1" applyBorder="1" applyAlignment="1">
      <alignment horizontal="center"/>
    </xf>
    <xf numFmtId="14" fontId="139" fillId="0" borderId="0" xfId="0" applyNumberFormat="1" applyFont="1"/>
    <xf numFmtId="0" fontId="139" fillId="0" borderId="0" xfId="0" applyNumberFormat="1" applyFont="1"/>
    <xf numFmtId="9" fontId="139" fillId="0" borderId="0" xfId="1" applyFont="1"/>
    <xf numFmtId="0" fontId="139" fillId="0" borderId="0" xfId="0" applyFont="1"/>
    <xf numFmtId="14" fontId="7" fillId="0" borderId="52" xfId="0" applyNumberFormat="1" applyFont="1" applyBorder="1"/>
    <xf numFmtId="0" fontId="140" fillId="67" borderId="52" xfId="0" applyFont="1" applyFill="1" applyBorder="1"/>
    <xf numFmtId="14" fontId="7" fillId="0" borderId="53" xfId="0" applyNumberFormat="1" applyFont="1" applyBorder="1"/>
    <xf numFmtId="164" fontId="8" fillId="7" borderId="54" xfId="0" applyNumberFormat="1" applyFont="1" applyFill="1" applyBorder="1" applyAlignment="1">
      <alignment horizontal="left"/>
    </xf>
    <xf numFmtId="164" fontId="8" fillId="7" borderId="54" xfId="0" applyNumberFormat="1" applyFont="1" applyFill="1" applyBorder="1" applyAlignment="1">
      <alignment horizontal="center"/>
    </xf>
    <xf numFmtId="0" fontId="4" fillId="0" borderId="54" xfId="0" quotePrefix="1" applyFont="1" applyBorder="1" applyAlignment="1">
      <alignment horizontal="center"/>
    </xf>
    <xf numFmtId="2" fontId="0" fillId="0" borderId="0" xfId="0" applyNumberFormat="1"/>
    <xf numFmtId="0" fontId="4" fillId="0" borderId="0" xfId="0" applyFont="1" applyFill="1" applyBorder="1" applyAlignment="1">
      <alignment horizontal="center"/>
    </xf>
    <xf numFmtId="0" fontId="4" fillId="0" borderId="55" xfId="0" applyFont="1" applyFill="1" applyBorder="1" applyAlignment="1">
      <alignment horizontal="center"/>
    </xf>
    <xf numFmtId="0" fontId="4" fillId="0" borderId="55" xfId="0" quotePrefix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41" borderId="54" xfId="0" applyNumberFormat="1" applyFont="1" applyFill="1" applyBorder="1" applyAlignment="1">
      <alignment horizontal="center"/>
    </xf>
    <xf numFmtId="197" fontId="0" fillId="0" borderId="0" xfId="1050" applyNumberFormat="1" applyFont="1"/>
    <xf numFmtId="0" fontId="140" fillId="67" borderId="56" xfId="0" applyFont="1" applyFill="1" applyBorder="1"/>
    <xf numFmtId="0" fontId="140" fillId="67" borderId="57" xfId="0" applyFont="1" applyFill="1" applyBorder="1"/>
    <xf numFmtId="0" fontId="140" fillId="67" borderId="0" xfId="0" applyFont="1" applyFill="1" applyBorder="1"/>
    <xf numFmtId="14" fontId="7" fillId="0" borderId="3" xfId="0" applyNumberFormat="1" applyFont="1" applyBorder="1"/>
    <xf numFmtId="9" fontId="7" fillId="0" borderId="3" xfId="1" applyNumberFormat="1" applyFont="1" applyBorder="1"/>
    <xf numFmtId="9" fontId="0" fillId="0" borderId="3" xfId="0" applyNumberFormat="1" applyBorder="1"/>
    <xf numFmtId="9" fontId="7" fillId="0" borderId="0" xfId="1" applyNumberFormat="1" applyFont="1" applyBorder="1"/>
    <xf numFmtId="9" fontId="7" fillId="0" borderId="3" xfId="1" applyFont="1" applyBorder="1"/>
    <xf numFmtId="164" fontId="8" fillId="7" borderId="40" xfId="0" applyNumberFormat="1" applyFont="1" applyFill="1" applyBorder="1" applyAlignment="1">
      <alignment horizontal="center"/>
    </xf>
    <xf numFmtId="164" fontId="8" fillId="7" borderId="41" xfId="0" applyNumberFormat="1" applyFont="1" applyFill="1" applyBorder="1" applyAlignment="1">
      <alignment horizontal="center"/>
    </xf>
    <xf numFmtId="164" fontId="8" fillId="7" borderId="42" xfId="0" applyNumberFormat="1" applyFont="1" applyFill="1" applyBorder="1" applyAlignment="1">
      <alignment horizontal="center"/>
    </xf>
    <xf numFmtId="9" fontId="7" fillId="0" borderId="0" xfId="1" applyNumberFormat="1" applyFont="1"/>
    <xf numFmtId="10" fontId="7" fillId="0" borderId="0" xfId="0" applyNumberFormat="1" applyFont="1"/>
    <xf numFmtId="10" fontId="7" fillId="0" borderId="0" xfId="1" applyNumberFormat="1" applyFont="1"/>
    <xf numFmtId="10" fontId="7" fillId="0" borderId="56" xfId="1" applyNumberFormat="1" applyFont="1" applyBorder="1"/>
    <xf numFmtId="10" fontId="7" fillId="0" borderId="58" xfId="1" applyNumberFormat="1" applyFont="1" applyBorder="1"/>
  </cellXfs>
  <cellStyles count="1051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" xfId="1050" builtinId="3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28"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398A"/>
      <color rgb="FFAD275C"/>
      <color rgb="FF2E8A60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Market Share</a:t>
            </a:r>
          </a:p>
        </c:rich>
      </c:tx>
      <c:layout>
        <c:manualLayout>
          <c:xMode val="edge"/>
          <c:yMode val="edge"/>
          <c:x val="0.41607400982943049"/>
          <c:y val="1.8348623853211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621990334469252E-2"/>
          <c:y val="0.10627681860868309"/>
          <c:w val="0.77668918027864398"/>
          <c:h val="0.75564737894001777"/>
        </c:manualLayout>
      </c:layout>
      <c:barChart>
        <c:barDir val="col"/>
        <c:grouping val="clustered"/>
        <c:varyColors val="0"/>
        <c:ser>
          <c:idx val="3"/>
          <c:order val="3"/>
          <c:tx>
            <c:v>Issue Amount</c:v>
          </c:tx>
          <c:spPr>
            <a:solidFill>
              <a:schemeClr val="accent1">
                <a:lumMod val="20000"/>
                <a:lumOff val="80000"/>
              </a:schemeClr>
            </a:solidFill>
            <a:ln cap="sq">
              <a:noFill/>
              <a:prstDash val="solid"/>
            </a:ln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569728"/>
        <c:axId val="258558976"/>
      </c:barChar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solidFill>
                <a:srgbClr val="74B629"/>
              </a:solidFill>
            </a:ln>
          </c:spPr>
          <c:marker>
            <c:symbol val="none"/>
          </c:marker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534784"/>
        <c:axId val="258557056"/>
      </c:lineChart>
      <c:catAx>
        <c:axId val="258534784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nextTo"/>
        <c:crossAx val="258557056"/>
        <c:crosses val="autoZero"/>
        <c:auto val="1"/>
        <c:lblAlgn val="ctr"/>
        <c:lblOffset val="100"/>
        <c:tickLblSkip val="2"/>
        <c:noMultiLvlLbl val="1"/>
      </c:catAx>
      <c:valAx>
        <c:axId val="258557056"/>
        <c:scaling>
          <c:orientation val="minMax"/>
          <c:max val="0.9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8534784"/>
        <c:crosses val="autoZero"/>
        <c:crossBetween val="between"/>
      </c:valAx>
      <c:valAx>
        <c:axId val="258558976"/>
        <c:scaling>
          <c:orientation val="minMax"/>
          <c:max val="120000000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Issue Amount (Billions)</a:t>
                </a:r>
              </a:p>
            </c:rich>
          </c:tx>
          <c:layout>
            <c:manualLayout>
              <c:xMode val="edge"/>
              <c:yMode val="edge"/>
              <c:x val="0.87415509031481864"/>
              <c:y val="0.32036962122853907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8569728"/>
        <c:crosses val="max"/>
        <c:crossBetween val="between"/>
        <c:dispUnits>
          <c:builtInUnit val="billions"/>
        </c:dispUnits>
      </c:valAx>
      <c:catAx>
        <c:axId val="258569728"/>
        <c:scaling>
          <c:orientation val="minMax"/>
        </c:scaling>
        <c:delete val="1"/>
        <c:axPos val="b"/>
        <c:majorTickMark val="out"/>
        <c:minorTickMark val="none"/>
        <c:tickLblPos val="nextTo"/>
        <c:crossAx val="2585589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Current Month</c:v>
          </c:tx>
          <c:spPr>
            <a:solidFill>
              <a:srgbClr val="2E398A"/>
            </a:solidFill>
          </c:spPr>
          <c:invertIfNegative val="0"/>
          <c:val>
            <c:numRef>
              <c:f>Report!$E$49:$E$58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ser>
          <c:idx val="1"/>
          <c:order val="1"/>
          <c:tx>
            <c:v>Previous Month</c:v>
          </c:tx>
          <c:spPr>
            <a:solidFill>
              <a:srgbClr val="AD275C"/>
            </a:solidFill>
          </c:spPr>
          <c:invertIfNegative val="0"/>
          <c:val>
            <c:numRef>
              <c:f>Report!$J$49:$J$58</c:f>
              <c:numCache>
                <c:formatCode>0.0%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590976"/>
        <c:axId val="258601344"/>
      </c:barChart>
      <c:catAx>
        <c:axId val="258590976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Rank</a:t>
                </a:r>
              </a:p>
            </c:rich>
          </c:tx>
          <c:overlay val="0"/>
        </c:title>
        <c:majorTickMark val="out"/>
        <c:minorTickMark val="none"/>
        <c:tickLblPos val="nextTo"/>
        <c:crossAx val="258601344"/>
        <c:crosses val="autoZero"/>
        <c:auto val="1"/>
        <c:lblAlgn val="ctr"/>
        <c:lblOffset val="100"/>
        <c:noMultiLvlLbl val="0"/>
      </c:catAx>
      <c:valAx>
        <c:axId val="258601344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Market Share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high"/>
        <c:crossAx val="2585909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Refinancible Percentage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014848"/>
        <c:axId val="282016384"/>
      </c:lineChart>
      <c:lineChart>
        <c:grouping val="standard"/>
        <c:varyColors val="0"/>
        <c:ser>
          <c:idx val="2"/>
          <c:order val="1"/>
          <c:tx>
            <c:v>Conventional Refi Index</c:v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019712"/>
        <c:axId val="282018176"/>
      </c:lineChart>
      <c:dateAx>
        <c:axId val="282014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82016384"/>
        <c:crosses val="autoZero"/>
        <c:auto val="1"/>
        <c:lblOffset val="100"/>
        <c:baseTimeUnit val="days"/>
      </c:dateAx>
      <c:valAx>
        <c:axId val="2820163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82014848"/>
        <c:crosses val="autoZero"/>
        <c:crossBetween val="between"/>
      </c:valAx>
      <c:valAx>
        <c:axId val="282018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82019712"/>
        <c:crosses val="max"/>
        <c:crossBetween val="between"/>
      </c:valAx>
      <c:dateAx>
        <c:axId val="2820197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82018176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Pool Level</c:v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049536"/>
        <c:axId val="282051328"/>
      </c:lineChart>
      <c:dateAx>
        <c:axId val="282049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82051328"/>
        <c:crosses val="autoZero"/>
        <c:auto val="1"/>
        <c:lblOffset val="100"/>
        <c:baseTimeUnit val="days"/>
      </c:dateAx>
      <c:valAx>
        <c:axId val="282051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 Refinancible</a:t>
                </a:r>
                <a:r>
                  <a:rPr lang="en-US" baseline="0"/>
                  <a:t> </a:t>
                </a:r>
                <a:r>
                  <a:rPr lang="en-US"/>
                  <a:t>Percentage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282049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100"/>
              <a:t>Historical Conventional Refi Index vs. FNCL Refinancible Universe (50</a:t>
            </a:r>
            <a:r>
              <a:rPr lang="en-US" sz="1100" baseline="0"/>
              <a:t> bp incentive) -- From Chunnip</a:t>
            </a:r>
            <a:endParaRPr lang="en-US" sz="1100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782071222578659"/>
          <c:y val="0.17223125335139558"/>
          <c:w val="0.7563854055280127"/>
          <c:h val="0.54053029661614882"/>
        </c:manualLayout>
      </c:layout>
      <c:lineChart>
        <c:grouping val="standard"/>
        <c:varyColors val="0"/>
        <c:ser>
          <c:idx val="0"/>
          <c:order val="0"/>
          <c:tx>
            <c:v>MBA Conventional Refi Index</c:v>
          </c:tx>
          <c:marker>
            <c:symbol val="none"/>
          </c:marker>
          <c:cat>
            <c:numRef>
              <c:f>'[3]all FNCL'!$I$180:$I$403</c:f>
              <c:numCache>
                <c:formatCode>General</c:formatCode>
                <c:ptCount val="224"/>
                <c:pt idx="0">
                  <c:v>40550</c:v>
                </c:pt>
                <c:pt idx="1">
                  <c:v>40557</c:v>
                </c:pt>
                <c:pt idx="2">
                  <c:v>40564</c:v>
                </c:pt>
                <c:pt idx="3">
                  <c:v>40571</c:v>
                </c:pt>
                <c:pt idx="4">
                  <c:v>40578</c:v>
                </c:pt>
                <c:pt idx="5">
                  <c:v>40585</c:v>
                </c:pt>
                <c:pt idx="6">
                  <c:v>40592</c:v>
                </c:pt>
                <c:pt idx="7">
                  <c:v>40599</c:v>
                </c:pt>
                <c:pt idx="8">
                  <c:v>40606</c:v>
                </c:pt>
                <c:pt idx="9">
                  <c:v>40613</c:v>
                </c:pt>
                <c:pt idx="10">
                  <c:v>40620</c:v>
                </c:pt>
                <c:pt idx="11">
                  <c:v>40627</c:v>
                </c:pt>
                <c:pt idx="12">
                  <c:v>40634</c:v>
                </c:pt>
                <c:pt idx="13">
                  <c:v>40641</c:v>
                </c:pt>
                <c:pt idx="14">
                  <c:v>40648</c:v>
                </c:pt>
                <c:pt idx="15">
                  <c:v>40654</c:v>
                </c:pt>
                <c:pt idx="16">
                  <c:v>40662</c:v>
                </c:pt>
                <c:pt idx="17">
                  <c:v>40669</c:v>
                </c:pt>
                <c:pt idx="18">
                  <c:v>40676</c:v>
                </c:pt>
                <c:pt idx="19">
                  <c:v>40683</c:v>
                </c:pt>
                <c:pt idx="20">
                  <c:v>40690</c:v>
                </c:pt>
                <c:pt idx="21">
                  <c:v>40697</c:v>
                </c:pt>
                <c:pt idx="22">
                  <c:v>40704</c:v>
                </c:pt>
                <c:pt idx="23">
                  <c:v>40711</c:v>
                </c:pt>
                <c:pt idx="24">
                  <c:v>40718</c:v>
                </c:pt>
                <c:pt idx="25">
                  <c:v>40725</c:v>
                </c:pt>
                <c:pt idx="26">
                  <c:v>40732</c:v>
                </c:pt>
                <c:pt idx="27">
                  <c:v>40739</c:v>
                </c:pt>
                <c:pt idx="28">
                  <c:v>40746</c:v>
                </c:pt>
                <c:pt idx="29">
                  <c:v>40753</c:v>
                </c:pt>
                <c:pt idx="30">
                  <c:v>40760</c:v>
                </c:pt>
                <c:pt idx="31">
                  <c:v>40767</c:v>
                </c:pt>
                <c:pt idx="32">
                  <c:v>40774</c:v>
                </c:pt>
                <c:pt idx="33">
                  <c:v>40781</c:v>
                </c:pt>
                <c:pt idx="34">
                  <c:v>40788</c:v>
                </c:pt>
                <c:pt idx="35">
                  <c:v>40795</c:v>
                </c:pt>
                <c:pt idx="36">
                  <c:v>40802</c:v>
                </c:pt>
                <c:pt idx="37">
                  <c:v>40809</c:v>
                </c:pt>
                <c:pt idx="38">
                  <c:v>40816</c:v>
                </c:pt>
                <c:pt idx="39">
                  <c:v>40823</c:v>
                </c:pt>
                <c:pt idx="40">
                  <c:v>40830</c:v>
                </c:pt>
                <c:pt idx="41">
                  <c:v>40837</c:v>
                </c:pt>
                <c:pt idx="42">
                  <c:v>40844</c:v>
                </c:pt>
                <c:pt idx="43">
                  <c:v>40851</c:v>
                </c:pt>
                <c:pt idx="44">
                  <c:v>40858</c:v>
                </c:pt>
                <c:pt idx="45">
                  <c:v>40865</c:v>
                </c:pt>
                <c:pt idx="46">
                  <c:v>40872</c:v>
                </c:pt>
                <c:pt idx="47">
                  <c:v>40879</c:v>
                </c:pt>
                <c:pt idx="48">
                  <c:v>40886</c:v>
                </c:pt>
                <c:pt idx="49">
                  <c:v>40893</c:v>
                </c:pt>
                <c:pt idx="50">
                  <c:v>40900</c:v>
                </c:pt>
                <c:pt idx="51">
                  <c:v>40907</c:v>
                </c:pt>
                <c:pt idx="52">
                  <c:v>40914</c:v>
                </c:pt>
                <c:pt idx="53">
                  <c:v>40921</c:v>
                </c:pt>
                <c:pt idx="54">
                  <c:v>40928</c:v>
                </c:pt>
                <c:pt idx="55">
                  <c:v>40935</c:v>
                </c:pt>
                <c:pt idx="56">
                  <c:v>40942</c:v>
                </c:pt>
                <c:pt idx="57">
                  <c:v>40949</c:v>
                </c:pt>
                <c:pt idx="58">
                  <c:v>40956</c:v>
                </c:pt>
                <c:pt idx="59">
                  <c:v>40963</c:v>
                </c:pt>
                <c:pt idx="60">
                  <c:v>40970</c:v>
                </c:pt>
                <c:pt idx="61">
                  <c:v>40977</c:v>
                </c:pt>
                <c:pt idx="62">
                  <c:v>40984</c:v>
                </c:pt>
                <c:pt idx="63">
                  <c:v>40991</c:v>
                </c:pt>
                <c:pt idx="64">
                  <c:v>40998</c:v>
                </c:pt>
                <c:pt idx="65">
                  <c:v>41005</c:v>
                </c:pt>
                <c:pt idx="66">
                  <c:v>41012</c:v>
                </c:pt>
                <c:pt idx="67">
                  <c:v>41019</c:v>
                </c:pt>
                <c:pt idx="68">
                  <c:v>41026</c:v>
                </c:pt>
                <c:pt idx="69">
                  <c:v>41033</c:v>
                </c:pt>
                <c:pt idx="70">
                  <c:v>41040</c:v>
                </c:pt>
                <c:pt idx="71">
                  <c:v>41047</c:v>
                </c:pt>
                <c:pt idx="72">
                  <c:v>41054</c:v>
                </c:pt>
                <c:pt idx="73">
                  <c:v>41061</c:v>
                </c:pt>
                <c:pt idx="74">
                  <c:v>41068</c:v>
                </c:pt>
                <c:pt idx="75">
                  <c:v>41075</c:v>
                </c:pt>
                <c:pt idx="76">
                  <c:v>41082</c:v>
                </c:pt>
                <c:pt idx="77">
                  <c:v>41089</c:v>
                </c:pt>
                <c:pt idx="78">
                  <c:v>41096</c:v>
                </c:pt>
                <c:pt idx="79">
                  <c:v>41103</c:v>
                </c:pt>
                <c:pt idx="80">
                  <c:v>41110</c:v>
                </c:pt>
                <c:pt idx="81">
                  <c:v>41117</c:v>
                </c:pt>
                <c:pt idx="82">
                  <c:v>41124</c:v>
                </c:pt>
                <c:pt idx="83">
                  <c:v>41131</c:v>
                </c:pt>
                <c:pt idx="84">
                  <c:v>41138</c:v>
                </c:pt>
                <c:pt idx="85">
                  <c:v>41145</c:v>
                </c:pt>
                <c:pt idx="86">
                  <c:v>41152</c:v>
                </c:pt>
                <c:pt idx="87">
                  <c:v>41159</c:v>
                </c:pt>
                <c:pt idx="88">
                  <c:v>41166</c:v>
                </c:pt>
                <c:pt idx="89">
                  <c:v>41173</c:v>
                </c:pt>
                <c:pt idx="90">
                  <c:v>41180</c:v>
                </c:pt>
                <c:pt idx="91">
                  <c:v>41187</c:v>
                </c:pt>
                <c:pt idx="92">
                  <c:v>41194</c:v>
                </c:pt>
                <c:pt idx="93">
                  <c:v>41201</c:v>
                </c:pt>
                <c:pt idx="94">
                  <c:v>41208</c:v>
                </c:pt>
                <c:pt idx="95">
                  <c:v>41215</c:v>
                </c:pt>
                <c:pt idx="96">
                  <c:v>41222</c:v>
                </c:pt>
                <c:pt idx="97">
                  <c:v>41229</c:v>
                </c:pt>
                <c:pt idx="98">
                  <c:v>41236</c:v>
                </c:pt>
                <c:pt idx="99">
                  <c:v>41243</c:v>
                </c:pt>
                <c:pt idx="100">
                  <c:v>41250</c:v>
                </c:pt>
                <c:pt idx="101">
                  <c:v>41257</c:v>
                </c:pt>
                <c:pt idx="102">
                  <c:v>41264</c:v>
                </c:pt>
                <c:pt idx="103">
                  <c:v>41271</c:v>
                </c:pt>
                <c:pt idx="104">
                  <c:v>41278</c:v>
                </c:pt>
                <c:pt idx="105">
                  <c:v>41285</c:v>
                </c:pt>
                <c:pt idx="106">
                  <c:v>41292</c:v>
                </c:pt>
                <c:pt idx="107">
                  <c:v>41299</c:v>
                </c:pt>
                <c:pt idx="108">
                  <c:v>41306</c:v>
                </c:pt>
                <c:pt idx="109">
                  <c:v>41313</c:v>
                </c:pt>
                <c:pt idx="110">
                  <c:v>41320</c:v>
                </c:pt>
                <c:pt idx="111">
                  <c:v>41327</c:v>
                </c:pt>
                <c:pt idx="112">
                  <c:v>41334</c:v>
                </c:pt>
                <c:pt idx="113">
                  <c:v>41341</c:v>
                </c:pt>
                <c:pt idx="114">
                  <c:v>41348</c:v>
                </c:pt>
                <c:pt idx="115">
                  <c:v>41355</c:v>
                </c:pt>
                <c:pt idx="116">
                  <c:v>41361</c:v>
                </c:pt>
                <c:pt idx="117">
                  <c:v>41369</c:v>
                </c:pt>
                <c:pt idx="118">
                  <c:v>41376</c:v>
                </c:pt>
                <c:pt idx="119">
                  <c:v>41383</c:v>
                </c:pt>
                <c:pt idx="120">
                  <c:v>41390</c:v>
                </c:pt>
                <c:pt idx="121">
                  <c:v>41397</c:v>
                </c:pt>
                <c:pt idx="122">
                  <c:v>41404</c:v>
                </c:pt>
                <c:pt idx="123">
                  <c:v>41409</c:v>
                </c:pt>
                <c:pt idx="124">
                  <c:v>41418</c:v>
                </c:pt>
                <c:pt idx="125">
                  <c:v>41425</c:v>
                </c:pt>
                <c:pt idx="126">
                  <c:v>41432</c:v>
                </c:pt>
                <c:pt idx="127">
                  <c:v>41439</c:v>
                </c:pt>
                <c:pt idx="128">
                  <c:v>41446</c:v>
                </c:pt>
                <c:pt idx="129">
                  <c:v>41453</c:v>
                </c:pt>
                <c:pt idx="130">
                  <c:v>41460</c:v>
                </c:pt>
                <c:pt idx="131">
                  <c:v>41467</c:v>
                </c:pt>
                <c:pt idx="132">
                  <c:v>41474</c:v>
                </c:pt>
                <c:pt idx="133">
                  <c:v>41481</c:v>
                </c:pt>
                <c:pt idx="134">
                  <c:v>41488</c:v>
                </c:pt>
                <c:pt idx="135">
                  <c:v>41495</c:v>
                </c:pt>
                <c:pt idx="136">
                  <c:v>41508</c:v>
                </c:pt>
                <c:pt idx="137">
                  <c:v>41509</c:v>
                </c:pt>
                <c:pt idx="138">
                  <c:v>41516</c:v>
                </c:pt>
                <c:pt idx="139">
                  <c:v>41523</c:v>
                </c:pt>
                <c:pt idx="140">
                  <c:v>41530</c:v>
                </c:pt>
                <c:pt idx="141">
                  <c:v>41537</c:v>
                </c:pt>
                <c:pt idx="142">
                  <c:v>41544</c:v>
                </c:pt>
                <c:pt idx="143">
                  <c:v>41551</c:v>
                </c:pt>
                <c:pt idx="144">
                  <c:v>41558</c:v>
                </c:pt>
                <c:pt idx="145">
                  <c:v>41565</c:v>
                </c:pt>
                <c:pt idx="146">
                  <c:v>41572</c:v>
                </c:pt>
                <c:pt idx="147">
                  <c:v>41579</c:v>
                </c:pt>
                <c:pt idx="148">
                  <c:v>41586</c:v>
                </c:pt>
                <c:pt idx="149">
                  <c:v>41593</c:v>
                </c:pt>
                <c:pt idx="150">
                  <c:v>41600</c:v>
                </c:pt>
                <c:pt idx="151">
                  <c:v>41605</c:v>
                </c:pt>
                <c:pt idx="152">
                  <c:v>41614</c:v>
                </c:pt>
                <c:pt idx="153">
                  <c:v>41621</c:v>
                </c:pt>
                <c:pt idx="154">
                  <c:v>41628</c:v>
                </c:pt>
                <c:pt idx="155">
                  <c:v>41635</c:v>
                </c:pt>
                <c:pt idx="156">
                  <c:v>41642</c:v>
                </c:pt>
                <c:pt idx="157">
                  <c:v>41649</c:v>
                </c:pt>
                <c:pt idx="158">
                  <c:v>41656</c:v>
                </c:pt>
                <c:pt idx="159">
                  <c:v>41663</c:v>
                </c:pt>
                <c:pt idx="160">
                  <c:v>41670</c:v>
                </c:pt>
                <c:pt idx="161">
                  <c:v>41677</c:v>
                </c:pt>
                <c:pt idx="162">
                  <c:v>41684</c:v>
                </c:pt>
                <c:pt idx="163">
                  <c:v>41691</c:v>
                </c:pt>
                <c:pt idx="164">
                  <c:v>41698</c:v>
                </c:pt>
                <c:pt idx="165">
                  <c:v>41705</c:v>
                </c:pt>
                <c:pt idx="166">
                  <c:v>41712</c:v>
                </c:pt>
                <c:pt idx="167">
                  <c:v>41719</c:v>
                </c:pt>
                <c:pt idx="168">
                  <c:v>41726</c:v>
                </c:pt>
                <c:pt idx="169">
                  <c:v>41733</c:v>
                </c:pt>
                <c:pt idx="170">
                  <c:v>41740</c:v>
                </c:pt>
                <c:pt idx="171">
                  <c:v>41746</c:v>
                </c:pt>
                <c:pt idx="172">
                  <c:v>41754</c:v>
                </c:pt>
                <c:pt idx="173">
                  <c:v>41761</c:v>
                </c:pt>
                <c:pt idx="174">
                  <c:v>41768</c:v>
                </c:pt>
                <c:pt idx="175">
                  <c:v>41775</c:v>
                </c:pt>
                <c:pt idx="176">
                  <c:v>41782</c:v>
                </c:pt>
                <c:pt idx="177">
                  <c:v>41789</c:v>
                </c:pt>
                <c:pt idx="178">
                  <c:v>41796</c:v>
                </c:pt>
                <c:pt idx="179">
                  <c:v>41803</c:v>
                </c:pt>
                <c:pt idx="180">
                  <c:v>41810</c:v>
                </c:pt>
                <c:pt idx="181">
                  <c:v>41817</c:v>
                </c:pt>
                <c:pt idx="182">
                  <c:v>41823</c:v>
                </c:pt>
                <c:pt idx="183">
                  <c:v>41831</c:v>
                </c:pt>
                <c:pt idx="184">
                  <c:v>41838</c:v>
                </c:pt>
                <c:pt idx="185">
                  <c:v>41845</c:v>
                </c:pt>
                <c:pt idx="186">
                  <c:v>41852</c:v>
                </c:pt>
                <c:pt idx="187">
                  <c:v>41859</c:v>
                </c:pt>
                <c:pt idx="188">
                  <c:v>41866</c:v>
                </c:pt>
                <c:pt idx="189">
                  <c:v>41873</c:v>
                </c:pt>
                <c:pt idx="190">
                  <c:v>41880</c:v>
                </c:pt>
                <c:pt idx="191">
                  <c:v>41887</c:v>
                </c:pt>
                <c:pt idx="192">
                  <c:v>41894</c:v>
                </c:pt>
                <c:pt idx="193">
                  <c:v>41901</c:v>
                </c:pt>
                <c:pt idx="194">
                  <c:v>41908</c:v>
                </c:pt>
                <c:pt idx="195">
                  <c:v>41915</c:v>
                </c:pt>
                <c:pt idx="196">
                  <c:v>41922</c:v>
                </c:pt>
                <c:pt idx="197">
                  <c:v>41929</c:v>
                </c:pt>
                <c:pt idx="198">
                  <c:v>41936</c:v>
                </c:pt>
                <c:pt idx="199">
                  <c:v>41943</c:v>
                </c:pt>
                <c:pt idx="200">
                  <c:v>41950</c:v>
                </c:pt>
                <c:pt idx="201">
                  <c:v>41957</c:v>
                </c:pt>
                <c:pt idx="202">
                  <c:v>41964</c:v>
                </c:pt>
                <c:pt idx="203">
                  <c:v>41971</c:v>
                </c:pt>
                <c:pt idx="204">
                  <c:v>41978</c:v>
                </c:pt>
                <c:pt idx="205">
                  <c:v>41985</c:v>
                </c:pt>
                <c:pt idx="206">
                  <c:v>41992</c:v>
                </c:pt>
                <c:pt idx="207">
                  <c:v>41999</c:v>
                </c:pt>
                <c:pt idx="208">
                  <c:v>42006</c:v>
                </c:pt>
                <c:pt idx="209">
                  <c:v>42013</c:v>
                </c:pt>
                <c:pt idx="210">
                  <c:v>42020</c:v>
                </c:pt>
                <c:pt idx="211">
                  <c:v>42027</c:v>
                </c:pt>
                <c:pt idx="212">
                  <c:v>42034</c:v>
                </c:pt>
                <c:pt idx="213">
                  <c:v>42041</c:v>
                </c:pt>
                <c:pt idx="214">
                  <c:v>42048</c:v>
                </c:pt>
                <c:pt idx="215">
                  <c:v>42055</c:v>
                </c:pt>
                <c:pt idx="216">
                  <c:v>42062</c:v>
                </c:pt>
                <c:pt idx="217">
                  <c:v>42069</c:v>
                </c:pt>
                <c:pt idx="218">
                  <c:v>42076</c:v>
                </c:pt>
                <c:pt idx="219">
                  <c:v>42083</c:v>
                </c:pt>
                <c:pt idx="220">
                  <c:v>42090</c:v>
                </c:pt>
                <c:pt idx="221">
                  <c:v>42097</c:v>
                </c:pt>
                <c:pt idx="222">
                  <c:v>42104</c:v>
                </c:pt>
                <c:pt idx="223">
                  <c:v>42111</c:v>
                </c:pt>
              </c:numCache>
            </c:numRef>
          </c:cat>
          <c:val>
            <c:numRef>
              <c:f>'[3]all FNCL'!$J$180:$J$403</c:f>
              <c:numCache>
                <c:formatCode>General</c:formatCode>
                <c:ptCount val="224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4033.78</c:v>
                </c:pt>
                <c:pt idx="37">
                  <c:v>4512.13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2941.3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4423</c:v>
                </c:pt>
                <c:pt idx="86">
                  <c:v>4273.1000000000004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4666.8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2417.8000000000002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1561.6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1366.6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2308.6999999999998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2065536"/>
        <c:axId val="293892480"/>
      </c:lineChart>
      <c:lineChart>
        <c:grouping val="standard"/>
        <c:varyColors val="0"/>
        <c:ser>
          <c:idx val="1"/>
          <c:order val="1"/>
          <c:tx>
            <c:v>FNCL Refinancible Universe</c:v>
          </c:tx>
          <c:marker>
            <c:symbol val="none"/>
          </c:marker>
          <c:val>
            <c:numRef>
              <c:f>'[3]all FNCL'!$L$180:$L$403</c:f>
              <c:numCache>
                <c:formatCode>General</c:formatCode>
                <c:ptCount val="224"/>
                <c:pt idx="0">
                  <c:v>0.62402170072443097</c:v>
                </c:pt>
                <c:pt idx="1">
                  <c:v>0.62817294477626895</c:v>
                </c:pt>
                <c:pt idx="2">
                  <c:v>0.62597730951219799</c:v>
                </c:pt>
                <c:pt idx="3">
                  <c:v>0.62392159162868699</c:v>
                </c:pt>
                <c:pt idx="4">
                  <c:v>0.60653142223595202</c:v>
                </c:pt>
                <c:pt idx="5">
                  <c:v>0.50868797673712296</c:v>
                </c:pt>
                <c:pt idx="6">
                  <c:v>0.52965901814335503</c:v>
                </c:pt>
                <c:pt idx="7">
                  <c:v>0.57709503787578098</c:v>
                </c:pt>
                <c:pt idx="8">
                  <c:v>0.59224775585706502</c:v>
                </c:pt>
                <c:pt idx="9">
                  <c:v>0.590905707896624</c:v>
                </c:pt>
                <c:pt idx="10">
                  <c:v>0.60261779474869903</c:v>
                </c:pt>
                <c:pt idx="11">
                  <c:v>0.59950595681897501</c:v>
                </c:pt>
                <c:pt idx="12">
                  <c:v>0.59322570820163401</c:v>
                </c:pt>
                <c:pt idx="13">
                  <c:v>0.58542144661011897</c:v>
                </c:pt>
                <c:pt idx="14">
                  <c:v>0.58155199492979504</c:v>
                </c:pt>
                <c:pt idx="15">
                  <c:v>0.59356262313394503</c:v>
                </c:pt>
                <c:pt idx="16">
                  <c:v>0.59445921362542897</c:v>
                </c:pt>
                <c:pt idx="17">
                  <c:v>0.59391131067456004</c:v>
                </c:pt>
                <c:pt idx="18">
                  <c:v>0.60662155942019902</c:v>
                </c:pt>
                <c:pt idx="19">
                  <c:v>0.61264076908113696</c:v>
                </c:pt>
                <c:pt idx="20">
                  <c:v>0.615993636080996</c:v>
                </c:pt>
                <c:pt idx="21">
                  <c:v>0.66311590107349005</c:v>
                </c:pt>
                <c:pt idx="22">
                  <c:v>0.74517189360077896</c:v>
                </c:pt>
                <c:pt idx="23">
                  <c:v>0.72397022872334404</c:v>
                </c:pt>
                <c:pt idx="24">
                  <c:v>0.66311590107349005</c:v>
                </c:pt>
                <c:pt idx="25">
                  <c:v>0.69050447134038195</c:v>
                </c:pt>
                <c:pt idx="26">
                  <c:v>0.60410549631050603</c:v>
                </c:pt>
                <c:pt idx="27">
                  <c:v>0.684475421712614</c:v>
                </c:pt>
                <c:pt idx="28">
                  <c:v>0.66675683999516899</c:v>
                </c:pt>
                <c:pt idx="29">
                  <c:v>0.61660059317974703</c:v>
                </c:pt>
                <c:pt idx="30">
                  <c:v>0.81803711941746404</c:v>
                </c:pt>
                <c:pt idx="31">
                  <c:v>0.83404184296119299</c:v>
                </c:pt>
                <c:pt idx="32">
                  <c:v>0.86117434904403201</c:v>
                </c:pt>
                <c:pt idx="33">
                  <c:v>0.84714025108084801</c:v>
                </c:pt>
                <c:pt idx="34">
                  <c:v>0.84129278814437103</c:v>
                </c:pt>
                <c:pt idx="35">
                  <c:v>0.87859103936280603</c:v>
                </c:pt>
                <c:pt idx="36">
                  <c:v>0.90242289630358996</c:v>
                </c:pt>
                <c:pt idx="37">
                  <c:v>0.90242289630358996</c:v>
                </c:pt>
                <c:pt idx="38">
                  <c:v>0.94644262124543399</c:v>
                </c:pt>
                <c:pt idx="39">
                  <c:v>0.967252006042155</c:v>
                </c:pt>
                <c:pt idx="40">
                  <c:v>0.84917694017596201</c:v>
                </c:pt>
                <c:pt idx="41">
                  <c:v>0.85635864773186399</c:v>
                </c:pt>
                <c:pt idx="42">
                  <c:v>0.86512672485653097</c:v>
                </c:pt>
                <c:pt idx="43">
                  <c:v>0.93485323798856301</c:v>
                </c:pt>
                <c:pt idx="44">
                  <c:v>0.94404770550683104</c:v>
                </c:pt>
                <c:pt idx="45">
                  <c:v>0.93485323798856301</c:v>
                </c:pt>
                <c:pt idx="46">
                  <c:v>0.94997170807452402</c:v>
                </c:pt>
                <c:pt idx="47">
                  <c:v>0.91542628506626</c:v>
                </c:pt>
                <c:pt idx="48">
                  <c:v>0.92487460681698297</c:v>
                </c:pt>
                <c:pt idx="49">
                  <c:v>0.93969161247928701</c:v>
                </c:pt>
                <c:pt idx="50">
                  <c:v>0.96019586623642394</c:v>
                </c:pt>
                <c:pt idx="51">
                  <c:v>0.94762260030460199</c:v>
                </c:pt>
                <c:pt idx="52">
                  <c:v>0.94481773750585696</c:v>
                </c:pt>
                <c:pt idx="53">
                  <c:v>0.95320351892281396</c:v>
                </c:pt>
                <c:pt idx="54">
                  <c:v>0.95182771809710398</c:v>
                </c:pt>
                <c:pt idx="55">
                  <c:v>0.91861521434498905</c:v>
                </c:pt>
                <c:pt idx="56">
                  <c:v>0.94107838104995301</c:v>
                </c:pt>
                <c:pt idx="57">
                  <c:v>0.94107838104995301</c:v>
                </c:pt>
                <c:pt idx="58">
                  <c:v>0.94107838104995301</c:v>
                </c:pt>
                <c:pt idx="59">
                  <c:v>0.90921329115869698</c:v>
                </c:pt>
                <c:pt idx="60">
                  <c:v>0.91584710240533496</c:v>
                </c:pt>
                <c:pt idx="61">
                  <c:v>0.91902765125865904</c:v>
                </c:pt>
                <c:pt idx="62">
                  <c:v>0.90514599034862198</c:v>
                </c:pt>
                <c:pt idx="63">
                  <c:v>0.78959380464288298</c:v>
                </c:pt>
                <c:pt idx="64">
                  <c:v>0.87490910290764401</c:v>
                </c:pt>
                <c:pt idx="65">
                  <c:v>0.86928745494692705</c:v>
                </c:pt>
                <c:pt idx="66">
                  <c:v>0.90849340717481797</c:v>
                </c:pt>
                <c:pt idx="67">
                  <c:v>0.90349839031693802</c:v>
                </c:pt>
                <c:pt idx="68">
                  <c:v>0.90849340717481797</c:v>
                </c:pt>
                <c:pt idx="69">
                  <c:v>0.89225108632442696</c:v>
                </c:pt>
                <c:pt idx="70">
                  <c:v>0.89337268606647202</c:v>
                </c:pt>
                <c:pt idx="71">
                  <c:v>0.89489979671430897</c:v>
                </c:pt>
                <c:pt idx="72">
                  <c:v>0.89443957907281701</c:v>
                </c:pt>
                <c:pt idx="73">
                  <c:v>0.895121220846959</c:v>
                </c:pt>
                <c:pt idx="74">
                  <c:v>0.89201954495855595</c:v>
                </c:pt>
                <c:pt idx="75">
                  <c:v>0.886674497978159</c:v>
                </c:pt>
                <c:pt idx="76">
                  <c:v>0.89407594990163797</c:v>
                </c:pt>
                <c:pt idx="77">
                  <c:v>0.89407594990163797</c:v>
                </c:pt>
                <c:pt idx="78">
                  <c:v>0.88191141048608501</c:v>
                </c:pt>
                <c:pt idx="79">
                  <c:v>0.94551237246929398</c:v>
                </c:pt>
                <c:pt idx="80">
                  <c:v>0.97186924857157997</c:v>
                </c:pt>
                <c:pt idx="81">
                  <c:v>0.98451993370244095</c:v>
                </c:pt>
                <c:pt idx="82">
                  <c:v>0.93852225394978095</c:v>
                </c:pt>
                <c:pt idx="83">
                  <c:v>0.92408794393225502</c:v>
                </c:pt>
                <c:pt idx="84">
                  <c:v>0.88445471641937101</c:v>
                </c:pt>
                <c:pt idx="85">
                  <c:v>0.85694996797233802</c:v>
                </c:pt>
                <c:pt idx="86">
                  <c:v>0.92408794393225502</c:v>
                </c:pt>
                <c:pt idx="87">
                  <c:v>0.91761037893987496</c:v>
                </c:pt>
                <c:pt idx="88">
                  <c:v>0.940476462565773</c:v>
                </c:pt>
                <c:pt idx="89">
                  <c:v>0.95891425076544701</c:v>
                </c:pt>
                <c:pt idx="90">
                  <c:v>0.96459917415866603</c:v>
                </c:pt>
                <c:pt idx="91">
                  <c:v>0.95362908529618595</c:v>
                </c:pt>
                <c:pt idx="92">
                  <c:v>0.95159604304738399</c:v>
                </c:pt>
                <c:pt idx="93">
                  <c:v>0.95277295236812298</c:v>
                </c:pt>
                <c:pt idx="94">
                  <c:v>0.95079229345734495</c:v>
                </c:pt>
                <c:pt idx="95">
                  <c:v>0.92571311512973697</c:v>
                </c:pt>
                <c:pt idx="96">
                  <c:v>0.92529425270600996</c:v>
                </c:pt>
                <c:pt idx="97">
                  <c:v>0.92772026190850898</c:v>
                </c:pt>
                <c:pt idx="98">
                  <c:v>0.92993011952820803</c:v>
                </c:pt>
                <c:pt idx="99">
                  <c:v>0.92756020040727505</c:v>
                </c:pt>
                <c:pt idx="100">
                  <c:v>0.91054790878492298</c:v>
                </c:pt>
                <c:pt idx="101">
                  <c:v>0.91261368517922603</c:v>
                </c:pt>
                <c:pt idx="102">
                  <c:v>0.909651579188403</c:v>
                </c:pt>
                <c:pt idx="103">
                  <c:v>0.91018597538933199</c:v>
                </c:pt>
                <c:pt idx="104">
                  <c:v>0.88829814088555903</c:v>
                </c:pt>
                <c:pt idx="105">
                  <c:v>0.88507237465235999</c:v>
                </c:pt>
                <c:pt idx="106">
                  <c:v>0.88631407683414698</c:v>
                </c:pt>
                <c:pt idx="107">
                  <c:v>0.88379536104531298</c:v>
                </c:pt>
                <c:pt idx="108">
                  <c:v>0.84748759806752005</c:v>
                </c:pt>
                <c:pt idx="109">
                  <c:v>0.79744674672768501</c:v>
                </c:pt>
                <c:pt idx="110">
                  <c:v>0.79744674672768501</c:v>
                </c:pt>
                <c:pt idx="111">
                  <c:v>0.75767121274966998</c:v>
                </c:pt>
                <c:pt idx="112">
                  <c:v>0.81599621049204496</c:v>
                </c:pt>
                <c:pt idx="113">
                  <c:v>0.81254588826988305</c:v>
                </c:pt>
                <c:pt idx="114">
                  <c:v>0.70260073761186803</c:v>
                </c:pt>
                <c:pt idx="115">
                  <c:v>0.76832708554350604</c:v>
                </c:pt>
                <c:pt idx="116">
                  <c:v>0.73085022058809701</c:v>
                </c:pt>
                <c:pt idx="117">
                  <c:v>0.74812714109915801</c:v>
                </c:pt>
                <c:pt idx="118">
                  <c:v>0.81951890925716098</c:v>
                </c:pt>
                <c:pt idx="119">
                  <c:v>0.82637993200499604</c:v>
                </c:pt>
                <c:pt idx="120">
                  <c:v>0.82478602429419601</c:v>
                </c:pt>
                <c:pt idx="121">
                  <c:v>0.816862820958143</c:v>
                </c:pt>
                <c:pt idx="122">
                  <c:v>0.80807149473903706</c:v>
                </c:pt>
                <c:pt idx="123">
                  <c:v>0.77783403735744605</c:v>
                </c:pt>
                <c:pt idx="124">
                  <c:v>0.69528028144530996</c:v>
                </c:pt>
                <c:pt idx="125">
                  <c:v>0.63267241864898405</c:v>
                </c:pt>
                <c:pt idx="126">
                  <c:v>0.60569175356282701</c:v>
                </c:pt>
                <c:pt idx="127">
                  <c:v>0.57343184072471898</c:v>
                </c:pt>
                <c:pt idx="128">
                  <c:v>0.58795254732817603</c:v>
                </c:pt>
                <c:pt idx="129">
                  <c:v>0.39082116641682302</c:v>
                </c:pt>
                <c:pt idx="130">
                  <c:v>0.43308646421209301</c:v>
                </c:pt>
                <c:pt idx="131">
                  <c:v>0.31856955774356599</c:v>
                </c:pt>
                <c:pt idx="132">
                  <c:v>0.42624975952077698</c:v>
                </c:pt>
                <c:pt idx="133">
                  <c:v>0.42922629610906499</c:v>
                </c:pt>
                <c:pt idx="134">
                  <c:v>0.40917398895536999</c:v>
                </c:pt>
                <c:pt idx="135">
                  <c:v>0.40797811985401</c:v>
                </c:pt>
                <c:pt idx="136">
                  <c:v>0.28211495793674202</c:v>
                </c:pt>
                <c:pt idx="137">
                  <c:v>0.28211495793674202</c:v>
                </c:pt>
                <c:pt idx="138">
                  <c:v>0.32707732602530398</c:v>
                </c:pt>
                <c:pt idx="139">
                  <c:v>0.28186492560364501</c:v>
                </c:pt>
                <c:pt idx="140">
                  <c:v>0.27463010199382099</c:v>
                </c:pt>
                <c:pt idx="141">
                  <c:v>0.33277831045649597</c:v>
                </c:pt>
                <c:pt idx="142">
                  <c:v>0.40445747526612702</c:v>
                </c:pt>
                <c:pt idx="143">
                  <c:v>0.41528178559290602</c:v>
                </c:pt>
                <c:pt idx="144">
                  <c:v>0.41314719259777</c:v>
                </c:pt>
                <c:pt idx="145">
                  <c:v>0.402324815903361</c:v>
                </c:pt>
                <c:pt idx="146">
                  <c:v>0.431569129246685</c:v>
                </c:pt>
                <c:pt idx="147">
                  <c:v>0.46054051472194202</c:v>
                </c:pt>
                <c:pt idx="148">
                  <c:v>0.42159370418067099</c:v>
                </c:pt>
                <c:pt idx="149">
                  <c:v>0.38756459325455</c:v>
                </c:pt>
                <c:pt idx="150">
                  <c:v>0.41410653536495001</c:v>
                </c:pt>
                <c:pt idx="151">
                  <c:v>0.39699815933228</c:v>
                </c:pt>
                <c:pt idx="152">
                  <c:v>0.37338021104571001</c:v>
                </c:pt>
                <c:pt idx="153">
                  <c:v>0.37072062674784101</c:v>
                </c:pt>
                <c:pt idx="154">
                  <c:v>0.339745677776082</c:v>
                </c:pt>
                <c:pt idx="155">
                  <c:v>0.33029809597210902</c:v>
                </c:pt>
                <c:pt idx="156">
                  <c:v>0.26212623729092299</c:v>
                </c:pt>
                <c:pt idx="157">
                  <c:v>0.29022600492529399</c:v>
                </c:pt>
                <c:pt idx="158">
                  <c:v>0.36774882579493101</c:v>
                </c:pt>
                <c:pt idx="159">
                  <c:v>0.37084428304329597</c:v>
                </c:pt>
                <c:pt idx="160">
                  <c:v>0.38160196936392599</c:v>
                </c:pt>
                <c:pt idx="161">
                  <c:v>0.40068103493110202</c:v>
                </c:pt>
                <c:pt idx="162">
                  <c:v>0.38532630107915999</c:v>
                </c:pt>
                <c:pt idx="163">
                  <c:v>0.375571977518594</c:v>
                </c:pt>
                <c:pt idx="164">
                  <c:v>0.36967404481869198</c:v>
                </c:pt>
                <c:pt idx="165">
                  <c:v>0.383169637258365</c:v>
                </c:pt>
                <c:pt idx="166">
                  <c:v>0.36933430427665598</c:v>
                </c:pt>
                <c:pt idx="167">
                  <c:v>0.38030249532079302</c:v>
                </c:pt>
                <c:pt idx="168">
                  <c:v>0.36565400061255998</c:v>
                </c:pt>
                <c:pt idx="169">
                  <c:v>0.35521926568999201</c:v>
                </c:pt>
                <c:pt idx="170">
                  <c:v>0.36683376695248798</c:v>
                </c:pt>
                <c:pt idx="171">
                  <c:v>0.38166972699665502</c:v>
                </c:pt>
                <c:pt idx="172">
                  <c:v>0.37393962817107101</c:v>
                </c:pt>
                <c:pt idx="173">
                  <c:v>0.37360583835556399</c:v>
                </c:pt>
                <c:pt idx="174">
                  <c:v>0.409756747537739</c:v>
                </c:pt>
                <c:pt idx="175">
                  <c:v>0.41321534069517601</c:v>
                </c:pt>
                <c:pt idx="176">
                  <c:v>0.44799454346559803</c:v>
                </c:pt>
                <c:pt idx="177">
                  <c:v>0.463620204949516</c:v>
                </c:pt>
                <c:pt idx="178">
                  <c:v>0.46847875373528802</c:v>
                </c:pt>
                <c:pt idx="179">
                  <c:v>0.41096738430920399</c:v>
                </c:pt>
                <c:pt idx="180">
                  <c:v>0.426359386921487</c:v>
                </c:pt>
                <c:pt idx="181">
                  <c:v>0.46847875373528802</c:v>
                </c:pt>
                <c:pt idx="182">
                  <c:v>0.481783217502605</c:v>
                </c:pt>
                <c:pt idx="183">
                  <c:v>0.42147742037559999</c:v>
                </c:pt>
                <c:pt idx="184">
                  <c:v>0.451552968278365</c:v>
                </c:pt>
                <c:pt idx="185">
                  <c:v>0.451552968278365</c:v>
                </c:pt>
                <c:pt idx="186">
                  <c:v>0.45923072088835198</c:v>
                </c:pt>
                <c:pt idx="187">
                  <c:v>0.42413376349642801</c:v>
                </c:pt>
                <c:pt idx="188">
                  <c:v>0.45575254137027599</c:v>
                </c:pt>
                <c:pt idx="189">
                  <c:v>0.49084413664233301</c:v>
                </c:pt>
                <c:pt idx="190">
                  <c:v>0.49084413664233301</c:v>
                </c:pt>
                <c:pt idx="191">
                  <c:v>0.487326419100717</c:v>
                </c:pt>
                <c:pt idx="192">
                  <c:v>0.47415919522438099</c:v>
                </c:pt>
                <c:pt idx="193">
                  <c:v>0.39816728626756598</c:v>
                </c:pt>
                <c:pt idx="194">
                  <c:v>0.413732301706637</c:v>
                </c:pt>
                <c:pt idx="195">
                  <c:v>0.43232059685066698</c:v>
                </c:pt>
                <c:pt idx="196">
                  <c:v>0.47165449273347199</c:v>
                </c:pt>
                <c:pt idx="197">
                  <c:v>0.57517284737260699</c:v>
                </c:pt>
                <c:pt idx="198">
                  <c:v>0.58745733896979602</c:v>
                </c:pt>
                <c:pt idx="199">
                  <c:v>0.57181297396619601</c:v>
                </c:pt>
                <c:pt idx="200">
                  <c:v>0.548579829179903</c:v>
                </c:pt>
                <c:pt idx="201">
                  <c:v>0.55497671209744104</c:v>
                </c:pt>
                <c:pt idx="202">
                  <c:v>0.56606721089043699</c:v>
                </c:pt>
                <c:pt idx="203">
                  <c:v>0.57290983086857505</c:v>
                </c:pt>
                <c:pt idx="204">
                  <c:v>0.59279776197128298</c:v>
                </c:pt>
                <c:pt idx="205">
                  <c:v>0.57867105076839898</c:v>
                </c:pt>
                <c:pt idx="206">
                  <c:v>0.61554969638107904</c:v>
                </c:pt>
                <c:pt idx="207">
                  <c:v>0.605746362235419</c:v>
                </c:pt>
                <c:pt idx="208">
                  <c:v>0.59072795930158895</c:v>
                </c:pt>
                <c:pt idx="209">
                  <c:v>0.63580141506138299</c:v>
                </c:pt>
                <c:pt idx="210">
                  <c:v>0.66264885680248997</c:v>
                </c:pt>
                <c:pt idx="211">
                  <c:v>0.664741267487021</c:v>
                </c:pt>
                <c:pt idx="212">
                  <c:v>0.66264885680248997</c:v>
                </c:pt>
                <c:pt idx="213">
                  <c:v>0.68438167594716104</c:v>
                </c:pt>
                <c:pt idx="214">
                  <c:v>0.64890841265420796</c:v>
                </c:pt>
                <c:pt idx="215">
                  <c:v>0.62651628119673397</c:v>
                </c:pt>
                <c:pt idx="216">
                  <c:v>0.61098575112407705</c:v>
                </c:pt>
                <c:pt idx="217">
                  <c:v>0.61966926616186602</c:v>
                </c:pt>
                <c:pt idx="218">
                  <c:v>0.57559445438514301</c:v>
                </c:pt>
                <c:pt idx="219">
                  <c:v>0.609371962286406</c:v>
                </c:pt>
                <c:pt idx="220">
                  <c:v>0.64195316325793905</c:v>
                </c:pt>
                <c:pt idx="221">
                  <c:v>0.62812472062617597</c:v>
                </c:pt>
                <c:pt idx="222">
                  <c:v>0.64478767281568505</c:v>
                </c:pt>
                <c:pt idx="223">
                  <c:v>0.63088888629855699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924864"/>
        <c:axId val="293894400"/>
      </c:lineChart>
      <c:catAx>
        <c:axId val="28206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93892480"/>
        <c:crosses val="autoZero"/>
        <c:auto val="1"/>
        <c:lblAlgn val="ctr"/>
        <c:lblOffset val="100"/>
        <c:noMultiLvlLbl val="1"/>
      </c:catAx>
      <c:valAx>
        <c:axId val="293892480"/>
        <c:scaling>
          <c:orientation val="minMax"/>
          <c:max val="6500"/>
          <c:min val="5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Refi</a:t>
                </a:r>
                <a:r>
                  <a:rPr lang="en-US" baseline="0"/>
                  <a:t> Index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82065536"/>
        <c:crosses val="autoZero"/>
        <c:crossBetween val="between"/>
      </c:valAx>
      <c:valAx>
        <c:axId val="293894400"/>
        <c:scaling>
          <c:orientation val="minMax"/>
          <c:max val="1.1000000000000001"/>
          <c:min val="0.2"/>
        </c:scaling>
        <c:delete val="0"/>
        <c:axPos val="r"/>
        <c:numFmt formatCode="General" sourceLinked="1"/>
        <c:majorTickMark val="out"/>
        <c:minorTickMark val="none"/>
        <c:tickLblPos val="nextTo"/>
        <c:crossAx val="293924864"/>
        <c:crosses val="max"/>
        <c:crossBetween val="between"/>
      </c:valAx>
      <c:catAx>
        <c:axId val="293924864"/>
        <c:scaling>
          <c:orientation val="minMax"/>
        </c:scaling>
        <c:delete val="1"/>
        <c:axPos val="b"/>
        <c:majorTickMark val="out"/>
        <c:minorTickMark val="none"/>
        <c:tickLblPos val="nextTo"/>
        <c:crossAx val="293894400"/>
        <c:crosses val="autoZero"/>
        <c:auto val="1"/>
        <c:lblAlgn val="ctr"/>
        <c:lblOffset val="100"/>
        <c:noMultiLvlLbl val="0"/>
      </c:cat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130304"/>
        <c:axId val="302131840"/>
      </c:lineChart>
      <c:dateAx>
        <c:axId val="3021303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2131840"/>
        <c:crosses val="autoZero"/>
        <c:auto val="1"/>
        <c:lblOffset val="100"/>
        <c:baseTimeUnit val="days"/>
      </c:dateAx>
      <c:valAx>
        <c:axId val="30213184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02130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1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024960"/>
        <c:axId val="320026496"/>
      </c:lineChart>
      <c:lineChart>
        <c:grouping val="standard"/>
        <c:varyColors val="0"/>
        <c:ser>
          <c:idx val="2"/>
          <c:order val="0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43008"/>
        <c:axId val="321241088"/>
      </c:lineChart>
      <c:dateAx>
        <c:axId val="320024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0026496"/>
        <c:crosses val="autoZero"/>
        <c:auto val="1"/>
        <c:lblOffset val="100"/>
        <c:baseTimeUnit val="days"/>
      </c:dateAx>
      <c:valAx>
        <c:axId val="32002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320024960"/>
        <c:crosses val="autoZero"/>
        <c:crossBetween val="between"/>
      </c:valAx>
      <c:valAx>
        <c:axId val="3212410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1243008"/>
        <c:crosses val="max"/>
        <c:crossBetween val="between"/>
      </c:valAx>
      <c:dateAx>
        <c:axId val="321243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1241088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613184"/>
        <c:axId val="322831488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847872"/>
        <c:axId val="322833408"/>
      </c:lineChart>
      <c:dateAx>
        <c:axId val="321613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2831488"/>
        <c:crosses val="autoZero"/>
        <c:auto val="1"/>
        <c:lblOffset val="100"/>
        <c:baseTimeUnit val="days"/>
      </c:dateAx>
      <c:valAx>
        <c:axId val="322831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crossAx val="321613184"/>
        <c:crosses val="autoZero"/>
        <c:crossBetween val="between"/>
      </c:valAx>
      <c:valAx>
        <c:axId val="322833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22847872"/>
        <c:crosses val="max"/>
        <c:crossBetween val="between"/>
      </c:valAx>
      <c:dateAx>
        <c:axId val="3228478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22833408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6"/>
          <c:order val="1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PoolRefinancible!$I$3:$I$232</c:f>
              <c:numCache>
                <c:formatCode>0%</c:formatCode>
                <c:ptCount val="230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  <c:pt idx="225">
                  <c:v>0.4739230654186945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371968"/>
        <c:axId val="324373504"/>
      </c:lineChart>
      <c:dateAx>
        <c:axId val="32437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4373504"/>
        <c:crosses val="autoZero"/>
        <c:auto val="1"/>
        <c:lblOffset val="100"/>
        <c:baseTimeUnit val="days"/>
      </c:dateAx>
      <c:valAx>
        <c:axId val="32437350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4371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4"/>
          <c:order val="1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6"/>
          <c:order val="2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PoolRefinancible!$I$3:$I$232</c:f>
              <c:numCache>
                <c:formatCode>0%</c:formatCode>
                <c:ptCount val="230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  <c:pt idx="225">
                  <c:v>0.4739230654186945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693824"/>
        <c:axId val="325695360"/>
      </c:lineChart>
      <c:dateAx>
        <c:axId val="325693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5695360"/>
        <c:crosses val="autoZero"/>
        <c:auto val="1"/>
        <c:lblOffset val="100"/>
        <c:baseTimeUnit val="days"/>
      </c:dateAx>
      <c:valAx>
        <c:axId val="3256953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25693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PoolRefinancible!$I$3:$I$232</c:f>
              <c:numCache>
                <c:formatCode>0%</c:formatCode>
                <c:ptCount val="230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  <c:pt idx="225">
                  <c:v>0.4739230654186945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PoolRefinancible!$J$3:$J$232</c:f>
              <c:numCache>
                <c:formatCode>0%</c:formatCode>
                <c:ptCount val="230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  <c:pt idx="225">
                  <c:v>0.48011645770946798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5708416"/>
        <c:axId val="326521216"/>
      </c:lineChart>
      <c:dateAx>
        <c:axId val="325708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6521216"/>
        <c:crosses val="autoZero"/>
        <c:auto val="1"/>
        <c:lblOffset val="100"/>
        <c:baseTimeUnit val="days"/>
      </c:dateAx>
      <c:valAx>
        <c:axId val="326521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5708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PoolRefinancible!$J$3:$J$232</c:f>
              <c:numCache>
                <c:formatCode>0%</c:formatCode>
                <c:ptCount val="230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  <c:pt idx="225">
                  <c:v>0.48011645770946798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542080"/>
        <c:axId val="326543616"/>
      </c:lineChart>
      <c:dateAx>
        <c:axId val="326542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26543616"/>
        <c:crosses val="autoZero"/>
        <c:auto val="1"/>
        <c:lblOffset val="100"/>
        <c:baseTimeUnit val="days"/>
      </c:dateAx>
      <c:valAx>
        <c:axId val="32654361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26542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PoolRefinancible!$F$3:$F$232</c:f>
              <c:numCache>
                <c:formatCode>0%</c:formatCode>
                <c:ptCount val="230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11936"/>
        <c:axId val="331913472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24992"/>
        <c:axId val="331923456"/>
      </c:lineChart>
      <c:dateAx>
        <c:axId val="331911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1913472"/>
        <c:crosses val="autoZero"/>
        <c:auto val="1"/>
        <c:lblOffset val="100"/>
        <c:baseTimeUnit val="days"/>
      </c:dateAx>
      <c:valAx>
        <c:axId val="33191347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31911936"/>
        <c:crosses val="autoZero"/>
        <c:crossBetween val="between"/>
      </c:valAx>
      <c:valAx>
        <c:axId val="33192345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31924992"/>
        <c:crosses val="max"/>
        <c:crossBetween val="between"/>
      </c:valAx>
      <c:dateAx>
        <c:axId val="3319249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1923456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PoolRefinancible!$J$3:$J$232</c:f>
              <c:numCache>
                <c:formatCode>0%</c:formatCode>
                <c:ptCount val="230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  <c:pt idx="225">
                  <c:v>0.48011645770946798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8"/>
          <c:order val="2"/>
          <c:tx>
            <c:strRef>
              <c:f>PoolRefinancible!#REF!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938048"/>
        <c:axId val="331943936"/>
      </c:lineChart>
      <c:dateAx>
        <c:axId val="331938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1943936"/>
        <c:crosses val="autoZero"/>
        <c:auto val="1"/>
        <c:lblOffset val="100"/>
        <c:baseTimeUnit val="days"/>
      </c:dateAx>
      <c:valAx>
        <c:axId val="33194393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319380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PoolRefinancible!$I$3:$I$232</c:f>
              <c:numCache>
                <c:formatCode>0%</c:formatCode>
                <c:ptCount val="230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  <c:pt idx="225">
                  <c:v>0.4739230654186945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7"/>
          <c:order val="1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PoolRefinancible!$J$3:$J$232</c:f>
              <c:numCache>
                <c:formatCode>0%</c:formatCode>
                <c:ptCount val="230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  <c:pt idx="225">
                  <c:v>0.48011645770946798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16576"/>
        <c:axId val="332255232"/>
      </c:lineChart>
      <c:dateAx>
        <c:axId val="332216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2255232"/>
        <c:crosses val="autoZero"/>
        <c:auto val="1"/>
        <c:lblOffset val="100"/>
        <c:baseTimeUnit val="days"/>
      </c:dateAx>
      <c:valAx>
        <c:axId val="3322552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2216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HARPable Universe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'HARPable Universe'!$C$2</c:f>
              <c:strCache>
                <c:ptCount val="1"/>
                <c:pt idx="0">
                  <c:v>Refi Plus</c:v>
                </c:pt>
              </c:strCache>
            </c:strRef>
          </c:tx>
          <c:marker>
            <c:symbol val="none"/>
          </c:marker>
          <c:cat>
            <c:numRef>
              <c:f>'HARPable Universe'!$B$3:$B$227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'HARPable Universe'!$C$3:$C$227</c:f>
              <c:numCache>
                <c:formatCode>0%</c:formatCode>
                <c:ptCount val="225"/>
                <c:pt idx="0">
                  <c:v>0.68934342154794104</c:v>
                </c:pt>
                <c:pt idx="1">
                  <c:v>0.70307643177109502</c:v>
                </c:pt>
                <c:pt idx="2">
                  <c:v>0.68938813329756798</c:v>
                </c:pt>
                <c:pt idx="3">
                  <c:v>0.68933878258023296</c:v>
                </c:pt>
                <c:pt idx="4">
                  <c:v>0.67503887167036103</c:v>
                </c:pt>
                <c:pt idx="5">
                  <c:v>0.62601198303170802</c:v>
                </c:pt>
                <c:pt idx="6">
                  <c:v>0.64635810340061295</c:v>
                </c:pt>
                <c:pt idx="7">
                  <c:v>0.657316480570869</c:v>
                </c:pt>
                <c:pt idx="8">
                  <c:v>0.67062319372880397</c:v>
                </c:pt>
                <c:pt idx="9">
                  <c:v>0.67056643052686704</c:v>
                </c:pt>
                <c:pt idx="10">
                  <c:v>0.69499981858565096</c:v>
                </c:pt>
                <c:pt idx="11">
                  <c:v>0.68107814802781896</c:v>
                </c:pt>
                <c:pt idx="12">
                  <c:v>0.67063539524591398</c:v>
                </c:pt>
                <c:pt idx="13">
                  <c:v>0.667098340408248</c:v>
                </c:pt>
                <c:pt idx="14">
                  <c:v>0.66704040155500299</c:v>
                </c:pt>
                <c:pt idx="15">
                  <c:v>0.67762590916364096</c:v>
                </c:pt>
                <c:pt idx="16">
                  <c:v>0.67764813539017299</c:v>
                </c:pt>
                <c:pt idx="17">
                  <c:v>0.68894669316518398</c:v>
                </c:pt>
                <c:pt idx="18">
                  <c:v>0.71405065373301202</c:v>
                </c:pt>
                <c:pt idx="19">
                  <c:v>0.71407362852576595</c:v>
                </c:pt>
                <c:pt idx="20">
                  <c:v>0.71409882525790402</c:v>
                </c:pt>
                <c:pt idx="21">
                  <c:v>0.72824875176082904</c:v>
                </c:pt>
                <c:pt idx="22">
                  <c:v>0.74506714039606803</c:v>
                </c:pt>
                <c:pt idx="23">
                  <c:v>0.74505340929157504</c:v>
                </c:pt>
                <c:pt idx="24">
                  <c:v>0.72824875176082904</c:v>
                </c:pt>
                <c:pt idx="25">
                  <c:v>0.74479550295308605</c:v>
                </c:pt>
                <c:pt idx="26">
                  <c:v>0.70952144486954205</c:v>
                </c:pt>
                <c:pt idx="27">
                  <c:v>0.74275012081458902</c:v>
                </c:pt>
                <c:pt idx="28">
                  <c:v>0.72609841989856705</c:v>
                </c:pt>
                <c:pt idx="29">
                  <c:v>0.72572799430629997</c:v>
                </c:pt>
                <c:pt idx="30">
                  <c:v>0.77903375194828495</c:v>
                </c:pt>
                <c:pt idx="31">
                  <c:v>0.86382425683094299</c:v>
                </c:pt>
                <c:pt idx="32">
                  <c:v>0.93211944193435403</c:v>
                </c:pt>
                <c:pt idx="33">
                  <c:v>0.89991044673128795</c:v>
                </c:pt>
                <c:pt idx="34">
                  <c:v>0.89921029459495505</c:v>
                </c:pt>
                <c:pt idx="35">
                  <c:v>0.94885867876400498</c:v>
                </c:pt>
                <c:pt idx="36">
                  <c:v>0.948919698883541</c:v>
                </c:pt>
                <c:pt idx="37">
                  <c:v>0.948919698883541</c:v>
                </c:pt>
                <c:pt idx="38">
                  <c:v>0.974512005363524</c:v>
                </c:pt>
                <c:pt idx="39">
                  <c:v>0.97415183550259199</c:v>
                </c:pt>
                <c:pt idx="40">
                  <c:v>0.930833872341434</c:v>
                </c:pt>
                <c:pt idx="41">
                  <c:v>0.948221735508743</c:v>
                </c:pt>
                <c:pt idx="42">
                  <c:v>0.94825133674425999</c:v>
                </c:pt>
                <c:pt idx="43">
                  <c:v>0.97363330958432404</c:v>
                </c:pt>
                <c:pt idx="44">
                  <c:v>0.97363631849321397</c:v>
                </c:pt>
                <c:pt idx="45">
                  <c:v>0.97363330958432404</c:v>
                </c:pt>
                <c:pt idx="46">
                  <c:v>0.97364489082606698</c:v>
                </c:pt>
                <c:pt idx="47">
                  <c:v>0.97319978848678002</c:v>
                </c:pt>
                <c:pt idx="48">
                  <c:v>0.973202121427309</c:v>
                </c:pt>
                <c:pt idx="49">
                  <c:v>0.97322297014224102</c:v>
                </c:pt>
                <c:pt idx="50">
                  <c:v>0.98378393141539</c:v>
                </c:pt>
                <c:pt idx="51">
                  <c:v>0.98374645848449505</c:v>
                </c:pt>
                <c:pt idx="52">
                  <c:v>0.98350298040027295</c:v>
                </c:pt>
                <c:pt idx="53">
                  <c:v>0.983519920596025</c:v>
                </c:pt>
                <c:pt idx="54">
                  <c:v>0.98351461374668603</c:v>
                </c:pt>
                <c:pt idx="55">
                  <c:v>0.97286189980816695</c:v>
                </c:pt>
                <c:pt idx="56">
                  <c:v>0.98329981748947404</c:v>
                </c:pt>
                <c:pt idx="57">
                  <c:v>0.98329981748947404</c:v>
                </c:pt>
                <c:pt idx="58">
                  <c:v>0.98329981748947404</c:v>
                </c:pt>
                <c:pt idx="59">
                  <c:v>0.97253147097901604</c:v>
                </c:pt>
                <c:pt idx="60">
                  <c:v>0.98307098130391601</c:v>
                </c:pt>
                <c:pt idx="61">
                  <c:v>0.98308116533178702</c:v>
                </c:pt>
                <c:pt idx="62">
                  <c:v>0.98304412035651201</c:v>
                </c:pt>
                <c:pt idx="63">
                  <c:v>0.94621671624645198</c:v>
                </c:pt>
                <c:pt idx="64">
                  <c:v>0.97221317553099895</c:v>
                </c:pt>
                <c:pt idx="65">
                  <c:v>0.972659113561122</c:v>
                </c:pt>
                <c:pt idx="66">
                  <c:v>0.98910284855503505</c:v>
                </c:pt>
                <c:pt idx="67">
                  <c:v>0.98328533943875196</c:v>
                </c:pt>
                <c:pt idx="68">
                  <c:v>0.98910284855503505</c:v>
                </c:pt>
                <c:pt idx="69">
                  <c:v>0.98918794291197698</c:v>
                </c:pt>
                <c:pt idx="70">
                  <c:v>0.98919709187808802</c:v>
                </c:pt>
                <c:pt idx="71">
                  <c:v>0.99452879876186695</c:v>
                </c:pt>
                <c:pt idx="72">
                  <c:v>0.994528175384642</c:v>
                </c:pt>
                <c:pt idx="73">
                  <c:v>0.99453076174602095</c:v>
                </c:pt>
                <c:pt idx="74">
                  <c:v>0.99920990822137301</c:v>
                </c:pt>
                <c:pt idx="75">
                  <c:v>0.99750984999361303</c:v>
                </c:pt>
                <c:pt idx="76">
                  <c:v>0.99920990822137301</c:v>
                </c:pt>
                <c:pt idx="77">
                  <c:v>0.99920990822137301</c:v>
                </c:pt>
                <c:pt idx="78">
                  <c:v>0.99921052750741601</c:v>
                </c:pt>
                <c:pt idx="79">
                  <c:v>0.99993082487965101</c:v>
                </c:pt>
                <c:pt idx="80">
                  <c:v>0.99993082487965101</c:v>
                </c:pt>
                <c:pt idx="81">
                  <c:v>0.99994356235953297</c:v>
                </c:pt>
                <c:pt idx="82">
                  <c:v>0.99992850979514003</c:v>
                </c:pt>
                <c:pt idx="83">
                  <c:v>0.99992850979514003</c:v>
                </c:pt>
                <c:pt idx="84">
                  <c:v>0.99991808103115498</c:v>
                </c:pt>
                <c:pt idx="85">
                  <c:v>0.99920283129912302</c:v>
                </c:pt>
                <c:pt idx="86">
                  <c:v>0.99992850979514003</c:v>
                </c:pt>
                <c:pt idx="87">
                  <c:v>0.999925926572371</c:v>
                </c:pt>
                <c:pt idx="88">
                  <c:v>0.999925926572371</c:v>
                </c:pt>
                <c:pt idx="89">
                  <c:v>0.99993925458967703</c:v>
                </c:pt>
                <c:pt idx="90">
                  <c:v>0.999963330930556</c:v>
                </c:pt>
                <c:pt idx="91">
                  <c:v>0.99996184565451895</c:v>
                </c:pt>
                <c:pt idx="92">
                  <c:v>0.99994149110272401</c:v>
                </c:pt>
                <c:pt idx="93">
                  <c:v>0.99996184565451895</c:v>
                </c:pt>
                <c:pt idx="94">
                  <c:v>0.99994149110272401</c:v>
                </c:pt>
                <c:pt idx="95">
                  <c:v>0.99993955387432398</c:v>
                </c:pt>
                <c:pt idx="96">
                  <c:v>0.99993955387432398</c:v>
                </c:pt>
                <c:pt idx="97">
                  <c:v>0.999960116591327</c:v>
                </c:pt>
                <c:pt idx="98">
                  <c:v>0.99997526938915204</c:v>
                </c:pt>
                <c:pt idx="99">
                  <c:v>0.999960116591327</c:v>
                </c:pt>
                <c:pt idx="100">
                  <c:v>0.99995840571303796</c:v>
                </c:pt>
                <c:pt idx="101">
                  <c:v>0.99997421417518995</c:v>
                </c:pt>
                <c:pt idx="102">
                  <c:v>0.99995840571303796</c:v>
                </c:pt>
                <c:pt idx="103">
                  <c:v>0.99995840571303796</c:v>
                </c:pt>
                <c:pt idx="104">
                  <c:v>0.99995690344517796</c:v>
                </c:pt>
                <c:pt idx="105">
                  <c:v>0.99993449558008296</c:v>
                </c:pt>
                <c:pt idx="106">
                  <c:v>0.99995690344517796</c:v>
                </c:pt>
                <c:pt idx="107">
                  <c:v>0.99993449558008296</c:v>
                </c:pt>
                <c:pt idx="108">
                  <c:v>0.99991411771788796</c:v>
                </c:pt>
                <c:pt idx="109">
                  <c:v>0.99991089237320696</c:v>
                </c:pt>
                <c:pt idx="110">
                  <c:v>0.99991089237320696</c:v>
                </c:pt>
                <c:pt idx="111">
                  <c:v>0.99989953187824898</c:v>
                </c:pt>
                <c:pt idx="112">
                  <c:v>0.99991089237320696</c:v>
                </c:pt>
                <c:pt idx="113">
                  <c:v>0.99990931344518297</c:v>
                </c:pt>
                <c:pt idx="114">
                  <c:v>0.99915802709531398</c:v>
                </c:pt>
                <c:pt idx="115">
                  <c:v>0.99990931344518297</c:v>
                </c:pt>
                <c:pt idx="116">
                  <c:v>0.999897251404256</c:v>
                </c:pt>
                <c:pt idx="117">
                  <c:v>0.99990366179078405</c:v>
                </c:pt>
                <c:pt idx="118">
                  <c:v>0.99991982126825196</c:v>
                </c:pt>
                <c:pt idx="119">
                  <c:v>0.99992797902387898</c:v>
                </c:pt>
                <c:pt idx="120">
                  <c:v>0.99992797902387898</c:v>
                </c:pt>
                <c:pt idx="121">
                  <c:v>0.9999571303068</c:v>
                </c:pt>
                <c:pt idx="122">
                  <c:v>0.999926355664575</c:v>
                </c:pt>
                <c:pt idx="123">
                  <c:v>0.99991596688144602</c:v>
                </c:pt>
                <c:pt idx="124">
                  <c:v>0.999891003765222</c:v>
                </c:pt>
                <c:pt idx="125">
                  <c:v>0.98959937329126002</c:v>
                </c:pt>
                <c:pt idx="126">
                  <c:v>0.98319620204482405</c:v>
                </c:pt>
                <c:pt idx="127">
                  <c:v>0.97483509520421197</c:v>
                </c:pt>
                <c:pt idx="128">
                  <c:v>0.974845105001512</c:v>
                </c:pt>
                <c:pt idx="129">
                  <c:v>0.75861637191260001</c:v>
                </c:pt>
                <c:pt idx="130">
                  <c:v>0.87464281994842097</c:v>
                </c:pt>
                <c:pt idx="131">
                  <c:v>0.73939644380791003</c:v>
                </c:pt>
                <c:pt idx="132">
                  <c:v>0.83595927197837805</c:v>
                </c:pt>
                <c:pt idx="133">
                  <c:v>0.83620473842721499</c:v>
                </c:pt>
                <c:pt idx="134">
                  <c:v>0.79246254673167404</c:v>
                </c:pt>
                <c:pt idx="135">
                  <c:v>0.792438207756055</c:v>
                </c:pt>
                <c:pt idx="136">
                  <c:v>0.792438207756055</c:v>
                </c:pt>
                <c:pt idx="137">
                  <c:v>0.72293605511047399</c:v>
                </c:pt>
                <c:pt idx="138">
                  <c:v>0.75618136859207497</c:v>
                </c:pt>
                <c:pt idx="139">
                  <c:v>0.73241928482112195</c:v>
                </c:pt>
                <c:pt idx="140">
                  <c:v>0.71851650648965204</c:v>
                </c:pt>
                <c:pt idx="141">
                  <c:v>0.75283799652968897</c:v>
                </c:pt>
                <c:pt idx="142">
                  <c:v>0.87216740152542305</c:v>
                </c:pt>
                <c:pt idx="143">
                  <c:v>0.91006704896642798</c:v>
                </c:pt>
                <c:pt idx="144">
                  <c:v>0.91000379323017</c:v>
                </c:pt>
                <c:pt idx="145">
                  <c:v>0.87030379941598801</c:v>
                </c:pt>
                <c:pt idx="146">
                  <c:v>0.92948151561270798</c:v>
                </c:pt>
                <c:pt idx="147">
                  <c:v>0.946371224192602</c:v>
                </c:pt>
                <c:pt idx="148">
                  <c:v>0.92862600348226998</c:v>
                </c:pt>
                <c:pt idx="149">
                  <c:v>0.82764760393529802</c:v>
                </c:pt>
                <c:pt idx="150">
                  <c:v>0.90867076242729805</c:v>
                </c:pt>
                <c:pt idx="151">
                  <c:v>0.868879336155854</c:v>
                </c:pt>
                <c:pt idx="152">
                  <c:v>0.78150994044042599</c:v>
                </c:pt>
                <c:pt idx="153">
                  <c:v>0.78142626283674099</c:v>
                </c:pt>
                <c:pt idx="154">
                  <c:v>0.74080880570196705</c:v>
                </c:pt>
                <c:pt idx="155">
                  <c:v>0.74072304288786295</c:v>
                </c:pt>
                <c:pt idx="156">
                  <c:v>0.71573440369395702</c:v>
                </c:pt>
                <c:pt idx="157">
                  <c:v>0.737862180577046</c:v>
                </c:pt>
                <c:pt idx="158">
                  <c:v>0.77881660913151596</c:v>
                </c:pt>
                <c:pt idx="159">
                  <c:v>0.77893724315267199</c:v>
                </c:pt>
                <c:pt idx="160">
                  <c:v>0.86531452225895999</c:v>
                </c:pt>
                <c:pt idx="161">
                  <c:v>0.904840601248314</c:v>
                </c:pt>
                <c:pt idx="162">
                  <c:v>0.86420449138465305</c:v>
                </c:pt>
                <c:pt idx="163">
                  <c:v>0.82103225324176798</c:v>
                </c:pt>
                <c:pt idx="164">
                  <c:v>0.82077124571501203</c:v>
                </c:pt>
                <c:pt idx="165">
                  <c:v>0.86296973588403203</c:v>
                </c:pt>
                <c:pt idx="166">
                  <c:v>0.81906765211778298</c:v>
                </c:pt>
                <c:pt idx="167">
                  <c:v>0.86286183686691498</c:v>
                </c:pt>
                <c:pt idx="168">
                  <c:v>0.81889916283087805</c:v>
                </c:pt>
                <c:pt idx="169">
                  <c:v>0.77382163087992895</c:v>
                </c:pt>
                <c:pt idx="170">
                  <c:v>0.81929535733400805</c:v>
                </c:pt>
                <c:pt idx="171">
                  <c:v>0.86307390731589495</c:v>
                </c:pt>
                <c:pt idx="172">
                  <c:v>0.862883144079441</c:v>
                </c:pt>
                <c:pt idx="173">
                  <c:v>0.86338218182302096</c:v>
                </c:pt>
                <c:pt idx="174">
                  <c:v>0.92469964057410103</c:v>
                </c:pt>
                <c:pt idx="175">
                  <c:v>0.92471213874485103</c:v>
                </c:pt>
                <c:pt idx="176">
                  <c:v>0.942170788335981</c:v>
                </c:pt>
                <c:pt idx="177">
                  <c:v>0.94220364207853702</c:v>
                </c:pt>
                <c:pt idx="178">
                  <c:v>0.94191255638832705</c:v>
                </c:pt>
                <c:pt idx="179">
                  <c:v>0.924708662683428</c:v>
                </c:pt>
                <c:pt idx="180">
                  <c:v>0.92478797041361505</c:v>
                </c:pt>
                <c:pt idx="181">
                  <c:v>0.94191255638832705</c:v>
                </c:pt>
                <c:pt idx="182">
                  <c:v>0.95933486163638704</c:v>
                </c:pt>
                <c:pt idx="183">
                  <c:v>0.92435732512698199</c:v>
                </c:pt>
                <c:pt idx="184">
                  <c:v>0.94140193159732499</c:v>
                </c:pt>
                <c:pt idx="185">
                  <c:v>0.94140193159732499</c:v>
                </c:pt>
                <c:pt idx="186">
                  <c:v>0.94141649683931705</c:v>
                </c:pt>
                <c:pt idx="187">
                  <c:v>0.92406873351741203</c:v>
                </c:pt>
                <c:pt idx="188">
                  <c:v>0.94091871934431903</c:v>
                </c:pt>
                <c:pt idx="189">
                  <c:v>0.95930523734958395</c:v>
                </c:pt>
                <c:pt idx="190">
                  <c:v>0.95930523734958395</c:v>
                </c:pt>
                <c:pt idx="191">
                  <c:v>0.959184322523427</c:v>
                </c:pt>
                <c:pt idx="192">
                  <c:v>0.95904395158926303</c:v>
                </c:pt>
                <c:pt idx="193">
                  <c:v>0.92367592231458095</c:v>
                </c:pt>
                <c:pt idx="194">
                  <c:v>0.92375754000891097</c:v>
                </c:pt>
                <c:pt idx="195">
                  <c:v>0.939877910552257</c:v>
                </c:pt>
                <c:pt idx="196">
                  <c:v>0.95870597013426595</c:v>
                </c:pt>
                <c:pt idx="197">
                  <c:v>0.98146689029705902</c:v>
                </c:pt>
                <c:pt idx="198">
                  <c:v>0.98818151288594802</c:v>
                </c:pt>
                <c:pt idx="199">
                  <c:v>0.98146296312210002</c:v>
                </c:pt>
                <c:pt idx="200">
                  <c:v>0.97081970689119501</c:v>
                </c:pt>
                <c:pt idx="201">
                  <c:v>0.97082427955975303</c:v>
                </c:pt>
                <c:pt idx="202">
                  <c:v>0.98114317383489702</c:v>
                </c:pt>
                <c:pt idx="203">
                  <c:v>0.98115309471965295</c:v>
                </c:pt>
                <c:pt idx="204">
                  <c:v>0.98784281177175604</c:v>
                </c:pt>
                <c:pt idx="205">
                  <c:v>0.98783408332259803</c:v>
                </c:pt>
                <c:pt idx="206">
                  <c:v>0.99479182701672098</c:v>
                </c:pt>
                <c:pt idx="207">
                  <c:v>0.99479023677626099</c:v>
                </c:pt>
                <c:pt idx="208">
                  <c:v>0.98784159692108897</c:v>
                </c:pt>
                <c:pt idx="209">
                  <c:v>0.99863696366528298</c:v>
                </c:pt>
                <c:pt idx="210">
                  <c:v>0.99972875942488504</c:v>
                </c:pt>
                <c:pt idx="211">
                  <c:v>0.99972875942488504</c:v>
                </c:pt>
                <c:pt idx="212">
                  <c:v>0.99972875942488504</c:v>
                </c:pt>
                <c:pt idx="213">
                  <c:v>0.99972493862629996</c:v>
                </c:pt>
                <c:pt idx="214">
                  <c:v>0.99902094218210002</c:v>
                </c:pt>
                <c:pt idx="215">
                  <c:v>0.99863084569716998</c:v>
                </c:pt>
                <c:pt idx="216">
                  <c:v>0.99472881095047105</c:v>
                </c:pt>
                <c:pt idx="217">
                  <c:v>0.99843910380784895</c:v>
                </c:pt>
                <c:pt idx="218">
                  <c:v>0.98728276128744996</c:v>
                </c:pt>
                <c:pt idx="219">
                  <c:v>0.99843910380784895</c:v>
                </c:pt>
                <c:pt idx="220">
                  <c:v>0.99887607034173698</c:v>
                </c:pt>
                <c:pt idx="221">
                  <c:v>0.99885910901552399</c:v>
                </c:pt>
                <c:pt idx="222">
                  <c:v>0.99960994368004696</c:v>
                </c:pt>
                <c:pt idx="223">
                  <c:v>0.99885981007337399</c:v>
                </c:pt>
                <c:pt idx="224">
                  <c:v>0.99960994368004696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'HARPable Universe'!$D$2</c:f>
              <c:strCache>
                <c:ptCount val="1"/>
                <c:pt idx="0">
                  <c:v>Regular</c:v>
                </c:pt>
              </c:strCache>
            </c:strRef>
          </c:tx>
          <c:marker>
            <c:symbol val="none"/>
          </c:marker>
          <c:cat>
            <c:numRef>
              <c:f>'HARPable Universe'!$B$3:$B$227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'HARPable Universe'!$D$3:$D$227</c:f>
              <c:numCache>
                <c:formatCode>0%</c:formatCode>
                <c:ptCount val="225"/>
                <c:pt idx="0">
                  <c:v>0.32204130779229101</c:v>
                </c:pt>
                <c:pt idx="1">
                  <c:v>0.33944259689377898</c:v>
                </c:pt>
                <c:pt idx="2">
                  <c:v>0.32792342987711598</c:v>
                </c:pt>
                <c:pt idx="3">
                  <c:v>0.32039053977925802</c:v>
                </c:pt>
                <c:pt idx="4">
                  <c:v>0.295596785601205</c:v>
                </c:pt>
                <c:pt idx="5">
                  <c:v>0.234840435700295</c:v>
                </c:pt>
                <c:pt idx="6">
                  <c:v>0.25513974378513499</c:v>
                </c:pt>
                <c:pt idx="7">
                  <c:v>0.27027204570239999</c:v>
                </c:pt>
                <c:pt idx="8">
                  <c:v>0.27618659696598702</c:v>
                </c:pt>
                <c:pt idx="9">
                  <c:v>0.27593598906514399</c:v>
                </c:pt>
                <c:pt idx="10">
                  <c:v>0.30794837748269599</c:v>
                </c:pt>
                <c:pt idx="11">
                  <c:v>0.29055412632630701</c:v>
                </c:pt>
                <c:pt idx="12">
                  <c:v>0.276215339287747</c:v>
                </c:pt>
                <c:pt idx="13">
                  <c:v>0.28032672938051101</c:v>
                </c:pt>
                <c:pt idx="14">
                  <c:v>0.27639565795825799</c:v>
                </c:pt>
                <c:pt idx="15">
                  <c:v>0.29489367773778902</c:v>
                </c:pt>
                <c:pt idx="16">
                  <c:v>0.30100380523127301</c:v>
                </c:pt>
                <c:pt idx="17">
                  <c:v>0.32414763510163902</c:v>
                </c:pt>
                <c:pt idx="18">
                  <c:v>0.35120080584396202</c:v>
                </c:pt>
                <c:pt idx="19">
                  <c:v>0.35171549347634701</c:v>
                </c:pt>
                <c:pt idx="20">
                  <c:v>0.35587573298129699</c:v>
                </c:pt>
                <c:pt idx="21">
                  <c:v>0.384751810944437</c:v>
                </c:pt>
                <c:pt idx="22">
                  <c:v>0.40107831488719298</c:v>
                </c:pt>
                <c:pt idx="23">
                  <c:v>0.401048271232536</c:v>
                </c:pt>
                <c:pt idx="24">
                  <c:v>0.384751810944437</c:v>
                </c:pt>
                <c:pt idx="25">
                  <c:v>0.40017737051204799</c:v>
                </c:pt>
                <c:pt idx="26">
                  <c:v>0.36468183111139002</c:v>
                </c:pt>
                <c:pt idx="27">
                  <c:v>0.40333930019983799</c:v>
                </c:pt>
                <c:pt idx="28">
                  <c:v>0.38775372661303198</c:v>
                </c:pt>
                <c:pt idx="29">
                  <c:v>0.38003243735001302</c:v>
                </c:pt>
                <c:pt idx="30">
                  <c:v>0.44778093064805002</c:v>
                </c:pt>
                <c:pt idx="31">
                  <c:v>0.52006535712284097</c:v>
                </c:pt>
                <c:pt idx="32">
                  <c:v>0.58768687513124296</c:v>
                </c:pt>
                <c:pt idx="33">
                  <c:v>0.55816631773039305</c:v>
                </c:pt>
                <c:pt idx="34">
                  <c:v>0.56195750140436296</c:v>
                </c:pt>
                <c:pt idx="35">
                  <c:v>0.60700793412000198</c:v>
                </c:pt>
                <c:pt idx="36">
                  <c:v>0.61032822604557502</c:v>
                </c:pt>
                <c:pt idx="37">
                  <c:v>0.61032822604557502</c:v>
                </c:pt>
                <c:pt idx="38">
                  <c:v>0.64853433410786498</c:v>
                </c:pt>
                <c:pt idx="39">
                  <c:v>0.645956259094282</c:v>
                </c:pt>
                <c:pt idx="40">
                  <c:v>0.58447873508666104</c:v>
                </c:pt>
                <c:pt idx="41">
                  <c:v>0.59657753136731795</c:v>
                </c:pt>
                <c:pt idx="42">
                  <c:v>0.59967366222938401</c:v>
                </c:pt>
                <c:pt idx="43">
                  <c:v>0.63426200382067699</c:v>
                </c:pt>
                <c:pt idx="44">
                  <c:v>0.63427711234699902</c:v>
                </c:pt>
                <c:pt idx="45">
                  <c:v>0.63426200382067699</c:v>
                </c:pt>
                <c:pt idx="46">
                  <c:v>0.635648130355292</c:v>
                </c:pt>
                <c:pt idx="47">
                  <c:v>0.62458539335419805</c:v>
                </c:pt>
                <c:pt idx="48">
                  <c:v>0.62459894340621602</c:v>
                </c:pt>
                <c:pt idx="49">
                  <c:v>0.62737303113999399</c:v>
                </c:pt>
                <c:pt idx="50">
                  <c:v>0.64767108993784595</c:v>
                </c:pt>
                <c:pt idx="51">
                  <c:v>0.63728428479421295</c:v>
                </c:pt>
                <c:pt idx="52">
                  <c:v>0.63473367433484096</c:v>
                </c:pt>
                <c:pt idx="53">
                  <c:v>0.64586810672947803</c:v>
                </c:pt>
                <c:pt idx="54">
                  <c:v>0.64423993013390601</c:v>
                </c:pt>
                <c:pt idx="55">
                  <c:v>0.62201051152227504</c:v>
                </c:pt>
                <c:pt idx="56">
                  <c:v>0.64005936276544695</c:v>
                </c:pt>
                <c:pt idx="57">
                  <c:v>0.64005936276544695</c:v>
                </c:pt>
                <c:pt idx="58">
                  <c:v>0.64005936276544695</c:v>
                </c:pt>
                <c:pt idx="59">
                  <c:v>0.61808643863248902</c:v>
                </c:pt>
                <c:pt idx="60">
                  <c:v>0.62796244692019199</c:v>
                </c:pt>
                <c:pt idx="61">
                  <c:v>0.63624058874854394</c:v>
                </c:pt>
                <c:pt idx="62">
                  <c:v>0.62572384062849695</c:v>
                </c:pt>
                <c:pt idx="63">
                  <c:v>0.57002458854182303</c:v>
                </c:pt>
                <c:pt idx="64">
                  <c:v>0.613026013245069</c:v>
                </c:pt>
                <c:pt idx="65">
                  <c:v>0.64462607137328098</c:v>
                </c:pt>
                <c:pt idx="66">
                  <c:v>0.67706909583525099</c:v>
                </c:pt>
                <c:pt idx="67">
                  <c:v>0.65838549683501602</c:v>
                </c:pt>
                <c:pt idx="68">
                  <c:v>0.67706909583525099</c:v>
                </c:pt>
                <c:pt idx="69">
                  <c:v>0.70759479979039797</c:v>
                </c:pt>
                <c:pt idx="70">
                  <c:v>0.71147773162473305</c:v>
                </c:pt>
                <c:pt idx="71">
                  <c:v>0.72048705417655701</c:v>
                </c:pt>
                <c:pt idx="72">
                  <c:v>0.71747083126455002</c:v>
                </c:pt>
                <c:pt idx="73">
                  <c:v>0.72251040855348803</c:v>
                </c:pt>
                <c:pt idx="74">
                  <c:v>0.76469548566159196</c:v>
                </c:pt>
                <c:pt idx="75">
                  <c:v>0.75970865346687</c:v>
                </c:pt>
                <c:pt idx="76">
                  <c:v>0.76601871584032599</c:v>
                </c:pt>
                <c:pt idx="77">
                  <c:v>0.76601871584032599</c:v>
                </c:pt>
                <c:pt idx="78">
                  <c:v>0.77656524470940902</c:v>
                </c:pt>
                <c:pt idx="79">
                  <c:v>0.78357818362172504</c:v>
                </c:pt>
                <c:pt idx="80">
                  <c:v>0.78680943760229805</c:v>
                </c:pt>
                <c:pt idx="81">
                  <c:v>0.78926724871332199</c:v>
                </c:pt>
                <c:pt idx="82">
                  <c:v>0.79167204155684201</c:v>
                </c:pt>
                <c:pt idx="83">
                  <c:v>0.79119157211259705</c:v>
                </c:pt>
                <c:pt idx="84">
                  <c:v>0.78981685075272301</c:v>
                </c:pt>
                <c:pt idx="85">
                  <c:v>0.78342241627971398</c:v>
                </c:pt>
                <c:pt idx="86">
                  <c:v>0.79119157211259705</c:v>
                </c:pt>
                <c:pt idx="87">
                  <c:v>0.79869244722997501</c:v>
                </c:pt>
                <c:pt idx="88">
                  <c:v>0.80125181967528103</c:v>
                </c:pt>
                <c:pt idx="89">
                  <c:v>0.80486189051620305</c:v>
                </c:pt>
                <c:pt idx="90">
                  <c:v>0.80926691142062801</c:v>
                </c:pt>
                <c:pt idx="91">
                  <c:v>0.81286201159837101</c:v>
                </c:pt>
                <c:pt idx="92">
                  <c:v>0.81023413562504598</c:v>
                </c:pt>
                <c:pt idx="93">
                  <c:v>0.81175268314445304</c:v>
                </c:pt>
                <c:pt idx="94">
                  <c:v>0.809839941502147</c:v>
                </c:pt>
                <c:pt idx="95">
                  <c:v>0.81305878798935505</c:v>
                </c:pt>
                <c:pt idx="96">
                  <c:v>0.812945122249775</c:v>
                </c:pt>
                <c:pt idx="97">
                  <c:v>0.81568730147186896</c:v>
                </c:pt>
                <c:pt idx="98">
                  <c:v>0.81619201070139402</c:v>
                </c:pt>
                <c:pt idx="99">
                  <c:v>0.81567965422119304</c:v>
                </c:pt>
                <c:pt idx="100">
                  <c:v>0.81785115811029996</c:v>
                </c:pt>
                <c:pt idx="101">
                  <c:v>0.81814457584000999</c:v>
                </c:pt>
                <c:pt idx="102">
                  <c:v>0.81674451148550797</c:v>
                </c:pt>
                <c:pt idx="103">
                  <c:v>0.81764309369800603</c:v>
                </c:pt>
                <c:pt idx="104">
                  <c:v>0.82341532975696197</c:v>
                </c:pt>
                <c:pt idx="105">
                  <c:v>0.82080020350731497</c:v>
                </c:pt>
                <c:pt idx="106">
                  <c:v>0.82149229359926401</c:v>
                </c:pt>
                <c:pt idx="107">
                  <c:v>0.81986111028491404</c:v>
                </c:pt>
                <c:pt idx="108">
                  <c:v>0.81478312271985798</c:v>
                </c:pt>
                <c:pt idx="109">
                  <c:v>0.81882809099579801</c:v>
                </c:pt>
                <c:pt idx="110">
                  <c:v>0.81882809099579801</c:v>
                </c:pt>
                <c:pt idx="111">
                  <c:v>0.81745206005968196</c:v>
                </c:pt>
                <c:pt idx="112">
                  <c:v>0.82073842590296597</c:v>
                </c:pt>
                <c:pt idx="113">
                  <c:v>0.82850307416378899</c:v>
                </c:pt>
                <c:pt idx="114">
                  <c:v>0.82003372097846405</c:v>
                </c:pt>
                <c:pt idx="115">
                  <c:v>0.82553780316113101</c:v>
                </c:pt>
                <c:pt idx="116">
                  <c:v>0.82472458395839399</c:v>
                </c:pt>
                <c:pt idx="117">
                  <c:v>0.84328555765855695</c:v>
                </c:pt>
                <c:pt idx="118">
                  <c:v>0.84878046306266597</c:v>
                </c:pt>
                <c:pt idx="119">
                  <c:v>0.85066430465365805</c:v>
                </c:pt>
                <c:pt idx="120">
                  <c:v>0.84953189700775</c:v>
                </c:pt>
                <c:pt idx="121">
                  <c:v>0.86809283690983496</c:v>
                </c:pt>
                <c:pt idx="122">
                  <c:v>0.86549923979029997</c:v>
                </c:pt>
                <c:pt idx="123">
                  <c:v>0.86263586497337696</c:v>
                </c:pt>
                <c:pt idx="124">
                  <c:v>0.85860250393135296</c:v>
                </c:pt>
                <c:pt idx="125">
                  <c:v>0.83247184789062301</c:v>
                </c:pt>
                <c:pt idx="126">
                  <c:v>0.83759474015632596</c:v>
                </c:pt>
                <c:pt idx="127">
                  <c:v>0.823700334554193</c:v>
                </c:pt>
                <c:pt idx="128">
                  <c:v>0.82432391546961303</c:v>
                </c:pt>
                <c:pt idx="129">
                  <c:v>0.58169167101166497</c:v>
                </c:pt>
                <c:pt idx="130">
                  <c:v>0.71619679638174105</c:v>
                </c:pt>
                <c:pt idx="131">
                  <c:v>0.56754957680996199</c:v>
                </c:pt>
                <c:pt idx="132">
                  <c:v>0.674456067653048</c:v>
                </c:pt>
                <c:pt idx="133">
                  <c:v>0.67655434294099503</c:v>
                </c:pt>
                <c:pt idx="134">
                  <c:v>0.64055597334900805</c:v>
                </c:pt>
                <c:pt idx="135">
                  <c:v>0.64029309309363502</c:v>
                </c:pt>
                <c:pt idx="136">
                  <c:v>0.64029309309363502</c:v>
                </c:pt>
                <c:pt idx="137">
                  <c:v>0.55236674392539098</c:v>
                </c:pt>
                <c:pt idx="138">
                  <c:v>0.59640056248304896</c:v>
                </c:pt>
                <c:pt idx="139">
                  <c:v>0.57522237437054402</c:v>
                </c:pt>
                <c:pt idx="140">
                  <c:v>0.55927995080584203</c:v>
                </c:pt>
                <c:pt idx="141">
                  <c:v>0.60260582931028095</c:v>
                </c:pt>
                <c:pt idx="142">
                  <c:v>0.72850837742778696</c:v>
                </c:pt>
                <c:pt idx="143">
                  <c:v>0.769426288466591</c:v>
                </c:pt>
                <c:pt idx="144">
                  <c:v>0.76833211087653297</c:v>
                </c:pt>
                <c:pt idx="145">
                  <c:v>0.732195057450439</c:v>
                </c:pt>
                <c:pt idx="146">
                  <c:v>0.79336710567798696</c:v>
                </c:pt>
                <c:pt idx="147">
                  <c:v>0.81149174558591197</c:v>
                </c:pt>
                <c:pt idx="148">
                  <c:v>0.79173406072518504</c:v>
                </c:pt>
                <c:pt idx="149">
                  <c:v>0.68857017211934701</c:v>
                </c:pt>
                <c:pt idx="150">
                  <c:v>0.76948544283018205</c:v>
                </c:pt>
                <c:pt idx="151">
                  <c:v>0.73153515943713499</c:v>
                </c:pt>
                <c:pt idx="152">
                  <c:v>0.64271311842684598</c:v>
                </c:pt>
                <c:pt idx="153">
                  <c:v>0.64127080834763694</c:v>
                </c:pt>
                <c:pt idx="154">
                  <c:v>0.58358220441457098</c:v>
                </c:pt>
                <c:pt idx="155">
                  <c:v>0.57997892806395601</c:v>
                </c:pt>
                <c:pt idx="156">
                  <c:v>0.555096534677191</c:v>
                </c:pt>
                <c:pt idx="157">
                  <c:v>0.59351739235175405</c:v>
                </c:pt>
                <c:pt idx="158">
                  <c:v>0.640010525508934</c:v>
                </c:pt>
                <c:pt idx="159">
                  <c:v>0.641007859456873</c:v>
                </c:pt>
                <c:pt idx="160">
                  <c:v>0.72590930220267003</c:v>
                </c:pt>
                <c:pt idx="161">
                  <c:v>0.76715832931317196</c:v>
                </c:pt>
                <c:pt idx="162">
                  <c:v>0.73079513071076196</c:v>
                </c:pt>
                <c:pt idx="163">
                  <c:v>0.68632933440003197</c:v>
                </c:pt>
                <c:pt idx="164">
                  <c:v>0.684442361485053</c:v>
                </c:pt>
                <c:pt idx="165">
                  <c:v>0.73198493777118001</c:v>
                </c:pt>
                <c:pt idx="166">
                  <c:v>0.68652732115680604</c:v>
                </c:pt>
                <c:pt idx="167">
                  <c:v>0.73018796633644001</c:v>
                </c:pt>
                <c:pt idx="168">
                  <c:v>0.68450438143886005</c:v>
                </c:pt>
                <c:pt idx="169">
                  <c:v>0.65157328022433403</c:v>
                </c:pt>
                <c:pt idx="170">
                  <c:v>0.69782122652957301</c:v>
                </c:pt>
                <c:pt idx="171">
                  <c:v>0.74322583937257003</c:v>
                </c:pt>
                <c:pt idx="172">
                  <c:v>0.741465269880487</c:v>
                </c:pt>
                <c:pt idx="173">
                  <c:v>0.75311294857435296</c:v>
                </c:pt>
                <c:pt idx="174">
                  <c:v>0.81447465128368302</c:v>
                </c:pt>
                <c:pt idx="175">
                  <c:v>0.81448915279691303</c:v>
                </c:pt>
                <c:pt idx="176">
                  <c:v>0.83369685729657195</c:v>
                </c:pt>
                <c:pt idx="177">
                  <c:v>0.83441070814585505</c:v>
                </c:pt>
                <c:pt idx="178">
                  <c:v>0.84407077334338998</c:v>
                </c:pt>
                <c:pt idx="179">
                  <c:v>0.824454253938531</c:v>
                </c:pt>
                <c:pt idx="180">
                  <c:v>0.82589246523279602</c:v>
                </c:pt>
                <c:pt idx="181">
                  <c:v>0.84407077334338998</c:v>
                </c:pt>
                <c:pt idx="182">
                  <c:v>0.86674293264243896</c:v>
                </c:pt>
                <c:pt idx="183">
                  <c:v>0.82890227253426596</c:v>
                </c:pt>
                <c:pt idx="184">
                  <c:v>0.84648587198714098</c:v>
                </c:pt>
                <c:pt idx="185">
                  <c:v>0.84648587198714098</c:v>
                </c:pt>
                <c:pt idx="186">
                  <c:v>0.84693805880599304</c:v>
                </c:pt>
                <c:pt idx="187">
                  <c:v>0.83214930029007805</c:v>
                </c:pt>
                <c:pt idx="188">
                  <c:v>0.84983360370315197</c:v>
                </c:pt>
                <c:pt idx="189">
                  <c:v>0.87098339925649604</c:v>
                </c:pt>
                <c:pt idx="190">
                  <c:v>0.87098339925649604</c:v>
                </c:pt>
                <c:pt idx="191">
                  <c:v>0.87380583264278999</c:v>
                </c:pt>
                <c:pt idx="192">
                  <c:v>0.87282316645630098</c:v>
                </c:pt>
                <c:pt idx="193">
                  <c:v>0.83339683915826901</c:v>
                </c:pt>
                <c:pt idx="194">
                  <c:v>0.83469677777951401</c:v>
                </c:pt>
                <c:pt idx="195">
                  <c:v>0.85275490992422898</c:v>
                </c:pt>
                <c:pt idx="196">
                  <c:v>0.87407306805923601</c:v>
                </c:pt>
                <c:pt idx="197">
                  <c:v>0.90427695834799704</c:v>
                </c:pt>
                <c:pt idx="198">
                  <c:v>0.91415871688142003</c:v>
                </c:pt>
                <c:pt idx="199">
                  <c:v>0.90425801000292305</c:v>
                </c:pt>
                <c:pt idx="200">
                  <c:v>0.89330807391308997</c:v>
                </c:pt>
                <c:pt idx="201">
                  <c:v>0.89333391711787102</c:v>
                </c:pt>
                <c:pt idx="202">
                  <c:v>0.905011241503064</c:v>
                </c:pt>
                <c:pt idx="203">
                  <c:v>0.90562471296629599</c:v>
                </c:pt>
                <c:pt idx="204">
                  <c:v>0.91738283856560698</c:v>
                </c:pt>
                <c:pt idx="205">
                  <c:v>0.91630211530110295</c:v>
                </c:pt>
                <c:pt idx="206">
                  <c:v>0.92646419287507198</c:v>
                </c:pt>
                <c:pt idx="207">
                  <c:v>0.92571360320613905</c:v>
                </c:pt>
                <c:pt idx="208">
                  <c:v>0.91736458306846103</c:v>
                </c:pt>
                <c:pt idx="209">
                  <c:v>0.93802679486435903</c:v>
                </c:pt>
                <c:pt idx="210">
                  <c:v>0.94118254536371704</c:v>
                </c:pt>
                <c:pt idx="211">
                  <c:v>0.94123508910533804</c:v>
                </c:pt>
                <c:pt idx="212">
                  <c:v>0.94118254536371704</c:v>
                </c:pt>
                <c:pt idx="213">
                  <c:v>0.94276245790638102</c:v>
                </c:pt>
                <c:pt idx="214">
                  <c:v>0.94029174019523298</c:v>
                </c:pt>
                <c:pt idx="215">
                  <c:v>0.93829546422584498</c:v>
                </c:pt>
                <c:pt idx="216">
                  <c:v>0.93258058102369301</c:v>
                </c:pt>
                <c:pt idx="217">
                  <c:v>0.93870362974987798</c:v>
                </c:pt>
                <c:pt idx="218">
                  <c:v>0.92338991003179305</c:v>
                </c:pt>
                <c:pt idx="219">
                  <c:v>0.93778619299504695</c:v>
                </c:pt>
                <c:pt idx="220">
                  <c:v>0.94062134279207998</c:v>
                </c:pt>
                <c:pt idx="221">
                  <c:v>0.94047446142896596</c:v>
                </c:pt>
                <c:pt idx="222">
                  <c:v>0.94241786802401695</c:v>
                </c:pt>
                <c:pt idx="223">
                  <c:v>0.94078919694529395</c:v>
                </c:pt>
                <c:pt idx="224">
                  <c:v>0.94300276803956395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609216"/>
        <c:axId val="333611008"/>
      </c:lineChart>
      <c:dateAx>
        <c:axId val="333609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3611008"/>
        <c:crosses val="autoZero"/>
        <c:auto val="1"/>
        <c:lblOffset val="100"/>
        <c:baseTimeUnit val="days"/>
      </c:dateAx>
      <c:valAx>
        <c:axId val="333611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3609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'HARPable Universe'!$K$2</c:f>
              <c:strCache>
                <c:ptCount val="1"/>
                <c:pt idx="0">
                  <c:v>HARPable Balance</c:v>
                </c:pt>
              </c:strCache>
            </c:strRef>
          </c:tx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Universe'!$K$3:$K$228</c:f>
              <c:numCache>
                <c:formatCode>_(* #,##0_);_(* \(#,##0\);_(* "-"??_);_(@_)</c:formatCode>
                <c:ptCount val="226"/>
                <c:pt idx="0">
                  <c:v>511152631253.10303</c:v>
                </c:pt>
                <c:pt idx="1">
                  <c:v>511152631253.10303</c:v>
                </c:pt>
                <c:pt idx="2">
                  <c:v>511152631253.10303</c:v>
                </c:pt>
                <c:pt idx="3">
                  <c:v>511152631253.10303</c:v>
                </c:pt>
                <c:pt idx="4">
                  <c:v>498355321367.67102</c:v>
                </c:pt>
                <c:pt idx="5">
                  <c:v>498355321367.67102</c:v>
                </c:pt>
                <c:pt idx="6">
                  <c:v>498355321367.67102</c:v>
                </c:pt>
                <c:pt idx="7">
                  <c:v>498355321367.67102</c:v>
                </c:pt>
                <c:pt idx="8">
                  <c:v>487217270284.03302</c:v>
                </c:pt>
                <c:pt idx="9">
                  <c:v>487217270284.03302</c:v>
                </c:pt>
                <c:pt idx="10">
                  <c:v>487217270284.03302</c:v>
                </c:pt>
                <c:pt idx="11">
                  <c:v>487217270284.03302</c:v>
                </c:pt>
                <c:pt idx="12">
                  <c:v>487217270284.03302</c:v>
                </c:pt>
                <c:pt idx="13">
                  <c:v>478049332159.64398</c:v>
                </c:pt>
                <c:pt idx="14">
                  <c:v>478049332159.64398</c:v>
                </c:pt>
                <c:pt idx="15">
                  <c:v>478049332159.64398</c:v>
                </c:pt>
                <c:pt idx="16">
                  <c:v>478049332159.64398</c:v>
                </c:pt>
                <c:pt idx="17">
                  <c:v>470003496681.77802</c:v>
                </c:pt>
                <c:pt idx="18">
                  <c:v>470003496681.77802</c:v>
                </c:pt>
                <c:pt idx="19">
                  <c:v>470003496681.77802</c:v>
                </c:pt>
                <c:pt idx="20">
                  <c:v>470003496681.77802</c:v>
                </c:pt>
                <c:pt idx="21">
                  <c:v>462480304706.05603</c:v>
                </c:pt>
                <c:pt idx="22">
                  <c:v>462480304706.05603</c:v>
                </c:pt>
                <c:pt idx="23">
                  <c:v>462480304706.05603</c:v>
                </c:pt>
                <c:pt idx="24">
                  <c:v>462480304706.05603</c:v>
                </c:pt>
                <c:pt idx="25">
                  <c:v>462480304706.05603</c:v>
                </c:pt>
                <c:pt idx="26">
                  <c:v>454274419000.159</c:v>
                </c:pt>
                <c:pt idx="27">
                  <c:v>454274419000.159</c:v>
                </c:pt>
                <c:pt idx="28">
                  <c:v>454274419000.159</c:v>
                </c:pt>
                <c:pt idx="29">
                  <c:v>454274419000.159</c:v>
                </c:pt>
                <c:pt idx="30">
                  <c:v>446036314532.50897</c:v>
                </c:pt>
                <c:pt idx="31">
                  <c:v>446036314532.50897</c:v>
                </c:pt>
                <c:pt idx="32">
                  <c:v>446036314532.50897</c:v>
                </c:pt>
                <c:pt idx="33">
                  <c:v>446036314532.50897</c:v>
                </c:pt>
                <c:pt idx="34">
                  <c:v>436967852620.36298</c:v>
                </c:pt>
                <c:pt idx="35">
                  <c:v>436967852620.36298</c:v>
                </c:pt>
                <c:pt idx="36">
                  <c:v>436967852620.36298</c:v>
                </c:pt>
                <c:pt idx="37">
                  <c:v>436967852620.36298</c:v>
                </c:pt>
                <c:pt idx="38">
                  <c:v>436967852620.36298</c:v>
                </c:pt>
                <c:pt idx="39">
                  <c:v>426018974879.43103</c:v>
                </c:pt>
                <c:pt idx="40">
                  <c:v>426018974879.43103</c:v>
                </c:pt>
                <c:pt idx="41">
                  <c:v>426018974879.43103</c:v>
                </c:pt>
                <c:pt idx="42">
                  <c:v>426018974879.43103</c:v>
                </c:pt>
                <c:pt idx="43">
                  <c:v>412851613521.01099</c:v>
                </c:pt>
                <c:pt idx="44">
                  <c:v>412851613521.01099</c:v>
                </c:pt>
                <c:pt idx="45">
                  <c:v>412851613521.01099</c:v>
                </c:pt>
                <c:pt idx="46">
                  <c:v>412851613521.01099</c:v>
                </c:pt>
                <c:pt idx="47">
                  <c:v>399942599684.46997</c:v>
                </c:pt>
                <c:pt idx="48">
                  <c:v>399942599684.46997</c:v>
                </c:pt>
                <c:pt idx="49">
                  <c:v>399942599684.46997</c:v>
                </c:pt>
                <c:pt idx="50">
                  <c:v>399942599684.46997</c:v>
                </c:pt>
                <c:pt idx="51">
                  <c:v>399942599684.46997</c:v>
                </c:pt>
                <c:pt idx="52">
                  <c:v>388008884102.70697</c:v>
                </c:pt>
                <c:pt idx="53">
                  <c:v>388008884102.70697</c:v>
                </c:pt>
                <c:pt idx="54">
                  <c:v>388008884102.70697</c:v>
                </c:pt>
                <c:pt idx="55">
                  <c:v>388008884102.70697</c:v>
                </c:pt>
                <c:pt idx="56">
                  <c:v>377010024939.07202</c:v>
                </c:pt>
                <c:pt idx="57">
                  <c:v>377010024939.07202</c:v>
                </c:pt>
                <c:pt idx="58">
                  <c:v>377010024939.07202</c:v>
                </c:pt>
                <c:pt idx="59">
                  <c:v>377010024939.07202</c:v>
                </c:pt>
                <c:pt idx="60">
                  <c:v>364462334224.22998</c:v>
                </c:pt>
                <c:pt idx="61">
                  <c:v>364462334224.22998</c:v>
                </c:pt>
                <c:pt idx="62">
                  <c:v>364462334224.22998</c:v>
                </c:pt>
                <c:pt idx="63">
                  <c:v>364462334224.22998</c:v>
                </c:pt>
                <c:pt idx="64">
                  <c:v>364462334224.22998</c:v>
                </c:pt>
                <c:pt idx="65">
                  <c:v>350890768985.05603</c:v>
                </c:pt>
                <c:pt idx="66">
                  <c:v>350890768985.05603</c:v>
                </c:pt>
                <c:pt idx="67">
                  <c:v>350890768985.05603</c:v>
                </c:pt>
                <c:pt idx="68">
                  <c:v>350890768985.05603</c:v>
                </c:pt>
                <c:pt idx="69">
                  <c:v>338046228672.72302</c:v>
                </c:pt>
                <c:pt idx="70">
                  <c:v>338046228672.72302</c:v>
                </c:pt>
                <c:pt idx="71">
                  <c:v>338046228672.72302</c:v>
                </c:pt>
                <c:pt idx="72">
                  <c:v>338046228672.72302</c:v>
                </c:pt>
                <c:pt idx="73">
                  <c:v>338046228672.72302</c:v>
                </c:pt>
                <c:pt idx="74">
                  <c:v>324611094201.94598</c:v>
                </c:pt>
                <c:pt idx="75">
                  <c:v>324611094201.94598</c:v>
                </c:pt>
                <c:pt idx="76">
                  <c:v>324611094201.94598</c:v>
                </c:pt>
                <c:pt idx="77">
                  <c:v>324611094201.94598</c:v>
                </c:pt>
                <c:pt idx="78">
                  <c:v>311798813958.06299</c:v>
                </c:pt>
                <c:pt idx="79">
                  <c:v>311798813958.06299</c:v>
                </c:pt>
                <c:pt idx="80">
                  <c:v>311798813958.06299</c:v>
                </c:pt>
                <c:pt idx="81">
                  <c:v>311798813958.06299</c:v>
                </c:pt>
                <c:pt idx="82">
                  <c:v>299045132715.31299</c:v>
                </c:pt>
                <c:pt idx="83">
                  <c:v>299045132715.31299</c:v>
                </c:pt>
                <c:pt idx="84">
                  <c:v>299045132715.31299</c:v>
                </c:pt>
                <c:pt idx="85">
                  <c:v>299045132715.31299</c:v>
                </c:pt>
                <c:pt idx="86">
                  <c:v>299045132715.31299</c:v>
                </c:pt>
                <c:pt idx="87">
                  <c:v>285566306127.30701</c:v>
                </c:pt>
                <c:pt idx="88">
                  <c:v>285566306127.30701</c:v>
                </c:pt>
                <c:pt idx="89">
                  <c:v>285566306127.30701</c:v>
                </c:pt>
                <c:pt idx="90">
                  <c:v>285566306127.30701</c:v>
                </c:pt>
                <c:pt idx="91">
                  <c:v>273811402301.38901</c:v>
                </c:pt>
                <c:pt idx="92">
                  <c:v>273811402301.38901</c:v>
                </c:pt>
                <c:pt idx="93">
                  <c:v>273811402301.38901</c:v>
                </c:pt>
                <c:pt idx="94">
                  <c:v>273811402301.38901</c:v>
                </c:pt>
                <c:pt idx="95">
                  <c:v>261291167855.54599</c:v>
                </c:pt>
                <c:pt idx="96">
                  <c:v>261291167855.54599</c:v>
                </c:pt>
                <c:pt idx="97">
                  <c:v>261291167855.54599</c:v>
                </c:pt>
                <c:pt idx="98">
                  <c:v>261291167855.54599</c:v>
                </c:pt>
                <c:pt idx="99">
                  <c:v>261291167855.54599</c:v>
                </c:pt>
                <c:pt idx="100">
                  <c:v>249957281866.888</c:v>
                </c:pt>
                <c:pt idx="101">
                  <c:v>249957281866.888</c:v>
                </c:pt>
                <c:pt idx="102">
                  <c:v>249957281866.888</c:v>
                </c:pt>
                <c:pt idx="103">
                  <c:v>249957281866.888</c:v>
                </c:pt>
                <c:pt idx="104">
                  <c:v>238607531217.349</c:v>
                </c:pt>
                <c:pt idx="105">
                  <c:v>238607531217.349</c:v>
                </c:pt>
                <c:pt idx="106">
                  <c:v>238607531217.349</c:v>
                </c:pt>
                <c:pt idx="107">
                  <c:v>238607531217.349</c:v>
                </c:pt>
                <c:pt idx="108">
                  <c:v>238607531217.349</c:v>
                </c:pt>
                <c:pt idx="109">
                  <c:v>227504189704.84799</c:v>
                </c:pt>
                <c:pt idx="110">
                  <c:v>227504189704.84799</c:v>
                </c:pt>
                <c:pt idx="111">
                  <c:v>227504189704.84799</c:v>
                </c:pt>
                <c:pt idx="112">
                  <c:v>227504189704.84799</c:v>
                </c:pt>
                <c:pt idx="113">
                  <c:v>216694156147.63699</c:v>
                </c:pt>
                <c:pt idx="114">
                  <c:v>216694156147.63699</c:v>
                </c:pt>
                <c:pt idx="115">
                  <c:v>216694156147.63699</c:v>
                </c:pt>
                <c:pt idx="116">
                  <c:v>216694156147.63699</c:v>
                </c:pt>
                <c:pt idx="117">
                  <c:v>205810683336.68799</c:v>
                </c:pt>
                <c:pt idx="118">
                  <c:v>205810683336.68799</c:v>
                </c:pt>
                <c:pt idx="119">
                  <c:v>205810683336.68799</c:v>
                </c:pt>
                <c:pt idx="120">
                  <c:v>205810683336.68799</c:v>
                </c:pt>
                <c:pt idx="121">
                  <c:v>195225890723.888</c:v>
                </c:pt>
                <c:pt idx="122">
                  <c:v>195225890723.888</c:v>
                </c:pt>
                <c:pt idx="123">
                  <c:v>195225890723.888</c:v>
                </c:pt>
                <c:pt idx="124">
                  <c:v>195225890723.888</c:v>
                </c:pt>
                <c:pt idx="125">
                  <c:v>195225890723.888</c:v>
                </c:pt>
                <c:pt idx="126">
                  <c:v>185053119902.13599</c:v>
                </c:pt>
                <c:pt idx="127">
                  <c:v>185053119902.13599</c:v>
                </c:pt>
                <c:pt idx="128">
                  <c:v>185053119902.13599</c:v>
                </c:pt>
                <c:pt idx="129">
                  <c:v>185053119902.13599</c:v>
                </c:pt>
                <c:pt idx="130">
                  <c:v>176083452320.259</c:v>
                </c:pt>
                <c:pt idx="131">
                  <c:v>176083452320.259</c:v>
                </c:pt>
                <c:pt idx="132">
                  <c:v>176083452320.259</c:v>
                </c:pt>
                <c:pt idx="133">
                  <c:v>176083452320.259</c:v>
                </c:pt>
                <c:pt idx="134">
                  <c:v>167577702279.88699</c:v>
                </c:pt>
                <c:pt idx="135">
                  <c:v>167577702279.88699</c:v>
                </c:pt>
                <c:pt idx="136">
                  <c:v>167577702279.88699</c:v>
                </c:pt>
                <c:pt idx="137">
                  <c:v>167577702279.88699</c:v>
                </c:pt>
                <c:pt idx="138">
                  <c:v>167577702279.88699</c:v>
                </c:pt>
                <c:pt idx="139">
                  <c:v>160787339683.77899</c:v>
                </c:pt>
                <c:pt idx="140">
                  <c:v>160787339683.77899</c:v>
                </c:pt>
                <c:pt idx="141">
                  <c:v>160787339683.77899</c:v>
                </c:pt>
                <c:pt idx="142">
                  <c:v>160787339683.77899</c:v>
                </c:pt>
                <c:pt idx="143">
                  <c:v>155649461575.04901</c:v>
                </c:pt>
                <c:pt idx="144">
                  <c:v>155649461575.04901</c:v>
                </c:pt>
                <c:pt idx="145">
                  <c:v>155649461575.04901</c:v>
                </c:pt>
                <c:pt idx="146">
                  <c:v>155649461575.04901</c:v>
                </c:pt>
                <c:pt idx="147">
                  <c:v>155649461575.04901</c:v>
                </c:pt>
                <c:pt idx="148">
                  <c:v>151540990492.15701</c:v>
                </c:pt>
                <c:pt idx="149">
                  <c:v>151540990492.15701</c:v>
                </c:pt>
                <c:pt idx="150">
                  <c:v>151540990492.15701</c:v>
                </c:pt>
                <c:pt idx="151">
                  <c:v>151540990492.15701</c:v>
                </c:pt>
                <c:pt idx="152">
                  <c:v>147596217220.30301</c:v>
                </c:pt>
                <c:pt idx="153">
                  <c:v>147596217220.30301</c:v>
                </c:pt>
                <c:pt idx="154">
                  <c:v>147596217220.30301</c:v>
                </c:pt>
                <c:pt idx="155">
                  <c:v>147596217220.30301</c:v>
                </c:pt>
                <c:pt idx="156">
                  <c:v>143491329926.00299</c:v>
                </c:pt>
                <c:pt idx="157">
                  <c:v>143491329926.00299</c:v>
                </c:pt>
                <c:pt idx="158">
                  <c:v>143491329926.00299</c:v>
                </c:pt>
                <c:pt idx="159">
                  <c:v>143491329926.00299</c:v>
                </c:pt>
                <c:pt idx="160">
                  <c:v>143491329926.00299</c:v>
                </c:pt>
                <c:pt idx="161">
                  <c:v>140177207664.35901</c:v>
                </c:pt>
                <c:pt idx="162">
                  <c:v>140177207664.35901</c:v>
                </c:pt>
                <c:pt idx="163">
                  <c:v>140177207664.35901</c:v>
                </c:pt>
                <c:pt idx="164">
                  <c:v>140177207664.35901</c:v>
                </c:pt>
                <c:pt idx="165">
                  <c:v>137302780283.616</c:v>
                </c:pt>
                <c:pt idx="166">
                  <c:v>137302780283.616</c:v>
                </c:pt>
                <c:pt idx="167">
                  <c:v>137302780283.616</c:v>
                </c:pt>
                <c:pt idx="168">
                  <c:v>137302780283.616</c:v>
                </c:pt>
                <c:pt idx="169">
                  <c:v>134084311974.908</c:v>
                </c:pt>
                <c:pt idx="170">
                  <c:v>134084311974.908</c:v>
                </c:pt>
                <c:pt idx="171">
                  <c:v>134084311974.908</c:v>
                </c:pt>
                <c:pt idx="172">
                  <c:v>134084311974.908</c:v>
                </c:pt>
                <c:pt idx="173">
                  <c:v>131022110576.76801</c:v>
                </c:pt>
                <c:pt idx="174">
                  <c:v>131022110576.76801</c:v>
                </c:pt>
                <c:pt idx="175">
                  <c:v>131022110576.76801</c:v>
                </c:pt>
                <c:pt idx="176">
                  <c:v>131022110576.76801</c:v>
                </c:pt>
                <c:pt idx="177">
                  <c:v>131022110576.76801</c:v>
                </c:pt>
                <c:pt idx="178">
                  <c:v>127996673162.017</c:v>
                </c:pt>
                <c:pt idx="179">
                  <c:v>127996673162.017</c:v>
                </c:pt>
                <c:pt idx="180">
                  <c:v>127996673162.017</c:v>
                </c:pt>
                <c:pt idx="181">
                  <c:v>127996673162.017</c:v>
                </c:pt>
                <c:pt idx="182">
                  <c:v>124999566160.547</c:v>
                </c:pt>
                <c:pt idx="183">
                  <c:v>124999566160.547</c:v>
                </c:pt>
                <c:pt idx="184">
                  <c:v>124999566160.547</c:v>
                </c:pt>
                <c:pt idx="185">
                  <c:v>124999566160.547</c:v>
                </c:pt>
                <c:pt idx="186">
                  <c:v>124999566160.547</c:v>
                </c:pt>
                <c:pt idx="187">
                  <c:v>122034558755.91701</c:v>
                </c:pt>
                <c:pt idx="188">
                  <c:v>122034558755.91701</c:v>
                </c:pt>
                <c:pt idx="189">
                  <c:v>122034558755.91701</c:v>
                </c:pt>
                <c:pt idx="190">
                  <c:v>122034558755.91701</c:v>
                </c:pt>
                <c:pt idx="191">
                  <c:v>119186886371.356</c:v>
                </c:pt>
                <c:pt idx="192">
                  <c:v>119186886371.356</c:v>
                </c:pt>
                <c:pt idx="193">
                  <c:v>119186886371.356</c:v>
                </c:pt>
                <c:pt idx="194">
                  <c:v>119186886371.356</c:v>
                </c:pt>
                <c:pt idx="195">
                  <c:v>116367013129.366</c:v>
                </c:pt>
                <c:pt idx="196">
                  <c:v>116367013129.366</c:v>
                </c:pt>
                <c:pt idx="197">
                  <c:v>116367013129.366</c:v>
                </c:pt>
                <c:pt idx="198">
                  <c:v>116367013129.366</c:v>
                </c:pt>
                <c:pt idx="199">
                  <c:v>116367013129.366</c:v>
                </c:pt>
                <c:pt idx="200">
                  <c:v>113578619016.686</c:v>
                </c:pt>
                <c:pt idx="201">
                  <c:v>113578619016.686</c:v>
                </c:pt>
                <c:pt idx="202">
                  <c:v>113578619016.686</c:v>
                </c:pt>
                <c:pt idx="203">
                  <c:v>113578619016.686</c:v>
                </c:pt>
                <c:pt idx="204">
                  <c:v>111141034606.26401</c:v>
                </c:pt>
                <c:pt idx="205">
                  <c:v>111141034606.26401</c:v>
                </c:pt>
                <c:pt idx="206">
                  <c:v>111141034606.26401</c:v>
                </c:pt>
                <c:pt idx="207">
                  <c:v>111141034606.26401</c:v>
                </c:pt>
                <c:pt idx="208">
                  <c:v>111141034606.26401</c:v>
                </c:pt>
                <c:pt idx="209">
                  <c:v>108459729439.83501</c:v>
                </c:pt>
                <c:pt idx="210">
                  <c:v>108459729439.83501</c:v>
                </c:pt>
                <c:pt idx="211">
                  <c:v>108459729439.83501</c:v>
                </c:pt>
                <c:pt idx="212">
                  <c:v>108459729439.83501</c:v>
                </c:pt>
                <c:pt idx="213">
                  <c:v>106176807405.543</c:v>
                </c:pt>
                <c:pt idx="214">
                  <c:v>106176807405.543</c:v>
                </c:pt>
                <c:pt idx="215">
                  <c:v>106176807405.543</c:v>
                </c:pt>
                <c:pt idx="216">
                  <c:v>106176807405.543</c:v>
                </c:pt>
                <c:pt idx="217">
                  <c:v>103782963597.884</c:v>
                </c:pt>
                <c:pt idx="218">
                  <c:v>103782963597.884</c:v>
                </c:pt>
                <c:pt idx="219">
                  <c:v>103782963597.884</c:v>
                </c:pt>
                <c:pt idx="220">
                  <c:v>103782963597.884</c:v>
                </c:pt>
                <c:pt idx="221">
                  <c:v>100652792127.048</c:v>
                </c:pt>
                <c:pt idx="222">
                  <c:v>100652792127.048</c:v>
                </c:pt>
                <c:pt idx="223">
                  <c:v>100652792127.048</c:v>
                </c:pt>
                <c:pt idx="224">
                  <c:v>100652792127.048</c:v>
                </c:pt>
                <c:pt idx="225">
                  <c:v>100652792127.048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'HARPable Universe'!$L$2</c:f>
              <c:strCache>
                <c:ptCount val="1"/>
                <c:pt idx="0">
                  <c:v>Total Balance</c:v>
                </c:pt>
              </c:strCache>
            </c:strRef>
          </c:tx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Universe'!$L$3:$L$228</c:f>
              <c:numCache>
                <c:formatCode>_(* #,##0_);_(* \(#,##0\);_(* "-"??_);_(@_)</c:formatCode>
                <c:ptCount val="226"/>
                <c:pt idx="0">
                  <c:v>895480193330.53601</c:v>
                </c:pt>
                <c:pt idx="1">
                  <c:v>895480193330.53601</c:v>
                </c:pt>
                <c:pt idx="2">
                  <c:v>895480193330.53601</c:v>
                </c:pt>
                <c:pt idx="3">
                  <c:v>895480193330.53601</c:v>
                </c:pt>
                <c:pt idx="4">
                  <c:v>900632902369.08301</c:v>
                </c:pt>
                <c:pt idx="5">
                  <c:v>900632902369.08301</c:v>
                </c:pt>
                <c:pt idx="6">
                  <c:v>900632902369.08301</c:v>
                </c:pt>
                <c:pt idx="7">
                  <c:v>900632902369.08301</c:v>
                </c:pt>
                <c:pt idx="8">
                  <c:v>898485534285.64099</c:v>
                </c:pt>
                <c:pt idx="9">
                  <c:v>898485534285.64099</c:v>
                </c:pt>
                <c:pt idx="10">
                  <c:v>898485534285.64099</c:v>
                </c:pt>
                <c:pt idx="11">
                  <c:v>898485534285.64099</c:v>
                </c:pt>
                <c:pt idx="12">
                  <c:v>898485534285.64099</c:v>
                </c:pt>
                <c:pt idx="13">
                  <c:v>898010001419.72205</c:v>
                </c:pt>
                <c:pt idx="14">
                  <c:v>898010001419.72205</c:v>
                </c:pt>
                <c:pt idx="15">
                  <c:v>898010001419.72205</c:v>
                </c:pt>
                <c:pt idx="16">
                  <c:v>898010001419.72205</c:v>
                </c:pt>
                <c:pt idx="17">
                  <c:v>897679401564.875</c:v>
                </c:pt>
                <c:pt idx="18">
                  <c:v>897679401564.875</c:v>
                </c:pt>
                <c:pt idx="19">
                  <c:v>897679401564.875</c:v>
                </c:pt>
                <c:pt idx="20">
                  <c:v>897679401564.875</c:v>
                </c:pt>
                <c:pt idx="21">
                  <c:v>898925930940.14294</c:v>
                </c:pt>
                <c:pt idx="22">
                  <c:v>898925930940.14294</c:v>
                </c:pt>
                <c:pt idx="23">
                  <c:v>898925930940.14294</c:v>
                </c:pt>
                <c:pt idx="24">
                  <c:v>898925930940.14294</c:v>
                </c:pt>
                <c:pt idx="25">
                  <c:v>898925930940.14294</c:v>
                </c:pt>
                <c:pt idx="26">
                  <c:v>896187746439.72998</c:v>
                </c:pt>
                <c:pt idx="27">
                  <c:v>896187746439.72998</c:v>
                </c:pt>
                <c:pt idx="28">
                  <c:v>896187746439.72998</c:v>
                </c:pt>
                <c:pt idx="29">
                  <c:v>896187746439.72998</c:v>
                </c:pt>
                <c:pt idx="30">
                  <c:v>896440206380.84204</c:v>
                </c:pt>
                <c:pt idx="31">
                  <c:v>896440206380.84204</c:v>
                </c:pt>
                <c:pt idx="32">
                  <c:v>896440206380.84204</c:v>
                </c:pt>
                <c:pt idx="33">
                  <c:v>896440206380.84204</c:v>
                </c:pt>
                <c:pt idx="34">
                  <c:v>895897744776.50806</c:v>
                </c:pt>
                <c:pt idx="35">
                  <c:v>895897744776.50806</c:v>
                </c:pt>
                <c:pt idx="36">
                  <c:v>895897744776.50806</c:v>
                </c:pt>
                <c:pt idx="37">
                  <c:v>895897744776.50806</c:v>
                </c:pt>
                <c:pt idx="38">
                  <c:v>895897744776.50806</c:v>
                </c:pt>
                <c:pt idx="39">
                  <c:v>890903153887.02795</c:v>
                </c:pt>
                <c:pt idx="40">
                  <c:v>890903153887.02795</c:v>
                </c:pt>
                <c:pt idx="41">
                  <c:v>890903153887.02795</c:v>
                </c:pt>
                <c:pt idx="42">
                  <c:v>890903153887.02795</c:v>
                </c:pt>
                <c:pt idx="43">
                  <c:v>880795609040.20496</c:v>
                </c:pt>
                <c:pt idx="44">
                  <c:v>880795609040.20496</c:v>
                </c:pt>
                <c:pt idx="45">
                  <c:v>880795609040.20496</c:v>
                </c:pt>
                <c:pt idx="46">
                  <c:v>880795609040.20496</c:v>
                </c:pt>
                <c:pt idx="47">
                  <c:v>867951071508.93604</c:v>
                </c:pt>
                <c:pt idx="48">
                  <c:v>867951071508.93604</c:v>
                </c:pt>
                <c:pt idx="49">
                  <c:v>867951071508.93604</c:v>
                </c:pt>
                <c:pt idx="50">
                  <c:v>867951071508.93604</c:v>
                </c:pt>
                <c:pt idx="51">
                  <c:v>867951071508.93604</c:v>
                </c:pt>
                <c:pt idx="52">
                  <c:v>862642562832.45898</c:v>
                </c:pt>
                <c:pt idx="53">
                  <c:v>862642562832.45898</c:v>
                </c:pt>
                <c:pt idx="54">
                  <c:v>862642562832.45898</c:v>
                </c:pt>
                <c:pt idx="55">
                  <c:v>862642562832.45898</c:v>
                </c:pt>
                <c:pt idx="56">
                  <c:v>865283651280.50305</c:v>
                </c:pt>
                <c:pt idx="57">
                  <c:v>865283651280.50305</c:v>
                </c:pt>
                <c:pt idx="58">
                  <c:v>865283651280.50305</c:v>
                </c:pt>
                <c:pt idx="59">
                  <c:v>865283651280.50305</c:v>
                </c:pt>
                <c:pt idx="60">
                  <c:v>861190703554.85706</c:v>
                </c:pt>
                <c:pt idx="61">
                  <c:v>861190703554.85706</c:v>
                </c:pt>
                <c:pt idx="62">
                  <c:v>861190703554.85706</c:v>
                </c:pt>
                <c:pt idx="63">
                  <c:v>861190703554.85706</c:v>
                </c:pt>
                <c:pt idx="64">
                  <c:v>861190703554.85706</c:v>
                </c:pt>
                <c:pt idx="65">
                  <c:v>852751932022.53503</c:v>
                </c:pt>
                <c:pt idx="66">
                  <c:v>852751932022.53503</c:v>
                </c:pt>
                <c:pt idx="67">
                  <c:v>852751932022.53503</c:v>
                </c:pt>
                <c:pt idx="68">
                  <c:v>852751932022.53503</c:v>
                </c:pt>
                <c:pt idx="69">
                  <c:v>843407158052.96497</c:v>
                </c:pt>
                <c:pt idx="70">
                  <c:v>843407158052.96497</c:v>
                </c:pt>
                <c:pt idx="71">
                  <c:v>843407158052.96497</c:v>
                </c:pt>
                <c:pt idx="72">
                  <c:v>843407158052.96497</c:v>
                </c:pt>
                <c:pt idx="73">
                  <c:v>843407158052.96497</c:v>
                </c:pt>
                <c:pt idx="74">
                  <c:v>842987221871.99902</c:v>
                </c:pt>
                <c:pt idx="75">
                  <c:v>842987221871.99902</c:v>
                </c:pt>
                <c:pt idx="76">
                  <c:v>842987221871.99902</c:v>
                </c:pt>
                <c:pt idx="77">
                  <c:v>842987221871.99902</c:v>
                </c:pt>
                <c:pt idx="78">
                  <c:v>836042456950.479</c:v>
                </c:pt>
                <c:pt idx="79">
                  <c:v>836042456950.479</c:v>
                </c:pt>
                <c:pt idx="80">
                  <c:v>836042456950.479</c:v>
                </c:pt>
                <c:pt idx="81">
                  <c:v>836042456950.479</c:v>
                </c:pt>
                <c:pt idx="82">
                  <c:v>833663605862.28699</c:v>
                </c:pt>
                <c:pt idx="83">
                  <c:v>833663605862.28699</c:v>
                </c:pt>
                <c:pt idx="84">
                  <c:v>833663605862.28699</c:v>
                </c:pt>
                <c:pt idx="85">
                  <c:v>833663605862.28699</c:v>
                </c:pt>
                <c:pt idx="86">
                  <c:v>833663605862.28699</c:v>
                </c:pt>
                <c:pt idx="87">
                  <c:v>824158873560.92102</c:v>
                </c:pt>
                <c:pt idx="88">
                  <c:v>824158873560.92102</c:v>
                </c:pt>
                <c:pt idx="89">
                  <c:v>824158873560.92102</c:v>
                </c:pt>
                <c:pt idx="90">
                  <c:v>824158873560.92102</c:v>
                </c:pt>
                <c:pt idx="91">
                  <c:v>825116182205.41797</c:v>
                </c:pt>
                <c:pt idx="92">
                  <c:v>825116182205.41797</c:v>
                </c:pt>
                <c:pt idx="93">
                  <c:v>825116182205.41797</c:v>
                </c:pt>
                <c:pt idx="94">
                  <c:v>825116182205.41797</c:v>
                </c:pt>
                <c:pt idx="95">
                  <c:v>830648730002.45105</c:v>
                </c:pt>
                <c:pt idx="96">
                  <c:v>830648730002.45105</c:v>
                </c:pt>
                <c:pt idx="97">
                  <c:v>830648730002.45105</c:v>
                </c:pt>
                <c:pt idx="98">
                  <c:v>830648730002.45105</c:v>
                </c:pt>
                <c:pt idx="99">
                  <c:v>830648730002.45105</c:v>
                </c:pt>
                <c:pt idx="100">
                  <c:v>820270598245.922</c:v>
                </c:pt>
                <c:pt idx="101">
                  <c:v>820270598245.922</c:v>
                </c:pt>
                <c:pt idx="102">
                  <c:v>820270598245.922</c:v>
                </c:pt>
                <c:pt idx="103">
                  <c:v>820270598245.922</c:v>
                </c:pt>
                <c:pt idx="104">
                  <c:v>819156247294.42395</c:v>
                </c:pt>
                <c:pt idx="105">
                  <c:v>819156247294.42395</c:v>
                </c:pt>
                <c:pt idx="106">
                  <c:v>819156247294.42395</c:v>
                </c:pt>
                <c:pt idx="107">
                  <c:v>819156247294.42395</c:v>
                </c:pt>
                <c:pt idx="108">
                  <c:v>819156247294.42395</c:v>
                </c:pt>
                <c:pt idx="109">
                  <c:v>818129385045.38</c:v>
                </c:pt>
                <c:pt idx="110">
                  <c:v>818129385045.38</c:v>
                </c:pt>
                <c:pt idx="111">
                  <c:v>818129385045.38</c:v>
                </c:pt>
                <c:pt idx="112">
                  <c:v>818129385045.38</c:v>
                </c:pt>
                <c:pt idx="113">
                  <c:v>824157902540.86401</c:v>
                </c:pt>
                <c:pt idx="114">
                  <c:v>824157902540.86401</c:v>
                </c:pt>
                <c:pt idx="115">
                  <c:v>824157902540.86401</c:v>
                </c:pt>
                <c:pt idx="116">
                  <c:v>824157902540.86401</c:v>
                </c:pt>
                <c:pt idx="117">
                  <c:v>828249997663.94495</c:v>
                </c:pt>
                <c:pt idx="118">
                  <c:v>828249997663.94495</c:v>
                </c:pt>
                <c:pt idx="119">
                  <c:v>828249997663.94495</c:v>
                </c:pt>
                <c:pt idx="120">
                  <c:v>828249997663.94495</c:v>
                </c:pt>
                <c:pt idx="121">
                  <c:v>828002980341.57397</c:v>
                </c:pt>
                <c:pt idx="122">
                  <c:v>828002980341.57397</c:v>
                </c:pt>
                <c:pt idx="123">
                  <c:v>828002980341.57397</c:v>
                </c:pt>
                <c:pt idx="124">
                  <c:v>828002980341.57397</c:v>
                </c:pt>
                <c:pt idx="125">
                  <c:v>828002980341.57397</c:v>
                </c:pt>
                <c:pt idx="126">
                  <c:v>832667072231.375</c:v>
                </c:pt>
                <c:pt idx="127">
                  <c:v>832667072231.375</c:v>
                </c:pt>
                <c:pt idx="128">
                  <c:v>832667072231.375</c:v>
                </c:pt>
                <c:pt idx="129">
                  <c:v>832667072231.375</c:v>
                </c:pt>
                <c:pt idx="130">
                  <c:v>835315019877.84595</c:v>
                </c:pt>
                <c:pt idx="131">
                  <c:v>835315019877.84595</c:v>
                </c:pt>
                <c:pt idx="132">
                  <c:v>835315019877.84595</c:v>
                </c:pt>
                <c:pt idx="133">
                  <c:v>835315019877.84595</c:v>
                </c:pt>
                <c:pt idx="134">
                  <c:v>839371166981.099</c:v>
                </c:pt>
                <c:pt idx="135">
                  <c:v>839371166981.099</c:v>
                </c:pt>
                <c:pt idx="136">
                  <c:v>839371166981.099</c:v>
                </c:pt>
                <c:pt idx="137">
                  <c:v>839371166981.099</c:v>
                </c:pt>
                <c:pt idx="138">
                  <c:v>839371166981.099</c:v>
                </c:pt>
                <c:pt idx="139">
                  <c:v>840680455152.82996</c:v>
                </c:pt>
                <c:pt idx="140">
                  <c:v>840680455152.82996</c:v>
                </c:pt>
                <c:pt idx="141">
                  <c:v>840680455152.82996</c:v>
                </c:pt>
                <c:pt idx="142">
                  <c:v>840680455152.82996</c:v>
                </c:pt>
                <c:pt idx="143">
                  <c:v>842920617157.08203</c:v>
                </c:pt>
                <c:pt idx="144">
                  <c:v>842920617157.08203</c:v>
                </c:pt>
                <c:pt idx="145">
                  <c:v>842920617157.08203</c:v>
                </c:pt>
                <c:pt idx="146">
                  <c:v>842920617157.08203</c:v>
                </c:pt>
                <c:pt idx="147">
                  <c:v>842920617157.08203</c:v>
                </c:pt>
                <c:pt idx="148">
                  <c:v>847381000644.36804</c:v>
                </c:pt>
                <c:pt idx="149">
                  <c:v>847381000644.36804</c:v>
                </c:pt>
                <c:pt idx="150">
                  <c:v>847381000644.36804</c:v>
                </c:pt>
                <c:pt idx="151">
                  <c:v>847381000644.36804</c:v>
                </c:pt>
                <c:pt idx="152">
                  <c:v>852925884546.91199</c:v>
                </c:pt>
                <c:pt idx="153">
                  <c:v>852925884546.91199</c:v>
                </c:pt>
                <c:pt idx="154">
                  <c:v>852925884546.91199</c:v>
                </c:pt>
                <c:pt idx="155">
                  <c:v>852925884546.91199</c:v>
                </c:pt>
                <c:pt idx="156">
                  <c:v>856169152140.41296</c:v>
                </c:pt>
                <c:pt idx="157">
                  <c:v>856169152140.41296</c:v>
                </c:pt>
                <c:pt idx="158">
                  <c:v>856169152140.41296</c:v>
                </c:pt>
                <c:pt idx="159">
                  <c:v>856169152140.41296</c:v>
                </c:pt>
                <c:pt idx="160">
                  <c:v>856169152140.41296</c:v>
                </c:pt>
                <c:pt idx="161">
                  <c:v>860549250444.104</c:v>
                </c:pt>
                <c:pt idx="162">
                  <c:v>860549250444.104</c:v>
                </c:pt>
                <c:pt idx="163">
                  <c:v>860549250444.104</c:v>
                </c:pt>
                <c:pt idx="164">
                  <c:v>860549250444.104</c:v>
                </c:pt>
                <c:pt idx="165">
                  <c:v>862646925748.92102</c:v>
                </c:pt>
                <c:pt idx="166">
                  <c:v>862646925748.92102</c:v>
                </c:pt>
                <c:pt idx="167">
                  <c:v>862646925748.92102</c:v>
                </c:pt>
                <c:pt idx="168">
                  <c:v>862646925748.92102</c:v>
                </c:pt>
                <c:pt idx="169">
                  <c:v>865912452541.08801</c:v>
                </c:pt>
                <c:pt idx="170">
                  <c:v>865912452541.08801</c:v>
                </c:pt>
                <c:pt idx="171">
                  <c:v>865912452541.08801</c:v>
                </c:pt>
                <c:pt idx="172">
                  <c:v>865912452541.08801</c:v>
                </c:pt>
                <c:pt idx="173">
                  <c:v>869491021687.79004</c:v>
                </c:pt>
                <c:pt idx="174">
                  <c:v>869491021687.79004</c:v>
                </c:pt>
                <c:pt idx="175">
                  <c:v>869491021687.79004</c:v>
                </c:pt>
                <c:pt idx="176">
                  <c:v>869491021687.79004</c:v>
                </c:pt>
                <c:pt idx="177">
                  <c:v>869491021687.79004</c:v>
                </c:pt>
                <c:pt idx="178">
                  <c:v>874676225982.203</c:v>
                </c:pt>
                <c:pt idx="179">
                  <c:v>874676225982.203</c:v>
                </c:pt>
                <c:pt idx="180">
                  <c:v>874676225982.203</c:v>
                </c:pt>
                <c:pt idx="181">
                  <c:v>874676225982.203</c:v>
                </c:pt>
                <c:pt idx="182">
                  <c:v>879218074297.77698</c:v>
                </c:pt>
                <c:pt idx="183">
                  <c:v>879218074297.77698</c:v>
                </c:pt>
                <c:pt idx="184">
                  <c:v>879218074297.77698</c:v>
                </c:pt>
                <c:pt idx="185">
                  <c:v>879218074297.77698</c:v>
                </c:pt>
                <c:pt idx="186">
                  <c:v>879218074297.77698</c:v>
                </c:pt>
                <c:pt idx="187">
                  <c:v>889016211164.04895</c:v>
                </c:pt>
                <c:pt idx="188">
                  <c:v>889016211164.04895</c:v>
                </c:pt>
                <c:pt idx="189">
                  <c:v>889016211164.04895</c:v>
                </c:pt>
                <c:pt idx="190">
                  <c:v>889016211164.04895</c:v>
                </c:pt>
                <c:pt idx="191">
                  <c:v>896796715582.33606</c:v>
                </c:pt>
                <c:pt idx="192">
                  <c:v>896796715582.33606</c:v>
                </c:pt>
                <c:pt idx="193">
                  <c:v>896796715582.33606</c:v>
                </c:pt>
                <c:pt idx="194">
                  <c:v>896796715582.33606</c:v>
                </c:pt>
                <c:pt idx="195">
                  <c:v>904868755203.72498</c:v>
                </c:pt>
                <c:pt idx="196">
                  <c:v>904868755203.72498</c:v>
                </c:pt>
                <c:pt idx="197">
                  <c:v>904868755203.72498</c:v>
                </c:pt>
                <c:pt idx="198">
                  <c:v>904868755203.72498</c:v>
                </c:pt>
                <c:pt idx="199">
                  <c:v>904868755203.72498</c:v>
                </c:pt>
                <c:pt idx="200">
                  <c:v>911144707396.39795</c:v>
                </c:pt>
                <c:pt idx="201">
                  <c:v>911144707396.39795</c:v>
                </c:pt>
                <c:pt idx="202">
                  <c:v>911144707396.39795</c:v>
                </c:pt>
                <c:pt idx="203">
                  <c:v>911144707396.39795</c:v>
                </c:pt>
                <c:pt idx="204">
                  <c:v>915537820187.26404</c:v>
                </c:pt>
                <c:pt idx="205">
                  <c:v>915537820187.26404</c:v>
                </c:pt>
                <c:pt idx="206">
                  <c:v>915537820187.26404</c:v>
                </c:pt>
                <c:pt idx="207">
                  <c:v>915537820187.26404</c:v>
                </c:pt>
                <c:pt idx="208">
                  <c:v>915537820187.26404</c:v>
                </c:pt>
                <c:pt idx="209">
                  <c:v>919051298499.69104</c:v>
                </c:pt>
                <c:pt idx="210">
                  <c:v>919051298499.69104</c:v>
                </c:pt>
                <c:pt idx="211">
                  <c:v>919051298499.69104</c:v>
                </c:pt>
                <c:pt idx="212">
                  <c:v>919051298499.69104</c:v>
                </c:pt>
                <c:pt idx="213">
                  <c:v>929906802060.74402</c:v>
                </c:pt>
                <c:pt idx="214">
                  <c:v>929906802060.74402</c:v>
                </c:pt>
                <c:pt idx="215">
                  <c:v>929906802060.74402</c:v>
                </c:pt>
                <c:pt idx="216">
                  <c:v>929906802060.74402</c:v>
                </c:pt>
                <c:pt idx="217">
                  <c:v>931776684212.27002</c:v>
                </c:pt>
                <c:pt idx="218">
                  <c:v>931776684212.27002</c:v>
                </c:pt>
                <c:pt idx="219">
                  <c:v>931776684212.27002</c:v>
                </c:pt>
                <c:pt idx="220">
                  <c:v>931776684212.27002</c:v>
                </c:pt>
                <c:pt idx="221">
                  <c:v>936106192313.56702</c:v>
                </c:pt>
                <c:pt idx="222">
                  <c:v>936106192313.56702</c:v>
                </c:pt>
                <c:pt idx="223">
                  <c:v>936106192313.56702</c:v>
                </c:pt>
                <c:pt idx="224">
                  <c:v>936106192313.56702</c:v>
                </c:pt>
                <c:pt idx="225">
                  <c:v>936106192313.56702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908608"/>
        <c:axId val="333943168"/>
      </c:lineChart>
      <c:lineChart>
        <c:grouping val="standard"/>
        <c:varyColors val="0"/>
        <c:ser>
          <c:idx val="2"/>
          <c:order val="2"/>
          <c:tx>
            <c:strRef>
              <c:f>'HARPable Universe'!$M$2</c:f>
              <c:strCache>
                <c:ptCount val="1"/>
                <c:pt idx="0">
                  <c:v>Percentage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numRef>
              <c:f>'HARPable Universe'!$I$3:$I$228</c:f>
              <c:numCache>
                <c:formatCode>m/d/yyyy</c:formatCode>
                <c:ptCount val="226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</c:numCache>
            </c:numRef>
          </c:cat>
          <c:val>
            <c:numRef>
              <c:f>'HARPable Universe'!$M$3:$M$228</c:f>
              <c:numCache>
                <c:formatCode>0%</c:formatCode>
                <c:ptCount val="226"/>
                <c:pt idx="0">
                  <c:v>0.57081400019802386</c:v>
                </c:pt>
                <c:pt idx="1">
                  <c:v>0.57081400019802386</c:v>
                </c:pt>
                <c:pt idx="2">
                  <c:v>0.57081400019802386</c:v>
                </c:pt>
                <c:pt idx="3">
                  <c:v>0.57081400019802386</c:v>
                </c:pt>
                <c:pt idx="4">
                  <c:v>0.55333901310596689</c:v>
                </c:pt>
                <c:pt idx="5">
                  <c:v>0.55333901310596689</c:v>
                </c:pt>
                <c:pt idx="6">
                  <c:v>0.55333901310596689</c:v>
                </c:pt>
                <c:pt idx="7">
                  <c:v>0.55333901310596689</c:v>
                </c:pt>
                <c:pt idx="8">
                  <c:v>0.54226501339435018</c:v>
                </c:pt>
                <c:pt idx="9">
                  <c:v>0.54226501339435018</c:v>
                </c:pt>
                <c:pt idx="10">
                  <c:v>0.54226501339435018</c:v>
                </c:pt>
                <c:pt idx="11">
                  <c:v>0.54226501339435018</c:v>
                </c:pt>
                <c:pt idx="12">
                  <c:v>0.54226501339435018</c:v>
                </c:pt>
                <c:pt idx="13">
                  <c:v>0.53234299328945656</c:v>
                </c:pt>
                <c:pt idx="14">
                  <c:v>0.53234299328945656</c:v>
                </c:pt>
                <c:pt idx="15">
                  <c:v>0.53234299328945656</c:v>
                </c:pt>
                <c:pt idx="16">
                  <c:v>0.53234299328945656</c:v>
                </c:pt>
                <c:pt idx="17">
                  <c:v>0.52357611844768503</c:v>
                </c:pt>
                <c:pt idx="18">
                  <c:v>0.52357611844768503</c:v>
                </c:pt>
                <c:pt idx="19">
                  <c:v>0.52357611844768503</c:v>
                </c:pt>
                <c:pt idx="20">
                  <c:v>0.52357611844768503</c:v>
                </c:pt>
                <c:pt idx="21">
                  <c:v>0.51448099202385933</c:v>
                </c:pt>
                <c:pt idx="22">
                  <c:v>0.51448099202385933</c:v>
                </c:pt>
                <c:pt idx="23">
                  <c:v>0.51448099202385933</c:v>
                </c:pt>
                <c:pt idx="24">
                  <c:v>0.51448099202385933</c:v>
                </c:pt>
                <c:pt idx="25">
                  <c:v>0.51448099202385933</c:v>
                </c:pt>
                <c:pt idx="26">
                  <c:v>0.50689648547957433</c:v>
                </c:pt>
                <c:pt idx="27">
                  <c:v>0.50689648547957433</c:v>
                </c:pt>
                <c:pt idx="28">
                  <c:v>0.50689648547957433</c:v>
                </c:pt>
                <c:pt idx="29">
                  <c:v>0.50689648547957433</c:v>
                </c:pt>
                <c:pt idx="30">
                  <c:v>0.49756393271702015</c:v>
                </c:pt>
                <c:pt idx="31">
                  <c:v>0.49756393271702015</c:v>
                </c:pt>
                <c:pt idx="32">
                  <c:v>0.49756393271702015</c:v>
                </c:pt>
                <c:pt idx="33">
                  <c:v>0.49756393271702015</c:v>
                </c:pt>
                <c:pt idx="34">
                  <c:v>0.48774299876083471</c:v>
                </c:pt>
                <c:pt idx="35">
                  <c:v>0.48774299876083471</c:v>
                </c:pt>
                <c:pt idx="36">
                  <c:v>0.48774299876083471</c:v>
                </c:pt>
                <c:pt idx="37">
                  <c:v>0.48774299876083471</c:v>
                </c:pt>
                <c:pt idx="38">
                  <c:v>0.48774299876083471</c:v>
                </c:pt>
                <c:pt idx="39">
                  <c:v>0.47818775028542876</c:v>
                </c:pt>
                <c:pt idx="40">
                  <c:v>0.47818775028542876</c:v>
                </c:pt>
                <c:pt idx="41">
                  <c:v>0.47818775028542876</c:v>
                </c:pt>
                <c:pt idx="42">
                  <c:v>0.47818775028542876</c:v>
                </c:pt>
                <c:pt idx="43">
                  <c:v>0.46872578528279868</c:v>
                </c:pt>
                <c:pt idx="44">
                  <c:v>0.46872578528279868</c:v>
                </c:pt>
                <c:pt idx="45">
                  <c:v>0.46872578528279868</c:v>
                </c:pt>
                <c:pt idx="46">
                  <c:v>0.46872578528279868</c:v>
                </c:pt>
                <c:pt idx="47">
                  <c:v>0.46078933803165695</c:v>
                </c:pt>
                <c:pt idx="48">
                  <c:v>0.46078933803165695</c:v>
                </c:pt>
                <c:pt idx="49">
                  <c:v>0.46078933803165695</c:v>
                </c:pt>
                <c:pt idx="50">
                  <c:v>0.46078933803165695</c:v>
                </c:pt>
                <c:pt idx="51">
                  <c:v>0.46078933803165695</c:v>
                </c:pt>
                <c:pt idx="52">
                  <c:v>0.44979102680569383</c:v>
                </c:pt>
                <c:pt idx="53">
                  <c:v>0.44979102680569383</c:v>
                </c:pt>
                <c:pt idx="54">
                  <c:v>0.44979102680569383</c:v>
                </c:pt>
                <c:pt idx="55">
                  <c:v>0.44979102680569383</c:v>
                </c:pt>
                <c:pt idx="56">
                  <c:v>0.43570686257754676</c:v>
                </c:pt>
                <c:pt idx="57">
                  <c:v>0.43570686257754676</c:v>
                </c:pt>
                <c:pt idx="58">
                  <c:v>0.43570686257754676</c:v>
                </c:pt>
                <c:pt idx="59">
                  <c:v>0.43570686257754676</c:v>
                </c:pt>
                <c:pt idx="60">
                  <c:v>0.42320746464144116</c:v>
                </c:pt>
                <c:pt idx="61">
                  <c:v>0.42320746464144116</c:v>
                </c:pt>
                <c:pt idx="62">
                  <c:v>0.42320746464144116</c:v>
                </c:pt>
                <c:pt idx="63">
                  <c:v>0.42320746464144116</c:v>
                </c:pt>
                <c:pt idx="64">
                  <c:v>0.42320746464144116</c:v>
                </c:pt>
                <c:pt idx="65">
                  <c:v>0.41148047375609265</c:v>
                </c:pt>
                <c:pt idx="66">
                  <c:v>0.41148047375609265</c:v>
                </c:pt>
                <c:pt idx="67">
                  <c:v>0.41148047375609265</c:v>
                </c:pt>
                <c:pt idx="68">
                  <c:v>0.41148047375609265</c:v>
                </c:pt>
                <c:pt idx="69">
                  <c:v>0.40081024383657665</c:v>
                </c:pt>
                <c:pt idx="70">
                  <c:v>0.40081024383657665</c:v>
                </c:pt>
                <c:pt idx="71">
                  <c:v>0.40081024383657665</c:v>
                </c:pt>
                <c:pt idx="72">
                  <c:v>0.40081024383657665</c:v>
                </c:pt>
                <c:pt idx="73">
                  <c:v>0.40081024383657665</c:v>
                </c:pt>
                <c:pt idx="74">
                  <c:v>0.38507237806178235</c:v>
                </c:pt>
                <c:pt idx="75">
                  <c:v>0.38507237806178235</c:v>
                </c:pt>
                <c:pt idx="76">
                  <c:v>0.38507237806178235</c:v>
                </c:pt>
                <c:pt idx="77">
                  <c:v>0.38507237806178235</c:v>
                </c:pt>
                <c:pt idx="78">
                  <c:v>0.37294614808842375</c:v>
                </c:pt>
                <c:pt idx="79">
                  <c:v>0.37294614808842375</c:v>
                </c:pt>
                <c:pt idx="80">
                  <c:v>0.37294614808842375</c:v>
                </c:pt>
                <c:pt idx="81">
                  <c:v>0.37294614808842375</c:v>
                </c:pt>
                <c:pt idx="82">
                  <c:v>0.35871199199825965</c:v>
                </c:pt>
                <c:pt idx="83">
                  <c:v>0.35871199199825965</c:v>
                </c:pt>
                <c:pt idx="84">
                  <c:v>0.35871199199825965</c:v>
                </c:pt>
                <c:pt idx="85">
                  <c:v>0.35871199199825965</c:v>
                </c:pt>
                <c:pt idx="86">
                  <c:v>0.35871199199825965</c:v>
                </c:pt>
                <c:pt idx="87">
                  <c:v>0.34649424436027532</c:v>
                </c:pt>
                <c:pt idx="88">
                  <c:v>0.34649424436027532</c:v>
                </c:pt>
                <c:pt idx="89">
                  <c:v>0.34649424436027532</c:v>
                </c:pt>
                <c:pt idx="90">
                  <c:v>0.34649424436027532</c:v>
                </c:pt>
                <c:pt idx="91">
                  <c:v>0.33184587601897486</c:v>
                </c:pt>
                <c:pt idx="92">
                  <c:v>0.33184587601897486</c:v>
                </c:pt>
                <c:pt idx="93">
                  <c:v>0.33184587601897486</c:v>
                </c:pt>
                <c:pt idx="94">
                  <c:v>0.33184587601897486</c:v>
                </c:pt>
                <c:pt idx="95">
                  <c:v>0.31456277294828944</c:v>
                </c:pt>
                <c:pt idx="96">
                  <c:v>0.31456277294828944</c:v>
                </c:pt>
                <c:pt idx="97">
                  <c:v>0.31456277294828944</c:v>
                </c:pt>
                <c:pt idx="98">
                  <c:v>0.31456277294828944</c:v>
                </c:pt>
                <c:pt idx="99">
                  <c:v>0.31456277294828944</c:v>
                </c:pt>
                <c:pt idx="100">
                  <c:v>0.30472539476777555</c:v>
                </c:pt>
                <c:pt idx="101">
                  <c:v>0.30472539476777555</c:v>
                </c:pt>
                <c:pt idx="102">
                  <c:v>0.30472539476777555</c:v>
                </c:pt>
                <c:pt idx="103">
                  <c:v>0.30472539476777555</c:v>
                </c:pt>
                <c:pt idx="104">
                  <c:v>0.29128451623904644</c:v>
                </c:pt>
                <c:pt idx="105">
                  <c:v>0.29128451623904644</c:v>
                </c:pt>
                <c:pt idx="106">
                  <c:v>0.29128451623904644</c:v>
                </c:pt>
                <c:pt idx="107">
                  <c:v>0.29128451623904644</c:v>
                </c:pt>
                <c:pt idx="108">
                  <c:v>0.29128451623904644</c:v>
                </c:pt>
                <c:pt idx="109">
                  <c:v>0.27807849695097897</c:v>
                </c:pt>
                <c:pt idx="110">
                  <c:v>0.27807849695097897</c:v>
                </c:pt>
                <c:pt idx="111">
                  <c:v>0.27807849695097897</c:v>
                </c:pt>
                <c:pt idx="112">
                  <c:v>0.27807849695097897</c:v>
                </c:pt>
                <c:pt idx="113">
                  <c:v>0.26292796013915876</c:v>
                </c:pt>
                <c:pt idx="114">
                  <c:v>0.26292796013915876</c:v>
                </c:pt>
                <c:pt idx="115">
                  <c:v>0.26292796013915876</c:v>
                </c:pt>
                <c:pt idx="116">
                  <c:v>0.26292796013915876</c:v>
                </c:pt>
                <c:pt idx="117">
                  <c:v>0.24848860116772839</c:v>
                </c:pt>
                <c:pt idx="118">
                  <c:v>0.24848860116772839</c:v>
                </c:pt>
                <c:pt idx="119">
                  <c:v>0.24848860116772839</c:v>
                </c:pt>
                <c:pt idx="120">
                  <c:v>0.24848860116772839</c:v>
                </c:pt>
                <c:pt idx="121">
                  <c:v>0.23577921258610923</c:v>
                </c:pt>
                <c:pt idx="122">
                  <c:v>0.23577921258610923</c:v>
                </c:pt>
                <c:pt idx="123">
                  <c:v>0.23577921258610923</c:v>
                </c:pt>
                <c:pt idx="124">
                  <c:v>0.23577921258610923</c:v>
                </c:pt>
                <c:pt idx="125">
                  <c:v>0.23577921258610923</c:v>
                </c:pt>
                <c:pt idx="126">
                  <c:v>0.22224142886571943</c:v>
                </c:pt>
                <c:pt idx="127">
                  <c:v>0.22224142886571943</c:v>
                </c:pt>
                <c:pt idx="128">
                  <c:v>0.22224142886571943</c:v>
                </c:pt>
                <c:pt idx="129">
                  <c:v>0.22224142886571943</c:v>
                </c:pt>
                <c:pt idx="130">
                  <c:v>0.210798858071544</c:v>
                </c:pt>
                <c:pt idx="131">
                  <c:v>0.210798858071544</c:v>
                </c:pt>
                <c:pt idx="132">
                  <c:v>0.210798858071544</c:v>
                </c:pt>
                <c:pt idx="133">
                  <c:v>0.210798858071544</c:v>
                </c:pt>
                <c:pt idx="134">
                  <c:v>0.19964672229879027</c:v>
                </c:pt>
                <c:pt idx="135">
                  <c:v>0.19964672229879027</c:v>
                </c:pt>
                <c:pt idx="136">
                  <c:v>0.19964672229879027</c:v>
                </c:pt>
                <c:pt idx="137">
                  <c:v>0.19964672229879027</c:v>
                </c:pt>
                <c:pt idx="138">
                  <c:v>0.19964672229879027</c:v>
                </c:pt>
                <c:pt idx="139">
                  <c:v>0.19125856762608923</c:v>
                </c:pt>
                <c:pt idx="140">
                  <c:v>0.19125856762608923</c:v>
                </c:pt>
                <c:pt idx="141">
                  <c:v>0.19125856762608923</c:v>
                </c:pt>
                <c:pt idx="142">
                  <c:v>0.19125856762608923</c:v>
                </c:pt>
                <c:pt idx="143">
                  <c:v>0.18465494663068971</c:v>
                </c:pt>
                <c:pt idx="144">
                  <c:v>0.18465494663068971</c:v>
                </c:pt>
                <c:pt idx="145">
                  <c:v>0.18465494663068971</c:v>
                </c:pt>
                <c:pt idx="146">
                  <c:v>0.18465494663068971</c:v>
                </c:pt>
                <c:pt idx="147">
                  <c:v>0.18465494663068971</c:v>
                </c:pt>
                <c:pt idx="148">
                  <c:v>0.17883453886377174</c:v>
                </c:pt>
                <c:pt idx="149">
                  <c:v>0.17883453886377174</c:v>
                </c:pt>
                <c:pt idx="150">
                  <c:v>0.17883453886377174</c:v>
                </c:pt>
                <c:pt idx="151">
                  <c:v>0.17883453886377174</c:v>
                </c:pt>
                <c:pt idx="152">
                  <c:v>0.17304694334456563</c:v>
                </c:pt>
                <c:pt idx="153">
                  <c:v>0.17304694334456563</c:v>
                </c:pt>
                <c:pt idx="154">
                  <c:v>0.17304694334456563</c:v>
                </c:pt>
                <c:pt idx="155">
                  <c:v>0.17304694334456563</c:v>
                </c:pt>
                <c:pt idx="156">
                  <c:v>0.16759693988889501</c:v>
                </c:pt>
                <c:pt idx="157">
                  <c:v>0.16759693988889501</c:v>
                </c:pt>
                <c:pt idx="158">
                  <c:v>0.16759693988889501</c:v>
                </c:pt>
                <c:pt idx="159">
                  <c:v>0.16759693988889501</c:v>
                </c:pt>
                <c:pt idx="160">
                  <c:v>0.16759693988889501</c:v>
                </c:pt>
                <c:pt idx="161">
                  <c:v>0.16289271949515696</c:v>
                </c:pt>
                <c:pt idx="162">
                  <c:v>0.16289271949515696</c:v>
                </c:pt>
                <c:pt idx="163">
                  <c:v>0.16289271949515696</c:v>
                </c:pt>
                <c:pt idx="164">
                  <c:v>0.16289271949515696</c:v>
                </c:pt>
                <c:pt idx="165">
                  <c:v>0.15916451584686789</c:v>
                </c:pt>
                <c:pt idx="166">
                  <c:v>0.15916451584686789</c:v>
                </c:pt>
                <c:pt idx="167">
                  <c:v>0.15916451584686789</c:v>
                </c:pt>
                <c:pt idx="168">
                  <c:v>0.15916451584686789</c:v>
                </c:pt>
                <c:pt idx="169">
                  <c:v>0.15484742317936076</c:v>
                </c:pt>
                <c:pt idx="170">
                  <c:v>0.15484742317936076</c:v>
                </c:pt>
                <c:pt idx="171">
                  <c:v>0.15484742317936076</c:v>
                </c:pt>
                <c:pt idx="172">
                  <c:v>0.15484742317936076</c:v>
                </c:pt>
                <c:pt idx="173">
                  <c:v>0.15068828465006784</c:v>
                </c:pt>
                <c:pt idx="174">
                  <c:v>0.15068828465006784</c:v>
                </c:pt>
                <c:pt idx="175">
                  <c:v>0.15068828465006784</c:v>
                </c:pt>
                <c:pt idx="176">
                  <c:v>0.15068828465006784</c:v>
                </c:pt>
                <c:pt idx="177">
                  <c:v>0.15068828465006784</c:v>
                </c:pt>
                <c:pt idx="178">
                  <c:v>0.14633606054432916</c:v>
                </c:pt>
                <c:pt idx="179">
                  <c:v>0.14633606054432916</c:v>
                </c:pt>
                <c:pt idx="180">
                  <c:v>0.14633606054432916</c:v>
                </c:pt>
                <c:pt idx="181">
                  <c:v>0.14633606054432916</c:v>
                </c:pt>
                <c:pt idx="182">
                  <c:v>0.14217128811914262</c:v>
                </c:pt>
                <c:pt idx="183">
                  <c:v>0.14217128811914262</c:v>
                </c:pt>
                <c:pt idx="184">
                  <c:v>0.14217128811914262</c:v>
                </c:pt>
                <c:pt idx="185">
                  <c:v>0.14217128811914262</c:v>
                </c:pt>
                <c:pt idx="186">
                  <c:v>0.14217128811914262</c:v>
                </c:pt>
                <c:pt idx="187">
                  <c:v>0.13726921649283416</c:v>
                </c:pt>
                <c:pt idx="188">
                  <c:v>0.13726921649283416</c:v>
                </c:pt>
                <c:pt idx="189">
                  <c:v>0.13726921649283416</c:v>
                </c:pt>
                <c:pt idx="190">
                  <c:v>0.13726921649283416</c:v>
                </c:pt>
                <c:pt idx="191">
                  <c:v>0.13290290240855962</c:v>
                </c:pt>
                <c:pt idx="192">
                  <c:v>0.13290290240855962</c:v>
                </c:pt>
                <c:pt idx="193">
                  <c:v>0.13290290240855962</c:v>
                </c:pt>
                <c:pt idx="194">
                  <c:v>0.13290290240855962</c:v>
                </c:pt>
                <c:pt idx="195">
                  <c:v>0.12860098490544827</c:v>
                </c:pt>
                <c:pt idx="196">
                  <c:v>0.12860098490544827</c:v>
                </c:pt>
                <c:pt idx="197">
                  <c:v>0.12860098490544827</c:v>
                </c:pt>
                <c:pt idx="198">
                  <c:v>0.12860098490544827</c:v>
                </c:pt>
                <c:pt idx="199">
                  <c:v>0.12860098490544827</c:v>
                </c:pt>
                <c:pt idx="200">
                  <c:v>0.12465486337646373</c:v>
                </c:pt>
                <c:pt idx="201">
                  <c:v>0.12465486337646373</c:v>
                </c:pt>
                <c:pt idx="202">
                  <c:v>0.12465486337646373</c:v>
                </c:pt>
                <c:pt idx="203">
                  <c:v>0.12465486337646373</c:v>
                </c:pt>
                <c:pt idx="204">
                  <c:v>0.12139425827709796</c:v>
                </c:pt>
                <c:pt idx="205">
                  <c:v>0.12139425827709796</c:v>
                </c:pt>
                <c:pt idx="206">
                  <c:v>0.12139425827709796</c:v>
                </c:pt>
                <c:pt idx="207">
                  <c:v>0.12139425827709796</c:v>
                </c:pt>
                <c:pt idx="208">
                  <c:v>0.12139425827709796</c:v>
                </c:pt>
                <c:pt idx="209">
                  <c:v>0.11801270464106903</c:v>
                </c:pt>
                <c:pt idx="210">
                  <c:v>0.11801270464106903</c:v>
                </c:pt>
                <c:pt idx="211">
                  <c:v>0.11801270464106903</c:v>
                </c:pt>
                <c:pt idx="212">
                  <c:v>0.11801270464106903</c:v>
                </c:pt>
                <c:pt idx="213">
                  <c:v>0.11418005242057283</c:v>
                </c:pt>
                <c:pt idx="214">
                  <c:v>0.11418005242057283</c:v>
                </c:pt>
                <c:pt idx="215">
                  <c:v>0.11418005242057283</c:v>
                </c:pt>
                <c:pt idx="216">
                  <c:v>0.11418005242057283</c:v>
                </c:pt>
                <c:pt idx="217">
                  <c:v>0.11138179926193666</c:v>
                </c:pt>
                <c:pt idx="218">
                  <c:v>0.11138179926193666</c:v>
                </c:pt>
                <c:pt idx="219">
                  <c:v>0.11138179926193666</c:v>
                </c:pt>
                <c:pt idx="220">
                  <c:v>0.11138179926193666</c:v>
                </c:pt>
                <c:pt idx="221">
                  <c:v>0.10752283550041125</c:v>
                </c:pt>
                <c:pt idx="222">
                  <c:v>0.10752283550041125</c:v>
                </c:pt>
                <c:pt idx="223">
                  <c:v>0.10752283550041125</c:v>
                </c:pt>
                <c:pt idx="224">
                  <c:v>0.10752283550041125</c:v>
                </c:pt>
                <c:pt idx="225">
                  <c:v>0.10752283550041125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950976"/>
        <c:axId val="333945088"/>
      </c:lineChart>
      <c:dateAx>
        <c:axId val="333908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3943168"/>
        <c:crosses val="autoZero"/>
        <c:auto val="1"/>
        <c:lblOffset val="100"/>
        <c:baseTimeUnit val="days"/>
      </c:dateAx>
      <c:valAx>
        <c:axId val="33394316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33908608"/>
        <c:crosses val="autoZero"/>
        <c:crossBetween val="between"/>
        <c:dispUnits>
          <c:builtInUnit val="billions"/>
          <c:dispUnitsLbl/>
        </c:dispUnits>
      </c:valAx>
      <c:valAx>
        <c:axId val="3339450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33950976"/>
        <c:crosses val="max"/>
        <c:crossBetween val="between"/>
      </c:valAx>
      <c:dateAx>
        <c:axId val="3339509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3945088"/>
        <c:crosses val="autoZero"/>
        <c:auto val="1"/>
        <c:lblOffset val="100"/>
        <c:baseTimeUnit val="days"/>
      </c:date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PoolRefinancible!$F$3:$F$232</c:f>
              <c:numCache>
                <c:formatCode>0%</c:formatCode>
                <c:ptCount val="230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PoolRefinancible!$I$3:$I$232</c:f>
              <c:numCache>
                <c:formatCode>0%</c:formatCode>
                <c:ptCount val="230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  <c:pt idx="225">
                  <c:v>0.4739230654186945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7"/>
          <c:order val="6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PoolRefinancible!$J$3:$J$232</c:f>
              <c:numCache>
                <c:formatCode>0%</c:formatCode>
                <c:ptCount val="230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  <c:pt idx="225">
                  <c:v>0.48011645770946798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88832"/>
        <c:axId val="334176640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184832"/>
        <c:axId val="334178560"/>
      </c:lineChart>
      <c:dateAx>
        <c:axId val="334088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4176640"/>
        <c:crosses val="autoZero"/>
        <c:auto val="1"/>
        <c:lblOffset val="100"/>
        <c:baseTimeUnit val="days"/>
        <c:majorUnit val="6"/>
        <c:majorTimeUnit val="months"/>
      </c:dateAx>
      <c:valAx>
        <c:axId val="33417664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334088832"/>
        <c:crosses val="autoZero"/>
        <c:crossBetween val="between"/>
        <c:majorUnit val="0.2"/>
      </c:valAx>
      <c:valAx>
        <c:axId val="3341785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4184832"/>
        <c:crosses val="max"/>
        <c:crossBetween val="between"/>
      </c:valAx>
      <c:dateAx>
        <c:axId val="3341848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4178560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PoolRefinancible!$F$3:$F$232</c:f>
              <c:numCache>
                <c:formatCode>0%</c:formatCode>
                <c:ptCount val="230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PoolRefinancible!$I$2</c:f>
              <c:strCache>
                <c:ptCount val="1"/>
                <c:pt idx="0">
                  <c:v>LLPA &amp; PMI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PoolRefinancible!$I$3:$I$232</c:f>
              <c:numCache>
                <c:formatCode>0%</c:formatCode>
                <c:ptCount val="230"/>
                <c:pt idx="0">
                  <c:v>0.20951326762642539</c:v>
                </c:pt>
                <c:pt idx="1">
                  <c:v>0.2286525724028925</c:v>
                </c:pt>
                <c:pt idx="2">
                  <c:v>0.2131179723271458</c:v>
                </c:pt>
                <c:pt idx="3">
                  <c:v>0.20810932608426305</c:v>
                </c:pt>
                <c:pt idx="4">
                  <c:v>0.17891549814152402</c:v>
                </c:pt>
                <c:pt idx="5">
                  <c:v>0.13456022248425625</c:v>
                </c:pt>
                <c:pt idx="6">
                  <c:v>0.14775234916291591</c:v>
                </c:pt>
                <c:pt idx="7">
                  <c:v>0.16009478143712152</c:v>
                </c:pt>
                <c:pt idx="8">
                  <c:v>0.16418790753930707</c:v>
                </c:pt>
                <c:pt idx="9">
                  <c:v>0.16404066322029284</c:v>
                </c:pt>
                <c:pt idx="10">
                  <c:v>0.1977947076697287</c:v>
                </c:pt>
                <c:pt idx="11">
                  <c:v>0.17977939874028584</c:v>
                </c:pt>
                <c:pt idx="12">
                  <c:v>0.16421372267642936</c:v>
                </c:pt>
                <c:pt idx="13">
                  <c:v>0.16406956784376403</c:v>
                </c:pt>
                <c:pt idx="14">
                  <c:v>0.16188317261266852</c:v>
                </c:pt>
                <c:pt idx="15">
                  <c:v>0.18010388926248624</c:v>
                </c:pt>
                <c:pt idx="16">
                  <c:v>0.18382677970033753</c:v>
                </c:pt>
                <c:pt idx="17">
                  <c:v>0.20387133077641981</c:v>
                </c:pt>
                <c:pt idx="18">
                  <c:v>0.2408135217586809</c:v>
                </c:pt>
                <c:pt idx="19">
                  <c:v>0.24117986251785034</c:v>
                </c:pt>
                <c:pt idx="20">
                  <c:v>0.24355361553325378</c:v>
                </c:pt>
                <c:pt idx="21">
                  <c:v>0.27670038879120418</c:v>
                </c:pt>
                <c:pt idx="22">
                  <c:v>0.29931986389681725</c:v>
                </c:pt>
                <c:pt idx="23">
                  <c:v>0.29927890586033978</c:v>
                </c:pt>
                <c:pt idx="24">
                  <c:v>0.27670038879120418</c:v>
                </c:pt>
                <c:pt idx="25">
                  <c:v>0.29803164102095814</c:v>
                </c:pt>
                <c:pt idx="26">
                  <c:v>0.24635975140985969</c:v>
                </c:pt>
                <c:pt idx="27">
                  <c:v>0.29801285071746725</c:v>
                </c:pt>
                <c:pt idx="28">
                  <c:v>0.27647176144055741</c:v>
                </c:pt>
                <c:pt idx="29">
                  <c:v>0.26886674922653592</c:v>
                </c:pt>
                <c:pt idx="30">
                  <c:v>0.35055994389214357</c:v>
                </c:pt>
                <c:pt idx="31">
                  <c:v>0.44640823318837386</c:v>
                </c:pt>
                <c:pt idx="32">
                  <c:v>0.53965388848865747</c:v>
                </c:pt>
                <c:pt idx="33">
                  <c:v>0.49732012063845815</c:v>
                </c:pt>
                <c:pt idx="34">
                  <c:v>0.49621049424249691</c:v>
                </c:pt>
                <c:pt idx="35">
                  <c:v>0.56188763696413691</c:v>
                </c:pt>
                <c:pt idx="36">
                  <c:v>0.56666393386789538</c:v>
                </c:pt>
                <c:pt idx="37">
                  <c:v>0.56666393386789538</c:v>
                </c:pt>
                <c:pt idx="38">
                  <c:v>0.6263817731067115</c:v>
                </c:pt>
                <c:pt idx="39">
                  <c:v>0.61506978972280768</c:v>
                </c:pt>
                <c:pt idx="40">
                  <c:v>0.52200302676770738</c:v>
                </c:pt>
                <c:pt idx="41">
                  <c:v>0.54092116244187771</c:v>
                </c:pt>
                <c:pt idx="42">
                  <c:v>0.54427813909906164</c:v>
                </c:pt>
                <c:pt idx="43">
                  <c:v>0.5930585678824033</c:v>
                </c:pt>
                <c:pt idx="44">
                  <c:v>0.59308702713551809</c:v>
                </c:pt>
                <c:pt idx="45">
                  <c:v>0.5930585678824033</c:v>
                </c:pt>
                <c:pt idx="46">
                  <c:v>0.59609102497578137</c:v>
                </c:pt>
                <c:pt idx="47">
                  <c:v>0.57637470870076846</c:v>
                </c:pt>
                <c:pt idx="48">
                  <c:v>0.57640199098694489</c:v>
                </c:pt>
                <c:pt idx="49">
                  <c:v>0.58069452065626503</c:v>
                </c:pt>
                <c:pt idx="50">
                  <c:v>0.61774760876460955</c:v>
                </c:pt>
                <c:pt idx="51">
                  <c:v>0.60388415088067371</c:v>
                </c:pt>
                <c:pt idx="52">
                  <c:v>0.59330115968578845</c:v>
                </c:pt>
                <c:pt idx="53">
                  <c:v>0.61007610137748614</c:v>
                </c:pt>
                <c:pt idx="54">
                  <c:v>0.6075488171158312</c:v>
                </c:pt>
                <c:pt idx="55">
                  <c:v>0.56757815274844003</c:v>
                </c:pt>
                <c:pt idx="56">
                  <c:v>0.59021628278930161</c:v>
                </c:pt>
                <c:pt idx="57">
                  <c:v>0.59021628278930161</c:v>
                </c:pt>
                <c:pt idx="58">
                  <c:v>0.59021628278930161</c:v>
                </c:pt>
                <c:pt idx="59">
                  <c:v>0.55038966954359403</c:v>
                </c:pt>
                <c:pt idx="60">
                  <c:v>0.56168586846910651</c:v>
                </c:pt>
                <c:pt idx="61">
                  <c:v>0.57507010563023941</c:v>
                </c:pt>
                <c:pt idx="62">
                  <c:v>0.56062904678556613</c:v>
                </c:pt>
                <c:pt idx="63">
                  <c:v>0.4708307878948611</c:v>
                </c:pt>
                <c:pt idx="64">
                  <c:v>0.53275480546964971</c:v>
                </c:pt>
                <c:pt idx="65">
                  <c:v>0.55204144089130647</c:v>
                </c:pt>
                <c:pt idx="66">
                  <c:v>0.61520517788323992</c:v>
                </c:pt>
                <c:pt idx="67">
                  <c:v>0.57950169097067328</c:v>
                </c:pt>
                <c:pt idx="68">
                  <c:v>0.61520517788323992</c:v>
                </c:pt>
                <c:pt idx="69">
                  <c:v>0.6317239856588488</c:v>
                </c:pt>
                <c:pt idx="70">
                  <c:v>0.63749716402095913</c:v>
                </c:pt>
                <c:pt idx="71">
                  <c:v>0.6654941916397813</c:v>
                </c:pt>
                <c:pt idx="72">
                  <c:v>0.66148107330138128</c:v>
                </c:pt>
                <c:pt idx="73">
                  <c:v>0.66816368917970947</c:v>
                </c:pt>
                <c:pt idx="74">
                  <c:v>0.72131165820460841</c:v>
                </c:pt>
                <c:pt idx="75">
                  <c:v>0.7016393157738251</c:v>
                </c:pt>
                <c:pt idx="76">
                  <c:v>0.72329670850827033</c:v>
                </c:pt>
                <c:pt idx="77">
                  <c:v>0.72329670850827033</c:v>
                </c:pt>
                <c:pt idx="78">
                  <c:v>0.72001119292013993</c:v>
                </c:pt>
                <c:pt idx="79">
                  <c:v>0.75407044900013098</c:v>
                </c:pt>
                <c:pt idx="80">
                  <c:v>0.75979626670465439</c:v>
                </c:pt>
                <c:pt idx="81">
                  <c:v>0.7772659421579855</c:v>
                </c:pt>
                <c:pt idx="82">
                  <c:v>0.74202188782112288</c:v>
                </c:pt>
                <c:pt idx="83">
                  <c:v>0.74172452642125275</c:v>
                </c:pt>
                <c:pt idx="84">
                  <c:v>0.72502948633550401</c:v>
                </c:pt>
                <c:pt idx="85">
                  <c:v>0.70545980617085735</c:v>
                </c:pt>
                <c:pt idx="86">
                  <c:v>0.74172452642125275</c:v>
                </c:pt>
                <c:pt idx="87">
                  <c:v>0.73031006659475117</c:v>
                </c:pt>
                <c:pt idx="88">
                  <c:v>0.73633520756526005</c:v>
                </c:pt>
                <c:pt idx="89">
                  <c:v>0.75820018205964568</c:v>
                </c:pt>
                <c:pt idx="90">
                  <c:v>0.80745235876438604</c:v>
                </c:pt>
                <c:pt idx="91">
                  <c:v>0.79075164893065863</c:v>
                </c:pt>
                <c:pt idx="92">
                  <c:v>0.7668489280555747</c:v>
                </c:pt>
                <c:pt idx="93">
                  <c:v>0.78750763693586801</c:v>
                </c:pt>
                <c:pt idx="94">
                  <c:v>0.76516434563272751</c:v>
                </c:pt>
                <c:pt idx="95">
                  <c:v>0.74037235734233853</c:v>
                </c:pt>
                <c:pt idx="96">
                  <c:v>0.73991276487142854</c:v>
                </c:pt>
                <c:pt idx="97">
                  <c:v>0.76480419869010208</c:v>
                </c:pt>
                <c:pt idx="98">
                  <c:v>0.78285539257517112</c:v>
                </c:pt>
                <c:pt idx="99">
                  <c:v>0.76478774162966701</c:v>
                </c:pt>
                <c:pt idx="100">
                  <c:v>0.75100707648100773</c:v>
                </c:pt>
                <c:pt idx="101">
                  <c:v>0.7687818046324969</c:v>
                </c:pt>
                <c:pt idx="102">
                  <c:v>0.74807230422736604</c:v>
                </c:pt>
                <c:pt idx="103">
                  <c:v>0.75035821746947151</c:v>
                </c:pt>
                <c:pt idx="104">
                  <c:v>0.73297781488807146</c:v>
                </c:pt>
                <c:pt idx="105">
                  <c:v>0.70742761689353828</c:v>
                </c:pt>
                <c:pt idx="106">
                  <c:v>0.72944046146990393</c:v>
                </c:pt>
                <c:pt idx="107">
                  <c:v>0.70454946765433357</c:v>
                </c:pt>
                <c:pt idx="108">
                  <c:v>0.65383764183083803</c:v>
                </c:pt>
                <c:pt idx="109">
                  <c:v>0.63114301374580217</c:v>
                </c:pt>
                <c:pt idx="110">
                  <c:v>0.63114301374580217</c:v>
                </c:pt>
                <c:pt idx="111">
                  <c:v>0.61369684310791517</c:v>
                </c:pt>
                <c:pt idx="112">
                  <c:v>0.63491676312975698</c:v>
                </c:pt>
                <c:pt idx="113">
                  <c:v>0.61458591818107544</c:v>
                </c:pt>
                <c:pt idx="114">
                  <c:v>0.57544552260540727</c:v>
                </c:pt>
                <c:pt idx="115">
                  <c:v>0.60905555004469225</c:v>
                </c:pt>
                <c:pt idx="116">
                  <c:v>0.59208663893880442</c:v>
                </c:pt>
                <c:pt idx="117">
                  <c:v>0.59809945210751836</c:v>
                </c:pt>
                <c:pt idx="118">
                  <c:v>0.62716608193306933</c:v>
                </c:pt>
                <c:pt idx="119">
                  <c:v>0.65452696598777205</c:v>
                </c:pt>
                <c:pt idx="120">
                  <c:v>0.65157246412580749</c:v>
                </c:pt>
                <c:pt idx="121">
                  <c:v>0.67537337584507506</c:v>
                </c:pt>
                <c:pt idx="122">
                  <c:v>0.64540614198338686</c:v>
                </c:pt>
                <c:pt idx="123">
                  <c:v>0.61371644626137789</c:v>
                </c:pt>
                <c:pt idx="124">
                  <c:v>0.57161053072002388</c:v>
                </c:pt>
                <c:pt idx="125">
                  <c:v>0.49281389771726519</c:v>
                </c:pt>
                <c:pt idx="126">
                  <c:v>0.45700453068812052</c:v>
                </c:pt>
                <c:pt idx="127">
                  <c:v>0.4344487152177407</c:v>
                </c:pt>
                <c:pt idx="128">
                  <c:v>0.43496628993259662</c:v>
                </c:pt>
                <c:pt idx="129">
                  <c:v>0.2199872648895852</c:v>
                </c:pt>
                <c:pt idx="130">
                  <c:v>0.31059723114058108</c:v>
                </c:pt>
                <c:pt idx="131">
                  <c:v>0.19429609707083362</c:v>
                </c:pt>
                <c:pt idx="132">
                  <c:v>0.2794842470602576</c:v>
                </c:pt>
                <c:pt idx="133">
                  <c:v>0.28045144255790144</c:v>
                </c:pt>
                <c:pt idx="134">
                  <c:v>0.23838945674236522</c:v>
                </c:pt>
                <c:pt idx="135">
                  <c:v>0.23805160399751818</c:v>
                </c:pt>
                <c:pt idx="136">
                  <c:v>0.23805160399751818</c:v>
                </c:pt>
                <c:pt idx="137">
                  <c:v>0.17139837278320391</c:v>
                </c:pt>
                <c:pt idx="138">
                  <c:v>0.20573773224038241</c:v>
                </c:pt>
                <c:pt idx="139">
                  <c:v>0.18142824317266582</c:v>
                </c:pt>
                <c:pt idx="140">
                  <c:v>0.16781950534512624</c:v>
                </c:pt>
                <c:pt idx="141">
                  <c:v>0.20224886083981533</c:v>
                </c:pt>
                <c:pt idx="142">
                  <c:v>0.2938332535347441</c:v>
                </c:pt>
                <c:pt idx="143">
                  <c:v>0.31777500213957705</c:v>
                </c:pt>
                <c:pt idx="144">
                  <c:v>0.31720208476376438</c:v>
                </c:pt>
                <c:pt idx="145">
                  <c:v>0.28885302300705301</c:v>
                </c:pt>
                <c:pt idx="146">
                  <c:v>0.33766312973364548</c:v>
                </c:pt>
                <c:pt idx="147">
                  <c:v>0.35586088249893616</c:v>
                </c:pt>
                <c:pt idx="148">
                  <c:v>0.32955790309451866</c:v>
                </c:pt>
                <c:pt idx="149">
                  <c:v>0.25277848591280316</c:v>
                </c:pt>
                <c:pt idx="150">
                  <c:v>0.31131333173074666</c:v>
                </c:pt>
                <c:pt idx="151">
                  <c:v>0.28206150012278947</c:v>
                </c:pt>
                <c:pt idx="152">
                  <c:v>0.21485389589079185</c:v>
                </c:pt>
                <c:pt idx="153">
                  <c:v>0.21443883052881366</c:v>
                </c:pt>
                <c:pt idx="154">
                  <c:v>0.17874887754348148</c:v>
                </c:pt>
                <c:pt idx="155">
                  <c:v>0.17806894310932117</c:v>
                </c:pt>
                <c:pt idx="156">
                  <c:v>0.15577799845188453</c:v>
                </c:pt>
                <c:pt idx="157">
                  <c:v>0.17930576521621211</c:v>
                </c:pt>
                <c:pt idx="158">
                  <c:v>0.20959300534444442</c:v>
                </c:pt>
                <c:pt idx="159">
                  <c:v>0.21019143531749254</c:v>
                </c:pt>
                <c:pt idx="160">
                  <c:v>0.26753407065163864</c:v>
                </c:pt>
                <c:pt idx="161">
                  <c:v>0.29181927799860874</c:v>
                </c:pt>
                <c:pt idx="162">
                  <c:v>0.26481047273119829</c:v>
                </c:pt>
                <c:pt idx="163">
                  <c:v>0.23629264624582719</c:v>
                </c:pt>
                <c:pt idx="164">
                  <c:v>0.23523336613531681</c:v>
                </c:pt>
                <c:pt idx="165">
                  <c:v>0.26131289645907729</c:v>
                </c:pt>
                <c:pt idx="166">
                  <c:v>0.23229463907320802</c:v>
                </c:pt>
                <c:pt idx="167">
                  <c:v>0.25991121759857438</c:v>
                </c:pt>
                <c:pt idx="168">
                  <c:v>0.23160663701689185</c:v>
                </c:pt>
                <c:pt idx="169">
                  <c:v>0.20321387799468149</c:v>
                </c:pt>
                <c:pt idx="170">
                  <c:v>0.23288461809893268</c:v>
                </c:pt>
                <c:pt idx="171">
                  <c:v>0.26202204782205368</c:v>
                </c:pt>
                <c:pt idx="172">
                  <c:v>0.26064759544975269</c:v>
                </c:pt>
                <c:pt idx="173">
                  <c:v>0.26096797184396925</c:v>
                </c:pt>
                <c:pt idx="174">
                  <c:v>0.30889383306981971</c:v>
                </c:pt>
                <c:pt idx="175">
                  <c:v>0.30891479778446918</c:v>
                </c:pt>
                <c:pt idx="176">
                  <c:v>0.33114270527414602</c:v>
                </c:pt>
                <c:pt idx="177">
                  <c:v>0.33194076989098714</c:v>
                </c:pt>
                <c:pt idx="178">
                  <c:v>0.33192034731196002</c:v>
                </c:pt>
                <c:pt idx="179">
                  <c:v>0.30807676123988897</c:v>
                </c:pt>
                <c:pt idx="180">
                  <c:v>0.30971242843576313</c:v>
                </c:pt>
                <c:pt idx="181">
                  <c:v>0.33192034731196002</c:v>
                </c:pt>
                <c:pt idx="182">
                  <c:v>0.3526251649505287</c:v>
                </c:pt>
                <c:pt idx="183">
                  <c:v>0.30448503707734181</c:v>
                </c:pt>
                <c:pt idx="184">
                  <c:v>0.32660064596161226</c:v>
                </c:pt>
                <c:pt idx="185">
                  <c:v>0.32660064596161226</c:v>
                </c:pt>
                <c:pt idx="186">
                  <c:v>0.32699157373577631</c:v>
                </c:pt>
                <c:pt idx="187">
                  <c:v>0.29774290507115825</c:v>
                </c:pt>
                <c:pt idx="188">
                  <c:v>0.32013236192256794</c:v>
                </c:pt>
                <c:pt idx="189">
                  <c:v>0.34626375886905675</c:v>
                </c:pt>
                <c:pt idx="190">
                  <c:v>0.34626375886905675</c:v>
                </c:pt>
                <c:pt idx="191">
                  <c:v>0.33989690719769772</c:v>
                </c:pt>
                <c:pt idx="192">
                  <c:v>0.33936239503709198</c:v>
                </c:pt>
                <c:pt idx="193">
                  <c:v>0.28985985896912109</c:v>
                </c:pt>
                <c:pt idx="194">
                  <c:v>0.29129845378289931</c:v>
                </c:pt>
                <c:pt idx="195">
                  <c:v>0.30547746964083727</c:v>
                </c:pt>
                <c:pt idx="196">
                  <c:v>0.33144164337331594</c:v>
                </c:pt>
                <c:pt idx="197">
                  <c:v>0.39292803060156761</c:v>
                </c:pt>
                <c:pt idx="198">
                  <c:v>0.42272700072756136</c:v>
                </c:pt>
                <c:pt idx="199">
                  <c:v>0.39286667249963214</c:v>
                </c:pt>
                <c:pt idx="200">
                  <c:v>0.35414308183782223</c:v>
                </c:pt>
                <c:pt idx="201">
                  <c:v>0.3542712812179995</c:v>
                </c:pt>
                <c:pt idx="202">
                  <c:v>0.38515221599308352</c:v>
                </c:pt>
                <c:pt idx="203">
                  <c:v>0.38537159802743809</c:v>
                </c:pt>
                <c:pt idx="204">
                  <c:v>0.40924051329753336</c:v>
                </c:pt>
                <c:pt idx="205">
                  <c:v>0.4080580571716918</c:v>
                </c:pt>
                <c:pt idx="206">
                  <c:v>0.44444312661220686</c:v>
                </c:pt>
                <c:pt idx="207">
                  <c:v>0.44157633126365065</c:v>
                </c:pt>
                <c:pt idx="208">
                  <c:v>0.40919489925904234</c:v>
                </c:pt>
                <c:pt idx="209">
                  <c:v>0.4699805706154972</c:v>
                </c:pt>
                <c:pt idx="210">
                  <c:v>0.52605134754242744</c:v>
                </c:pt>
                <c:pt idx="211">
                  <c:v>0.52835609079609336</c:v>
                </c:pt>
                <c:pt idx="212">
                  <c:v>0.52605134754242744</c:v>
                </c:pt>
                <c:pt idx="213">
                  <c:v>0.5254602265012428</c:v>
                </c:pt>
                <c:pt idx="214">
                  <c:v>0.49442366816029654</c:v>
                </c:pt>
                <c:pt idx="215">
                  <c:v>0.46098343440077427</c:v>
                </c:pt>
                <c:pt idx="216">
                  <c:v>0.43010921248141931</c:v>
                </c:pt>
                <c:pt idx="217">
                  <c:v>0.45294063034136495</c:v>
                </c:pt>
                <c:pt idx="218">
                  <c:v>0.3870529036276229</c:v>
                </c:pt>
                <c:pt idx="219">
                  <c:v>0.45175307267929959</c:v>
                </c:pt>
                <c:pt idx="220">
                  <c:v>0.48615161590543643</c:v>
                </c:pt>
                <c:pt idx="221">
                  <c:v>0.47072884359674472</c:v>
                </c:pt>
                <c:pt idx="222">
                  <c:v>0.49915608737725392</c:v>
                </c:pt>
                <c:pt idx="223">
                  <c:v>0.47260889923644794</c:v>
                </c:pt>
                <c:pt idx="224">
                  <c:v>0.50167016442185053</c:v>
                </c:pt>
                <c:pt idx="225">
                  <c:v>0.4739230654186945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59744"/>
        <c:axId val="334961280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994048"/>
        <c:axId val="334992128"/>
      </c:lineChart>
      <c:dateAx>
        <c:axId val="334959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4961280"/>
        <c:crosses val="autoZero"/>
        <c:auto val="1"/>
        <c:lblOffset val="100"/>
        <c:baseTimeUnit val="days"/>
        <c:majorUnit val="6"/>
        <c:majorTimeUnit val="months"/>
      </c:dateAx>
      <c:valAx>
        <c:axId val="334961280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334959744"/>
        <c:crosses val="autoZero"/>
        <c:crossBetween val="between"/>
        <c:majorUnit val="0.2"/>
      </c:valAx>
      <c:valAx>
        <c:axId val="3349921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4994048"/>
        <c:crosses val="max"/>
        <c:crossBetween val="between"/>
      </c:valAx>
      <c:dateAx>
        <c:axId val="3349940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499212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PoolRefinancible!$F$3:$F$232</c:f>
              <c:numCache>
                <c:formatCode>0%</c:formatCode>
                <c:ptCount val="230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PoolRefinancible!$H$2</c:f>
              <c:strCache>
                <c:ptCount val="1"/>
                <c:pt idx="0">
                  <c:v>Time-Dependent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PoolRefinancible!$H$3:$H$232</c:f>
              <c:numCache>
                <c:formatCode>0%</c:formatCode>
                <c:ptCount val="230"/>
                <c:pt idx="0">
                  <c:v>0.29339129549199244</c:v>
                </c:pt>
                <c:pt idx="1">
                  <c:v>0.31216038149568309</c:v>
                </c:pt>
                <c:pt idx="2">
                  <c:v>0.29352345631455612</c:v>
                </c:pt>
                <c:pt idx="3">
                  <c:v>0.29337181673036272</c:v>
                </c:pt>
                <c:pt idx="4">
                  <c:v>0.25001180569005516</c:v>
                </c:pt>
                <c:pt idx="5">
                  <c:v>0.20884941022700101</c:v>
                </c:pt>
                <c:pt idx="6">
                  <c:v>0.21937474831597803</c:v>
                </c:pt>
                <c:pt idx="7">
                  <c:v>0.23756924071282229</c:v>
                </c:pt>
                <c:pt idx="8">
                  <c:v>0.23580697378092402</c:v>
                </c:pt>
                <c:pt idx="9">
                  <c:v>0.23575738208426369</c:v>
                </c:pt>
                <c:pt idx="10">
                  <c:v>0.27772990136821168</c:v>
                </c:pt>
                <c:pt idx="11">
                  <c:v>0.26081219543552103</c:v>
                </c:pt>
                <c:pt idx="12">
                  <c:v>0.23582915359045858</c:v>
                </c:pt>
                <c:pt idx="13">
                  <c:v>0.23398840657953646</c:v>
                </c:pt>
                <c:pt idx="14">
                  <c:v>0.23392925226898756</c:v>
                </c:pt>
                <c:pt idx="15">
                  <c:v>0.25931046586102646</c:v>
                </c:pt>
                <c:pt idx="16">
                  <c:v>0.25939108420754325</c:v>
                </c:pt>
                <c:pt idx="17">
                  <c:v>0.2767705840929231</c:v>
                </c:pt>
                <c:pt idx="18">
                  <c:v>0.33101736528723608</c:v>
                </c:pt>
                <c:pt idx="19">
                  <c:v>0.33118276104512157</c:v>
                </c:pt>
                <c:pt idx="20">
                  <c:v>0.33125092721379307</c:v>
                </c:pt>
                <c:pt idx="21">
                  <c:v>0.3691835869311077</c:v>
                </c:pt>
                <c:pt idx="22">
                  <c:v>0.39508524505835663</c:v>
                </c:pt>
                <c:pt idx="23">
                  <c:v>0.39503378326956207</c:v>
                </c:pt>
                <c:pt idx="24">
                  <c:v>0.3691835869311077</c:v>
                </c:pt>
                <c:pt idx="25">
                  <c:v>0.39407405863936062</c:v>
                </c:pt>
                <c:pt idx="26">
                  <c:v>0.32953309642129813</c:v>
                </c:pt>
                <c:pt idx="27">
                  <c:v>0.39198068984469925</c:v>
                </c:pt>
                <c:pt idx="28">
                  <c:v>0.36688328154710265</c:v>
                </c:pt>
                <c:pt idx="29">
                  <c:v>0.36550585923079215</c:v>
                </c:pt>
                <c:pt idx="30">
                  <c:v>0.45050394711351643</c:v>
                </c:pt>
                <c:pt idx="31">
                  <c:v>0.57202234451964995</c:v>
                </c:pt>
                <c:pt idx="32">
                  <c:v>0.66665601955240716</c:v>
                </c:pt>
                <c:pt idx="33">
                  <c:v>0.61340669597098385</c:v>
                </c:pt>
                <c:pt idx="34">
                  <c:v>0.61043584134215234</c:v>
                </c:pt>
                <c:pt idx="35">
                  <c:v>0.68911896233120773</c:v>
                </c:pt>
                <c:pt idx="36">
                  <c:v>0.68921930805544263</c:v>
                </c:pt>
                <c:pt idx="37">
                  <c:v>0.68921930805544263</c:v>
                </c:pt>
                <c:pt idx="38">
                  <c:v>0.74085165408919718</c:v>
                </c:pt>
                <c:pt idx="39">
                  <c:v>0.7283352335565505</c:v>
                </c:pt>
                <c:pt idx="40">
                  <c:v>0.65022815919416987</c:v>
                </c:pt>
                <c:pt idx="41">
                  <c:v>0.67496554048719415</c:v>
                </c:pt>
                <c:pt idx="42">
                  <c:v>0.67510900125173667</c:v>
                </c:pt>
                <c:pt idx="43">
                  <c:v>0.71321272785210488</c:v>
                </c:pt>
                <c:pt idx="44">
                  <c:v>0.71323324235131957</c:v>
                </c:pt>
                <c:pt idx="45">
                  <c:v>0.71321272785210488</c:v>
                </c:pt>
                <c:pt idx="46">
                  <c:v>0.71325364250112233</c:v>
                </c:pt>
                <c:pt idx="47">
                  <c:v>0.69921469866784125</c:v>
                </c:pt>
                <c:pt idx="48">
                  <c:v>0.69923497192416595</c:v>
                </c:pt>
                <c:pt idx="49">
                  <c:v>0.69928350198009037</c:v>
                </c:pt>
                <c:pt idx="50">
                  <c:v>0.73130536310420036</c:v>
                </c:pt>
                <c:pt idx="51">
                  <c:v>0.7311164441815301</c:v>
                </c:pt>
                <c:pt idx="52">
                  <c:v>0.71872246623497638</c:v>
                </c:pt>
                <c:pt idx="53">
                  <c:v>0.71892720085282324</c:v>
                </c:pt>
                <c:pt idx="54">
                  <c:v>0.71880362926806407</c:v>
                </c:pt>
                <c:pt idx="55">
                  <c:v>0.68591641414675153</c:v>
                </c:pt>
                <c:pt idx="56">
                  <c:v>0.70090674609623727</c:v>
                </c:pt>
                <c:pt idx="57">
                  <c:v>0.70090674609623727</c:v>
                </c:pt>
                <c:pt idx="58">
                  <c:v>0.70090674609623727</c:v>
                </c:pt>
                <c:pt idx="59">
                  <c:v>0.66768685957234042</c:v>
                </c:pt>
                <c:pt idx="60">
                  <c:v>0.68578772853860537</c:v>
                </c:pt>
                <c:pt idx="61">
                  <c:v>0.68585905113025258</c:v>
                </c:pt>
                <c:pt idx="62">
                  <c:v>0.68564931358979331</c:v>
                </c:pt>
                <c:pt idx="63">
                  <c:v>0.59885812506806924</c:v>
                </c:pt>
                <c:pt idx="64">
                  <c:v>0.65228379705075934</c:v>
                </c:pt>
                <c:pt idx="65">
                  <c:v>0.65610516867504221</c:v>
                </c:pt>
                <c:pt idx="66">
                  <c:v>0.70976914085945686</c:v>
                </c:pt>
                <c:pt idx="67">
                  <c:v>0.68977407029497229</c:v>
                </c:pt>
                <c:pt idx="68">
                  <c:v>0.70976914085945686</c:v>
                </c:pt>
                <c:pt idx="69">
                  <c:v>0.71778894613505184</c:v>
                </c:pt>
                <c:pt idx="70">
                  <c:v>0.71790603687606236</c:v>
                </c:pt>
                <c:pt idx="71">
                  <c:v>0.7511226293764568</c:v>
                </c:pt>
                <c:pt idx="72">
                  <c:v>0.75105035429874611</c:v>
                </c:pt>
                <c:pt idx="73">
                  <c:v>0.7512041517176814</c:v>
                </c:pt>
                <c:pt idx="74">
                  <c:v>0.79329641551681107</c:v>
                </c:pt>
                <c:pt idx="75">
                  <c:v>0.77022399573729294</c:v>
                </c:pt>
                <c:pt idx="76">
                  <c:v>0.79333577564121049</c:v>
                </c:pt>
                <c:pt idx="77">
                  <c:v>0.79333577564121049</c:v>
                </c:pt>
                <c:pt idx="78">
                  <c:v>0.78742350246505088</c:v>
                </c:pt>
                <c:pt idx="79">
                  <c:v>0.81997698463178614</c:v>
                </c:pt>
                <c:pt idx="80">
                  <c:v>0.82005106161314656</c:v>
                </c:pt>
                <c:pt idx="81">
                  <c:v>0.83574642345813432</c:v>
                </c:pt>
                <c:pt idx="82">
                  <c:v>0.80667448116643814</c:v>
                </c:pt>
                <c:pt idx="83">
                  <c:v>0.80661010872786376</c:v>
                </c:pt>
                <c:pt idx="84">
                  <c:v>0.7859411996742075</c:v>
                </c:pt>
                <c:pt idx="85">
                  <c:v>0.77233085778339827</c:v>
                </c:pt>
                <c:pt idx="86">
                  <c:v>0.80661010872786376</c:v>
                </c:pt>
                <c:pt idx="87">
                  <c:v>0.79385522628191763</c:v>
                </c:pt>
                <c:pt idx="88">
                  <c:v>0.79476488314048044</c:v>
                </c:pt>
                <c:pt idx="89">
                  <c:v>0.81215273598629645</c:v>
                </c:pt>
                <c:pt idx="90">
                  <c:v>0.86283075587771796</c:v>
                </c:pt>
                <c:pt idx="91">
                  <c:v>0.84379634926171598</c:v>
                </c:pt>
                <c:pt idx="92">
                  <c:v>0.82335914163118795</c:v>
                </c:pt>
                <c:pt idx="93">
                  <c:v>0.84345556360039442</c:v>
                </c:pt>
                <c:pt idx="94">
                  <c:v>0.82205123015040049</c:v>
                </c:pt>
                <c:pt idx="95">
                  <c:v>0.79712077418900507</c:v>
                </c:pt>
                <c:pt idx="96">
                  <c:v>0.79698536593342428</c:v>
                </c:pt>
                <c:pt idx="97">
                  <c:v>0.81850077597759319</c:v>
                </c:pt>
                <c:pt idx="98">
                  <c:v>0.84439089185574212</c:v>
                </c:pt>
                <c:pt idx="99">
                  <c:v>0.81849486720040165</c:v>
                </c:pt>
                <c:pt idx="100">
                  <c:v>0.80509322996926413</c:v>
                </c:pt>
                <c:pt idx="101">
                  <c:v>0.83135770301903678</c:v>
                </c:pt>
                <c:pt idx="102">
                  <c:v>0.80495713977092143</c:v>
                </c:pt>
                <c:pt idx="103">
                  <c:v>0.80507982737116601</c:v>
                </c:pt>
                <c:pt idx="104">
                  <c:v>0.78587704060014518</c:v>
                </c:pt>
                <c:pt idx="105">
                  <c:v>0.76318717011624149</c:v>
                </c:pt>
                <c:pt idx="106">
                  <c:v>0.785144217858876</c:v>
                </c:pt>
                <c:pt idx="107">
                  <c:v>0.76190943399436351</c:v>
                </c:pt>
                <c:pt idx="108">
                  <c:v>0.70861609938717229</c:v>
                </c:pt>
                <c:pt idx="109">
                  <c:v>0.6884953726397457</c:v>
                </c:pt>
                <c:pt idx="110">
                  <c:v>0.6884953726397457</c:v>
                </c:pt>
                <c:pt idx="111">
                  <c:v>0.66613472475485569</c:v>
                </c:pt>
                <c:pt idx="112">
                  <c:v>0.68856460743428471</c:v>
                </c:pt>
                <c:pt idx="113">
                  <c:v>0.66492754235269635</c:v>
                </c:pt>
                <c:pt idx="114">
                  <c:v>0.62785527997640145</c:v>
                </c:pt>
                <c:pt idx="115">
                  <c:v>0.66394223169170952</c:v>
                </c:pt>
                <c:pt idx="116">
                  <c:v>0.64182776636199401</c:v>
                </c:pt>
                <c:pt idx="117">
                  <c:v>0.64790815234902699</c:v>
                </c:pt>
                <c:pt idx="118">
                  <c:v>0.67093986203227984</c:v>
                </c:pt>
                <c:pt idx="119">
                  <c:v>0.70290697718981421</c:v>
                </c:pt>
                <c:pt idx="120">
                  <c:v>0.70281611264171606</c:v>
                </c:pt>
                <c:pt idx="121">
                  <c:v>0.72094528388633183</c:v>
                </c:pt>
                <c:pt idx="122">
                  <c:v>0.69246979917415841</c:v>
                </c:pt>
                <c:pt idx="123">
                  <c:v>0.65667808288144003</c:v>
                </c:pt>
                <c:pt idx="124">
                  <c:v>0.61265051606608523</c:v>
                </c:pt>
                <c:pt idx="125">
                  <c:v>0.53483965838657976</c:v>
                </c:pt>
                <c:pt idx="126">
                  <c:v>0.49694449948610975</c:v>
                </c:pt>
                <c:pt idx="127">
                  <c:v>0.47397924667640279</c:v>
                </c:pt>
                <c:pt idx="128">
                  <c:v>0.47403756846371675</c:v>
                </c:pt>
                <c:pt idx="129">
                  <c:v>0.25403206756592833</c:v>
                </c:pt>
                <c:pt idx="130">
                  <c:v>0.34777149804179863</c:v>
                </c:pt>
                <c:pt idx="131">
                  <c:v>0.22534397246731291</c:v>
                </c:pt>
                <c:pt idx="132">
                  <c:v>0.31268318581252624</c:v>
                </c:pt>
                <c:pt idx="133">
                  <c:v>0.312913492244701</c:v>
                </c:pt>
                <c:pt idx="134">
                  <c:v>0.26851632698808114</c:v>
                </c:pt>
                <c:pt idx="135">
                  <c:v>0.26848961945490407</c:v>
                </c:pt>
                <c:pt idx="136">
                  <c:v>0.26848961945490407</c:v>
                </c:pt>
                <c:pt idx="137">
                  <c:v>0.19897551419907808</c:v>
                </c:pt>
                <c:pt idx="138">
                  <c:v>0.2352153173287943</c:v>
                </c:pt>
                <c:pt idx="139">
                  <c:v>0.20985102278531986</c:v>
                </c:pt>
                <c:pt idx="140">
                  <c:v>0.1933013159773479</c:v>
                </c:pt>
                <c:pt idx="141">
                  <c:v>0.22981537322953327</c:v>
                </c:pt>
                <c:pt idx="142">
                  <c:v>0.32752583432106064</c:v>
                </c:pt>
                <c:pt idx="143">
                  <c:v>0.34934694100582447</c:v>
                </c:pt>
                <c:pt idx="144">
                  <c:v>0.34930953319751107</c:v>
                </c:pt>
                <c:pt idx="145">
                  <c:v>0.32051900820894169</c:v>
                </c:pt>
                <c:pt idx="146">
                  <c:v>0.37185328450087929</c:v>
                </c:pt>
                <c:pt idx="147">
                  <c:v>0.39063551189178952</c:v>
                </c:pt>
                <c:pt idx="148">
                  <c:v>0.36662430427029247</c:v>
                </c:pt>
                <c:pt idx="149">
                  <c:v>0.28071881128362103</c:v>
                </c:pt>
                <c:pt idx="150">
                  <c:v>0.34304694481314357</c:v>
                </c:pt>
                <c:pt idx="151">
                  <c:v>0.31428622705242126</c:v>
                </c:pt>
                <c:pt idx="152">
                  <c:v>0.24226678471994609</c:v>
                </c:pt>
                <c:pt idx="153">
                  <c:v>0.24222415354324153</c:v>
                </c:pt>
                <c:pt idx="154">
                  <c:v>0.20141162346005181</c:v>
                </c:pt>
                <c:pt idx="155">
                  <c:v>0.2013640996379655</c:v>
                </c:pt>
                <c:pt idx="156">
                  <c:v>0.17802959709068786</c:v>
                </c:pt>
                <c:pt idx="157">
                  <c:v>0.19750176495775237</c:v>
                </c:pt>
                <c:pt idx="158">
                  <c:v>0.22917295307652799</c:v>
                </c:pt>
                <c:pt idx="159">
                  <c:v>0.22951003472904788</c:v>
                </c:pt>
                <c:pt idx="160">
                  <c:v>0.29231353005395816</c:v>
                </c:pt>
                <c:pt idx="161">
                  <c:v>0.31520979957393219</c:v>
                </c:pt>
                <c:pt idx="162">
                  <c:v>0.28764958142832198</c:v>
                </c:pt>
                <c:pt idx="163">
                  <c:v>0.25489738506230836</c:v>
                </c:pt>
                <c:pt idx="164">
                  <c:v>0.25467923398674452</c:v>
                </c:pt>
                <c:pt idx="165">
                  <c:v>0.28397099180873842</c:v>
                </c:pt>
                <c:pt idx="166">
                  <c:v>0.25100221815672541</c:v>
                </c:pt>
                <c:pt idx="167">
                  <c:v>0.28391182536273768</c:v>
                </c:pt>
                <c:pt idx="168">
                  <c:v>0.25088103362043407</c:v>
                </c:pt>
                <c:pt idx="169">
                  <c:v>0.22052709973522447</c:v>
                </c:pt>
                <c:pt idx="170">
                  <c:v>0.25015107339443698</c:v>
                </c:pt>
                <c:pt idx="171">
                  <c:v>0.28299748708911909</c:v>
                </c:pt>
                <c:pt idx="172">
                  <c:v>0.28284593551814341</c:v>
                </c:pt>
                <c:pt idx="173">
                  <c:v>0.28069096324496473</c:v>
                </c:pt>
                <c:pt idx="174">
                  <c:v>0.33387849823041243</c:v>
                </c:pt>
                <c:pt idx="175">
                  <c:v>0.33390062435369622</c:v>
                </c:pt>
                <c:pt idx="176">
                  <c:v>0.35622497076114035</c:v>
                </c:pt>
                <c:pt idx="177">
                  <c:v>0.35633423706395456</c:v>
                </c:pt>
                <c:pt idx="178">
                  <c:v>0.35489250561464825</c:v>
                </c:pt>
                <c:pt idx="179">
                  <c:v>0.33139268056260768</c:v>
                </c:pt>
                <c:pt idx="180">
                  <c:v>0.33161272059622571</c:v>
                </c:pt>
                <c:pt idx="181">
                  <c:v>0.35489250561464825</c:v>
                </c:pt>
                <c:pt idx="182">
                  <c:v>0.38369257635845216</c:v>
                </c:pt>
                <c:pt idx="183">
                  <c:v>0.32616027597080055</c:v>
                </c:pt>
                <c:pt idx="184">
                  <c:v>0.34980501428845279</c:v>
                </c:pt>
                <c:pt idx="185">
                  <c:v>0.34980501428845279</c:v>
                </c:pt>
                <c:pt idx="186">
                  <c:v>0.34984761232802325</c:v>
                </c:pt>
                <c:pt idx="187">
                  <c:v>0.31880210030046374</c:v>
                </c:pt>
                <c:pt idx="188">
                  <c:v>0.34253304807104173</c:v>
                </c:pt>
                <c:pt idx="189">
                  <c:v>0.37707642116327283</c:v>
                </c:pt>
                <c:pt idx="190">
                  <c:v>0.37707642116327283</c:v>
                </c:pt>
                <c:pt idx="191">
                  <c:v>0.37038222757969602</c:v>
                </c:pt>
                <c:pt idx="192">
                  <c:v>0.36989684152089741</c:v>
                </c:pt>
                <c:pt idx="193">
                  <c:v>0.31156063649874671</c:v>
                </c:pt>
                <c:pt idx="194">
                  <c:v>0.31177385303472149</c:v>
                </c:pt>
                <c:pt idx="195">
                  <c:v>0.32780574578763855</c:v>
                </c:pt>
                <c:pt idx="196">
                  <c:v>0.36218729223083185</c:v>
                </c:pt>
                <c:pt idx="197">
                  <c:v>0.4353898175636014</c:v>
                </c:pt>
                <c:pt idx="198">
                  <c:v>0.46664485443170889</c:v>
                </c:pt>
                <c:pt idx="199">
                  <c:v>0.43532256207051467</c:v>
                </c:pt>
                <c:pt idx="200">
                  <c:v>0.38587687479746474</c:v>
                </c:pt>
                <c:pt idx="201">
                  <c:v>0.38600681959673633</c:v>
                </c:pt>
                <c:pt idx="202">
                  <c:v>0.42814045267369355</c:v>
                </c:pt>
                <c:pt idx="203">
                  <c:v>0.42832938632971174</c:v>
                </c:pt>
                <c:pt idx="204">
                  <c:v>0.45366657462074822</c:v>
                </c:pt>
                <c:pt idx="205">
                  <c:v>0.45307285506276335</c:v>
                </c:pt>
                <c:pt idx="206">
                  <c:v>0.49619277574154708</c:v>
                </c:pt>
                <c:pt idx="207">
                  <c:v>0.49576374351331026</c:v>
                </c:pt>
                <c:pt idx="208">
                  <c:v>0.45361652490457088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47872"/>
        <c:axId val="335012224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348096"/>
        <c:axId val="335014144"/>
      </c:lineChart>
      <c:dateAx>
        <c:axId val="334047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5012224"/>
        <c:crosses val="autoZero"/>
        <c:auto val="1"/>
        <c:lblOffset val="100"/>
        <c:baseTimeUnit val="days"/>
        <c:majorUnit val="6"/>
        <c:majorTimeUnit val="months"/>
      </c:dateAx>
      <c:valAx>
        <c:axId val="335012224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334047872"/>
        <c:crosses val="autoZero"/>
        <c:crossBetween val="between"/>
        <c:majorUnit val="0.2"/>
      </c:valAx>
      <c:valAx>
        <c:axId val="3350141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348096"/>
        <c:crosses val="max"/>
        <c:crossBetween val="between"/>
      </c:valAx>
      <c:dateAx>
        <c:axId val="3353480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501414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PoolRefinancible!$F$2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PoolRefinancible!$F$3:$F$232</c:f>
              <c:numCache>
                <c:formatCode>0%</c:formatCode>
                <c:ptCount val="230"/>
                <c:pt idx="0">
                  <c:v>0.53095286512326811</c:v>
                </c:pt>
                <c:pt idx="1">
                  <c:v>0.53151414802717445</c:v>
                </c:pt>
                <c:pt idx="2">
                  <c:v>0.53128369296391043</c:v>
                </c:pt>
                <c:pt idx="3">
                  <c:v>0.53088486817209324</c:v>
                </c:pt>
                <c:pt idx="4">
                  <c:v>0.45470305131111477</c:v>
                </c:pt>
                <c:pt idx="5">
                  <c:v>0.40745494442377123</c:v>
                </c:pt>
                <c:pt idx="6">
                  <c:v>0.40754568633496746</c:v>
                </c:pt>
                <c:pt idx="7">
                  <c:v>0.45432862067371088</c:v>
                </c:pt>
                <c:pt idx="8">
                  <c:v>0.44537925133640238</c:v>
                </c:pt>
                <c:pt idx="9">
                  <c:v>0.44531343502837423</c:v>
                </c:pt>
                <c:pt idx="10">
                  <c:v>0.50756853544493263</c:v>
                </c:pt>
                <c:pt idx="11">
                  <c:v>0.50709598627705932</c:v>
                </c:pt>
                <c:pt idx="12">
                  <c:v>0.44540607652299313</c:v>
                </c:pt>
                <c:pt idx="13">
                  <c:v>0.43752802947744701</c:v>
                </c:pt>
                <c:pt idx="14">
                  <c:v>0.43743055763305833</c:v>
                </c:pt>
                <c:pt idx="15">
                  <c:v>0.50071367537414391</c:v>
                </c:pt>
                <c:pt idx="16">
                  <c:v>0.50084038538064524</c:v>
                </c:pt>
                <c:pt idx="17">
                  <c:v>0.49619981605913671</c:v>
                </c:pt>
                <c:pt idx="18">
                  <c:v>0.54734510927234215</c:v>
                </c:pt>
                <c:pt idx="19">
                  <c:v>0.54747259610785104</c:v>
                </c:pt>
                <c:pt idx="20">
                  <c:v>0.54749050352200102</c:v>
                </c:pt>
                <c:pt idx="21">
                  <c:v>0.61801719649367404</c:v>
                </c:pt>
                <c:pt idx="22">
                  <c:v>0.61814735042604474</c:v>
                </c:pt>
                <c:pt idx="23">
                  <c:v>0.61809095300776584</c:v>
                </c:pt>
                <c:pt idx="24">
                  <c:v>0.61801719649367404</c:v>
                </c:pt>
                <c:pt idx="25">
                  <c:v>0.61807450623887938</c:v>
                </c:pt>
                <c:pt idx="26">
                  <c:v>0.5369732812748057</c:v>
                </c:pt>
                <c:pt idx="27">
                  <c:v>0.61264472977114681</c:v>
                </c:pt>
                <c:pt idx="28">
                  <c:v>0.61259676686406817</c:v>
                </c:pt>
                <c:pt idx="29">
                  <c:v>0.60542736860140534</c:v>
                </c:pt>
                <c:pt idx="30">
                  <c:v>0.74150202177436741</c:v>
                </c:pt>
                <c:pt idx="31">
                  <c:v>0.84590073793359044</c:v>
                </c:pt>
                <c:pt idx="32">
                  <c:v>0.88586751140233078</c:v>
                </c:pt>
                <c:pt idx="33">
                  <c:v>0.8463192849236576</c:v>
                </c:pt>
                <c:pt idx="34">
                  <c:v>0.84045690434216458</c:v>
                </c:pt>
                <c:pt idx="35">
                  <c:v>0.88186934327029209</c:v>
                </c:pt>
                <c:pt idx="36">
                  <c:v>0.88191978475653932</c:v>
                </c:pt>
                <c:pt idx="37">
                  <c:v>0.88191978475653932</c:v>
                </c:pt>
                <c:pt idx="38">
                  <c:v>0.92481236623397145</c:v>
                </c:pt>
                <c:pt idx="39">
                  <c:v>0.91682101113682013</c:v>
                </c:pt>
                <c:pt idx="40">
                  <c:v>0.87184341688215217</c:v>
                </c:pt>
                <c:pt idx="41">
                  <c:v>0.87184733410546966</c:v>
                </c:pt>
                <c:pt idx="42">
                  <c:v>0.87190767917521173</c:v>
                </c:pt>
                <c:pt idx="43">
                  <c:v>0.90632973266278982</c:v>
                </c:pt>
                <c:pt idx="44">
                  <c:v>0.9063475730739603</c:v>
                </c:pt>
                <c:pt idx="45">
                  <c:v>0.90632973266278982</c:v>
                </c:pt>
                <c:pt idx="46">
                  <c:v>0.90635487345396593</c:v>
                </c:pt>
                <c:pt idx="47">
                  <c:v>0.89703139526962428</c:v>
                </c:pt>
                <c:pt idx="48">
                  <c:v>0.89704903447944062</c:v>
                </c:pt>
                <c:pt idx="49">
                  <c:v>0.89709375429273885</c:v>
                </c:pt>
                <c:pt idx="50">
                  <c:v>0.94137030351529016</c:v>
                </c:pt>
                <c:pt idx="51">
                  <c:v>0.94128842871061857</c:v>
                </c:pt>
                <c:pt idx="52">
                  <c:v>0.93080329806075279</c:v>
                </c:pt>
                <c:pt idx="53">
                  <c:v>0.93090646498108043</c:v>
                </c:pt>
                <c:pt idx="54">
                  <c:v>0.93088678298606131</c:v>
                </c:pt>
                <c:pt idx="55">
                  <c:v>0.88426645621178879</c:v>
                </c:pt>
                <c:pt idx="56">
                  <c:v>0.91360112522716286</c:v>
                </c:pt>
                <c:pt idx="57">
                  <c:v>0.91360112522716286</c:v>
                </c:pt>
                <c:pt idx="58">
                  <c:v>0.91360112522716286</c:v>
                </c:pt>
                <c:pt idx="59">
                  <c:v>0.86453426929410926</c:v>
                </c:pt>
                <c:pt idx="60">
                  <c:v>0.8998965016430206</c:v>
                </c:pt>
                <c:pt idx="61">
                  <c:v>0.89998685767725373</c:v>
                </c:pt>
                <c:pt idx="62">
                  <c:v>0.89987035776157298</c:v>
                </c:pt>
                <c:pt idx="63">
                  <c:v>0.79963025534966692</c:v>
                </c:pt>
                <c:pt idx="64">
                  <c:v>0.84935496597160542</c:v>
                </c:pt>
                <c:pt idx="65">
                  <c:v>0.83420792590434467</c:v>
                </c:pt>
                <c:pt idx="66">
                  <c:v>0.88546928546811865</c:v>
                </c:pt>
                <c:pt idx="67">
                  <c:v>0.88532092394225137</c:v>
                </c:pt>
                <c:pt idx="68">
                  <c:v>0.88546928546811865</c:v>
                </c:pt>
                <c:pt idx="69">
                  <c:v>0.875279554781354</c:v>
                </c:pt>
                <c:pt idx="70">
                  <c:v>0.87534475648983412</c:v>
                </c:pt>
                <c:pt idx="71">
                  <c:v>0.91993589788714725</c:v>
                </c:pt>
                <c:pt idx="72">
                  <c:v>0.91989879371783623</c:v>
                </c:pt>
                <c:pt idx="73">
                  <c:v>0.92005776451854027</c:v>
                </c:pt>
                <c:pt idx="74">
                  <c:v>0.92441254418745433</c:v>
                </c:pt>
                <c:pt idx="75">
                  <c:v>0.90289735225778367</c:v>
                </c:pt>
                <c:pt idx="76">
                  <c:v>0.9244242433615838</c:v>
                </c:pt>
                <c:pt idx="77">
                  <c:v>0.9244242433615838</c:v>
                </c:pt>
                <c:pt idx="78">
                  <c:v>0.91386483587378442</c:v>
                </c:pt>
                <c:pt idx="79">
                  <c:v>0.94968585268042571</c:v>
                </c:pt>
                <c:pt idx="80">
                  <c:v>0.94974571127352658</c:v>
                </c:pt>
                <c:pt idx="81">
                  <c:v>0.95271926668027695</c:v>
                </c:pt>
                <c:pt idx="82">
                  <c:v>0.93570894150236794</c:v>
                </c:pt>
                <c:pt idx="83">
                  <c:v>0.9356798644507448</c:v>
                </c:pt>
                <c:pt idx="84">
                  <c:v>0.89511007451891311</c:v>
                </c:pt>
                <c:pt idx="85">
                  <c:v>0.89495866041217464</c:v>
                </c:pt>
                <c:pt idx="86">
                  <c:v>0.9356798644507448</c:v>
                </c:pt>
                <c:pt idx="87">
                  <c:v>0.921376249797624</c:v>
                </c:pt>
                <c:pt idx="88">
                  <c:v>0.9248916494900683</c:v>
                </c:pt>
                <c:pt idx="89">
                  <c:v>0.92514591669223734</c:v>
                </c:pt>
                <c:pt idx="90">
                  <c:v>0.96960771050923455</c:v>
                </c:pt>
                <c:pt idx="91">
                  <c:v>0.95173821154236116</c:v>
                </c:pt>
                <c:pt idx="92">
                  <c:v>0.9516214910186106</c:v>
                </c:pt>
                <c:pt idx="93">
                  <c:v>0.95171433528773408</c:v>
                </c:pt>
                <c:pt idx="94">
                  <c:v>0.95160314091355924</c:v>
                </c:pt>
                <c:pt idx="95">
                  <c:v>0.92867980817147811</c:v>
                </c:pt>
                <c:pt idx="96">
                  <c:v>0.92867016836240179</c:v>
                </c:pt>
                <c:pt idx="97">
                  <c:v>0.92880125520801771</c:v>
                </c:pt>
                <c:pt idx="98">
                  <c:v>0.95306397070735893</c:v>
                </c:pt>
                <c:pt idx="99">
                  <c:v>0.92879920649220771</c:v>
                </c:pt>
                <c:pt idx="100">
                  <c:v>0.91462867250042379</c:v>
                </c:pt>
                <c:pt idx="101">
                  <c:v>0.94167657117439885</c:v>
                </c:pt>
                <c:pt idx="102">
                  <c:v>0.91459695563417198</c:v>
                </c:pt>
                <c:pt idx="103">
                  <c:v>0.91462311468400781</c:v>
                </c:pt>
                <c:pt idx="104">
                  <c:v>0.89326181251225278</c:v>
                </c:pt>
                <c:pt idx="105">
                  <c:v>0.89311387348630478</c:v>
                </c:pt>
                <c:pt idx="106">
                  <c:v>0.89313594354940329</c:v>
                </c:pt>
                <c:pt idx="107">
                  <c:v>0.89309005512837913</c:v>
                </c:pt>
                <c:pt idx="108">
                  <c:v>0.8331952647990043</c:v>
                </c:pt>
                <c:pt idx="109">
                  <c:v>0.81023525759205761</c:v>
                </c:pt>
                <c:pt idx="110">
                  <c:v>0.81023525759205761</c:v>
                </c:pt>
                <c:pt idx="111">
                  <c:v>0.75933345466765345</c:v>
                </c:pt>
                <c:pt idx="112">
                  <c:v>0.81029528984572785</c:v>
                </c:pt>
                <c:pt idx="113">
                  <c:v>0.78624166702839782</c:v>
                </c:pt>
                <c:pt idx="114">
                  <c:v>0.73111655922691299</c:v>
                </c:pt>
                <c:pt idx="115">
                  <c:v>0.78232504101034894</c:v>
                </c:pt>
                <c:pt idx="116">
                  <c:v>0.73126322983221848</c:v>
                </c:pt>
                <c:pt idx="117">
                  <c:v>0.75888961446246717</c:v>
                </c:pt>
                <c:pt idx="118">
                  <c:v>0.76309932434523087</c:v>
                </c:pt>
                <c:pt idx="119">
                  <c:v>0.82449537522534488</c:v>
                </c:pt>
                <c:pt idx="120">
                  <c:v>0.82447540826292098</c:v>
                </c:pt>
                <c:pt idx="121">
                  <c:v>0.81093209114269571</c:v>
                </c:pt>
                <c:pt idx="122">
                  <c:v>0.81067760043559867</c:v>
                </c:pt>
                <c:pt idx="123">
                  <c:v>0.74620755103308722</c:v>
                </c:pt>
                <c:pt idx="124">
                  <c:v>0.68879869829190365</c:v>
                </c:pt>
                <c:pt idx="125">
                  <c:v>0.60503526915664596</c:v>
                </c:pt>
                <c:pt idx="126">
                  <c:v>0.58039665812793095</c:v>
                </c:pt>
                <c:pt idx="127">
                  <c:v>0.53516783439685534</c:v>
                </c:pt>
                <c:pt idx="128">
                  <c:v>0.5352370883375368</c:v>
                </c:pt>
                <c:pt idx="129">
                  <c:v>0.31802392696495574</c:v>
                </c:pt>
                <c:pt idx="130">
                  <c:v>0.44137433773261886</c:v>
                </c:pt>
                <c:pt idx="131">
                  <c:v>0.30323693087397197</c:v>
                </c:pt>
                <c:pt idx="132">
                  <c:v>0.38224036528758815</c:v>
                </c:pt>
                <c:pt idx="133">
                  <c:v>0.38235673657078234</c:v>
                </c:pt>
                <c:pt idx="134">
                  <c:v>0.366090471734486</c:v>
                </c:pt>
                <c:pt idx="135">
                  <c:v>0.36607182581429965</c:v>
                </c:pt>
                <c:pt idx="136">
                  <c:v>0.36607182581429965</c:v>
                </c:pt>
                <c:pt idx="137">
                  <c:v>0.25066720783636109</c:v>
                </c:pt>
                <c:pt idx="138">
                  <c:v>0.29050117748807303</c:v>
                </c:pt>
                <c:pt idx="139">
                  <c:v>0.27649551668926681</c:v>
                </c:pt>
                <c:pt idx="140">
                  <c:v>0.24165122804318193</c:v>
                </c:pt>
                <c:pt idx="141">
                  <c:v>0.28087782506985004</c:v>
                </c:pt>
                <c:pt idx="142">
                  <c:v>0.41495307542117416</c:v>
                </c:pt>
                <c:pt idx="143">
                  <c:v>0.40987337416034908</c:v>
                </c:pt>
                <c:pt idx="144">
                  <c:v>0.40982657529658695</c:v>
                </c:pt>
                <c:pt idx="145">
                  <c:v>0.40960480873930216</c:v>
                </c:pt>
                <c:pt idx="146">
                  <c:v>0.44702204362509623</c:v>
                </c:pt>
                <c:pt idx="147">
                  <c:v>0.44722315120204531</c:v>
                </c:pt>
                <c:pt idx="148">
                  <c:v>0.44656189112559813</c:v>
                </c:pt>
                <c:pt idx="149">
                  <c:v>0.34376188323838874</c:v>
                </c:pt>
                <c:pt idx="150">
                  <c:v>0.40633426574889947</c:v>
                </c:pt>
                <c:pt idx="151">
                  <c:v>0.40599486098742238</c:v>
                </c:pt>
                <c:pt idx="152">
                  <c:v>0.33663336734019467</c:v>
                </c:pt>
                <c:pt idx="153">
                  <c:v>0.33659925585033085</c:v>
                </c:pt>
                <c:pt idx="154">
                  <c:v>0.26251314123023178</c:v>
                </c:pt>
                <c:pt idx="155">
                  <c:v>0.2624253850951212</c:v>
                </c:pt>
                <c:pt idx="156">
                  <c:v>0.25542920246734474</c:v>
                </c:pt>
                <c:pt idx="157">
                  <c:v>0.25657721618559615</c:v>
                </c:pt>
                <c:pt idx="158">
                  <c:v>0.3304592378060357</c:v>
                </c:pt>
                <c:pt idx="159">
                  <c:v>0.33051418127812865</c:v>
                </c:pt>
                <c:pt idx="160">
                  <c:v>0.39423204709456816</c:v>
                </c:pt>
                <c:pt idx="161">
                  <c:v>0.39101792197108992</c:v>
                </c:pt>
                <c:pt idx="162">
                  <c:v>0.39068366290434636</c:v>
                </c:pt>
                <c:pt idx="163">
                  <c:v>0.32596209420558231</c:v>
                </c:pt>
                <c:pt idx="164">
                  <c:v>0.32584125763891397</c:v>
                </c:pt>
                <c:pt idx="165">
                  <c:v>0.3880906059489676</c:v>
                </c:pt>
                <c:pt idx="166">
                  <c:v>0.32243239988824457</c:v>
                </c:pt>
                <c:pt idx="167">
                  <c:v>0.38803155963126795</c:v>
                </c:pt>
                <c:pt idx="168">
                  <c:v>0.32225376577204623</c:v>
                </c:pt>
                <c:pt idx="169">
                  <c:v>0.31763867857518779</c:v>
                </c:pt>
                <c:pt idx="170">
                  <c:v>0.3179400498756681</c:v>
                </c:pt>
                <c:pt idx="171">
                  <c:v>0.38470598100767872</c:v>
                </c:pt>
                <c:pt idx="172">
                  <c:v>0.38440732841326453</c:v>
                </c:pt>
                <c:pt idx="173">
                  <c:v>0.38059841454921201</c:v>
                </c:pt>
                <c:pt idx="174">
                  <c:v>0.43450609291099734</c:v>
                </c:pt>
                <c:pt idx="175">
                  <c:v>0.43452030184865936</c:v>
                </c:pt>
                <c:pt idx="176">
                  <c:v>0.43535189728112444</c:v>
                </c:pt>
                <c:pt idx="177">
                  <c:v>0.43540610404364999</c:v>
                </c:pt>
                <c:pt idx="178">
                  <c:v>0.43456496283175705</c:v>
                </c:pt>
                <c:pt idx="179">
                  <c:v>0.43354196734760481</c:v>
                </c:pt>
                <c:pt idx="180">
                  <c:v>0.43404253553300182</c:v>
                </c:pt>
                <c:pt idx="181">
                  <c:v>0.43456496283175705</c:v>
                </c:pt>
                <c:pt idx="182">
                  <c:v>0.49845248288256383</c:v>
                </c:pt>
                <c:pt idx="183">
                  <c:v>0.43035217131462522</c:v>
                </c:pt>
                <c:pt idx="184">
                  <c:v>0.43087417454638577</c:v>
                </c:pt>
                <c:pt idx="185">
                  <c:v>0.43087417454638577</c:v>
                </c:pt>
                <c:pt idx="186">
                  <c:v>0.4308956555661862</c:v>
                </c:pt>
                <c:pt idx="187">
                  <c:v>0.42439769838835339</c:v>
                </c:pt>
                <c:pt idx="188">
                  <c:v>0.42491168993334688</c:v>
                </c:pt>
                <c:pt idx="189">
                  <c:v>0.49522669245285544</c:v>
                </c:pt>
                <c:pt idx="190">
                  <c:v>0.49522669245285544</c:v>
                </c:pt>
                <c:pt idx="191">
                  <c:v>0.49109889772075627</c:v>
                </c:pt>
                <c:pt idx="192">
                  <c:v>0.49012736819164349</c:v>
                </c:pt>
                <c:pt idx="193">
                  <c:v>0.41802491804441944</c:v>
                </c:pt>
                <c:pt idx="194">
                  <c:v>0.41850850640907544</c:v>
                </c:pt>
                <c:pt idx="195">
                  <c:v>0.41343470051083375</c:v>
                </c:pt>
                <c:pt idx="196">
                  <c:v>0.48620694744117765</c:v>
                </c:pt>
                <c:pt idx="197">
                  <c:v>0.55255700045884115</c:v>
                </c:pt>
                <c:pt idx="198">
                  <c:v>0.55308845562501008</c:v>
                </c:pt>
                <c:pt idx="199">
                  <c:v>0.55239173073087677</c:v>
                </c:pt>
                <c:pt idx="200">
                  <c:v>0.48321629589156551</c:v>
                </c:pt>
                <c:pt idx="201">
                  <c:v>0.4832857349268318</c:v>
                </c:pt>
                <c:pt idx="202">
                  <c:v>0.5490432943232525</c:v>
                </c:pt>
                <c:pt idx="203">
                  <c:v>0.54924529031688318</c:v>
                </c:pt>
                <c:pt idx="204">
                  <c:v>0.54634536257975941</c:v>
                </c:pt>
                <c:pt idx="205">
                  <c:v>0.54581015855265858</c:v>
                </c:pt>
                <c:pt idx="206">
                  <c:v>0.62551576683628252</c:v>
                </c:pt>
                <c:pt idx="207">
                  <c:v>0.62486343279989665</c:v>
                </c:pt>
                <c:pt idx="208">
                  <c:v>0.54632026447860305</c:v>
                </c:pt>
                <c:pt idx="209">
                  <c:v>0.62197683361271305</c:v>
                </c:pt>
                <c:pt idx="210">
                  <c:v>0.67978466942559534</c:v>
                </c:pt>
                <c:pt idx="211">
                  <c:v>0.67981359258153007</c:v>
                </c:pt>
                <c:pt idx="212">
                  <c:v>0.67978466942559534</c:v>
                </c:pt>
                <c:pt idx="213">
                  <c:v>0.67752750204659062</c:v>
                </c:pt>
                <c:pt idx="214">
                  <c:v>0.676983954566723</c:v>
                </c:pt>
                <c:pt idx="215">
                  <c:v>0.61566859790099082</c:v>
                </c:pt>
                <c:pt idx="216">
                  <c:v>0.6151593401991402</c:v>
                </c:pt>
                <c:pt idx="217">
                  <c:v>0.60677474487423166</c:v>
                </c:pt>
                <c:pt idx="218">
                  <c:v>0.52303888200369164</c:v>
                </c:pt>
                <c:pt idx="219">
                  <c:v>0.60648965415006506</c:v>
                </c:pt>
                <c:pt idx="220">
                  <c:v>0.66948681688726752</c:v>
                </c:pt>
                <c:pt idx="221">
                  <c:v>0.65757284583633613</c:v>
                </c:pt>
                <c:pt idx="222">
                  <c:v>0.65811343479434081</c:v>
                </c:pt>
                <c:pt idx="223">
                  <c:v>0.65789565295070052</c:v>
                </c:pt>
                <c:pt idx="224">
                  <c:v>0.65853359306754533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PoolRefinancible!$G$2</c:f>
              <c:strCache>
                <c:ptCount val="1"/>
                <c:pt idx="0">
                  <c:v>Loan with LLPA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PoolRefinancible!$G$3:$G$232</c:f>
              <c:numCache>
                <c:formatCode>0%</c:formatCode>
                <c:ptCount val="230"/>
                <c:pt idx="0">
                  <c:v>0.28463940721984343</c:v>
                </c:pt>
                <c:pt idx="1">
                  <c:v>0.30326691494252433</c:v>
                </c:pt>
                <c:pt idx="2">
                  <c:v>0.28476877321432642</c:v>
                </c:pt>
                <c:pt idx="3">
                  <c:v>0.2846201863525834</c:v>
                </c:pt>
                <c:pt idx="4">
                  <c:v>0.24193364534957326</c:v>
                </c:pt>
                <c:pt idx="5">
                  <c:v>0.20177712502015799</c:v>
                </c:pt>
                <c:pt idx="6">
                  <c:v>0.21194639619399513</c:v>
                </c:pt>
                <c:pt idx="7">
                  <c:v>0.2296622233105281</c:v>
                </c:pt>
                <c:pt idx="8">
                  <c:v>0.22805396368099012</c:v>
                </c:pt>
                <c:pt idx="9">
                  <c:v>0.22800497750165782</c:v>
                </c:pt>
                <c:pt idx="10">
                  <c:v>0.26952651165647717</c:v>
                </c:pt>
                <c:pt idx="11">
                  <c:v>0.25273332689580402</c:v>
                </c:pt>
                <c:pt idx="12">
                  <c:v>0.22807581848396768</c:v>
                </c:pt>
                <c:pt idx="13">
                  <c:v>0.22629927187952814</c:v>
                </c:pt>
                <c:pt idx="14">
                  <c:v>0.22624072096473111</c:v>
                </c:pt>
                <c:pt idx="15">
                  <c:v>0.2512985264962686</c:v>
                </c:pt>
                <c:pt idx="16">
                  <c:v>0.25137722920486677</c:v>
                </c:pt>
                <c:pt idx="17">
                  <c:v>0.26857330186118961</c:v>
                </c:pt>
                <c:pt idx="18">
                  <c:v>0.32233793721061016</c:v>
                </c:pt>
                <c:pt idx="19">
                  <c:v>0.32249985215715632</c:v>
                </c:pt>
                <c:pt idx="20">
                  <c:v>0.32256622584809336</c:v>
                </c:pt>
                <c:pt idx="21">
                  <c:v>0.36014914447868307</c:v>
                </c:pt>
                <c:pt idx="22">
                  <c:v>0.38598811063501398</c:v>
                </c:pt>
                <c:pt idx="23">
                  <c:v>0.38593747737545009</c:v>
                </c:pt>
                <c:pt idx="24">
                  <c:v>0.36014914447868307</c:v>
                </c:pt>
                <c:pt idx="25">
                  <c:v>0.38497887844636058</c:v>
                </c:pt>
                <c:pt idx="26">
                  <c:v>0.32091685059597075</c:v>
                </c:pt>
                <c:pt idx="27">
                  <c:v>0.383025601933284</c:v>
                </c:pt>
                <c:pt idx="28">
                  <c:v>0.35799853895589562</c:v>
                </c:pt>
                <c:pt idx="29">
                  <c:v>0.35662695643050035</c:v>
                </c:pt>
                <c:pt idx="30">
                  <c:v>0.44152388004450221</c:v>
                </c:pt>
                <c:pt idx="31">
                  <c:v>0.56283322937311075</c:v>
                </c:pt>
                <c:pt idx="32">
                  <c:v>0.65725120433713646</c:v>
                </c:pt>
                <c:pt idx="33">
                  <c:v>0.60423363209899439</c:v>
                </c:pt>
                <c:pt idx="34">
                  <c:v>0.60140715225984098</c:v>
                </c:pt>
                <c:pt idx="35">
                  <c:v>0.67983551896838756</c:v>
                </c:pt>
                <c:pt idx="36">
                  <c:v>0.67993486944126125</c:v>
                </c:pt>
                <c:pt idx="37">
                  <c:v>0.67993486944126125</c:v>
                </c:pt>
                <c:pt idx="38">
                  <c:v>0.73138364057558247</c:v>
                </c:pt>
                <c:pt idx="39">
                  <c:v>0.71899866001218793</c:v>
                </c:pt>
                <c:pt idx="40">
                  <c:v>0.6410959583633683</c:v>
                </c:pt>
                <c:pt idx="41">
                  <c:v>0.66581224062715683</c:v>
                </c:pt>
                <c:pt idx="42">
                  <c:v>0.66595295657278242</c:v>
                </c:pt>
                <c:pt idx="43">
                  <c:v>0.70392552647182693</c:v>
                </c:pt>
                <c:pt idx="44">
                  <c:v>0.70394618436594358</c:v>
                </c:pt>
                <c:pt idx="45">
                  <c:v>0.70392552647182693</c:v>
                </c:pt>
                <c:pt idx="46">
                  <c:v>0.70396661640219049</c:v>
                </c:pt>
                <c:pt idx="47">
                  <c:v>0.69000379241839993</c:v>
                </c:pt>
                <c:pt idx="48">
                  <c:v>0.69002399417324023</c:v>
                </c:pt>
                <c:pt idx="49">
                  <c:v>0.69007408458163666</c:v>
                </c:pt>
                <c:pt idx="50">
                  <c:v>0.72186451896875248</c:v>
                </c:pt>
                <c:pt idx="51">
                  <c:v>0.72167534304727499</c:v>
                </c:pt>
                <c:pt idx="52">
                  <c:v>0.70942160362842166</c:v>
                </c:pt>
                <c:pt idx="53">
                  <c:v>0.71029190543434573</c:v>
                </c:pt>
                <c:pt idx="54">
                  <c:v>0.70950341028365815</c:v>
                </c:pt>
                <c:pt idx="55">
                  <c:v>0.6768466690798014</c:v>
                </c:pt>
                <c:pt idx="56">
                  <c:v>0.691794492463359</c:v>
                </c:pt>
                <c:pt idx="57">
                  <c:v>0.691794492463359</c:v>
                </c:pt>
                <c:pt idx="58">
                  <c:v>0.691794492463359</c:v>
                </c:pt>
                <c:pt idx="59">
                  <c:v>0.65880324187098283</c:v>
                </c:pt>
                <c:pt idx="60">
                  <c:v>0.6768042748029276</c:v>
                </c:pt>
                <c:pt idx="61">
                  <c:v>0.67687616474817947</c:v>
                </c:pt>
                <c:pt idx="62">
                  <c:v>0.67666690882866454</c:v>
                </c:pt>
                <c:pt idx="63">
                  <c:v>0.59032138856351324</c:v>
                </c:pt>
                <c:pt idx="64">
                  <c:v>0.64352631185007236</c:v>
                </c:pt>
                <c:pt idx="65">
                  <c:v>0.64723923967041441</c:v>
                </c:pt>
                <c:pt idx="66">
                  <c:v>0.70114627754493941</c:v>
                </c:pt>
                <c:pt idx="67">
                  <c:v>0.68067991850220211</c:v>
                </c:pt>
                <c:pt idx="68">
                  <c:v>0.70114627754493941</c:v>
                </c:pt>
                <c:pt idx="69">
                  <c:v>0.70888791690843067</c:v>
                </c:pt>
                <c:pt idx="70">
                  <c:v>0.70900581341869928</c:v>
                </c:pt>
                <c:pt idx="71">
                  <c:v>0.74206222053219018</c:v>
                </c:pt>
                <c:pt idx="72">
                  <c:v>0.74198992424051435</c:v>
                </c:pt>
                <c:pt idx="73">
                  <c:v>0.74214259096899848</c:v>
                </c:pt>
                <c:pt idx="74">
                  <c:v>0.78454877297076475</c:v>
                </c:pt>
                <c:pt idx="75">
                  <c:v>0.76165437928870827</c:v>
                </c:pt>
                <c:pt idx="76">
                  <c:v>0.78458904121756523</c:v>
                </c:pt>
                <c:pt idx="77">
                  <c:v>0.78458904121756523</c:v>
                </c:pt>
                <c:pt idx="78">
                  <c:v>0.7787052272593904</c:v>
                </c:pt>
                <c:pt idx="79">
                  <c:v>0.81145553697323414</c:v>
                </c:pt>
                <c:pt idx="80">
                  <c:v>0.81152752487539104</c:v>
                </c:pt>
                <c:pt idx="81">
                  <c:v>0.8279869924203217</c:v>
                </c:pt>
                <c:pt idx="82">
                  <c:v>0.79821644612468112</c:v>
                </c:pt>
                <c:pt idx="83">
                  <c:v>0.79815390760264004</c:v>
                </c:pt>
                <c:pt idx="84">
                  <c:v>0.77767208811206812</c:v>
                </c:pt>
                <c:pt idx="85">
                  <c:v>0.76370064895501943</c:v>
                </c:pt>
                <c:pt idx="86">
                  <c:v>0.79815390760264004</c:v>
                </c:pt>
                <c:pt idx="87">
                  <c:v>0.78544987095574126</c:v>
                </c:pt>
                <c:pt idx="88">
                  <c:v>0.78635808843680277</c:v>
                </c:pt>
                <c:pt idx="89">
                  <c:v>0.80445044367527219</c:v>
                </c:pt>
                <c:pt idx="90">
                  <c:v>0.85572735211332496</c:v>
                </c:pt>
                <c:pt idx="91">
                  <c:v>0.8367994340061099</c:v>
                </c:pt>
                <c:pt idx="92">
                  <c:v>0.81647343463882882</c:v>
                </c:pt>
                <c:pt idx="93">
                  <c:v>0.8364537448796312</c:v>
                </c:pt>
                <c:pt idx="94">
                  <c:v>0.8143557568992531</c:v>
                </c:pt>
                <c:pt idx="95">
                  <c:v>0.7903315811871281</c:v>
                </c:pt>
                <c:pt idx="96">
                  <c:v>0.78941596065900443</c:v>
                </c:pt>
                <c:pt idx="97">
                  <c:v>0.81158702805411931</c:v>
                </c:pt>
                <c:pt idx="98">
                  <c:v>0.83732764249868441</c:v>
                </c:pt>
                <c:pt idx="99">
                  <c:v>0.81158050245553093</c:v>
                </c:pt>
                <c:pt idx="100">
                  <c:v>0.79819422857128408</c:v>
                </c:pt>
                <c:pt idx="101">
                  <c:v>0.82430398544770933</c:v>
                </c:pt>
                <c:pt idx="102">
                  <c:v>0.79805276253561475</c:v>
                </c:pt>
                <c:pt idx="103">
                  <c:v>0.79817901661119839</c:v>
                </c:pt>
                <c:pt idx="104">
                  <c:v>0.77903280650246454</c:v>
                </c:pt>
                <c:pt idx="105">
                  <c:v>0.75573593713546339</c:v>
                </c:pt>
                <c:pt idx="106">
                  <c:v>0.7782961731296214</c:v>
                </c:pt>
                <c:pt idx="107">
                  <c:v>0.75445743013165401</c:v>
                </c:pt>
                <c:pt idx="108">
                  <c:v>0.70069200359610684</c:v>
                </c:pt>
                <c:pt idx="109">
                  <c:v>0.68066390920056685</c:v>
                </c:pt>
                <c:pt idx="110">
                  <c:v>0.68066390920056685</c:v>
                </c:pt>
                <c:pt idx="111">
                  <c:v>0.65848868988278741</c:v>
                </c:pt>
                <c:pt idx="112">
                  <c:v>0.68073059983518691</c:v>
                </c:pt>
                <c:pt idx="113">
                  <c:v>0.65724986454914325</c:v>
                </c:pt>
                <c:pt idx="114">
                  <c:v>0.62014045099909187</c:v>
                </c:pt>
                <c:pt idx="115">
                  <c:v>0.6562686953452237</c:v>
                </c:pt>
                <c:pt idx="116">
                  <c:v>0.63433556022178206</c:v>
                </c:pt>
                <c:pt idx="117">
                  <c:v>0.64025888760919014</c:v>
                </c:pt>
                <c:pt idx="118">
                  <c:v>0.6637730812462096</c:v>
                </c:pt>
                <c:pt idx="119">
                  <c:v>0.695622626584674</c:v>
                </c:pt>
                <c:pt idx="120">
                  <c:v>0.69553149400315528</c:v>
                </c:pt>
                <c:pt idx="121">
                  <c:v>0.71409535481591846</c:v>
                </c:pt>
                <c:pt idx="122">
                  <c:v>0.68515952942868741</c:v>
                </c:pt>
                <c:pt idx="123">
                  <c:v>0.6494790290250736</c:v>
                </c:pt>
                <c:pt idx="124">
                  <c:v>0.6051404208222666</c:v>
                </c:pt>
                <c:pt idx="125">
                  <c:v>0.52721345464386349</c:v>
                </c:pt>
                <c:pt idx="126">
                  <c:v>0.4891944540160782</c:v>
                </c:pt>
                <c:pt idx="127">
                  <c:v>0.46639665698988902</c:v>
                </c:pt>
                <c:pt idx="128">
                  <c:v>0.46645564331496181</c:v>
                </c:pt>
                <c:pt idx="129">
                  <c:v>0.24762221189085226</c:v>
                </c:pt>
                <c:pt idx="130">
                  <c:v>0.34116092459322267</c:v>
                </c:pt>
                <c:pt idx="131">
                  <c:v>0.21925196921871176</c:v>
                </c:pt>
                <c:pt idx="132">
                  <c:v>0.30618919991705607</c:v>
                </c:pt>
                <c:pt idx="133">
                  <c:v>0.30641559236172644</c:v>
                </c:pt>
                <c:pt idx="134">
                  <c:v>0.26247242102513602</c:v>
                </c:pt>
                <c:pt idx="135">
                  <c:v>0.26232322891763199</c:v>
                </c:pt>
                <c:pt idx="136">
                  <c:v>0.26232322891763199</c:v>
                </c:pt>
                <c:pt idx="137">
                  <c:v>0.1931798913236967</c:v>
                </c:pt>
                <c:pt idx="138">
                  <c:v>0.22914742259420434</c:v>
                </c:pt>
                <c:pt idx="139">
                  <c:v>0.20407660990880219</c:v>
                </c:pt>
                <c:pt idx="140">
                  <c:v>0.18764355995817586</c:v>
                </c:pt>
                <c:pt idx="141">
                  <c:v>0.2238872135619516</c:v>
                </c:pt>
                <c:pt idx="142">
                  <c:v>0.32122402612001461</c:v>
                </c:pt>
                <c:pt idx="143">
                  <c:v>0.34307700444970379</c:v>
                </c:pt>
                <c:pt idx="144">
                  <c:v>0.34303969168913079</c:v>
                </c:pt>
                <c:pt idx="145">
                  <c:v>0.31440034261436189</c:v>
                </c:pt>
                <c:pt idx="146">
                  <c:v>0.36543320460755224</c:v>
                </c:pt>
                <c:pt idx="147">
                  <c:v>0.38400936708573585</c:v>
                </c:pt>
                <c:pt idx="148">
                  <c:v>0.36033789770283325</c:v>
                </c:pt>
                <c:pt idx="149">
                  <c:v>0.27485742228516102</c:v>
                </c:pt>
                <c:pt idx="150">
                  <c:v>0.33691055631393624</c:v>
                </c:pt>
                <c:pt idx="151">
                  <c:v>0.30831604608005586</c:v>
                </c:pt>
                <c:pt idx="152">
                  <c:v>0.23676117392553889</c:v>
                </c:pt>
                <c:pt idx="153">
                  <c:v>0.23671874324760347</c:v>
                </c:pt>
                <c:pt idx="154">
                  <c:v>0.20585084911050922</c:v>
                </c:pt>
                <c:pt idx="155">
                  <c:v>0.20580376248650398</c:v>
                </c:pt>
                <c:pt idx="156">
                  <c:v>0.18277167291557561</c:v>
                </c:pt>
                <c:pt idx="157">
                  <c:v>0.1995598708648329</c:v>
                </c:pt>
                <c:pt idx="158">
                  <c:v>0.23136337362836862</c:v>
                </c:pt>
                <c:pt idx="159">
                  <c:v>0.23169665097660838</c:v>
                </c:pt>
                <c:pt idx="160">
                  <c:v>0.29474577349870773</c:v>
                </c:pt>
                <c:pt idx="161">
                  <c:v>0.31761815233915819</c:v>
                </c:pt>
                <c:pt idx="162">
                  <c:v>0.28995938501376983</c:v>
                </c:pt>
                <c:pt idx="163">
                  <c:v>0.25704564753531173</c:v>
                </c:pt>
                <c:pt idx="164">
                  <c:v>0.25682661220400127</c:v>
                </c:pt>
                <c:pt idx="165">
                  <c:v>0.2862432263746571</c:v>
                </c:pt>
                <c:pt idx="166">
                  <c:v>0.25311362033574425</c:v>
                </c:pt>
                <c:pt idx="167">
                  <c:v>0.28618346079129836</c:v>
                </c:pt>
                <c:pt idx="168">
                  <c:v>0.2529912660652664</c:v>
                </c:pt>
                <c:pt idx="169">
                  <c:v>0.22226173892798851</c:v>
                </c:pt>
                <c:pt idx="170">
                  <c:v>0.25193488777281597</c:v>
                </c:pt>
                <c:pt idx="171">
                  <c:v>0.28486963190417852</c:v>
                </c:pt>
                <c:pt idx="172">
                  <c:v>0.2847162826216843</c:v>
                </c:pt>
                <c:pt idx="173">
                  <c:v>0.28231972736522121</c:v>
                </c:pt>
                <c:pt idx="174">
                  <c:v>0.33562728951290161</c:v>
                </c:pt>
                <c:pt idx="175">
                  <c:v>0.33564994150270799</c:v>
                </c:pt>
                <c:pt idx="176">
                  <c:v>0.35800907395487891</c:v>
                </c:pt>
                <c:pt idx="177">
                  <c:v>0.35811856180138385</c:v>
                </c:pt>
                <c:pt idx="178">
                  <c:v>0.35629539343759348</c:v>
                </c:pt>
                <c:pt idx="179">
                  <c:v>0.33276240912323568</c:v>
                </c:pt>
                <c:pt idx="180">
                  <c:v>0.33298320890646194</c:v>
                </c:pt>
                <c:pt idx="181">
                  <c:v>0.35629539343759348</c:v>
                </c:pt>
                <c:pt idx="182">
                  <c:v>0.38510975967739758</c:v>
                </c:pt>
                <c:pt idx="183">
                  <c:v>0.32741444023701044</c:v>
                </c:pt>
                <c:pt idx="184">
                  <c:v>0.35110266556174058</c:v>
                </c:pt>
                <c:pt idx="185">
                  <c:v>0.35110266556174058</c:v>
                </c:pt>
                <c:pt idx="186">
                  <c:v>0.35114526360131104</c:v>
                </c:pt>
                <c:pt idx="187">
                  <c:v>0.3199331729306169</c:v>
                </c:pt>
                <c:pt idx="188">
                  <c:v>0.34372390880739873</c:v>
                </c:pt>
                <c:pt idx="189">
                  <c:v>0.37842109522047007</c:v>
                </c:pt>
                <c:pt idx="190">
                  <c:v>0.37842109522047007</c:v>
                </c:pt>
                <c:pt idx="191">
                  <c:v>0.37165910285507714</c:v>
                </c:pt>
                <c:pt idx="192">
                  <c:v>0.3711734763292962</c:v>
                </c:pt>
                <c:pt idx="193">
                  <c:v>0.31262849116425834</c:v>
                </c:pt>
                <c:pt idx="194">
                  <c:v>0.31284206209860954</c:v>
                </c:pt>
                <c:pt idx="195">
                  <c:v>0.32898554801574148</c:v>
                </c:pt>
                <c:pt idx="196">
                  <c:v>0.36357043577417181</c:v>
                </c:pt>
                <c:pt idx="197">
                  <c:v>0.43716239568675586</c:v>
                </c:pt>
                <c:pt idx="198">
                  <c:v>0.46855719956108682</c:v>
                </c:pt>
                <c:pt idx="199">
                  <c:v>0.43709492816271001</c:v>
                </c:pt>
                <c:pt idx="200">
                  <c:v>0.38755454680533724</c:v>
                </c:pt>
                <c:pt idx="201">
                  <c:v>0.3876856076600298</c:v>
                </c:pt>
                <c:pt idx="202">
                  <c:v>0.43020815046617</c:v>
                </c:pt>
                <c:pt idx="203">
                  <c:v>0.43039904065227119</c:v>
                </c:pt>
                <c:pt idx="204">
                  <c:v>0.45628100373039499</c:v>
                </c:pt>
                <c:pt idx="205">
                  <c:v>0.45567894153433269</c:v>
                </c:pt>
                <c:pt idx="206">
                  <c:v>0.49932545547497792</c:v>
                </c:pt>
                <c:pt idx="207">
                  <c:v>0.49889277729006254</c:v>
                </c:pt>
                <c:pt idx="208">
                  <c:v>0.45623015728134225</c:v>
                </c:pt>
                <c:pt idx="209">
                  <c:v>0.52521506611823021</c:v>
                </c:pt>
                <c:pt idx="210">
                  <c:v>0.59589441419972755</c:v>
                </c:pt>
                <c:pt idx="211">
                  <c:v>0.59596808480105368</c:v>
                </c:pt>
                <c:pt idx="212">
                  <c:v>0.59589441419972755</c:v>
                </c:pt>
                <c:pt idx="213">
                  <c:v>0.59044174111366599</c:v>
                </c:pt>
                <c:pt idx="214">
                  <c:v>0.56093530260459656</c:v>
                </c:pt>
                <c:pt idx="215">
                  <c:v>0.51672469270397592</c:v>
                </c:pt>
                <c:pt idx="216">
                  <c:v>0.48350846650958634</c:v>
                </c:pt>
                <c:pt idx="217">
                  <c:v>0.50718342258638915</c:v>
                </c:pt>
                <c:pt idx="218">
                  <c:v>0.43124435584172754</c:v>
                </c:pt>
                <c:pt idx="219">
                  <c:v>0.50666988212578556</c:v>
                </c:pt>
                <c:pt idx="220">
                  <c:v>0.55138762509375627</c:v>
                </c:pt>
                <c:pt idx="221">
                  <c:v>0.53682243639344718</c:v>
                </c:pt>
                <c:pt idx="222">
                  <c:v>0.56624534907007407</c:v>
                </c:pt>
                <c:pt idx="223">
                  <c:v>0.5369178318662613</c:v>
                </c:pt>
                <c:pt idx="224">
                  <c:v>0.56669393867683882</c:v>
                </c:pt>
                <c:pt idx="225">
                  <c:v>0.53705791563411454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392128"/>
        <c:axId val="335402112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10304"/>
        <c:axId val="335404032"/>
      </c:lineChart>
      <c:dateAx>
        <c:axId val="335392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5402112"/>
        <c:crosses val="autoZero"/>
        <c:auto val="1"/>
        <c:lblOffset val="100"/>
        <c:baseTimeUnit val="days"/>
        <c:majorUnit val="6"/>
        <c:majorTimeUnit val="months"/>
      </c:dateAx>
      <c:valAx>
        <c:axId val="33540211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335392128"/>
        <c:crosses val="autoZero"/>
        <c:crossBetween val="between"/>
        <c:majorUnit val="0.2"/>
      </c:valAx>
      <c:valAx>
        <c:axId val="3354040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410304"/>
        <c:crosses val="max"/>
        <c:crossBetween val="between"/>
      </c:valAx>
      <c:dateAx>
        <c:axId val="3354103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540403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PoolRefinancible!$C$2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PoolRefinancible!$C$3:$C$232</c:f>
              <c:numCache>
                <c:formatCode>0.00%</c:formatCode>
                <c:ptCount val="230"/>
                <c:pt idx="0">
                  <c:v>0.6255950207246429</c:v>
                </c:pt>
                <c:pt idx="1">
                  <c:v>0.63000788176738898</c:v>
                </c:pt>
                <c:pt idx="2">
                  <c:v>0.6274107117936687</c:v>
                </c:pt>
                <c:pt idx="3">
                  <c:v>0.62506508170892505</c:v>
                </c:pt>
                <c:pt idx="4">
                  <c:v>0.59973806040791378</c:v>
                </c:pt>
                <c:pt idx="5">
                  <c:v>0.48908058292459539</c:v>
                </c:pt>
                <c:pt idx="6">
                  <c:v>0.50758567670351107</c:v>
                </c:pt>
                <c:pt idx="7">
                  <c:v>0.56804474997330101</c:v>
                </c:pt>
                <c:pt idx="8">
                  <c:v>0.58663499506814298</c:v>
                </c:pt>
                <c:pt idx="9">
                  <c:v>0.5845791305589787</c:v>
                </c:pt>
                <c:pt idx="10">
                  <c:v>0.60527953850446525</c:v>
                </c:pt>
                <c:pt idx="11">
                  <c:v>0.60223580840398516</c:v>
                </c:pt>
                <c:pt idx="12">
                  <c:v>0.58766164015506672</c:v>
                </c:pt>
                <c:pt idx="13">
                  <c:v>0.57929953045895977</c:v>
                </c:pt>
                <c:pt idx="14">
                  <c:v>0.57522538646897203</c:v>
                </c:pt>
                <c:pt idx="15">
                  <c:v>0.59615160279512802</c:v>
                </c:pt>
                <c:pt idx="16">
                  <c:v>0.5974089494257403</c:v>
                </c:pt>
                <c:pt idx="17">
                  <c:v>0.59724544574376981</c:v>
                </c:pt>
                <c:pt idx="18">
                  <c:v>0.61082990045260388</c:v>
                </c:pt>
                <c:pt idx="19">
                  <c:v>0.61849820952818579</c:v>
                </c:pt>
                <c:pt idx="20">
                  <c:v>0.62365510807241908</c:v>
                </c:pt>
                <c:pt idx="21">
                  <c:v>0.68061413057737541</c:v>
                </c:pt>
                <c:pt idx="22">
                  <c:v>0.7307446198335974</c:v>
                </c:pt>
                <c:pt idx="23">
                  <c:v>0.71119905794276284</c:v>
                </c:pt>
                <c:pt idx="24">
                  <c:v>0.68061413057737541</c:v>
                </c:pt>
                <c:pt idx="25">
                  <c:v>0.69873775780573066</c:v>
                </c:pt>
                <c:pt idx="26">
                  <c:v>0.61259135853963087</c:v>
                </c:pt>
                <c:pt idx="27">
                  <c:v>0.69302456737828066</c:v>
                </c:pt>
                <c:pt idx="28">
                  <c:v>0.67956391613327316</c:v>
                </c:pt>
                <c:pt idx="29">
                  <c:v>0.6276351058238383</c:v>
                </c:pt>
                <c:pt idx="30">
                  <c:v>0.82203491250504035</c:v>
                </c:pt>
                <c:pt idx="31">
                  <c:v>0.86615921529099282</c:v>
                </c:pt>
                <c:pt idx="32">
                  <c:v>0.89405364982066748</c:v>
                </c:pt>
                <c:pt idx="33">
                  <c:v>0.88245505880803987</c:v>
                </c:pt>
                <c:pt idx="34">
                  <c:v>0.87705195212425147</c:v>
                </c:pt>
                <c:pt idx="35">
                  <c:v>0.89913652458151405</c:v>
                </c:pt>
                <c:pt idx="36">
                  <c:v>0.91573810007808687</c:v>
                </c:pt>
                <c:pt idx="37">
                  <c:v>0.91573810007808687</c:v>
                </c:pt>
                <c:pt idx="38">
                  <c:v>0.95119204448607597</c:v>
                </c:pt>
                <c:pt idx="39">
                  <c:v>0.9606311457825103</c:v>
                </c:pt>
                <c:pt idx="40">
                  <c:v>0.88319294867091491</c:v>
                </c:pt>
                <c:pt idx="41">
                  <c:v>0.88612166598921127</c:v>
                </c:pt>
                <c:pt idx="42">
                  <c:v>0.89034422301999483</c:v>
                </c:pt>
                <c:pt idx="43">
                  <c:v>0.94066080506408445</c:v>
                </c:pt>
                <c:pt idx="44">
                  <c:v>0.94307267216913626</c:v>
                </c:pt>
                <c:pt idx="45">
                  <c:v>0.94066080506408445</c:v>
                </c:pt>
                <c:pt idx="46">
                  <c:v>0.94548210621178497</c:v>
                </c:pt>
                <c:pt idx="47">
                  <c:v>0.93350677700053231</c:v>
                </c:pt>
                <c:pt idx="48">
                  <c:v>0.9360479648360801</c:v>
                </c:pt>
                <c:pt idx="49">
                  <c:v>0.94651897141040553</c:v>
                </c:pt>
                <c:pt idx="50">
                  <c:v>0.96812599238425934</c:v>
                </c:pt>
                <c:pt idx="51">
                  <c:v>0.95812187386283387</c:v>
                </c:pt>
                <c:pt idx="52">
                  <c:v>0.95589794777414239</c:v>
                </c:pt>
                <c:pt idx="53">
                  <c:v>0.96253398235989307</c:v>
                </c:pt>
                <c:pt idx="54">
                  <c:v>0.96144007933003084</c:v>
                </c:pt>
                <c:pt idx="55">
                  <c:v>0.92928464922708942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0.94780035153366171</c:v>
                </c:pt>
                <c:pt idx="59">
                  <c:v>0.9162603145709336</c:v>
                </c:pt>
                <c:pt idx="60">
                  <c:v>0.93168768578717942</c:v>
                </c:pt>
                <c:pt idx="61">
                  <c:v>0.93565091374934095</c:v>
                </c:pt>
                <c:pt idx="62">
                  <c:v>0.9253574941172088</c:v>
                </c:pt>
                <c:pt idx="63">
                  <c:v>0.84016392200752299</c:v>
                </c:pt>
                <c:pt idx="64">
                  <c:v>0.89961658130696354</c:v>
                </c:pt>
                <c:pt idx="65">
                  <c:v>0.89066045096691271</c:v>
                </c:pt>
                <c:pt idx="66">
                  <c:v>0.92489295272966243</c:v>
                </c:pt>
                <c:pt idx="67">
                  <c:v>0.91943111271663436</c:v>
                </c:pt>
                <c:pt idx="68">
                  <c:v>0.92489295272966243</c:v>
                </c:pt>
                <c:pt idx="69">
                  <c:v>0.9184275299690029</c:v>
                </c:pt>
                <c:pt idx="70">
                  <c:v>0.92108968175982231</c:v>
                </c:pt>
                <c:pt idx="71">
                  <c:v>0.9251386776980256</c:v>
                </c:pt>
                <c:pt idx="72">
                  <c:v>0.92490784089213363</c:v>
                </c:pt>
                <c:pt idx="73">
                  <c:v>0.92737244747575076</c:v>
                </c:pt>
                <c:pt idx="74">
                  <c:v>0.92420561533920875</c:v>
                </c:pt>
                <c:pt idx="75">
                  <c:v>0.91572705192015491</c:v>
                </c:pt>
                <c:pt idx="76">
                  <c:v>0.92561973142284837</c:v>
                </c:pt>
                <c:pt idx="77">
                  <c:v>0.92561973142284837</c:v>
                </c:pt>
                <c:pt idx="78">
                  <c:v>0.91777188154396527</c:v>
                </c:pt>
                <c:pt idx="79">
                  <c:v>0.95771777043064987</c:v>
                </c:pt>
                <c:pt idx="80">
                  <c:v>0.97173459822761488</c:v>
                </c:pt>
                <c:pt idx="81">
                  <c:v>0.9879859476046281</c:v>
                </c:pt>
                <c:pt idx="82">
                  <c:v>0.94860016725439644</c:v>
                </c:pt>
                <c:pt idx="83">
                  <c:v>0.93912504488962867</c:v>
                </c:pt>
                <c:pt idx="84">
                  <c:v>0.91585834932586352</c:v>
                </c:pt>
                <c:pt idx="85">
                  <c:v>0.89726467039347879</c:v>
                </c:pt>
                <c:pt idx="86">
                  <c:v>0.93912504488962867</c:v>
                </c:pt>
                <c:pt idx="87">
                  <c:v>0.93507497659257821</c:v>
                </c:pt>
                <c:pt idx="88">
                  <c:v>0.95218594305554205</c:v>
                </c:pt>
                <c:pt idx="89">
                  <c:v>0.97677569556161481</c:v>
                </c:pt>
                <c:pt idx="90">
                  <c:v>0.98215736625125771</c:v>
                </c:pt>
                <c:pt idx="91">
                  <c:v>0.9656367235551897</c:v>
                </c:pt>
                <c:pt idx="92">
                  <c:v>0.96496302153371782</c:v>
                </c:pt>
                <c:pt idx="93">
                  <c:v>0.96513273767789598</c:v>
                </c:pt>
                <c:pt idx="94">
                  <c:v>0.96430526526940574</c:v>
                </c:pt>
                <c:pt idx="95">
                  <c:v>0.9417870827834891</c:v>
                </c:pt>
                <c:pt idx="96">
                  <c:v>0.94144507517949372</c:v>
                </c:pt>
                <c:pt idx="97">
                  <c:v>0.94302774958051128</c:v>
                </c:pt>
                <c:pt idx="98">
                  <c:v>0.94449503233862075</c:v>
                </c:pt>
                <c:pt idx="99">
                  <c:v>0.94301120100798697</c:v>
                </c:pt>
                <c:pt idx="100">
                  <c:v>0.93075358283087861</c:v>
                </c:pt>
                <c:pt idx="101">
                  <c:v>0.93208248912063707</c:v>
                </c:pt>
                <c:pt idx="102">
                  <c:v>0.92997912524281168</c:v>
                </c:pt>
                <c:pt idx="103">
                  <c:v>0.93054356216073064</c:v>
                </c:pt>
                <c:pt idx="104">
                  <c:v>0.91144412210822534</c:v>
                </c:pt>
                <c:pt idx="105">
                  <c:v>0.90823329404202158</c:v>
                </c:pt>
                <c:pt idx="106">
                  <c:v>0.9101068245904016</c:v>
                </c:pt>
                <c:pt idx="107">
                  <c:v>0.90718629343553325</c:v>
                </c:pt>
                <c:pt idx="108">
                  <c:v>0.87062322481214993</c:v>
                </c:pt>
                <c:pt idx="109">
                  <c:v>0.83260800876880436</c:v>
                </c:pt>
                <c:pt idx="110">
                  <c:v>0.83260800876880436</c:v>
                </c:pt>
                <c:pt idx="111">
                  <c:v>0.80439090654511258</c:v>
                </c:pt>
                <c:pt idx="112">
                  <c:v>0.84718356345388168</c:v>
                </c:pt>
                <c:pt idx="113">
                  <c:v>0.83402921086925264</c:v>
                </c:pt>
                <c:pt idx="114">
                  <c:v>0.75039921033204837</c:v>
                </c:pt>
                <c:pt idx="115">
                  <c:v>0.79786665858318839</c:v>
                </c:pt>
                <c:pt idx="116">
                  <c:v>0.77419688278908672</c:v>
                </c:pt>
                <c:pt idx="117">
                  <c:v>0.77632411843120308</c:v>
                </c:pt>
                <c:pt idx="118">
                  <c:v>0.83647062776494652</c:v>
                </c:pt>
                <c:pt idx="119">
                  <c:v>0.84326459833377376</c:v>
                </c:pt>
                <c:pt idx="120">
                  <c:v>0.84251881732270073</c:v>
                </c:pt>
                <c:pt idx="121">
                  <c:v>0.83592695906500303</c:v>
                </c:pt>
                <c:pt idx="122">
                  <c:v>0.82847793276947834</c:v>
                </c:pt>
                <c:pt idx="123">
                  <c:v>0.80144782202367137</c:v>
                </c:pt>
                <c:pt idx="124">
                  <c:v>0.73856242915400727</c:v>
                </c:pt>
                <c:pt idx="125">
                  <c:v>0.67369650735217201</c:v>
                </c:pt>
                <c:pt idx="126">
                  <c:v>0.64286297380273072</c:v>
                </c:pt>
                <c:pt idx="127">
                  <c:v>0.61407900191108244</c:v>
                </c:pt>
                <c:pt idx="128">
                  <c:v>0.62890082024771521</c:v>
                </c:pt>
                <c:pt idx="129">
                  <c:v>0.42759723325368659</c:v>
                </c:pt>
                <c:pt idx="130">
                  <c:v>0.49671929032153261</c:v>
                </c:pt>
                <c:pt idx="131">
                  <c:v>0.37039238508200317</c:v>
                </c:pt>
                <c:pt idx="132">
                  <c:v>0.48324024921027042</c:v>
                </c:pt>
                <c:pt idx="133">
                  <c:v>0.48940474844938586</c:v>
                </c:pt>
                <c:pt idx="134">
                  <c:v>0.46118442865629727</c:v>
                </c:pt>
                <c:pt idx="135">
                  <c:v>0.45809430423750058</c:v>
                </c:pt>
                <c:pt idx="136">
                  <c:v>0.45809430423750058</c:v>
                </c:pt>
                <c:pt idx="137">
                  <c:v>0.32155455767019431</c:v>
                </c:pt>
                <c:pt idx="138">
                  <c:v>0.36837711159380437</c:v>
                </c:pt>
                <c:pt idx="139">
                  <c:v>0.32270862091389874</c:v>
                </c:pt>
                <c:pt idx="140">
                  <c:v>0.31397185155832891</c:v>
                </c:pt>
                <c:pt idx="141">
                  <c:v>0.36676284815642968</c:v>
                </c:pt>
                <c:pt idx="142">
                  <c:v>0.4642436748645592</c:v>
                </c:pt>
                <c:pt idx="143">
                  <c:v>0.46846408937290757</c:v>
                </c:pt>
                <c:pt idx="144">
                  <c:v>0.46604163075436117</c:v>
                </c:pt>
                <c:pt idx="145">
                  <c:v>0.45882942996224085</c:v>
                </c:pt>
                <c:pt idx="146">
                  <c:v>0.48819793986705451</c:v>
                </c:pt>
                <c:pt idx="147">
                  <c:v>0.51686237282085756</c:v>
                </c:pt>
                <c:pt idx="148">
                  <c:v>0.47659235222796992</c:v>
                </c:pt>
                <c:pt idx="149">
                  <c:v>0.43809899693344728</c:v>
                </c:pt>
                <c:pt idx="150">
                  <c:v>0.46646655511873347</c:v>
                </c:pt>
                <c:pt idx="151">
                  <c:v>0.45035714868846971</c:v>
                </c:pt>
                <c:pt idx="152">
                  <c:v>0.41435742347941557</c:v>
                </c:pt>
                <c:pt idx="153">
                  <c:v>0.40946577691320324</c:v>
                </c:pt>
                <c:pt idx="154">
                  <c:v>0.37314562604747809</c:v>
                </c:pt>
                <c:pt idx="155">
                  <c:v>0.36311039029163023</c:v>
                </c:pt>
                <c:pt idx="156">
                  <c:v>0.30222062844184339</c:v>
                </c:pt>
                <c:pt idx="157">
                  <c:v>0.32771934161884003</c:v>
                </c:pt>
                <c:pt idx="158">
                  <c:v>0.40641511694283672</c:v>
                </c:pt>
                <c:pt idx="159">
                  <c:v>0.41373446472520986</c:v>
                </c:pt>
                <c:pt idx="160">
                  <c:v>0.43082638628918513</c:v>
                </c:pt>
                <c:pt idx="161">
                  <c:v>0.44229187681125864</c:v>
                </c:pt>
                <c:pt idx="162">
                  <c:v>0.42867877923273462</c:v>
                </c:pt>
                <c:pt idx="163">
                  <c:v>0.4190960023934181</c:v>
                </c:pt>
                <c:pt idx="164">
                  <c:v>0.41087729858311572</c:v>
                </c:pt>
                <c:pt idx="165">
                  <c:v>0.42373437747114012</c:v>
                </c:pt>
                <c:pt idx="166">
                  <c:v>0.40957194544715148</c:v>
                </c:pt>
                <c:pt idx="167">
                  <c:v>0.42118721507933182</c:v>
                </c:pt>
                <c:pt idx="168">
                  <c:v>0.40398876534854189</c:v>
                </c:pt>
                <c:pt idx="169">
                  <c:v>0.38842204575632649</c:v>
                </c:pt>
                <c:pt idx="170">
                  <c:v>0.40452869269282377</c:v>
                </c:pt>
                <c:pt idx="171">
                  <c:v>0.41899770903391403</c:v>
                </c:pt>
                <c:pt idx="172">
                  <c:v>0.41427601525024443</c:v>
                </c:pt>
                <c:pt idx="173">
                  <c:v>0.40922673931396869</c:v>
                </c:pt>
                <c:pt idx="174">
                  <c:v>0.45351225783810156</c:v>
                </c:pt>
                <c:pt idx="175">
                  <c:v>0.45691985970382054</c:v>
                </c:pt>
                <c:pt idx="176">
                  <c:v>0.50044950670899591</c:v>
                </c:pt>
                <c:pt idx="177">
                  <c:v>0.51691546049332004</c:v>
                </c:pt>
                <c:pt idx="178">
                  <c:v>0.52106283427340949</c:v>
                </c:pt>
                <c:pt idx="179">
                  <c:v>0.45425380803935078</c:v>
                </c:pt>
                <c:pt idx="180">
                  <c:v>0.47647398145844211</c:v>
                </c:pt>
                <c:pt idx="181">
                  <c:v>0.52106283427340949</c:v>
                </c:pt>
                <c:pt idx="182">
                  <c:v>0.53301594192210267</c:v>
                </c:pt>
                <c:pt idx="183">
                  <c:v>0.46861230622739936</c:v>
                </c:pt>
                <c:pt idx="184">
                  <c:v>0.5093660772692542</c:v>
                </c:pt>
                <c:pt idx="185">
                  <c:v>0.5093660772692542</c:v>
                </c:pt>
                <c:pt idx="186">
                  <c:v>0.51665823055209925</c:v>
                </c:pt>
                <c:pt idx="187">
                  <c:v>0.47024534644528793</c:v>
                </c:pt>
                <c:pt idx="188">
                  <c:v>0.51309051805748795</c:v>
                </c:pt>
                <c:pt idx="189">
                  <c:v>0.53891273072782475</c:v>
                </c:pt>
                <c:pt idx="190">
                  <c:v>0.53891273072782475</c:v>
                </c:pt>
                <c:pt idx="191">
                  <c:v>0.53504897285947772</c:v>
                </c:pt>
                <c:pt idx="192">
                  <c:v>0.5257779345197845</c:v>
                </c:pt>
                <c:pt idx="193">
                  <c:v>0.43411017798804036</c:v>
                </c:pt>
                <c:pt idx="194">
                  <c:v>0.45486909993325186</c:v>
                </c:pt>
                <c:pt idx="195">
                  <c:v>0.47865989263762543</c:v>
                </c:pt>
                <c:pt idx="196">
                  <c:v>0.5223034520698695</c:v>
                </c:pt>
                <c:pt idx="197">
                  <c:v>0.58710562488184848</c:v>
                </c:pt>
                <c:pt idx="198">
                  <c:v>0.59748600290895393</c:v>
                </c:pt>
                <c:pt idx="199">
                  <c:v>0.58498315146570623</c:v>
                </c:pt>
                <c:pt idx="200">
                  <c:v>0.56191456736441669</c:v>
                </c:pt>
                <c:pt idx="201">
                  <c:v>0.56913286805662044</c:v>
                </c:pt>
                <c:pt idx="202">
                  <c:v>0.57641640154379037</c:v>
                </c:pt>
                <c:pt idx="203">
                  <c:v>0.5815584292290823</c:v>
                </c:pt>
                <c:pt idx="204">
                  <c:v>0.5930900951939968</c:v>
                </c:pt>
                <c:pt idx="205">
                  <c:v>0.58486417412482083</c:v>
                </c:pt>
                <c:pt idx="206">
                  <c:v>0.63917571751743196</c:v>
                </c:pt>
                <c:pt idx="207">
                  <c:v>0.62652977193512516</c:v>
                </c:pt>
                <c:pt idx="208">
                  <c:v>0.59248885396328499</c:v>
                </c:pt>
                <c:pt idx="209">
                  <c:v>0.66856647147593873</c:v>
                </c:pt>
                <c:pt idx="210">
                  <c:v>0.69441513932723864</c:v>
                </c:pt>
                <c:pt idx="211">
                  <c:v>0.69625439745521622</c:v>
                </c:pt>
                <c:pt idx="212">
                  <c:v>0.69441513932723864</c:v>
                </c:pt>
                <c:pt idx="213">
                  <c:v>0.71728615544957119</c:v>
                </c:pt>
                <c:pt idx="214">
                  <c:v>0.67961908546991245</c:v>
                </c:pt>
                <c:pt idx="215">
                  <c:v>0.65477542416340195</c:v>
                </c:pt>
                <c:pt idx="216">
                  <c:v>0.62665384357251297</c:v>
                </c:pt>
                <c:pt idx="217">
                  <c:v>0.64879793947367048</c:v>
                </c:pt>
                <c:pt idx="218">
                  <c:v>0.56709086833409406</c:v>
                </c:pt>
                <c:pt idx="219">
                  <c:v>0.62625017100514624</c:v>
                </c:pt>
                <c:pt idx="220">
                  <c:v>0.67177281536533184</c:v>
                </c:pt>
                <c:pt idx="221">
                  <c:v>0.6565095101369548</c:v>
                </c:pt>
                <c:pt idx="222">
                  <c:v>0.67417257610562109</c:v>
                </c:pt>
                <c:pt idx="223">
                  <c:v>0.65857343754719777</c:v>
                </c:pt>
                <c:pt idx="224">
                  <c:v>0.68053352147964996</c:v>
                </c:pt>
                <c:pt idx="225">
                  <c:v>0.66595023399780651</c:v>
                </c:pt>
                <c:pt idx="226">
                  <c:v>0.58634270584319759</c:v>
                </c:pt>
                <c:pt idx="227">
                  <c:v>0.54266337834498113</c:v>
                </c:pt>
                <c:pt idx="228">
                  <c:v>0.53792660447932683</c:v>
                </c:pt>
                <c:pt idx="229">
                  <c:v>0.53726474220872078</c:v>
                </c:pt>
              </c:numCache>
            </c:numRef>
          </c:val>
          <c:smooth val="0"/>
        </c:ser>
        <c:ser>
          <c:idx val="7"/>
          <c:order val="2"/>
          <c:tx>
            <c:strRef>
              <c:f>PoolRefinancible!$J$2</c:f>
              <c:strCache>
                <c:ptCount val="1"/>
                <c:pt idx="0">
                  <c:v>HARP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PoolRefinancible!$J$3:$J$232</c:f>
              <c:numCache>
                <c:formatCode>0%</c:formatCode>
                <c:ptCount val="230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  <c:pt idx="225">
                  <c:v>0.48011645770946798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33088"/>
        <c:axId val="335459456"/>
      </c:lineChart>
      <c:lineChart>
        <c:grouping val="standard"/>
        <c:varyColors val="0"/>
        <c:ser>
          <c:idx val="2"/>
          <c:order val="1"/>
          <c:tx>
            <c:strRef>
              <c:f>PoolRefinancible!$E$2</c:f>
              <c:strCache>
                <c:ptCount val="1"/>
                <c:pt idx="0">
                  <c:v>Conv Refi Index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PoolRefinancible!$B$3:$B$232</c:f>
              <c:numCache>
                <c:formatCode>m/d/yyyy</c:formatCode>
                <c:ptCount val="230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</c:numCache>
            </c:numRef>
          </c:cat>
          <c:val>
            <c:numRef>
              <c:f>PoolRefinancible!$E$3:$E$232</c:f>
              <c:numCache>
                <c:formatCode>General</c:formatCode>
                <c:ptCount val="230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#N/A</c:v>
                </c:pt>
                <c:pt idx="208">
                  <c:v>#N/A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467648"/>
        <c:axId val="335461376"/>
      </c:lineChart>
      <c:dateAx>
        <c:axId val="335433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5459456"/>
        <c:crosses val="autoZero"/>
        <c:auto val="1"/>
        <c:lblOffset val="100"/>
        <c:baseTimeUnit val="days"/>
        <c:majorUnit val="6"/>
        <c:majorTimeUnit val="months"/>
      </c:dateAx>
      <c:valAx>
        <c:axId val="33545945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335433088"/>
        <c:crosses val="autoZero"/>
        <c:crossBetween val="between"/>
        <c:majorUnit val="0.2"/>
      </c:valAx>
      <c:valAx>
        <c:axId val="3354613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5467648"/>
        <c:crosses val="max"/>
        <c:crossBetween val="between"/>
      </c:valAx>
      <c:dateAx>
        <c:axId val="3354676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5461376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'Current Paying PMI'!$F$2</c:f>
              <c:strCache>
                <c:ptCount val="1"/>
                <c:pt idx="0">
                  <c:v>Diff(New-HARP)</c:v>
                </c:pt>
              </c:strCache>
            </c:strRef>
          </c:tx>
          <c:invertIfNegative val="0"/>
          <c:cat>
            <c:numRef>
              <c:f>'Current Paying PMI'!$B$3:$B$227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PMI'!$F$3:$F$227</c:f>
              <c:numCache>
                <c:formatCode>0%</c:formatCode>
                <c:ptCount val="225"/>
                <c:pt idx="0">
                  <c:v>4.9681956069865973E-2</c:v>
                </c:pt>
                <c:pt idx="1">
                  <c:v>4.8660848703604986E-2</c:v>
                </c:pt>
                <c:pt idx="2">
                  <c:v>4.9665388139987998E-2</c:v>
                </c:pt>
                <c:pt idx="3">
                  <c:v>4.9687891859300004E-2</c:v>
                </c:pt>
                <c:pt idx="4">
                  <c:v>5.1522779675113983E-2</c:v>
                </c:pt>
                <c:pt idx="5">
                  <c:v>5.5942017761610008E-2</c:v>
                </c:pt>
                <c:pt idx="6">
                  <c:v>5.3742831672082991E-2</c:v>
                </c:pt>
                <c:pt idx="7">
                  <c:v>5.3229317811437027E-2</c:v>
                </c:pt>
                <c:pt idx="8">
                  <c:v>5.2254529605419986E-2</c:v>
                </c:pt>
                <c:pt idx="9">
                  <c:v>5.2266161726140015E-2</c:v>
                </c:pt>
                <c:pt idx="10">
                  <c:v>5.076051081566102E-2</c:v>
                </c:pt>
                <c:pt idx="11">
                  <c:v>5.1840271640716029E-2</c:v>
                </c:pt>
                <c:pt idx="12">
                  <c:v>5.2253841421740999E-2</c:v>
                </c:pt>
                <c:pt idx="13">
                  <c:v>5.3055423953806025E-2</c:v>
                </c:pt>
                <c:pt idx="14">
                  <c:v>5.3073531311389976E-2</c:v>
                </c:pt>
                <c:pt idx="15">
                  <c:v>5.2626544891899996E-2</c:v>
                </c:pt>
                <c:pt idx="16">
                  <c:v>5.2616785274462008E-2</c:v>
                </c:pt>
                <c:pt idx="17">
                  <c:v>5.2410307276545998E-2</c:v>
                </c:pt>
                <c:pt idx="18">
                  <c:v>5.0897996694234005E-2</c:v>
                </c:pt>
                <c:pt idx="19">
                  <c:v>5.0895735758964E-2</c:v>
                </c:pt>
                <c:pt idx="20">
                  <c:v>5.0836558812519972E-2</c:v>
                </c:pt>
                <c:pt idx="21">
                  <c:v>5.1449634205825046E-2</c:v>
                </c:pt>
                <c:pt idx="22">
                  <c:v>5.0596587132760995E-2</c:v>
                </c:pt>
                <c:pt idx="23">
                  <c:v>5.0597213247861039E-2</c:v>
                </c:pt>
                <c:pt idx="24">
                  <c:v>5.1449634205825046E-2</c:v>
                </c:pt>
                <c:pt idx="25">
                  <c:v>5.0599296152577022E-2</c:v>
                </c:pt>
                <c:pt idx="26">
                  <c:v>5.3388475571083005E-2</c:v>
                </c:pt>
                <c:pt idx="27">
                  <c:v>5.1845576376496005E-2</c:v>
                </c:pt>
                <c:pt idx="28">
                  <c:v>5.2679575258972933E-2</c:v>
                </c:pt>
                <c:pt idx="29">
                  <c:v>5.2785925753240037E-2</c:v>
                </c:pt>
                <c:pt idx="30">
                  <c:v>5.204892715568199E-2</c:v>
                </c:pt>
                <c:pt idx="31">
                  <c:v>4.8557759518373045E-2</c:v>
                </c:pt>
                <c:pt idx="32">
                  <c:v>4.3470774547205049E-2</c:v>
                </c:pt>
                <c:pt idx="33">
                  <c:v>4.5299246280715022E-2</c:v>
                </c:pt>
                <c:pt idx="34">
                  <c:v>4.6880234734432036E-2</c:v>
                </c:pt>
                <c:pt idx="35">
                  <c:v>4.3335763110829095E-2</c:v>
                </c:pt>
                <c:pt idx="36">
                  <c:v>4.212722522416501E-2</c:v>
                </c:pt>
                <c:pt idx="37">
                  <c:v>4.212722522416501E-2</c:v>
                </c:pt>
                <c:pt idx="38">
                  <c:v>3.9709611978290038E-2</c:v>
                </c:pt>
                <c:pt idx="39">
                  <c:v>4.0584634402153985E-2</c:v>
                </c:pt>
                <c:pt idx="40">
                  <c:v>4.6966171813505042E-2</c:v>
                </c:pt>
                <c:pt idx="41">
                  <c:v>4.5817546675279042E-2</c:v>
                </c:pt>
                <c:pt idx="42">
                  <c:v>4.5366069378486973E-2</c:v>
                </c:pt>
                <c:pt idx="43">
                  <c:v>4.3536352622293051E-2</c:v>
                </c:pt>
                <c:pt idx="44">
                  <c:v>4.3533583011687971E-2</c:v>
                </c:pt>
                <c:pt idx="45">
                  <c:v>4.3536352622293051E-2</c:v>
                </c:pt>
                <c:pt idx="46">
                  <c:v>4.2491166119224988E-2</c:v>
                </c:pt>
                <c:pt idx="47">
                  <c:v>4.4972673076295933E-2</c:v>
                </c:pt>
                <c:pt idx="48">
                  <c:v>4.4969749689974026E-2</c:v>
                </c:pt>
                <c:pt idx="49">
                  <c:v>4.3808514908793006E-2</c:v>
                </c:pt>
                <c:pt idx="50">
                  <c:v>4.2579497872953009E-2</c:v>
                </c:pt>
                <c:pt idx="51">
                  <c:v>4.3356540736460003E-2</c:v>
                </c:pt>
                <c:pt idx="52">
                  <c:v>4.5033347269854973E-2</c:v>
                </c:pt>
                <c:pt idx="53">
                  <c:v>4.4120124847241038E-2</c:v>
                </c:pt>
                <c:pt idx="54">
                  <c:v>4.4224808651309955E-2</c:v>
                </c:pt>
                <c:pt idx="55">
                  <c:v>4.5628594878543982E-2</c:v>
                </c:pt>
                <c:pt idx="56">
                  <c:v>4.5930080793434969E-2</c:v>
                </c:pt>
                <c:pt idx="57">
                  <c:v>4.5930080793434969E-2</c:v>
                </c:pt>
                <c:pt idx="58">
                  <c:v>4.5930080793434969E-2</c:v>
                </c:pt>
                <c:pt idx="59">
                  <c:v>4.7305104367195039E-2</c:v>
                </c:pt>
                <c:pt idx="60">
                  <c:v>4.849387073901601E-2</c:v>
                </c:pt>
                <c:pt idx="61">
                  <c:v>4.7727495975661949E-2</c:v>
                </c:pt>
                <c:pt idx="62">
                  <c:v>4.8504482962385964E-2</c:v>
                </c:pt>
                <c:pt idx="63">
                  <c:v>5.2316048521025005E-2</c:v>
                </c:pt>
                <c:pt idx="64">
                  <c:v>5.0002126026328031E-2</c:v>
                </c:pt>
                <c:pt idx="65">
                  <c:v>5.0536932626184972E-2</c:v>
                </c:pt>
                <c:pt idx="66">
                  <c:v>4.7142023384497023E-2</c:v>
                </c:pt>
                <c:pt idx="67">
                  <c:v>4.9827124625569041E-2</c:v>
                </c:pt>
                <c:pt idx="68">
                  <c:v>4.7142023384497023E-2</c:v>
                </c:pt>
                <c:pt idx="69">
                  <c:v>4.6513643893995038E-2</c:v>
                </c:pt>
                <c:pt idx="70">
                  <c:v>4.4962048997335913E-2</c:v>
                </c:pt>
                <c:pt idx="71">
                  <c:v>4.4049418264657025E-2</c:v>
                </c:pt>
                <c:pt idx="72">
                  <c:v>4.463988254888307E-2</c:v>
                </c:pt>
                <c:pt idx="73">
                  <c:v>4.3485193204071959E-2</c:v>
                </c:pt>
                <c:pt idx="74">
                  <c:v>4.0210186674963011E-2</c:v>
                </c:pt>
                <c:pt idx="75">
                  <c:v>4.119083451579697E-2</c:v>
                </c:pt>
                <c:pt idx="76">
                  <c:v>3.9415006624436977E-2</c:v>
                </c:pt>
                <c:pt idx="77">
                  <c:v>3.9415006624436977E-2</c:v>
                </c:pt>
                <c:pt idx="78">
                  <c:v>4.1386957775770949E-2</c:v>
                </c:pt>
                <c:pt idx="79">
                  <c:v>3.8313969867081021E-2</c:v>
                </c:pt>
                <c:pt idx="80">
                  <c:v>3.6602249854558955E-2</c:v>
                </c:pt>
                <c:pt idx="81">
                  <c:v>3.5465880668124061E-2</c:v>
                </c:pt>
                <c:pt idx="82">
                  <c:v>4.1884876870885934E-2</c:v>
                </c:pt>
                <c:pt idx="83">
                  <c:v>4.191259257431601E-2</c:v>
                </c:pt>
                <c:pt idx="84">
                  <c:v>4.2244079902605924E-2</c:v>
                </c:pt>
                <c:pt idx="85">
                  <c:v>4.5171992456946031E-2</c:v>
                </c:pt>
                <c:pt idx="86">
                  <c:v>4.191259257431601E-2</c:v>
                </c:pt>
                <c:pt idx="87">
                  <c:v>4.4481326001255983E-2</c:v>
                </c:pt>
                <c:pt idx="88">
                  <c:v>4.2729007195453028E-2</c:v>
                </c:pt>
                <c:pt idx="89">
                  <c:v>4.0397824553434991E-2</c:v>
                </c:pt>
                <c:pt idx="90">
                  <c:v>3.671793314546401E-2</c:v>
                </c:pt>
                <c:pt idx="91">
                  <c:v>4.0069189691301021E-2</c:v>
                </c:pt>
                <c:pt idx="92">
                  <c:v>4.2465977401286992E-2</c:v>
                </c:pt>
                <c:pt idx="93">
                  <c:v>4.1325455512144949E-2</c:v>
                </c:pt>
                <c:pt idx="94">
                  <c:v>4.2798572221068976E-2</c:v>
                </c:pt>
                <c:pt idx="95">
                  <c:v>4.7852691336546016E-2</c:v>
                </c:pt>
                <c:pt idx="96">
                  <c:v>4.8022190060210912E-2</c:v>
                </c:pt>
                <c:pt idx="97">
                  <c:v>4.5559123217848052E-2</c:v>
                </c:pt>
                <c:pt idx="98">
                  <c:v>4.5005134377127942E-2</c:v>
                </c:pt>
                <c:pt idx="99">
                  <c:v>4.5562969308011958E-2</c:v>
                </c:pt>
                <c:pt idx="100">
                  <c:v>4.8480990056891993E-2</c:v>
                </c:pt>
                <c:pt idx="101">
                  <c:v>4.7950043620263005E-2</c:v>
                </c:pt>
                <c:pt idx="102">
                  <c:v>4.9658330443559051E-2</c:v>
                </c:pt>
                <c:pt idx="103">
                  <c:v>4.8759460889514994E-2</c:v>
                </c:pt>
                <c:pt idx="104">
                  <c:v>5.167236310817902E-2</c:v>
                </c:pt>
                <c:pt idx="105">
                  <c:v>5.4023988578536963E-2</c:v>
                </c:pt>
                <c:pt idx="106">
                  <c:v>5.2826210591674028E-2</c:v>
                </c:pt>
                <c:pt idx="107">
                  <c:v>5.4922196166124926E-2</c:v>
                </c:pt>
                <c:pt idx="108">
                  <c:v>5.8480524051467975E-2</c:v>
                </c:pt>
                <c:pt idx="109">
                  <c:v>6.4069792538737014E-2</c:v>
                </c:pt>
                <c:pt idx="110">
                  <c:v>6.4069792538737014E-2</c:v>
                </c:pt>
                <c:pt idx="111">
                  <c:v>6.4589627652551052E-2</c:v>
                </c:pt>
                <c:pt idx="112">
                  <c:v>6.2808723737799999E-2</c:v>
                </c:pt>
                <c:pt idx="113">
                  <c:v>6.6119036917175911E-2</c:v>
                </c:pt>
                <c:pt idx="114">
                  <c:v>7.0202414852295059E-2</c:v>
                </c:pt>
                <c:pt idx="115">
                  <c:v>6.7607062022061015E-2</c:v>
                </c:pt>
                <c:pt idx="116">
                  <c:v>6.8147431444700035E-2</c:v>
                </c:pt>
                <c:pt idx="117">
                  <c:v>7.0366635884142936E-2</c:v>
                </c:pt>
                <c:pt idx="118">
                  <c:v>6.6939404421787918E-2</c:v>
                </c:pt>
                <c:pt idx="119">
                  <c:v>6.457017237993401E-2</c:v>
                </c:pt>
                <c:pt idx="120">
                  <c:v>6.5922609873589E-2</c:v>
                </c:pt>
                <c:pt idx="121">
                  <c:v>6.5020553468626008E-2</c:v>
                </c:pt>
                <c:pt idx="122">
                  <c:v>6.7542928607321917E-2</c:v>
                </c:pt>
                <c:pt idx="123">
                  <c:v>7.0251667692796005E-2</c:v>
                </c:pt>
                <c:pt idx="124">
                  <c:v>7.3784060733451007E-2</c:v>
                </c:pt>
                <c:pt idx="125">
                  <c:v>8.265601113059895E-2</c:v>
                </c:pt>
                <c:pt idx="126">
                  <c:v>8.8858118403525976E-2</c:v>
                </c:pt>
                <c:pt idx="127">
                  <c:v>9.1423313409527973E-2</c:v>
                </c:pt>
                <c:pt idx="128">
                  <c:v>9.1272572997163959E-2</c:v>
                </c:pt>
                <c:pt idx="129">
                  <c:v>0.10858146909287497</c:v>
                </c:pt>
                <c:pt idx="130">
                  <c:v>0.10591932116693303</c:v>
                </c:pt>
                <c:pt idx="131">
                  <c:v>0.11304471223312201</c:v>
                </c:pt>
                <c:pt idx="132">
                  <c:v>0.10860563082670499</c:v>
                </c:pt>
                <c:pt idx="133">
                  <c:v>0.10846939237572301</c:v>
                </c:pt>
                <c:pt idx="134">
                  <c:v>0.11428735406067903</c:v>
                </c:pt>
                <c:pt idx="135">
                  <c:v>0.11436459529991899</c:v>
                </c:pt>
                <c:pt idx="136">
                  <c:v>0.11436459529991899</c:v>
                </c:pt>
                <c:pt idx="137">
                  <c:v>0.11793513882251802</c:v>
                </c:pt>
                <c:pt idx="138">
                  <c:v>0.11606145999202302</c:v>
                </c:pt>
                <c:pt idx="139">
                  <c:v>0.12036813113654096</c:v>
                </c:pt>
                <c:pt idx="140">
                  <c:v>0.12106720924196002</c:v>
                </c:pt>
                <c:pt idx="141">
                  <c:v>0.11912245980973599</c:v>
                </c:pt>
                <c:pt idx="142">
                  <c:v>0.11331803434194804</c:v>
                </c:pt>
                <c:pt idx="143">
                  <c:v>0.11326918389790597</c:v>
                </c:pt>
                <c:pt idx="144">
                  <c:v>0.11338479306098298</c:v>
                </c:pt>
                <c:pt idx="145">
                  <c:v>0.11567318665679499</c:v>
                </c:pt>
                <c:pt idx="146">
                  <c:v>0.11083011454733699</c:v>
                </c:pt>
                <c:pt idx="147">
                  <c:v>0.10923001035334001</c:v>
                </c:pt>
                <c:pt idx="148">
                  <c:v>0.11489209899150399</c:v>
                </c:pt>
                <c:pt idx="149">
                  <c:v>0.121476275921925</c:v>
                </c:pt>
                <c:pt idx="150">
                  <c:v>0.116572236804385</c:v>
                </c:pt>
                <c:pt idx="151">
                  <c:v>0.11907962492922503</c:v>
                </c:pt>
                <c:pt idx="152">
                  <c:v>0.12665224498601899</c:v>
                </c:pt>
                <c:pt idx="153">
                  <c:v>0.12670462491107398</c:v>
                </c:pt>
                <c:pt idx="154">
                  <c:v>0.12868787506670498</c:v>
                </c:pt>
                <c:pt idx="155">
                  <c:v>0.12869822838356401</c:v>
                </c:pt>
                <c:pt idx="156">
                  <c:v>0.13235164261676</c:v>
                </c:pt>
                <c:pt idx="157">
                  <c:v>0.13052998310084499</c:v>
                </c:pt>
                <c:pt idx="158">
                  <c:v>0.129067230613571</c:v>
                </c:pt>
                <c:pt idx="159">
                  <c:v>0.128959458211717</c:v>
                </c:pt>
                <c:pt idx="160">
                  <c:v>0.12516176327866302</c:v>
                </c:pt>
                <c:pt idx="161">
                  <c:v>0.12498812825746303</c:v>
                </c:pt>
                <c:pt idx="162">
                  <c:v>0.12723741836596197</c:v>
                </c:pt>
                <c:pt idx="163">
                  <c:v>0.12940261076594201</c:v>
                </c:pt>
                <c:pt idx="164">
                  <c:v>0.12963743782098303</c:v>
                </c:pt>
                <c:pt idx="165">
                  <c:v>0.12915453306417901</c:v>
                </c:pt>
                <c:pt idx="166">
                  <c:v>0.13139674598219397</c:v>
                </c:pt>
                <c:pt idx="167">
                  <c:v>0.12955976056676</c:v>
                </c:pt>
                <c:pt idx="168">
                  <c:v>0.13149914839885302</c:v>
                </c:pt>
                <c:pt idx="169">
                  <c:v>0.13553098621107298</c:v>
                </c:pt>
                <c:pt idx="170">
                  <c:v>0.13335373893424096</c:v>
                </c:pt>
                <c:pt idx="171">
                  <c:v>0.13106221940475804</c:v>
                </c:pt>
                <c:pt idx="172">
                  <c:v>0.13147501699685998</c:v>
                </c:pt>
                <c:pt idx="173">
                  <c:v>0.13341732927557104</c:v>
                </c:pt>
                <c:pt idx="174">
                  <c:v>0.129074678830153</c:v>
                </c:pt>
                <c:pt idx="175">
                  <c:v>0.12907123991127301</c:v>
                </c:pt>
                <c:pt idx="176">
                  <c:v>0.12692637574172699</c:v>
                </c:pt>
                <c:pt idx="177">
                  <c:v>0.126688957908763</c:v>
                </c:pt>
                <c:pt idx="178">
                  <c:v>0.129357731190895</c:v>
                </c:pt>
                <c:pt idx="179">
                  <c:v>0.13174338866962304</c:v>
                </c:pt>
                <c:pt idx="180">
                  <c:v>0.13117540970414698</c:v>
                </c:pt>
                <c:pt idx="181">
                  <c:v>0.129357731190895</c:v>
                </c:pt>
                <c:pt idx="182">
                  <c:v>0.13206256951987799</c:v>
                </c:pt>
                <c:pt idx="183">
                  <c:v>0.13507876509500705</c:v>
                </c:pt>
                <c:pt idx="184">
                  <c:v>0.13336025888524</c:v>
                </c:pt>
                <c:pt idx="185">
                  <c:v>0.13336025888524</c:v>
                </c:pt>
                <c:pt idx="186">
                  <c:v>0.133248975840009</c:v>
                </c:pt>
                <c:pt idx="187">
                  <c:v>0.13869601439951795</c:v>
                </c:pt>
                <c:pt idx="188">
                  <c:v>0.13697829136067596</c:v>
                </c:pt>
                <c:pt idx="189">
                  <c:v>0.13573257975389896</c:v>
                </c:pt>
                <c:pt idx="190">
                  <c:v>0.13573257975389896</c:v>
                </c:pt>
                <c:pt idx="191">
                  <c:v>0.13940122502878999</c:v>
                </c:pt>
                <c:pt idx="192">
                  <c:v>0.139424419743299</c:v>
                </c:pt>
                <c:pt idx="193">
                  <c:v>0.143000232665905</c:v>
                </c:pt>
                <c:pt idx="194">
                  <c:v>0.142495036279146</c:v>
                </c:pt>
                <c:pt idx="195">
                  <c:v>0.14494921983651998</c:v>
                </c:pt>
                <c:pt idx="196">
                  <c:v>0.14351304250540303</c:v>
                </c:pt>
                <c:pt idx="197">
                  <c:v>0.139044264392162</c:v>
                </c:pt>
                <c:pt idx="198">
                  <c:v>0.13556287119251398</c:v>
                </c:pt>
                <c:pt idx="199">
                  <c:v>0.13904705172683901</c:v>
                </c:pt>
                <c:pt idx="200">
                  <c:v>0.14460378848361399</c:v>
                </c:pt>
                <c:pt idx="201">
                  <c:v>0.14458471964689901</c:v>
                </c:pt>
                <c:pt idx="202">
                  <c:v>0.14297271363370706</c:v>
                </c:pt>
                <c:pt idx="203">
                  <c:v>0.14296438407052303</c:v>
                </c:pt>
                <c:pt idx="204">
                  <c:v>0.14215413573701696</c:v>
                </c:pt>
                <c:pt idx="205">
                  <c:v>0.142496353399862</c:v>
                </c:pt>
                <c:pt idx="206">
                  <c:v>0.13884491721130904</c:v>
                </c:pt>
                <c:pt idx="207">
                  <c:v>0.14046537244677598</c:v>
                </c:pt>
                <c:pt idx="208">
                  <c:v>0.14215487269297394</c:v>
                </c:pt>
                <c:pt idx="209">
                  <c:v>0.137201969127423</c:v>
                </c:pt>
                <c:pt idx="210">
                  <c:v>0.13161890987067004</c:v>
                </c:pt>
                <c:pt idx="211">
                  <c:v>0.12958318624448695</c:v>
                </c:pt>
                <c:pt idx="212">
                  <c:v>0.13161890987067004</c:v>
                </c:pt>
                <c:pt idx="213">
                  <c:v>0.12998501576494204</c:v>
                </c:pt>
                <c:pt idx="214">
                  <c:v>0.13645933344849803</c:v>
                </c:pt>
                <c:pt idx="215">
                  <c:v>0.14025964003600594</c:v>
                </c:pt>
                <c:pt idx="216">
                  <c:v>0.14371582239505298</c:v>
                </c:pt>
                <c:pt idx="217">
                  <c:v>0.14212688776549898</c:v>
                </c:pt>
                <c:pt idx="218">
                  <c:v>0.14883475373922694</c:v>
                </c:pt>
                <c:pt idx="219">
                  <c:v>0.14265004103212298</c:v>
                </c:pt>
                <c:pt idx="220">
                  <c:v>0.13849107607925293</c:v>
                </c:pt>
                <c:pt idx="221">
                  <c:v>0.14349355854661294</c:v>
                </c:pt>
                <c:pt idx="222">
                  <c:v>0.139475386684352</c:v>
                </c:pt>
                <c:pt idx="223">
                  <c:v>0.14216269498466499</c:v>
                </c:pt>
                <c:pt idx="224">
                  <c:v>0.13754864317428006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559680"/>
        <c:axId val="335557760"/>
      </c:barChart>
      <c:lineChart>
        <c:grouping val="standard"/>
        <c:varyColors val="0"/>
        <c:ser>
          <c:idx val="0"/>
          <c:order val="0"/>
          <c:tx>
            <c:strRef>
              <c:f>'Current Paying PMI'!$C$2</c:f>
              <c:strCache>
                <c:ptCount val="1"/>
                <c:pt idx="0">
                  <c:v>Pool Level</c:v>
                </c:pt>
              </c:strCache>
            </c:strRef>
          </c:tx>
          <c:marker>
            <c:symbol val="none"/>
          </c:marker>
          <c:cat>
            <c:numRef>
              <c:f>'Current Paying PMI'!$B$3:$B$227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PMI'!$C$3:$C$227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'Current Paying PMI'!$D$2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'Current Paying PMI'!$B$3:$B$227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PMI'!$D$3:$D$227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'Current Paying PMI'!$E$2</c:f>
              <c:strCache>
                <c:ptCount val="1"/>
                <c:pt idx="0">
                  <c:v>Currnet PMI</c:v>
                </c:pt>
              </c:strCache>
            </c:strRef>
          </c:tx>
          <c:marker>
            <c:symbol val="none"/>
          </c:marker>
          <c:cat>
            <c:numRef>
              <c:f>'Current Paying PMI'!$B$3:$B$227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PMI'!$E$3:$E$227</c:f>
              <c:numCache>
                <c:formatCode>0%</c:formatCode>
                <c:ptCount val="225"/>
                <c:pt idx="0">
                  <c:v>0.46885641253034299</c:v>
                </c:pt>
                <c:pt idx="1">
                  <c:v>0.484880705000166</c:v>
                </c:pt>
                <c:pt idx="2">
                  <c:v>0.46911247375695397</c:v>
                </c:pt>
                <c:pt idx="3">
                  <c:v>0.46839804028281901</c:v>
                </c:pt>
                <c:pt idx="4">
                  <c:v>0.440398387253014</c:v>
                </c:pt>
                <c:pt idx="5">
                  <c:v>0.40695271820136403</c:v>
                </c:pt>
                <c:pt idx="6">
                  <c:v>0.41797156185356299</c:v>
                </c:pt>
                <c:pt idx="7">
                  <c:v>0.42749088486683401</c:v>
                </c:pt>
                <c:pt idx="8">
                  <c:v>0.43033160357153799</c:v>
                </c:pt>
                <c:pt idx="9">
                  <c:v>0.43030110657149201</c:v>
                </c:pt>
                <c:pt idx="10">
                  <c:v>0.45843967337938502</c:v>
                </c:pt>
                <c:pt idx="11">
                  <c:v>0.44338718423978701</c:v>
                </c:pt>
                <c:pt idx="12">
                  <c:v>0.43034776102532601</c:v>
                </c:pt>
                <c:pt idx="13">
                  <c:v>0.42302014893146</c:v>
                </c:pt>
                <c:pt idx="14">
                  <c:v>0.422913696043141</c:v>
                </c:pt>
                <c:pt idx="15">
                  <c:v>0.43647525585997698</c:v>
                </c:pt>
                <c:pt idx="16">
                  <c:v>0.43694753509709</c:v>
                </c:pt>
                <c:pt idx="17">
                  <c:v>0.447281712887248</c:v>
                </c:pt>
                <c:pt idx="18">
                  <c:v>0.48169103338999603</c:v>
                </c:pt>
                <c:pt idx="19">
                  <c:v>0.48179766411393099</c:v>
                </c:pt>
                <c:pt idx="20">
                  <c:v>0.48194723053828598</c:v>
                </c:pt>
                <c:pt idx="21">
                  <c:v>0.50487266986540702</c:v>
                </c:pt>
                <c:pt idx="22">
                  <c:v>0.52689216322250598</c:v>
                </c:pt>
                <c:pt idx="23">
                  <c:v>0.52686022379811903</c:v>
                </c:pt>
                <c:pt idx="24">
                  <c:v>0.50487266986540702</c:v>
                </c:pt>
                <c:pt idx="25">
                  <c:v>0.52593041582120903</c:v>
                </c:pt>
                <c:pt idx="26">
                  <c:v>0.47454621524908303</c:v>
                </c:pt>
                <c:pt idx="27">
                  <c:v>0.52190457919731803</c:v>
                </c:pt>
                <c:pt idx="28">
                  <c:v>0.50065707260663195</c:v>
                </c:pt>
                <c:pt idx="29">
                  <c:v>0.49688453784682102</c:v>
                </c:pt>
                <c:pt idx="30">
                  <c:v>0.56742832753757799</c:v>
                </c:pt>
                <c:pt idx="31">
                  <c:v>0.66600802275198501</c:v>
                </c:pt>
                <c:pt idx="32">
                  <c:v>0.75450188553023501</c:v>
                </c:pt>
                <c:pt idx="33">
                  <c:v>0.71265891972781104</c:v>
                </c:pt>
                <c:pt idx="34">
                  <c:v>0.70758341766817601</c:v>
                </c:pt>
                <c:pt idx="35">
                  <c:v>0.77195870739625605</c:v>
                </c:pt>
                <c:pt idx="36">
                  <c:v>0.77393677940889705</c:v>
                </c:pt>
                <c:pt idx="37">
                  <c:v>0.77393677940889705</c:v>
                </c:pt>
                <c:pt idx="38">
                  <c:v>0.82508471199231004</c:v>
                </c:pt>
                <c:pt idx="39">
                  <c:v>0.81259352846128097</c:v>
                </c:pt>
                <c:pt idx="40">
                  <c:v>0.73459198246487301</c:v>
                </c:pt>
                <c:pt idx="41">
                  <c:v>0.75489065999645399</c:v>
                </c:pt>
                <c:pt idx="42">
                  <c:v>0.75632978245354299</c:v>
                </c:pt>
                <c:pt idx="43">
                  <c:v>0.79566700230121001</c:v>
                </c:pt>
                <c:pt idx="44">
                  <c:v>0.79568702054103702</c:v>
                </c:pt>
                <c:pt idx="45">
                  <c:v>0.79566700230121001</c:v>
                </c:pt>
                <c:pt idx="46">
                  <c:v>0.79700998806971202</c:v>
                </c:pt>
                <c:pt idx="47">
                  <c:v>0.78198517813851298</c:v>
                </c:pt>
                <c:pt idx="48">
                  <c:v>0.78200436831299003</c:v>
                </c:pt>
                <c:pt idx="49">
                  <c:v>0.78386700001619203</c:v>
                </c:pt>
                <c:pt idx="50">
                  <c:v>0.81520432036593904</c:v>
                </c:pt>
                <c:pt idx="51">
                  <c:v>0.80688676728488795</c:v>
                </c:pt>
                <c:pt idx="52">
                  <c:v>0.79520781124912299</c:v>
                </c:pt>
                <c:pt idx="53">
                  <c:v>0.80606898228656498</c:v>
                </c:pt>
                <c:pt idx="54">
                  <c:v>0.80437633407850995</c:v>
                </c:pt>
                <c:pt idx="55">
                  <c:v>0.77101655382029799</c:v>
                </c:pt>
                <c:pt idx="56">
                  <c:v>0.78569858522023195</c:v>
                </c:pt>
                <c:pt idx="57">
                  <c:v>0.78569858522023195</c:v>
                </c:pt>
                <c:pt idx="58">
                  <c:v>0.78569858522023195</c:v>
                </c:pt>
                <c:pt idx="59">
                  <c:v>0.75212890691069101</c:v>
                </c:pt>
                <c:pt idx="60">
                  <c:v>0.76046432171719602</c:v>
                </c:pt>
                <c:pt idx="61">
                  <c:v>0.769583122656471</c:v>
                </c:pt>
                <c:pt idx="62">
                  <c:v>0.760354139396616</c:v>
                </c:pt>
                <c:pt idx="63">
                  <c:v>0.68235415299983104</c:v>
                </c:pt>
                <c:pt idx="64">
                  <c:v>0.73476761977876004</c:v>
                </c:pt>
                <c:pt idx="65">
                  <c:v>0.73755756512459603</c:v>
                </c:pt>
                <c:pt idx="66">
                  <c:v>0.79074299766476497</c:v>
                </c:pt>
                <c:pt idx="67">
                  <c:v>0.76301875675410702</c:v>
                </c:pt>
                <c:pt idx="68">
                  <c:v>0.79074299766476497</c:v>
                </c:pt>
                <c:pt idx="69">
                  <c:v>0.79110304591011105</c:v>
                </c:pt>
                <c:pt idx="70">
                  <c:v>0.79377197751957995</c:v>
                </c:pt>
                <c:pt idx="71">
                  <c:v>0.819382348373077</c:v>
                </c:pt>
                <c:pt idx="72">
                  <c:v>0.81716837750375204</c:v>
                </c:pt>
                <c:pt idx="73">
                  <c:v>0.82067742647539199</c:v>
                </c:pt>
                <c:pt idx="74">
                  <c:v>0.851826871264451</c:v>
                </c:pt>
                <c:pt idx="75">
                  <c:v>0.83440082254211201</c:v>
                </c:pt>
                <c:pt idx="76">
                  <c:v>0.852507202125939</c:v>
                </c:pt>
                <c:pt idx="77">
                  <c:v>0.852507202125939</c:v>
                </c:pt>
                <c:pt idx="78">
                  <c:v>0.84443285130548495</c:v>
                </c:pt>
                <c:pt idx="79">
                  <c:v>0.87307230305311201</c:v>
                </c:pt>
                <c:pt idx="80">
                  <c:v>0.87588131701956295</c:v>
                </c:pt>
                <c:pt idx="81">
                  <c:v>0.89130274249393204</c:v>
                </c:pt>
                <c:pt idx="82">
                  <c:v>0.85861085726029096</c:v>
                </c:pt>
                <c:pt idx="83">
                  <c:v>0.85851356171529003</c:v>
                </c:pt>
                <c:pt idx="84">
                  <c:v>0.84263939707257096</c:v>
                </c:pt>
                <c:pt idx="85">
                  <c:v>0.82803482113362603</c:v>
                </c:pt>
                <c:pt idx="86">
                  <c:v>0.85851356171529003</c:v>
                </c:pt>
                <c:pt idx="87">
                  <c:v>0.84451763496073995</c:v>
                </c:pt>
                <c:pt idx="88">
                  <c:v>0.84790364930397299</c:v>
                </c:pt>
                <c:pt idx="89">
                  <c:v>0.86619119046951298</c:v>
                </c:pt>
                <c:pt idx="90">
                  <c:v>0.910245503690152</c:v>
                </c:pt>
                <c:pt idx="91">
                  <c:v>0.89290914695732604</c:v>
                </c:pt>
                <c:pt idx="92">
                  <c:v>0.87226850902259401</c:v>
                </c:pt>
                <c:pt idx="93">
                  <c:v>0.89128952685596297</c:v>
                </c:pt>
                <c:pt idx="94">
                  <c:v>0.87104733311356397</c:v>
                </c:pt>
                <c:pt idx="95">
                  <c:v>0.84701078060636004</c:v>
                </c:pt>
                <c:pt idx="96">
                  <c:v>0.84675644186934695</c:v>
                </c:pt>
                <c:pt idx="97">
                  <c:v>0.86832868961091403</c:v>
                </c:pt>
                <c:pt idx="98">
                  <c:v>0.885671898426593</c:v>
                </c:pt>
                <c:pt idx="99">
                  <c:v>0.86831848418102098</c:v>
                </c:pt>
                <c:pt idx="100">
                  <c:v>0.85498076945371704</c:v>
                </c:pt>
                <c:pt idx="101">
                  <c:v>0.87213995657492904</c:v>
                </c:pt>
                <c:pt idx="102">
                  <c:v>0.85356056091635002</c:v>
                </c:pt>
                <c:pt idx="103">
                  <c:v>0.85467378378497705</c:v>
                </c:pt>
                <c:pt idx="104">
                  <c:v>0.836074004884102</c:v>
                </c:pt>
                <c:pt idx="105">
                  <c:v>0.81363065108031496</c:v>
                </c:pt>
                <c:pt idx="106">
                  <c:v>0.83425064960633499</c:v>
                </c:pt>
                <c:pt idx="107">
                  <c:v>0.81192425274368896</c:v>
                </c:pt>
                <c:pt idx="108">
                  <c:v>0.76624395820115998</c:v>
                </c:pt>
                <c:pt idx="109">
                  <c:v>0.74556803951524098</c:v>
                </c:pt>
                <c:pt idx="110">
                  <c:v>0.74556803951524098</c:v>
                </c:pt>
                <c:pt idx="111">
                  <c:v>0.72902118949627903</c:v>
                </c:pt>
                <c:pt idx="112">
                  <c:v>0.74754949703860096</c:v>
                </c:pt>
                <c:pt idx="113">
                  <c:v>0.72577244794763196</c:v>
                </c:pt>
                <c:pt idx="114">
                  <c:v>0.69274472587634806</c:v>
                </c:pt>
                <c:pt idx="115">
                  <c:v>0.72250975757212299</c:v>
                </c:pt>
                <c:pt idx="116">
                  <c:v>0.70629186250718001</c:v>
                </c:pt>
                <c:pt idx="117">
                  <c:v>0.70738390160501996</c:v>
                </c:pt>
                <c:pt idx="118">
                  <c:v>0.73166189405675097</c:v>
                </c:pt>
                <c:pt idx="119">
                  <c:v>0.75618746001711701</c:v>
                </c:pt>
                <c:pt idx="120">
                  <c:v>0.75486678604069102</c:v>
                </c:pt>
                <c:pt idx="121">
                  <c:v>0.771484788579061</c:v>
                </c:pt>
                <c:pt idx="122">
                  <c:v>0.74464419012176697</c:v>
                </c:pt>
                <c:pt idx="123">
                  <c:v>0.71633590828579896</c:v>
                </c:pt>
                <c:pt idx="124">
                  <c:v>0.67870748269177705</c:v>
                </c:pt>
                <c:pt idx="125">
                  <c:v>0.61251731306242996</c:v>
                </c:pt>
                <c:pt idx="126">
                  <c:v>0.57822132602668297</c:v>
                </c:pt>
                <c:pt idx="127">
                  <c:v>0.559460433785407</c:v>
                </c:pt>
                <c:pt idx="128">
                  <c:v>0.55969090716589698</c:v>
                </c:pt>
                <c:pt idx="129">
                  <c:v>0.367888732312324</c:v>
                </c:pt>
                <c:pt idx="130">
                  <c:v>0.44991679314134703</c:v>
                </c:pt>
                <c:pt idx="131">
                  <c:v>0.343565932630295</c:v>
                </c:pt>
                <c:pt idx="132">
                  <c:v>0.42213456893363699</c:v>
                </c:pt>
                <c:pt idx="133">
                  <c:v>0.42257495599278999</c:v>
                </c:pt>
                <c:pt idx="134">
                  <c:v>0.383004460274534</c:v>
                </c:pt>
                <c:pt idx="135">
                  <c:v>0.38279147275356301</c:v>
                </c:pt>
                <c:pt idx="136">
                  <c:v>0.38279147275356301</c:v>
                </c:pt>
                <c:pt idx="137">
                  <c:v>0.32338711550858601</c:v>
                </c:pt>
                <c:pt idx="138">
                  <c:v>0.35369890645833102</c:v>
                </c:pt>
                <c:pt idx="139">
                  <c:v>0.33186163023723098</c:v>
                </c:pt>
                <c:pt idx="140">
                  <c:v>0.31934207014088301</c:v>
                </c:pt>
                <c:pt idx="141">
                  <c:v>0.35010450976329799</c:v>
                </c:pt>
                <c:pt idx="142">
                  <c:v>0.43462730705216701</c:v>
                </c:pt>
                <c:pt idx="143">
                  <c:v>0.45701419816167999</c:v>
                </c:pt>
                <c:pt idx="144">
                  <c:v>0.45674725476883798</c:v>
                </c:pt>
                <c:pt idx="145">
                  <c:v>0.43002867204072798</c:v>
                </c:pt>
                <c:pt idx="146">
                  <c:v>0.473627443383146</c:v>
                </c:pt>
                <c:pt idx="147">
                  <c:v>0.48999705577596903</c:v>
                </c:pt>
                <c:pt idx="148">
                  <c:v>0.46893100954315098</c:v>
                </c:pt>
                <c:pt idx="149">
                  <c:v>0.39912661021989099</c:v>
                </c:pt>
                <c:pt idx="150">
                  <c:v>0.45277671098188799</c:v>
                </c:pt>
                <c:pt idx="151">
                  <c:v>0.42570300756113</c:v>
                </c:pt>
                <c:pt idx="152">
                  <c:v>0.36552450667219999</c:v>
                </c:pt>
                <c:pt idx="153">
                  <c:v>0.36539692843229499</c:v>
                </c:pt>
                <c:pt idx="154">
                  <c:v>0.33464433537542498</c:v>
                </c:pt>
                <c:pt idx="155">
                  <c:v>0.33458344922379002</c:v>
                </c:pt>
                <c:pt idx="156">
                  <c:v>0.31505205634612699</c:v>
                </c:pt>
                <c:pt idx="157">
                  <c:v>0.334027493112526</c:v>
                </c:pt>
                <c:pt idx="158">
                  <c:v>0.36192371081112201</c:v>
                </c:pt>
                <c:pt idx="159">
                  <c:v>0.36226743615738599</c:v>
                </c:pt>
                <c:pt idx="160">
                  <c:v>0.41605972221627302</c:v>
                </c:pt>
                <c:pt idx="161">
                  <c:v>0.439234845957858</c:v>
                </c:pt>
                <c:pt idx="162">
                  <c:v>0.41377930466343998</c:v>
                </c:pt>
                <c:pt idx="163">
                  <c:v>0.38763738178583501</c:v>
                </c:pt>
                <c:pt idx="164">
                  <c:v>0.38707778665425802</c:v>
                </c:pt>
                <c:pt idx="165">
                  <c:v>0.41131556149818799</c:v>
                </c:pt>
                <c:pt idx="166">
                  <c:v>0.38478710266298899</c:v>
                </c:pt>
                <c:pt idx="167">
                  <c:v>0.410587950533847</c:v>
                </c:pt>
                <c:pt idx="168">
                  <c:v>0.38449666572835101</c:v>
                </c:pt>
                <c:pt idx="169">
                  <c:v>0.35767470629269998</c:v>
                </c:pt>
                <c:pt idx="170">
                  <c:v>0.38504831317119298</c:v>
                </c:pt>
                <c:pt idx="171">
                  <c:v>0.41164243172086001</c:v>
                </c:pt>
                <c:pt idx="172">
                  <c:v>0.41092385739423598</c:v>
                </c:pt>
                <c:pt idx="173">
                  <c:v>0.41100158272746001</c:v>
                </c:pt>
                <c:pt idx="174">
                  <c:v>0.45457812646171702</c:v>
                </c:pt>
                <c:pt idx="175">
                  <c:v>0.45459535037724502</c:v>
                </c:pt>
                <c:pt idx="176">
                  <c:v>0.47441483161345099</c:v>
                </c:pt>
                <c:pt idx="177">
                  <c:v>0.47487286011146401</c:v>
                </c:pt>
                <c:pt idx="178">
                  <c:v>0.475595859590284</c:v>
                </c:pt>
                <c:pt idx="179">
                  <c:v>0.45449098513744102</c:v>
                </c:pt>
                <c:pt idx="180">
                  <c:v>0.45535981677361198</c:v>
                </c:pt>
                <c:pt idx="181">
                  <c:v>0.475595859590284</c:v>
                </c:pt>
                <c:pt idx="182">
                  <c:v>0.49785164828491202</c:v>
                </c:pt>
                <c:pt idx="183">
                  <c:v>0.45313476995693502</c:v>
                </c:pt>
                <c:pt idx="184">
                  <c:v>0.47345524330482502</c:v>
                </c:pt>
                <c:pt idx="185">
                  <c:v>0.47345524330482502</c:v>
                </c:pt>
                <c:pt idx="186">
                  <c:v>0.47367267081046699</c:v>
                </c:pt>
                <c:pt idx="187">
                  <c:v>0.44905662805025698</c:v>
                </c:pt>
                <c:pt idx="188">
                  <c:v>0.46961383574146598</c:v>
                </c:pt>
                <c:pt idx="189">
                  <c:v>0.49412020813719998</c:v>
                </c:pt>
                <c:pt idx="190">
                  <c:v>0.49412020813719998</c:v>
                </c:pt>
                <c:pt idx="191">
                  <c:v>0.490645181334884</c:v>
                </c:pt>
                <c:pt idx="192">
                  <c:v>0.490245807372506</c:v>
                </c:pt>
                <c:pt idx="193">
                  <c:v>0.44485844381328299</c:v>
                </c:pt>
                <c:pt idx="194">
                  <c:v>0.44562992385305</c:v>
                </c:pt>
                <c:pt idx="195">
                  <c:v>0.461630793166039</c:v>
                </c:pt>
                <c:pt idx="196">
                  <c:v>0.48583856044097401</c:v>
                </c:pt>
                <c:pt idx="197">
                  <c:v>0.54189899626716298</c:v>
                </c:pt>
                <c:pt idx="198">
                  <c:v>0.56780927639171197</c:v>
                </c:pt>
                <c:pt idx="199">
                  <c:v>0.541842357237176</c:v>
                </c:pt>
                <c:pt idx="200">
                  <c:v>0.508409072340408</c:v>
                </c:pt>
                <c:pt idx="201">
                  <c:v>0.50851555140808302</c:v>
                </c:pt>
                <c:pt idx="202">
                  <c:v>0.53761514525020104</c:v>
                </c:pt>
                <c:pt idx="203">
                  <c:v>0.53775096220647101</c:v>
                </c:pt>
                <c:pt idx="204">
                  <c:v>0.55994808522013495</c:v>
                </c:pt>
                <c:pt idx="205">
                  <c:v>0.55923798077262399</c:v>
                </c:pt>
                <c:pt idx="206">
                  <c:v>0.59158262628997005</c:v>
                </c:pt>
                <c:pt idx="207">
                  <c:v>0.59042721040695001</c:v>
                </c:pt>
                <c:pt idx="208">
                  <c:v>0.55990527677423996</c:v>
                </c:pt>
                <c:pt idx="209">
                  <c:v>0.614335309691869</c:v>
                </c:pt>
                <c:pt idx="210">
                  <c:v>0.66457945448095002</c:v>
                </c:pt>
                <c:pt idx="211">
                  <c:v>0.66484227327937295</c:v>
                </c:pt>
                <c:pt idx="212">
                  <c:v>0.66457945448095002</c:v>
                </c:pt>
                <c:pt idx="213">
                  <c:v>0.66194922130079104</c:v>
                </c:pt>
                <c:pt idx="214">
                  <c:v>0.63758870497027298</c:v>
                </c:pt>
                <c:pt idx="215">
                  <c:v>0.60813217145599097</c:v>
                </c:pt>
                <c:pt idx="216">
                  <c:v>0.58092112302735699</c:v>
                </c:pt>
                <c:pt idx="217">
                  <c:v>0.60172096268720499</c:v>
                </c:pt>
                <c:pt idx="218">
                  <c:v>0.54300415809967995</c:v>
                </c:pt>
                <c:pt idx="219">
                  <c:v>0.601158744048226</c:v>
                </c:pt>
                <c:pt idx="220">
                  <c:v>0.63113120835468395</c:v>
                </c:pt>
                <c:pt idx="221">
                  <c:v>0.62050008500155596</c:v>
                </c:pt>
                <c:pt idx="222">
                  <c:v>0.644780928204296</c:v>
                </c:pt>
                <c:pt idx="223">
                  <c:v>0.62101551120389098</c:v>
                </c:pt>
                <c:pt idx="224">
                  <c:v>0.64530537163066504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549952"/>
        <c:axId val="335551488"/>
      </c:lineChart>
      <c:dateAx>
        <c:axId val="335549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5551488"/>
        <c:crosses val="autoZero"/>
        <c:auto val="1"/>
        <c:lblOffset val="100"/>
        <c:baseTimeUnit val="days"/>
        <c:majorUnit val="6"/>
        <c:majorTimeUnit val="months"/>
      </c:dateAx>
      <c:valAx>
        <c:axId val="335551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35549952"/>
        <c:crosses val="autoZero"/>
        <c:crossBetween val="between"/>
      </c:valAx>
      <c:valAx>
        <c:axId val="335557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335559680"/>
        <c:crosses val="max"/>
        <c:crossBetween val="between"/>
      </c:valAx>
      <c:dateAx>
        <c:axId val="3355596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5557760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'Current Paying PMI'!$O$2</c:f>
              <c:strCache>
                <c:ptCount val="1"/>
                <c:pt idx="0">
                  <c:v>Diff(New-HARP)</c:v>
                </c:pt>
              </c:strCache>
            </c:strRef>
          </c:tx>
          <c:invertIfNegative val="0"/>
          <c:cat>
            <c:numRef>
              <c:f>'Current Paying PMI'!$K$3:$K$227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PMI'!$O$3:$O$227</c:f>
              <c:numCache>
                <c:formatCode>0%</c:formatCode>
                <c:ptCount val="225"/>
                <c:pt idx="0">
                  <c:v>9.3495241385430083E-3</c:v>
                </c:pt>
                <c:pt idx="1">
                  <c:v>9.7764953835769997E-3</c:v>
                </c:pt>
                <c:pt idx="2">
                  <c:v>1.0318153007277009E-2</c:v>
                </c:pt>
                <c:pt idx="3">
                  <c:v>9.3339138419399892E-3</c:v>
                </c:pt>
                <c:pt idx="4">
                  <c:v>8.475346466158995E-3</c:v>
                </c:pt>
                <c:pt idx="5">
                  <c:v>9.2530243339870033E-3</c:v>
                </c:pt>
                <c:pt idx="6">
                  <c:v>7.5123916485980158E-3</c:v>
                </c:pt>
                <c:pt idx="7">
                  <c:v>8.4254797116330438E-3</c:v>
                </c:pt>
                <c:pt idx="8">
                  <c:v>7.2636580526129757E-3</c:v>
                </c:pt>
                <c:pt idx="9">
                  <c:v>7.2671544618709838E-3</c:v>
                </c:pt>
                <c:pt idx="10">
                  <c:v>8.5764331301529939E-3</c:v>
                </c:pt>
                <c:pt idx="11">
                  <c:v>8.3215869708520018E-3</c:v>
                </c:pt>
                <c:pt idx="12">
                  <c:v>7.5233280501109667E-3</c:v>
                </c:pt>
                <c:pt idx="13">
                  <c:v>7.3718362209940214E-3</c:v>
                </c:pt>
                <c:pt idx="14">
                  <c:v>7.3236168429789972E-3</c:v>
                </c:pt>
                <c:pt idx="15">
                  <c:v>8.9599073183029843E-3</c:v>
                </c:pt>
                <c:pt idx="16">
                  <c:v>9.1440288694429883E-3</c:v>
                </c:pt>
                <c:pt idx="17">
                  <c:v>1.0089053710369E-2</c:v>
                </c:pt>
                <c:pt idx="18">
                  <c:v>1.1604541103639954E-2</c:v>
                </c:pt>
                <c:pt idx="19">
                  <c:v>1.1736471472792998E-2</c:v>
                </c:pt>
                <c:pt idx="20">
                  <c:v>1.2194486948020999E-2</c:v>
                </c:pt>
                <c:pt idx="21">
                  <c:v>1.4666242077077007E-2</c:v>
                </c:pt>
                <c:pt idx="22">
                  <c:v>1.4801730708252026E-2</c:v>
                </c:pt>
                <c:pt idx="23">
                  <c:v>1.4719262800910016E-2</c:v>
                </c:pt>
                <c:pt idx="24">
                  <c:v>1.4666242077077007E-2</c:v>
                </c:pt>
                <c:pt idx="25">
                  <c:v>1.4604701783771989E-2</c:v>
                </c:pt>
                <c:pt idx="26">
                  <c:v>1.3429700826978974E-2</c:v>
                </c:pt>
                <c:pt idx="27">
                  <c:v>1.5049871557931971E-2</c:v>
                </c:pt>
                <c:pt idx="28">
                  <c:v>1.5205300219296003E-2</c:v>
                </c:pt>
                <c:pt idx="29">
                  <c:v>1.3799936595487006E-2</c:v>
                </c:pt>
                <c:pt idx="30">
                  <c:v>1.7408259272822968E-2</c:v>
                </c:pt>
                <c:pt idx="31">
                  <c:v>1.8418134978159029E-2</c:v>
                </c:pt>
                <c:pt idx="32">
                  <c:v>1.9647746254231047E-2</c:v>
                </c:pt>
                <c:pt idx="33">
                  <c:v>1.7430095710167959E-2</c:v>
                </c:pt>
                <c:pt idx="34">
                  <c:v>1.8215036501237014E-2</c:v>
                </c:pt>
                <c:pt idx="35">
                  <c:v>2.0206441572086065E-2</c:v>
                </c:pt>
                <c:pt idx="36">
                  <c:v>1.9247265884268949E-2</c:v>
                </c:pt>
                <c:pt idx="37">
                  <c:v>1.9247265884268949E-2</c:v>
                </c:pt>
                <c:pt idx="38">
                  <c:v>2.0028947162988975E-2</c:v>
                </c:pt>
                <c:pt idx="39">
                  <c:v>1.8573776239296014E-2</c:v>
                </c:pt>
                <c:pt idx="40">
                  <c:v>1.9709494658493032E-2</c:v>
                </c:pt>
                <c:pt idx="41">
                  <c:v>1.9647685019433037E-2</c:v>
                </c:pt>
                <c:pt idx="42">
                  <c:v>1.9293741162645039E-2</c:v>
                </c:pt>
                <c:pt idx="43">
                  <c:v>1.8904364698372089E-2</c:v>
                </c:pt>
                <c:pt idx="44">
                  <c:v>1.8929213469001005E-2</c:v>
                </c:pt>
                <c:pt idx="45">
                  <c:v>1.8904364698372089E-2</c:v>
                </c:pt>
                <c:pt idx="46">
                  <c:v>1.7936046178664955E-2</c:v>
                </c:pt>
                <c:pt idx="47">
                  <c:v>1.8382652160383928E-2</c:v>
                </c:pt>
                <c:pt idx="48">
                  <c:v>1.8408175809995986E-2</c:v>
                </c:pt>
                <c:pt idx="49">
                  <c:v>1.7583763647146977E-2</c:v>
                </c:pt>
                <c:pt idx="50">
                  <c:v>1.8559332718324995E-2</c:v>
                </c:pt>
                <c:pt idx="51">
                  <c:v>1.7981692797587101E-2</c:v>
                </c:pt>
                <c:pt idx="52">
                  <c:v>1.8600258976843032E-2</c:v>
                </c:pt>
                <c:pt idx="53">
                  <c:v>1.8665984509633082E-2</c:v>
                </c:pt>
                <c:pt idx="54">
                  <c:v>1.8547178324596958E-2</c:v>
                </c:pt>
                <c:pt idx="55">
                  <c:v>1.7308349356765951E-2</c:v>
                </c:pt>
                <c:pt idx="56">
                  <c:v>1.8243782482877058E-2</c:v>
                </c:pt>
                <c:pt idx="57">
                  <c:v>1.8243782482877058E-2</c:v>
                </c:pt>
                <c:pt idx="58">
                  <c:v>1.8243782482877058E-2</c:v>
                </c:pt>
                <c:pt idx="59">
                  <c:v>1.693489903586598E-2</c:v>
                </c:pt>
                <c:pt idx="60">
                  <c:v>1.8326113974864944E-2</c:v>
                </c:pt>
                <c:pt idx="61">
                  <c:v>1.7934817450554918E-2</c:v>
                </c:pt>
                <c:pt idx="62">
                  <c:v>1.7797705219311011E-2</c:v>
                </c:pt>
                <c:pt idx="63">
                  <c:v>1.5990790065342986E-2</c:v>
                </c:pt>
                <c:pt idx="64">
                  <c:v>1.746434616697301E-2</c:v>
                </c:pt>
                <c:pt idx="65">
                  <c:v>1.9564630295097918E-2</c:v>
                </c:pt>
                <c:pt idx="66">
                  <c:v>1.991736462615501E-2</c:v>
                </c:pt>
                <c:pt idx="67">
                  <c:v>2.1602036666818036E-2</c:v>
                </c:pt>
                <c:pt idx="68">
                  <c:v>1.991736462615501E-2</c:v>
                </c:pt>
                <c:pt idx="69">
                  <c:v>2.1714787323291018E-2</c:v>
                </c:pt>
                <c:pt idx="70">
                  <c:v>2.0728347991117002E-2</c:v>
                </c:pt>
                <c:pt idx="71">
                  <c:v>2.2740230821109986E-2</c:v>
                </c:pt>
                <c:pt idx="72">
                  <c:v>2.3102469259690062E-2</c:v>
                </c:pt>
                <c:pt idx="73">
                  <c:v>2.2230821022807934E-2</c:v>
                </c:pt>
                <c:pt idx="74">
                  <c:v>2.2843554143903044E-2</c:v>
                </c:pt>
                <c:pt idx="75">
                  <c:v>2.130927465103194E-2</c:v>
                </c:pt>
                <c:pt idx="76">
                  <c:v>2.2115915769991945E-2</c:v>
                </c:pt>
                <c:pt idx="77">
                  <c:v>2.2115915769991945E-2</c:v>
                </c:pt>
                <c:pt idx="78">
                  <c:v>2.2677880181799948E-2</c:v>
                </c:pt>
                <c:pt idx="79">
                  <c:v>2.3080661909188005E-2</c:v>
                </c:pt>
                <c:pt idx="80">
                  <c:v>2.1594538110413009E-2</c:v>
                </c:pt>
                <c:pt idx="81">
                  <c:v>2.1243881609642967E-2</c:v>
                </c:pt>
                <c:pt idx="82">
                  <c:v>2.3646964380398927E-2</c:v>
                </c:pt>
                <c:pt idx="83">
                  <c:v>2.3511077421998983E-2</c:v>
                </c:pt>
                <c:pt idx="84">
                  <c:v>2.1865379268423912E-2</c:v>
                </c:pt>
                <c:pt idx="85">
                  <c:v>2.3011168931345027E-2</c:v>
                </c:pt>
                <c:pt idx="86">
                  <c:v>2.3511077421998983E-2</c:v>
                </c:pt>
                <c:pt idx="87">
                  <c:v>2.3879648060012082E-2</c:v>
                </c:pt>
                <c:pt idx="88">
                  <c:v>2.2185781271320981E-2</c:v>
                </c:pt>
                <c:pt idx="89">
                  <c:v>2.1499852763206984E-2</c:v>
                </c:pt>
                <c:pt idx="90">
                  <c:v>2.2623213265619002E-2</c:v>
                </c:pt>
                <c:pt idx="91">
                  <c:v>2.2028660134635003E-2</c:v>
                </c:pt>
                <c:pt idx="92">
                  <c:v>2.323860005587397E-2</c:v>
                </c:pt>
                <c:pt idx="93">
                  <c:v>2.3045104413206952E-2</c:v>
                </c:pt>
                <c:pt idx="94">
                  <c:v>2.3281195485508999E-2</c:v>
                </c:pt>
                <c:pt idx="95">
                  <c:v>2.3045894514512999E-2</c:v>
                </c:pt>
                <c:pt idx="96">
                  <c:v>2.3116433002183912E-2</c:v>
                </c:pt>
                <c:pt idx="97">
                  <c:v>2.1940207735437034E-2</c:v>
                </c:pt>
                <c:pt idx="98">
                  <c:v>2.5474221239196959E-2</c:v>
                </c:pt>
                <c:pt idx="99">
                  <c:v>2.192245353908695E-2</c:v>
                </c:pt>
                <c:pt idx="100">
                  <c:v>2.2006042072019949E-2</c:v>
                </c:pt>
                <c:pt idx="101">
                  <c:v>2.5400728001473971E-2</c:v>
                </c:pt>
                <c:pt idx="102">
                  <c:v>2.2933742337526986E-2</c:v>
                </c:pt>
                <c:pt idx="103">
                  <c:v>2.2159728908155985E-2</c:v>
                </c:pt>
                <c:pt idx="104">
                  <c:v>2.2334868622206017E-2</c:v>
                </c:pt>
                <c:pt idx="105">
                  <c:v>2.3285771323386051E-2</c:v>
                </c:pt>
                <c:pt idx="106">
                  <c:v>2.3012611082431023E-2</c:v>
                </c:pt>
                <c:pt idx="107">
                  <c:v>2.395908768709798E-2</c:v>
                </c:pt>
                <c:pt idx="108">
                  <c:v>2.182584852505598E-2</c:v>
                </c:pt>
                <c:pt idx="109">
                  <c:v>2.3138061689571998E-2</c:v>
                </c:pt>
                <c:pt idx="110">
                  <c:v>2.3138061689571998E-2</c:v>
                </c:pt>
                <c:pt idx="111">
                  <c:v>2.1574399682273038E-2</c:v>
                </c:pt>
                <c:pt idx="112">
                  <c:v>2.2049529166050075E-2</c:v>
                </c:pt>
                <c:pt idx="113">
                  <c:v>2.1712951748458997E-2</c:v>
                </c:pt>
                <c:pt idx="114">
                  <c:v>2.1006711837945002E-2</c:v>
                </c:pt>
                <c:pt idx="115">
                  <c:v>2.2718223243017976E-2</c:v>
                </c:pt>
                <c:pt idx="116">
                  <c:v>2.1336673395858985E-2</c:v>
                </c:pt>
                <c:pt idx="117">
                  <c:v>2.3934707665684951E-2</c:v>
                </c:pt>
                <c:pt idx="118">
                  <c:v>2.3885746565118993E-2</c:v>
                </c:pt>
                <c:pt idx="119">
                  <c:v>2.4636886181579998E-2</c:v>
                </c:pt>
                <c:pt idx="120">
                  <c:v>2.5954770465140942E-2</c:v>
                </c:pt>
                <c:pt idx="121">
                  <c:v>2.7387624846188063E-2</c:v>
                </c:pt>
                <c:pt idx="122">
                  <c:v>2.7396846707897993E-2</c:v>
                </c:pt>
                <c:pt idx="123">
                  <c:v>2.4356249349563042E-2</c:v>
                </c:pt>
                <c:pt idx="124">
                  <c:v>2.4748707436991979E-2</c:v>
                </c:pt>
                <c:pt idx="125">
                  <c:v>2.3721983966421001E-2</c:v>
                </c:pt>
                <c:pt idx="126">
                  <c:v>2.4015035680918007E-2</c:v>
                </c:pt>
                <c:pt idx="127">
                  <c:v>2.4586657410025969E-2</c:v>
                </c:pt>
                <c:pt idx="128">
                  <c:v>2.5020140115835976E-2</c:v>
                </c:pt>
                <c:pt idx="129">
                  <c:v>2.448780499499198E-2</c:v>
                </c:pt>
                <c:pt idx="130">
                  <c:v>2.5234444143474033E-2</c:v>
                </c:pt>
                <c:pt idx="131">
                  <c:v>2.3436581748615015E-2</c:v>
                </c:pt>
                <c:pt idx="132">
                  <c:v>2.4698216777366E-2</c:v>
                </c:pt>
                <c:pt idx="133">
                  <c:v>2.5923790087743037E-2</c:v>
                </c:pt>
                <c:pt idx="134">
                  <c:v>2.5579483137793013E-2</c:v>
                </c:pt>
                <c:pt idx="135">
                  <c:v>2.5253844188383001E-2</c:v>
                </c:pt>
                <c:pt idx="136">
                  <c:v>2.5253844188383001E-2</c:v>
                </c:pt>
                <c:pt idx="137">
                  <c:v>2.2354680914343006E-2</c:v>
                </c:pt>
                <c:pt idx="138">
                  <c:v>2.3237239610985033E-2</c:v>
                </c:pt>
                <c:pt idx="139">
                  <c:v>2.2833508159864985E-2</c:v>
                </c:pt>
                <c:pt idx="140">
                  <c:v>2.2826442408018011E-2</c:v>
                </c:pt>
                <c:pt idx="141">
                  <c:v>2.3657600623909009E-2</c:v>
                </c:pt>
                <c:pt idx="142">
                  <c:v>2.4411442429122021E-2</c:v>
                </c:pt>
                <c:pt idx="143">
                  <c:v>2.4521120670748964E-2</c:v>
                </c:pt>
                <c:pt idx="144">
                  <c:v>2.4364301177299985E-2</c:v>
                </c:pt>
                <c:pt idx="145">
                  <c:v>2.4726941736278041E-2</c:v>
                </c:pt>
                <c:pt idx="146">
                  <c:v>2.442832455333499E-2</c:v>
                </c:pt>
                <c:pt idx="147">
                  <c:v>2.5445593911785969E-2</c:v>
                </c:pt>
                <c:pt idx="148">
                  <c:v>2.4544578239795001E-2</c:v>
                </c:pt>
                <c:pt idx="149">
                  <c:v>2.4962760610098E-2</c:v>
                </c:pt>
                <c:pt idx="150">
                  <c:v>2.4443345160808039E-2</c:v>
                </c:pt>
                <c:pt idx="151">
                  <c:v>2.4714769010983018E-2</c:v>
                </c:pt>
                <c:pt idx="152">
                  <c:v>2.4132577762210977E-2</c:v>
                </c:pt>
                <c:pt idx="153">
                  <c:v>2.3910182191404006E-2</c:v>
                </c:pt>
                <c:pt idx="154">
                  <c:v>2.0677936525821006E-2</c:v>
                </c:pt>
                <c:pt idx="155">
                  <c:v>2.0405939315742999E-2</c:v>
                </c:pt>
                <c:pt idx="156">
                  <c:v>1.9012181649803006E-2</c:v>
                </c:pt>
                <c:pt idx="157">
                  <c:v>2.1725041379872995E-2</c:v>
                </c:pt>
                <c:pt idx="158">
                  <c:v>2.385631641094299E-2</c:v>
                </c:pt>
                <c:pt idx="159">
                  <c:v>2.4133376864509004E-2</c:v>
                </c:pt>
                <c:pt idx="160">
                  <c:v>2.3490582878840982E-2</c:v>
                </c:pt>
                <c:pt idx="161">
                  <c:v>2.3734404029613021E-2</c:v>
                </c:pt>
                <c:pt idx="162">
                  <c:v>2.4015377742685973E-2</c:v>
                </c:pt>
                <c:pt idx="163">
                  <c:v>2.4006639656241002E-2</c:v>
                </c:pt>
                <c:pt idx="164">
                  <c:v>2.2864760551051022E-2</c:v>
                </c:pt>
                <c:pt idx="165">
                  <c:v>2.4163207379861051E-2</c:v>
                </c:pt>
                <c:pt idx="166">
                  <c:v>2.4001956463504004E-2</c:v>
                </c:pt>
                <c:pt idx="167">
                  <c:v>2.4129946993109996E-2</c:v>
                </c:pt>
                <c:pt idx="168">
                  <c:v>2.2717125856637987E-2</c:v>
                </c:pt>
                <c:pt idx="169">
                  <c:v>2.4922595095405009E-2</c:v>
                </c:pt>
                <c:pt idx="170">
                  <c:v>2.5262059710907003E-2</c:v>
                </c:pt>
                <c:pt idx="171">
                  <c:v>2.5789543754646038E-2</c:v>
                </c:pt>
                <c:pt idx="172">
                  <c:v>2.5282717803924992E-2</c:v>
                </c:pt>
                <c:pt idx="173">
                  <c:v>2.7081223449143044E-2</c:v>
                </c:pt>
                <c:pt idx="174">
                  <c:v>2.9228013361092986E-2</c:v>
                </c:pt>
                <c:pt idx="175">
                  <c:v>2.9583398933585969E-2</c:v>
                </c:pt>
                <c:pt idx="176">
                  <c:v>3.0650699740589982E-2</c:v>
                </c:pt>
                <c:pt idx="177">
                  <c:v>3.189345616816297E-2</c:v>
                </c:pt>
                <c:pt idx="178">
                  <c:v>3.5124617247681011E-2</c:v>
                </c:pt>
                <c:pt idx="179">
                  <c:v>3.1810678137463022E-2</c:v>
                </c:pt>
                <c:pt idx="180">
                  <c:v>3.2199345902175991E-2</c:v>
                </c:pt>
                <c:pt idx="181">
                  <c:v>3.5124617247681011E-2</c:v>
                </c:pt>
                <c:pt idx="182">
                  <c:v>4.0894418191104953E-2</c:v>
                </c:pt>
                <c:pt idx="183">
                  <c:v>3.3218408855878012E-2</c:v>
                </c:pt>
                <c:pt idx="184">
                  <c:v>3.560048076730099E-2</c:v>
                </c:pt>
                <c:pt idx="185">
                  <c:v>3.560048076730099E-2</c:v>
                </c:pt>
                <c:pt idx="186">
                  <c:v>3.6682465672604025E-2</c:v>
                </c:pt>
                <c:pt idx="187">
                  <c:v>3.4538022001328994E-2</c:v>
                </c:pt>
                <c:pt idx="188">
                  <c:v>3.7848045871507974E-2</c:v>
                </c:pt>
                <c:pt idx="189">
                  <c:v>4.311865390370101E-2</c:v>
                </c:pt>
                <c:pt idx="190">
                  <c:v>4.311865390370101E-2</c:v>
                </c:pt>
                <c:pt idx="191">
                  <c:v>4.4396531936435002E-2</c:v>
                </c:pt>
                <c:pt idx="192">
                  <c:v>4.3202912888349987E-2</c:v>
                </c:pt>
                <c:pt idx="193">
                  <c:v>3.3927986103489016E-2</c:v>
                </c:pt>
                <c:pt idx="194">
                  <c:v>3.4664119688267991E-2</c:v>
                </c:pt>
                <c:pt idx="195">
                  <c:v>3.6299018885005974E-2</c:v>
                </c:pt>
                <c:pt idx="196">
                  <c:v>4.320778348878801E-2</c:v>
                </c:pt>
                <c:pt idx="197">
                  <c:v>5.5767371436922009E-2</c:v>
                </c:pt>
                <c:pt idx="198">
                  <c:v>5.7854243434436015E-2</c:v>
                </c:pt>
                <c:pt idx="199">
                  <c:v>5.5119685426901988E-2</c:v>
                </c:pt>
                <c:pt idx="200">
                  <c:v>4.9176612529252983E-2</c:v>
                </c:pt>
                <c:pt idx="201">
                  <c:v>4.922814110974999E-2</c:v>
                </c:pt>
                <c:pt idx="202">
                  <c:v>5.4910159185180996E-2</c:v>
                </c:pt>
                <c:pt idx="203">
                  <c:v>5.5879986587148045E-2</c:v>
                </c:pt>
                <c:pt idx="204">
                  <c:v>6.0133306816469001E-2</c:v>
                </c:pt>
                <c:pt idx="205">
                  <c:v>5.7371946942211982E-2</c:v>
                </c:pt>
                <c:pt idx="206">
                  <c:v>6.5990729484909971E-2</c:v>
                </c:pt>
                <c:pt idx="207">
                  <c:v>6.5567374115548971E-2</c:v>
                </c:pt>
                <c:pt idx="208">
                  <c:v>6.0112688684925975E-2</c:v>
                </c:pt>
                <c:pt idx="209">
                  <c:v>6.9436754868894002E-2</c:v>
                </c:pt>
                <c:pt idx="210">
                  <c:v>7.7699256329745059E-2</c:v>
                </c:pt>
                <c:pt idx="211">
                  <c:v>7.6952677594411045E-2</c:v>
                </c:pt>
                <c:pt idx="212">
                  <c:v>7.7699256329745059E-2</c:v>
                </c:pt>
                <c:pt idx="213">
                  <c:v>7.8919066492824985E-2</c:v>
                </c:pt>
                <c:pt idx="214">
                  <c:v>7.8500810862844106E-2</c:v>
                </c:pt>
                <c:pt idx="215">
                  <c:v>6.8989937785272015E-2</c:v>
                </c:pt>
                <c:pt idx="216">
                  <c:v>6.7065716502306971E-2</c:v>
                </c:pt>
                <c:pt idx="217">
                  <c:v>6.9638092828048004E-2</c:v>
                </c:pt>
                <c:pt idx="218">
                  <c:v>6.058929716573902E-2</c:v>
                </c:pt>
                <c:pt idx="219">
                  <c:v>6.8121076713101969E-2</c:v>
                </c:pt>
                <c:pt idx="220">
                  <c:v>7.8989527008370031E-2</c:v>
                </c:pt>
                <c:pt idx="221">
                  <c:v>7.8781843340151037E-2</c:v>
                </c:pt>
                <c:pt idx="222">
                  <c:v>7.9865453436108957E-2</c:v>
                </c:pt>
                <c:pt idx="223">
                  <c:v>7.8117664757740013E-2</c:v>
                </c:pt>
                <c:pt idx="224">
                  <c:v>7.9362525783738036E-2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698944"/>
        <c:axId val="335697408"/>
      </c:barChart>
      <c:lineChart>
        <c:grouping val="standard"/>
        <c:varyColors val="0"/>
        <c:ser>
          <c:idx val="0"/>
          <c:order val="0"/>
          <c:tx>
            <c:strRef>
              <c:f>'Current Paying PMI'!$L$2</c:f>
              <c:strCache>
                <c:ptCount val="1"/>
                <c:pt idx="0">
                  <c:v>Pool Level</c:v>
                </c:pt>
              </c:strCache>
            </c:strRef>
          </c:tx>
          <c:marker>
            <c:symbol val="none"/>
          </c:marker>
          <c:cat>
            <c:numRef>
              <c:f>'Current Paying PMI'!$K$3:$K$227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PMI'!$L$3:$L$227</c:f>
              <c:numCache>
                <c:formatCode>0%</c:formatCode>
                <c:ptCount val="225"/>
                <c:pt idx="0">
                  <c:v>0.62402170072443153</c:v>
                </c:pt>
                <c:pt idx="1">
                  <c:v>0.62817294477626939</c:v>
                </c:pt>
                <c:pt idx="2">
                  <c:v>0.62597730951219899</c:v>
                </c:pt>
                <c:pt idx="3">
                  <c:v>0.62392159162868732</c:v>
                </c:pt>
                <c:pt idx="4">
                  <c:v>0.60653142223595213</c:v>
                </c:pt>
                <c:pt idx="5">
                  <c:v>0.50868797673712363</c:v>
                </c:pt>
                <c:pt idx="6">
                  <c:v>0.52965901814335548</c:v>
                </c:pt>
                <c:pt idx="7">
                  <c:v>0.57709503787578109</c:v>
                </c:pt>
                <c:pt idx="8">
                  <c:v>0.59224775585706535</c:v>
                </c:pt>
                <c:pt idx="9">
                  <c:v>0.59090570789662444</c:v>
                </c:pt>
                <c:pt idx="10">
                  <c:v>0.60261779474869925</c:v>
                </c:pt>
                <c:pt idx="11">
                  <c:v>0.59950595681897523</c:v>
                </c:pt>
                <c:pt idx="12">
                  <c:v>0.593225708201635</c:v>
                </c:pt>
                <c:pt idx="13">
                  <c:v>0.58542144661011908</c:v>
                </c:pt>
                <c:pt idx="14">
                  <c:v>0.58155199492979581</c:v>
                </c:pt>
                <c:pt idx="15">
                  <c:v>0.59356262313394537</c:v>
                </c:pt>
                <c:pt idx="16">
                  <c:v>0.59445921362542997</c:v>
                </c:pt>
                <c:pt idx="17">
                  <c:v>0.59391131067456038</c:v>
                </c:pt>
                <c:pt idx="18">
                  <c:v>0.60662155942020002</c:v>
                </c:pt>
                <c:pt idx="19">
                  <c:v>0.61264076908113763</c:v>
                </c:pt>
                <c:pt idx="20">
                  <c:v>0.61599363608099678</c:v>
                </c:pt>
                <c:pt idx="21">
                  <c:v>0.66311590107349083</c:v>
                </c:pt>
                <c:pt idx="22">
                  <c:v>0.74517189360077984</c:v>
                </c:pt>
                <c:pt idx="23">
                  <c:v>0.72397022872334449</c:v>
                </c:pt>
                <c:pt idx="24">
                  <c:v>0.66311590107349083</c:v>
                </c:pt>
                <c:pt idx="25">
                  <c:v>0.69050447134038251</c:v>
                </c:pt>
                <c:pt idx="26">
                  <c:v>0.60410549631050647</c:v>
                </c:pt>
                <c:pt idx="27">
                  <c:v>0.684475421712615</c:v>
                </c:pt>
                <c:pt idx="28">
                  <c:v>0.66675683999516944</c:v>
                </c:pt>
                <c:pt idx="29">
                  <c:v>0.61660059317974736</c:v>
                </c:pt>
                <c:pt idx="30">
                  <c:v>0.81803711941746404</c:v>
                </c:pt>
                <c:pt idx="31">
                  <c:v>0.83404184296119399</c:v>
                </c:pt>
                <c:pt idx="32">
                  <c:v>0.86117434904403212</c:v>
                </c:pt>
                <c:pt idx="33">
                  <c:v>0.84714025108084823</c:v>
                </c:pt>
                <c:pt idx="34">
                  <c:v>0.84129278814437181</c:v>
                </c:pt>
                <c:pt idx="35">
                  <c:v>0.87859103936280614</c:v>
                </c:pt>
                <c:pt idx="36">
                  <c:v>0.90242289630359074</c:v>
                </c:pt>
                <c:pt idx="37">
                  <c:v>0.90242289630359074</c:v>
                </c:pt>
                <c:pt idx="38">
                  <c:v>0.94644262124543443</c:v>
                </c:pt>
                <c:pt idx="39">
                  <c:v>0.96725200604215567</c:v>
                </c:pt>
                <c:pt idx="40">
                  <c:v>0.84917694017596268</c:v>
                </c:pt>
                <c:pt idx="41">
                  <c:v>0.85635864773186432</c:v>
                </c:pt>
                <c:pt idx="42">
                  <c:v>0.86512672485653175</c:v>
                </c:pt>
                <c:pt idx="43">
                  <c:v>0.93485323798856346</c:v>
                </c:pt>
                <c:pt idx="44">
                  <c:v>0.94404770550683115</c:v>
                </c:pt>
                <c:pt idx="45">
                  <c:v>0.93485323798856346</c:v>
                </c:pt>
                <c:pt idx="46">
                  <c:v>0.94997170807452469</c:v>
                </c:pt>
                <c:pt idx="47">
                  <c:v>0.91542628506626045</c:v>
                </c:pt>
                <c:pt idx="48">
                  <c:v>0.9248746068169833</c:v>
                </c:pt>
                <c:pt idx="49">
                  <c:v>0.93969161247928745</c:v>
                </c:pt>
                <c:pt idx="50">
                  <c:v>0.9601958662364245</c:v>
                </c:pt>
                <c:pt idx="51">
                  <c:v>0.94762260030460288</c:v>
                </c:pt>
                <c:pt idx="52">
                  <c:v>0.94481773750585774</c:v>
                </c:pt>
                <c:pt idx="53">
                  <c:v>0.95320351892281485</c:v>
                </c:pt>
                <c:pt idx="54">
                  <c:v>0.95182771809710431</c:v>
                </c:pt>
                <c:pt idx="55">
                  <c:v>0.91861521434498927</c:v>
                </c:pt>
                <c:pt idx="56">
                  <c:v>0.94107838104995334</c:v>
                </c:pt>
                <c:pt idx="57">
                  <c:v>0.94107838104995334</c:v>
                </c:pt>
                <c:pt idx="58">
                  <c:v>0.94107838104995334</c:v>
                </c:pt>
                <c:pt idx="59">
                  <c:v>0.90921329115869776</c:v>
                </c:pt>
                <c:pt idx="60">
                  <c:v>0.91584710240533518</c:v>
                </c:pt>
                <c:pt idx="61">
                  <c:v>0.91902765125865959</c:v>
                </c:pt>
                <c:pt idx="62">
                  <c:v>0.90514599034862198</c:v>
                </c:pt>
                <c:pt idx="63">
                  <c:v>0.78959380464288376</c:v>
                </c:pt>
                <c:pt idx="64">
                  <c:v>0.87490910290764468</c:v>
                </c:pt>
                <c:pt idx="65">
                  <c:v>0.86928745494692716</c:v>
                </c:pt>
                <c:pt idx="66">
                  <c:v>0.90849340717481886</c:v>
                </c:pt>
                <c:pt idx="67">
                  <c:v>0.9034983903169389</c:v>
                </c:pt>
                <c:pt idx="68">
                  <c:v>0.90849340717481886</c:v>
                </c:pt>
                <c:pt idx="69">
                  <c:v>0.89225108632442729</c:v>
                </c:pt>
                <c:pt idx="70">
                  <c:v>0.89337268606647302</c:v>
                </c:pt>
                <c:pt idx="71">
                  <c:v>0.8948997967143093</c:v>
                </c:pt>
                <c:pt idx="72">
                  <c:v>0.89443957907281746</c:v>
                </c:pt>
                <c:pt idx="73">
                  <c:v>0.89512122084695944</c:v>
                </c:pt>
                <c:pt idx="74">
                  <c:v>0.8920195449585564</c:v>
                </c:pt>
                <c:pt idx="75">
                  <c:v>0.88667449797815956</c:v>
                </c:pt>
                <c:pt idx="76">
                  <c:v>0.89407594990163874</c:v>
                </c:pt>
                <c:pt idx="77">
                  <c:v>0.89407594990163874</c:v>
                </c:pt>
                <c:pt idx="78">
                  <c:v>0.8819114104860859</c:v>
                </c:pt>
                <c:pt idx="79">
                  <c:v>0.94551237246929465</c:v>
                </c:pt>
                <c:pt idx="80">
                  <c:v>0.97186924857158052</c:v>
                </c:pt>
                <c:pt idx="81">
                  <c:v>0.98451993370244106</c:v>
                </c:pt>
                <c:pt idx="82">
                  <c:v>0.9385222539497815</c:v>
                </c:pt>
                <c:pt idx="83">
                  <c:v>0.92408794393225557</c:v>
                </c:pt>
                <c:pt idx="84">
                  <c:v>0.88445471641937157</c:v>
                </c:pt>
                <c:pt idx="85">
                  <c:v>0.85694996797233836</c:v>
                </c:pt>
                <c:pt idx="86">
                  <c:v>0.92408794393225557</c:v>
                </c:pt>
                <c:pt idx="87">
                  <c:v>0.91761037893987563</c:v>
                </c:pt>
                <c:pt idx="88">
                  <c:v>0.94047646256577366</c:v>
                </c:pt>
                <c:pt idx="89">
                  <c:v>0.95891425076544745</c:v>
                </c:pt>
                <c:pt idx="90">
                  <c:v>0.96459917415866681</c:v>
                </c:pt>
                <c:pt idx="91">
                  <c:v>0.95362908529618629</c:v>
                </c:pt>
                <c:pt idx="92">
                  <c:v>0.95159604304738465</c:v>
                </c:pt>
                <c:pt idx="93">
                  <c:v>0.95277295236812309</c:v>
                </c:pt>
                <c:pt idx="94">
                  <c:v>0.95079229345734595</c:v>
                </c:pt>
                <c:pt idx="95">
                  <c:v>0.92571311512973709</c:v>
                </c:pt>
                <c:pt idx="96">
                  <c:v>0.9252942527060104</c:v>
                </c:pt>
                <c:pt idx="97">
                  <c:v>0.92772026190850965</c:v>
                </c:pt>
                <c:pt idx="98">
                  <c:v>0.9299301195282087</c:v>
                </c:pt>
                <c:pt idx="99">
                  <c:v>0.92756020040727527</c:v>
                </c:pt>
                <c:pt idx="100">
                  <c:v>0.9105479087849232</c:v>
                </c:pt>
                <c:pt idx="101">
                  <c:v>0.9126136851792267</c:v>
                </c:pt>
                <c:pt idx="102">
                  <c:v>0.90965157918840345</c:v>
                </c:pt>
                <c:pt idx="103">
                  <c:v>0.91018597538933266</c:v>
                </c:pt>
                <c:pt idx="104">
                  <c:v>0.88829814088555981</c:v>
                </c:pt>
                <c:pt idx="105">
                  <c:v>0.88507237465236011</c:v>
                </c:pt>
                <c:pt idx="106">
                  <c:v>0.88631407683414742</c:v>
                </c:pt>
                <c:pt idx="107">
                  <c:v>0.88379536104531342</c:v>
                </c:pt>
                <c:pt idx="108">
                  <c:v>0.84748759806752005</c:v>
                </c:pt>
                <c:pt idx="109">
                  <c:v>0.79744674672768578</c:v>
                </c:pt>
                <c:pt idx="110">
                  <c:v>0.79744674672768578</c:v>
                </c:pt>
                <c:pt idx="111">
                  <c:v>0.75767121274967097</c:v>
                </c:pt>
                <c:pt idx="112">
                  <c:v>0.81599621049204552</c:v>
                </c:pt>
                <c:pt idx="113">
                  <c:v>0.81254588826988361</c:v>
                </c:pt>
                <c:pt idx="114">
                  <c:v>0.70260073761186825</c:v>
                </c:pt>
                <c:pt idx="115">
                  <c:v>0.76832708554350626</c:v>
                </c:pt>
                <c:pt idx="116">
                  <c:v>0.73085022058809757</c:v>
                </c:pt>
                <c:pt idx="117">
                  <c:v>0.74812714109915845</c:v>
                </c:pt>
                <c:pt idx="118">
                  <c:v>0.81951890925716175</c:v>
                </c:pt>
                <c:pt idx="119">
                  <c:v>0.8263799320049966</c:v>
                </c:pt>
                <c:pt idx="120">
                  <c:v>0.82478602429419701</c:v>
                </c:pt>
                <c:pt idx="121">
                  <c:v>0.81686282095814366</c:v>
                </c:pt>
                <c:pt idx="122">
                  <c:v>0.80807149473903783</c:v>
                </c:pt>
                <c:pt idx="123">
                  <c:v>0.77783403735744605</c:v>
                </c:pt>
                <c:pt idx="124">
                  <c:v>0.69528028144531095</c:v>
                </c:pt>
                <c:pt idx="125">
                  <c:v>0.63267241864898449</c:v>
                </c:pt>
                <c:pt idx="126">
                  <c:v>0.60569175356282723</c:v>
                </c:pt>
                <c:pt idx="127">
                  <c:v>0.57343184072471942</c:v>
                </c:pt>
                <c:pt idx="128">
                  <c:v>0.58795254732817659</c:v>
                </c:pt>
                <c:pt idx="129">
                  <c:v>0.39082116641682313</c:v>
                </c:pt>
                <c:pt idx="130">
                  <c:v>0.4330864642120939</c:v>
                </c:pt>
                <c:pt idx="131">
                  <c:v>0.31856955774356621</c:v>
                </c:pt>
                <c:pt idx="132">
                  <c:v>0.42624975952077765</c:v>
                </c:pt>
                <c:pt idx="133">
                  <c:v>0.42922629610906576</c:v>
                </c:pt>
                <c:pt idx="134">
                  <c:v>0.40917398895537016</c:v>
                </c:pt>
                <c:pt idx="135">
                  <c:v>0.40797811985401045</c:v>
                </c:pt>
                <c:pt idx="136">
                  <c:v>0.40797811985401045</c:v>
                </c:pt>
                <c:pt idx="137">
                  <c:v>0.28211495793674252</c:v>
                </c:pt>
                <c:pt idx="138">
                  <c:v>0.32707732602530493</c:v>
                </c:pt>
                <c:pt idx="139">
                  <c:v>0.2818649256036454</c:v>
                </c:pt>
                <c:pt idx="140">
                  <c:v>0.27463010199382165</c:v>
                </c:pt>
                <c:pt idx="141">
                  <c:v>0.33277831045649614</c:v>
                </c:pt>
                <c:pt idx="142">
                  <c:v>0.40445747526612724</c:v>
                </c:pt>
                <c:pt idx="143">
                  <c:v>0.41528178559290679</c:v>
                </c:pt>
                <c:pt idx="144">
                  <c:v>0.41314719259777027</c:v>
                </c:pt>
                <c:pt idx="145">
                  <c:v>0.40232481590336117</c:v>
                </c:pt>
                <c:pt idx="146">
                  <c:v>0.43156912924668556</c:v>
                </c:pt>
                <c:pt idx="147">
                  <c:v>0.4605405147219428</c:v>
                </c:pt>
                <c:pt idx="148">
                  <c:v>0.42159370418067171</c:v>
                </c:pt>
                <c:pt idx="149">
                  <c:v>0.38756459325455095</c:v>
                </c:pt>
                <c:pt idx="150">
                  <c:v>0.41410653536495057</c:v>
                </c:pt>
                <c:pt idx="151">
                  <c:v>0.3969981593322805</c:v>
                </c:pt>
                <c:pt idx="152">
                  <c:v>0.37338021104571051</c:v>
                </c:pt>
                <c:pt idx="153">
                  <c:v>0.3707206267478419</c:v>
                </c:pt>
                <c:pt idx="154">
                  <c:v>0.33974567777608206</c:v>
                </c:pt>
                <c:pt idx="155">
                  <c:v>0.33029809597210952</c:v>
                </c:pt>
                <c:pt idx="156">
                  <c:v>0.26212623729092371</c:v>
                </c:pt>
                <c:pt idx="157">
                  <c:v>0.2902260049252946</c:v>
                </c:pt>
                <c:pt idx="158">
                  <c:v>0.36774882579493112</c:v>
                </c:pt>
                <c:pt idx="159">
                  <c:v>0.37084428304329614</c:v>
                </c:pt>
                <c:pt idx="160">
                  <c:v>0.38160196936392621</c:v>
                </c:pt>
                <c:pt idx="161">
                  <c:v>0.40068103493110224</c:v>
                </c:pt>
                <c:pt idx="162">
                  <c:v>0.38532630107916044</c:v>
                </c:pt>
                <c:pt idx="163">
                  <c:v>0.3755719775185945</c:v>
                </c:pt>
                <c:pt idx="164">
                  <c:v>0.36967404481869215</c:v>
                </c:pt>
                <c:pt idx="165">
                  <c:v>0.38316963725836589</c:v>
                </c:pt>
                <c:pt idx="166">
                  <c:v>0.36933430427665681</c:v>
                </c:pt>
                <c:pt idx="167">
                  <c:v>0.38030249532079374</c:v>
                </c:pt>
                <c:pt idx="168">
                  <c:v>0.36565400061256043</c:v>
                </c:pt>
                <c:pt idx="169">
                  <c:v>0.35521926568999218</c:v>
                </c:pt>
                <c:pt idx="170">
                  <c:v>0.36683376695248865</c:v>
                </c:pt>
                <c:pt idx="171">
                  <c:v>0.38166972699665563</c:v>
                </c:pt>
                <c:pt idx="172">
                  <c:v>0.37393962817107157</c:v>
                </c:pt>
                <c:pt idx="173">
                  <c:v>0.37360583835556432</c:v>
                </c:pt>
                <c:pt idx="174">
                  <c:v>0.40975674753773905</c:v>
                </c:pt>
                <c:pt idx="175">
                  <c:v>0.4132153406951769</c:v>
                </c:pt>
                <c:pt idx="176">
                  <c:v>0.44799454346559853</c:v>
                </c:pt>
                <c:pt idx="177">
                  <c:v>0.46362020494951672</c:v>
                </c:pt>
                <c:pt idx="178">
                  <c:v>0.46847875373528863</c:v>
                </c:pt>
                <c:pt idx="179">
                  <c:v>0.41096738430920449</c:v>
                </c:pt>
                <c:pt idx="180">
                  <c:v>0.42635938692148717</c:v>
                </c:pt>
                <c:pt idx="181">
                  <c:v>0.46847875373528863</c:v>
                </c:pt>
                <c:pt idx="182">
                  <c:v>0.48178321750260522</c:v>
                </c:pt>
                <c:pt idx="183">
                  <c:v>0.42147742037560049</c:v>
                </c:pt>
                <c:pt idx="184">
                  <c:v>0.45155296827836544</c:v>
                </c:pt>
                <c:pt idx="185">
                  <c:v>0.45155296827836544</c:v>
                </c:pt>
                <c:pt idx="186">
                  <c:v>0.45923072088835232</c:v>
                </c:pt>
                <c:pt idx="187">
                  <c:v>0.42413376349642812</c:v>
                </c:pt>
                <c:pt idx="188">
                  <c:v>0.45575254137027688</c:v>
                </c:pt>
                <c:pt idx="189">
                  <c:v>0.49084413664233395</c:v>
                </c:pt>
                <c:pt idx="190">
                  <c:v>0.49084413664233395</c:v>
                </c:pt>
                <c:pt idx="191">
                  <c:v>0.4873264191007175</c:v>
                </c:pt>
                <c:pt idx="192">
                  <c:v>0.4741591952243816</c:v>
                </c:pt>
                <c:pt idx="193">
                  <c:v>0.3981672862675662</c:v>
                </c:pt>
                <c:pt idx="194">
                  <c:v>0.41373230170663788</c:v>
                </c:pt>
                <c:pt idx="195">
                  <c:v>0.43232059685066798</c:v>
                </c:pt>
                <c:pt idx="196">
                  <c:v>0.47165449273347226</c:v>
                </c:pt>
                <c:pt idx="197">
                  <c:v>0.57517284737260799</c:v>
                </c:pt>
                <c:pt idx="198">
                  <c:v>0.58745733896979668</c:v>
                </c:pt>
                <c:pt idx="199">
                  <c:v>0.57181297396619646</c:v>
                </c:pt>
                <c:pt idx="200">
                  <c:v>0.54857982917990311</c:v>
                </c:pt>
                <c:pt idx="201">
                  <c:v>0.55497671209744126</c:v>
                </c:pt>
                <c:pt idx="202">
                  <c:v>0.56606721089043732</c:v>
                </c:pt>
                <c:pt idx="203">
                  <c:v>0.57290983086857539</c:v>
                </c:pt>
                <c:pt idx="204">
                  <c:v>0.59279776197128353</c:v>
                </c:pt>
                <c:pt idx="205">
                  <c:v>0.5786710507683992</c:v>
                </c:pt>
                <c:pt idx="206">
                  <c:v>0.6155496963810797</c:v>
                </c:pt>
                <c:pt idx="207">
                  <c:v>0.60574636223541978</c:v>
                </c:pt>
                <c:pt idx="208">
                  <c:v>0.59072795930158906</c:v>
                </c:pt>
                <c:pt idx="209">
                  <c:v>0.63580141506138355</c:v>
                </c:pt>
                <c:pt idx="210">
                  <c:v>0.66264885680249008</c:v>
                </c:pt>
                <c:pt idx="211">
                  <c:v>0.66474126748702123</c:v>
                </c:pt>
                <c:pt idx="212">
                  <c:v>0.66264885680249008</c:v>
                </c:pt>
                <c:pt idx="213">
                  <c:v>0.68438167594716182</c:v>
                </c:pt>
                <c:pt idx="214">
                  <c:v>0.64890841265420796</c:v>
                </c:pt>
                <c:pt idx="215">
                  <c:v>0.62651628119673453</c:v>
                </c:pt>
                <c:pt idx="216">
                  <c:v>0.61098575112407738</c:v>
                </c:pt>
                <c:pt idx="217">
                  <c:v>0.61966926616186646</c:v>
                </c:pt>
                <c:pt idx="218">
                  <c:v>0.57559445438514367</c:v>
                </c:pt>
                <c:pt idx="219">
                  <c:v>0.60937196228640689</c:v>
                </c:pt>
                <c:pt idx="220">
                  <c:v>0.64195316325793905</c:v>
                </c:pt>
                <c:pt idx="221">
                  <c:v>0.62778439660000751</c:v>
                </c:pt>
                <c:pt idx="222">
                  <c:v>0.64459292642165245</c:v>
                </c:pt>
                <c:pt idx="223">
                  <c:v>0.63055503904182508</c:v>
                </c:pt>
                <c:pt idx="224">
                  <c:v>0.64951370522505292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'Current Paying PMI'!$M$2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'Current Paying PMI'!$K$3:$K$227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PMI'!$M$3:$M$227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'Current Paying PMI'!$N$2</c:f>
              <c:strCache>
                <c:ptCount val="1"/>
                <c:pt idx="0">
                  <c:v>Currnet PMI</c:v>
                </c:pt>
              </c:strCache>
            </c:strRef>
          </c:tx>
          <c:marker>
            <c:symbol val="none"/>
          </c:marker>
          <c:cat>
            <c:numRef>
              <c:f>'Current Paying PMI'!$K$3:$K$227</c:f>
              <c:numCache>
                <c:formatCode>m/d/yyyy</c:formatCode>
                <c:ptCount val="225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</c:numCache>
            </c:numRef>
          </c:cat>
          <c:val>
            <c:numRef>
              <c:f>'Current Paying PMI'!$N$3:$N$227</c:f>
              <c:numCache>
                <c:formatCode>0%</c:formatCode>
                <c:ptCount val="225"/>
                <c:pt idx="0">
                  <c:v>0.42852398059902003</c:v>
                </c:pt>
                <c:pt idx="1">
                  <c:v>0.44599635168013801</c:v>
                </c:pt>
                <c:pt idx="2">
                  <c:v>0.42976523862424298</c:v>
                </c:pt>
                <c:pt idx="3">
                  <c:v>0.42804406226545899</c:v>
                </c:pt>
                <c:pt idx="4">
                  <c:v>0.39735095404405901</c:v>
                </c:pt>
                <c:pt idx="5">
                  <c:v>0.36026372477374102</c:v>
                </c:pt>
                <c:pt idx="6">
                  <c:v>0.37174112183007801</c:v>
                </c:pt>
                <c:pt idx="7">
                  <c:v>0.38268704676703003</c:v>
                </c:pt>
                <c:pt idx="8">
                  <c:v>0.38534073201873098</c:v>
                </c:pt>
                <c:pt idx="9">
                  <c:v>0.38530209930722298</c:v>
                </c:pt>
                <c:pt idx="10">
                  <c:v>0.41625559569387699</c:v>
                </c:pt>
                <c:pt idx="11">
                  <c:v>0.39986849956992299</c:v>
                </c:pt>
                <c:pt idx="12">
                  <c:v>0.38561724765369598</c:v>
                </c:pt>
                <c:pt idx="13">
                  <c:v>0.377336561198648</c:v>
                </c:pt>
                <c:pt idx="14">
                  <c:v>0.37716378157473002</c:v>
                </c:pt>
                <c:pt idx="15">
                  <c:v>0.39280861828637997</c:v>
                </c:pt>
                <c:pt idx="16">
                  <c:v>0.39347477869207098</c:v>
                </c:pt>
                <c:pt idx="17">
                  <c:v>0.404960459321071</c:v>
                </c:pt>
                <c:pt idx="18">
                  <c:v>0.44239757779940198</c:v>
                </c:pt>
                <c:pt idx="19">
                  <c:v>0.44263839982775999</c:v>
                </c:pt>
                <c:pt idx="20">
                  <c:v>0.443305158673787</c:v>
                </c:pt>
                <c:pt idx="21">
                  <c:v>0.46808927773665898</c:v>
                </c:pt>
                <c:pt idx="22">
                  <c:v>0.49109730679799701</c:v>
                </c:pt>
                <c:pt idx="23">
                  <c:v>0.49098227335116801</c:v>
                </c:pt>
                <c:pt idx="24">
                  <c:v>0.46808927773665898</c:v>
                </c:pt>
                <c:pt idx="25">
                  <c:v>0.489935821452404</c:v>
                </c:pt>
                <c:pt idx="26">
                  <c:v>0.43458744050497899</c:v>
                </c:pt>
                <c:pt idx="27">
                  <c:v>0.485108874378754</c:v>
                </c:pt>
                <c:pt idx="28">
                  <c:v>0.46318279756695502</c:v>
                </c:pt>
                <c:pt idx="29">
                  <c:v>0.45789854868906799</c:v>
                </c:pt>
                <c:pt idx="30">
                  <c:v>0.53278765965471897</c:v>
                </c:pt>
                <c:pt idx="31">
                  <c:v>0.63586839821177099</c:v>
                </c:pt>
                <c:pt idx="32">
                  <c:v>0.730678857237261</c:v>
                </c:pt>
                <c:pt idx="33">
                  <c:v>0.68478976915726397</c:v>
                </c:pt>
                <c:pt idx="34">
                  <c:v>0.67891821943498099</c:v>
                </c:pt>
                <c:pt idx="35">
                  <c:v>0.74882938585751302</c:v>
                </c:pt>
                <c:pt idx="36">
                  <c:v>0.75105682006900099</c:v>
                </c:pt>
                <c:pt idx="37">
                  <c:v>0.75105682006900099</c:v>
                </c:pt>
                <c:pt idx="38">
                  <c:v>0.80540404717700897</c:v>
                </c:pt>
                <c:pt idx="39">
                  <c:v>0.790582670298423</c:v>
                </c:pt>
                <c:pt idx="40">
                  <c:v>0.707335305309861</c:v>
                </c:pt>
                <c:pt idx="41">
                  <c:v>0.72872079834060799</c:v>
                </c:pt>
                <c:pt idx="42">
                  <c:v>0.73025745423770105</c:v>
                </c:pt>
                <c:pt idx="43">
                  <c:v>0.77103501437728905</c:v>
                </c:pt>
                <c:pt idx="44">
                  <c:v>0.77108265099835005</c:v>
                </c:pt>
                <c:pt idx="45">
                  <c:v>0.77103501437728905</c:v>
                </c:pt>
                <c:pt idx="46">
                  <c:v>0.77245486812915198</c:v>
                </c:pt>
                <c:pt idx="47">
                  <c:v>0.75539515722260098</c:v>
                </c:pt>
                <c:pt idx="48">
                  <c:v>0.75544279443301199</c:v>
                </c:pt>
                <c:pt idx="49">
                  <c:v>0.757642248754546</c:v>
                </c:pt>
                <c:pt idx="50">
                  <c:v>0.79118415521131102</c:v>
                </c:pt>
                <c:pt idx="51">
                  <c:v>0.78151191934601505</c:v>
                </c:pt>
                <c:pt idx="52">
                  <c:v>0.76877472295611105</c:v>
                </c:pt>
                <c:pt idx="53">
                  <c:v>0.78061484194895703</c:v>
                </c:pt>
                <c:pt idx="54">
                  <c:v>0.77869870375179695</c:v>
                </c:pt>
                <c:pt idx="55">
                  <c:v>0.74269630829851996</c:v>
                </c:pt>
                <c:pt idx="56">
                  <c:v>0.75801228690967404</c:v>
                </c:pt>
                <c:pt idx="57">
                  <c:v>0.75801228690967404</c:v>
                </c:pt>
                <c:pt idx="58">
                  <c:v>0.75801228690967404</c:v>
                </c:pt>
                <c:pt idx="59">
                  <c:v>0.72175870157936195</c:v>
                </c:pt>
                <c:pt idx="60">
                  <c:v>0.73029656495304496</c:v>
                </c:pt>
                <c:pt idx="61">
                  <c:v>0.73979044413136397</c:v>
                </c:pt>
                <c:pt idx="62">
                  <c:v>0.72964736165354105</c:v>
                </c:pt>
                <c:pt idx="63">
                  <c:v>0.64602889454414902</c:v>
                </c:pt>
                <c:pt idx="64">
                  <c:v>0.70222983991940502</c:v>
                </c:pt>
                <c:pt idx="65">
                  <c:v>0.70658526279350897</c:v>
                </c:pt>
                <c:pt idx="66">
                  <c:v>0.76351833890642296</c:v>
                </c:pt>
                <c:pt idx="67">
                  <c:v>0.73479366879535601</c:v>
                </c:pt>
                <c:pt idx="68">
                  <c:v>0.76351833890642296</c:v>
                </c:pt>
                <c:pt idx="69">
                  <c:v>0.76630418933940703</c:v>
                </c:pt>
                <c:pt idx="70">
                  <c:v>0.76953827651336104</c:v>
                </c:pt>
                <c:pt idx="71">
                  <c:v>0.79807316092952996</c:v>
                </c:pt>
                <c:pt idx="72">
                  <c:v>0.79563096421455903</c:v>
                </c:pt>
                <c:pt idx="73">
                  <c:v>0.79942305429412797</c:v>
                </c:pt>
                <c:pt idx="74">
                  <c:v>0.83446023873339104</c:v>
                </c:pt>
                <c:pt idx="75">
                  <c:v>0.81451926267734698</c:v>
                </c:pt>
                <c:pt idx="76">
                  <c:v>0.83520811127149397</c:v>
                </c:pt>
                <c:pt idx="77">
                  <c:v>0.83520811127149397</c:v>
                </c:pt>
                <c:pt idx="78">
                  <c:v>0.82572377371151395</c:v>
                </c:pt>
                <c:pt idx="79">
                  <c:v>0.85783899509521899</c:v>
                </c:pt>
                <c:pt idx="80">
                  <c:v>0.86087360527541701</c:v>
                </c:pt>
                <c:pt idx="81">
                  <c:v>0.87708074343545095</c:v>
                </c:pt>
                <c:pt idx="82">
                  <c:v>0.84037294476980395</c:v>
                </c:pt>
                <c:pt idx="83">
                  <c:v>0.840112046562973</c:v>
                </c:pt>
                <c:pt idx="84">
                  <c:v>0.82226069643838895</c:v>
                </c:pt>
                <c:pt idx="85">
                  <c:v>0.80587399760802503</c:v>
                </c:pt>
                <c:pt idx="86">
                  <c:v>0.840112046562973</c:v>
                </c:pt>
                <c:pt idx="87">
                  <c:v>0.82391595701949605</c:v>
                </c:pt>
                <c:pt idx="88">
                  <c:v>0.82736042337984095</c:v>
                </c:pt>
                <c:pt idx="89">
                  <c:v>0.84729321867928498</c:v>
                </c:pt>
                <c:pt idx="90">
                  <c:v>0.89615078381030699</c:v>
                </c:pt>
                <c:pt idx="91">
                  <c:v>0.87486861740066002</c:v>
                </c:pt>
                <c:pt idx="92">
                  <c:v>0.85304113167718099</c:v>
                </c:pt>
                <c:pt idx="93">
                  <c:v>0.87300917575702497</c:v>
                </c:pt>
                <c:pt idx="94">
                  <c:v>0.85152995637800399</c:v>
                </c:pt>
                <c:pt idx="95">
                  <c:v>0.82220398378432702</c:v>
                </c:pt>
                <c:pt idx="96">
                  <c:v>0.82185068481131995</c:v>
                </c:pt>
                <c:pt idx="97">
                  <c:v>0.84470977412850301</c:v>
                </c:pt>
                <c:pt idx="98">
                  <c:v>0.86614098528866201</c:v>
                </c:pt>
                <c:pt idx="99">
                  <c:v>0.84467796841209597</c:v>
                </c:pt>
                <c:pt idx="100">
                  <c:v>0.82850582146884499</c:v>
                </c:pt>
                <c:pt idx="101">
                  <c:v>0.84959064095614001</c:v>
                </c:pt>
                <c:pt idx="102">
                  <c:v>0.82683597281031795</c:v>
                </c:pt>
                <c:pt idx="103">
                  <c:v>0.82807405180361804</c:v>
                </c:pt>
                <c:pt idx="104">
                  <c:v>0.80673651039812899</c:v>
                </c:pt>
                <c:pt idx="105">
                  <c:v>0.78289243382516405</c:v>
                </c:pt>
                <c:pt idx="106">
                  <c:v>0.80443705009709199</c:v>
                </c:pt>
                <c:pt idx="107">
                  <c:v>0.78096114426466201</c:v>
                </c:pt>
                <c:pt idx="108">
                  <c:v>0.72958928267474799</c:v>
                </c:pt>
                <c:pt idx="109">
                  <c:v>0.70463630866607596</c:v>
                </c:pt>
                <c:pt idx="110">
                  <c:v>0.70463630866607596</c:v>
                </c:pt>
                <c:pt idx="111">
                  <c:v>0.68600596152600102</c:v>
                </c:pt>
                <c:pt idx="112">
                  <c:v>0.70679030246685104</c:v>
                </c:pt>
                <c:pt idx="113">
                  <c:v>0.68136636277891505</c:v>
                </c:pt>
                <c:pt idx="114">
                  <c:v>0.643549022861998</c:v>
                </c:pt>
                <c:pt idx="115">
                  <c:v>0.67762091879307995</c:v>
                </c:pt>
                <c:pt idx="116">
                  <c:v>0.65948110445833896</c:v>
                </c:pt>
                <c:pt idx="117">
                  <c:v>0.66095197338656198</c:v>
                </c:pt>
                <c:pt idx="118">
                  <c:v>0.68860823620008205</c:v>
                </c:pt>
                <c:pt idx="119">
                  <c:v>0.716254173818763</c:v>
                </c:pt>
                <c:pt idx="120">
                  <c:v>0.71489894663224296</c:v>
                </c:pt>
                <c:pt idx="121">
                  <c:v>0.73385185995662305</c:v>
                </c:pt>
                <c:pt idx="122">
                  <c:v>0.70449810822234304</c:v>
                </c:pt>
                <c:pt idx="123">
                  <c:v>0.670440489942566</c:v>
                </c:pt>
                <c:pt idx="124">
                  <c:v>0.62967212939531803</c:v>
                </c:pt>
                <c:pt idx="125">
                  <c:v>0.55358328589825201</c:v>
                </c:pt>
                <c:pt idx="126">
                  <c:v>0.513378243304075</c:v>
                </c:pt>
                <c:pt idx="127">
                  <c:v>0.49262377778590499</c:v>
                </c:pt>
                <c:pt idx="128">
                  <c:v>0.493438474284569</c:v>
                </c:pt>
                <c:pt idx="129">
                  <c:v>0.283795068214441</c:v>
                </c:pt>
                <c:pt idx="130">
                  <c:v>0.36923191611788803</c:v>
                </c:pt>
                <c:pt idx="131">
                  <c:v>0.253957802145788</c:v>
                </c:pt>
                <c:pt idx="132">
                  <c:v>0.338227154884298</c:v>
                </c:pt>
                <c:pt idx="133">
                  <c:v>0.34002935370481002</c:v>
                </c:pt>
                <c:pt idx="134">
                  <c:v>0.29429658935164799</c:v>
                </c:pt>
                <c:pt idx="135">
                  <c:v>0.29368072164202702</c:v>
                </c:pt>
                <c:pt idx="136">
                  <c:v>0.29368072164202702</c:v>
                </c:pt>
                <c:pt idx="137">
                  <c:v>0.22780665760041099</c:v>
                </c:pt>
                <c:pt idx="138">
                  <c:v>0.26087468607729303</c:v>
                </c:pt>
                <c:pt idx="139">
                  <c:v>0.234327007260555</c:v>
                </c:pt>
                <c:pt idx="140">
                  <c:v>0.221101303306941</c:v>
                </c:pt>
                <c:pt idx="141">
                  <c:v>0.25463965057747101</c:v>
                </c:pt>
                <c:pt idx="142">
                  <c:v>0.34572071513934099</c:v>
                </c:pt>
                <c:pt idx="143">
                  <c:v>0.36826613493452298</c:v>
                </c:pt>
                <c:pt idx="144">
                  <c:v>0.36772676288515499</c:v>
                </c:pt>
                <c:pt idx="145">
                  <c:v>0.33908242712021103</c:v>
                </c:pt>
                <c:pt idx="146">
                  <c:v>0.387225653389144</c:v>
                </c:pt>
                <c:pt idx="147">
                  <c:v>0.40621263933441498</c:v>
                </c:pt>
                <c:pt idx="148">
                  <c:v>0.37858348879144199</c:v>
                </c:pt>
                <c:pt idx="149">
                  <c:v>0.30261309490806398</c:v>
                </c:pt>
                <c:pt idx="150">
                  <c:v>0.36064781933831103</c:v>
                </c:pt>
                <c:pt idx="151">
                  <c:v>0.33133815164288799</c:v>
                </c:pt>
                <c:pt idx="152">
                  <c:v>0.26300483944839198</c:v>
                </c:pt>
                <c:pt idx="153">
                  <c:v>0.26260248571262501</c:v>
                </c:pt>
                <c:pt idx="154">
                  <c:v>0.22663439683454101</c:v>
                </c:pt>
                <c:pt idx="155">
                  <c:v>0.22629116015596901</c:v>
                </c:pt>
                <c:pt idx="156">
                  <c:v>0.20171259537917</c:v>
                </c:pt>
                <c:pt idx="157">
                  <c:v>0.225222551391554</c:v>
                </c:pt>
                <c:pt idx="158">
                  <c:v>0.256712796608494</c:v>
                </c:pt>
                <c:pt idx="159">
                  <c:v>0.25744135481017799</c:v>
                </c:pt>
                <c:pt idx="160">
                  <c:v>0.31438854181645098</c:v>
                </c:pt>
                <c:pt idx="161">
                  <c:v>0.33798112173000799</c:v>
                </c:pt>
                <c:pt idx="162">
                  <c:v>0.31055726404016398</c:v>
                </c:pt>
                <c:pt idx="163">
                  <c:v>0.28224141067613401</c:v>
                </c:pt>
                <c:pt idx="164">
                  <c:v>0.28030510938432601</c:v>
                </c:pt>
                <c:pt idx="165">
                  <c:v>0.30632423581387003</c:v>
                </c:pt>
                <c:pt idx="166">
                  <c:v>0.27739231314429902</c:v>
                </c:pt>
                <c:pt idx="167">
                  <c:v>0.305158136960197</c:v>
                </c:pt>
                <c:pt idx="168">
                  <c:v>0.27571464318613598</c:v>
                </c:pt>
                <c:pt idx="169">
                  <c:v>0.24706631517703201</c:v>
                </c:pt>
                <c:pt idx="170">
                  <c:v>0.27695663394785902</c:v>
                </c:pt>
                <c:pt idx="171">
                  <c:v>0.30636975607074801</c:v>
                </c:pt>
                <c:pt idx="172">
                  <c:v>0.30473155820130099</c:v>
                </c:pt>
                <c:pt idx="173">
                  <c:v>0.30466547690103202</c:v>
                </c:pt>
                <c:pt idx="174">
                  <c:v>0.35473146099265701</c:v>
                </c:pt>
                <c:pt idx="175">
                  <c:v>0.35510750939955799</c:v>
                </c:pt>
                <c:pt idx="176">
                  <c:v>0.37813915561231398</c:v>
                </c:pt>
                <c:pt idx="177">
                  <c:v>0.38007735837086398</c:v>
                </c:pt>
                <c:pt idx="178">
                  <c:v>0.38136274564707001</c:v>
                </c:pt>
                <c:pt idx="179">
                  <c:v>0.354558274605281</c:v>
                </c:pt>
                <c:pt idx="180">
                  <c:v>0.35638375297164099</c:v>
                </c:pt>
                <c:pt idx="181">
                  <c:v>0.38136274564707001</c:v>
                </c:pt>
                <c:pt idx="182">
                  <c:v>0.40668349695613898</c:v>
                </c:pt>
                <c:pt idx="183">
                  <c:v>0.35127441371780599</c:v>
                </c:pt>
                <c:pt idx="184">
                  <c:v>0.37569546518688601</c:v>
                </c:pt>
                <c:pt idx="185">
                  <c:v>0.37569546518688601</c:v>
                </c:pt>
                <c:pt idx="186">
                  <c:v>0.37710616064306202</c:v>
                </c:pt>
                <c:pt idx="187">
                  <c:v>0.34489863565206802</c:v>
                </c:pt>
                <c:pt idx="188">
                  <c:v>0.37048359025229799</c:v>
                </c:pt>
                <c:pt idx="189">
                  <c:v>0.40150628228700203</c:v>
                </c:pt>
                <c:pt idx="190">
                  <c:v>0.40150628228700203</c:v>
                </c:pt>
                <c:pt idx="191">
                  <c:v>0.39564048824252901</c:v>
                </c:pt>
                <c:pt idx="192">
                  <c:v>0.39402430051755699</c:v>
                </c:pt>
                <c:pt idx="193">
                  <c:v>0.335786197250867</c:v>
                </c:pt>
                <c:pt idx="194">
                  <c:v>0.33779900726217199</c:v>
                </c:pt>
                <c:pt idx="195">
                  <c:v>0.35298059221452499</c:v>
                </c:pt>
                <c:pt idx="196">
                  <c:v>0.38553330142435899</c:v>
                </c:pt>
                <c:pt idx="197">
                  <c:v>0.45862210331192299</c:v>
                </c:pt>
                <c:pt idx="198">
                  <c:v>0.49010064863363401</c:v>
                </c:pt>
                <c:pt idx="199">
                  <c:v>0.45791499093723897</c:v>
                </c:pt>
                <c:pt idx="200">
                  <c:v>0.41298189638604699</c:v>
                </c:pt>
                <c:pt idx="201">
                  <c:v>0.413158972870934</c:v>
                </c:pt>
                <c:pt idx="202">
                  <c:v>0.44955259080167498</c:v>
                </c:pt>
                <c:pt idx="203">
                  <c:v>0.45066656472309602</c:v>
                </c:pt>
                <c:pt idx="204">
                  <c:v>0.47792725629958699</c:v>
                </c:pt>
                <c:pt idx="205">
                  <c:v>0.47411357431497397</c:v>
                </c:pt>
                <c:pt idx="206">
                  <c:v>0.51872843856357098</c:v>
                </c:pt>
                <c:pt idx="207">
                  <c:v>0.515529212075723</c:v>
                </c:pt>
                <c:pt idx="208">
                  <c:v>0.47786309276619199</c:v>
                </c:pt>
                <c:pt idx="209">
                  <c:v>0.54657009543334001</c:v>
                </c:pt>
                <c:pt idx="210">
                  <c:v>0.61065980094002503</c:v>
                </c:pt>
                <c:pt idx="211">
                  <c:v>0.61221176462929705</c:v>
                </c:pt>
                <c:pt idx="212">
                  <c:v>0.61065980094002503</c:v>
                </c:pt>
                <c:pt idx="213">
                  <c:v>0.61088327202867398</c:v>
                </c:pt>
                <c:pt idx="214">
                  <c:v>0.57963018238461905</c:v>
                </c:pt>
                <c:pt idx="215">
                  <c:v>0.53686246920525704</c:v>
                </c:pt>
                <c:pt idx="216">
                  <c:v>0.50427101713461098</c:v>
                </c:pt>
                <c:pt idx="217">
                  <c:v>0.52923216774975401</c:v>
                </c:pt>
                <c:pt idx="218">
                  <c:v>0.45475870152619202</c:v>
                </c:pt>
                <c:pt idx="219">
                  <c:v>0.52662977972920499</c:v>
                </c:pt>
                <c:pt idx="220">
                  <c:v>0.57162965928380105</c:v>
                </c:pt>
                <c:pt idx="221">
                  <c:v>0.55578836979509405</c:v>
                </c:pt>
                <c:pt idx="222">
                  <c:v>0.58517099495605296</c:v>
                </c:pt>
                <c:pt idx="223">
                  <c:v>0.556970480976966</c:v>
                </c:pt>
                <c:pt idx="224">
                  <c:v>0.58711925424012301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677696"/>
        <c:axId val="335695872"/>
      </c:lineChart>
      <c:dateAx>
        <c:axId val="335677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5695872"/>
        <c:crosses val="autoZero"/>
        <c:auto val="1"/>
        <c:lblOffset val="100"/>
        <c:baseTimeUnit val="days"/>
        <c:majorUnit val="6"/>
        <c:majorTimeUnit val="months"/>
      </c:dateAx>
      <c:valAx>
        <c:axId val="3356958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5677696"/>
        <c:crosses val="autoZero"/>
        <c:crossBetween val="between"/>
      </c:valAx>
      <c:valAx>
        <c:axId val="3356974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35698944"/>
        <c:crosses val="max"/>
        <c:crossBetween val="between"/>
      </c:valAx>
      <c:dateAx>
        <c:axId val="335698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569740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 2005'!$K$2</c:f>
              <c:strCache>
                <c:ptCount val="1"/>
                <c:pt idx="0">
                  <c:v>Loan Issue Amount</c:v>
                </c:pt>
              </c:strCache>
            </c:strRef>
          </c:tx>
          <c:marker>
            <c:symbol val="none"/>
          </c:marker>
          <c:cat>
            <c:numRef>
              <c:f>'Pre 2005'!$J$3:$J$116</c:f>
              <c:numCache>
                <c:formatCode>m/d/yyyy</c:formatCode>
                <c:ptCount val="114"/>
                <c:pt idx="0">
                  <c:v>38687</c:v>
                </c:pt>
                <c:pt idx="1">
                  <c:v>38718</c:v>
                </c:pt>
                <c:pt idx="2">
                  <c:v>38749</c:v>
                </c:pt>
                <c:pt idx="3">
                  <c:v>38777</c:v>
                </c:pt>
                <c:pt idx="4">
                  <c:v>38808</c:v>
                </c:pt>
                <c:pt idx="5">
                  <c:v>38838</c:v>
                </c:pt>
                <c:pt idx="6">
                  <c:v>38869</c:v>
                </c:pt>
                <c:pt idx="7">
                  <c:v>38899</c:v>
                </c:pt>
                <c:pt idx="8">
                  <c:v>38930</c:v>
                </c:pt>
                <c:pt idx="9">
                  <c:v>38961</c:v>
                </c:pt>
                <c:pt idx="10">
                  <c:v>38991</c:v>
                </c:pt>
                <c:pt idx="11">
                  <c:v>39022</c:v>
                </c:pt>
                <c:pt idx="12">
                  <c:v>39052</c:v>
                </c:pt>
                <c:pt idx="13">
                  <c:v>39083</c:v>
                </c:pt>
                <c:pt idx="14">
                  <c:v>39114</c:v>
                </c:pt>
                <c:pt idx="15">
                  <c:v>39142</c:v>
                </c:pt>
                <c:pt idx="16">
                  <c:v>39173</c:v>
                </c:pt>
                <c:pt idx="17">
                  <c:v>39203</c:v>
                </c:pt>
                <c:pt idx="18">
                  <c:v>39234</c:v>
                </c:pt>
                <c:pt idx="19">
                  <c:v>39264</c:v>
                </c:pt>
                <c:pt idx="20">
                  <c:v>39295</c:v>
                </c:pt>
                <c:pt idx="21">
                  <c:v>39326</c:v>
                </c:pt>
                <c:pt idx="22">
                  <c:v>39356</c:v>
                </c:pt>
                <c:pt idx="23">
                  <c:v>39387</c:v>
                </c:pt>
                <c:pt idx="24">
                  <c:v>39417</c:v>
                </c:pt>
                <c:pt idx="25">
                  <c:v>39448</c:v>
                </c:pt>
                <c:pt idx="26">
                  <c:v>39479</c:v>
                </c:pt>
                <c:pt idx="27">
                  <c:v>39508</c:v>
                </c:pt>
                <c:pt idx="28">
                  <c:v>39539</c:v>
                </c:pt>
                <c:pt idx="29">
                  <c:v>39569</c:v>
                </c:pt>
                <c:pt idx="30">
                  <c:v>39600</c:v>
                </c:pt>
                <c:pt idx="31">
                  <c:v>39630</c:v>
                </c:pt>
                <c:pt idx="32">
                  <c:v>39661</c:v>
                </c:pt>
                <c:pt idx="33">
                  <c:v>39692</c:v>
                </c:pt>
                <c:pt idx="34">
                  <c:v>39722</c:v>
                </c:pt>
                <c:pt idx="35">
                  <c:v>39753</c:v>
                </c:pt>
                <c:pt idx="36">
                  <c:v>39783</c:v>
                </c:pt>
                <c:pt idx="37">
                  <c:v>39814</c:v>
                </c:pt>
                <c:pt idx="38">
                  <c:v>39845</c:v>
                </c:pt>
                <c:pt idx="39">
                  <c:v>39873</c:v>
                </c:pt>
                <c:pt idx="40">
                  <c:v>39904</c:v>
                </c:pt>
                <c:pt idx="41">
                  <c:v>39934</c:v>
                </c:pt>
                <c:pt idx="42">
                  <c:v>39965</c:v>
                </c:pt>
                <c:pt idx="43">
                  <c:v>39995</c:v>
                </c:pt>
                <c:pt idx="44">
                  <c:v>40026</c:v>
                </c:pt>
                <c:pt idx="45">
                  <c:v>40057</c:v>
                </c:pt>
                <c:pt idx="46">
                  <c:v>40087</c:v>
                </c:pt>
                <c:pt idx="47">
                  <c:v>40118</c:v>
                </c:pt>
                <c:pt idx="48">
                  <c:v>40148</c:v>
                </c:pt>
                <c:pt idx="49">
                  <c:v>40179</c:v>
                </c:pt>
                <c:pt idx="50">
                  <c:v>40210</c:v>
                </c:pt>
                <c:pt idx="51">
                  <c:v>40238</c:v>
                </c:pt>
                <c:pt idx="52">
                  <c:v>40269</c:v>
                </c:pt>
                <c:pt idx="53">
                  <c:v>40299</c:v>
                </c:pt>
                <c:pt idx="54">
                  <c:v>40330</c:v>
                </c:pt>
                <c:pt idx="55">
                  <c:v>40360</c:v>
                </c:pt>
                <c:pt idx="56">
                  <c:v>40391</c:v>
                </c:pt>
                <c:pt idx="57">
                  <c:v>40422</c:v>
                </c:pt>
                <c:pt idx="58">
                  <c:v>40452</c:v>
                </c:pt>
                <c:pt idx="59">
                  <c:v>40483</c:v>
                </c:pt>
                <c:pt idx="60">
                  <c:v>40513</c:v>
                </c:pt>
                <c:pt idx="61">
                  <c:v>40544</c:v>
                </c:pt>
                <c:pt idx="62">
                  <c:v>40575</c:v>
                </c:pt>
                <c:pt idx="63">
                  <c:v>40603</c:v>
                </c:pt>
                <c:pt idx="64">
                  <c:v>40634</c:v>
                </c:pt>
                <c:pt idx="65">
                  <c:v>40664</c:v>
                </c:pt>
                <c:pt idx="66">
                  <c:v>40695</c:v>
                </c:pt>
                <c:pt idx="67">
                  <c:v>40725</c:v>
                </c:pt>
                <c:pt idx="68">
                  <c:v>40756</c:v>
                </c:pt>
                <c:pt idx="69">
                  <c:v>40787</c:v>
                </c:pt>
                <c:pt idx="70">
                  <c:v>40817</c:v>
                </c:pt>
                <c:pt idx="71">
                  <c:v>40848</c:v>
                </c:pt>
                <c:pt idx="72">
                  <c:v>40878</c:v>
                </c:pt>
                <c:pt idx="73">
                  <c:v>40909</c:v>
                </c:pt>
                <c:pt idx="74">
                  <c:v>40940</c:v>
                </c:pt>
                <c:pt idx="75">
                  <c:v>40969</c:v>
                </c:pt>
                <c:pt idx="76">
                  <c:v>41000</c:v>
                </c:pt>
                <c:pt idx="77">
                  <c:v>41030</c:v>
                </c:pt>
                <c:pt idx="78">
                  <c:v>41061</c:v>
                </c:pt>
                <c:pt idx="79">
                  <c:v>41091</c:v>
                </c:pt>
                <c:pt idx="80">
                  <c:v>41122</c:v>
                </c:pt>
                <c:pt idx="81">
                  <c:v>41153</c:v>
                </c:pt>
                <c:pt idx="82">
                  <c:v>41183</c:v>
                </c:pt>
                <c:pt idx="83">
                  <c:v>41214</c:v>
                </c:pt>
                <c:pt idx="84">
                  <c:v>41244</c:v>
                </c:pt>
                <c:pt idx="85">
                  <c:v>41275</c:v>
                </c:pt>
                <c:pt idx="86">
                  <c:v>41306</c:v>
                </c:pt>
                <c:pt idx="87">
                  <c:v>41334</c:v>
                </c:pt>
                <c:pt idx="88">
                  <c:v>41365</c:v>
                </c:pt>
                <c:pt idx="89">
                  <c:v>41395</c:v>
                </c:pt>
                <c:pt idx="90">
                  <c:v>41426</c:v>
                </c:pt>
                <c:pt idx="91">
                  <c:v>41456</c:v>
                </c:pt>
                <c:pt idx="92">
                  <c:v>41487</c:v>
                </c:pt>
                <c:pt idx="93">
                  <c:v>41518</c:v>
                </c:pt>
                <c:pt idx="94">
                  <c:v>41548</c:v>
                </c:pt>
                <c:pt idx="95">
                  <c:v>41579</c:v>
                </c:pt>
                <c:pt idx="96">
                  <c:v>41609</c:v>
                </c:pt>
                <c:pt idx="97">
                  <c:v>41640</c:v>
                </c:pt>
                <c:pt idx="98">
                  <c:v>41671</c:v>
                </c:pt>
                <c:pt idx="99">
                  <c:v>41699</c:v>
                </c:pt>
                <c:pt idx="100">
                  <c:v>41730</c:v>
                </c:pt>
                <c:pt idx="101">
                  <c:v>41760</c:v>
                </c:pt>
                <c:pt idx="102">
                  <c:v>41791</c:v>
                </c:pt>
                <c:pt idx="103">
                  <c:v>41821</c:v>
                </c:pt>
                <c:pt idx="104">
                  <c:v>41852</c:v>
                </c:pt>
                <c:pt idx="105">
                  <c:v>41883</c:v>
                </c:pt>
                <c:pt idx="106">
                  <c:v>41913</c:v>
                </c:pt>
                <c:pt idx="107">
                  <c:v>41944</c:v>
                </c:pt>
                <c:pt idx="108">
                  <c:v>41974</c:v>
                </c:pt>
                <c:pt idx="109">
                  <c:v>42005</c:v>
                </c:pt>
                <c:pt idx="110">
                  <c:v>42036</c:v>
                </c:pt>
                <c:pt idx="111">
                  <c:v>42064</c:v>
                </c:pt>
                <c:pt idx="112">
                  <c:v>42095</c:v>
                </c:pt>
                <c:pt idx="113">
                  <c:v>42125</c:v>
                </c:pt>
              </c:numCache>
            </c:numRef>
          </c:cat>
          <c:val>
            <c:numRef>
              <c:f>'Pre 2005'!$K$3:$K$116</c:f>
              <c:numCache>
                <c:formatCode>_(* #,##0_);_(* \(#,##0\);_(* "-"??_);_(@_)</c:formatCode>
                <c:ptCount val="114"/>
                <c:pt idx="0">
                  <c:v>28216998784</c:v>
                </c:pt>
                <c:pt idx="1">
                  <c:v>25398137640</c:v>
                </c:pt>
                <c:pt idx="2">
                  <c:v>22102407664</c:v>
                </c:pt>
                <c:pt idx="3">
                  <c:v>21134279253</c:v>
                </c:pt>
                <c:pt idx="4">
                  <c:v>23221444365</c:v>
                </c:pt>
                <c:pt idx="5">
                  <c:v>19920234735</c:v>
                </c:pt>
                <c:pt idx="6">
                  <c:v>22999277173</c:v>
                </c:pt>
                <c:pt idx="7">
                  <c:v>24224867114</c:v>
                </c:pt>
                <c:pt idx="8">
                  <c:v>24931995308</c:v>
                </c:pt>
                <c:pt idx="9">
                  <c:v>24603501275</c:v>
                </c:pt>
                <c:pt idx="10">
                  <c:v>21767059973</c:v>
                </c:pt>
                <c:pt idx="11">
                  <c:v>20900708558</c:v>
                </c:pt>
                <c:pt idx="12">
                  <c:v>27336350292</c:v>
                </c:pt>
                <c:pt idx="13">
                  <c:v>24075163449</c:v>
                </c:pt>
                <c:pt idx="14">
                  <c:v>29980642910</c:v>
                </c:pt>
                <c:pt idx="15">
                  <c:v>29778983271</c:v>
                </c:pt>
                <c:pt idx="16">
                  <c:v>28415344952</c:v>
                </c:pt>
                <c:pt idx="17">
                  <c:v>31857146599</c:v>
                </c:pt>
                <c:pt idx="18">
                  <c:v>31202340391</c:v>
                </c:pt>
                <c:pt idx="19">
                  <c:v>27500824313</c:v>
                </c:pt>
                <c:pt idx="20">
                  <c:v>31486925052</c:v>
                </c:pt>
                <c:pt idx="21">
                  <c:v>32638759687</c:v>
                </c:pt>
                <c:pt idx="22">
                  <c:v>27135581711</c:v>
                </c:pt>
                <c:pt idx="23">
                  <c:v>31637541229</c:v>
                </c:pt>
                <c:pt idx="24">
                  <c:v>28446519312</c:v>
                </c:pt>
                <c:pt idx="25">
                  <c:v>27125443841</c:v>
                </c:pt>
                <c:pt idx="26">
                  <c:v>40203710137</c:v>
                </c:pt>
                <c:pt idx="27">
                  <c:v>37801573038</c:v>
                </c:pt>
                <c:pt idx="28">
                  <c:v>37173639896</c:v>
                </c:pt>
                <c:pt idx="29">
                  <c:v>40983559604</c:v>
                </c:pt>
                <c:pt idx="30">
                  <c:v>33255669825</c:v>
                </c:pt>
                <c:pt idx="31">
                  <c:v>19494312338</c:v>
                </c:pt>
                <c:pt idx="32">
                  <c:v>18690959642</c:v>
                </c:pt>
                <c:pt idx="33">
                  <c:v>17776205145</c:v>
                </c:pt>
                <c:pt idx="34">
                  <c:v>13057902254</c:v>
                </c:pt>
                <c:pt idx="35">
                  <c:v>13700425950</c:v>
                </c:pt>
                <c:pt idx="36">
                  <c:v>14769479317</c:v>
                </c:pt>
                <c:pt idx="37">
                  <c:v>16237362765</c:v>
                </c:pt>
                <c:pt idx="38">
                  <c:v>29632253745</c:v>
                </c:pt>
                <c:pt idx="39">
                  <c:v>57506281286</c:v>
                </c:pt>
                <c:pt idx="40">
                  <c:v>46179412107</c:v>
                </c:pt>
                <c:pt idx="41">
                  <c:v>43712600576</c:v>
                </c:pt>
                <c:pt idx="42">
                  <c:v>60043212356</c:v>
                </c:pt>
                <c:pt idx="43">
                  <c:v>42766970309</c:v>
                </c:pt>
                <c:pt idx="44">
                  <c:v>47324376215</c:v>
                </c:pt>
                <c:pt idx="45">
                  <c:v>30545745605</c:v>
                </c:pt>
                <c:pt idx="46">
                  <c:v>25447284892</c:v>
                </c:pt>
                <c:pt idx="47">
                  <c:v>25295105750</c:v>
                </c:pt>
                <c:pt idx="48">
                  <c:v>34701865157</c:v>
                </c:pt>
                <c:pt idx="49">
                  <c:v>28268837561</c:v>
                </c:pt>
                <c:pt idx="50">
                  <c:v>27635808941</c:v>
                </c:pt>
                <c:pt idx="51">
                  <c:v>29871379284</c:v>
                </c:pt>
                <c:pt idx="52">
                  <c:v>22637194168</c:v>
                </c:pt>
                <c:pt idx="53">
                  <c:v>22774339151</c:v>
                </c:pt>
                <c:pt idx="54">
                  <c:v>26647052799</c:v>
                </c:pt>
                <c:pt idx="55">
                  <c:v>25149723342</c:v>
                </c:pt>
                <c:pt idx="56">
                  <c:v>27451522490</c:v>
                </c:pt>
                <c:pt idx="57">
                  <c:v>35257004318</c:v>
                </c:pt>
                <c:pt idx="58">
                  <c:v>35916709686</c:v>
                </c:pt>
                <c:pt idx="59">
                  <c:v>36678149397</c:v>
                </c:pt>
                <c:pt idx="60">
                  <c:v>42614696791</c:v>
                </c:pt>
                <c:pt idx="61">
                  <c:v>34994543064</c:v>
                </c:pt>
                <c:pt idx="62">
                  <c:v>32589244438</c:v>
                </c:pt>
                <c:pt idx="63">
                  <c:v>21714830847</c:v>
                </c:pt>
                <c:pt idx="64">
                  <c:v>19959496579</c:v>
                </c:pt>
                <c:pt idx="65">
                  <c:v>17397147006</c:v>
                </c:pt>
                <c:pt idx="66">
                  <c:v>18381566569</c:v>
                </c:pt>
                <c:pt idx="67">
                  <c:v>15313940974</c:v>
                </c:pt>
                <c:pt idx="68">
                  <c:v>21281164242</c:v>
                </c:pt>
                <c:pt idx="69">
                  <c:v>22513817251</c:v>
                </c:pt>
                <c:pt idx="70">
                  <c:v>26880624692</c:v>
                </c:pt>
                <c:pt idx="71">
                  <c:v>26524162132</c:v>
                </c:pt>
                <c:pt idx="72">
                  <c:v>19400953469</c:v>
                </c:pt>
                <c:pt idx="73">
                  <c:v>29339986618</c:v>
                </c:pt>
                <c:pt idx="74">
                  <c:v>35504941304</c:v>
                </c:pt>
                <c:pt idx="75">
                  <c:v>38618630398</c:v>
                </c:pt>
                <c:pt idx="76">
                  <c:v>27831912515</c:v>
                </c:pt>
                <c:pt idx="77">
                  <c:v>24545346395</c:v>
                </c:pt>
                <c:pt idx="78">
                  <c:v>42057237057</c:v>
                </c:pt>
                <c:pt idx="79">
                  <c:v>32059284224</c:v>
                </c:pt>
                <c:pt idx="80">
                  <c:v>37348596947</c:v>
                </c:pt>
                <c:pt idx="81">
                  <c:v>33288000458</c:v>
                </c:pt>
                <c:pt idx="82">
                  <c:v>41842921105</c:v>
                </c:pt>
                <c:pt idx="83">
                  <c:v>55194948389</c:v>
                </c:pt>
                <c:pt idx="84">
                  <c:v>25944147408</c:v>
                </c:pt>
                <c:pt idx="85">
                  <c:v>39932973038</c:v>
                </c:pt>
                <c:pt idx="86">
                  <c:v>40841611951</c:v>
                </c:pt>
                <c:pt idx="87">
                  <c:v>49406026111</c:v>
                </c:pt>
                <c:pt idx="88">
                  <c:v>43421503678</c:v>
                </c:pt>
                <c:pt idx="89">
                  <c:v>38644186493</c:v>
                </c:pt>
                <c:pt idx="90">
                  <c:v>43845146476</c:v>
                </c:pt>
                <c:pt idx="91">
                  <c:v>35728886976</c:v>
                </c:pt>
                <c:pt idx="92">
                  <c:v>32918385555</c:v>
                </c:pt>
                <c:pt idx="93">
                  <c:v>24924818839</c:v>
                </c:pt>
                <c:pt idx="94">
                  <c:v>21037463243</c:v>
                </c:pt>
                <c:pt idx="95">
                  <c:v>20756969576</c:v>
                </c:pt>
                <c:pt idx="96">
                  <c:v>21387472756</c:v>
                </c:pt>
                <c:pt idx="97">
                  <c:v>18936729734</c:v>
                </c:pt>
                <c:pt idx="98">
                  <c:v>16807144640</c:v>
                </c:pt>
                <c:pt idx="99">
                  <c:v>13833162137</c:v>
                </c:pt>
                <c:pt idx="100">
                  <c:v>17694283317</c:v>
                </c:pt>
                <c:pt idx="101">
                  <c:v>16809241110</c:v>
                </c:pt>
                <c:pt idx="102">
                  <c:v>19224686243</c:v>
                </c:pt>
                <c:pt idx="103">
                  <c:v>21727826837</c:v>
                </c:pt>
                <c:pt idx="104">
                  <c:v>27190418102</c:v>
                </c:pt>
                <c:pt idx="105">
                  <c:v>24746431184</c:v>
                </c:pt>
                <c:pt idx="106">
                  <c:v>23775386522</c:v>
                </c:pt>
                <c:pt idx="107">
                  <c:v>21757107550</c:v>
                </c:pt>
                <c:pt idx="108">
                  <c:v>20214561640</c:v>
                </c:pt>
                <c:pt idx="109">
                  <c:v>21609708424</c:v>
                </c:pt>
                <c:pt idx="110">
                  <c:v>29147484308</c:v>
                </c:pt>
                <c:pt idx="111">
                  <c:v>25338441428</c:v>
                </c:pt>
                <c:pt idx="112">
                  <c:v>32896128366</c:v>
                </c:pt>
                <c:pt idx="113">
                  <c:v>17717134880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02912"/>
        <c:axId val="336104448"/>
      </c:lineChart>
      <c:dateAx>
        <c:axId val="336102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6104448"/>
        <c:crosses val="autoZero"/>
        <c:auto val="1"/>
        <c:lblOffset val="100"/>
        <c:baseTimeUnit val="months"/>
      </c:dateAx>
      <c:valAx>
        <c:axId val="336104448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36102912"/>
        <c:crosses val="autoZero"/>
        <c:crossBetween val="between"/>
        <c:dispUnits>
          <c:builtInUnit val="billions"/>
          <c:dispUnitsLbl>
            <c:layout/>
          </c:dispUnitsLbl>
        </c:dispUnits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'Pre 2005'!$N$2</c:f>
              <c:strCache>
                <c:ptCount val="1"/>
                <c:pt idx="0">
                  <c:v>Pool Issue Amount</c:v>
                </c:pt>
              </c:strCache>
            </c:strRef>
          </c:tx>
          <c:marker>
            <c:symbol val="none"/>
          </c:marker>
          <c:cat>
            <c:numRef>
              <c:f>'Pre 2005'!$M$3:$M$298</c:f>
              <c:numCache>
                <c:formatCode>m/d/yyyy</c:formatCode>
                <c:ptCount val="296"/>
                <c:pt idx="0">
                  <c:v>33147</c:v>
                </c:pt>
                <c:pt idx="1">
                  <c:v>33178</c:v>
                </c:pt>
                <c:pt idx="2">
                  <c:v>33208</c:v>
                </c:pt>
                <c:pt idx="3">
                  <c:v>33239</c:v>
                </c:pt>
                <c:pt idx="4">
                  <c:v>33270</c:v>
                </c:pt>
                <c:pt idx="5">
                  <c:v>33298</c:v>
                </c:pt>
                <c:pt idx="6">
                  <c:v>33329</c:v>
                </c:pt>
                <c:pt idx="7">
                  <c:v>33359</c:v>
                </c:pt>
                <c:pt idx="8">
                  <c:v>33390</c:v>
                </c:pt>
                <c:pt idx="9">
                  <c:v>33420</c:v>
                </c:pt>
                <c:pt idx="10">
                  <c:v>33451</c:v>
                </c:pt>
                <c:pt idx="11">
                  <c:v>33482</c:v>
                </c:pt>
                <c:pt idx="12">
                  <c:v>33512</c:v>
                </c:pt>
                <c:pt idx="13">
                  <c:v>33543</c:v>
                </c:pt>
                <c:pt idx="14">
                  <c:v>33573</c:v>
                </c:pt>
                <c:pt idx="15">
                  <c:v>33604</c:v>
                </c:pt>
                <c:pt idx="16">
                  <c:v>33635</c:v>
                </c:pt>
                <c:pt idx="17">
                  <c:v>33664</c:v>
                </c:pt>
                <c:pt idx="18">
                  <c:v>33695</c:v>
                </c:pt>
                <c:pt idx="19">
                  <c:v>33725</c:v>
                </c:pt>
                <c:pt idx="20">
                  <c:v>33756</c:v>
                </c:pt>
                <c:pt idx="21">
                  <c:v>33786</c:v>
                </c:pt>
                <c:pt idx="22">
                  <c:v>33817</c:v>
                </c:pt>
                <c:pt idx="23">
                  <c:v>33848</c:v>
                </c:pt>
                <c:pt idx="24">
                  <c:v>33878</c:v>
                </c:pt>
                <c:pt idx="25">
                  <c:v>33909</c:v>
                </c:pt>
                <c:pt idx="26">
                  <c:v>33939</c:v>
                </c:pt>
                <c:pt idx="27">
                  <c:v>33970</c:v>
                </c:pt>
                <c:pt idx="28">
                  <c:v>34001</c:v>
                </c:pt>
                <c:pt idx="29">
                  <c:v>34029</c:v>
                </c:pt>
                <c:pt idx="30">
                  <c:v>34060</c:v>
                </c:pt>
                <c:pt idx="31">
                  <c:v>34090</c:v>
                </c:pt>
                <c:pt idx="32">
                  <c:v>34121</c:v>
                </c:pt>
                <c:pt idx="33">
                  <c:v>34151</c:v>
                </c:pt>
                <c:pt idx="34">
                  <c:v>34182</c:v>
                </c:pt>
                <c:pt idx="35">
                  <c:v>34213</c:v>
                </c:pt>
                <c:pt idx="36">
                  <c:v>34243</c:v>
                </c:pt>
                <c:pt idx="37">
                  <c:v>34274</c:v>
                </c:pt>
                <c:pt idx="38">
                  <c:v>34304</c:v>
                </c:pt>
                <c:pt idx="39">
                  <c:v>34335</c:v>
                </c:pt>
                <c:pt idx="40">
                  <c:v>34366</c:v>
                </c:pt>
                <c:pt idx="41">
                  <c:v>34394</c:v>
                </c:pt>
                <c:pt idx="42">
                  <c:v>34425</c:v>
                </c:pt>
                <c:pt idx="43">
                  <c:v>34455</c:v>
                </c:pt>
                <c:pt idx="44">
                  <c:v>34486</c:v>
                </c:pt>
                <c:pt idx="45">
                  <c:v>34516</c:v>
                </c:pt>
                <c:pt idx="46">
                  <c:v>34547</c:v>
                </c:pt>
                <c:pt idx="47">
                  <c:v>34578</c:v>
                </c:pt>
                <c:pt idx="48">
                  <c:v>34608</c:v>
                </c:pt>
                <c:pt idx="49">
                  <c:v>34639</c:v>
                </c:pt>
                <c:pt idx="50">
                  <c:v>34669</c:v>
                </c:pt>
                <c:pt idx="51">
                  <c:v>34700</c:v>
                </c:pt>
                <c:pt idx="52">
                  <c:v>34731</c:v>
                </c:pt>
                <c:pt idx="53">
                  <c:v>34759</c:v>
                </c:pt>
                <c:pt idx="54">
                  <c:v>34790</c:v>
                </c:pt>
                <c:pt idx="55">
                  <c:v>34820</c:v>
                </c:pt>
                <c:pt idx="56">
                  <c:v>34851</c:v>
                </c:pt>
                <c:pt idx="57">
                  <c:v>34881</c:v>
                </c:pt>
                <c:pt idx="58">
                  <c:v>34912</c:v>
                </c:pt>
                <c:pt idx="59">
                  <c:v>34943</c:v>
                </c:pt>
                <c:pt idx="60">
                  <c:v>34973</c:v>
                </c:pt>
                <c:pt idx="61">
                  <c:v>35004</c:v>
                </c:pt>
                <c:pt idx="62">
                  <c:v>35034</c:v>
                </c:pt>
                <c:pt idx="63">
                  <c:v>35065</c:v>
                </c:pt>
                <c:pt idx="64">
                  <c:v>35096</c:v>
                </c:pt>
                <c:pt idx="65">
                  <c:v>35125</c:v>
                </c:pt>
                <c:pt idx="66">
                  <c:v>35156</c:v>
                </c:pt>
                <c:pt idx="67">
                  <c:v>35186</c:v>
                </c:pt>
                <c:pt idx="68">
                  <c:v>35217</c:v>
                </c:pt>
                <c:pt idx="69">
                  <c:v>35247</c:v>
                </c:pt>
                <c:pt idx="70">
                  <c:v>35278</c:v>
                </c:pt>
                <c:pt idx="71">
                  <c:v>35309</c:v>
                </c:pt>
                <c:pt idx="72">
                  <c:v>35339</c:v>
                </c:pt>
                <c:pt idx="73">
                  <c:v>35370</c:v>
                </c:pt>
                <c:pt idx="74">
                  <c:v>35400</c:v>
                </c:pt>
                <c:pt idx="75">
                  <c:v>35431</c:v>
                </c:pt>
                <c:pt idx="76">
                  <c:v>35462</c:v>
                </c:pt>
                <c:pt idx="77">
                  <c:v>35490</c:v>
                </c:pt>
                <c:pt idx="78">
                  <c:v>35521</c:v>
                </c:pt>
                <c:pt idx="79">
                  <c:v>35551</c:v>
                </c:pt>
                <c:pt idx="80">
                  <c:v>35582</c:v>
                </c:pt>
                <c:pt idx="81">
                  <c:v>35612</c:v>
                </c:pt>
                <c:pt idx="82">
                  <c:v>35643</c:v>
                </c:pt>
                <c:pt idx="83">
                  <c:v>35674</c:v>
                </c:pt>
                <c:pt idx="84">
                  <c:v>35704</c:v>
                </c:pt>
                <c:pt idx="85">
                  <c:v>35735</c:v>
                </c:pt>
                <c:pt idx="86">
                  <c:v>35765</c:v>
                </c:pt>
                <c:pt idx="87">
                  <c:v>35796</c:v>
                </c:pt>
                <c:pt idx="88">
                  <c:v>35827</c:v>
                </c:pt>
                <c:pt idx="89">
                  <c:v>35855</c:v>
                </c:pt>
                <c:pt idx="90">
                  <c:v>35886</c:v>
                </c:pt>
                <c:pt idx="91">
                  <c:v>35916</c:v>
                </c:pt>
                <c:pt idx="92">
                  <c:v>35947</c:v>
                </c:pt>
                <c:pt idx="93">
                  <c:v>35977</c:v>
                </c:pt>
                <c:pt idx="94">
                  <c:v>36008</c:v>
                </c:pt>
                <c:pt idx="95">
                  <c:v>36039</c:v>
                </c:pt>
                <c:pt idx="96">
                  <c:v>36069</c:v>
                </c:pt>
                <c:pt idx="97">
                  <c:v>36100</c:v>
                </c:pt>
                <c:pt idx="98">
                  <c:v>36130</c:v>
                </c:pt>
                <c:pt idx="99">
                  <c:v>36161</c:v>
                </c:pt>
                <c:pt idx="100">
                  <c:v>36192</c:v>
                </c:pt>
                <c:pt idx="101">
                  <c:v>36220</c:v>
                </c:pt>
                <c:pt idx="102">
                  <c:v>36251</c:v>
                </c:pt>
                <c:pt idx="103">
                  <c:v>36281</c:v>
                </c:pt>
                <c:pt idx="104">
                  <c:v>36312</c:v>
                </c:pt>
                <c:pt idx="105">
                  <c:v>36342</c:v>
                </c:pt>
                <c:pt idx="106">
                  <c:v>36373</c:v>
                </c:pt>
                <c:pt idx="107">
                  <c:v>36404</c:v>
                </c:pt>
                <c:pt idx="108">
                  <c:v>36434</c:v>
                </c:pt>
                <c:pt idx="109">
                  <c:v>36465</c:v>
                </c:pt>
                <c:pt idx="110">
                  <c:v>36495</c:v>
                </c:pt>
                <c:pt idx="111">
                  <c:v>36526</c:v>
                </c:pt>
                <c:pt idx="112">
                  <c:v>36557</c:v>
                </c:pt>
                <c:pt idx="113">
                  <c:v>36586</c:v>
                </c:pt>
                <c:pt idx="114">
                  <c:v>36617</c:v>
                </c:pt>
                <c:pt idx="115">
                  <c:v>36647</c:v>
                </c:pt>
                <c:pt idx="116">
                  <c:v>36678</c:v>
                </c:pt>
                <c:pt idx="117">
                  <c:v>36708</c:v>
                </c:pt>
                <c:pt idx="118">
                  <c:v>36739</c:v>
                </c:pt>
                <c:pt idx="119">
                  <c:v>36770</c:v>
                </c:pt>
                <c:pt idx="120">
                  <c:v>36800</c:v>
                </c:pt>
                <c:pt idx="121">
                  <c:v>36831</c:v>
                </c:pt>
                <c:pt idx="122">
                  <c:v>36861</c:v>
                </c:pt>
                <c:pt idx="123">
                  <c:v>36892</c:v>
                </c:pt>
                <c:pt idx="124">
                  <c:v>36923</c:v>
                </c:pt>
                <c:pt idx="125">
                  <c:v>36951</c:v>
                </c:pt>
                <c:pt idx="126">
                  <c:v>36982</c:v>
                </c:pt>
                <c:pt idx="127">
                  <c:v>37012</c:v>
                </c:pt>
                <c:pt idx="128">
                  <c:v>37043</c:v>
                </c:pt>
                <c:pt idx="129">
                  <c:v>37073</c:v>
                </c:pt>
                <c:pt idx="130">
                  <c:v>37104</c:v>
                </c:pt>
                <c:pt idx="131">
                  <c:v>37135</c:v>
                </c:pt>
                <c:pt idx="132">
                  <c:v>37165</c:v>
                </c:pt>
                <c:pt idx="133">
                  <c:v>37196</c:v>
                </c:pt>
                <c:pt idx="134">
                  <c:v>37226</c:v>
                </c:pt>
                <c:pt idx="135">
                  <c:v>37257</c:v>
                </c:pt>
                <c:pt idx="136">
                  <c:v>37288</c:v>
                </c:pt>
                <c:pt idx="137">
                  <c:v>37316</c:v>
                </c:pt>
                <c:pt idx="138">
                  <c:v>37347</c:v>
                </c:pt>
                <c:pt idx="139">
                  <c:v>37377</c:v>
                </c:pt>
                <c:pt idx="140">
                  <c:v>37408</c:v>
                </c:pt>
                <c:pt idx="141">
                  <c:v>37438</c:v>
                </c:pt>
                <c:pt idx="142">
                  <c:v>37469</c:v>
                </c:pt>
                <c:pt idx="143">
                  <c:v>37500</c:v>
                </c:pt>
                <c:pt idx="144">
                  <c:v>37530</c:v>
                </c:pt>
                <c:pt idx="145">
                  <c:v>37561</c:v>
                </c:pt>
                <c:pt idx="146">
                  <c:v>37591</c:v>
                </c:pt>
                <c:pt idx="147">
                  <c:v>37622</c:v>
                </c:pt>
                <c:pt idx="148">
                  <c:v>37653</c:v>
                </c:pt>
                <c:pt idx="149">
                  <c:v>37681</c:v>
                </c:pt>
                <c:pt idx="150">
                  <c:v>37712</c:v>
                </c:pt>
                <c:pt idx="151">
                  <c:v>37742</c:v>
                </c:pt>
                <c:pt idx="152">
                  <c:v>37773</c:v>
                </c:pt>
                <c:pt idx="153">
                  <c:v>37803</c:v>
                </c:pt>
                <c:pt idx="154">
                  <c:v>37834</c:v>
                </c:pt>
                <c:pt idx="155">
                  <c:v>37865</c:v>
                </c:pt>
                <c:pt idx="156">
                  <c:v>37895</c:v>
                </c:pt>
                <c:pt idx="157">
                  <c:v>37926</c:v>
                </c:pt>
                <c:pt idx="158">
                  <c:v>37956</c:v>
                </c:pt>
                <c:pt idx="159">
                  <c:v>37987</c:v>
                </c:pt>
                <c:pt idx="160">
                  <c:v>38018</c:v>
                </c:pt>
                <c:pt idx="161">
                  <c:v>38047</c:v>
                </c:pt>
                <c:pt idx="162">
                  <c:v>38078</c:v>
                </c:pt>
                <c:pt idx="163">
                  <c:v>38108</c:v>
                </c:pt>
                <c:pt idx="164">
                  <c:v>38139</c:v>
                </c:pt>
                <c:pt idx="165">
                  <c:v>38169</c:v>
                </c:pt>
                <c:pt idx="166">
                  <c:v>38200</c:v>
                </c:pt>
                <c:pt idx="167">
                  <c:v>38231</c:v>
                </c:pt>
                <c:pt idx="168">
                  <c:v>38261</c:v>
                </c:pt>
                <c:pt idx="169">
                  <c:v>38292</c:v>
                </c:pt>
                <c:pt idx="170">
                  <c:v>38322</c:v>
                </c:pt>
                <c:pt idx="171">
                  <c:v>38353</c:v>
                </c:pt>
                <c:pt idx="172">
                  <c:v>38384</c:v>
                </c:pt>
                <c:pt idx="173">
                  <c:v>38412</c:v>
                </c:pt>
                <c:pt idx="174">
                  <c:v>38443</c:v>
                </c:pt>
                <c:pt idx="175">
                  <c:v>38473</c:v>
                </c:pt>
                <c:pt idx="176">
                  <c:v>38504</c:v>
                </c:pt>
                <c:pt idx="177">
                  <c:v>38534</c:v>
                </c:pt>
                <c:pt idx="178">
                  <c:v>38565</c:v>
                </c:pt>
                <c:pt idx="179">
                  <c:v>38596</c:v>
                </c:pt>
                <c:pt idx="180">
                  <c:v>38626</c:v>
                </c:pt>
                <c:pt idx="181">
                  <c:v>38657</c:v>
                </c:pt>
                <c:pt idx="182">
                  <c:v>38687</c:v>
                </c:pt>
                <c:pt idx="183">
                  <c:v>38718</c:v>
                </c:pt>
                <c:pt idx="184">
                  <c:v>38749</c:v>
                </c:pt>
                <c:pt idx="185">
                  <c:v>38777</c:v>
                </c:pt>
                <c:pt idx="186">
                  <c:v>38808</c:v>
                </c:pt>
                <c:pt idx="187">
                  <c:v>38838</c:v>
                </c:pt>
                <c:pt idx="188">
                  <c:v>38869</c:v>
                </c:pt>
                <c:pt idx="189">
                  <c:v>38899</c:v>
                </c:pt>
                <c:pt idx="190">
                  <c:v>38930</c:v>
                </c:pt>
                <c:pt idx="191">
                  <c:v>38961</c:v>
                </c:pt>
                <c:pt idx="192">
                  <c:v>38991</c:v>
                </c:pt>
                <c:pt idx="193">
                  <c:v>39022</c:v>
                </c:pt>
                <c:pt idx="194">
                  <c:v>39052</c:v>
                </c:pt>
                <c:pt idx="195">
                  <c:v>39083</c:v>
                </c:pt>
                <c:pt idx="196">
                  <c:v>39114</c:v>
                </c:pt>
                <c:pt idx="197">
                  <c:v>39142</c:v>
                </c:pt>
                <c:pt idx="198">
                  <c:v>39173</c:v>
                </c:pt>
                <c:pt idx="199">
                  <c:v>39203</c:v>
                </c:pt>
                <c:pt idx="200">
                  <c:v>39234</c:v>
                </c:pt>
                <c:pt idx="201">
                  <c:v>39264</c:v>
                </c:pt>
                <c:pt idx="202">
                  <c:v>39295</c:v>
                </c:pt>
                <c:pt idx="203">
                  <c:v>39326</c:v>
                </c:pt>
                <c:pt idx="204">
                  <c:v>39356</c:v>
                </c:pt>
                <c:pt idx="205">
                  <c:v>39387</c:v>
                </c:pt>
                <c:pt idx="206">
                  <c:v>39417</c:v>
                </c:pt>
                <c:pt idx="207">
                  <c:v>39448</c:v>
                </c:pt>
                <c:pt idx="208">
                  <c:v>39479</c:v>
                </c:pt>
                <c:pt idx="209">
                  <c:v>39508</c:v>
                </c:pt>
                <c:pt idx="210">
                  <c:v>39539</c:v>
                </c:pt>
                <c:pt idx="211">
                  <c:v>39569</c:v>
                </c:pt>
                <c:pt idx="212">
                  <c:v>39600</c:v>
                </c:pt>
                <c:pt idx="213">
                  <c:v>39630</c:v>
                </c:pt>
                <c:pt idx="214">
                  <c:v>39661</c:v>
                </c:pt>
                <c:pt idx="215">
                  <c:v>39692</c:v>
                </c:pt>
                <c:pt idx="216">
                  <c:v>39722</c:v>
                </c:pt>
                <c:pt idx="217">
                  <c:v>39753</c:v>
                </c:pt>
                <c:pt idx="218">
                  <c:v>39783</c:v>
                </c:pt>
                <c:pt idx="219">
                  <c:v>39814</c:v>
                </c:pt>
                <c:pt idx="220">
                  <c:v>39845</c:v>
                </c:pt>
                <c:pt idx="221">
                  <c:v>39873</c:v>
                </c:pt>
                <c:pt idx="222">
                  <c:v>39904</c:v>
                </c:pt>
                <c:pt idx="223">
                  <c:v>39934</c:v>
                </c:pt>
                <c:pt idx="224">
                  <c:v>39965</c:v>
                </c:pt>
                <c:pt idx="225">
                  <c:v>39995</c:v>
                </c:pt>
                <c:pt idx="226">
                  <c:v>40026</c:v>
                </c:pt>
                <c:pt idx="227">
                  <c:v>40057</c:v>
                </c:pt>
                <c:pt idx="228">
                  <c:v>40087</c:v>
                </c:pt>
                <c:pt idx="229">
                  <c:v>40118</c:v>
                </c:pt>
                <c:pt idx="230">
                  <c:v>40148</c:v>
                </c:pt>
                <c:pt idx="231">
                  <c:v>40179</c:v>
                </c:pt>
                <c:pt idx="232">
                  <c:v>40210</c:v>
                </c:pt>
                <c:pt idx="233">
                  <c:v>40238</c:v>
                </c:pt>
                <c:pt idx="234">
                  <c:v>40269</c:v>
                </c:pt>
                <c:pt idx="235">
                  <c:v>40299</c:v>
                </c:pt>
                <c:pt idx="236">
                  <c:v>40330</c:v>
                </c:pt>
                <c:pt idx="237">
                  <c:v>40360</c:v>
                </c:pt>
                <c:pt idx="238">
                  <c:v>40391</c:v>
                </c:pt>
                <c:pt idx="239">
                  <c:v>40422</c:v>
                </c:pt>
                <c:pt idx="240">
                  <c:v>40452</c:v>
                </c:pt>
                <c:pt idx="241">
                  <c:v>40483</c:v>
                </c:pt>
                <c:pt idx="242">
                  <c:v>40513</c:v>
                </c:pt>
                <c:pt idx="243">
                  <c:v>40544</c:v>
                </c:pt>
                <c:pt idx="244">
                  <c:v>40575</c:v>
                </c:pt>
                <c:pt idx="245">
                  <c:v>40603</c:v>
                </c:pt>
                <c:pt idx="246">
                  <c:v>40634</c:v>
                </c:pt>
                <c:pt idx="247">
                  <c:v>40664</c:v>
                </c:pt>
                <c:pt idx="248">
                  <c:v>40695</c:v>
                </c:pt>
                <c:pt idx="249">
                  <c:v>40725</c:v>
                </c:pt>
                <c:pt idx="250">
                  <c:v>40756</c:v>
                </c:pt>
                <c:pt idx="251">
                  <c:v>40787</c:v>
                </c:pt>
                <c:pt idx="252">
                  <c:v>40817</c:v>
                </c:pt>
                <c:pt idx="253">
                  <c:v>40848</c:v>
                </c:pt>
                <c:pt idx="254">
                  <c:v>40878</c:v>
                </c:pt>
                <c:pt idx="255">
                  <c:v>40909</c:v>
                </c:pt>
                <c:pt idx="256">
                  <c:v>40940</c:v>
                </c:pt>
                <c:pt idx="257">
                  <c:v>40969</c:v>
                </c:pt>
                <c:pt idx="258">
                  <c:v>41000</c:v>
                </c:pt>
                <c:pt idx="259">
                  <c:v>41030</c:v>
                </c:pt>
                <c:pt idx="260">
                  <c:v>41061</c:v>
                </c:pt>
                <c:pt idx="261">
                  <c:v>41091</c:v>
                </c:pt>
                <c:pt idx="262">
                  <c:v>41122</c:v>
                </c:pt>
                <c:pt idx="263">
                  <c:v>41153</c:v>
                </c:pt>
                <c:pt idx="264">
                  <c:v>41183</c:v>
                </c:pt>
                <c:pt idx="265">
                  <c:v>41214</c:v>
                </c:pt>
                <c:pt idx="266">
                  <c:v>41244</c:v>
                </c:pt>
                <c:pt idx="267">
                  <c:v>41275</c:v>
                </c:pt>
                <c:pt idx="268">
                  <c:v>41306</c:v>
                </c:pt>
                <c:pt idx="269">
                  <c:v>41334</c:v>
                </c:pt>
                <c:pt idx="270">
                  <c:v>41365</c:v>
                </c:pt>
                <c:pt idx="271">
                  <c:v>41395</c:v>
                </c:pt>
                <c:pt idx="272">
                  <c:v>41426</c:v>
                </c:pt>
                <c:pt idx="273">
                  <c:v>41456</c:v>
                </c:pt>
                <c:pt idx="274">
                  <c:v>41487</c:v>
                </c:pt>
                <c:pt idx="275">
                  <c:v>41518</c:v>
                </c:pt>
                <c:pt idx="276">
                  <c:v>41548</c:v>
                </c:pt>
                <c:pt idx="277">
                  <c:v>41579</c:v>
                </c:pt>
                <c:pt idx="278">
                  <c:v>41609</c:v>
                </c:pt>
                <c:pt idx="279">
                  <c:v>41640</c:v>
                </c:pt>
                <c:pt idx="280">
                  <c:v>41671</c:v>
                </c:pt>
                <c:pt idx="281">
                  <c:v>41699</c:v>
                </c:pt>
                <c:pt idx="282">
                  <c:v>41730</c:v>
                </c:pt>
                <c:pt idx="283">
                  <c:v>41760</c:v>
                </c:pt>
                <c:pt idx="284">
                  <c:v>41791</c:v>
                </c:pt>
                <c:pt idx="285">
                  <c:v>41821</c:v>
                </c:pt>
                <c:pt idx="286">
                  <c:v>41852</c:v>
                </c:pt>
                <c:pt idx="287">
                  <c:v>41883</c:v>
                </c:pt>
                <c:pt idx="288">
                  <c:v>41913</c:v>
                </c:pt>
                <c:pt idx="289">
                  <c:v>41944</c:v>
                </c:pt>
                <c:pt idx="290">
                  <c:v>41974</c:v>
                </c:pt>
                <c:pt idx="291">
                  <c:v>42005</c:v>
                </c:pt>
                <c:pt idx="292">
                  <c:v>42036</c:v>
                </c:pt>
                <c:pt idx="293">
                  <c:v>42064</c:v>
                </c:pt>
                <c:pt idx="294">
                  <c:v>42095</c:v>
                </c:pt>
                <c:pt idx="295">
                  <c:v>42125</c:v>
                </c:pt>
              </c:numCache>
            </c:numRef>
          </c:cat>
          <c:val>
            <c:numRef>
              <c:f>'Pre 2005'!$N$3:$N$298</c:f>
              <c:numCache>
                <c:formatCode>_(* #,##0_);_(* \(#,##0\);_(* "-"??_);_(@_)</c:formatCode>
                <c:ptCount val="296"/>
                <c:pt idx="0">
                  <c:v>2120076647</c:v>
                </c:pt>
                <c:pt idx="1">
                  <c:v>2421482098</c:v>
                </c:pt>
                <c:pt idx="2">
                  <c:v>2951181866</c:v>
                </c:pt>
                <c:pt idx="3">
                  <c:v>2599311847</c:v>
                </c:pt>
                <c:pt idx="4">
                  <c:v>2537664397</c:v>
                </c:pt>
                <c:pt idx="5">
                  <c:v>3579198893</c:v>
                </c:pt>
                <c:pt idx="6">
                  <c:v>3989035601</c:v>
                </c:pt>
                <c:pt idx="7">
                  <c:v>4731576292</c:v>
                </c:pt>
                <c:pt idx="8">
                  <c:v>6328098498</c:v>
                </c:pt>
                <c:pt idx="9">
                  <c:v>5310023020</c:v>
                </c:pt>
                <c:pt idx="10">
                  <c:v>5634663772</c:v>
                </c:pt>
                <c:pt idx="11">
                  <c:v>5792903630</c:v>
                </c:pt>
                <c:pt idx="12">
                  <c:v>4858116804</c:v>
                </c:pt>
                <c:pt idx="13">
                  <c:v>5416764775</c:v>
                </c:pt>
                <c:pt idx="14">
                  <c:v>5342248569</c:v>
                </c:pt>
                <c:pt idx="15">
                  <c:v>5558245966</c:v>
                </c:pt>
                <c:pt idx="16">
                  <c:v>5968923252</c:v>
                </c:pt>
                <c:pt idx="17">
                  <c:v>5910453671</c:v>
                </c:pt>
                <c:pt idx="18">
                  <c:v>7145748428</c:v>
                </c:pt>
                <c:pt idx="19">
                  <c:v>7285406135</c:v>
                </c:pt>
                <c:pt idx="20">
                  <c:v>6198555007</c:v>
                </c:pt>
                <c:pt idx="21">
                  <c:v>6036230520</c:v>
                </c:pt>
                <c:pt idx="22">
                  <c:v>6125787858</c:v>
                </c:pt>
                <c:pt idx="23">
                  <c:v>6440487544</c:v>
                </c:pt>
                <c:pt idx="24">
                  <c:v>7804219767</c:v>
                </c:pt>
                <c:pt idx="25">
                  <c:v>7976557886</c:v>
                </c:pt>
                <c:pt idx="26">
                  <c:v>8009821313</c:v>
                </c:pt>
                <c:pt idx="27">
                  <c:v>7054908462</c:v>
                </c:pt>
                <c:pt idx="28">
                  <c:v>5692593994</c:v>
                </c:pt>
                <c:pt idx="29">
                  <c:v>4643400260</c:v>
                </c:pt>
                <c:pt idx="30">
                  <c:v>6068009244</c:v>
                </c:pt>
                <c:pt idx="31">
                  <c:v>7728933873</c:v>
                </c:pt>
                <c:pt idx="32">
                  <c:v>8409392954</c:v>
                </c:pt>
                <c:pt idx="33">
                  <c:v>8104613964</c:v>
                </c:pt>
                <c:pt idx="34">
                  <c:v>9301167762</c:v>
                </c:pt>
                <c:pt idx="35">
                  <c:v>7560831857</c:v>
                </c:pt>
                <c:pt idx="36">
                  <c:v>7932696609</c:v>
                </c:pt>
                <c:pt idx="37">
                  <c:v>13032846927</c:v>
                </c:pt>
                <c:pt idx="38">
                  <c:v>14927800985</c:v>
                </c:pt>
                <c:pt idx="39">
                  <c:v>10127685125</c:v>
                </c:pt>
                <c:pt idx="40">
                  <c:v>8295686006</c:v>
                </c:pt>
                <c:pt idx="41">
                  <c:v>8382684410</c:v>
                </c:pt>
                <c:pt idx="42">
                  <c:v>8083158923</c:v>
                </c:pt>
                <c:pt idx="43">
                  <c:v>5765278241</c:v>
                </c:pt>
                <c:pt idx="44">
                  <c:v>5119174201</c:v>
                </c:pt>
                <c:pt idx="45">
                  <c:v>3969522642</c:v>
                </c:pt>
                <c:pt idx="46">
                  <c:v>3600341073</c:v>
                </c:pt>
                <c:pt idx="47">
                  <c:v>3457719713</c:v>
                </c:pt>
                <c:pt idx="48">
                  <c:v>2920569611</c:v>
                </c:pt>
                <c:pt idx="49">
                  <c:v>1839399203</c:v>
                </c:pt>
                <c:pt idx="50">
                  <c:v>1695905717</c:v>
                </c:pt>
                <c:pt idx="51">
                  <c:v>1948777665</c:v>
                </c:pt>
                <c:pt idx="52">
                  <c:v>1932905054</c:v>
                </c:pt>
                <c:pt idx="53">
                  <c:v>2421975052</c:v>
                </c:pt>
                <c:pt idx="54">
                  <c:v>2830452362</c:v>
                </c:pt>
                <c:pt idx="55">
                  <c:v>2902768524</c:v>
                </c:pt>
                <c:pt idx="56">
                  <c:v>3708869595</c:v>
                </c:pt>
                <c:pt idx="57">
                  <c:v>4170873969</c:v>
                </c:pt>
                <c:pt idx="58">
                  <c:v>5946387204</c:v>
                </c:pt>
                <c:pt idx="59">
                  <c:v>7179963202</c:v>
                </c:pt>
                <c:pt idx="60">
                  <c:v>6738577810</c:v>
                </c:pt>
                <c:pt idx="61">
                  <c:v>5777278205</c:v>
                </c:pt>
                <c:pt idx="62">
                  <c:v>7079369393</c:v>
                </c:pt>
                <c:pt idx="63">
                  <c:v>8211668726</c:v>
                </c:pt>
                <c:pt idx="64">
                  <c:v>6560582649</c:v>
                </c:pt>
                <c:pt idx="65">
                  <c:v>7770178917</c:v>
                </c:pt>
                <c:pt idx="66">
                  <c:v>7477168665</c:v>
                </c:pt>
                <c:pt idx="67">
                  <c:v>7805988346</c:v>
                </c:pt>
                <c:pt idx="68">
                  <c:v>6006336661</c:v>
                </c:pt>
                <c:pt idx="69">
                  <c:v>6320046426</c:v>
                </c:pt>
                <c:pt idx="70">
                  <c:v>5829871597</c:v>
                </c:pt>
                <c:pt idx="71">
                  <c:v>5076601840</c:v>
                </c:pt>
                <c:pt idx="72">
                  <c:v>5848518987</c:v>
                </c:pt>
                <c:pt idx="73">
                  <c:v>5904795345</c:v>
                </c:pt>
                <c:pt idx="74">
                  <c:v>6073789352</c:v>
                </c:pt>
                <c:pt idx="75">
                  <c:v>6914700441</c:v>
                </c:pt>
                <c:pt idx="76">
                  <c:v>8016117535</c:v>
                </c:pt>
                <c:pt idx="77">
                  <c:v>4595739387</c:v>
                </c:pt>
                <c:pt idx="78">
                  <c:v>4241828120</c:v>
                </c:pt>
                <c:pt idx="79">
                  <c:v>4987291884</c:v>
                </c:pt>
                <c:pt idx="80">
                  <c:v>5473323774</c:v>
                </c:pt>
                <c:pt idx="81">
                  <c:v>5262145039</c:v>
                </c:pt>
                <c:pt idx="82">
                  <c:v>6472015899</c:v>
                </c:pt>
                <c:pt idx="83">
                  <c:v>6376730265</c:v>
                </c:pt>
                <c:pt idx="84">
                  <c:v>8697562873</c:v>
                </c:pt>
                <c:pt idx="85">
                  <c:v>7800816249</c:v>
                </c:pt>
                <c:pt idx="86">
                  <c:v>9041464848</c:v>
                </c:pt>
                <c:pt idx="87">
                  <c:v>9061468869</c:v>
                </c:pt>
                <c:pt idx="88">
                  <c:v>8744667370</c:v>
                </c:pt>
                <c:pt idx="89">
                  <c:v>13000843189</c:v>
                </c:pt>
                <c:pt idx="90">
                  <c:v>16540096783</c:v>
                </c:pt>
                <c:pt idx="91">
                  <c:v>15344447641</c:v>
                </c:pt>
                <c:pt idx="92">
                  <c:v>15089856063</c:v>
                </c:pt>
                <c:pt idx="93">
                  <c:v>15705851797</c:v>
                </c:pt>
                <c:pt idx="94">
                  <c:v>15578399003</c:v>
                </c:pt>
                <c:pt idx="95">
                  <c:v>15828606196</c:v>
                </c:pt>
                <c:pt idx="96">
                  <c:v>14438400348</c:v>
                </c:pt>
                <c:pt idx="97">
                  <c:v>16770259716</c:v>
                </c:pt>
                <c:pt idx="98">
                  <c:v>20076220084</c:v>
                </c:pt>
                <c:pt idx="99">
                  <c:v>18662444740</c:v>
                </c:pt>
                <c:pt idx="100">
                  <c:v>16568300498</c:v>
                </c:pt>
                <c:pt idx="101">
                  <c:v>18718435659</c:v>
                </c:pt>
                <c:pt idx="102">
                  <c:v>17133757240</c:v>
                </c:pt>
                <c:pt idx="103">
                  <c:v>15953761995</c:v>
                </c:pt>
                <c:pt idx="104">
                  <c:v>13283599030</c:v>
                </c:pt>
                <c:pt idx="105">
                  <c:v>12099117128</c:v>
                </c:pt>
                <c:pt idx="106">
                  <c:v>10612473741</c:v>
                </c:pt>
                <c:pt idx="107">
                  <c:v>9665091089</c:v>
                </c:pt>
                <c:pt idx="108">
                  <c:v>7207858026</c:v>
                </c:pt>
                <c:pt idx="109">
                  <c:v>7142123308</c:v>
                </c:pt>
                <c:pt idx="110">
                  <c:v>5627903823</c:v>
                </c:pt>
                <c:pt idx="111">
                  <c:v>9576065086</c:v>
                </c:pt>
                <c:pt idx="112">
                  <c:v>5053519098</c:v>
                </c:pt>
                <c:pt idx="113">
                  <c:v>6329447139</c:v>
                </c:pt>
                <c:pt idx="114">
                  <c:v>5477364891</c:v>
                </c:pt>
                <c:pt idx="115">
                  <c:v>9182513257</c:v>
                </c:pt>
                <c:pt idx="116">
                  <c:v>8436502235</c:v>
                </c:pt>
                <c:pt idx="117">
                  <c:v>7612941653</c:v>
                </c:pt>
                <c:pt idx="118">
                  <c:v>11673426498</c:v>
                </c:pt>
                <c:pt idx="119">
                  <c:v>14873097728</c:v>
                </c:pt>
                <c:pt idx="120">
                  <c:v>12249555474</c:v>
                </c:pt>
                <c:pt idx="121">
                  <c:v>9788660614</c:v>
                </c:pt>
                <c:pt idx="122">
                  <c:v>13882074329</c:v>
                </c:pt>
                <c:pt idx="123">
                  <c:v>11627385040</c:v>
                </c:pt>
                <c:pt idx="124">
                  <c:v>12089089716</c:v>
                </c:pt>
                <c:pt idx="125">
                  <c:v>15195386996</c:v>
                </c:pt>
                <c:pt idx="126">
                  <c:v>21359906136</c:v>
                </c:pt>
                <c:pt idx="127">
                  <c:v>24270725093</c:v>
                </c:pt>
                <c:pt idx="128">
                  <c:v>25171204090</c:v>
                </c:pt>
                <c:pt idx="129">
                  <c:v>26422205083</c:v>
                </c:pt>
                <c:pt idx="130">
                  <c:v>22392651759</c:v>
                </c:pt>
                <c:pt idx="131">
                  <c:v>22900777415</c:v>
                </c:pt>
                <c:pt idx="132">
                  <c:v>19607631456</c:v>
                </c:pt>
                <c:pt idx="133">
                  <c:v>23355056690</c:v>
                </c:pt>
                <c:pt idx="134">
                  <c:v>27748636979</c:v>
                </c:pt>
                <c:pt idx="135">
                  <c:v>26812919240</c:v>
                </c:pt>
                <c:pt idx="136">
                  <c:v>25644476484</c:v>
                </c:pt>
                <c:pt idx="137">
                  <c:v>21203668761</c:v>
                </c:pt>
                <c:pt idx="138">
                  <c:v>23201994207</c:v>
                </c:pt>
                <c:pt idx="139">
                  <c:v>16557717897</c:v>
                </c:pt>
                <c:pt idx="140">
                  <c:v>17622559348</c:v>
                </c:pt>
                <c:pt idx="141">
                  <c:v>17642207420</c:v>
                </c:pt>
                <c:pt idx="142">
                  <c:v>19201677200</c:v>
                </c:pt>
                <c:pt idx="143">
                  <c:v>22762710632</c:v>
                </c:pt>
                <c:pt idx="144">
                  <c:v>29182997202</c:v>
                </c:pt>
                <c:pt idx="145">
                  <c:v>29572947019</c:v>
                </c:pt>
                <c:pt idx="146">
                  <c:v>32992616968</c:v>
                </c:pt>
                <c:pt idx="147">
                  <c:v>20699984520</c:v>
                </c:pt>
                <c:pt idx="148">
                  <c:v>17566958664</c:v>
                </c:pt>
                <c:pt idx="149">
                  <c:v>29090183403</c:v>
                </c:pt>
                <c:pt idx="150">
                  <c:v>22159726200</c:v>
                </c:pt>
                <c:pt idx="151">
                  <c:v>27151741333</c:v>
                </c:pt>
                <c:pt idx="152">
                  <c:v>25605920044</c:v>
                </c:pt>
                <c:pt idx="153">
                  <c:v>31395230589</c:v>
                </c:pt>
                <c:pt idx="154">
                  <c:v>45539804558</c:v>
                </c:pt>
                <c:pt idx="155">
                  <c:v>35602208463</c:v>
                </c:pt>
                <c:pt idx="156">
                  <c:v>33596023404</c:v>
                </c:pt>
                <c:pt idx="157">
                  <c:v>20571679957</c:v>
                </c:pt>
                <c:pt idx="158">
                  <c:v>19405748579</c:v>
                </c:pt>
                <c:pt idx="159">
                  <c:v>16438933137</c:v>
                </c:pt>
                <c:pt idx="160">
                  <c:v>13594567630</c:v>
                </c:pt>
                <c:pt idx="161">
                  <c:v>16186065965</c:v>
                </c:pt>
                <c:pt idx="162">
                  <c:v>19817715828</c:v>
                </c:pt>
                <c:pt idx="163">
                  <c:v>22042955813</c:v>
                </c:pt>
                <c:pt idx="164">
                  <c:v>21624670513</c:v>
                </c:pt>
                <c:pt idx="165">
                  <c:v>16950844708</c:v>
                </c:pt>
                <c:pt idx="166">
                  <c:v>13847614918</c:v>
                </c:pt>
                <c:pt idx="167">
                  <c:v>13535347047</c:v>
                </c:pt>
                <c:pt idx="168">
                  <c:v>14448577985</c:v>
                </c:pt>
                <c:pt idx="169">
                  <c:v>13791848264</c:v>
                </c:pt>
                <c:pt idx="170">
                  <c:v>18499282812</c:v>
                </c:pt>
                <c:pt idx="171">
                  <c:v>16183320998</c:v>
                </c:pt>
                <c:pt idx="172">
                  <c:v>11780475289</c:v>
                </c:pt>
                <c:pt idx="173">
                  <c:v>16223378676</c:v>
                </c:pt>
                <c:pt idx="174">
                  <c:v>21147067571</c:v>
                </c:pt>
                <c:pt idx="175">
                  <c:v>19804723173</c:v>
                </c:pt>
                <c:pt idx="176">
                  <c:v>20575615896</c:v>
                </c:pt>
                <c:pt idx="177">
                  <c:v>20122690254</c:v>
                </c:pt>
                <c:pt idx="178">
                  <c:v>25493095786</c:v>
                </c:pt>
                <c:pt idx="179">
                  <c:v>30155629855</c:v>
                </c:pt>
                <c:pt idx="180">
                  <c:v>25623019077</c:v>
                </c:pt>
                <c:pt idx="181">
                  <c:v>25195621631</c:v>
                </c:pt>
                <c:pt idx="182">
                  <c:v>24144154407</c:v>
                </c:pt>
                <c:pt idx="183">
                  <c:v>22591715406</c:v>
                </c:pt>
                <c:pt idx="184">
                  <c:v>19251424306</c:v>
                </c:pt>
                <c:pt idx="185">
                  <c:v>18512350704</c:v>
                </c:pt>
                <c:pt idx="186">
                  <c:v>19884706577</c:v>
                </c:pt>
                <c:pt idx="187">
                  <c:v>17460525402</c:v>
                </c:pt>
                <c:pt idx="188">
                  <c:v>19609175088</c:v>
                </c:pt>
                <c:pt idx="189">
                  <c:v>19845449422</c:v>
                </c:pt>
                <c:pt idx="190">
                  <c:v>21467105756</c:v>
                </c:pt>
                <c:pt idx="191">
                  <c:v>20873171686</c:v>
                </c:pt>
                <c:pt idx="192">
                  <c:v>18633170727</c:v>
                </c:pt>
                <c:pt idx="193">
                  <c:v>17417503580</c:v>
                </c:pt>
                <c:pt idx="194">
                  <c:v>23496920384</c:v>
                </c:pt>
                <c:pt idx="195">
                  <c:v>20737956799</c:v>
                </c:pt>
                <c:pt idx="196">
                  <c:v>25809522397</c:v>
                </c:pt>
                <c:pt idx="197">
                  <c:v>24007844010</c:v>
                </c:pt>
                <c:pt idx="198">
                  <c:v>23186939791</c:v>
                </c:pt>
                <c:pt idx="199">
                  <c:v>24740483744</c:v>
                </c:pt>
                <c:pt idx="200">
                  <c:v>23759643519</c:v>
                </c:pt>
                <c:pt idx="201">
                  <c:v>21485718456</c:v>
                </c:pt>
                <c:pt idx="202">
                  <c:v>24515798220</c:v>
                </c:pt>
                <c:pt idx="203">
                  <c:v>27252669510</c:v>
                </c:pt>
                <c:pt idx="204">
                  <c:v>22333589375</c:v>
                </c:pt>
                <c:pt idx="205">
                  <c:v>25947982566</c:v>
                </c:pt>
                <c:pt idx="206">
                  <c:v>24311725673</c:v>
                </c:pt>
                <c:pt idx="207">
                  <c:v>23812880149</c:v>
                </c:pt>
                <c:pt idx="208">
                  <c:v>34757009084</c:v>
                </c:pt>
                <c:pt idx="209">
                  <c:v>31818141470</c:v>
                </c:pt>
                <c:pt idx="210">
                  <c:v>31472713685</c:v>
                </c:pt>
                <c:pt idx="211">
                  <c:v>32461138835</c:v>
                </c:pt>
                <c:pt idx="212">
                  <c:v>28019352969</c:v>
                </c:pt>
                <c:pt idx="213">
                  <c:v>17133134516</c:v>
                </c:pt>
                <c:pt idx="214">
                  <c:v>16719433906</c:v>
                </c:pt>
                <c:pt idx="215">
                  <c:v>16125202492</c:v>
                </c:pt>
                <c:pt idx="216">
                  <c:v>12595295669</c:v>
                </c:pt>
                <c:pt idx="217">
                  <c:v>12312793121</c:v>
                </c:pt>
                <c:pt idx="218">
                  <c:v>13600640787</c:v>
                </c:pt>
                <c:pt idx="219">
                  <c:v>14502119988</c:v>
                </c:pt>
                <c:pt idx="220">
                  <c:v>26598509615</c:v>
                </c:pt>
                <c:pt idx="221">
                  <c:v>50864723037</c:v>
                </c:pt>
                <c:pt idx="222">
                  <c:v>39411049919</c:v>
                </c:pt>
                <c:pt idx="223">
                  <c:v>36690644610</c:v>
                </c:pt>
                <c:pt idx="224">
                  <c:v>51101496342</c:v>
                </c:pt>
                <c:pt idx="225">
                  <c:v>35795908458</c:v>
                </c:pt>
                <c:pt idx="226">
                  <c:v>37195987892</c:v>
                </c:pt>
                <c:pt idx="227">
                  <c:v>25124133042</c:v>
                </c:pt>
                <c:pt idx="228">
                  <c:v>20626473033</c:v>
                </c:pt>
                <c:pt idx="229">
                  <c:v>20911995560</c:v>
                </c:pt>
                <c:pt idx="230">
                  <c:v>28691355245</c:v>
                </c:pt>
                <c:pt idx="231">
                  <c:v>22259120578</c:v>
                </c:pt>
                <c:pt idx="232">
                  <c:v>22459303639</c:v>
                </c:pt>
                <c:pt idx="233">
                  <c:v>23197865417</c:v>
                </c:pt>
                <c:pt idx="234">
                  <c:v>15835100089</c:v>
                </c:pt>
                <c:pt idx="235">
                  <c:v>16357781220</c:v>
                </c:pt>
                <c:pt idx="236">
                  <c:v>19232084697</c:v>
                </c:pt>
                <c:pt idx="237">
                  <c:v>18488935001</c:v>
                </c:pt>
                <c:pt idx="238">
                  <c:v>17563930917</c:v>
                </c:pt>
                <c:pt idx="239">
                  <c:v>24003578319</c:v>
                </c:pt>
                <c:pt idx="240">
                  <c:v>21887629747</c:v>
                </c:pt>
                <c:pt idx="241">
                  <c:v>22886524503</c:v>
                </c:pt>
                <c:pt idx="242">
                  <c:v>24977546118</c:v>
                </c:pt>
                <c:pt idx="243">
                  <c:v>23440269250</c:v>
                </c:pt>
                <c:pt idx="244">
                  <c:v>22055182161</c:v>
                </c:pt>
                <c:pt idx="245">
                  <c:v>12219429090</c:v>
                </c:pt>
                <c:pt idx="246">
                  <c:v>11349494815</c:v>
                </c:pt>
                <c:pt idx="247">
                  <c:v>9991312936</c:v>
                </c:pt>
                <c:pt idx="248">
                  <c:v>11185220636</c:v>
                </c:pt>
                <c:pt idx="249">
                  <c:v>8993582649</c:v>
                </c:pt>
                <c:pt idx="250">
                  <c:v>12434519221</c:v>
                </c:pt>
                <c:pt idx="251">
                  <c:v>13033770395</c:v>
                </c:pt>
                <c:pt idx="252">
                  <c:v>14105776489</c:v>
                </c:pt>
                <c:pt idx="253">
                  <c:v>12790563886</c:v>
                </c:pt>
                <c:pt idx="254">
                  <c:v>10127962005</c:v>
                </c:pt>
                <c:pt idx="255">
                  <c:v>15694981721</c:v>
                </c:pt>
                <c:pt idx="256">
                  <c:v>22415162418</c:v>
                </c:pt>
                <c:pt idx="257">
                  <c:v>18854437343</c:v>
                </c:pt>
                <c:pt idx="258">
                  <c:v>15751801296</c:v>
                </c:pt>
                <c:pt idx="259">
                  <c:v>12333856104</c:v>
                </c:pt>
                <c:pt idx="260">
                  <c:v>21944002937</c:v>
                </c:pt>
                <c:pt idx="261">
                  <c:v>15639788861</c:v>
                </c:pt>
                <c:pt idx="262">
                  <c:v>22086939191</c:v>
                </c:pt>
                <c:pt idx="263">
                  <c:v>18138267457</c:v>
                </c:pt>
                <c:pt idx="264">
                  <c:v>25663087591</c:v>
                </c:pt>
                <c:pt idx="265">
                  <c:v>33628084674</c:v>
                </c:pt>
                <c:pt idx="266">
                  <c:v>15134314101</c:v>
                </c:pt>
                <c:pt idx="267">
                  <c:v>23986743073</c:v>
                </c:pt>
                <c:pt idx="268">
                  <c:v>23601883890</c:v>
                </c:pt>
                <c:pt idx="269">
                  <c:v>28820034957</c:v>
                </c:pt>
                <c:pt idx="270">
                  <c:v>26722969673</c:v>
                </c:pt>
                <c:pt idx="271">
                  <c:v>22022470256</c:v>
                </c:pt>
                <c:pt idx="272">
                  <c:v>27103476795</c:v>
                </c:pt>
                <c:pt idx="273">
                  <c:v>23236077309</c:v>
                </c:pt>
                <c:pt idx="274">
                  <c:v>22850623164</c:v>
                </c:pt>
                <c:pt idx="275">
                  <c:v>15926204977</c:v>
                </c:pt>
                <c:pt idx="276">
                  <c:v>13207828533</c:v>
                </c:pt>
                <c:pt idx="277">
                  <c:v>14847378025.16</c:v>
                </c:pt>
                <c:pt idx="278">
                  <c:v>14949491761.860001</c:v>
                </c:pt>
                <c:pt idx="279">
                  <c:v>13292679793.110001</c:v>
                </c:pt>
                <c:pt idx="280">
                  <c:v>12379971146.09</c:v>
                </c:pt>
                <c:pt idx="281">
                  <c:v>9428554570.9699993</c:v>
                </c:pt>
                <c:pt idx="282">
                  <c:v>11880530808.85</c:v>
                </c:pt>
                <c:pt idx="283">
                  <c:v>12516681808</c:v>
                </c:pt>
                <c:pt idx="284">
                  <c:v>14701579178.41</c:v>
                </c:pt>
                <c:pt idx="285">
                  <c:v>15222541962.790001</c:v>
                </c:pt>
                <c:pt idx="286">
                  <c:v>20825128954</c:v>
                </c:pt>
                <c:pt idx="287">
                  <c:v>18381551732.169998</c:v>
                </c:pt>
                <c:pt idx="288">
                  <c:v>18446332655</c:v>
                </c:pt>
                <c:pt idx="289">
                  <c:v>17090742855</c:v>
                </c:pt>
                <c:pt idx="290">
                  <c:v>15224518569</c:v>
                </c:pt>
                <c:pt idx="291">
                  <c:v>15748417227</c:v>
                </c:pt>
                <c:pt idx="292">
                  <c:v>21941322811.049999</c:v>
                </c:pt>
                <c:pt idx="293">
                  <c:v>17063457537.42</c:v>
                </c:pt>
                <c:pt idx="294">
                  <c:v>23096670516.790001</c:v>
                </c:pt>
                <c:pt idx="295">
                  <c:v>21517475281.060001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29408"/>
        <c:axId val="336135296"/>
      </c:lineChart>
      <c:dateAx>
        <c:axId val="336129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6135296"/>
        <c:crosses val="autoZero"/>
        <c:auto val="1"/>
        <c:lblOffset val="100"/>
        <c:baseTimeUnit val="months"/>
      </c:dateAx>
      <c:valAx>
        <c:axId val="336135296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336129408"/>
        <c:crosses val="autoZero"/>
        <c:crossBetween val="between"/>
        <c:dispUnits>
          <c:builtInUnit val="billions"/>
          <c:dispUnitsLbl>
            <c:layout/>
          </c:dispUnitsLbl>
        </c:dispUnits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4"/>
          <c:order val="4"/>
          <c:tx>
            <c:strRef>
              <c:f>'Pre 2005'!$F$2</c:f>
              <c:strCache>
                <c:ptCount val="1"/>
                <c:pt idx="0">
                  <c:v>Diff(Pre2005,Current PMI)</c:v>
                </c:pt>
              </c:strCache>
            </c:strRef>
          </c:tx>
          <c:invertIfNegative val="0"/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2005'!$F$3:$F$227</c:f>
              <c:numCache>
                <c:formatCode>0%</c:formatCode>
                <c:ptCount val="225"/>
                <c:pt idx="0">
                  <c:v>6.8001380926387966E-2</c:v>
                </c:pt>
                <c:pt idx="1">
                  <c:v>3.4315586605567994E-2</c:v>
                </c:pt>
                <c:pt idx="2">
                  <c:v>4.7046468356667037E-2</c:v>
                </c:pt>
                <c:pt idx="3">
                  <c:v>6.5812142729340106E-3</c:v>
                </c:pt>
                <c:pt idx="4">
                  <c:v>-4.2059187354590022E-2</c:v>
                </c:pt>
                <c:pt idx="5">
                  <c:v>1.6525044081529994E-2</c:v>
                </c:pt>
                <c:pt idx="6">
                  <c:v>4.3771275455086966E-2</c:v>
                </c:pt>
                <c:pt idx="7">
                  <c:v>3.9467545334399001E-2</c:v>
                </c:pt>
                <c:pt idx="8">
                  <c:v>3.5912079314267042E-2</c:v>
                </c:pt>
                <c:pt idx="9">
                  <c:v>8.2543100637247013E-2</c:v>
                </c:pt>
                <c:pt idx="10">
                  <c:v>3.3903318793500004E-2</c:v>
                </c:pt>
                <c:pt idx="11">
                  <c:v>2.2964053187006006E-2</c:v>
                </c:pt>
                <c:pt idx="12">
                  <c:v>2.9177077111568028E-2</c:v>
                </c:pt>
                <c:pt idx="13">
                  <c:v>3.6085107645562997E-2</c:v>
                </c:pt>
                <c:pt idx="14">
                  <c:v>6.6717219980910958E-2</c:v>
                </c:pt>
                <c:pt idx="15">
                  <c:v>5.290984417987904E-2</c:v>
                </c:pt>
                <c:pt idx="16">
                  <c:v>6.5470094012515023E-2</c:v>
                </c:pt>
                <c:pt idx="17">
                  <c:v>9.5477016459315001E-2</c:v>
                </c:pt>
                <c:pt idx="18">
                  <c:v>6.2090722729184977E-2</c:v>
                </c:pt>
                <c:pt idx="19">
                  <c:v>6.306079786338803E-2</c:v>
                </c:pt>
                <c:pt idx="20">
                  <c:v>9.129440959094498E-2</c:v>
                </c:pt>
                <c:pt idx="21">
                  <c:v>8.758202540401705E-2</c:v>
                </c:pt>
                <c:pt idx="22">
                  <c:v>6.4452229991332932E-2</c:v>
                </c:pt>
                <c:pt idx="23">
                  <c:v>4.3617294913563975E-2</c:v>
                </c:pt>
                <c:pt idx="24">
                  <c:v>8.6471371596413049E-2</c:v>
                </c:pt>
                <c:pt idx="25">
                  <c:v>7.8469242381610238E-3</c:v>
                </c:pt>
                <c:pt idx="26">
                  <c:v>0.11564823438682803</c:v>
                </c:pt>
                <c:pt idx="27">
                  <c:v>4.5153433101701002E-2</c:v>
                </c:pt>
                <c:pt idx="28">
                  <c:v>6.0253047563227025E-2</c:v>
                </c:pt>
                <c:pt idx="29">
                  <c:v>0.13848025049212598</c:v>
                </c:pt>
                <c:pt idx="30">
                  <c:v>0.155138368903878</c:v>
                </c:pt>
                <c:pt idx="31">
                  <c:v>0.13376209759700797</c:v>
                </c:pt>
                <c:pt idx="32">
                  <c:v>-5.9428255315496781E-4</c:v>
                </c:pt>
                <c:pt idx="33">
                  <c:v>4.0349344828313982E-2</c:v>
                </c:pt>
                <c:pt idx="34">
                  <c:v>0.10678981116712205</c:v>
                </c:pt>
                <c:pt idx="35">
                  <c:v>3.9012978440861934E-2</c:v>
                </c:pt>
                <c:pt idx="36">
                  <c:v>3.6785544229373968E-2</c:v>
                </c:pt>
                <c:pt idx="37">
                  <c:v>8.4040783364547011E-2</c:v>
                </c:pt>
                <c:pt idx="38">
                  <c:v>1.7941035349458012E-2</c:v>
                </c:pt>
                <c:pt idx="39">
                  <c:v>-4.0164311481772019E-2</c:v>
                </c:pt>
                <c:pt idx="40">
                  <c:v>6.1596152049424036E-2</c:v>
                </c:pt>
                <c:pt idx="41">
                  <c:v>4.1651946946389962E-2</c:v>
                </c:pt>
                <c:pt idx="42">
                  <c:v>7.712584788766097E-2</c:v>
                </c:pt>
                <c:pt idx="43">
                  <c:v>3.6395976954115894E-2</c:v>
                </c:pt>
                <c:pt idx="44">
                  <c:v>3.6300651127011974E-2</c:v>
                </c:pt>
                <c:pt idx="45">
                  <c:v>3.7653489437095899E-2</c:v>
                </c:pt>
                <c:pt idx="46">
                  <c:v>2.2173923724982059E-2</c:v>
                </c:pt>
                <c:pt idx="47">
                  <c:v>3.9281870334753055E-2</c:v>
                </c:pt>
                <c:pt idx="48">
                  <c:v>4.1227978118804964E-2</c:v>
                </c:pt>
                <c:pt idx="49">
                  <c:v>6.7959427528481053E-2</c:v>
                </c:pt>
                <c:pt idx="50">
                  <c:v>2.6433376759826932E-2</c:v>
                </c:pt>
                <c:pt idx="51">
                  <c:v>2.5243276930596914E-2</c:v>
                </c:pt>
                <c:pt idx="52">
                  <c:v>4.7874502647296979E-2</c:v>
                </c:pt>
                <c:pt idx="53">
                  <c:v>3.440316737511695E-2</c:v>
                </c:pt>
                <c:pt idx="54">
                  <c:v>5.0340551021710311E-3</c:v>
                </c:pt>
                <c:pt idx="55">
                  <c:v>5.5949560223714001E-2</c:v>
                </c:pt>
                <c:pt idx="56">
                  <c:v>4.0633581612559921E-2</c:v>
                </c:pt>
                <c:pt idx="57">
                  <c:v>4.0633581612559921E-2</c:v>
                </c:pt>
                <c:pt idx="58">
                  <c:v>8.9488200917750005E-3</c:v>
                </c:pt>
                <c:pt idx="59">
                  <c:v>5.3280642367373066E-2</c:v>
                </c:pt>
                <c:pt idx="60">
                  <c:v>5.2776510153713097E-2</c:v>
                </c:pt>
                <c:pt idx="61">
                  <c:v>3.4652296550438E-2</c:v>
                </c:pt>
                <c:pt idx="62">
                  <c:v>-3.0066723374379101E-2</c:v>
                </c:pt>
                <c:pt idx="63">
                  <c:v>0.10393072250837998</c:v>
                </c:pt>
                <c:pt idx="64">
                  <c:v>5.0586174629337011E-2</c:v>
                </c:pt>
                <c:pt idx="65">
                  <c:v>9.5700469344129013E-2</c:v>
                </c:pt>
                <c:pt idx="66">
                  <c:v>1.4622550315981031E-2</c:v>
                </c:pt>
                <c:pt idx="67">
                  <c:v>6.7492063342281972E-2</c:v>
                </c:pt>
                <c:pt idx="68">
                  <c:v>4.1021067135922018E-2</c:v>
                </c:pt>
                <c:pt idx="69">
                  <c:v>4.1016244274513003E-2</c:v>
                </c:pt>
                <c:pt idx="70">
                  <c:v>6.2148537657804925E-2</c:v>
                </c:pt>
                <c:pt idx="71">
                  <c:v>3.1576244334094006E-2</c:v>
                </c:pt>
                <c:pt idx="72">
                  <c:v>3.721808698818696E-2</c:v>
                </c:pt>
                <c:pt idx="73">
                  <c:v>6.3224587648893049E-2</c:v>
                </c:pt>
                <c:pt idx="74">
                  <c:v>1.1269498647956011E-2</c:v>
                </c:pt>
                <c:pt idx="75">
                  <c:v>4.875325066131897E-2</c:v>
                </c:pt>
                <c:pt idx="76">
                  <c:v>2.8064402067171978E-2</c:v>
                </c:pt>
                <c:pt idx="77">
                  <c:v>2.0344292128062991E-2</c:v>
                </c:pt>
                <c:pt idx="78">
                  <c:v>5.7152981354642085E-2</c:v>
                </c:pt>
                <c:pt idx="79">
                  <c:v>2.7525720243373963E-2</c:v>
                </c:pt>
                <c:pt idx="80">
                  <c:v>3.7465371866174046E-2</c:v>
                </c:pt>
                <c:pt idx="81">
                  <c:v>-9.1471043182749234E-3</c:v>
                </c:pt>
                <c:pt idx="82">
                  <c:v>2.7333535439428069E-2</c:v>
                </c:pt>
                <c:pt idx="83">
                  <c:v>1.2107239076427967E-2</c:v>
                </c:pt>
                <c:pt idx="84">
                  <c:v>1.6166991390680008E-2</c:v>
                </c:pt>
                <c:pt idx="85">
                  <c:v>6.1832482601206995E-2</c:v>
                </c:pt>
                <c:pt idx="86">
                  <c:v>1.4637257085793998E-2</c:v>
                </c:pt>
                <c:pt idx="87">
                  <c:v>3.3642645592527942E-2</c:v>
                </c:pt>
                <c:pt idx="88">
                  <c:v>4.6349078054445103E-2</c:v>
                </c:pt>
                <c:pt idx="89">
                  <c:v>6.5647143406961983E-2</c:v>
                </c:pt>
                <c:pt idx="90">
                  <c:v>-7.4275263347400866E-4</c:v>
                </c:pt>
                <c:pt idx="91">
                  <c:v>3.418883966965991E-3</c:v>
                </c:pt>
                <c:pt idx="92">
                  <c:v>4.0826220717344985E-2</c:v>
                </c:pt>
                <c:pt idx="93">
                  <c:v>4.0059041014129937E-3</c:v>
                </c:pt>
                <c:pt idx="94">
                  <c:v>7.1275650098601151E-4</c:v>
                </c:pt>
                <c:pt idx="95">
                  <c:v>2.9734795047408946E-2</c:v>
                </c:pt>
                <c:pt idx="96">
                  <c:v>4.8127843611048049E-2</c:v>
                </c:pt>
                <c:pt idx="97">
                  <c:v>4.2898046684577973E-2</c:v>
                </c:pt>
                <c:pt idx="98">
                  <c:v>3.8082886467200039E-3</c:v>
                </c:pt>
                <c:pt idx="99">
                  <c:v>1.1981894210950084E-2</c:v>
                </c:pt>
                <c:pt idx="100">
                  <c:v>4.5551070791174042E-2</c:v>
                </c:pt>
                <c:pt idx="101">
                  <c:v>5.6786961392899515E-3</c:v>
                </c:pt>
                <c:pt idx="102">
                  <c:v>2.9463224371503061E-2</c:v>
                </c:pt>
                <c:pt idx="103">
                  <c:v>8.9129544713039133E-3</c:v>
                </c:pt>
                <c:pt idx="104">
                  <c:v>1.1276417208626044E-2</c:v>
                </c:pt>
                <c:pt idx="105">
                  <c:v>5.2173223948037917E-2</c:v>
                </c:pt>
                <c:pt idx="106">
                  <c:v>1.1943531590450029E-2</c:v>
                </c:pt>
                <c:pt idx="107">
                  <c:v>-7.6824462778299907E-3</c:v>
                </c:pt>
                <c:pt idx="108">
                  <c:v>2.2007349051048064E-2</c:v>
                </c:pt>
                <c:pt idx="109">
                  <c:v>4.6960323059720088E-2</c:v>
                </c:pt>
                <c:pt idx="110">
                  <c:v>3.0032172971880988E-2</c:v>
                </c:pt>
                <c:pt idx="111">
                  <c:v>6.7361271986485005E-2</c:v>
                </c:pt>
                <c:pt idx="112">
                  <c:v>2.5103041317178998E-2</c:v>
                </c:pt>
                <c:pt idx="113">
                  <c:v>1.6593515632853939E-2</c:v>
                </c:pt>
                <c:pt idx="114">
                  <c:v>8.5155834386022033E-2</c:v>
                </c:pt>
                <c:pt idx="115">
                  <c:v>3.443589575069006E-2</c:v>
                </c:pt>
                <c:pt idx="116">
                  <c:v>5.4215548312793072E-2</c:v>
                </c:pt>
                <c:pt idx="117">
                  <c:v>7.6282723589448986E-2</c:v>
                </c:pt>
                <c:pt idx="118">
                  <c:v>7.2538101508753949E-2</c:v>
                </c:pt>
                <c:pt idx="119">
                  <c:v>4.3743362112584006E-2</c:v>
                </c:pt>
                <c:pt idx="120">
                  <c:v>6.0427612151610077E-2</c:v>
                </c:pt>
                <c:pt idx="121">
                  <c:v>1.7225115203649999E-2</c:v>
                </c:pt>
                <c:pt idx="122">
                  <c:v>1.7216537850478941E-2</c:v>
                </c:pt>
                <c:pt idx="123">
                  <c:v>1.5028647573841036E-2</c:v>
                </c:pt>
                <c:pt idx="124">
                  <c:v>-1.3949795802922993E-2</c:v>
                </c:pt>
                <c:pt idx="125">
                  <c:v>2.5274526894223937E-2</c:v>
                </c:pt>
                <c:pt idx="126">
                  <c:v>4.5282217046297979E-2</c:v>
                </c:pt>
                <c:pt idx="127">
                  <c:v>6.681124708029601E-2</c:v>
                </c:pt>
                <c:pt idx="128">
                  <c:v>-0.14273205642474102</c:v>
                </c:pt>
                <c:pt idx="129">
                  <c:v>0.155687627549838</c:v>
                </c:pt>
                <c:pt idx="130">
                  <c:v>-4.8963357467738999E-2</c:v>
                </c:pt>
                <c:pt idx="131">
                  <c:v>0.15356192489512399</c:v>
                </c:pt>
                <c:pt idx="132">
                  <c:v>7.1045298195016982E-2</c:v>
                </c:pt>
                <c:pt idx="133">
                  <c:v>2.3833264438712976E-2</c:v>
                </c:pt>
                <c:pt idx="134">
                  <c:v>6.8909414655871026E-2</c:v>
                </c:pt>
                <c:pt idx="135">
                  <c:v>6.9525282365491992E-2</c:v>
                </c:pt>
                <c:pt idx="136">
                  <c:v>-4.9712509815150185E-3</c:v>
                </c:pt>
                <c:pt idx="137">
                  <c:v>9.9826832259983983E-2</c:v>
                </c:pt>
                <c:pt idx="138">
                  <c:v>3.8295085531133977E-2</c:v>
                </c:pt>
                <c:pt idx="139">
                  <c:v>4.8401465716829017E-2</c:v>
                </c:pt>
                <c:pt idx="140">
                  <c:v>0.10007112759375297</c:v>
                </c:pt>
                <c:pt idx="141">
                  <c:v>0.161724533960106</c:v>
                </c:pt>
                <c:pt idx="142">
                  <c:v>9.2088775968152015E-2</c:v>
                </c:pt>
                <c:pt idx="143">
                  <c:v>6.9041349888349035E-2</c:v>
                </c:pt>
                <c:pt idx="144">
                  <c:v>4.1620346831738986E-2</c:v>
                </c:pt>
                <c:pt idx="145">
                  <c:v>0.11769616947473499</c:v>
                </c:pt>
                <c:pt idx="146">
                  <c:v>8.8081247532590001E-2</c:v>
                </c:pt>
                <c:pt idx="147">
                  <c:v>4.1954886486802012E-2</c:v>
                </c:pt>
                <c:pt idx="148">
                  <c:v>-7.0967905347579796E-3</c:v>
                </c:pt>
                <c:pt idx="149">
                  <c:v>0.127559696156544</c:v>
                </c:pt>
                <c:pt idx="150">
                  <c:v>4.0904947944030989E-2</c:v>
                </c:pt>
                <c:pt idx="151">
                  <c:v>2.1618444613902277E-4</c:v>
                </c:pt>
                <c:pt idx="152">
                  <c:v>6.8147342355900031E-2</c:v>
                </c:pt>
                <c:pt idx="153">
                  <c:v>2.9707837544626969E-2</c:v>
                </c:pt>
                <c:pt idx="154">
                  <c:v>6.5310803135971984E-2</c:v>
                </c:pt>
                <c:pt idx="155">
                  <c:v>3.9284627056277999E-2</c:v>
                </c:pt>
                <c:pt idx="156">
                  <c:v>8.8706050162920019E-2</c:v>
                </c:pt>
                <c:pt idx="157">
                  <c:v>9.9727720440766998E-2</c:v>
                </c:pt>
                <c:pt idx="158">
                  <c:v>6.9039260083139986E-2</c:v>
                </c:pt>
                <c:pt idx="159">
                  <c:v>0.12733101042205702</c:v>
                </c:pt>
                <c:pt idx="160">
                  <c:v>9.3155393439297018E-2</c:v>
                </c:pt>
                <c:pt idx="161">
                  <c:v>4.2503745677868021E-2</c:v>
                </c:pt>
                <c:pt idx="162">
                  <c:v>4.0105414103120018E-2</c:v>
                </c:pt>
                <c:pt idx="163">
                  <c:v>6.653219717938097E-2</c:v>
                </c:pt>
                <c:pt idx="164">
                  <c:v>9.5701494962272982E-2</c:v>
                </c:pt>
                <c:pt idx="165">
                  <c:v>3.9216501158822969E-2</c:v>
                </c:pt>
                <c:pt idx="166">
                  <c:v>9.7518312691123987E-2</c:v>
                </c:pt>
                <c:pt idx="167">
                  <c:v>3.8743484174677989E-2</c:v>
                </c:pt>
                <c:pt idx="168">
                  <c:v>3.8323606354321027E-2</c:v>
                </c:pt>
                <c:pt idx="169">
                  <c:v>9.760867110882801E-2</c:v>
                </c:pt>
                <c:pt idx="170">
                  <c:v>9.8741749953100977E-2</c:v>
                </c:pt>
                <c:pt idx="171">
                  <c:v>6.7754154471229011E-2</c:v>
                </c:pt>
                <c:pt idx="172">
                  <c:v>6.888724862462603E-2</c:v>
                </c:pt>
                <c:pt idx="173">
                  <c:v>0.11862300602021097</c:v>
                </c:pt>
                <c:pt idx="174">
                  <c:v>6.889508293072899E-2</c:v>
                </c:pt>
                <c:pt idx="175">
                  <c:v>9.0652203463149006E-2</c:v>
                </c:pt>
                <c:pt idx="176">
                  <c:v>6.9384017710283019E-2</c:v>
                </c:pt>
                <c:pt idx="177">
                  <c:v>6.8013512029646006E-2</c:v>
                </c:pt>
                <c:pt idx="178">
                  <c:v>4.133575642880799E-2</c:v>
                </c:pt>
                <c:pt idx="179">
                  <c:v>6.9897426240190019E-2</c:v>
                </c:pt>
                <c:pt idx="180">
                  <c:v>9.1707117428869001E-2</c:v>
                </c:pt>
                <c:pt idx="181">
                  <c:v>9.1140203424388999E-2</c:v>
                </c:pt>
                <c:pt idx="182">
                  <c:v>1.2690079270177013E-2</c:v>
                </c:pt>
                <c:pt idx="183">
                  <c:v>9.1222212363661015E-2</c:v>
                </c:pt>
                <c:pt idx="184">
                  <c:v>6.6801160894580991E-2</c:v>
                </c:pt>
                <c:pt idx="185">
                  <c:v>6.8046718529713002E-2</c:v>
                </c:pt>
                <c:pt idx="186">
                  <c:v>3.5778083027214969E-2</c:v>
                </c:pt>
                <c:pt idx="187">
                  <c:v>9.2127402981839968E-2</c:v>
                </c:pt>
                <c:pt idx="188">
                  <c:v>9.6800015324479016E-2</c:v>
                </c:pt>
                <c:pt idx="189">
                  <c:v>6.577732328977498E-2</c:v>
                </c:pt>
                <c:pt idx="190">
                  <c:v>6.0043914866844961E-2</c:v>
                </c:pt>
                <c:pt idx="191">
                  <c:v>6.4405101269668974E-2</c:v>
                </c:pt>
                <c:pt idx="192">
                  <c:v>9.8919473940480285E-3</c:v>
                </c:pt>
                <c:pt idx="193">
                  <c:v>7.0052649548990986E-2</c:v>
                </c:pt>
                <c:pt idx="194">
                  <c:v>8.2180351115243022E-2</c:v>
                </c:pt>
                <c:pt idx="195">
                  <c:v>9.8714949752068015E-2</c:v>
                </c:pt>
                <c:pt idx="196">
                  <c:v>0.13427176716540606</c:v>
                </c:pt>
                <c:pt idx="197">
                  <c:v>8.9739921782815979E-2</c:v>
                </c:pt>
                <c:pt idx="198">
                  <c:v>2.909304428417403E-2</c:v>
                </c:pt>
                <c:pt idx="199">
                  <c:v>1.8836479311074017E-2</c:v>
                </c:pt>
                <c:pt idx="200">
                  <c:v>6.3939194620456996E-2</c:v>
                </c:pt>
                <c:pt idx="201">
                  <c:v>9.8064624215533025E-2</c:v>
                </c:pt>
                <c:pt idx="202">
                  <c:v>6.2643855665584058E-2</c:v>
                </c:pt>
                <c:pt idx="203">
                  <c:v>8.6022683929848964E-2</c:v>
                </c:pt>
                <c:pt idx="204">
                  <c:v>5.543978575126296E-2</c:v>
                </c:pt>
                <c:pt idx="205">
                  <c:v>0.10022823104044803</c:v>
                </c:pt>
                <c:pt idx="206">
                  <c:v>5.2784575574028048E-2</c:v>
                </c:pt>
                <c:pt idx="207">
                  <c:v>2.1105349202653056E-2</c:v>
                </c:pt>
                <c:pt idx="208">
                  <c:v>0.12130540204184004</c:v>
                </c:pt>
                <c:pt idx="209">
                  <c:v>0.10946238824493004</c:v>
                </c:pt>
                <c:pt idx="210">
                  <c:v>4.6777976404713928E-2</c:v>
                </c:pt>
                <c:pt idx="211">
                  <c:v>4.3820719048973E-2</c:v>
                </c:pt>
                <c:pt idx="212">
                  <c:v>4.588224277405395E-2</c:v>
                </c:pt>
                <c:pt idx="213">
                  <c:v>1.8032397219816976E-2</c:v>
                </c:pt>
                <c:pt idx="214">
                  <c:v>1.1261711321355894E-2</c:v>
                </c:pt>
                <c:pt idx="215">
                  <c:v>2.5061534722991996E-2</c:v>
                </c:pt>
                <c:pt idx="216">
                  <c:v>8.0775119014503072E-2</c:v>
                </c:pt>
                <c:pt idx="217">
                  <c:v>-1.2459194243029992E-2</c:v>
                </c:pt>
                <c:pt idx="218">
                  <c:v>0.12800057495112893</c:v>
                </c:pt>
                <c:pt idx="219">
                  <c:v>9.6286855544211014E-2</c:v>
                </c:pt>
                <c:pt idx="220">
                  <c:v>3.8268071013639937E-2</c:v>
                </c:pt>
                <c:pt idx="221">
                  <c:v>8.0264369136034963E-2</c:v>
                </c:pt>
                <c:pt idx="222">
                  <c:v>2.5833009326836076E-2</c:v>
                </c:pt>
                <c:pt idx="223">
                  <c:v>8.0846679869197025E-2</c:v>
                </c:pt>
                <c:pt idx="224">
                  <c:v>2.5225919327266033E-2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349824"/>
        <c:axId val="336348288"/>
      </c:barChart>
      <c:lineChart>
        <c:grouping val="standard"/>
        <c:varyColors val="0"/>
        <c:ser>
          <c:idx val="0"/>
          <c:order val="0"/>
          <c:tx>
            <c:strRef>
              <c:f>'Pre 2005'!$B$2</c:f>
              <c:strCache>
                <c:ptCount val="1"/>
                <c:pt idx="0">
                  <c:v>62.56%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2005'!$B$3:$B$227</c:f>
              <c:numCache>
                <c:formatCode>0.00%</c:formatCode>
                <c:ptCount val="225"/>
                <c:pt idx="0">
                  <c:v>0.63000788176738898</c:v>
                </c:pt>
                <c:pt idx="1">
                  <c:v>0.6274107117936687</c:v>
                </c:pt>
                <c:pt idx="2">
                  <c:v>0.62506508170892505</c:v>
                </c:pt>
                <c:pt idx="3">
                  <c:v>0.59973806040791378</c:v>
                </c:pt>
                <c:pt idx="4">
                  <c:v>0.48908058292459539</c:v>
                </c:pt>
                <c:pt idx="5">
                  <c:v>0.50758567670351107</c:v>
                </c:pt>
                <c:pt idx="6">
                  <c:v>0.56804474997330101</c:v>
                </c:pt>
                <c:pt idx="7">
                  <c:v>0.58663499506814298</c:v>
                </c:pt>
                <c:pt idx="8">
                  <c:v>0.5845791305589787</c:v>
                </c:pt>
                <c:pt idx="9">
                  <c:v>0.60527953850446525</c:v>
                </c:pt>
                <c:pt idx="10">
                  <c:v>0.60223580840398516</c:v>
                </c:pt>
                <c:pt idx="11">
                  <c:v>0.58766164015506672</c:v>
                </c:pt>
                <c:pt idx="12">
                  <c:v>0.57929953045895977</c:v>
                </c:pt>
                <c:pt idx="13">
                  <c:v>0.57522538646897203</c:v>
                </c:pt>
                <c:pt idx="14">
                  <c:v>0.59615160279512802</c:v>
                </c:pt>
                <c:pt idx="15">
                  <c:v>0.5974089494257403</c:v>
                </c:pt>
                <c:pt idx="16">
                  <c:v>0.59724544574376981</c:v>
                </c:pt>
                <c:pt idx="17">
                  <c:v>0.61082990045260388</c:v>
                </c:pt>
                <c:pt idx="18">
                  <c:v>0.61849820952818579</c:v>
                </c:pt>
                <c:pt idx="19">
                  <c:v>0.62365510807241908</c:v>
                </c:pt>
                <c:pt idx="20">
                  <c:v>0.68061413057737541</c:v>
                </c:pt>
                <c:pt idx="21">
                  <c:v>0.7307446198335974</c:v>
                </c:pt>
                <c:pt idx="22">
                  <c:v>0.71119905794276284</c:v>
                </c:pt>
                <c:pt idx="23">
                  <c:v>0.68061413057737541</c:v>
                </c:pt>
                <c:pt idx="24">
                  <c:v>0.69873775780573066</c:v>
                </c:pt>
                <c:pt idx="25">
                  <c:v>0.61259135853963087</c:v>
                </c:pt>
                <c:pt idx="26">
                  <c:v>0.69302456737828066</c:v>
                </c:pt>
                <c:pt idx="27">
                  <c:v>0.67956391613327316</c:v>
                </c:pt>
                <c:pt idx="28">
                  <c:v>0.6276351058238383</c:v>
                </c:pt>
                <c:pt idx="29">
                  <c:v>0.82203491250504035</c:v>
                </c:pt>
                <c:pt idx="30">
                  <c:v>0.86615921529099282</c:v>
                </c:pt>
                <c:pt idx="31">
                  <c:v>0.89405364982066748</c:v>
                </c:pt>
                <c:pt idx="32">
                  <c:v>0.88245505880803987</c:v>
                </c:pt>
                <c:pt idx="33">
                  <c:v>0.87705195212425147</c:v>
                </c:pt>
                <c:pt idx="34">
                  <c:v>0.89913652458151405</c:v>
                </c:pt>
                <c:pt idx="35">
                  <c:v>0.91573810007808687</c:v>
                </c:pt>
                <c:pt idx="36">
                  <c:v>0.91573810007808687</c:v>
                </c:pt>
                <c:pt idx="37">
                  <c:v>0.95119204448607597</c:v>
                </c:pt>
                <c:pt idx="38">
                  <c:v>0.9606311457825103</c:v>
                </c:pt>
                <c:pt idx="39">
                  <c:v>0.88319294867091491</c:v>
                </c:pt>
                <c:pt idx="40">
                  <c:v>0.88612166598921127</c:v>
                </c:pt>
                <c:pt idx="41">
                  <c:v>0.89034422301999483</c:v>
                </c:pt>
                <c:pt idx="42">
                  <c:v>0.94066080506408445</c:v>
                </c:pt>
                <c:pt idx="43">
                  <c:v>0.94307267216913626</c:v>
                </c:pt>
                <c:pt idx="44">
                  <c:v>0.94066080506408445</c:v>
                </c:pt>
                <c:pt idx="45">
                  <c:v>0.94548210621178497</c:v>
                </c:pt>
                <c:pt idx="46">
                  <c:v>0.93350677700053231</c:v>
                </c:pt>
                <c:pt idx="47">
                  <c:v>0.9360479648360801</c:v>
                </c:pt>
                <c:pt idx="48">
                  <c:v>0.94651897141040553</c:v>
                </c:pt>
                <c:pt idx="49">
                  <c:v>0.96812599238425934</c:v>
                </c:pt>
                <c:pt idx="50">
                  <c:v>0.95812187386283387</c:v>
                </c:pt>
                <c:pt idx="51">
                  <c:v>0.95589794777414239</c:v>
                </c:pt>
                <c:pt idx="52">
                  <c:v>0.96253398235989307</c:v>
                </c:pt>
                <c:pt idx="53">
                  <c:v>0.96144007933003084</c:v>
                </c:pt>
                <c:pt idx="54">
                  <c:v>0.92928464922708942</c:v>
                </c:pt>
                <c:pt idx="55">
                  <c:v>0.94780035153366171</c:v>
                </c:pt>
                <c:pt idx="56">
                  <c:v>0.94780035153366171</c:v>
                </c:pt>
                <c:pt idx="57">
                  <c:v>0.94780035153366171</c:v>
                </c:pt>
                <c:pt idx="58">
                  <c:v>0.9162603145709336</c:v>
                </c:pt>
                <c:pt idx="59">
                  <c:v>0.93168768578717942</c:v>
                </c:pt>
                <c:pt idx="60">
                  <c:v>0.93565091374934095</c:v>
                </c:pt>
                <c:pt idx="61">
                  <c:v>0.9253574941172088</c:v>
                </c:pt>
                <c:pt idx="62">
                  <c:v>0.84016392200752299</c:v>
                </c:pt>
                <c:pt idx="63">
                  <c:v>0.89961658130696354</c:v>
                </c:pt>
                <c:pt idx="64">
                  <c:v>0.89066045096691271</c:v>
                </c:pt>
                <c:pt idx="65">
                  <c:v>0.92489295272966243</c:v>
                </c:pt>
                <c:pt idx="66">
                  <c:v>0.91943111271663436</c:v>
                </c:pt>
                <c:pt idx="67">
                  <c:v>0.92489295272966243</c:v>
                </c:pt>
                <c:pt idx="68">
                  <c:v>0.9184275299690029</c:v>
                </c:pt>
                <c:pt idx="69">
                  <c:v>0.92108968175982231</c:v>
                </c:pt>
                <c:pt idx="70">
                  <c:v>0.9251386776980256</c:v>
                </c:pt>
                <c:pt idx="71">
                  <c:v>0.92490784089213363</c:v>
                </c:pt>
                <c:pt idx="72">
                  <c:v>0.92737244747575076</c:v>
                </c:pt>
                <c:pt idx="73">
                  <c:v>0.92420561533920875</c:v>
                </c:pt>
                <c:pt idx="74">
                  <c:v>0.91572705192015491</c:v>
                </c:pt>
                <c:pt idx="75">
                  <c:v>0.92561973142284837</c:v>
                </c:pt>
                <c:pt idx="76">
                  <c:v>0.92561973142284837</c:v>
                </c:pt>
                <c:pt idx="77">
                  <c:v>0.91777188154396527</c:v>
                </c:pt>
                <c:pt idx="78">
                  <c:v>0.95771777043064987</c:v>
                </c:pt>
                <c:pt idx="79">
                  <c:v>0.97173459822761488</c:v>
                </c:pt>
                <c:pt idx="80">
                  <c:v>0.9879859476046281</c:v>
                </c:pt>
                <c:pt idx="81">
                  <c:v>0.94860016725439644</c:v>
                </c:pt>
                <c:pt idx="82">
                  <c:v>0.93912504488962867</c:v>
                </c:pt>
                <c:pt idx="83">
                  <c:v>0.91585834932586352</c:v>
                </c:pt>
                <c:pt idx="84">
                  <c:v>0.89726467039347879</c:v>
                </c:pt>
                <c:pt idx="85">
                  <c:v>0.93912504488962867</c:v>
                </c:pt>
                <c:pt idx="86">
                  <c:v>0.93507497659257821</c:v>
                </c:pt>
                <c:pt idx="87">
                  <c:v>0.95218594305554205</c:v>
                </c:pt>
                <c:pt idx="88">
                  <c:v>0.97677569556161481</c:v>
                </c:pt>
                <c:pt idx="89">
                  <c:v>0.98215736625125771</c:v>
                </c:pt>
                <c:pt idx="90">
                  <c:v>0.9656367235551897</c:v>
                </c:pt>
                <c:pt idx="91">
                  <c:v>0.96496302153371782</c:v>
                </c:pt>
                <c:pt idx="92">
                  <c:v>0.96513273767789598</c:v>
                </c:pt>
                <c:pt idx="93">
                  <c:v>0.96430526526940574</c:v>
                </c:pt>
                <c:pt idx="94">
                  <c:v>0.9417870827834891</c:v>
                </c:pt>
                <c:pt idx="95">
                  <c:v>0.94144507517949372</c:v>
                </c:pt>
                <c:pt idx="96">
                  <c:v>0.94302774958051128</c:v>
                </c:pt>
                <c:pt idx="97">
                  <c:v>0.94449503233862075</c:v>
                </c:pt>
                <c:pt idx="98">
                  <c:v>0.94301120100798697</c:v>
                </c:pt>
                <c:pt idx="99">
                  <c:v>0.93075358283087861</c:v>
                </c:pt>
                <c:pt idx="100">
                  <c:v>0.93208248912063707</c:v>
                </c:pt>
                <c:pt idx="101">
                  <c:v>0.92997912524281168</c:v>
                </c:pt>
                <c:pt idx="102">
                  <c:v>0.93054356216073064</c:v>
                </c:pt>
                <c:pt idx="103">
                  <c:v>0.91144412210822534</c:v>
                </c:pt>
                <c:pt idx="104">
                  <c:v>0.90823329404202158</c:v>
                </c:pt>
                <c:pt idx="105">
                  <c:v>0.9101068245904016</c:v>
                </c:pt>
                <c:pt idx="106">
                  <c:v>0.90718629343553325</c:v>
                </c:pt>
                <c:pt idx="107">
                  <c:v>0.87062322481214993</c:v>
                </c:pt>
                <c:pt idx="108">
                  <c:v>0.83260800876880436</c:v>
                </c:pt>
                <c:pt idx="109">
                  <c:v>0.83260800876880436</c:v>
                </c:pt>
                <c:pt idx="110">
                  <c:v>0.80439090654511258</c:v>
                </c:pt>
                <c:pt idx="111">
                  <c:v>0.84718356345388168</c:v>
                </c:pt>
                <c:pt idx="112">
                  <c:v>0.83402921086925264</c:v>
                </c:pt>
                <c:pt idx="113">
                  <c:v>0.75039921033204837</c:v>
                </c:pt>
                <c:pt idx="114">
                  <c:v>0.79786665858318839</c:v>
                </c:pt>
                <c:pt idx="115">
                  <c:v>0.77419688278908672</c:v>
                </c:pt>
                <c:pt idx="116">
                  <c:v>0.77632411843120308</c:v>
                </c:pt>
                <c:pt idx="117">
                  <c:v>0.83647062776494652</c:v>
                </c:pt>
                <c:pt idx="118">
                  <c:v>0.84326459833377376</c:v>
                </c:pt>
                <c:pt idx="119">
                  <c:v>0.84251881732270073</c:v>
                </c:pt>
                <c:pt idx="120">
                  <c:v>0.83592695906500303</c:v>
                </c:pt>
                <c:pt idx="121">
                  <c:v>0.82847793276947834</c:v>
                </c:pt>
                <c:pt idx="122">
                  <c:v>0.80144782202367137</c:v>
                </c:pt>
                <c:pt idx="123">
                  <c:v>0.73856242915400727</c:v>
                </c:pt>
                <c:pt idx="124">
                  <c:v>0.67369650735217201</c:v>
                </c:pt>
                <c:pt idx="125">
                  <c:v>0.64286297380273072</c:v>
                </c:pt>
                <c:pt idx="126">
                  <c:v>0.61407900191108244</c:v>
                </c:pt>
                <c:pt idx="127">
                  <c:v>0.62890082024771521</c:v>
                </c:pt>
                <c:pt idx="128">
                  <c:v>0.42759723325368659</c:v>
                </c:pt>
                <c:pt idx="129">
                  <c:v>0.49671929032153261</c:v>
                </c:pt>
                <c:pt idx="130">
                  <c:v>0.37039238508200317</c:v>
                </c:pt>
                <c:pt idx="131">
                  <c:v>0.48324024921027042</c:v>
                </c:pt>
                <c:pt idx="132">
                  <c:v>0.48940474844938586</c:v>
                </c:pt>
                <c:pt idx="133">
                  <c:v>0.46118442865629727</c:v>
                </c:pt>
                <c:pt idx="134">
                  <c:v>0.45809430423750058</c:v>
                </c:pt>
                <c:pt idx="135">
                  <c:v>0.45809430423750058</c:v>
                </c:pt>
                <c:pt idx="136">
                  <c:v>0.32155455767019431</c:v>
                </c:pt>
                <c:pt idx="137">
                  <c:v>0.36837711159380437</c:v>
                </c:pt>
                <c:pt idx="138">
                  <c:v>0.32270862091389874</c:v>
                </c:pt>
                <c:pt idx="139">
                  <c:v>0.31397185155832891</c:v>
                </c:pt>
                <c:pt idx="140">
                  <c:v>0.36676284815642968</c:v>
                </c:pt>
                <c:pt idx="141">
                  <c:v>0.4642436748645592</c:v>
                </c:pt>
                <c:pt idx="142">
                  <c:v>0.46846408937290757</c:v>
                </c:pt>
                <c:pt idx="143">
                  <c:v>0.46604163075436117</c:v>
                </c:pt>
                <c:pt idx="144">
                  <c:v>0.45882942996224085</c:v>
                </c:pt>
                <c:pt idx="145">
                  <c:v>0.48819793986705451</c:v>
                </c:pt>
                <c:pt idx="146">
                  <c:v>0.51686237282085756</c:v>
                </c:pt>
                <c:pt idx="147">
                  <c:v>0.47659235222796992</c:v>
                </c:pt>
                <c:pt idx="148">
                  <c:v>0.43809899693344728</c:v>
                </c:pt>
                <c:pt idx="149">
                  <c:v>0.46646655511873347</c:v>
                </c:pt>
                <c:pt idx="150">
                  <c:v>0.45035714868846971</c:v>
                </c:pt>
                <c:pt idx="151">
                  <c:v>0.41435742347941557</c:v>
                </c:pt>
                <c:pt idx="152">
                  <c:v>0.40946577691320324</c:v>
                </c:pt>
                <c:pt idx="153">
                  <c:v>0.37314562604747809</c:v>
                </c:pt>
                <c:pt idx="154">
                  <c:v>0.36311039029163023</c:v>
                </c:pt>
                <c:pt idx="155">
                  <c:v>0.30222062844184339</c:v>
                </c:pt>
                <c:pt idx="156">
                  <c:v>0.32771934161884003</c:v>
                </c:pt>
                <c:pt idx="157">
                  <c:v>0.40641511694283672</c:v>
                </c:pt>
                <c:pt idx="158">
                  <c:v>0.41373446472520986</c:v>
                </c:pt>
                <c:pt idx="159">
                  <c:v>0.43082638628918513</c:v>
                </c:pt>
                <c:pt idx="160">
                  <c:v>0.44229187681125864</c:v>
                </c:pt>
                <c:pt idx="161">
                  <c:v>0.42867877923273462</c:v>
                </c:pt>
                <c:pt idx="162">
                  <c:v>0.4190960023934181</c:v>
                </c:pt>
                <c:pt idx="163">
                  <c:v>0.41087729858311572</c:v>
                </c:pt>
                <c:pt idx="164">
                  <c:v>0.42373437747114012</c:v>
                </c:pt>
                <c:pt idx="165">
                  <c:v>0.40957194544715148</c:v>
                </c:pt>
                <c:pt idx="166">
                  <c:v>0.42118721507933182</c:v>
                </c:pt>
                <c:pt idx="167">
                  <c:v>0.40398876534854189</c:v>
                </c:pt>
                <c:pt idx="168">
                  <c:v>0.38842204575632649</c:v>
                </c:pt>
                <c:pt idx="169">
                  <c:v>0.40452869269282377</c:v>
                </c:pt>
                <c:pt idx="170">
                  <c:v>0.41899770903391403</c:v>
                </c:pt>
                <c:pt idx="171">
                  <c:v>0.41427601525024443</c:v>
                </c:pt>
                <c:pt idx="172">
                  <c:v>0.40922673931396869</c:v>
                </c:pt>
                <c:pt idx="173">
                  <c:v>0.45351225783810156</c:v>
                </c:pt>
                <c:pt idx="174">
                  <c:v>0.45691985970382054</c:v>
                </c:pt>
                <c:pt idx="175">
                  <c:v>0.50044950670899591</c:v>
                </c:pt>
                <c:pt idx="176">
                  <c:v>0.51691546049332004</c:v>
                </c:pt>
                <c:pt idx="177">
                  <c:v>0.52106283427340949</c:v>
                </c:pt>
                <c:pt idx="178">
                  <c:v>0.45425380803935078</c:v>
                </c:pt>
                <c:pt idx="179">
                  <c:v>0.47647398145844211</c:v>
                </c:pt>
                <c:pt idx="180">
                  <c:v>0.52106283427340949</c:v>
                </c:pt>
                <c:pt idx="181">
                  <c:v>0.53301594192210267</c:v>
                </c:pt>
                <c:pt idx="182">
                  <c:v>0.46861230622739936</c:v>
                </c:pt>
                <c:pt idx="183">
                  <c:v>0.5093660772692542</c:v>
                </c:pt>
                <c:pt idx="184">
                  <c:v>0.5093660772692542</c:v>
                </c:pt>
                <c:pt idx="185">
                  <c:v>0.51665823055209925</c:v>
                </c:pt>
                <c:pt idx="186">
                  <c:v>0.47024534644528793</c:v>
                </c:pt>
                <c:pt idx="187">
                  <c:v>0.51309051805748795</c:v>
                </c:pt>
                <c:pt idx="188">
                  <c:v>0.53891273072782475</c:v>
                </c:pt>
                <c:pt idx="189">
                  <c:v>0.53891273072782475</c:v>
                </c:pt>
                <c:pt idx="190">
                  <c:v>0.53504897285947772</c:v>
                </c:pt>
                <c:pt idx="191">
                  <c:v>0.5257779345197845</c:v>
                </c:pt>
                <c:pt idx="192">
                  <c:v>0.43411017798804036</c:v>
                </c:pt>
                <c:pt idx="193">
                  <c:v>0.45486909993325186</c:v>
                </c:pt>
                <c:pt idx="194">
                  <c:v>0.47865989263762543</c:v>
                </c:pt>
                <c:pt idx="195">
                  <c:v>0.5223034520698695</c:v>
                </c:pt>
                <c:pt idx="196">
                  <c:v>0.58710562488184848</c:v>
                </c:pt>
                <c:pt idx="197">
                  <c:v>0.59748600290895393</c:v>
                </c:pt>
                <c:pt idx="198">
                  <c:v>0.58498315146570623</c:v>
                </c:pt>
                <c:pt idx="199">
                  <c:v>0.56191456736441669</c:v>
                </c:pt>
                <c:pt idx="200">
                  <c:v>0.56913286805662044</c:v>
                </c:pt>
                <c:pt idx="201">
                  <c:v>0.57641640154379037</c:v>
                </c:pt>
                <c:pt idx="202">
                  <c:v>0.5815584292290823</c:v>
                </c:pt>
                <c:pt idx="203">
                  <c:v>0.5930900951939968</c:v>
                </c:pt>
                <c:pt idx="204">
                  <c:v>0.58486417412482083</c:v>
                </c:pt>
                <c:pt idx="205">
                  <c:v>0.63917571751743196</c:v>
                </c:pt>
                <c:pt idx="206">
                  <c:v>0.62652977193512516</c:v>
                </c:pt>
                <c:pt idx="207">
                  <c:v>0.59248885396328499</c:v>
                </c:pt>
                <c:pt idx="208">
                  <c:v>0.66856647147593873</c:v>
                </c:pt>
                <c:pt idx="209">
                  <c:v>0.69441513932723864</c:v>
                </c:pt>
                <c:pt idx="210">
                  <c:v>0.69625439745521622</c:v>
                </c:pt>
                <c:pt idx="211">
                  <c:v>0.69441513932723864</c:v>
                </c:pt>
                <c:pt idx="212">
                  <c:v>0.71728615544957119</c:v>
                </c:pt>
                <c:pt idx="213">
                  <c:v>0.67961908546991245</c:v>
                </c:pt>
                <c:pt idx="214">
                  <c:v>0.65477542416340195</c:v>
                </c:pt>
                <c:pt idx="215">
                  <c:v>0.62665384357251297</c:v>
                </c:pt>
                <c:pt idx="216">
                  <c:v>0.64879793947367048</c:v>
                </c:pt>
                <c:pt idx="217">
                  <c:v>0.56709086833409406</c:v>
                </c:pt>
                <c:pt idx="218">
                  <c:v>0.62625017100514624</c:v>
                </c:pt>
                <c:pt idx="219">
                  <c:v>0.67177281536533184</c:v>
                </c:pt>
                <c:pt idx="220">
                  <c:v>0.6565095101369548</c:v>
                </c:pt>
                <c:pt idx="221">
                  <c:v>0.67417257610562109</c:v>
                </c:pt>
                <c:pt idx="222">
                  <c:v>0.65857343754719777</c:v>
                </c:pt>
                <c:pt idx="223">
                  <c:v>0.68053352147964996</c:v>
                </c:pt>
                <c:pt idx="224">
                  <c:v>0.66595023399780651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'Pre 2005'!$C$2</c:f>
              <c:strCache>
                <c:ptCount val="1"/>
                <c:pt idx="0">
                  <c:v>HARP</c:v>
                </c:pt>
              </c:strCache>
            </c:strRef>
          </c:tx>
          <c:spPr>
            <a:ln w="19050">
              <a:solidFill>
                <a:schemeClr val="accent1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2005'!$C$3:$C$227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'Pre 2005'!$D$2</c:f>
              <c:strCache>
                <c:ptCount val="1"/>
                <c:pt idx="0">
                  <c:v>Currnet PMI</c:v>
                </c:pt>
              </c:strCache>
            </c:strRef>
          </c:tx>
          <c:spPr>
            <a:ln w="19050">
              <a:solidFill>
                <a:schemeClr val="tx2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2005'!$D$3:$D$227</c:f>
              <c:numCache>
                <c:formatCode>0%</c:formatCode>
                <c:ptCount val="225"/>
                <c:pt idx="0">
                  <c:v>0.42852398059902003</c:v>
                </c:pt>
                <c:pt idx="1">
                  <c:v>0.44599635168013801</c:v>
                </c:pt>
                <c:pt idx="2">
                  <c:v>0.42976523862424298</c:v>
                </c:pt>
                <c:pt idx="3">
                  <c:v>0.42804406226545899</c:v>
                </c:pt>
                <c:pt idx="4">
                  <c:v>0.39735095404405901</c:v>
                </c:pt>
                <c:pt idx="5">
                  <c:v>0.36026372477374102</c:v>
                </c:pt>
                <c:pt idx="6">
                  <c:v>0.37174112183007801</c:v>
                </c:pt>
                <c:pt idx="7">
                  <c:v>0.38268704676703003</c:v>
                </c:pt>
                <c:pt idx="8">
                  <c:v>0.38534073201873098</c:v>
                </c:pt>
                <c:pt idx="9">
                  <c:v>0.38530209930722298</c:v>
                </c:pt>
                <c:pt idx="10">
                  <c:v>0.41625559569387699</c:v>
                </c:pt>
                <c:pt idx="11">
                  <c:v>0.39986849956992299</c:v>
                </c:pt>
                <c:pt idx="12">
                  <c:v>0.38561724765369598</c:v>
                </c:pt>
                <c:pt idx="13">
                  <c:v>0.377336561198648</c:v>
                </c:pt>
                <c:pt idx="14">
                  <c:v>0.37716378157473002</c:v>
                </c:pt>
                <c:pt idx="15">
                  <c:v>0.39280861828637997</c:v>
                </c:pt>
                <c:pt idx="16">
                  <c:v>0.39347477869207098</c:v>
                </c:pt>
                <c:pt idx="17">
                  <c:v>0.404960459321071</c:v>
                </c:pt>
                <c:pt idx="18">
                  <c:v>0.44239757779940198</c:v>
                </c:pt>
                <c:pt idx="19">
                  <c:v>0.44263839982775999</c:v>
                </c:pt>
                <c:pt idx="20">
                  <c:v>0.443305158673787</c:v>
                </c:pt>
                <c:pt idx="21">
                  <c:v>0.46808927773665898</c:v>
                </c:pt>
                <c:pt idx="22">
                  <c:v>0.49109730679799701</c:v>
                </c:pt>
                <c:pt idx="23">
                  <c:v>0.49098227335116801</c:v>
                </c:pt>
                <c:pt idx="24">
                  <c:v>0.46808927773665898</c:v>
                </c:pt>
                <c:pt idx="25">
                  <c:v>0.489935821452404</c:v>
                </c:pt>
                <c:pt idx="26">
                  <c:v>0.43458744050497899</c:v>
                </c:pt>
                <c:pt idx="27">
                  <c:v>0.485108874378754</c:v>
                </c:pt>
                <c:pt idx="28">
                  <c:v>0.46318279756695502</c:v>
                </c:pt>
                <c:pt idx="29">
                  <c:v>0.45789854868906799</c:v>
                </c:pt>
                <c:pt idx="30">
                  <c:v>0.53278765965471897</c:v>
                </c:pt>
                <c:pt idx="31">
                  <c:v>0.63586839821177099</c:v>
                </c:pt>
                <c:pt idx="32">
                  <c:v>0.730678857237261</c:v>
                </c:pt>
                <c:pt idx="33">
                  <c:v>0.68478976915726397</c:v>
                </c:pt>
                <c:pt idx="34">
                  <c:v>0.67891821943498099</c:v>
                </c:pt>
                <c:pt idx="35">
                  <c:v>0.74882938585751302</c:v>
                </c:pt>
                <c:pt idx="36">
                  <c:v>0.75105682006900099</c:v>
                </c:pt>
                <c:pt idx="37">
                  <c:v>0.75105682006900099</c:v>
                </c:pt>
                <c:pt idx="38">
                  <c:v>0.80540404717700897</c:v>
                </c:pt>
                <c:pt idx="39">
                  <c:v>0.790582670298423</c:v>
                </c:pt>
                <c:pt idx="40">
                  <c:v>0.707335305309861</c:v>
                </c:pt>
                <c:pt idx="41">
                  <c:v>0.72872079834060799</c:v>
                </c:pt>
                <c:pt idx="42">
                  <c:v>0.73025745423770105</c:v>
                </c:pt>
                <c:pt idx="43">
                  <c:v>0.77103501437728905</c:v>
                </c:pt>
                <c:pt idx="44">
                  <c:v>0.77108265099835005</c:v>
                </c:pt>
                <c:pt idx="45">
                  <c:v>0.77103501437728905</c:v>
                </c:pt>
                <c:pt idx="46">
                  <c:v>0.77245486812915198</c:v>
                </c:pt>
                <c:pt idx="47">
                  <c:v>0.75539515722260098</c:v>
                </c:pt>
                <c:pt idx="48">
                  <c:v>0.75544279443301199</c:v>
                </c:pt>
                <c:pt idx="49">
                  <c:v>0.757642248754546</c:v>
                </c:pt>
                <c:pt idx="50">
                  <c:v>0.79118415521131102</c:v>
                </c:pt>
                <c:pt idx="51">
                  <c:v>0.78151191934601505</c:v>
                </c:pt>
                <c:pt idx="52">
                  <c:v>0.76877472295611105</c:v>
                </c:pt>
                <c:pt idx="53">
                  <c:v>0.78061484194895703</c:v>
                </c:pt>
                <c:pt idx="54">
                  <c:v>0.77869870375179695</c:v>
                </c:pt>
                <c:pt idx="55">
                  <c:v>0.74269630829851996</c:v>
                </c:pt>
                <c:pt idx="56">
                  <c:v>0.75801228690967404</c:v>
                </c:pt>
                <c:pt idx="57">
                  <c:v>0.75801228690967404</c:v>
                </c:pt>
                <c:pt idx="58">
                  <c:v>0.75801228690967404</c:v>
                </c:pt>
                <c:pt idx="59">
                  <c:v>0.72175870157936195</c:v>
                </c:pt>
                <c:pt idx="60">
                  <c:v>0.73029656495304496</c:v>
                </c:pt>
                <c:pt idx="61">
                  <c:v>0.73979044413136397</c:v>
                </c:pt>
                <c:pt idx="62">
                  <c:v>0.72964736165354105</c:v>
                </c:pt>
                <c:pt idx="63">
                  <c:v>0.64602889454414902</c:v>
                </c:pt>
                <c:pt idx="64">
                  <c:v>0.70222983991940502</c:v>
                </c:pt>
                <c:pt idx="65">
                  <c:v>0.70658526279350897</c:v>
                </c:pt>
                <c:pt idx="66">
                  <c:v>0.76351833890642296</c:v>
                </c:pt>
                <c:pt idx="67">
                  <c:v>0.73479366879535601</c:v>
                </c:pt>
                <c:pt idx="68">
                  <c:v>0.76351833890642296</c:v>
                </c:pt>
                <c:pt idx="69">
                  <c:v>0.76630418933940703</c:v>
                </c:pt>
                <c:pt idx="70">
                  <c:v>0.76953827651336104</c:v>
                </c:pt>
                <c:pt idx="71">
                  <c:v>0.79807316092952996</c:v>
                </c:pt>
                <c:pt idx="72">
                  <c:v>0.79563096421455903</c:v>
                </c:pt>
                <c:pt idx="73">
                  <c:v>0.79942305429412797</c:v>
                </c:pt>
                <c:pt idx="74">
                  <c:v>0.83446023873339104</c:v>
                </c:pt>
                <c:pt idx="75">
                  <c:v>0.81451926267734698</c:v>
                </c:pt>
                <c:pt idx="76">
                  <c:v>0.83520811127149397</c:v>
                </c:pt>
                <c:pt idx="77">
                  <c:v>0.83520811127149397</c:v>
                </c:pt>
                <c:pt idx="78">
                  <c:v>0.82572377371151395</c:v>
                </c:pt>
                <c:pt idx="79">
                  <c:v>0.85783899509521899</c:v>
                </c:pt>
                <c:pt idx="80">
                  <c:v>0.86087360527541701</c:v>
                </c:pt>
                <c:pt idx="81">
                  <c:v>0.87708074343545095</c:v>
                </c:pt>
                <c:pt idx="82">
                  <c:v>0.84037294476980395</c:v>
                </c:pt>
                <c:pt idx="83">
                  <c:v>0.840112046562973</c:v>
                </c:pt>
                <c:pt idx="84">
                  <c:v>0.82226069643838895</c:v>
                </c:pt>
                <c:pt idx="85">
                  <c:v>0.80587399760802503</c:v>
                </c:pt>
                <c:pt idx="86">
                  <c:v>0.840112046562973</c:v>
                </c:pt>
                <c:pt idx="87">
                  <c:v>0.82391595701949605</c:v>
                </c:pt>
                <c:pt idx="88">
                  <c:v>0.82736042337984095</c:v>
                </c:pt>
                <c:pt idx="89">
                  <c:v>0.84729321867928498</c:v>
                </c:pt>
                <c:pt idx="90">
                  <c:v>0.89615078381030699</c:v>
                </c:pt>
                <c:pt idx="91">
                  <c:v>0.87486861740066002</c:v>
                </c:pt>
                <c:pt idx="92">
                  <c:v>0.85304113167718099</c:v>
                </c:pt>
                <c:pt idx="93">
                  <c:v>0.87300917575702497</c:v>
                </c:pt>
                <c:pt idx="94">
                  <c:v>0.85152995637800399</c:v>
                </c:pt>
                <c:pt idx="95">
                  <c:v>0.82220398378432702</c:v>
                </c:pt>
                <c:pt idx="96">
                  <c:v>0.82185068481131995</c:v>
                </c:pt>
                <c:pt idx="97">
                  <c:v>0.84470977412850301</c:v>
                </c:pt>
                <c:pt idx="98">
                  <c:v>0.86614098528866201</c:v>
                </c:pt>
                <c:pt idx="99">
                  <c:v>0.84467796841209597</c:v>
                </c:pt>
                <c:pt idx="100">
                  <c:v>0.82850582146884499</c:v>
                </c:pt>
                <c:pt idx="101">
                  <c:v>0.84959064095614001</c:v>
                </c:pt>
                <c:pt idx="102">
                  <c:v>0.82683597281031795</c:v>
                </c:pt>
                <c:pt idx="103">
                  <c:v>0.82807405180361804</c:v>
                </c:pt>
                <c:pt idx="104">
                  <c:v>0.80673651039812899</c:v>
                </c:pt>
                <c:pt idx="105">
                  <c:v>0.78289243382516405</c:v>
                </c:pt>
                <c:pt idx="106">
                  <c:v>0.80443705009709199</c:v>
                </c:pt>
                <c:pt idx="107">
                  <c:v>0.78096114426466201</c:v>
                </c:pt>
                <c:pt idx="108">
                  <c:v>0.72958928267474799</c:v>
                </c:pt>
                <c:pt idx="109">
                  <c:v>0.70463630866607596</c:v>
                </c:pt>
                <c:pt idx="110">
                  <c:v>0.70463630866607596</c:v>
                </c:pt>
                <c:pt idx="111">
                  <c:v>0.68600596152600102</c:v>
                </c:pt>
                <c:pt idx="112">
                  <c:v>0.70679030246685104</c:v>
                </c:pt>
                <c:pt idx="113">
                  <c:v>0.68136636277891505</c:v>
                </c:pt>
                <c:pt idx="114">
                  <c:v>0.643549022861998</c:v>
                </c:pt>
                <c:pt idx="115">
                  <c:v>0.67762091879307995</c:v>
                </c:pt>
                <c:pt idx="116">
                  <c:v>0.65948110445833896</c:v>
                </c:pt>
                <c:pt idx="117">
                  <c:v>0.66095197338656198</c:v>
                </c:pt>
                <c:pt idx="118">
                  <c:v>0.68860823620008205</c:v>
                </c:pt>
                <c:pt idx="119">
                  <c:v>0.716254173818763</c:v>
                </c:pt>
                <c:pt idx="120">
                  <c:v>0.71489894663224296</c:v>
                </c:pt>
                <c:pt idx="121">
                  <c:v>0.73385185995662305</c:v>
                </c:pt>
                <c:pt idx="122">
                  <c:v>0.70449810822234304</c:v>
                </c:pt>
                <c:pt idx="123">
                  <c:v>0.670440489942566</c:v>
                </c:pt>
                <c:pt idx="124">
                  <c:v>0.62967212939531803</c:v>
                </c:pt>
                <c:pt idx="125">
                  <c:v>0.55358328589825201</c:v>
                </c:pt>
                <c:pt idx="126">
                  <c:v>0.513378243304075</c:v>
                </c:pt>
                <c:pt idx="127">
                  <c:v>0.49262377778590499</c:v>
                </c:pt>
                <c:pt idx="128">
                  <c:v>0.493438474284569</c:v>
                </c:pt>
                <c:pt idx="129">
                  <c:v>0.283795068214441</c:v>
                </c:pt>
                <c:pt idx="130">
                  <c:v>0.36923191611788803</c:v>
                </c:pt>
                <c:pt idx="131">
                  <c:v>0.253957802145788</c:v>
                </c:pt>
                <c:pt idx="132">
                  <c:v>0.338227154884298</c:v>
                </c:pt>
                <c:pt idx="133">
                  <c:v>0.34002935370481002</c:v>
                </c:pt>
                <c:pt idx="134">
                  <c:v>0.29429658935164799</c:v>
                </c:pt>
                <c:pt idx="135">
                  <c:v>0.29368072164202702</c:v>
                </c:pt>
                <c:pt idx="136">
                  <c:v>0.29368072164202702</c:v>
                </c:pt>
                <c:pt idx="137">
                  <c:v>0.22780665760041099</c:v>
                </c:pt>
                <c:pt idx="138">
                  <c:v>0.26087468607729303</c:v>
                </c:pt>
                <c:pt idx="139">
                  <c:v>0.234327007260555</c:v>
                </c:pt>
                <c:pt idx="140">
                  <c:v>0.221101303306941</c:v>
                </c:pt>
                <c:pt idx="141">
                  <c:v>0.25463965057747101</c:v>
                </c:pt>
                <c:pt idx="142">
                  <c:v>0.34572071513934099</c:v>
                </c:pt>
                <c:pt idx="143">
                  <c:v>0.36826613493452298</c:v>
                </c:pt>
                <c:pt idx="144">
                  <c:v>0.36772676288515499</c:v>
                </c:pt>
                <c:pt idx="145">
                  <c:v>0.33908242712021103</c:v>
                </c:pt>
                <c:pt idx="146">
                  <c:v>0.387225653389144</c:v>
                </c:pt>
                <c:pt idx="147">
                  <c:v>0.40621263933441498</c:v>
                </c:pt>
                <c:pt idx="148">
                  <c:v>0.37858348879144199</c:v>
                </c:pt>
                <c:pt idx="149">
                  <c:v>0.30261309490806398</c:v>
                </c:pt>
                <c:pt idx="150">
                  <c:v>0.36064781933831103</c:v>
                </c:pt>
                <c:pt idx="151">
                  <c:v>0.33133815164288799</c:v>
                </c:pt>
                <c:pt idx="152">
                  <c:v>0.26300483944839198</c:v>
                </c:pt>
                <c:pt idx="153">
                  <c:v>0.26260248571262501</c:v>
                </c:pt>
                <c:pt idx="154">
                  <c:v>0.22663439683454101</c:v>
                </c:pt>
                <c:pt idx="155">
                  <c:v>0.22629116015596901</c:v>
                </c:pt>
                <c:pt idx="156">
                  <c:v>0.20171259537917</c:v>
                </c:pt>
                <c:pt idx="157">
                  <c:v>0.225222551391554</c:v>
                </c:pt>
                <c:pt idx="158">
                  <c:v>0.256712796608494</c:v>
                </c:pt>
                <c:pt idx="159">
                  <c:v>0.25744135481017799</c:v>
                </c:pt>
                <c:pt idx="160">
                  <c:v>0.31438854181645098</c:v>
                </c:pt>
                <c:pt idx="161">
                  <c:v>0.33798112173000799</c:v>
                </c:pt>
                <c:pt idx="162">
                  <c:v>0.31055726404016398</c:v>
                </c:pt>
                <c:pt idx="163">
                  <c:v>0.28224141067613401</c:v>
                </c:pt>
                <c:pt idx="164">
                  <c:v>0.28030510938432601</c:v>
                </c:pt>
                <c:pt idx="165">
                  <c:v>0.30632423581387003</c:v>
                </c:pt>
                <c:pt idx="166">
                  <c:v>0.27739231314429902</c:v>
                </c:pt>
                <c:pt idx="167">
                  <c:v>0.305158136960197</c:v>
                </c:pt>
                <c:pt idx="168">
                  <c:v>0.27571464318613598</c:v>
                </c:pt>
                <c:pt idx="169">
                  <c:v>0.24706631517703201</c:v>
                </c:pt>
                <c:pt idx="170">
                  <c:v>0.27695663394785902</c:v>
                </c:pt>
                <c:pt idx="171">
                  <c:v>0.30636975607074801</c:v>
                </c:pt>
                <c:pt idx="172">
                  <c:v>0.30473155820130099</c:v>
                </c:pt>
                <c:pt idx="173">
                  <c:v>0.30466547690103202</c:v>
                </c:pt>
                <c:pt idx="174">
                  <c:v>0.35473146099265701</c:v>
                </c:pt>
                <c:pt idx="175">
                  <c:v>0.35510750939955799</c:v>
                </c:pt>
                <c:pt idx="176">
                  <c:v>0.37813915561231398</c:v>
                </c:pt>
                <c:pt idx="177">
                  <c:v>0.38007735837086398</c:v>
                </c:pt>
                <c:pt idx="178">
                  <c:v>0.38136274564707001</c:v>
                </c:pt>
                <c:pt idx="179">
                  <c:v>0.354558274605281</c:v>
                </c:pt>
                <c:pt idx="180">
                  <c:v>0.35638375297164099</c:v>
                </c:pt>
                <c:pt idx="181">
                  <c:v>0.38136274564707001</c:v>
                </c:pt>
                <c:pt idx="182">
                  <c:v>0.40668349695613898</c:v>
                </c:pt>
                <c:pt idx="183">
                  <c:v>0.35127441371780599</c:v>
                </c:pt>
                <c:pt idx="184">
                  <c:v>0.37569546518688601</c:v>
                </c:pt>
                <c:pt idx="185">
                  <c:v>0.37569546518688601</c:v>
                </c:pt>
                <c:pt idx="186">
                  <c:v>0.37710616064306202</c:v>
                </c:pt>
                <c:pt idx="187">
                  <c:v>0.34489863565206802</c:v>
                </c:pt>
                <c:pt idx="188">
                  <c:v>0.37048359025229799</c:v>
                </c:pt>
                <c:pt idx="189">
                  <c:v>0.40150628228700203</c:v>
                </c:pt>
                <c:pt idx="190">
                  <c:v>0.40150628228700203</c:v>
                </c:pt>
                <c:pt idx="191">
                  <c:v>0.39564048824252901</c:v>
                </c:pt>
                <c:pt idx="192">
                  <c:v>0.39402430051755699</c:v>
                </c:pt>
                <c:pt idx="193">
                  <c:v>0.335786197250867</c:v>
                </c:pt>
                <c:pt idx="194">
                  <c:v>0.33779900726217199</c:v>
                </c:pt>
                <c:pt idx="195">
                  <c:v>0.35298059221452499</c:v>
                </c:pt>
                <c:pt idx="196">
                  <c:v>0.38553330142435899</c:v>
                </c:pt>
                <c:pt idx="197">
                  <c:v>0.45862210331192299</c:v>
                </c:pt>
                <c:pt idx="198">
                  <c:v>0.49010064863363401</c:v>
                </c:pt>
                <c:pt idx="199">
                  <c:v>0.45791499093723897</c:v>
                </c:pt>
                <c:pt idx="200">
                  <c:v>0.41298189638604699</c:v>
                </c:pt>
                <c:pt idx="201">
                  <c:v>0.413158972870934</c:v>
                </c:pt>
                <c:pt idx="202">
                  <c:v>0.44955259080167498</c:v>
                </c:pt>
                <c:pt idx="203">
                  <c:v>0.45066656472309602</c:v>
                </c:pt>
                <c:pt idx="204">
                  <c:v>0.47792725629958699</c:v>
                </c:pt>
                <c:pt idx="205">
                  <c:v>0.47411357431497397</c:v>
                </c:pt>
                <c:pt idx="206">
                  <c:v>0.51872843856357098</c:v>
                </c:pt>
                <c:pt idx="207">
                  <c:v>0.515529212075723</c:v>
                </c:pt>
                <c:pt idx="208">
                  <c:v>0.47786309276619199</c:v>
                </c:pt>
                <c:pt idx="209">
                  <c:v>0.54657009543334001</c:v>
                </c:pt>
                <c:pt idx="210">
                  <c:v>0.61065980094002503</c:v>
                </c:pt>
                <c:pt idx="211">
                  <c:v>0.61221176462929705</c:v>
                </c:pt>
                <c:pt idx="212">
                  <c:v>0.61065980094002503</c:v>
                </c:pt>
                <c:pt idx="213">
                  <c:v>0.61088327202867398</c:v>
                </c:pt>
                <c:pt idx="214">
                  <c:v>0.57963018238461905</c:v>
                </c:pt>
                <c:pt idx="215">
                  <c:v>0.53686246920525704</c:v>
                </c:pt>
                <c:pt idx="216">
                  <c:v>0.50427101713461098</c:v>
                </c:pt>
                <c:pt idx="217">
                  <c:v>0.52923216774975401</c:v>
                </c:pt>
                <c:pt idx="218">
                  <c:v>0.45475870152619202</c:v>
                </c:pt>
                <c:pt idx="219">
                  <c:v>0.52662977972920499</c:v>
                </c:pt>
                <c:pt idx="220">
                  <c:v>0.57162965928380105</c:v>
                </c:pt>
                <c:pt idx="221">
                  <c:v>0.55578836979509405</c:v>
                </c:pt>
                <c:pt idx="222">
                  <c:v>0.58517099495605296</c:v>
                </c:pt>
                <c:pt idx="223">
                  <c:v>0.556970480976966</c:v>
                </c:pt>
                <c:pt idx="224">
                  <c:v>0.58711925424012301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'Pre 2005'!$E$2</c:f>
              <c:strCache>
                <c:ptCount val="1"/>
                <c:pt idx="0">
                  <c:v>Pre 2005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none"/>
          </c:marker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2005'!$E$3:$E$227</c:f>
              <c:numCache>
                <c:formatCode>0%</c:formatCode>
                <c:ptCount val="225"/>
                <c:pt idx="0">
                  <c:v>0.49652536152540799</c:v>
                </c:pt>
                <c:pt idx="1">
                  <c:v>0.48031193828570601</c:v>
                </c:pt>
                <c:pt idx="2">
                  <c:v>0.47681170698091002</c:v>
                </c:pt>
                <c:pt idx="3">
                  <c:v>0.434625276538393</c:v>
                </c:pt>
                <c:pt idx="4">
                  <c:v>0.35529176668946899</c:v>
                </c:pt>
                <c:pt idx="5">
                  <c:v>0.37678876885527102</c:v>
                </c:pt>
                <c:pt idx="6">
                  <c:v>0.41551239728516498</c:v>
                </c:pt>
                <c:pt idx="7">
                  <c:v>0.42215459210142903</c:v>
                </c:pt>
                <c:pt idx="8">
                  <c:v>0.42125281133299802</c:v>
                </c:pt>
                <c:pt idx="9">
                  <c:v>0.46784519994446999</c:v>
                </c:pt>
                <c:pt idx="10">
                  <c:v>0.45015891448737699</c:v>
                </c:pt>
                <c:pt idx="11">
                  <c:v>0.42283255275692899</c:v>
                </c:pt>
                <c:pt idx="12">
                  <c:v>0.41479432476526401</c:v>
                </c:pt>
                <c:pt idx="13">
                  <c:v>0.413421668844211</c:v>
                </c:pt>
                <c:pt idx="14">
                  <c:v>0.44388100155564097</c:v>
                </c:pt>
                <c:pt idx="15">
                  <c:v>0.44571846246625901</c:v>
                </c:pt>
                <c:pt idx="16">
                  <c:v>0.458944872704586</c:v>
                </c:pt>
                <c:pt idx="17">
                  <c:v>0.500437475780386</c:v>
                </c:pt>
                <c:pt idx="18">
                  <c:v>0.50448830052858695</c:v>
                </c:pt>
                <c:pt idx="19">
                  <c:v>0.50569919769114802</c:v>
                </c:pt>
                <c:pt idx="20">
                  <c:v>0.53459956826473198</c:v>
                </c:pt>
                <c:pt idx="21">
                  <c:v>0.55567130314067603</c:v>
                </c:pt>
                <c:pt idx="22">
                  <c:v>0.55554953678932995</c:v>
                </c:pt>
                <c:pt idx="23">
                  <c:v>0.53459956826473198</c:v>
                </c:pt>
                <c:pt idx="24">
                  <c:v>0.55456064933307203</c:v>
                </c:pt>
                <c:pt idx="25">
                  <c:v>0.49778274569056502</c:v>
                </c:pt>
                <c:pt idx="26">
                  <c:v>0.55023567489180703</c:v>
                </c:pt>
                <c:pt idx="27">
                  <c:v>0.530262307480455</c:v>
                </c:pt>
                <c:pt idx="28">
                  <c:v>0.52343584513018204</c:v>
                </c:pt>
                <c:pt idx="29">
                  <c:v>0.59637879918119396</c:v>
                </c:pt>
                <c:pt idx="30">
                  <c:v>0.68792602855859697</c:v>
                </c:pt>
                <c:pt idx="31">
                  <c:v>0.76963049580877896</c:v>
                </c:pt>
                <c:pt idx="32">
                  <c:v>0.73008457468410604</c:v>
                </c:pt>
                <c:pt idx="33">
                  <c:v>0.72513911398557795</c:v>
                </c:pt>
                <c:pt idx="34">
                  <c:v>0.78570803060210304</c:v>
                </c:pt>
                <c:pt idx="35">
                  <c:v>0.78784236429837495</c:v>
                </c:pt>
                <c:pt idx="36">
                  <c:v>0.78784236429837495</c:v>
                </c:pt>
                <c:pt idx="37">
                  <c:v>0.835097603433548</c:v>
                </c:pt>
                <c:pt idx="38">
                  <c:v>0.82334508252646699</c:v>
                </c:pt>
                <c:pt idx="39">
                  <c:v>0.75041835881665098</c:v>
                </c:pt>
                <c:pt idx="40">
                  <c:v>0.76893145735928503</c:v>
                </c:pt>
                <c:pt idx="41">
                  <c:v>0.77037274528699795</c:v>
                </c:pt>
                <c:pt idx="42">
                  <c:v>0.80738330212536202</c:v>
                </c:pt>
                <c:pt idx="43">
                  <c:v>0.80743099133140495</c:v>
                </c:pt>
                <c:pt idx="44">
                  <c:v>0.80738330212536202</c:v>
                </c:pt>
                <c:pt idx="45">
                  <c:v>0.80868850381438495</c:v>
                </c:pt>
                <c:pt idx="46">
                  <c:v>0.79462879185413404</c:v>
                </c:pt>
                <c:pt idx="47">
                  <c:v>0.79467702755735403</c:v>
                </c:pt>
                <c:pt idx="48">
                  <c:v>0.79667077255181695</c:v>
                </c:pt>
                <c:pt idx="49">
                  <c:v>0.82560167628302705</c:v>
                </c:pt>
                <c:pt idx="50">
                  <c:v>0.81761753197113796</c:v>
                </c:pt>
                <c:pt idx="51">
                  <c:v>0.80675519627661196</c:v>
                </c:pt>
                <c:pt idx="52">
                  <c:v>0.81664922560340802</c:v>
                </c:pt>
                <c:pt idx="53">
                  <c:v>0.81501800932407398</c:v>
                </c:pt>
                <c:pt idx="54">
                  <c:v>0.78373275885396798</c:v>
                </c:pt>
                <c:pt idx="55">
                  <c:v>0.79864586852223396</c:v>
                </c:pt>
                <c:pt idx="56">
                  <c:v>0.79864586852223396</c:v>
                </c:pt>
                <c:pt idx="57">
                  <c:v>0.79864586852223396</c:v>
                </c:pt>
                <c:pt idx="58">
                  <c:v>0.76696110700144904</c:v>
                </c:pt>
                <c:pt idx="59">
                  <c:v>0.77503934394673502</c:v>
                </c:pt>
                <c:pt idx="60">
                  <c:v>0.78307307510675805</c:v>
                </c:pt>
                <c:pt idx="61">
                  <c:v>0.77444274068180197</c:v>
                </c:pt>
                <c:pt idx="62">
                  <c:v>0.69958063827916195</c:v>
                </c:pt>
                <c:pt idx="63">
                  <c:v>0.749959617052529</c:v>
                </c:pt>
                <c:pt idx="64">
                  <c:v>0.75281601454874203</c:v>
                </c:pt>
                <c:pt idx="65">
                  <c:v>0.80228573213763799</c:v>
                </c:pt>
                <c:pt idx="66">
                  <c:v>0.77814088922240399</c:v>
                </c:pt>
                <c:pt idx="67">
                  <c:v>0.80228573213763799</c:v>
                </c:pt>
                <c:pt idx="68">
                  <c:v>0.80453940604234497</c:v>
                </c:pt>
                <c:pt idx="69">
                  <c:v>0.80732043361392003</c:v>
                </c:pt>
                <c:pt idx="70">
                  <c:v>0.83168681417116597</c:v>
                </c:pt>
                <c:pt idx="71">
                  <c:v>0.82964940526362396</c:v>
                </c:pt>
                <c:pt idx="72">
                  <c:v>0.83284905120274599</c:v>
                </c:pt>
                <c:pt idx="73">
                  <c:v>0.86264764194302102</c:v>
                </c:pt>
                <c:pt idx="74">
                  <c:v>0.84572973738134705</c:v>
                </c:pt>
                <c:pt idx="75">
                  <c:v>0.86327251333866595</c:v>
                </c:pt>
                <c:pt idx="76">
                  <c:v>0.86327251333866595</c:v>
                </c:pt>
                <c:pt idx="77">
                  <c:v>0.85555240339955696</c:v>
                </c:pt>
                <c:pt idx="78">
                  <c:v>0.88287675506615604</c:v>
                </c:pt>
                <c:pt idx="79">
                  <c:v>0.88536471533859296</c:v>
                </c:pt>
                <c:pt idx="80">
                  <c:v>0.89833897714159106</c:v>
                </c:pt>
                <c:pt idx="81">
                  <c:v>0.86793363911717603</c:v>
                </c:pt>
                <c:pt idx="82">
                  <c:v>0.86770648020923202</c:v>
                </c:pt>
                <c:pt idx="83">
                  <c:v>0.85221928563940097</c:v>
                </c:pt>
                <c:pt idx="84">
                  <c:v>0.83842768782906896</c:v>
                </c:pt>
                <c:pt idx="85">
                  <c:v>0.86770648020923202</c:v>
                </c:pt>
                <c:pt idx="86">
                  <c:v>0.854749303648767</c:v>
                </c:pt>
                <c:pt idx="87">
                  <c:v>0.85755860261202399</c:v>
                </c:pt>
                <c:pt idx="88">
                  <c:v>0.87370950143428605</c:v>
                </c:pt>
                <c:pt idx="89">
                  <c:v>0.91294036208624696</c:v>
                </c:pt>
                <c:pt idx="90">
                  <c:v>0.89540803117683299</c:v>
                </c:pt>
                <c:pt idx="91">
                  <c:v>0.87828750136762601</c:v>
                </c:pt>
                <c:pt idx="92">
                  <c:v>0.89386735239452597</c:v>
                </c:pt>
                <c:pt idx="93">
                  <c:v>0.87701507985843796</c:v>
                </c:pt>
                <c:pt idx="94">
                  <c:v>0.85224271287899001</c:v>
                </c:pt>
                <c:pt idx="95">
                  <c:v>0.85193877883173597</c:v>
                </c:pt>
                <c:pt idx="96">
                  <c:v>0.869978528422368</c:v>
                </c:pt>
                <c:pt idx="97">
                  <c:v>0.88760782081308098</c:v>
                </c:pt>
                <c:pt idx="98">
                  <c:v>0.86994927393538202</c:v>
                </c:pt>
                <c:pt idx="99">
                  <c:v>0.85665986262304605</c:v>
                </c:pt>
                <c:pt idx="100">
                  <c:v>0.87405689226001904</c:v>
                </c:pt>
                <c:pt idx="101">
                  <c:v>0.85526933709542996</c:v>
                </c:pt>
                <c:pt idx="102">
                  <c:v>0.85629919718182101</c:v>
                </c:pt>
                <c:pt idx="103">
                  <c:v>0.83698700627492195</c:v>
                </c:pt>
                <c:pt idx="104">
                  <c:v>0.81801292760675504</c:v>
                </c:pt>
                <c:pt idx="105">
                  <c:v>0.83506565777320196</c:v>
                </c:pt>
                <c:pt idx="106">
                  <c:v>0.81638058168754202</c:v>
                </c:pt>
                <c:pt idx="107">
                  <c:v>0.77327869798683202</c:v>
                </c:pt>
                <c:pt idx="108">
                  <c:v>0.75159663172579605</c:v>
                </c:pt>
                <c:pt idx="109">
                  <c:v>0.75159663172579605</c:v>
                </c:pt>
                <c:pt idx="110">
                  <c:v>0.73466848163795695</c:v>
                </c:pt>
                <c:pt idx="111">
                  <c:v>0.75336723351248602</c:v>
                </c:pt>
                <c:pt idx="112">
                  <c:v>0.73189334378403004</c:v>
                </c:pt>
                <c:pt idx="113">
                  <c:v>0.69795987841176899</c:v>
                </c:pt>
                <c:pt idx="114">
                  <c:v>0.72870485724802003</c:v>
                </c:pt>
                <c:pt idx="115">
                  <c:v>0.71205681454377001</c:v>
                </c:pt>
                <c:pt idx="116">
                  <c:v>0.71369665277113203</c:v>
                </c:pt>
                <c:pt idx="117">
                  <c:v>0.73723469697601096</c:v>
                </c:pt>
                <c:pt idx="118">
                  <c:v>0.761146337708836</c:v>
                </c:pt>
                <c:pt idx="119">
                  <c:v>0.759997535931347</c:v>
                </c:pt>
                <c:pt idx="120">
                  <c:v>0.77532655878385304</c:v>
                </c:pt>
                <c:pt idx="121">
                  <c:v>0.75107697516027305</c:v>
                </c:pt>
                <c:pt idx="122">
                  <c:v>0.72171464607282199</c:v>
                </c:pt>
                <c:pt idx="123">
                  <c:v>0.68546913751640703</c:v>
                </c:pt>
                <c:pt idx="124">
                  <c:v>0.61572233359239503</c:v>
                </c:pt>
                <c:pt idx="125">
                  <c:v>0.57885781279247595</c:v>
                </c:pt>
                <c:pt idx="126">
                  <c:v>0.55866046035037298</c:v>
                </c:pt>
                <c:pt idx="127">
                  <c:v>0.559435024866201</c:v>
                </c:pt>
                <c:pt idx="128">
                  <c:v>0.35070641785982798</c:v>
                </c:pt>
                <c:pt idx="129">
                  <c:v>0.43948269576427901</c:v>
                </c:pt>
                <c:pt idx="130">
                  <c:v>0.32026855865014903</c:v>
                </c:pt>
                <c:pt idx="131">
                  <c:v>0.40751972704091199</c:v>
                </c:pt>
                <c:pt idx="132">
                  <c:v>0.40927245307931498</c:v>
                </c:pt>
                <c:pt idx="133">
                  <c:v>0.363862618143523</c:v>
                </c:pt>
                <c:pt idx="134">
                  <c:v>0.36320600400751901</c:v>
                </c:pt>
                <c:pt idx="135">
                  <c:v>0.36320600400751901</c:v>
                </c:pt>
                <c:pt idx="136">
                  <c:v>0.288709470660512</c:v>
                </c:pt>
                <c:pt idx="137">
                  <c:v>0.32763348986039498</c:v>
                </c:pt>
                <c:pt idx="138">
                  <c:v>0.299169771608427</c:v>
                </c:pt>
                <c:pt idx="139">
                  <c:v>0.28272847297738402</c:v>
                </c:pt>
                <c:pt idx="140">
                  <c:v>0.32117243090069397</c:v>
                </c:pt>
                <c:pt idx="141">
                  <c:v>0.41636418453757701</c:v>
                </c:pt>
                <c:pt idx="142">
                  <c:v>0.43780949110749301</c:v>
                </c:pt>
                <c:pt idx="143">
                  <c:v>0.43730748482287202</c:v>
                </c:pt>
                <c:pt idx="144">
                  <c:v>0.40934710971689398</c:v>
                </c:pt>
                <c:pt idx="145">
                  <c:v>0.45677859659494602</c:v>
                </c:pt>
                <c:pt idx="146">
                  <c:v>0.475306900921734</c:v>
                </c:pt>
                <c:pt idx="147">
                  <c:v>0.44816752582121699</c:v>
                </c:pt>
                <c:pt idx="148">
                  <c:v>0.37148669825668401</c:v>
                </c:pt>
                <c:pt idx="149">
                  <c:v>0.43017279106460798</c:v>
                </c:pt>
                <c:pt idx="150">
                  <c:v>0.40155276728234202</c:v>
                </c:pt>
                <c:pt idx="151">
                  <c:v>0.33155433608902701</c:v>
                </c:pt>
                <c:pt idx="152">
                  <c:v>0.33115218180429201</c:v>
                </c:pt>
                <c:pt idx="153">
                  <c:v>0.29231032325725198</c:v>
                </c:pt>
                <c:pt idx="154">
                  <c:v>0.29194519997051299</c:v>
                </c:pt>
                <c:pt idx="155">
                  <c:v>0.26557578721224701</c:v>
                </c:pt>
                <c:pt idx="156">
                  <c:v>0.29041864554209001</c:v>
                </c:pt>
                <c:pt idx="157">
                  <c:v>0.324950271832321</c:v>
                </c:pt>
                <c:pt idx="158">
                  <c:v>0.32575205669163398</c:v>
                </c:pt>
                <c:pt idx="159">
                  <c:v>0.38477236523223501</c:v>
                </c:pt>
                <c:pt idx="160">
                  <c:v>0.407543935255748</c:v>
                </c:pt>
                <c:pt idx="161">
                  <c:v>0.38048486740787602</c:v>
                </c:pt>
                <c:pt idx="162">
                  <c:v>0.350662678143284</c:v>
                </c:pt>
                <c:pt idx="163">
                  <c:v>0.34877360785551498</c:v>
                </c:pt>
                <c:pt idx="164">
                  <c:v>0.37600660434659899</c:v>
                </c:pt>
                <c:pt idx="165">
                  <c:v>0.345540736972693</c:v>
                </c:pt>
                <c:pt idx="166">
                  <c:v>0.37491062583542301</c:v>
                </c:pt>
                <c:pt idx="167">
                  <c:v>0.34390162113487499</c:v>
                </c:pt>
                <c:pt idx="168">
                  <c:v>0.314038249540457</c:v>
                </c:pt>
                <c:pt idx="169">
                  <c:v>0.34467498628586002</c:v>
                </c:pt>
                <c:pt idx="170">
                  <c:v>0.37569838390096</c:v>
                </c:pt>
                <c:pt idx="171">
                  <c:v>0.37412391054197702</c:v>
                </c:pt>
                <c:pt idx="172">
                  <c:v>0.37361880682592702</c:v>
                </c:pt>
                <c:pt idx="173">
                  <c:v>0.42328848292124299</c:v>
                </c:pt>
                <c:pt idx="174">
                  <c:v>0.423626543923386</c:v>
                </c:pt>
                <c:pt idx="175">
                  <c:v>0.44575971286270699</c:v>
                </c:pt>
                <c:pt idx="176">
                  <c:v>0.447523173322597</c:v>
                </c:pt>
                <c:pt idx="177">
                  <c:v>0.44809087040050999</c:v>
                </c:pt>
                <c:pt idx="178">
                  <c:v>0.422698502075878</c:v>
                </c:pt>
                <c:pt idx="179">
                  <c:v>0.42445570084547102</c:v>
                </c:pt>
                <c:pt idx="180">
                  <c:v>0.44809087040050999</c:v>
                </c:pt>
                <c:pt idx="181">
                  <c:v>0.47250294907145901</c:v>
                </c:pt>
                <c:pt idx="182">
                  <c:v>0.41937357622631599</c:v>
                </c:pt>
                <c:pt idx="183">
                  <c:v>0.442496626081467</c:v>
                </c:pt>
                <c:pt idx="184">
                  <c:v>0.442496626081467</c:v>
                </c:pt>
                <c:pt idx="185">
                  <c:v>0.44374218371659901</c:v>
                </c:pt>
                <c:pt idx="186">
                  <c:v>0.41288424367027698</c:v>
                </c:pt>
                <c:pt idx="187">
                  <c:v>0.43702603863390799</c:v>
                </c:pt>
                <c:pt idx="188">
                  <c:v>0.46728360557677701</c:v>
                </c:pt>
                <c:pt idx="189">
                  <c:v>0.46728360557677701</c:v>
                </c:pt>
                <c:pt idx="190">
                  <c:v>0.46155019715384699</c:v>
                </c:pt>
                <c:pt idx="191">
                  <c:v>0.46004558951219798</c:v>
                </c:pt>
                <c:pt idx="192">
                  <c:v>0.40391624791160502</c:v>
                </c:pt>
                <c:pt idx="193">
                  <c:v>0.40583884679985799</c:v>
                </c:pt>
                <c:pt idx="194">
                  <c:v>0.41997935837741501</c:v>
                </c:pt>
                <c:pt idx="195">
                  <c:v>0.45169554196659301</c:v>
                </c:pt>
                <c:pt idx="196">
                  <c:v>0.51980506858976505</c:v>
                </c:pt>
                <c:pt idx="197">
                  <c:v>0.54836202509473897</c:v>
                </c:pt>
                <c:pt idx="198">
                  <c:v>0.51919369291780804</c:v>
                </c:pt>
                <c:pt idx="199">
                  <c:v>0.47675147024831299</c:v>
                </c:pt>
                <c:pt idx="200">
                  <c:v>0.47692109100650398</c:v>
                </c:pt>
                <c:pt idx="201">
                  <c:v>0.51122359708646703</c:v>
                </c:pt>
                <c:pt idx="202">
                  <c:v>0.51219644646725904</c:v>
                </c:pt>
                <c:pt idx="203">
                  <c:v>0.53668924865294498</c:v>
                </c:pt>
                <c:pt idx="204">
                  <c:v>0.53336704205084995</c:v>
                </c:pt>
                <c:pt idx="205">
                  <c:v>0.57434180535542201</c:v>
                </c:pt>
                <c:pt idx="206">
                  <c:v>0.57151301413759903</c:v>
                </c:pt>
                <c:pt idx="207">
                  <c:v>0.53663456127837605</c:v>
                </c:pt>
                <c:pt idx="208">
                  <c:v>0.59916849480803203</c:v>
                </c:pt>
                <c:pt idx="209">
                  <c:v>0.65603248367827005</c:v>
                </c:pt>
                <c:pt idx="210">
                  <c:v>0.65743777734473896</c:v>
                </c:pt>
                <c:pt idx="211">
                  <c:v>0.65603248367827005</c:v>
                </c:pt>
                <c:pt idx="212">
                  <c:v>0.65654204371407898</c:v>
                </c:pt>
                <c:pt idx="213">
                  <c:v>0.62891566924849096</c:v>
                </c:pt>
                <c:pt idx="214">
                  <c:v>0.59089189370597495</c:v>
                </c:pt>
                <c:pt idx="215">
                  <c:v>0.56192400392824904</c:v>
                </c:pt>
                <c:pt idx="216">
                  <c:v>0.58504613614911405</c:v>
                </c:pt>
                <c:pt idx="217">
                  <c:v>0.51677297350672402</c:v>
                </c:pt>
                <c:pt idx="218">
                  <c:v>0.58275927647732095</c:v>
                </c:pt>
                <c:pt idx="219">
                  <c:v>0.62291663527341601</c:v>
                </c:pt>
                <c:pt idx="220">
                  <c:v>0.60989773029744099</c:v>
                </c:pt>
                <c:pt idx="221">
                  <c:v>0.63605273893112901</c:v>
                </c:pt>
                <c:pt idx="222">
                  <c:v>0.61100400428288903</c:v>
                </c:pt>
                <c:pt idx="223">
                  <c:v>0.63781716084616302</c:v>
                </c:pt>
                <c:pt idx="224">
                  <c:v>0.61234517356738905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185216"/>
        <c:axId val="336186752"/>
      </c:lineChart>
      <c:dateAx>
        <c:axId val="336185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6186752"/>
        <c:crosses val="autoZero"/>
        <c:auto val="1"/>
        <c:lblOffset val="100"/>
        <c:baseTimeUnit val="days"/>
      </c:dateAx>
      <c:valAx>
        <c:axId val="336186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36185216"/>
        <c:crosses val="autoZero"/>
        <c:crossBetween val="between"/>
      </c:valAx>
      <c:valAx>
        <c:axId val="336348288"/>
        <c:scaling>
          <c:orientation val="minMax"/>
          <c:min val="0"/>
        </c:scaling>
        <c:delete val="0"/>
        <c:axPos val="r"/>
        <c:numFmt formatCode="0%" sourceLinked="1"/>
        <c:majorTickMark val="out"/>
        <c:minorTickMark val="none"/>
        <c:tickLblPos val="nextTo"/>
        <c:crossAx val="336349824"/>
        <c:crosses val="max"/>
        <c:crossBetween val="between"/>
      </c:valAx>
      <c:dateAx>
        <c:axId val="3363498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6348288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'Pre 2005'!$F$2</c:f>
              <c:strCache>
                <c:ptCount val="1"/>
                <c:pt idx="0">
                  <c:v>Diff(Pre2005,Current PMI)</c:v>
                </c:pt>
              </c:strCache>
            </c:strRef>
          </c:tx>
          <c:invertIfNegative val="0"/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2005'!$F$3:$F$227</c:f>
              <c:numCache>
                <c:formatCode>0%</c:formatCode>
                <c:ptCount val="225"/>
                <c:pt idx="0">
                  <c:v>6.8001380926387966E-2</c:v>
                </c:pt>
                <c:pt idx="1">
                  <c:v>3.4315586605567994E-2</c:v>
                </c:pt>
                <c:pt idx="2">
                  <c:v>4.7046468356667037E-2</c:v>
                </c:pt>
                <c:pt idx="3">
                  <c:v>6.5812142729340106E-3</c:v>
                </c:pt>
                <c:pt idx="4">
                  <c:v>-4.2059187354590022E-2</c:v>
                </c:pt>
                <c:pt idx="5">
                  <c:v>1.6525044081529994E-2</c:v>
                </c:pt>
                <c:pt idx="6">
                  <c:v>4.3771275455086966E-2</c:v>
                </c:pt>
                <c:pt idx="7">
                  <c:v>3.9467545334399001E-2</c:v>
                </c:pt>
                <c:pt idx="8">
                  <c:v>3.5912079314267042E-2</c:v>
                </c:pt>
                <c:pt idx="9">
                  <c:v>8.2543100637247013E-2</c:v>
                </c:pt>
                <c:pt idx="10">
                  <c:v>3.3903318793500004E-2</c:v>
                </c:pt>
                <c:pt idx="11">
                  <c:v>2.2964053187006006E-2</c:v>
                </c:pt>
                <c:pt idx="12">
                  <c:v>2.9177077111568028E-2</c:v>
                </c:pt>
                <c:pt idx="13">
                  <c:v>3.6085107645562997E-2</c:v>
                </c:pt>
                <c:pt idx="14">
                  <c:v>6.6717219980910958E-2</c:v>
                </c:pt>
                <c:pt idx="15">
                  <c:v>5.290984417987904E-2</c:v>
                </c:pt>
                <c:pt idx="16">
                  <c:v>6.5470094012515023E-2</c:v>
                </c:pt>
                <c:pt idx="17">
                  <c:v>9.5477016459315001E-2</c:v>
                </c:pt>
                <c:pt idx="18">
                  <c:v>6.2090722729184977E-2</c:v>
                </c:pt>
                <c:pt idx="19">
                  <c:v>6.306079786338803E-2</c:v>
                </c:pt>
                <c:pt idx="20">
                  <c:v>9.129440959094498E-2</c:v>
                </c:pt>
                <c:pt idx="21">
                  <c:v>8.758202540401705E-2</c:v>
                </c:pt>
                <c:pt idx="22">
                  <c:v>6.4452229991332932E-2</c:v>
                </c:pt>
                <c:pt idx="23">
                  <c:v>4.3617294913563975E-2</c:v>
                </c:pt>
                <c:pt idx="24">
                  <c:v>8.6471371596413049E-2</c:v>
                </c:pt>
                <c:pt idx="25">
                  <c:v>7.8469242381610238E-3</c:v>
                </c:pt>
                <c:pt idx="26">
                  <c:v>0.11564823438682803</c:v>
                </c:pt>
                <c:pt idx="27">
                  <c:v>4.5153433101701002E-2</c:v>
                </c:pt>
                <c:pt idx="28">
                  <c:v>6.0253047563227025E-2</c:v>
                </c:pt>
                <c:pt idx="29">
                  <c:v>0.13848025049212598</c:v>
                </c:pt>
                <c:pt idx="30">
                  <c:v>0.155138368903878</c:v>
                </c:pt>
                <c:pt idx="31">
                  <c:v>0.13376209759700797</c:v>
                </c:pt>
                <c:pt idx="32">
                  <c:v>-5.9428255315496781E-4</c:v>
                </c:pt>
                <c:pt idx="33">
                  <c:v>4.0349344828313982E-2</c:v>
                </c:pt>
                <c:pt idx="34">
                  <c:v>0.10678981116712205</c:v>
                </c:pt>
                <c:pt idx="35">
                  <c:v>3.9012978440861934E-2</c:v>
                </c:pt>
                <c:pt idx="36">
                  <c:v>3.6785544229373968E-2</c:v>
                </c:pt>
                <c:pt idx="37">
                  <c:v>8.4040783364547011E-2</c:v>
                </c:pt>
                <c:pt idx="38">
                  <c:v>1.7941035349458012E-2</c:v>
                </c:pt>
                <c:pt idx="39">
                  <c:v>-4.0164311481772019E-2</c:v>
                </c:pt>
                <c:pt idx="40">
                  <c:v>6.1596152049424036E-2</c:v>
                </c:pt>
                <c:pt idx="41">
                  <c:v>4.1651946946389962E-2</c:v>
                </c:pt>
                <c:pt idx="42">
                  <c:v>7.712584788766097E-2</c:v>
                </c:pt>
                <c:pt idx="43">
                  <c:v>3.6395976954115894E-2</c:v>
                </c:pt>
                <c:pt idx="44">
                  <c:v>3.6300651127011974E-2</c:v>
                </c:pt>
                <c:pt idx="45">
                  <c:v>3.7653489437095899E-2</c:v>
                </c:pt>
                <c:pt idx="46">
                  <c:v>2.2173923724982059E-2</c:v>
                </c:pt>
                <c:pt idx="47">
                  <c:v>3.9281870334753055E-2</c:v>
                </c:pt>
                <c:pt idx="48">
                  <c:v>4.1227978118804964E-2</c:v>
                </c:pt>
                <c:pt idx="49">
                  <c:v>6.7959427528481053E-2</c:v>
                </c:pt>
                <c:pt idx="50">
                  <c:v>2.6433376759826932E-2</c:v>
                </c:pt>
                <c:pt idx="51">
                  <c:v>2.5243276930596914E-2</c:v>
                </c:pt>
                <c:pt idx="52">
                  <c:v>4.7874502647296979E-2</c:v>
                </c:pt>
                <c:pt idx="53">
                  <c:v>3.440316737511695E-2</c:v>
                </c:pt>
                <c:pt idx="54">
                  <c:v>5.0340551021710311E-3</c:v>
                </c:pt>
                <c:pt idx="55">
                  <c:v>5.5949560223714001E-2</c:v>
                </c:pt>
                <c:pt idx="56">
                  <c:v>4.0633581612559921E-2</c:v>
                </c:pt>
                <c:pt idx="57">
                  <c:v>4.0633581612559921E-2</c:v>
                </c:pt>
                <c:pt idx="58">
                  <c:v>8.9488200917750005E-3</c:v>
                </c:pt>
                <c:pt idx="59">
                  <c:v>5.3280642367373066E-2</c:v>
                </c:pt>
                <c:pt idx="60">
                  <c:v>5.2776510153713097E-2</c:v>
                </c:pt>
                <c:pt idx="61">
                  <c:v>3.4652296550438E-2</c:v>
                </c:pt>
                <c:pt idx="62">
                  <c:v>-3.0066723374379101E-2</c:v>
                </c:pt>
                <c:pt idx="63">
                  <c:v>0.10393072250837998</c:v>
                </c:pt>
                <c:pt idx="64">
                  <c:v>5.0586174629337011E-2</c:v>
                </c:pt>
                <c:pt idx="65">
                  <c:v>9.5700469344129013E-2</c:v>
                </c:pt>
                <c:pt idx="66">
                  <c:v>1.4622550315981031E-2</c:v>
                </c:pt>
                <c:pt idx="67">
                  <c:v>6.7492063342281972E-2</c:v>
                </c:pt>
                <c:pt idx="68">
                  <c:v>4.1021067135922018E-2</c:v>
                </c:pt>
                <c:pt idx="69">
                  <c:v>4.1016244274513003E-2</c:v>
                </c:pt>
                <c:pt idx="70">
                  <c:v>6.2148537657804925E-2</c:v>
                </c:pt>
                <c:pt idx="71">
                  <c:v>3.1576244334094006E-2</c:v>
                </c:pt>
                <c:pt idx="72">
                  <c:v>3.721808698818696E-2</c:v>
                </c:pt>
                <c:pt idx="73">
                  <c:v>6.3224587648893049E-2</c:v>
                </c:pt>
                <c:pt idx="74">
                  <c:v>1.1269498647956011E-2</c:v>
                </c:pt>
                <c:pt idx="75">
                  <c:v>4.875325066131897E-2</c:v>
                </c:pt>
                <c:pt idx="76">
                  <c:v>2.8064402067171978E-2</c:v>
                </c:pt>
                <c:pt idx="77">
                  <c:v>2.0344292128062991E-2</c:v>
                </c:pt>
                <c:pt idx="78">
                  <c:v>5.7152981354642085E-2</c:v>
                </c:pt>
                <c:pt idx="79">
                  <c:v>2.7525720243373963E-2</c:v>
                </c:pt>
                <c:pt idx="80">
                  <c:v>3.7465371866174046E-2</c:v>
                </c:pt>
                <c:pt idx="81">
                  <c:v>-9.1471043182749234E-3</c:v>
                </c:pt>
                <c:pt idx="82">
                  <c:v>2.7333535439428069E-2</c:v>
                </c:pt>
                <c:pt idx="83">
                  <c:v>1.2107239076427967E-2</c:v>
                </c:pt>
                <c:pt idx="84">
                  <c:v>1.6166991390680008E-2</c:v>
                </c:pt>
                <c:pt idx="85">
                  <c:v>6.1832482601206995E-2</c:v>
                </c:pt>
                <c:pt idx="86">
                  <c:v>1.4637257085793998E-2</c:v>
                </c:pt>
                <c:pt idx="87">
                  <c:v>3.3642645592527942E-2</c:v>
                </c:pt>
                <c:pt idx="88">
                  <c:v>4.6349078054445103E-2</c:v>
                </c:pt>
                <c:pt idx="89">
                  <c:v>6.5647143406961983E-2</c:v>
                </c:pt>
                <c:pt idx="90">
                  <c:v>-7.4275263347400866E-4</c:v>
                </c:pt>
                <c:pt idx="91">
                  <c:v>3.418883966965991E-3</c:v>
                </c:pt>
                <c:pt idx="92">
                  <c:v>4.0826220717344985E-2</c:v>
                </c:pt>
                <c:pt idx="93">
                  <c:v>4.0059041014129937E-3</c:v>
                </c:pt>
                <c:pt idx="94">
                  <c:v>7.1275650098601151E-4</c:v>
                </c:pt>
                <c:pt idx="95">
                  <c:v>2.9734795047408946E-2</c:v>
                </c:pt>
                <c:pt idx="96">
                  <c:v>4.8127843611048049E-2</c:v>
                </c:pt>
                <c:pt idx="97">
                  <c:v>4.2898046684577973E-2</c:v>
                </c:pt>
                <c:pt idx="98">
                  <c:v>3.8082886467200039E-3</c:v>
                </c:pt>
                <c:pt idx="99">
                  <c:v>1.1981894210950084E-2</c:v>
                </c:pt>
                <c:pt idx="100">
                  <c:v>4.5551070791174042E-2</c:v>
                </c:pt>
                <c:pt idx="101">
                  <c:v>5.6786961392899515E-3</c:v>
                </c:pt>
                <c:pt idx="102">
                  <c:v>2.9463224371503061E-2</c:v>
                </c:pt>
                <c:pt idx="103">
                  <c:v>8.9129544713039133E-3</c:v>
                </c:pt>
                <c:pt idx="104">
                  <c:v>1.1276417208626044E-2</c:v>
                </c:pt>
                <c:pt idx="105">
                  <c:v>5.2173223948037917E-2</c:v>
                </c:pt>
                <c:pt idx="106">
                  <c:v>1.1943531590450029E-2</c:v>
                </c:pt>
                <c:pt idx="107">
                  <c:v>-7.6824462778299907E-3</c:v>
                </c:pt>
                <c:pt idx="108">
                  <c:v>2.2007349051048064E-2</c:v>
                </c:pt>
                <c:pt idx="109">
                  <c:v>4.6960323059720088E-2</c:v>
                </c:pt>
                <c:pt idx="110">
                  <c:v>3.0032172971880988E-2</c:v>
                </c:pt>
                <c:pt idx="111">
                  <c:v>6.7361271986485005E-2</c:v>
                </c:pt>
                <c:pt idx="112">
                  <c:v>2.5103041317178998E-2</c:v>
                </c:pt>
                <c:pt idx="113">
                  <c:v>1.6593515632853939E-2</c:v>
                </c:pt>
                <c:pt idx="114">
                  <c:v>8.5155834386022033E-2</c:v>
                </c:pt>
                <c:pt idx="115">
                  <c:v>3.443589575069006E-2</c:v>
                </c:pt>
                <c:pt idx="116">
                  <c:v>5.4215548312793072E-2</c:v>
                </c:pt>
                <c:pt idx="117">
                  <c:v>7.6282723589448986E-2</c:v>
                </c:pt>
                <c:pt idx="118">
                  <c:v>7.2538101508753949E-2</c:v>
                </c:pt>
                <c:pt idx="119">
                  <c:v>4.3743362112584006E-2</c:v>
                </c:pt>
                <c:pt idx="120">
                  <c:v>6.0427612151610077E-2</c:v>
                </c:pt>
                <c:pt idx="121">
                  <c:v>1.7225115203649999E-2</c:v>
                </c:pt>
                <c:pt idx="122">
                  <c:v>1.7216537850478941E-2</c:v>
                </c:pt>
                <c:pt idx="123">
                  <c:v>1.5028647573841036E-2</c:v>
                </c:pt>
                <c:pt idx="124">
                  <c:v>-1.3949795802922993E-2</c:v>
                </c:pt>
                <c:pt idx="125">
                  <c:v>2.5274526894223937E-2</c:v>
                </c:pt>
                <c:pt idx="126">
                  <c:v>4.5282217046297979E-2</c:v>
                </c:pt>
                <c:pt idx="127">
                  <c:v>6.681124708029601E-2</c:v>
                </c:pt>
                <c:pt idx="128">
                  <c:v>-0.14273205642474102</c:v>
                </c:pt>
                <c:pt idx="129">
                  <c:v>0.155687627549838</c:v>
                </c:pt>
                <c:pt idx="130">
                  <c:v>-4.8963357467738999E-2</c:v>
                </c:pt>
                <c:pt idx="131">
                  <c:v>0.15356192489512399</c:v>
                </c:pt>
                <c:pt idx="132">
                  <c:v>7.1045298195016982E-2</c:v>
                </c:pt>
                <c:pt idx="133">
                  <c:v>2.3833264438712976E-2</c:v>
                </c:pt>
                <c:pt idx="134">
                  <c:v>6.8909414655871026E-2</c:v>
                </c:pt>
                <c:pt idx="135">
                  <c:v>6.9525282365491992E-2</c:v>
                </c:pt>
                <c:pt idx="136">
                  <c:v>-4.9712509815150185E-3</c:v>
                </c:pt>
                <c:pt idx="137">
                  <c:v>9.9826832259983983E-2</c:v>
                </c:pt>
                <c:pt idx="138">
                  <c:v>3.8295085531133977E-2</c:v>
                </c:pt>
                <c:pt idx="139">
                  <c:v>4.8401465716829017E-2</c:v>
                </c:pt>
                <c:pt idx="140">
                  <c:v>0.10007112759375297</c:v>
                </c:pt>
                <c:pt idx="141">
                  <c:v>0.161724533960106</c:v>
                </c:pt>
                <c:pt idx="142">
                  <c:v>9.2088775968152015E-2</c:v>
                </c:pt>
                <c:pt idx="143">
                  <c:v>6.9041349888349035E-2</c:v>
                </c:pt>
                <c:pt idx="144">
                  <c:v>4.1620346831738986E-2</c:v>
                </c:pt>
                <c:pt idx="145">
                  <c:v>0.11769616947473499</c:v>
                </c:pt>
                <c:pt idx="146">
                  <c:v>8.8081247532590001E-2</c:v>
                </c:pt>
                <c:pt idx="147">
                  <c:v>4.1954886486802012E-2</c:v>
                </c:pt>
                <c:pt idx="148">
                  <c:v>-7.0967905347579796E-3</c:v>
                </c:pt>
                <c:pt idx="149">
                  <c:v>0.127559696156544</c:v>
                </c:pt>
                <c:pt idx="150">
                  <c:v>4.0904947944030989E-2</c:v>
                </c:pt>
                <c:pt idx="151">
                  <c:v>2.1618444613902277E-4</c:v>
                </c:pt>
                <c:pt idx="152">
                  <c:v>6.8147342355900031E-2</c:v>
                </c:pt>
                <c:pt idx="153">
                  <c:v>2.9707837544626969E-2</c:v>
                </c:pt>
                <c:pt idx="154">
                  <c:v>6.5310803135971984E-2</c:v>
                </c:pt>
                <c:pt idx="155">
                  <c:v>3.9284627056277999E-2</c:v>
                </c:pt>
                <c:pt idx="156">
                  <c:v>8.8706050162920019E-2</c:v>
                </c:pt>
                <c:pt idx="157">
                  <c:v>9.9727720440766998E-2</c:v>
                </c:pt>
                <c:pt idx="158">
                  <c:v>6.9039260083139986E-2</c:v>
                </c:pt>
                <c:pt idx="159">
                  <c:v>0.12733101042205702</c:v>
                </c:pt>
                <c:pt idx="160">
                  <c:v>9.3155393439297018E-2</c:v>
                </c:pt>
                <c:pt idx="161">
                  <c:v>4.2503745677868021E-2</c:v>
                </c:pt>
                <c:pt idx="162">
                  <c:v>4.0105414103120018E-2</c:v>
                </c:pt>
                <c:pt idx="163">
                  <c:v>6.653219717938097E-2</c:v>
                </c:pt>
                <c:pt idx="164">
                  <c:v>9.5701494962272982E-2</c:v>
                </c:pt>
                <c:pt idx="165">
                  <c:v>3.9216501158822969E-2</c:v>
                </c:pt>
                <c:pt idx="166">
                  <c:v>9.7518312691123987E-2</c:v>
                </c:pt>
                <c:pt idx="167">
                  <c:v>3.8743484174677989E-2</c:v>
                </c:pt>
                <c:pt idx="168">
                  <c:v>3.8323606354321027E-2</c:v>
                </c:pt>
                <c:pt idx="169">
                  <c:v>9.760867110882801E-2</c:v>
                </c:pt>
                <c:pt idx="170">
                  <c:v>9.8741749953100977E-2</c:v>
                </c:pt>
                <c:pt idx="171">
                  <c:v>6.7754154471229011E-2</c:v>
                </c:pt>
                <c:pt idx="172">
                  <c:v>6.888724862462603E-2</c:v>
                </c:pt>
                <c:pt idx="173">
                  <c:v>0.11862300602021097</c:v>
                </c:pt>
                <c:pt idx="174">
                  <c:v>6.889508293072899E-2</c:v>
                </c:pt>
                <c:pt idx="175">
                  <c:v>9.0652203463149006E-2</c:v>
                </c:pt>
                <c:pt idx="176">
                  <c:v>6.9384017710283019E-2</c:v>
                </c:pt>
                <c:pt idx="177">
                  <c:v>6.8013512029646006E-2</c:v>
                </c:pt>
                <c:pt idx="178">
                  <c:v>4.133575642880799E-2</c:v>
                </c:pt>
                <c:pt idx="179">
                  <c:v>6.9897426240190019E-2</c:v>
                </c:pt>
                <c:pt idx="180">
                  <c:v>9.1707117428869001E-2</c:v>
                </c:pt>
                <c:pt idx="181">
                  <c:v>9.1140203424388999E-2</c:v>
                </c:pt>
                <c:pt idx="182">
                  <c:v>1.2690079270177013E-2</c:v>
                </c:pt>
                <c:pt idx="183">
                  <c:v>9.1222212363661015E-2</c:v>
                </c:pt>
                <c:pt idx="184">
                  <c:v>6.6801160894580991E-2</c:v>
                </c:pt>
                <c:pt idx="185">
                  <c:v>6.8046718529713002E-2</c:v>
                </c:pt>
                <c:pt idx="186">
                  <c:v>3.5778083027214969E-2</c:v>
                </c:pt>
                <c:pt idx="187">
                  <c:v>9.2127402981839968E-2</c:v>
                </c:pt>
                <c:pt idx="188">
                  <c:v>9.6800015324479016E-2</c:v>
                </c:pt>
                <c:pt idx="189">
                  <c:v>6.577732328977498E-2</c:v>
                </c:pt>
                <c:pt idx="190">
                  <c:v>6.0043914866844961E-2</c:v>
                </c:pt>
                <c:pt idx="191">
                  <c:v>6.4405101269668974E-2</c:v>
                </c:pt>
                <c:pt idx="192">
                  <c:v>9.8919473940480285E-3</c:v>
                </c:pt>
                <c:pt idx="193">
                  <c:v>7.0052649548990986E-2</c:v>
                </c:pt>
                <c:pt idx="194">
                  <c:v>8.2180351115243022E-2</c:v>
                </c:pt>
                <c:pt idx="195">
                  <c:v>9.8714949752068015E-2</c:v>
                </c:pt>
                <c:pt idx="196">
                  <c:v>0.13427176716540606</c:v>
                </c:pt>
                <c:pt idx="197">
                  <c:v>8.9739921782815979E-2</c:v>
                </c:pt>
                <c:pt idx="198">
                  <c:v>2.909304428417403E-2</c:v>
                </c:pt>
                <c:pt idx="199">
                  <c:v>1.8836479311074017E-2</c:v>
                </c:pt>
                <c:pt idx="200">
                  <c:v>6.3939194620456996E-2</c:v>
                </c:pt>
                <c:pt idx="201">
                  <c:v>9.8064624215533025E-2</c:v>
                </c:pt>
                <c:pt idx="202">
                  <c:v>6.2643855665584058E-2</c:v>
                </c:pt>
                <c:pt idx="203">
                  <c:v>8.6022683929848964E-2</c:v>
                </c:pt>
                <c:pt idx="204">
                  <c:v>5.543978575126296E-2</c:v>
                </c:pt>
                <c:pt idx="205">
                  <c:v>0.10022823104044803</c:v>
                </c:pt>
                <c:pt idx="206">
                  <c:v>5.2784575574028048E-2</c:v>
                </c:pt>
                <c:pt idx="207">
                  <c:v>2.1105349202653056E-2</c:v>
                </c:pt>
                <c:pt idx="208">
                  <c:v>0.12130540204184004</c:v>
                </c:pt>
                <c:pt idx="209">
                  <c:v>0.10946238824493004</c:v>
                </c:pt>
                <c:pt idx="210">
                  <c:v>4.6777976404713928E-2</c:v>
                </c:pt>
                <c:pt idx="211">
                  <c:v>4.3820719048973E-2</c:v>
                </c:pt>
                <c:pt idx="212">
                  <c:v>4.588224277405395E-2</c:v>
                </c:pt>
                <c:pt idx="213">
                  <c:v>1.8032397219816976E-2</c:v>
                </c:pt>
                <c:pt idx="214">
                  <c:v>1.1261711321355894E-2</c:v>
                </c:pt>
                <c:pt idx="215">
                  <c:v>2.5061534722991996E-2</c:v>
                </c:pt>
                <c:pt idx="216">
                  <c:v>8.0775119014503072E-2</c:v>
                </c:pt>
                <c:pt idx="217">
                  <c:v>-1.2459194243029992E-2</c:v>
                </c:pt>
                <c:pt idx="218">
                  <c:v>0.12800057495112893</c:v>
                </c:pt>
                <c:pt idx="219">
                  <c:v>9.6286855544211014E-2</c:v>
                </c:pt>
                <c:pt idx="220">
                  <c:v>3.8268071013639937E-2</c:v>
                </c:pt>
                <c:pt idx="221">
                  <c:v>8.0264369136034963E-2</c:v>
                </c:pt>
                <c:pt idx="222">
                  <c:v>2.5833009326836076E-2</c:v>
                </c:pt>
                <c:pt idx="223">
                  <c:v>8.0846679869197025E-2</c:v>
                </c:pt>
                <c:pt idx="224">
                  <c:v>2.5225919327266033E-2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365824"/>
        <c:axId val="336367616"/>
      </c:barChart>
      <c:dateAx>
        <c:axId val="336365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crossAx val="336367616"/>
        <c:crosses val="autoZero"/>
        <c:auto val="1"/>
        <c:lblOffset val="100"/>
        <c:baseTimeUnit val="days"/>
        <c:majorUnit val="6"/>
        <c:majorTimeUnit val="months"/>
      </c:dateAx>
      <c:valAx>
        <c:axId val="3363676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63658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5"/>
          <c:order val="2"/>
          <c:tx>
            <c:strRef>
              <c:f>'Pre 2005'!$H$2</c:f>
              <c:strCache>
                <c:ptCount val="1"/>
                <c:pt idx="0">
                  <c:v>Diff(Pre 2005, HARP)</c:v>
                </c:pt>
              </c:strCache>
            </c:strRef>
          </c:tx>
          <c:invertIfNegative val="0"/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2005'!$H$3:$H$227</c:f>
              <c:numCache>
                <c:formatCode>0%</c:formatCode>
                <c:ptCount val="225"/>
                <c:pt idx="0">
                  <c:v>7.7350905064930975E-2</c:v>
                </c:pt>
                <c:pt idx="1">
                  <c:v>4.4092081989144993E-2</c:v>
                </c:pt>
                <c:pt idx="2">
                  <c:v>5.7364621363944046E-2</c:v>
                </c:pt>
                <c:pt idx="3">
                  <c:v>1.5915128114874E-2</c:v>
                </c:pt>
                <c:pt idx="4">
                  <c:v>-3.3583840888431027E-2</c:v>
                </c:pt>
                <c:pt idx="5">
                  <c:v>2.5778068415516997E-2</c:v>
                </c:pt>
                <c:pt idx="6">
                  <c:v>5.1283667103684982E-2</c:v>
                </c:pt>
                <c:pt idx="7">
                  <c:v>4.7893025046032045E-2</c:v>
                </c:pt>
                <c:pt idx="8">
                  <c:v>4.3175737366880018E-2</c:v>
                </c:pt>
                <c:pt idx="9">
                  <c:v>8.9810255099117997E-2</c:v>
                </c:pt>
                <c:pt idx="10">
                  <c:v>4.2479751923652997E-2</c:v>
                </c:pt>
                <c:pt idx="11">
                  <c:v>3.1285640157858008E-2</c:v>
                </c:pt>
                <c:pt idx="12">
                  <c:v>3.6700405161678995E-2</c:v>
                </c:pt>
                <c:pt idx="13">
                  <c:v>4.3456943866557018E-2</c:v>
                </c:pt>
                <c:pt idx="14">
                  <c:v>7.4040836823889955E-2</c:v>
                </c:pt>
                <c:pt idx="15">
                  <c:v>6.1869751498182024E-2</c:v>
                </c:pt>
                <c:pt idx="16">
                  <c:v>7.4614122881958012E-2</c:v>
                </c:pt>
                <c:pt idx="17">
                  <c:v>0.105566070169684</c:v>
                </c:pt>
                <c:pt idx="18">
                  <c:v>7.3695263832824931E-2</c:v>
                </c:pt>
                <c:pt idx="19">
                  <c:v>7.4797269336181027E-2</c:v>
                </c:pt>
                <c:pt idx="20">
                  <c:v>0.10348889653896598</c:v>
                </c:pt>
                <c:pt idx="21">
                  <c:v>0.10224826748109406</c:v>
                </c:pt>
                <c:pt idx="22">
                  <c:v>7.9253960699584958E-2</c:v>
                </c:pt>
                <c:pt idx="23">
                  <c:v>5.8336557714473991E-2</c:v>
                </c:pt>
                <c:pt idx="24">
                  <c:v>0.10113761367349006</c:v>
                </c:pt>
                <c:pt idx="25">
                  <c:v>2.2451626021933013E-2</c:v>
                </c:pt>
                <c:pt idx="26">
                  <c:v>0.129077935213807</c:v>
                </c:pt>
                <c:pt idx="27">
                  <c:v>6.0203304659632972E-2</c:v>
                </c:pt>
                <c:pt idx="28">
                  <c:v>7.5458347782523028E-2</c:v>
                </c:pt>
                <c:pt idx="29">
                  <c:v>0.15228018708761298</c:v>
                </c:pt>
                <c:pt idx="30">
                  <c:v>0.17254662817670097</c:v>
                </c:pt>
                <c:pt idx="31">
                  <c:v>0.152180232575167</c:v>
                </c:pt>
                <c:pt idx="32">
                  <c:v>1.9053463701076079E-2</c:v>
                </c:pt>
                <c:pt idx="33">
                  <c:v>5.7779440538481941E-2</c:v>
                </c:pt>
                <c:pt idx="34">
                  <c:v>0.12500484766835906</c:v>
                </c:pt>
                <c:pt idx="35">
                  <c:v>5.9219420012947999E-2</c:v>
                </c:pt>
                <c:pt idx="36">
                  <c:v>5.6032810113642917E-2</c:v>
                </c:pt>
                <c:pt idx="37">
                  <c:v>0.10328804924881596</c:v>
                </c:pt>
                <c:pt idx="38">
                  <c:v>3.7969982512446987E-2</c:v>
                </c:pt>
                <c:pt idx="39">
                  <c:v>-2.1590535242476006E-2</c:v>
                </c:pt>
                <c:pt idx="40">
                  <c:v>8.1305646707917067E-2</c:v>
                </c:pt>
                <c:pt idx="41">
                  <c:v>6.1299631965822998E-2</c:v>
                </c:pt>
                <c:pt idx="42">
                  <c:v>9.6419589050306009E-2</c:v>
                </c:pt>
                <c:pt idx="43">
                  <c:v>5.5300341652487983E-2</c:v>
                </c:pt>
                <c:pt idx="44">
                  <c:v>5.5229864596012979E-2</c:v>
                </c:pt>
                <c:pt idx="45">
                  <c:v>5.6557854135467989E-2</c:v>
                </c:pt>
                <c:pt idx="46">
                  <c:v>4.0109969903647014E-2</c:v>
                </c:pt>
                <c:pt idx="47">
                  <c:v>5.7664522495136983E-2</c:v>
                </c:pt>
                <c:pt idx="48">
                  <c:v>5.963615392880095E-2</c:v>
                </c:pt>
                <c:pt idx="49">
                  <c:v>8.5543191175628031E-2</c:v>
                </c:pt>
                <c:pt idx="50">
                  <c:v>4.4992709478151927E-2</c:v>
                </c:pt>
                <c:pt idx="51">
                  <c:v>4.3224969728184015E-2</c:v>
                </c:pt>
                <c:pt idx="52">
                  <c:v>6.6474761624140011E-2</c:v>
                </c:pt>
                <c:pt idx="53">
                  <c:v>5.3069151884750032E-2</c:v>
                </c:pt>
                <c:pt idx="54">
                  <c:v>2.3581233426767989E-2</c:v>
                </c:pt>
                <c:pt idx="55">
                  <c:v>7.3257909580479952E-2</c:v>
                </c:pt>
                <c:pt idx="56">
                  <c:v>5.8877364095436979E-2</c:v>
                </c:pt>
                <c:pt idx="57">
                  <c:v>5.8877364095436979E-2</c:v>
                </c:pt>
                <c:pt idx="58">
                  <c:v>2.7192602574652058E-2</c:v>
                </c:pt>
                <c:pt idx="59">
                  <c:v>7.0215541403239046E-2</c:v>
                </c:pt>
                <c:pt idx="60">
                  <c:v>7.110262412857804E-2</c:v>
                </c:pt>
                <c:pt idx="61">
                  <c:v>5.2587114000992918E-2</c:v>
                </c:pt>
                <c:pt idx="62">
                  <c:v>-1.226901815506809E-2</c:v>
                </c:pt>
                <c:pt idx="63">
                  <c:v>0.11992151257372297</c:v>
                </c:pt>
                <c:pt idx="64">
                  <c:v>6.8050520796310021E-2</c:v>
                </c:pt>
                <c:pt idx="65">
                  <c:v>0.11526509963922693</c:v>
                </c:pt>
                <c:pt idx="66">
                  <c:v>3.4539914942136041E-2</c:v>
                </c:pt>
                <c:pt idx="67">
                  <c:v>8.9094100009100008E-2</c:v>
                </c:pt>
                <c:pt idx="68">
                  <c:v>6.0938431762077028E-2</c:v>
                </c:pt>
                <c:pt idx="69">
                  <c:v>6.2731031597804021E-2</c:v>
                </c:pt>
                <c:pt idx="70">
                  <c:v>8.2876885648921927E-2</c:v>
                </c:pt>
                <c:pt idx="71">
                  <c:v>5.4316475155203991E-2</c:v>
                </c:pt>
                <c:pt idx="72">
                  <c:v>6.0320556247877022E-2</c:v>
                </c:pt>
                <c:pt idx="73">
                  <c:v>8.5455408671700983E-2</c:v>
                </c:pt>
                <c:pt idx="74">
                  <c:v>3.4113052791859055E-2</c:v>
                </c:pt>
                <c:pt idx="75">
                  <c:v>7.006252531235091E-2</c:v>
                </c:pt>
                <c:pt idx="76">
                  <c:v>5.0180317837163924E-2</c:v>
                </c:pt>
                <c:pt idx="77">
                  <c:v>4.2460207898054936E-2</c:v>
                </c:pt>
                <c:pt idx="78">
                  <c:v>7.9830861536442033E-2</c:v>
                </c:pt>
                <c:pt idx="79">
                  <c:v>5.0606382152561968E-2</c:v>
                </c:pt>
                <c:pt idx="80">
                  <c:v>5.9059909976587055E-2</c:v>
                </c:pt>
                <c:pt idx="81">
                  <c:v>1.2096777291368044E-2</c:v>
                </c:pt>
                <c:pt idx="82">
                  <c:v>5.0980499819826997E-2</c:v>
                </c:pt>
                <c:pt idx="83">
                  <c:v>3.561831649842695E-2</c:v>
                </c:pt>
                <c:pt idx="84">
                  <c:v>3.803237065910392E-2</c:v>
                </c:pt>
                <c:pt idx="85">
                  <c:v>8.4843651532552022E-2</c:v>
                </c:pt>
                <c:pt idx="86">
                  <c:v>3.814833450779298E-2</c:v>
                </c:pt>
                <c:pt idx="87">
                  <c:v>5.7522293652540024E-2</c:v>
                </c:pt>
                <c:pt idx="88">
                  <c:v>6.8534859325766084E-2</c:v>
                </c:pt>
                <c:pt idx="89">
                  <c:v>8.7146996170168967E-2</c:v>
                </c:pt>
                <c:pt idx="90">
                  <c:v>2.1880460632144993E-2</c:v>
                </c:pt>
                <c:pt idx="91">
                  <c:v>2.5447544101600994E-2</c:v>
                </c:pt>
                <c:pt idx="92">
                  <c:v>6.4064820773218956E-2</c:v>
                </c:pt>
                <c:pt idx="93">
                  <c:v>2.7051008514619945E-2</c:v>
                </c:pt>
                <c:pt idx="94">
                  <c:v>2.399395198649501E-2</c:v>
                </c:pt>
                <c:pt idx="95">
                  <c:v>5.2780689561921945E-2</c:v>
                </c:pt>
                <c:pt idx="96">
                  <c:v>7.124427661323196E-2</c:v>
                </c:pt>
                <c:pt idx="97">
                  <c:v>6.4838254420015007E-2</c:v>
                </c:pt>
                <c:pt idx="98">
                  <c:v>2.9282509885916963E-2</c:v>
                </c:pt>
                <c:pt idx="99">
                  <c:v>3.3904347750037034E-2</c:v>
                </c:pt>
                <c:pt idx="100">
                  <c:v>6.7557112863193991E-2</c:v>
                </c:pt>
                <c:pt idx="101">
                  <c:v>3.1079424140763923E-2</c:v>
                </c:pt>
                <c:pt idx="102">
                  <c:v>5.2396966709030046E-2</c:v>
                </c:pt>
                <c:pt idx="103">
                  <c:v>3.1072683379459898E-2</c:v>
                </c:pt>
                <c:pt idx="104">
                  <c:v>3.3611285830832061E-2</c:v>
                </c:pt>
                <c:pt idx="105">
                  <c:v>7.5458995271423968E-2</c:v>
                </c:pt>
                <c:pt idx="106">
                  <c:v>3.4956142672881052E-2</c:v>
                </c:pt>
                <c:pt idx="107">
                  <c:v>1.6276641409267989E-2</c:v>
                </c:pt>
                <c:pt idx="108">
                  <c:v>4.3833197576104044E-2</c:v>
                </c:pt>
                <c:pt idx="109">
                  <c:v>7.0098384749292086E-2</c:v>
                </c:pt>
                <c:pt idx="110">
                  <c:v>5.3170234661452986E-2</c:v>
                </c:pt>
                <c:pt idx="111">
                  <c:v>8.8935671668758043E-2</c:v>
                </c:pt>
                <c:pt idx="112">
                  <c:v>4.7152570483229073E-2</c:v>
                </c:pt>
                <c:pt idx="113">
                  <c:v>3.8306467381312936E-2</c:v>
                </c:pt>
                <c:pt idx="114">
                  <c:v>0.10616254622396704</c:v>
                </c:pt>
                <c:pt idx="115">
                  <c:v>5.7154118993708036E-2</c:v>
                </c:pt>
                <c:pt idx="116">
                  <c:v>7.5552221708652056E-2</c:v>
                </c:pt>
                <c:pt idx="117">
                  <c:v>0.10021743125513394</c:v>
                </c:pt>
                <c:pt idx="118">
                  <c:v>9.6423848073872942E-2</c:v>
                </c:pt>
                <c:pt idx="119">
                  <c:v>6.8380248294164003E-2</c:v>
                </c:pt>
                <c:pt idx="120">
                  <c:v>8.6382382616751019E-2</c:v>
                </c:pt>
                <c:pt idx="121">
                  <c:v>4.4612740049838062E-2</c:v>
                </c:pt>
                <c:pt idx="122">
                  <c:v>4.4613384558376934E-2</c:v>
                </c:pt>
                <c:pt idx="123">
                  <c:v>3.9384896923404078E-2</c:v>
                </c:pt>
                <c:pt idx="124">
                  <c:v>1.0798911634068986E-2</c:v>
                </c:pt>
                <c:pt idx="125">
                  <c:v>4.8996510860644937E-2</c:v>
                </c:pt>
                <c:pt idx="126">
                  <c:v>6.9297252727215986E-2</c:v>
                </c:pt>
                <c:pt idx="127">
                  <c:v>9.1397904490321979E-2</c:v>
                </c:pt>
                <c:pt idx="128">
                  <c:v>-0.11771191630890504</c:v>
                </c:pt>
                <c:pt idx="129">
                  <c:v>0.18017543254482998</c:v>
                </c:pt>
                <c:pt idx="130">
                  <c:v>-2.3728913324264966E-2</c:v>
                </c:pt>
                <c:pt idx="131">
                  <c:v>0.17699850664373901</c:v>
                </c:pt>
                <c:pt idx="132">
                  <c:v>9.5743514972382981E-2</c:v>
                </c:pt>
                <c:pt idx="133">
                  <c:v>4.9757054526456013E-2</c:v>
                </c:pt>
                <c:pt idx="134">
                  <c:v>9.448889779366404E-2</c:v>
                </c:pt>
                <c:pt idx="135">
                  <c:v>9.4779126553874993E-2</c:v>
                </c:pt>
                <c:pt idx="136">
                  <c:v>2.0282593206867983E-2</c:v>
                </c:pt>
                <c:pt idx="137">
                  <c:v>0.12218151317432699</c:v>
                </c:pt>
                <c:pt idx="138">
                  <c:v>6.153232514211901E-2</c:v>
                </c:pt>
                <c:pt idx="139">
                  <c:v>7.1234973876694002E-2</c:v>
                </c:pt>
                <c:pt idx="140">
                  <c:v>0.12289757000177098</c:v>
                </c:pt>
                <c:pt idx="141">
                  <c:v>0.18538213458401501</c:v>
                </c:pt>
                <c:pt idx="142">
                  <c:v>0.11650021839727404</c:v>
                </c:pt>
                <c:pt idx="143">
                  <c:v>9.3562470559097999E-2</c:v>
                </c:pt>
                <c:pt idx="144">
                  <c:v>6.5984648009038971E-2</c:v>
                </c:pt>
                <c:pt idx="145">
                  <c:v>0.14242311121101303</c:v>
                </c:pt>
                <c:pt idx="146">
                  <c:v>0.11250957208592499</c:v>
                </c:pt>
                <c:pt idx="147">
                  <c:v>6.7400480398587981E-2</c:v>
                </c:pt>
                <c:pt idx="148">
                  <c:v>1.7447787705037021E-2</c:v>
                </c:pt>
                <c:pt idx="149">
                  <c:v>0.152522456766642</c:v>
                </c:pt>
                <c:pt idx="150">
                  <c:v>6.5348293104839028E-2</c:v>
                </c:pt>
                <c:pt idx="151">
                  <c:v>2.493095345712204E-2</c:v>
                </c:pt>
                <c:pt idx="152">
                  <c:v>9.2279920118111008E-2</c:v>
                </c:pt>
                <c:pt idx="153">
                  <c:v>5.3618019736030975E-2</c:v>
                </c:pt>
                <c:pt idx="154">
                  <c:v>8.598873966179299E-2</c:v>
                </c:pt>
                <c:pt idx="155">
                  <c:v>5.9690566372020998E-2</c:v>
                </c:pt>
                <c:pt idx="156">
                  <c:v>0.10771823181272303</c:v>
                </c:pt>
                <c:pt idx="157">
                  <c:v>0.12145276182063999</c:v>
                </c:pt>
                <c:pt idx="158">
                  <c:v>9.2895576494082976E-2</c:v>
                </c:pt>
                <c:pt idx="159">
                  <c:v>0.15146438728656603</c:v>
                </c:pt>
                <c:pt idx="160">
                  <c:v>0.116645976318138</c:v>
                </c:pt>
                <c:pt idx="161">
                  <c:v>6.6238149707481042E-2</c:v>
                </c:pt>
                <c:pt idx="162">
                  <c:v>6.4120791845805991E-2</c:v>
                </c:pt>
                <c:pt idx="163">
                  <c:v>9.0538836835621972E-2</c:v>
                </c:pt>
                <c:pt idx="164">
                  <c:v>0.118566255513324</c:v>
                </c:pt>
                <c:pt idx="165">
                  <c:v>6.3379708538684021E-2</c:v>
                </c:pt>
                <c:pt idx="166">
                  <c:v>0.12152026915462799</c:v>
                </c:pt>
                <c:pt idx="167">
                  <c:v>6.2873431167787985E-2</c:v>
                </c:pt>
                <c:pt idx="168">
                  <c:v>6.1040732210959014E-2</c:v>
                </c:pt>
                <c:pt idx="169">
                  <c:v>0.12253126620423302</c:v>
                </c:pt>
                <c:pt idx="170">
                  <c:v>0.12400380966400798</c:v>
                </c:pt>
                <c:pt idx="171">
                  <c:v>9.3543698225875049E-2</c:v>
                </c:pt>
                <c:pt idx="172">
                  <c:v>9.4169966428551022E-2</c:v>
                </c:pt>
                <c:pt idx="173">
                  <c:v>0.14570422946935402</c:v>
                </c:pt>
                <c:pt idx="174">
                  <c:v>9.8123096291821976E-2</c:v>
                </c:pt>
                <c:pt idx="175">
                  <c:v>0.12023560239673498</c:v>
                </c:pt>
                <c:pt idx="176">
                  <c:v>0.100034717450873</c:v>
                </c:pt>
                <c:pt idx="177">
                  <c:v>9.9906968197808976E-2</c:v>
                </c:pt>
                <c:pt idx="178">
                  <c:v>7.6460373676489002E-2</c:v>
                </c:pt>
                <c:pt idx="179">
                  <c:v>0.10170810437765304</c:v>
                </c:pt>
                <c:pt idx="180">
                  <c:v>0.12390646333104499</c:v>
                </c:pt>
                <c:pt idx="181">
                  <c:v>0.12626482067207001</c:v>
                </c:pt>
                <c:pt idx="182">
                  <c:v>5.3584497461281966E-2</c:v>
                </c:pt>
                <c:pt idx="183">
                  <c:v>0.12444062121953903</c:v>
                </c:pt>
                <c:pt idx="184">
                  <c:v>0.10240164166188198</c:v>
                </c:pt>
                <c:pt idx="185">
                  <c:v>0.10364719929701399</c:v>
                </c:pt>
                <c:pt idx="186">
                  <c:v>7.2460548699818994E-2</c:v>
                </c:pt>
                <c:pt idx="187">
                  <c:v>0.12666542498316896</c:v>
                </c:pt>
                <c:pt idx="188">
                  <c:v>0.13464806119598699</c:v>
                </c:pt>
                <c:pt idx="189">
                  <c:v>0.10889597719347599</c:v>
                </c:pt>
                <c:pt idx="190">
                  <c:v>0.10316256877054597</c:v>
                </c:pt>
                <c:pt idx="191">
                  <c:v>0.10880163320610398</c:v>
                </c:pt>
                <c:pt idx="192">
                  <c:v>5.3094860282398015E-2</c:v>
                </c:pt>
                <c:pt idx="193">
                  <c:v>0.10398063565248</c:v>
                </c:pt>
                <c:pt idx="194">
                  <c:v>0.11684447080351101</c:v>
                </c:pt>
                <c:pt idx="195">
                  <c:v>0.13501396863707399</c:v>
                </c:pt>
                <c:pt idx="196">
                  <c:v>0.17747955065419407</c:v>
                </c:pt>
                <c:pt idx="197">
                  <c:v>0.14550729321973799</c:v>
                </c:pt>
                <c:pt idx="198">
                  <c:v>8.6947287718610045E-2</c:v>
                </c:pt>
                <c:pt idx="199">
                  <c:v>7.3956164737976005E-2</c:v>
                </c:pt>
                <c:pt idx="200">
                  <c:v>0.11311580714970998</c:v>
                </c:pt>
                <c:pt idx="201">
                  <c:v>0.14729276532528301</c:v>
                </c:pt>
                <c:pt idx="202">
                  <c:v>0.11755401485076505</c:v>
                </c:pt>
                <c:pt idx="203">
                  <c:v>0.14190267051699701</c:v>
                </c:pt>
                <c:pt idx="204">
                  <c:v>0.11557309256773196</c:v>
                </c:pt>
                <c:pt idx="205">
                  <c:v>0.15760017798266002</c:v>
                </c:pt>
                <c:pt idx="206">
                  <c:v>0.11877530505893802</c:v>
                </c:pt>
                <c:pt idx="207">
                  <c:v>8.6672723318202027E-2</c:v>
                </c:pt>
                <c:pt idx="208">
                  <c:v>0.18141809072676601</c:v>
                </c:pt>
                <c:pt idx="209">
                  <c:v>0.17889914311382404</c:v>
                </c:pt>
                <c:pt idx="210">
                  <c:v>0.12447723273445899</c:v>
                </c:pt>
                <c:pt idx="211">
                  <c:v>0.12077339664338405</c:v>
                </c:pt>
                <c:pt idx="212">
                  <c:v>0.12358149910379901</c:v>
                </c:pt>
                <c:pt idx="213">
                  <c:v>9.6951463712641961E-2</c:v>
                </c:pt>
                <c:pt idx="214">
                  <c:v>8.97625221842E-2</c:v>
                </c:pt>
                <c:pt idx="215">
                  <c:v>9.4051472508264011E-2</c:v>
                </c:pt>
                <c:pt idx="216">
                  <c:v>0.14784083551681004</c:v>
                </c:pt>
                <c:pt idx="217">
                  <c:v>5.7178898585018012E-2</c:v>
                </c:pt>
                <c:pt idx="218">
                  <c:v>0.18858987211686795</c:v>
                </c:pt>
                <c:pt idx="219">
                  <c:v>0.16440793225731298</c:v>
                </c:pt>
                <c:pt idx="220">
                  <c:v>0.11725759802200997</c:v>
                </c:pt>
                <c:pt idx="221">
                  <c:v>0.159046212476186</c:v>
                </c:pt>
                <c:pt idx="222">
                  <c:v>0.10569846276294503</c:v>
                </c:pt>
                <c:pt idx="223">
                  <c:v>0.15896434462693704</c:v>
                </c:pt>
                <c:pt idx="224">
                  <c:v>0.10458844511100407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440704"/>
        <c:axId val="336439168"/>
      </c:barChart>
      <c:lineChart>
        <c:grouping val="standard"/>
        <c:varyColors val="0"/>
        <c:ser>
          <c:idx val="1"/>
          <c:order val="0"/>
          <c:tx>
            <c:strRef>
              <c:f>'Pre 2005'!$C$2</c:f>
              <c:strCache>
                <c:ptCount val="1"/>
                <c:pt idx="0">
                  <c:v>HARP</c:v>
                </c:pt>
              </c:strCache>
            </c:strRef>
          </c:tx>
          <c:marker>
            <c:symbol val="none"/>
          </c:marker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2005'!$C$3:$C$227</c:f>
              <c:numCache>
                <c:formatCode>0%</c:formatCode>
                <c:ptCount val="225"/>
                <c:pt idx="0">
                  <c:v>0.41917445646047702</c:v>
                </c:pt>
                <c:pt idx="1">
                  <c:v>0.43621985629656101</c:v>
                </c:pt>
                <c:pt idx="2">
                  <c:v>0.41944708561696598</c:v>
                </c:pt>
                <c:pt idx="3">
                  <c:v>0.418710148423519</c:v>
                </c:pt>
                <c:pt idx="4">
                  <c:v>0.38887560757790002</c:v>
                </c:pt>
                <c:pt idx="5">
                  <c:v>0.35101070043975402</c:v>
                </c:pt>
                <c:pt idx="6">
                  <c:v>0.36422873018148</c:v>
                </c:pt>
                <c:pt idx="7">
                  <c:v>0.37426156705539698</c:v>
                </c:pt>
                <c:pt idx="8">
                  <c:v>0.378077073966118</c:v>
                </c:pt>
                <c:pt idx="9">
                  <c:v>0.37803494484535199</c:v>
                </c:pt>
                <c:pt idx="10">
                  <c:v>0.407679162563724</c:v>
                </c:pt>
                <c:pt idx="11">
                  <c:v>0.39154691259907098</c:v>
                </c:pt>
                <c:pt idx="12">
                  <c:v>0.37809391960358502</c:v>
                </c:pt>
                <c:pt idx="13">
                  <c:v>0.36996472497765398</c:v>
                </c:pt>
                <c:pt idx="14">
                  <c:v>0.36984016473175102</c:v>
                </c:pt>
                <c:pt idx="15">
                  <c:v>0.38384871096807699</c:v>
                </c:pt>
                <c:pt idx="16">
                  <c:v>0.38433074982262799</c:v>
                </c:pt>
                <c:pt idx="17">
                  <c:v>0.394871405610702</c:v>
                </c:pt>
                <c:pt idx="18">
                  <c:v>0.43079303669576202</c:v>
                </c:pt>
                <c:pt idx="19">
                  <c:v>0.43090192835496699</c:v>
                </c:pt>
                <c:pt idx="20">
                  <c:v>0.431110671725766</c:v>
                </c:pt>
                <c:pt idx="21">
                  <c:v>0.45342303565958197</c:v>
                </c:pt>
                <c:pt idx="22">
                  <c:v>0.47629557608974499</c:v>
                </c:pt>
                <c:pt idx="23">
                  <c:v>0.47626301055025799</c:v>
                </c:pt>
                <c:pt idx="24">
                  <c:v>0.45342303565958197</c:v>
                </c:pt>
                <c:pt idx="25">
                  <c:v>0.47533111966863201</c:v>
                </c:pt>
                <c:pt idx="26">
                  <c:v>0.42115773967800002</c:v>
                </c:pt>
                <c:pt idx="27">
                  <c:v>0.47005900282082203</c:v>
                </c:pt>
                <c:pt idx="28">
                  <c:v>0.44797749734765901</c:v>
                </c:pt>
                <c:pt idx="29">
                  <c:v>0.44409861209358098</c:v>
                </c:pt>
                <c:pt idx="30">
                  <c:v>0.515379400381896</c:v>
                </c:pt>
                <c:pt idx="31">
                  <c:v>0.61745026323361196</c:v>
                </c:pt>
                <c:pt idx="32">
                  <c:v>0.71103111098302996</c:v>
                </c:pt>
                <c:pt idx="33">
                  <c:v>0.66735967344709601</c:v>
                </c:pt>
                <c:pt idx="34">
                  <c:v>0.66070318293374397</c:v>
                </c:pt>
                <c:pt idx="35">
                  <c:v>0.72862294428542695</c:v>
                </c:pt>
                <c:pt idx="36">
                  <c:v>0.73180955418473204</c:v>
                </c:pt>
                <c:pt idx="37">
                  <c:v>0.73180955418473204</c:v>
                </c:pt>
                <c:pt idx="38">
                  <c:v>0.78537510001402</c:v>
                </c:pt>
                <c:pt idx="39">
                  <c:v>0.77200889405912698</c:v>
                </c:pt>
                <c:pt idx="40">
                  <c:v>0.68762581065136796</c:v>
                </c:pt>
                <c:pt idx="41">
                  <c:v>0.70907311332117495</c:v>
                </c:pt>
                <c:pt idx="42">
                  <c:v>0.71096371307505601</c:v>
                </c:pt>
                <c:pt idx="43">
                  <c:v>0.75213064967891696</c:v>
                </c:pt>
                <c:pt idx="44">
                  <c:v>0.75215343752934904</c:v>
                </c:pt>
                <c:pt idx="45">
                  <c:v>0.75213064967891696</c:v>
                </c:pt>
                <c:pt idx="46">
                  <c:v>0.75451882195048703</c:v>
                </c:pt>
                <c:pt idx="47">
                  <c:v>0.73701250506221705</c:v>
                </c:pt>
                <c:pt idx="48">
                  <c:v>0.737034618623016</c:v>
                </c:pt>
                <c:pt idx="49">
                  <c:v>0.74005848510739902</c:v>
                </c:pt>
                <c:pt idx="50">
                  <c:v>0.77262482249298603</c:v>
                </c:pt>
                <c:pt idx="51">
                  <c:v>0.76353022654842795</c:v>
                </c:pt>
                <c:pt idx="52">
                  <c:v>0.75017446397926801</c:v>
                </c:pt>
                <c:pt idx="53">
                  <c:v>0.76194885743932395</c:v>
                </c:pt>
                <c:pt idx="54">
                  <c:v>0.76015152542719999</c:v>
                </c:pt>
                <c:pt idx="55">
                  <c:v>0.72538795894175401</c:v>
                </c:pt>
                <c:pt idx="56">
                  <c:v>0.73976850442679698</c:v>
                </c:pt>
                <c:pt idx="57">
                  <c:v>0.73976850442679698</c:v>
                </c:pt>
                <c:pt idx="58">
                  <c:v>0.73976850442679698</c:v>
                </c:pt>
                <c:pt idx="59">
                  <c:v>0.70482380254349597</c:v>
                </c:pt>
                <c:pt idx="60">
                  <c:v>0.71197045097818001</c:v>
                </c:pt>
                <c:pt idx="61">
                  <c:v>0.72185562668080905</c:v>
                </c:pt>
                <c:pt idx="62">
                  <c:v>0.71184965643423004</c:v>
                </c:pt>
                <c:pt idx="63">
                  <c:v>0.63003810447880604</c:v>
                </c:pt>
                <c:pt idx="64">
                  <c:v>0.68476549375243201</c:v>
                </c:pt>
                <c:pt idx="65">
                  <c:v>0.68702063249841105</c:v>
                </c:pt>
                <c:pt idx="66">
                  <c:v>0.74360097428026795</c:v>
                </c:pt>
                <c:pt idx="67">
                  <c:v>0.71319163212853798</c:v>
                </c:pt>
                <c:pt idx="68">
                  <c:v>0.74360097428026795</c:v>
                </c:pt>
                <c:pt idx="69">
                  <c:v>0.74458940201611601</c:v>
                </c:pt>
                <c:pt idx="70">
                  <c:v>0.74880992852224404</c:v>
                </c:pt>
                <c:pt idx="71">
                  <c:v>0.77533293010841997</c:v>
                </c:pt>
                <c:pt idx="72">
                  <c:v>0.77252849495486897</c:v>
                </c:pt>
                <c:pt idx="73">
                  <c:v>0.77719223327132003</c:v>
                </c:pt>
                <c:pt idx="74">
                  <c:v>0.81161668458948799</c:v>
                </c:pt>
                <c:pt idx="75">
                  <c:v>0.79320998802631504</c:v>
                </c:pt>
                <c:pt idx="76">
                  <c:v>0.81309219550150202</c:v>
                </c:pt>
                <c:pt idx="77">
                  <c:v>0.81309219550150202</c:v>
                </c:pt>
                <c:pt idx="78">
                  <c:v>0.80304589352971401</c:v>
                </c:pt>
                <c:pt idx="79">
                  <c:v>0.83475833318603099</c:v>
                </c:pt>
                <c:pt idx="80">
                  <c:v>0.839279067165004</c:v>
                </c:pt>
                <c:pt idx="81">
                  <c:v>0.85583686182580798</c:v>
                </c:pt>
                <c:pt idx="82">
                  <c:v>0.81672598038940503</c:v>
                </c:pt>
                <c:pt idx="83">
                  <c:v>0.81660096914097402</c:v>
                </c:pt>
                <c:pt idx="84">
                  <c:v>0.80039531716996504</c:v>
                </c:pt>
                <c:pt idx="85">
                  <c:v>0.78286282867668</c:v>
                </c:pt>
                <c:pt idx="86">
                  <c:v>0.81660096914097402</c:v>
                </c:pt>
                <c:pt idx="87">
                  <c:v>0.80003630895948397</c:v>
                </c:pt>
                <c:pt idx="88">
                  <c:v>0.80517464210851997</c:v>
                </c:pt>
                <c:pt idx="89">
                  <c:v>0.82579336591607799</c:v>
                </c:pt>
                <c:pt idx="90">
                  <c:v>0.87352757054468799</c:v>
                </c:pt>
                <c:pt idx="91">
                  <c:v>0.85283995726602502</c:v>
                </c:pt>
                <c:pt idx="92">
                  <c:v>0.82980253162130702</c:v>
                </c:pt>
                <c:pt idx="93">
                  <c:v>0.84996407134381802</c:v>
                </c:pt>
                <c:pt idx="94">
                  <c:v>0.828248760892495</c:v>
                </c:pt>
                <c:pt idx="95">
                  <c:v>0.79915808926981402</c:v>
                </c:pt>
                <c:pt idx="96">
                  <c:v>0.79873425180913604</c:v>
                </c:pt>
                <c:pt idx="97">
                  <c:v>0.82276956639306598</c:v>
                </c:pt>
                <c:pt idx="98">
                  <c:v>0.84066676404946505</c:v>
                </c:pt>
                <c:pt idx="99">
                  <c:v>0.82275551487300902</c:v>
                </c:pt>
                <c:pt idx="100">
                  <c:v>0.80649977939682505</c:v>
                </c:pt>
                <c:pt idx="101">
                  <c:v>0.82418991295466604</c:v>
                </c:pt>
                <c:pt idx="102">
                  <c:v>0.80390223047279097</c:v>
                </c:pt>
                <c:pt idx="103">
                  <c:v>0.80591432289546205</c:v>
                </c:pt>
                <c:pt idx="104">
                  <c:v>0.78440164177592298</c:v>
                </c:pt>
                <c:pt idx="105">
                  <c:v>0.759606662501778</c:v>
                </c:pt>
                <c:pt idx="106">
                  <c:v>0.78142443901466097</c:v>
                </c:pt>
                <c:pt idx="107">
                  <c:v>0.75700205657756403</c:v>
                </c:pt>
                <c:pt idx="108">
                  <c:v>0.70776343414969201</c:v>
                </c:pt>
                <c:pt idx="109">
                  <c:v>0.68149824697650396</c:v>
                </c:pt>
                <c:pt idx="110">
                  <c:v>0.68149824697650396</c:v>
                </c:pt>
                <c:pt idx="111">
                  <c:v>0.66443156184372798</c:v>
                </c:pt>
                <c:pt idx="112">
                  <c:v>0.68474077330080096</c:v>
                </c:pt>
                <c:pt idx="113">
                  <c:v>0.65965341103045605</c:v>
                </c:pt>
                <c:pt idx="114">
                  <c:v>0.622542311024053</c:v>
                </c:pt>
                <c:pt idx="115">
                  <c:v>0.65490269555006198</c:v>
                </c:pt>
                <c:pt idx="116">
                  <c:v>0.63814443106247998</c:v>
                </c:pt>
                <c:pt idx="117">
                  <c:v>0.63701726572087702</c:v>
                </c:pt>
                <c:pt idx="118">
                  <c:v>0.66472248963496305</c:v>
                </c:pt>
                <c:pt idx="119">
                  <c:v>0.691617287637183</c:v>
                </c:pt>
                <c:pt idx="120">
                  <c:v>0.68894417616710202</c:v>
                </c:pt>
                <c:pt idx="121">
                  <c:v>0.70646423511043499</c:v>
                </c:pt>
                <c:pt idx="122">
                  <c:v>0.67710126151444505</c:v>
                </c:pt>
                <c:pt idx="123">
                  <c:v>0.64608424059300296</c:v>
                </c:pt>
                <c:pt idx="124">
                  <c:v>0.60492342195832605</c:v>
                </c:pt>
                <c:pt idx="125">
                  <c:v>0.52986130193183101</c:v>
                </c:pt>
                <c:pt idx="126">
                  <c:v>0.48936320762315699</c:v>
                </c:pt>
                <c:pt idx="127">
                  <c:v>0.46803712037587902</c:v>
                </c:pt>
                <c:pt idx="128">
                  <c:v>0.46841833416873302</c:v>
                </c:pt>
                <c:pt idx="129">
                  <c:v>0.25930726321944902</c:v>
                </c:pt>
                <c:pt idx="130">
                  <c:v>0.34399747197441399</c:v>
                </c:pt>
                <c:pt idx="131">
                  <c:v>0.23052122039717299</c:v>
                </c:pt>
                <c:pt idx="132">
                  <c:v>0.313528938106932</c:v>
                </c:pt>
                <c:pt idx="133">
                  <c:v>0.31410556361706699</c:v>
                </c:pt>
                <c:pt idx="134">
                  <c:v>0.26871710621385497</c:v>
                </c:pt>
                <c:pt idx="135">
                  <c:v>0.26842687745364402</c:v>
                </c:pt>
                <c:pt idx="136">
                  <c:v>0.26842687745364402</c:v>
                </c:pt>
                <c:pt idx="137">
                  <c:v>0.20545197668606799</c:v>
                </c:pt>
                <c:pt idx="138">
                  <c:v>0.23763744646630799</c:v>
                </c:pt>
                <c:pt idx="139">
                  <c:v>0.21149349910069001</c:v>
                </c:pt>
                <c:pt idx="140">
                  <c:v>0.19827486089892299</c:v>
                </c:pt>
                <c:pt idx="141">
                  <c:v>0.230982049953562</c:v>
                </c:pt>
                <c:pt idx="142">
                  <c:v>0.32130927271021897</c:v>
                </c:pt>
                <c:pt idx="143">
                  <c:v>0.34374501426377402</c:v>
                </c:pt>
                <c:pt idx="144">
                  <c:v>0.343362461707855</c:v>
                </c:pt>
                <c:pt idx="145">
                  <c:v>0.31435548538393299</c:v>
                </c:pt>
                <c:pt idx="146">
                  <c:v>0.36279732883580901</c:v>
                </c:pt>
                <c:pt idx="147">
                  <c:v>0.38076704542262901</c:v>
                </c:pt>
                <c:pt idx="148">
                  <c:v>0.35403891055164699</c:v>
                </c:pt>
                <c:pt idx="149">
                  <c:v>0.27765033429796598</c:v>
                </c:pt>
                <c:pt idx="150">
                  <c:v>0.33620447417750299</c:v>
                </c:pt>
                <c:pt idx="151">
                  <c:v>0.30662338263190497</c:v>
                </c:pt>
                <c:pt idx="152">
                  <c:v>0.238872261686181</c:v>
                </c:pt>
                <c:pt idx="153">
                  <c:v>0.23869230352122101</c:v>
                </c:pt>
                <c:pt idx="154">
                  <c:v>0.20595646030872</c:v>
                </c:pt>
                <c:pt idx="155">
                  <c:v>0.20588522084022601</c:v>
                </c:pt>
                <c:pt idx="156">
                  <c:v>0.18270041372936699</c:v>
                </c:pt>
                <c:pt idx="157">
                  <c:v>0.20349751001168101</c:v>
                </c:pt>
                <c:pt idx="158">
                  <c:v>0.23285648019755101</c:v>
                </c:pt>
                <c:pt idx="159">
                  <c:v>0.23330797794566899</c:v>
                </c:pt>
                <c:pt idx="160">
                  <c:v>0.29089795893761</c:v>
                </c:pt>
                <c:pt idx="161">
                  <c:v>0.31424671770039497</c:v>
                </c:pt>
                <c:pt idx="162">
                  <c:v>0.28654188629747801</c:v>
                </c:pt>
                <c:pt idx="163">
                  <c:v>0.25823477101989301</c:v>
                </c:pt>
                <c:pt idx="164">
                  <c:v>0.25744034883327499</c:v>
                </c:pt>
                <c:pt idx="165">
                  <c:v>0.28216102843400898</c:v>
                </c:pt>
                <c:pt idx="166">
                  <c:v>0.25339035668079501</c:v>
                </c:pt>
                <c:pt idx="167">
                  <c:v>0.28102818996708701</c:v>
                </c:pt>
                <c:pt idx="168">
                  <c:v>0.25299751732949799</c:v>
                </c:pt>
                <c:pt idx="169">
                  <c:v>0.222143720081627</c:v>
                </c:pt>
                <c:pt idx="170">
                  <c:v>0.25169457423695202</c:v>
                </c:pt>
                <c:pt idx="171">
                  <c:v>0.28058021231610197</c:v>
                </c:pt>
                <c:pt idx="172">
                  <c:v>0.279448840397376</c:v>
                </c:pt>
                <c:pt idx="173">
                  <c:v>0.27758425345188897</c:v>
                </c:pt>
                <c:pt idx="174">
                  <c:v>0.32550344763156402</c:v>
                </c:pt>
                <c:pt idx="175">
                  <c:v>0.32552411046597202</c:v>
                </c:pt>
                <c:pt idx="176">
                  <c:v>0.347488455871724</c:v>
                </c:pt>
                <c:pt idx="177">
                  <c:v>0.34818390220270101</c:v>
                </c:pt>
                <c:pt idx="178">
                  <c:v>0.346238128399389</c:v>
                </c:pt>
                <c:pt idx="179">
                  <c:v>0.32274759646781798</c:v>
                </c:pt>
                <c:pt idx="180">
                  <c:v>0.324184407069465</c:v>
                </c:pt>
                <c:pt idx="181">
                  <c:v>0.346238128399389</c:v>
                </c:pt>
                <c:pt idx="182">
                  <c:v>0.36578907876503403</c:v>
                </c:pt>
                <c:pt idx="183">
                  <c:v>0.31805600486192798</c:v>
                </c:pt>
                <c:pt idx="184">
                  <c:v>0.34009498441958502</c:v>
                </c:pt>
                <c:pt idx="185">
                  <c:v>0.34009498441958502</c:v>
                </c:pt>
                <c:pt idx="186">
                  <c:v>0.34042369497045799</c:v>
                </c:pt>
                <c:pt idx="187">
                  <c:v>0.31036061365073903</c:v>
                </c:pt>
                <c:pt idx="188">
                  <c:v>0.33263554438079002</c:v>
                </c:pt>
                <c:pt idx="189">
                  <c:v>0.35838762838330102</c:v>
                </c:pt>
                <c:pt idx="190">
                  <c:v>0.35838762838330102</c:v>
                </c:pt>
                <c:pt idx="191">
                  <c:v>0.35124395630609401</c:v>
                </c:pt>
                <c:pt idx="192">
                  <c:v>0.350821387629207</c:v>
                </c:pt>
                <c:pt idx="193">
                  <c:v>0.30185821114737799</c:v>
                </c:pt>
                <c:pt idx="194">
                  <c:v>0.303134887573904</c:v>
                </c:pt>
                <c:pt idx="195">
                  <c:v>0.31668157332951902</c:v>
                </c:pt>
                <c:pt idx="196">
                  <c:v>0.34232551793557098</c:v>
                </c:pt>
                <c:pt idx="197">
                  <c:v>0.40285473187500098</c:v>
                </c:pt>
                <c:pt idx="198">
                  <c:v>0.43224640519919799</c:v>
                </c:pt>
                <c:pt idx="199">
                  <c:v>0.40279530551033699</c:v>
                </c:pt>
                <c:pt idx="200">
                  <c:v>0.363805283856794</c:v>
                </c:pt>
                <c:pt idx="201">
                  <c:v>0.36393083176118401</c:v>
                </c:pt>
                <c:pt idx="202">
                  <c:v>0.39464243161649398</c:v>
                </c:pt>
                <c:pt idx="203">
                  <c:v>0.39478657813594797</c:v>
                </c:pt>
                <c:pt idx="204">
                  <c:v>0.41779394948311799</c:v>
                </c:pt>
                <c:pt idx="205">
                  <c:v>0.41674162737276199</c:v>
                </c:pt>
                <c:pt idx="206">
                  <c:v>0.45273770907866101</c:v>
                </c:pt>
                <c:pt idx="207">
                  <c:v>0.44996183796017403</c:v>
                </c:pt>
                <c:pt idx="208">
                  <c:v>0.41775040408126601</c:v>
                </c:pt>
                <c:pt idx="209">
                  <c:v>0.47713334056444601</c:v>
                </c:pt>
                <c:pt idx="210">
                  <c:v>0.53296054461027997</c:v>
                </c:pt>
                <c:pt idx="211">
                  <c:v>0.53525908703488601</c:v>
                </c:pt>
                <c:pt idx="212">
                  <c:v>0.53296054461027997</c:v>
                </c:pt>
                <c:pt idx="213">
                  <c:v>0.531964205535849</c:v>
                </c:pt>
                <c:pt idx="214">
                  <c:v>0.50112937152177495</c:v>
                </c:pt>
                <c:pt idx="215">
                  <c:v>0.46787253141998503</c:v>
                </c:pt>
                <c:pt idx="216">
                  <c:v>0.43720530063230401</c:v>
                </c:pt>
                <c:pt idx="217">
                  <c:v>0.45959407492170601</c:v>
                </c:pt>
                <c:pt idx="218">
                  <c:v>0.394169404360453</c:v>
                </c:pt>
                <c:pt idx="219">
                  <c:v>0.45850870301610303</c:v>
                </c:pt>
                <c:pt idx="220">
                  <c:v>0.49264013227543102</c:v>
                </c:pt>
                <c:pt idx="221">
                  <c:v>0.47700652645494301</c:v>
                </c:pt>
                <c:pt idx="222">
                  <c:v>0.505305541519944</c:v>
                </c:pt>
                <c:pt idx="223">
                  <c:v>0.47885281621922599</c:v>
                </c:pt>
                <c:pt idx="224">
                  <c:v>0.50775672845638498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'Pre 2005'!$E$2</c:f>
              <c:strCache>
                <c:ptCount val="1"/>
                <c:pt idx="0">
                  <c:v>Pre 2005</c:v>
                </c:pt>
              </c:strCache>
            </c:strRef>
          </c:tx>
          <c:marker>
            <c:symbol val="none"/>
          </c:marker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2005'!$E$3:$E$227</c:f>
              <c:numCache>
                <c:formatCode>0%</c:formatCode>
                <c:ptCount val="225"/>
                <c:pt idx="0">
                  <c:v>0.49652536152540799</c:v>
                </c:pt>
                <c:pt idx="1">
                  <c:v>0.48031193828570601</c:v>
                </c:pt>
                <c:pt idx="2">
                  <c:v>0.47681170698091002</c:v>
                </c:pt>
                <c:pt idx="3">
                  <c:v>0.434625276538393</c:v>
                </c:pt>
                <c:pt idx="4">
                  <c:v>0.35529176668946899</c:v>
                </c:pt>
                <c:pt idx="5">
                  <c:v>0.37678876885527102</c:v>
                </c:pt>
                <c:pt idx="6">
                  <c:v>0.41551239728516498</c:v>
                </c:pt>
                <c:pt idx="7">
                  <c:v>0.42215459210142903</c:v>
                </c:pt>
                <c:pt idx="8">
                  <c:v>0.42125281133299802</c:v>
                </c:pt>
                <c:pt idx="9">
                  <c:v>0.46784519994446999</c:v>
                </c:pt>
                <c:pt idx="10">
                  <c:v>0.45015891448737699</c:v>
                </c:pt>
                <c:pt idx="11">
                  <c:v>0.42283255275692899</c:v>
                </c:pt>
                <c:pt idx="12">
                  <c:v>0.41479432476526401</c:v>
                </c:pt>
                <c:pt idx="13">
                  <c:v>0.413421668844211</c:v>
                </c:pt>
                <c:pt idx="14">
                  <c:v>0.44388100155564097</c:v>
                </c:pt>
                <c:pt idx="15">
                  <c:v>0.44571846246625901</c:v>
                </c:pt>
                <c:pt idx="16">
                  <c:v>0.458944872704586</c:v>
                </c:pt>
                <c:pt idx="17">
                  <c:v>0.500437475780386</c:v>
                </c:pt>
                <c:pt idx="18">
                  <c:v>0.50448830052858695</c:v>
                </c:pt>
                <c:pt idx="19">
                  <c:v>0.50569919769114802</c:v>
                </c:pt>
                <c:pt idx="20">
                  <c:v>0.53459956826473198</c:v>
                </c:pt>
                <c:pt idx="21">
                  <c:v>0.55567130314067603</c:v>
                </c:pt>
                <c:pt idx="22">
                  <c:v>0.55554953678932995</c:v>
                </c:pt>
                <c:pt idx="23">
                  <c:v>0.53459956826473198</c:v>
                </c:pt>
                <c:pt idx="24">
                  <c:v>0.55456064933307203</c:v>
                </c:pt>
                <c:pt idx="25">
                  <c:v>0.49778274569056502</c:v>
                </c:pt>
                <c:pt idx="26">
                  <c:v>0.55023567489180703</c:v>
                </c:pt>
                <c:pt idx="27">
                  <c:v>0.530262307480455</c:v>
                </c:pt>
                <c:pt idx="28">
                  <c:v>0.52343584513018204</c:v>
                </c:pt>
                <c:pt idx="29">
                  <c:v>0.59637879918119396</c:v>
                </c:pt>
                <c:pt idx="30">
                  <c:v>0.68792602855859697</c:v>
                </c:pt>
                <c:pt idx="31">
                  <c:v>0.76963049580877896</c:v>
                </c:pt>
                <c:pt idx="32">
                  <c:v>0.73008457468410604</c:v>
                </c:pt>
                <c:pt idx="33">
                  <c:v>0.72513911398557795</c:v>
                </c:pt>
                <c:pt idx="34">
                  <c:v>0.78570803060210304</c:v>
                </c:pt>
                <c:pt idx="35">
                  <c:v>0.78784236429837495</c:v>
                </c:pt>
                <c:pt idx="36">
                  <c:v>0.78784236429837495</c:v>
                </c:pt>
                <c:pt idx="37">
                  <c:v>0.835097603433548</c:v>
                </c:pt>
                <c:pt idx="38">
                  <c:v>0.82334508252646699</c:v>
                </c:pt>
                <c:pt idx="39">
                  <c:v>0.75041835881665098</c:v>
                </c:pt>
                <c:pt idx="40">
                  <c:v>0.76893145735928503</c:v>
                </c:pt>
                <c:pt idx="41">
                  <c:v>0.77037274528699795</c:v>
                </c:pt>
                <c:pt idx="42">
                  <c:v>0.80738330212536202</c:v>
                </c:pt>
                <c:pt idx="43">
                  <c:v>0.80743099133140495</c:v>
                </c:pt>
                <c:pt idx="44">
                  <c:v>0.80738330212536202</c:v>
                </c:pt>
                <c:pt idx="45">
                  <c:v>0.80868850381438495</c:v>
                </c:pt>
                <c:pt idx="46">
                  <c:v>0.79462879185413404</c:v>
                </c:pt>
                <c:pt idx="47">
                  <c:v>0.79467702755735403</c:v>
                </c:pt>
                <c:pt idx="48">
                  <c:v>0.79667077255181695</c:v>
                </c:pt>
                <c:pt idx="49">
                  <c:v>0.82560167628302705</c:v>
                </c:pt>
                <c:pt idx="50">
                  <c:v>0.81761753197113796</c:v>
                </c:pt>
                <c:pt idx="51">
                  <c:v>0.80675519627661196</c:v>
                </c:pt>
                <c:pt idx="52">
                  <c:v>0.81664922560340802</c:v>
                </c:pt>
                <c:pt idx="53">
                  <c:v>0.81501800932407398</c:v>
                </c:pt>
                <c:pt idx="54">
                  <c:v>0.78373275885396798</c:v>
                </c:pt>
                <c:pt idx="55">
                  <c:v>0.79864586852223396</c:v>
                </c:pt>
                <c:pt idx="56">
                  <c:v>0.79864586852223396</c:v>
                </c:pt>
                <c:pt idx="57">
                  <c:v>0.79864586852223396</c:v>
                </c:pt>
                <c:pt idx="58">
                  <c:v>0.76696110700144904</c:v>
                </c:pt>
                <c:pt idx="59">
                  <c:v>0.77503934394673502</c:v>
                </c:pt>
                <c:pt idx="60">
                  <c:v>0.78307307510675805</c:v>
                </c:pt>
                <c:pt idx="61">
                  <c:v>0.77444274068180197</c:v>
                </c:pt>
                <c:pt idx="62">
                  <c:v>0.69958063827916195</c:v>
                </c:pt>
                <c:pt idx="63">
                  <c:v>0.749959617052529</c:v>
                </c:pt>
                <c:pt idx="64">
                  <c:v>0.75281601454874203</c:v>
                </c:pt>
                <c:pt idx="65">
                  <c:v>0.80228573213763799</c:v>
                </c:pt>
                <c:pt idx="66">
                  <c:v>0.77814088922240399</c:v>
                </c:pt>
                <c:pt idx="67">
                  <c:v>0.80228573213763799</c:v>
                </c:pt>
                <c:pt idx="68">
                  <c:v>0.80453940604234497</c:v>
                </c:pt>
                <c:pt idx="69">
                  <c:v>0.80732043361392003</c:v>
                </c:pt>
                <c:pt idx="70">
                  <c:v>0.83168681417116597</c:v>
                </c:pt>
                <c:pt idx="71">
                  <c:v>0.82964940526362396</c:v>
                </c:pt>
                <c:pt idx="72">
                  <c:v>0.83284905120274599</c:v>
                </c:pt>
                <c:pt idx="73">
                  <c:v>0.86264764194302102</c:v>
                </c:pt>
                <c:pt idx="74">
                  <c:v>0.84572973738134705</c:v>
                </c:pt>
                <c:pt idx="75">
                  <c:v>0.86327251333866595</c:v>
                </c:pt>
                <c:pt idx="76">
                  <c:v>0.86327251333866595</c:v>
                </c:pt>
                <c:pt idx="77">
                  <c:v>0.85555240339955696</c:v>
                </c:pt>
                <c:pt idx="78">
                  <c:v>0.88287675506615604</c:v>
                </c:pt>
                <c:pt idx="79">
                  <c:v>0.88536471533859296</c:v>
                </c:pt>
                <c:pt idx="80">
                  <c:v>0.89833897714159106</c:v>
                </c:pt>
                <c:pt idx="81">
                  <c:v>0.86793363911717603</c:v>
                </c:pt>
                <c:pt idx="82">
                  <c:v>0.86770648020923202</c:v>
                </c:pt>
                <c:pt idx="83">
                  <c:v>0.85221928563940097</c:v>
                </c:pt>
                <c:pt idx="84">
                  <c:v>0.83842768782906896</c:v>
                </c:pt>
                <c:pt idx="85">
                  <c:v>0.86770648020923202</c:v>
                </c:pt>
                <c:pt idx="86">
                  <c:v>0.854749303648767</c:v>
                </c:pt>
                <c:pt idx="87">
                  <c:v>0.85755860261202399</c:v>
                </c:pt>
                <c:pt idx="88">
                  <c:v>0.87370950143428605</c:v>
                </c:pt>
                <c:pt idx="89">
                  <c:v>0.91294036208624696</c:v>
                </c:pt>
                <c:pt idx="90">
                  <c:v>0.89540803117683299</c:v>
                </c:pt>
                <c:pt idx="91">
                  <c:v>0.87828750136762601</c:v>
                </c:pt>
                <c:pt idx="92">
                  <c:v>0.89386735239452597</c:v>
                </c:pt>
                <c:pt idx="93">
                  <c:v>0.87701507985843796</c:v>
                </c:pt>
                <c:pt idx="94">
                  <c:v>0.85224271287899001</c:v>
                </c:pt>
                <c:pt idx="95">
                  <c:v>0.85193877883173597</c:v>
                </c:pt>
                <c:pt idx="96">
                  <c:v>0.869978528422368</c:v>
                </c:pt>
                <c:pt idx="97">
                  <c:v>0.88760782081308098</c:v>
                </c:pt>
                <c:pt idx="98">
                  <c:v>0.86994927393538202</c:v>
                </c:pt>
                <c:pt idx="99">
                  <c:v>0.85665986262304605</c:v>
                </c:pt>
                <c:pt idx="100">
                  <c:v>0.87405689226001904</c:v>
                </c:pt>
                <c:pt idx="101">
                  <c:v>0.85526933709542996</c:v>
                </c:pt>
                <c:pt idx="102">
                  <c:v>0.85629919718182101</c:v>
                </c:pt>
                <c:pt idx="103">
                  <c:v>0.83698700627492195</c:v>
                </c:pt>
                <c:pt idx="104">
                  <c:v>0.81801292760675504</c:v>
                </c:pt>
                <c:pt idx="105">
                  <c:v>0.83506565777320196</c:v>
                </c:pt>
                <c:pt idx="106">
                  <c:v>0.81638058168754202</c:v>
                </c:pt>
                <c:pt idx="107">
                  <c:v>0.77327869798683202</c:v>
                </c:pt>
                <c:pt idx="108">
                  <c:v>0.75159663172579605</c:v>
                </c:pt>
                <c:pt idx="109">
                  <c:v>0.75159663172579605</c:v>
                </c:pt>
                <c:pt idx="110">
                  <c:v>0.73466848163795695</c:v>
                </c:pt>
                <c:pt idx="111">
                  <c:v>0.75336723351248602</c:v>
                </c:pt>
                <c:pt idx="112">
                  <c:v>0.73189334378403004</c:v>
                </c:pt>
                <c:pt idx="113">
                  <c:v>0.69795987841176899</c:v>
                </c:pt>
                <c:pt idx="114">
                  <c:v>0.72870485724802003</c:v>
                </c:pt>
                <c:pt idx="115">
                  <c:v>0.71205681454377001</c:v>
                </c:pt>
                <c:pt idx="116">
                  <c:v>0.71369665277113203</c:v>
                </c:pt>
                <c:pt idx="117">
                  <c:v>0.73723469697601096</c:v>
                </c:pt>
                <c:pt idx="118">
                  <c:v>0.761146337708836</c:v>
                </c:pt>
                <c:pt idx="119">
                  <c:v>0.759997535931347</c:v>
                </c:pt>
                <c:pt idx="120">
                  <c:v>0.77532655878385304</c:v>
                </c:pt>
                <c:pt idx="121">
                  <c:v>0.75107697516027305</c:v>
                </c:pt>
                <c:pt idx="122">
                  <c:v>0.72171464607282199</c:v>
                </c:pt>
                <c:pt idx="123">
                  <c:v>0.68546913751640703</c:v>
                </c:pt>
                <c:pt idx="124">
                  <c:v>0.61572233359239503</c:v>
                </c:pt>
                <c:pt idx="125">
                  <c:v>0.57885781279247595</c:v>
                </c:pt>
                <c:pt idx="126">
                  <c:v>0.55866046035037298</c:v>
                </c:pt>
                <c:pt idx="127">
                  <c:v>0.559435024866201</c:v>
                </c:pt>
                <c:pt idx="128">
                  <c:v>0.35070641785982798</c:v>
                </c:pt>
                <c:pt idx="129">
                  <c:v>0.43948269576427901</c:v>
                </c:pt>
                <c:pt idx="130">
                  <c:v>0.32026855865014903</c:v>
                </c:pt>
                <c:pt idx="131">
                  <c:v>0.40751972704091199</c:v>
                </c:pt>
                <c:pt idx="132">
                  <c:v>0.40927245307931498</c:v>
                </c:pt>
                <c:pt idx="133">
                  <c:v>0.363862618143523</c:v>
                </c:pt>
                <c:pt idx="134">
                  <c:v>0.36320600400751901</c:v>
                </c:pt>
                <c:pt idx="135">
                  <c:v>0.36320600400751901</c:v>
                </c:pt>
                <c:pt idx="136">
                  <c:v>0.288709470660512</c:v>
                </c:pt>
                <c:pt idx="137">
                  <c:v>0.32763348986039498</c:v>
                </c:pt>
                <c:pt idx="138">
                  <c:v>0.299169771608427</c:v>
                </c:pt>
                <c:pt idx="139">
                  <c:v>0.28272847297738402</c:v>
                </c:pt>
                <c:pt idx="140">
                  <c:v>0.32117243090069397</c:v>
                </c:pt>
                <c:pt idx="141">
                  <c:v>0.41636418453757701</c:v>
                </c:pt>
                <c:pt idx="142">
                  <c:v>0.43780949110749301</c:v>
                </c:pt>
                <c:pt idx="143">
                  <c:v>0.43730748482287202</c:v>
                </c:pt>
                <c:pt idx="144">
                  <c:v>0.40934710971689398</c:v>
                </c:pt>
                <c:pt idx="145">
                  <c:v>0.45677859659494602</c:v>
                </c:pt>
                <c:pt idx="146">
                  <c:v>0.475306900921734</c:v>
                </c:pt>
                <c:pt idx="147">
                  <c:v>0.44816752582121699</c:v>
                </c:pt>
                <c:pt idx="148">
                  <c:v>0.37148669825668401</c:v>
                </c:pt>
                <c:pt idx="149">
                  <c:v>0.43017279106460798</c:v>
                </c:pt>
                <c:pt idx="150">
                  <c:v>0.40155276728234202</c:v>
                </c:pt>
                <c:pt idx="151">
                  <c:v>0.33155433608902701</c:v>
                </c:pt>
                <c:pt idx="152">
                  <c:v>0.33115218180429201</c:v>
                </c:pt>
                <c:pt idx="153">
                  <c:v>0.29231032325725198</c:v>
                </c:pt>
                <c:pt idx="154">
                  <c:v>0.29194519997051299</c:v>
                </c:pt>
                <c:pt idx="155">
                  <c:v>0.26557578721224701</c:v>
                </c:pt>
                <c:pt idx="156">
                  <c:v>0.29041864554209001</c:v>
                </c:pt>
                <c:pt idx="157">
                  <c:v>0.324950271832321</c:v>
                </c:pt>
                <c:pt idx="158">
                  <c:v>0.32575205669163398</c:v>
                </c:pt>
                <c:pt idx="159">
                  <c:v>0.38477236523223501</c:v>
                </c:pt>
                <c:pt idx="160">
                  <c:v>0.407543935255748</c:v>
                </c:pt>
                <c:pt idx="161">
                  <c:v>0.38048486740787602</c:v>
                </c:pt>
                <c:pt idx="162">
                  <c:v>0.350662678143284</c:v>
                </c:pt>
                <c:pt idx="163">
                  <c:v>0.34877360785551498</c:v>
                </c:pt>
                <c:pt idx="164">
                  <c:v>0.37600660434659899</c:v>
                </c:pt>
                <c:pt idx="165">
                  <c:v>0.345540736972693</c:v>
                </c:pt>
                <c:pt idx="166">
                  <c:v>0.37491062583542301</c:v>
                </c:pt>
                <c:pt idx="167">
                  <c:v>0.34390162113487499</c:v>
                </c:pt>
                <c:pt idx="168">
                  <c:v>0.314038249540457</c:v>
                </c:pt>
                <c:pt idx="169">
                  <c:v>0.34467498628586002</c:v>
                </c:pt>
                <c:pt idx="170">
                  <c:v>0.37569838390096</c:v>
                </c:pt>
                <c:pt idx="171">
                  <c:v>0.37412391054197702</c:v>
                </c:pt>
                <c:pt idx="172">
                  <c:v>0.37361880682592702</c:v>
                </c:pt>
                <c:pt idx="173">
                  <c:v>0.42328848292124299</c:v>
                </c:pt>
                <c:pt idx="174">
                  <c:v>0.423626543923386</c:v>
                </c:pt>
                <c:pt idx="175">
                  <c:v>0.44575971286270699</c:v>
                </c:pt>
                <c:pt idx="176">
                  <c:v>0.447523173322597</c:v>
                </c:pt>
                <c:pt idx="177">
                  <c:v>0.44809087040050999</c:v>
                </c:pt>
                <c:pt idx="178">
                  <c:v>0.422698502075878</c:v>
                </c:pt>
                <c:pt idx="179">
                  <c:v>0.42445570084547102</c:v>
                </c:pt>
                <c:pt idx="180">
                  <c:v>0.44809087040050999</c:v>
                </c:pt>
                <c:pt idx="181">
                  <c:v>0.47250294907145901</c:v>
                </c:pt>
                <c:pt idx="182">
                  <c:v>0.41937357622631599</c:v>
                </c:pt>
                <c:pt idx="183">
                  <c:v>0.442496626081467</c:v>
                </c:pt>
                <c:pt idx="184">
                  <c:v>0.442496626081467</c:v>
                </c:pt>
                <c:pt idx="185">
                  <c:v>0.44374218371659901</c:v>
                </c:pt>
                <c:pt idx="186">
                  <c:v>0.41288424367027698</c:v>
                </c:pt>
                <c:pt idx="187">
                  <c:v>0.43702603863390799</c:v>
                </c:pt>
                <c:pt idx="188">
                  <c:v>0.46728360557677701</c:v>
                </c:pt>
                <c:pt idx="189">
                  <c:v>0.46728360557677701</c:v>
                </c:pt>
                <c:pt idx="190">
                  <c:v>0.46155019715384699</c:v>
                </c:pt>
                <c:pt idx="191">
                  <c:v>0.46004558951219798</c:v>
                </c:pt>
                <c:pt idx="192">
                  <c:v>0.40391624791160502</c:v>
                </c:pt>
                <c:pt idx="193">
                  <c:v>0.40583884679985799</c:v>
                </c:pt>
                <c:pt idx="194">
                  <c:v>0.41997935837741501</c:v>
                </c:pt>
                <c:pt idx="195">
                  <c:v>0.45169554196659301</c:v>
                </c:pt>
                <c:pt idx="196">
                  <c:v>0.51980506858976505</c:v>
                </c:pt>
                <c:pt idx="197">
                  <c:v>0.54836202509473897</c:v>
                </c:pt>
                <c:pt idx="198">
                  <c:v>0.51919369291780804</c:v>
                </c:pt>
                <c:pt idx="199">
                  <c:v>0.47675147024831299</c:v>
                </c:pt>
                <c:pt idx="200">
                  <c:v>0.47692109100650398</c:v>
                </c:pt>
                <c:pt idx="201">
                  <c:v>0.51122359708646703</c:v>
                </c:pt>
                <c:pt idx="202">
                  <c:v>0.51219644646725904</c:v>
                </c:pt>
                <c:pt idx="203">
                  <c:v>0.53668924865294498</c:v>
                </c:pt>
                <c:pt idx="204">
                  <c:v>0.53336704205084995</c:v>
                </c:pt>
                <c:pt idx="205">
                  <c:v>0.57434180535542201</c:v>
                </c:pt>
                <c:pt idx="206">
                  <c:v>0.57151301413759903</c:v>
                </c:pt>
                <c:pt idx="207">
                  <c:v>0.53663456127837605</c:v>
                </c:pt>
                <c:pt idx="208">
                  <c:v>0.59916849480803203</c:v>
                </c:pt>
                <c:pt idx="209">
                  <c:v>0.65603248367827005</c:v>
                </c:pt>
                <c:pt idx="210">
                  <c:v>0.65743777734473896</c:v>
                </c:pt>
                <c:pt idx="211">
                  <c:v>0.65603248367827005</c:v>
                </c:pt>
                <c:pt idx="212">
                  <c:v>0.65654204371407898</c:v>
                </c:pt>
                <c:pt idx="213">
                  <c:v>0.62891566924849096</c:v>
                </c:pt>
                <c:pt idx="214">
                  <c:v>0.59089189370597495</c:v>
                </c:pt>
                <c:pt idx="215">
                  <c:v>0.56192400392824904</c:v>
                </c:pt>
                <c:pt idx="216">
                  <c:v>0.58504613614911405</c:v>
                </c:pt>
                <c:pt idx="217">
                  <c:v>0.51677297350672402</c:v>
                </c:pt>
                <c:pt idx="218">
                  <c:v>0.58275927647732095</c:v>
                </c:pt>
                <c:pt idx="219">
                  <c:v>0.62291663527341601</c:v>
                </c:pt>
                <c:pt idx="220">
                  <c:v>0.60989773029744099</c:v>
                </c:pt>
                <c:pt idx="221">
                  <c:v>0.63605273893112901</c:v>
                </c:pt>
                <c:pt idx="222">
                  <c:v>0.61100400428288903</c:v>
                </c:pt>
                <c:pt idx="223">
                  <c:v>0.63781716084616302</c:v>
                </c:pt>
                <c:pt idx="224">
                  <c:v>0.61234517356738905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98976"/>
        <c:axId val="336437632"/>
      </c:lineChart>
      <c:dateAx>
        <c:axId val="336398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6437632"/>
        <c:crosses val="autoZero"/>
        <c:auto val="1"/>
        <c:lblOffset val="100"/>
        <c:baseTimeUnit val="days"/>
      </c:dateAx>
      <c:valAx>
        <c:axId val="3364376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6398976"/>
        <c:crosses val="autoZero"/>
        <c:crossBetween val="between"/>
      </c:valAx>
      <c:valAx>
        <c:axId val="3364391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36440704"/>
        <c:crosses val="max"/>
        <c:crossBetween val="between"/>
      </c:valAx>
      <c:dateAx>
        <c:axId val="336440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36439168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4"/>
          <c:order val="0"/>
          <c:tx>
            <c:v>Current PMI</c:v>
          </c:tx>
          <c:invertIfNegative val="0"/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2005'!$F$2:$F$227</c:f>
              <c:numCache>
                <c:formatCode>0%</c:formatCode>
                <c:ptCount val="226"/>
                <c:pt idx="0" formatCode="General">
                  <c:v>0</c:v>
                </c:pt>
                <c:pt idx="1">
                  <c:v>6.8001380926387966E-2</c:v>
                </c:pt>
                <c:pt idx="2">
                  <c:v>3.4315586605567994E-2</c:v>
                </c:pt>
                <c:pt idx="3">
                  <c:v>4.7046468356667037E-2</c:v>
                </c:pt>
                <c:pt idx="4">
                  <c:v>6.5812142729340106E-3</c:v>
                </c:pt>
                <c:pt idx="5">
                  <c:v>-4.2059187354590022E-2</c:v>
                </c:pt>
                <c:pt idx="6">
                  <c:v>1.6525044081529994E-2</c:v>
                </c:pt>
                <c:pt idx="7">
                  <c:v>4.3771275455086966E-2</c:v>
                </c:pt>
                <c:pt idx="8">
                  <c:v>3.9467545334399001E-2</c:v>
                </c:pt>
                <c:pt idx="9">
                  <c:v>3.5912079314267042E-2</c:v>
                </c:pt>
                <c:pt idx="10">
                  <c:v>8.2543100637247013E-2</c:v>
                </c:pt>
                <c:pt idx="11">
                  <c:v>3.3903318793500004E-2</c:v>
                </c:pt>
                <c:pt idx="12">
                  <c:v>2.2964053187006006E-2</c:v>
                </c:pt>
                <c:pt idx="13">
                  <c:v>2.9177077111568028E-2</c:v>
                </c:pt>
                <c:pt idx="14">
                  <c:v>3.6085107645562997E-2</c:v>
                </c:pt>
                <c:pt idx="15">
                  <c:v>6.6717219980910958E-2</c:v>
                </c:pt>
                <c:pt idx="16">
                  <c:v>5.290984417987904E-2</c:v>
                </c:pt>
                <c:pt idx="17">
                  <c:v>6.5470094012515023E-2</c:v>
                </c:pt>
                <c:pt idx="18">
                  <c:v>9.5477016459315001E-2</c:v>
                </c:pt>
                <c:pt idx="19">
                  <c:v>6.2090722729184977E-2</c:v>
                </c:pt>
                <c:pt idx="20">
                  <c:v>6.306079786338803E-2</c:v>
                </c:pt>
                <c:pt idx="21">
                  <c:v>9.129440959094498E-2</c:v>
                </c:pt>
                <c:pt idx="22">
                  <c:v>8.758202540401705E-2</c:v>
                </c:pt>
                <c:pt idx="23">
                  <c:v>6.4452229991332932E-2</c:v>
                </c:pt>
                <c:pt idx="24">
                  <c:v>4.3617294913563975E-2</c:v>
                </c:pt>
                <c:pt idx="25">
                  <c:v>8.6471371596413049E-2</c:v>
                </c:pt>
                <c:pt idx="26">
                  <c:v>7.8469242381610238E-3</c:v>
                </c:pt>
                <c:pt idx="27">
                  <c:v>0.11564823438682803</c:v>
                </c:pt>
                <c:pt idx="28">
                  <c:v>4.5153433101701002E-2</c:v>
                </c:pt>
                <c:pt idx="29">
                  <c:v>6.0253047563227025E-2</c:v>
                </c:pt>
                <c:pt idx="30">
                  <c:v>0.13848025049212598</c:v>
                </c:pt>
                <c:pt idx="31">
                  <c:v>0.155138368903878</c:v>
                </c:pt>
                <c:pt idx="32">
                  <c:v>0.13376209759700797</c:v>
                </c:pt>
                <c:pt idx="33">
                  <c:v>-5.9428255315496781E-4</c:v>
                </c:pt>
                <c:pt idx="34">
                  <c:v>4.0349344828313982E-2</c:v>
                </c:pt>
                <c:pt idx="35">
                  <c:v>0.10678981116712205</c:v>
                </c:pt>
                <c:pt idx="36">
                  <c:v>3.9012978440861934E-2</c:v>
                </c:pt>
                <c:pt idx="37">
                  <c:v>3.6785544229373968E-2</c:v>
                </c:pt>
                <c:pt idx="38">
                  <c:v>8.4040783364547011E-2</c:v>
                </c:pt>
                <c:pt idx="39">
                  <c:v>1.7941035349458012E-2</c:v>
                </c:pt>
                <c:pt idx="40">
                  <c:v>-4.0164311481772019E-2</c:v>
                </c:pt>
                <c:pt idx="41">
                  <c:v>6.1596152049424036E-2</c:v>
                </c:pt>
                <c:pt idx="42">
                  <c:v>4.1651946946389962E-2</c:v>
                </c:pt>
                <c:pt idx="43">
                  <c:v>7.712584788766097E-2</c:v>
                </c:pt>
                <c:pt idx="44">
                  <c:v>3.6395976954115894E-2</c:v>
                </c:pt>
                <c:pt idx="45">
                  <c:v>3.6300651127011974E-2</c:v>
                </c:pt>
                <c:pt idx="46">
                  <c:v>3.7653489437095899E-2</c:v>
                </c:pt>
                <c:pt idx="47">
                  <c:v>2.2173923724982059E-2</c:v>
                </c:pt>
                <c:pt idx="48">
                  <c:v>3.9281870334753055E-2</c:v>
                </c:pt>
                <c:pt idx="49">
                  <c:v>4.1227978118804964E-2</c:v>
                </c:pt>
                <c:pt idx="50">
                  <c:v>6.7959427528481053E-2</c:v>
                </c:pt>
                <c:pt idx="51">
                  <c:v>2.6433376759826932E-2</c:v>
                </c:pt>
                <c:pt idx="52">
                  <c:v>2.5243276930596914E-2</c:v>
                </c:pt>
                <c:pt idx="53">
                  <c:v>4.7874502647296979E-2</c:v>
                </c:pt>
                <c:pt idx="54">
                  <c:v>3.440316737511695E-2</c:v>
                </c:pt>
                <c:pt idx="55">
                  <c:v>5.0340551021710311E-3</c:v>
                </c:pt>
                <c:pt idx="56">
                  <c:v>5.5949560223714001E-2</c:v>
                </c:pt>
                <c:pt idx="57">
                  <c:v>4.0633581612559921E-2</c:v>
                </c:pt>
                <c:pt idx="58">
                  <c:v>4.0633581612559921E-2</c:v>
                </c:pt>
                <c:pt idx="59">
                  <c:v>8.9488200917750005E-3</c:v>
                </c:pt>
                <c:pt idx="60">
                  <c:v>5.3280642367373066E-2</c:v>
                </c:pt>
                <c:pt idx="61">
                  <c:v>5.2776510153713097E-2</c:v>
                </c:pt>
                <c:pt idx="62">
                  <c:v>3.4652296550438E-2</c:v>
                </c:pt>
                <c:pt idx="63">
                  <c:v>-3.0066723374379101E-2</c:v>
                </c:pt>
                <c:pt idx="64">
                  <c:v>0.10393072250837998</c:v>
                </c:pt>
                <c:pt idx="65">
                  <c:v>5.0586174629337011E-2</c:v>
                </c:pt>
                <c:pt idx="66">
                  <c:v>9.5700469344129013E-2</c:v>
                </c:pt>
                <c:pt idx="67">
                  <c:v>1.4622550315981031E-2</c:v>
                </c:pt>
                <c:pt idx="68">
                  <c:v>6.7492063342281972E-2</c:v>
                </c:pt>
                <c:pt idx="69">
                  <c:v>4.1021067135922018E-2</c:v>
                </c:pt>
                <c:pt idx="70">
                  <c:v>4.1016244274513003E-2</c:v>
                </c:pt>
                <c:pt idx="71">
                  <c:v>6.2148537657804925E-2</c:v>
                </c:pt>
                <c:pt idx="72">
                  <c:v>3.1576244334094006E-2</c:v>
                </c:pt>
                <c:pt idx="73">
                  <c:v>3.721808698818696E-2</c:v>
                </c:pt>
                <c:pt idx="74">
                  <c:v>6.3224587648893049E-2</c:v>
                </c:pt>
                <c:pt idx="75">
                  <c:v>1.1269498647956011E-2</c:v>
                </c:pt>
                <c:pt idx="76">
                  <c:v>4.875325066131897E-2</c:v>
                </c:pt>
                <c:pt idx="77">
                  <c:v>2.8064402067171978E-2</c:v>
                </c:pt>
                <c:pt idx="78">
                  <c:v>2.0344292128062991E-2</c:v>
                </c:pt>
                <c:pt idx="79">
                  <c:v>5.7152981354642085E-2</c:v>
                </c:pt>
                <c:pt idx="80">
                  <c:v>2.7525720243373963E-2</c:v>
                </c:pt>
                <c:pt idx="81">
                  <c:v>3.7465371866174046E-2</c:v>
                </c:pt>
                <c:pt idx="82">
                  <c:v>-9.1471043182749234E-3</c:v>
                </c:pt>
                <c:pt idx="83">
                  <c:v>2.7333535439428069E-2</c:v>
                </c:pt>
                <c:pt idx="84">
                  <c:v>1.2107239076427967E-2</c:v>
                </c:pt>
                <c:pt idx="85">
                  <c:v>1.6166991390680008E-2</c:v>
                </c:pt>
                <c:pt idx="86">
                  <c:v>6.1832482601206995E-2</c:v>
                </c:pt>
                <c:pt idx="87">
                  <c:v>1.4637257085793998E-2</c:v>
                </c:pt>
                <c:pt idx="88">
                  <c:v>3.3642645592527942E-2</c:v>
                </c:pt>
                <c:pt idx="89">
                  <c:v>4.6349078054445103E-2</c:v>
                </c:pt>
                <c:pt idx="90">
                  <c:v>6.5647143406961983E-2</c:v>
                </c:pt>
                <c:pt idx="91">
                  <c:v>-7.4275263347400866E-4</c:v>
                </c:pt>
                <c:pt idx="92">
                  <c:v>3.418883966965991E-3</c:v>
                </c:pt>
                <c:pt idx="93">
                  <c:v>4.0826220717344985E-2</c:v>
                </c:pt>
                <c:pt idx="94">
                  <c:v>4.0059041014129937E-3</c:v>
                </c:pt>
                <c:pt idx="95">
                  <c:v>7.1275650098601151E-4</c:v>
                </c:pt>
                <c:pt idx="96">
                  <c:v>2.9734795047408946E-2</c:v>
                </c:pt>
                <c:pt idx="97">
                  <c:v>4.8127843611048049E-2</c:v>
                </c:pt>
                <c:pt idx="98">
                  <c:v>4.2898046684577973E-2</c:v>
                </c:pt>
                <c:pt idx="99">
                  <c:v>3.8082886467200039E-3</c:v>
                </c:pt>
                <c:pt idx="100">
                  <c:v>1.1981894210950084E-2</c:v>
                </c:pt>
                <c:pt idx="101">
                  <c:v>4.5551070791174042E-2</c:v>
                </c:pt>
                <c:pt idx="102">
                  <c:v>5.6786961392899515E-3</c:v>
                </c:pt>
                <c:pt idx="103">
                  <c:v>2.9463224371503061E-2</c:v>
                </c:pt>
                <c:pt idx="104">
                  <c:v>8.9129544713039133E-3</c:v>
                </c:pt>
                <c:pt idx="105">
                  <c:v>1.1276417208626044E-2</c:v>
                </c:pt>
                <c:pt idx="106">
                  <c:v>5.2173223948037917E-2</c:v>
                </c:pt>
                <c:pt idx="107">
                  <c:v>1.1943531590450029E-2</c:v>
                </c:pt>
                <c:pt idx="108">
                  <c:v>-7.6824462778299907E-3</c:v>
                </c:pt>
                <c:pt idx="109">
                  <c:v>2.2007349051048064E-2</c:v>
                </c:pt>
                <c:pt idx="110">
                  <c:v>4.6960323059720088E-2</c:v>
                </c:pt>
                <c:pt idx="111">
                  <c:v>3.0032172971880988E-2</c:v>
                </c:pt>
                <c:pt idx="112">
                  <c:v>6.7361271986485005E-2</c:v>
                </c:pt>
                <c:pt idx="113">
                  <c:v>2.5103041317178998E-2</c:v>
                </c:pt>
                <c:pt idx="114">
                  <c:v>1.6593515632853939E-2</c:v>
                </c:pt>
                <c:pt idx="115">
                  <c:v>8.5155834386022033E-2</c:v>
                </c:pt>
                <c:pt idx="116">
                  <c:v>3.443589575069006E-2</c:v>
                </c:pt>
                <c:pt idx="117">
                  <c:v>5.4215548312793072E-2</c:v>
                </c:pt>
                <c:pt idx="118">
                  <c:v>7.6282723589448986E-2</c:v>
                </c:pt>
                <c:pt idx="119">
                  <c:v>7.2538101508753949E-2</c:v>
                </c:pt>
                <c:pt idx="120">
                  <c:v>4.3743362112584006E-2</c:v>
                </c:pt>
                <c:pt idx="121">
                  <c:v>6.0427612151610077E-2</c:v>
                </c:pt>
                <c:pt idx="122">
                  <c:v>1.7225115203649999E-2</c:v>
                </c:pt>
                <c:pt idx="123">
                  <c:v>1.7216537850478941E-2</c:v>
                </c:pt>
                <c:pt idx="124">
                  <c:v>1.5028647573841036E-2</c:v>
                </c:pt>
                <c:pt idx="125">
                  <c:v>-1.3949795802922993E-2</c:v>
                </c:pt>
                <c:pt idx="126">
                  <c:v>2.5274526894223937E-2</c:v>
                </c:pt>
                <c:pt idx="127">
                  <c:v>4.5282217046297979E-2</c:v>
                </c:pt>
                <c:pt idx="128">
                  <c:v>6.681124708029601E-2</c:v>
                </c:pt>
                <c:pt idx="129">
                  <c:v>-0.14273205642474102</c:v>
                </c:pt>
                <c:pt idx="130">
                  <c:v>0.155687627549838</c:v>
                </c:pt>
                <c:pt idx="131">
                  <c:v>-4.8963357467738999E-2</c:v>
                </c:pt>
                <c:pt idx="132">
                  <c:v>0.15356192489512399</c:v>
                </c:pt>
                <c:pt idx="133">
                  <c:v>7.1045298195016982E-2</c:v>
                </c:pt>
                <c:pt idx="134">
                  <c:v>2.3833264438712976E-2</c:v>
                </c:pt>
                <c:pt idx="135">
                  <c:v>6.8909414655871026E-2</c:v>
                </c:pt>
                <c:pt idx="136">
                  <c:v>6.9525282365491992E-2</c:v>
                </c:pt>
                <c:pt idx="137">
                  <c:v>-4.9712509815150185E-3</c:v>
                </c:pt>
                <c:pt idx="138">
                  <c:v>9.9826832259983983E-2</c:v>
                </c:pt>
                <c:pt idx="139">
                  <c:v>3.8295085531133977E-2</c:v>
                </c:pt>
                <c:pt idx="140">
                  <c:v>4.8401465716829017E-2</c:v>
                </c:pt>
                <c:pt idx="141">
                  <c:v>0.10007112759375297</c:v>
                </c:pt>
                <c:pt idx="142">
                  <c:v>0.161724533960106</c:v>
                </c:pt>
                <c:pt idx="143">
                  <c:v>9.2088775968152015E-2</c:v>
                </c:pt>
                <c:pt idx="144">
                  <c:v>6.9041349888349035E-2</c:v>
                </c:pt>
                <c:pt idx="145">
                  <c:v>4.1620346831738986E-2</c:v>
                </c:pt>
                <c:pt idx="146">
                  <c:v>0.11769616947473499</c:v>
                </c:pt>
                <c:pt idx="147">
                  <c:v>8.8081247532590001E-2</c:v>
                </c:pt>
                <c:pt idx="148">
                  <c:v>4.1954886486802012E-2</c:v>
                </c:pt>
                <c:pt idx="149">
                  <c:v>-7.0967905347579796E-3</c:v>
                </c:pt>
                <c:pt idx="150">
                  <c:v>0.127559696156544</c:v>
                </c:pt>
                <c:pt idx="151">
                  <c:v>4.0904947944030989E-2</c:v>
                </c:pt>
                <c:pt idx="152">
                  <c:v>2.1618444613902277E-4</c:v>
                </c:pt>
                <c:pt idx="153">
                  <c:v>6.8147342355900031E-2</c:v>
                </c:pt>
                <c:pt idx="154">
                  <c:v>2.9707837544626969E-2</c:v>
                </c:pt>
                <c:pt idx="155">
                  <c:v>6.5310803135971984E-2</c:v>
                </c:pt>
                <c:pt idx="156">
                  <c:v>3.9284627056277999E-2</c:v>
                </c:pt>
                <c:pt idx="157">
                  <c:v>8.8706050162920019E-2</c:v>
                </c:pt>
                <c:pt idx="158">
                  <c:v>9.9727720440766998E-2</c:v>
                </c:pt>
                <c:pt idx="159">
                  <c:v>6.9039260083139986E-2</c:v>
                </c:pt>
                <c:pt idx="160">
                  <c:v>0.12733101042205702</c:v>
                </c:pt>
                <c:pt idx="161">
                  <c:v>9.3155393439297018E-2</c:v>
                </c:pt>
                <c:pt idx="162">
                  <c:v>4.2503745677868021E-2</c:v>
                </c:pt>
                <c:pt idx="163">
                  <c:v>4.0105414103120018E-2</c:v>
                </c:pt>
                <c:pt idx="164">
                  <c:v>6.653219717938097E-2</c:v>
                </c:pt>
                <c:pt idx="165">
                  <c:v>9.5701494962272982E-2</c:v>
                </c:pt>
                <c:pt idx="166">
                  <c:v>3.9216501158822969E-2</c:v>
                </c:pt>
                <c:pt idx="167">
                  <c:v>9.7518312691123987E-2</c:v>
                </c:pt>
                <c:pt idx="168">
                  <c:v>3.8743484174677989E-2</c:v>
                </c:pt>
                <c:pt idx="169">
                  <c:v>3.8323606354321027E-2</c:v>
                </c:pt>
                <c:pt idx="170">
                  <c:v>9.760867110882801E-2</c:v>
                </c:pt>
                <c:pt idx="171">
                  <c:v>9.8741749953100977E-2</c:v>
                </c:pt>
                <c:pt idx="172">
                  <c:v>6.7754154471229011E-2</c:v>
                </c:pt>
                <c:pt idx="173">
                  <c:v>6.888724862462603E-2</c:v>
                </c:pt>
                <c:pt idx="174">
                  <c:v>0.11862300602021097</c:v>
                </c:pt>
                <c:pt idx="175">
                  <c:v>6.889508293072899E-2</c:v>
                </c:pt>
                <c:pt idx="176">
                  <c:v>9.0652203463149006E-2</c:v>
                </c:pt>
                <c:pt idx="177">
                  <c:v>6.9384017710283019E-2</c:v>
                </c:pt>
                <c:pt idx="178">
                  <c:v>6.8013512029646006E-2</c:v>
                </c:pt>
                <c:pt idx="179">
                  <c:v>4.133575642880799E-2</c:v>
                </c:pt>
                <c:pt idx="180">
                  <c:v>6.9897426240190019E-2</c:v>
                </c:pt>
                <c:pt idx="181">
                  <c:v>9.1707117428869001E-2</c:v>
                </c:pt>
                <c:pt idx="182">
                  <c:v>9.1140203424388999E-2</c:v>
                </c:pt>
                <c:pt idx="183">
                  <c:v>1.2690079270177013E-2</c:v>
                </c:pt>
                <c:pt idx="184">
                  <c:v>9.1222212363661015E-2</c:v>
                </c:pt>
                <c:pt idx="185">
                  <c:v>6.6801160894580991E-2</c:v>
                </c:pt>
                <c:pt idx="186">
                  <c:v>6.8046718529713002E-2</c:v>
                </c:pt>
                <c:pt idx="187">
                  <c:v>3.5778083027214969E-2</c:v>
                </c:pt>
                <c:pt idx="188">
                  <c:v>9.2127402981839968E-2</c:v>
                </c:pt>
                <c:pt idx="189">
                  <c:v>9.6800015324479016E-2</c:v>
                </c:pt>
                <c:pt idx="190">
                  <c:v>6.577732328977498E-2</c:v>
                </c:pt>
                <c:pt idx="191">
                  <c:v>6.0043914866844961E-2</c:v>
                </c:pt>
                <c:pt idx="192">
                  <c:v>6.4405101269668974E-2</c:v>
                </c:pt>
                <c:pt idx="193">
                  <c:v>9.8919473940480285E-3</c:v>
                </c:pt>
                <c:pt idx="194">
                  <c:v>7.0052649548990986E-2</c:v>
                </c:pt>
                <c:pt idx="195">
                  <c:v>8.2180351115243022E-2</c:v>
                </c:pt>
                <c:pt idx="196">
                  <c:v>9.8714949752068015E-2</c:v>
                </c:pt>
                <c:pt idx="197">
                  <c:v>0.13427176716540606</c:v>
                </c:pt>
                <c:pt idx="198">
                  <c:v>8.9739921782815979E-2</c:v>
                </c:pt>
                <c:pt idx="199">
                  <c:v>2.909304428417403E-2</c:v>
                </c:pt>
                <c:pt idx="200">
                  <c:v>1.8836479311074017E-2</c:v>
                </c:pt>
                <c:pt idx="201">
                  <c:v>6.3939194620456996E-2</c:v>
                </c:pt>
                <c:pt idx="202">
                  <c:v>9.8064624215533025E-2</c:v>
                </c:pt>
                <c:pt idx="203">
                  <c:v>6.2643855665584058E-2</c:v>
                </c:pt>
                <c:pt idx="204">
                  <c:v>8.6022683929848964E-2</c:v>
                </c:pt>
                <c:pt idx="205">
                  <c:v>5.543978575126296E-2</c:v>
                </c:pt>
                <c:pt idx="206">
                  <c:v>0.10022823104044803</c:v>
                </c:pt>
                <c:pt idx="207">
                  <c:v>5.2784575574028048E-2</c:v>
                </c:pt>
                <c:pt idx="208">
                  <c:v>2.1105349202653056E-2</c:v>
                </c:pt>
                <c:pt idx="209">
                  <c:v>0.12130540204184004</c:v>
                </c:pt>
                <c:pt idx="210">
                  <c:v>0.10946238824493004</c:v>
                </c:pt>
                <c:pt idx="211">
                  <c:v>4.6777976404713928E-2</c:v>
                </c:pt>
                <c:pt idx="212">
                  <c:v>4.3820719048973E-2</c:v>
                </c:pt>
                <c:pt idx="213">
                  <c:v>4.588224277405395E-2</c:v>
                </c:pt>
                <c:pt idx="214">
                  <c:v>1.8032397219816976E-2</c:v>
                </c:pt>
                <c:pt idx="215">
                  <c:v>1.1261711321355894E-2</c:v>
                </c:pt>
                <c:pt idx="216">
                  <c:v>2.5061534722991996E-2</c:v>
                </c:pt>
                <c:pt idx="217">
                  <c:v>8.0775119014503072E-2</c:v>
                </c:pt>
                <c:pt idx="218">
                  <c:v>-1.2459194243029992E-2</c:v>
                </c:pt>
                <c:pt idx="219">
                  <c:v>0.12800057495112893</c:v>
                </c:pt>
                <c:pt idx="220">
                  <c:v>9.6286855544211014E-2</c:v>
                </c:pt>
                <c:pt idx="221">
                  <c:v>3.8268071013639937E-2</c:v>
                </c:pt>
                <c:pt idx="222">
                  <c:v>8.0264369136034963E-2</c:v>
                </c:pt>
                <c:pt idx="223">
                  <c:v>2.5833009326836076E-2</c:v>
                </c:pt>
                <c:pt idx="224">
                  <c:v>8.0846679869197025E-2</c:v>
                </c:pt>
                <c:pt idx="225">
                  <c:v>2.5225919327266033E-2</c:v>
                </c:pt>
              </c:numCache>
            </c:numRef>
          </c:val>
        </c:ser>
        <c:ser>
          <c:idx val="5"/>
          <c:order val="1"/>
          <c:tx>
            <c:v>Pre 2005</c:v>
          </c:tx>
          <c:invertIfNegative val="0"/>
          <c:cat>
            <c:numRef>
              <c:f>'Pre 2005'!$A$3:$A$227</c:f>
              <c:numCache>
                <c:formatCode>m/d/yyyy</c:formatCode>
                <c:ptCount val="225"/>
                <c:pt idx="0">
                  <c:v>40556</c:v>
                </c:pt>
                <c:pt idx="1">
                  <c:v>40563</c:v>
                </c:pt>
                <c:pt idx="2">
                  <c:v>40570</c:v>
                </c:pt>
                <c:pt idx="3">
                  <c:v>40577</c:v>
                </c:pt>
                <c:pt idx="4">
                  <c:v>40584</c:v>
                </c:pt>
                <c:pt idx="5">
                  <c:v>40591</c:v>
                </c:pt>
                <c:pt idx="6">
                  <c:v>40598</c:v>
                </c:pt>
                <c:pt idx="7">
                  <c:v>40605</c:v>
                </c:pt>
                <c:pt idx="8">
                  <c:v>40612</c:v>
                </c:pt>
                <c:pt idx="9">
                  <c:v>40619</c:v>
                </c:pt>
                <c:pt idx="10">
                  <c:v>40626</c:v>
                </c:pt>
                <c:pt idx="11">
                  <c:v>40633</c:v>
                </c:pt>
                <c:pt idx="12">
                  <c:v>40640</c:v>
                </c:pt>
                <c:pt idx="13">
                  <c:v>40647</c:v>
                </c:pt>
                <c:pt idx="14">
                  <c:v>40654</c:v>
                </c:pt>
                <c:pt idx="15">
                  <c:v>40661</c:v>
                </c:pt>
                <c:pt idx="16">
                  <c:v>40668</c:v>
                </c:pt>
                <c:pt idx="17">
                  <c:v>40675</c:v>
                </c:pt>
                <c:pt idx="18">
                  <c:v>40682</c:v>
                </c:pt>
                <c:pt idx="19">
                  <c:v>40689</c:v>
                </c:pt>
                <c:pt idx="20">
                  <c:v>40696</c:v>
                </c:pt>
                <c:pt idx="21">
                  <c:v>40703</c:v>
                </c:pt>
                <c:pt idx="22">
                  <c:v>40710</c:v>
                </c:pt>
                <c:pt idx="23">
                  <c:v>40717</c:v>
                </c:pt>
                <c:pt idx="24">
                  <c:v>40724</c:v>
                </c:pt>
                <c:pt idx="25">
                  <c:v>40731</c:v>
                </c:pt>
                <c:pt idx="26">
                  <c:v>40738</c:v>
                </c:pt>
                <c:pt idx="27">
                  <c:v>40745</c:v>
                </c:pt>
                <c:pt idx="28">
                  <c:v>40752</c:v>
                </c:pt>
                <c:pt idx="29">
                  <c:v>40759</c:v>
                </c:pt>
                <c:pt idx="30">
                  <c:v>40766</c:v>
                </c:pt>
                <c:pt idx="31">
                  <c:v>40773</c:v>
                </c:pt>
                <c:pt idx="32">
                  <c:v>40780</c:v>
                </c:pt>
                <c:pt idx="33">
                  <c:v>40787</c:v>
                </c:pt>
                <c:pt idx="34">
                  <c:v>40794</c:v>
                </c:pt>
                <c:pt idx="35">
                  <c:v>40801</c:v>
                </c:pt>
                <c:pt idx="36">
                  <c:v>40808</c:v>
                </c:pt>
                <c:pt idx="37">
                  <c:v>40815</c:v>
                </c:pt>
                <c:pt idx="38">
                  <c:v>40822</c:v>
                </c:pt>
                <c:pt idx="39">
                  <c:v>40829</c:v>
                </c:pt>
                <c:pt idx="40">
                  <c:v>40836</c:v>
                </c:pt>
                <c:pt idx="41">
                  <c:v>40843</c:v>
                </c:pt>
                <c:pt idx="42">
                  <c:v>40850</c:v>
                </c:pt>
                <c:pt idx="43">
                  <c:v>40857</c:v>
                </c:pt>
                <c:pt idx="44">
                  <c:v>40864</c:v>
                </c:pt>
                <c:pt idx="45">
                  <c:v>40870</c:v>
                </c:pt>
                <c:pt idx="46">
                  <c:v>40878</c:v>
                </c:pt>
                <c:pt idx="47">
                  <c:v>40885</c:v>
                </c:pt>
                <c:pt idx="48">
                  <c:v>40892</c:v>
                </c:pt>
                <c:pt idx="49">
                  <c:v>40899</c:v>
                </c:pt>
                <c:pt idx="50">
                  <c:v>40906</c:v>
                </c:pt>
                <c:pt idx="51">
                  <c:v>40913</c:v>
                </c:pt>
                <c:pt idx="52">
                  <c:v>40920</c:v>
                </c:pt>
                <c:pt idx="53">
                  <c:v>40927</c:v>
                </c:pt>
                <c:pt idx="54">
                  <c:v>40934</c:v>
                </c:pt>
                <c:pt idx="55">
                  <c:v>40941</c:v>
                </c:pt>
                <c:pt idx="56">
                  <c:v>40948</c:v>
                </c:pt>
                <c:pt idx="57">
                  <c:v>40955</c:v>
                </c:pt>
                <c:pt idx="58">
                  <c:v>40962</c:v>
                </c:pt>
                <c:pt idx="59">
                  <c:v>40969</c:v>
                </c:pt>
                <c:pt idx="60">
                  <c:v>40976</c:v>
                </c:pt>
                <c:pt idx="61">
                  <c:v>40983</c:v>
                </c:pt>
                <c:pt idx="62">
                  <c:v>40990</c:v>
                </c:pt>
                <c:pt idx="63">
                  <c:v>40997</c:v>
                </c:pt>
                <c:pt idx="64">
                  <c:v>41004</c:v>
                </c:pt>
                <c:pt idx="65">
                  <c:v>41011</c:v>
                </c:pt>
                <c:pt idx="66">
                  <c:v>41018</c:v>
                </c:pt>
                <c:pt idx="67">
                  <c:v>41025</c:v>
                </c:pt>
                <c:pt idx="68">
                  <c:v>41032</c:v>
                </c:pt>
                <c:pt idx="69">
                  <c:v>41039</c:v>
                </c:pt>
                <c:pt idx="70">
                  <c:v>41046</c:v>
                </c:pt>
                <c:pt idx="71">
                  <c:v>41053</c:v>
                </c:pt>
                <c:pt idx="72">
                  <c:v>41060</c:v>
                </c:pt>
                <c:pt idx="73">
                  <c:v>41067</c:v>
                </c:pt>
                <c:pt idx="74">
                  <c:v>41074</c:v>
                </c:pt>
                <c:pt idx="75">
                  <c:v>41081</c:v>
                </c:pt>
                <c:pt idx="76">
                  <c:v>41088</c:v>
                </c:pt>
                <c:pt idx="77">
                  <c:v>41095</c:v>
                </c:pt>
                <c:pt idx="78">
                  <c:v>41102</c:v>
                </c:pt>
                <c:pt idx="79">
                  <c:v>41109</c:v>
                </c:pt>
                <c:pt idx="80">
                  <c:v>41116</c:v>
                </c:pt>
                <c:pt idx="81">
                  <c:v>41123</c:v>
                </c:pt>
                <c:pt idx="82">
                  <c:v>41130</c:v>
                </c:pt>
                <c:pt idx="83">
                  <c:v>41137</c:v>
                </c:pt>
                <c:pt idx="84">
                  <c:v>41144</c:v>
                </c:pt>
                <c:pt idx="85">
                  <c:v>41151</c:v>
                </c:pt>
                <c:pt idx="86">
                  <c:v>41158</c:v>
                </c:pt>
                <c:pt idx="87">
                  <c:v>41165</c:v>
                </c:pt>
                <c:pt idx="88">
                  <c:v>41172</c:v>
                </c:pt>
                <c:pt idx="89">
                  <c:v>41179</c:v>
                </c:pt>
                <c:pt idx="90">
                  <c:v>41186</c:v>
                </c:pt>
                <c:pt idx="91">
                  <c:v>41193</c:v>
                </c:pt>
                <c:pt idx="92">
                  <c:v>41200</c:v>
                </c:pt>
                <c:pt idx="93">
                  <c:v>41207</c:v>
                </c:pt>
                <c:pt idx="94">
                  <c:v>41214</c:v>
                </c:pt>
                <c:pt idx="95">
                  <c:v>41221</c:v>
                </c:pt>
                <c:pt idx="96">
                  <c:v>41228</c:v>
                </c:pt>
                <c:pt idx="97">
                  <c:v>41234</c:v>
                </c:pt>
                <c:pt idx="98">
                  <c:v>41242</c:v>
                </c:pt>
                <c:pt idx="99">
                  <c:v>41249</c:v>
                </c:pt>
                <c:pt idx="100">
                  <c:v>41256</c:v>
                </c:pt>
                <c:pt idx="101">
                  <c:v>41263</c:v>
                </c:pt>
                <c:pt idx="102">
                  <c:v>41270</c:v>
                </c:pt>
                <c:pt idx="103">
                  <c:v>41277</c:v>
                </c:pt>
                <c:pt idx="104">
                  <c:v>41284</c:v>
                </c:pt>
                <c:pt idx="105">
                  <c:v>41291</c:v>
                </c:pt>
                <c:pt idx="106">
                  <c:v>41298</c:v>
                </c:pt>
                <c:pt idx="107">
                  <c:v>41305</c:v>
                </c:pt>
                <c:pt idx="108">
                  <c:v>41312</c:v>
                </c:pt>
                <c:pt idx="109">
                  <c:v>41319</c:v>
                </c:pt>
                <c:pt idx="110">
                  <c:v>41326</c:v>
                </c:pt>
                <c:pt idx="111">
                  <c:v>41333</c:v>
                </c:pt>
                <c:pt idx="112">
                  <c:v>41340</c:v>
                </c:pt>
                <c:pt idx="113">
                  <c:v>41347</c:v>
                </c:pt>
                <c:pt idx="114">
                  <c:v>41354</c:v>
                </c:pt>
                <c:pt idx="115">
                  <c:v>41361</c:v>
                </c:pt>
                <c:pt idx="116">
                  <c:v>41368</c:v>
                </c:pt>
                <c:pt idx="117">
                  <c:v>41375</c:v>
                </c:pt>
                <c:pt idx="118">
                  <c:v>41382</c:v>
                </c:pt>
                <c:pt idx="119">
                  <c:v>41389</c:v>
                </c:pt>
                <c:pt idx="120">
                  <c:v>41396</c:v>
                </c:pt>
                <c:pt idx="121">
                  <c:v>41403</c:v>
                </c:pt>
                <c:pt idx="122">
                  <c:v>41410</c:v>
                </c:pt>
                <c:pt idx="123">
                  <c:v>41417</c:v>
                </c:pt>
                <c:pt idx="124">
                  <c:v>41424</c:v>
                </c:pt>
                <c:pt idx="125">
                  <c:v>41431</c:v>
                </c:pt>
                <c:pt idx="126">
                  <c:v>41438</c:v>
                </c:pt>
                <c:pt idx="127">
                  <c:v>41445</c:v>
                </c:pt>
                <c:pt idx="128">
                  <c:v>41452</c:v>
                </c:pt>
                <c:pt idx="129">
                  <c:v>41458</c:v>
                </c:pt>
                <c:pt idx="130">
                  <c:v>41466</c:v>
                </c:pt>
                <c:pt idx="131">
                  <c:v>41473</c:v>
                </c:pt>
                <c:pt idx="132">
                  <c:v>41480</c:v>
                </c:pt>
                <c:pt idx="133">
                  <c:v>41487</c:v>
                </c:pt>
                <c:pt idx="134">
                  <c:v>41494</c:v>
                </c:pt>
                <c:pt idx="135">
                  <c:v>41501</c:v>
                </c:pt>
                <c:pt idx="136">
                  <c:v>41508</c:v>
                </c:pt>
                <c:pt idx="137">
                  <c:v>41515</c:v>
                </c:pt>
                <c:pt idx="138">
                  <c:v>41522</c:v>
                </c:pt>
                <c:pt idx="139">
                  <c:v>41529</c:v>
                </c:pt>
                <c:pt idx="140">
                  <c:v>41536</c:v>
                </c:pt>
                <c:pt idx="141">
                  <c:v>41543</c:v>
                </c:pt>
                <c:pt idx="142">
                  <c:v>41550</c:v>
                </c:pt>
                <c:pt idx="143">
                  <c:v>41557</c:v>
                </c:pt>
                <c:pt idx="144">
                  <c:v>41564</c:v>
                </c:pt>
                <c:pt idx="145">
                  <c:v>41571</c:v>
                </c:pt>
                <c:pt idx="146">
                  <c:v>41578</c:v>
                </c:pt>
                <c:pt idx="147">
                  <c:v>41585</c:v>
                </c:pt>
                <c:pt idx="148">
                  <c:v>41592</c:v>
                </c:pt>
                <c:pt idx="149">
                  <c:v>41599</c:v>
                </c:pt>
                <c:pt idx="150">
                  <c:v>41605</c:v>
                </c:pt>
                <c:pt idx="151">
                  <c:v>41613</c:v>
                </c:pt>
                <c:pt idx="152">
                  <c:v>41620</c:v>
                </c:pt>
                <c:pt idx="153">
                  <c:v>41627</c:v>
                </c:pt>
                <c:pt idx="154">
                  <c:v>41634</c:v>
                </c:pt>
                <c:pt idx="155">
                  <c:v>41641</c:v>
                </c:pt>
                <c:pt idx="156">
                  <c:v>41648</c:v>
                </c:pt>
                <c:pt idx="157">
                  <c:v>41655</c:v>
                </c:pt>
                <c:pt idx="158">
                  <c:v>41662</c:v>
                </c:pt>
                <c:pt idx="159">
                  <c:v>41669</c:v>
                </c:pt>
                <c:pt idx="160">
                  <c:v>41676</c:v>
                </c:pt>
                <c:pt idx="161">
                  <c:v>41683</c:v>
                </c:pt>
                <c:pt idx="162">
                  <c:v>41690</c:v>
                </c:pt>
                <c:pt idx="163">
                  <c:v>41697</c:v>
                </c:pt>
                <c:pt idx="164">
                  <c:v>41704</c:v>
                </c:pt>
                <c:pt idx="165">
                  <c:v>41711</c:v>
                </c:pt>
                <c:pt idx="166">
                  <c:v>41718</c:v>
                </c:pt>
                <c:pt idx="167">
                  <c:v>41725</c:v>
                </c:pt>
                <c:pt idx="168">
                  <c:v>41732</c:v>
                </c:pt>
                <c:pt idx="169">
                  <c:v>41739</c:v>
                </c:pt>
                <c:pt idx="170">
                  <c:v>41746</c:v>
                </c:pt>
                <c:pt idx="171">
                  <c:v>41753</c:v>
                </c:pt>
                <c:pt idx="172">
                  <c:v>41760</c:v>
                </c:pt>
                <c:pt idx="173">
                  <c:v>41767</c:v>
                </c:pt>
                <c:pt idx="174">
                  <c:v>41774</c:v>
                </c:pt>
                <c:pt idx="175">
                  <c:v>41781</c:v>
                </c:pt>
                <c:pt idx="176">
                  <c:v>41788</c:v>
                </c:pt>
                <c:pt idx="177">
                  <c:v>41795</c:v>
                </c:pt>
                <c:pt idx="178">
                  <c:v>41802</c:v>
                </c:pt>
                <c:pt idx="179">
                  <c:v>41809</c:v>
                </c:pt>
                <c:pt idx="180">
                  <c:v>41816</c:v>
                </c:pt>
                <c:pt idx="181">
                  <c:v>41823</c:v>
                </c:pt>
                <c:pt idx="182">
                  <c:v>41830</c:v>
                </c:pt>
                <c:pt idx="183">
                  <c:v>41837</c:v>
                </c:pt>
                <c:pt idx="184">
                  <c:v>41844</c:v>
                </c:pt>
                <c:pt idx="185">
                  <c:v>41851</c:v>
                </c:pt>
                <c:pt idx="186">
                  <c:v>41858</c:v>
                </c:pt>
                <c:pt idx="187">
                  <c:v>41865</c:v>
                </c:pt>
                <c:pt idx="188">
                  <c:v>41872</c:v>
                </c:pt>
                <c:pt idx="189">
                  <c:v>41879</c:v>
                </c:pt>
                <c:pt idx="190">
                  <c:v>41886</c:v>
                </c:pt>
                <c:pt idx="191">
                  <c:v>41893</c:v>
                </c:pt>
                <c:pt idx="192">
                  <c:v>41900</c:v>
                </c:pt>
                <c:pt idx="193">
                  <c:v>41907</c:v>
                </c:pt>
                <c:pt idx="194">
                  <c:v>41914</c:v>
                </c:pt>
                <c:pt idx="195">
                  <c:v>41921</c:v>
                </c:pt>
                <c:pt idx="196">
                  <c:v>41928</c:v>
                </c:pt>
                <c:pt idx="197">
                  <c:v>41935</c:v>
                </c:pt>
                <c:pt idx="198">
                  <c:v>41942</c:v>
                </c:pt>
                <c:pt idx="199">
                  <c:v>41949</c:v>
                </c:pt>
                <c:pt idx="200">
                  <c:v>41956</c:v>
                </c:pt>
                <c:pt idx="201">
                  <c:v>41963</c:v>
                </c:pt>
                <c:pt idx="202">
                  <c:v>41969</c:v>
                </c:pt>
                <c:pt idx="203">
                  <c:v>41977</c:v>
                </c:pt>
                <c:pt idx="204">
                  <c:v>41984</c:v>
                </c:pt>
                <c:pt idx="205">
                  <c:v>41991</c:v>
                </c:pt>
                <c:pt idx="206">
                  <c:v>41997</c:v>
                </c:pt>
                <c:pt idx="207">
                  <c:v>42004</c:v>
                </c:pt>
                <c:pt idx="208">
                  <c:v>42012</c:v>
                </c:pt>
                <c:pt idx="209">
                  <c:v>42019</c:v>
                </c:pt>
                <c:pt idx="210">
                  <c:v>42026</c:v>
                </c:pt>
                <c:pt idx="211">
                  <c:v>42033</c:v>
                </c:pt>
                <c:pt idx="212">
                  <c:v>42040</c:v>
                </c:pt>
                <c:pt idx="213">
                  <c:v>42047</c:v>
                </c:pt>
                <c:pt idx="214">
                  <c:v>42054</c:v>
                </c:pt>
                <c:pt idx="215">
                  <c:v>42061</c:v>
                </c:pt>
                <c:pt idx="216">
                  <c:v>42068</c:v>
                </c:pt>
                <c:pt idx="217">
                  <c:v>42075</c:v>
                </c:pt>
                <c:pt idx="218">
                  <c:v>42082</c:v>
                </c:pt>
                <c:pt idx="219">
                  <c:v>42089</c:v>
                </c:pt>
                <c:pt idx="220">
                  <c:v>42096</c:v>
                </c:pt>
                <c:pt idx="221">
                  <c:v>42103</c:v>
                </c:pt>
                <c:pt idx="222">
                  <c:v>42110</c:v>
                </c:pt>
                <c:pt idx="223">
                  <c:v>42117</c:v>
                </c:pt>
                <c:pt idx="224">
                  <c:v>42124</c:v>
                </c:pt>
              </c:numCache>
            </c:numRef>
          </c:cat>
          <c:val>
            <c:numRef>
              <c:f>'Pre 2005'!$G$2:$G$227</c:f>
              <c:numCache>
                <c:formatCode>0%</c:formatCode>
                <c:ptCount val="226"/>
                <c:pt idx="1">
                  <c:v>9.3495241385430083E-3</c:v>
                </c:pt>
                <c:pt idx="2">
                  <c:v>9.7764953835769997E-3</c:v>
                </c:pt>
                <c:pt idx="3">
                  <c:v>1.0318153007277009E-2</c:v>
                </c:pt>
                <c:pt idx="4">
                  <c:v>9.3339138419399892E-3</c:v>
                </c:pt>
                <c:pt idx="5">
                  <c:v>8.475346466158995E-3</c:v>
                </c:pt>
                <c:pt idx="6">
                  <c:v>9.2530243339870033E-3</c:v>
                </c:pt>
                <c:pt idx="7">
                  <c:v>7.5123916485980158E-3</c:v>
                </c:pt>
                <c:pt idx="8">
                  <c:v>8.4254797116330438E-3</c:v>
                </c:pt>
                <c:pt idx="9">
                  <c:v>7.2636580526129757E-3</c:v>
                </c:pt>
                <c:pt idx="10">
                  <c:v>7.2671544618709838E-3</c:v>
                </c:pt>
                <c:pt idx="11">
                  <c:v>8.5764331301529939E-3</c:v>
                </c:pt>
                <c:pt idx="12">
                  <c:v>8.3215869708520018E-3</c:v>
                </c:pt>
                <c:pt idx="13">
                  <c:v>7.5233280501109667E-3</c:v>
                </c:pt>
                <c:pt idx="14">
                  <c:v>7.3718362209940214E-3</c:v>
                </c:pt>
                <c:pt idx="15">
                  <c:v>7.3236168429789972E-3</c:v>
                </c:pt>
                <c:pt idx="16">
                  <c:v>8.9599073183029843E-3</c:v>
                </c:pt>
                <c:pt idx="17">
                  <c:v>9.1440288694429883E-3</c:v>
                </c:pt>
                <c:pt idx="18">
                  <c:v>1.0089053710369E-2</c:v>
                </c:pt>
                <c:pt idx="19">
                  <c:v>1.1604541103639954E-2</c:v>
                </c:pt>
                <c:pt idx="20">
                  <c:v>1.1736471472792998E-2</c:v>
                </c:pt>
                <c:pt idx="21">
                  <c:v>1.2194486948020999E-2</c:v>
                </c:pt>
                <c:pt idx="22">
                  <c:v>1.4666242077077007E-2</c:v>
                </c:pt>
                <c:pt idx="23">
                  <c:v>1.4801730708252026E-2</c:v>
                </c:pt>
                <c:pt idx="24">
                  <c:v>1.4719262800910016E-2</c:v>
                </c:pt>
                <c:pt idx="25">
                  <c:v>1.4666242077077007E-2</c:v>
                </c:pt>
                <c:pt idx="26">
                  <c:v>1.4604701783771989E-2</c:v>
                </c:pt>
                <c:pt idx="27">
                  <c:v>1.3429700826978974E-2</c:v>
                </c:pt>
                <c:pt idx="28">
                  <c:v>1.5049871557931971E-2</c:v>
                </c:pt>
                <c:pt idx="29">
                  <c:v>1.5205300219296003E-2</c:v>
                </c:pt>
                <c:pt idx="30">
                  <c:v>1.3799936595487006E-2</c:v>
                </c:pt>
                <c:pt idx="31">
                  <c:v>1.7408259272822968E-2</c:v>
                </c:pt>
                <c:pt idx="32">
                  <c:v>1.8418134978159029E-2</c:v>
                </c:pt>
                <c:pt idx="33">
                  <c:v>1.9647746254231047E-2</c:v>
                </c:pt>
                <c:pt idx="34">
                  <c:v>1.7430095710167959E-2</c:v>
                </c:pt>
                <c:pt idx="35">
                  <c:v>1.8215036501237014E-2</c:v>
                </c:pt>
                <c:pt idx="36">
                  <c:v>2.0206441572086065E-2</c:v>
                </c:pt>
                <c:pt idx="37">
                  <c:v>1.9247265884268949E-2</c:v>
                </c:pt>
                <c:pt idx="38">
                  <c:v>1.9247265884268949E-2</c:v>
                </c:pt>
                <c:pt idx="39">
                  <c:v>2.0028947162988975E-2</c:v>
                </c:pt>
                <c:pt idx="40">
                  <c:v>1.8573776239296014E-2</c:v>
                </c:pt>
                <c:pt idx="41">
                  <c:v>1.9709494658493032E-2</c:v>
                </c:pt>
                <c:pt idx="42">
                  <c:v>1.9647685019433037E-2</c:v>
                </c:pt>
                <c:pt idx="43">
                  <c:v>1.9293741162645039E-2</c:v>
                </c:pt>
                <c:pt idx="44">
                  <c:v>1.8904364698372089E-2</c:v>
                </c:pt>
                <c:pt idx="45">
                  <c:v>1.8929213469001005E-2</c:v>
                </c:pt>
                <c:pt idx="46">
                  <c:v>1.8904364698372089E-2</c:v>
                </c:pt>
                <c:pt idx="47">
                  <c:v>1.7936046178664955E-2</c:v>
                </c:pt>
                <c:pt idx="48">
                  <c:v>1.8382652160383928E-2</c:v>
                </c:pt>
                <c:pt idx="49">
                  <c:v>1.8408175809995986E-2</c:v>
                </c:pt>
                <c:pt idx="50">
                  <c:v>1.7583763647146977E-2</c:v>
                </c:pt>
                <c:pt idx="51">
                  <c:v>1.8559332718324995E-2</c:v>
                </c:pt>
                <c:pt idx="52">
                  <c:v>1.7981692797587101E-2</c:v>
                </c:pt>
                <c:pt idx="53">
                  <c:v>1.8600258976843032E-2</c:v>
                </c:pt>
                <c:pt idx="54">
                  <c:v>1.8665984509633082E-2</c:v>
                </c:pt>
                <c:pt idx="55">
                  <c:v>1.8547178324596958E-2</c:v>
                </c:pt>
                <c:pt idx="56">
                  <c:v>1.7308349356765951E-2</c:v>
                </c:pt>
                <c:pt idx="57">
                  <c:v>1.8243782482877058E-2</c:v>
                </c:pt>
                <c:pt idx="58">
                  <c:v>1.8243782482877058E-2</c:v>
                </c:pt>
                <c:pt idx="59">
                  <c:v>1.8243782482877058E-2</c:v>
                </c:pt>
                <c:pt idx="60">
                  <c:v>1.693489903586598E-2</c:v>
                </c:pt>
                <c:pt idx="61">
                  <c:v>1.8326113974864944E-2</c:v>
                </c:pt>
                <c:pt idx="62">
                  <c:v>1.7934817450554918E-2</c:v>
                </c:pt>
                <c:pt idx="63">
                  <c:v>1.7797705219311011E-2</c:v>
                </c:pt>
                <c:pt idx="64">
                  <c:v>1.5990790065342986E-2</c:v>
                </c:pt>
                <c:pt idx="65">
                  <c:v>1.746434616697301E-2</c:v>
                </c:pt>
                <c:pt idx="66">
                  <c:v>1.9564630295097918E-2</c:v>
                </c:pt>
                <c:pt idx="67">
                  <c:v>1.991736462615501E-2</c:v>
                </c:pt>
                <c:pt idx="68">
                  <c:v>2.1602036666818036E-2</c:v>
                </c:pt>
                <c:pt idx="69">
                  <c:v>1.991736462615501E-2</c:v>
                </c:pt>
                <c:pt idx="70">
                  <c:v>2.1714787323291018E-2</c:v>
                </c:pt>
                <c:pt idx="71">
                  <c:v>2.0728347991117002E-2</c:v>
                </c:pt>
                <c:pt idx="72">
                  <c:v>2.2740230821109986E-2</c:v>
                </c:pt>
                <c:pt idx="73">
                  <c:v>2.3102469259690062E-2</c:v>
                </c:pt>
                <c:pt idx="74">
                  <c:v>2.2230821022807934E-2</c:v>
                </c:pt>
                <c:pt idx="75">
                  <c:v>2.2843554143903044E-2</c:v>
                </c:pt>
                <c:pt idx="76">
                  <c:v>2.130927465103194E-2</c:v>
                </c:pt>
                <c:pt idx="77">
                  <c:v>2.2115915769991945E-2</c:v>
                </c:pt>
                <c:pt idx="78">
                  <c:v>2.2115915769991945E-2</c:v>
                </c:pt>
                <c:pt idx="79">
                  <c:v>2.2677880181799948E-2</c:v>
                </c:pt>
                <c:pt idx="80">
                  <c:v>2.3080661909188005E-2</c:v>
                </c:pt>
                <c:pt idx="81">
                  <c:v>2.1594538110413009E-2</c:v>
                </c:pt>
                <c:pt idx="82">
                  <c:v>2.1243881609642967E-2</c:v>
                </c:pt>
                <c:pt idx="83">
                  <c:v>2.3646964380398927E-2</c:v>
                </c:pt>
                <c:pt idx="84">
                  <c:v>2.3511077421998983E-2</c:v>
                </c:pt>
                <c:pt idx="85">
                  <c:v>2.1865379268423912E-2</c:v>
                </c:pt>
                <c:pt idx="86">
                  <c:v>2.3011168931345027E-2</c:v>
                </c:pt>
                <c:pt idx="87">
                  <c:v>2.3511077421998983E-2</c:v>
                </c:pt>
                <c:pt idx="88">
                  <c:v>2.3879648060012082E-2</c:v>
                </c:pt>
                <c:pt idx="89">
                  <c:v>2.2185781271320981E-2</c:v>
                </c:pt>
                <c:pt idx="90">
                  <c:v>2.1499852763206984E-2</c:v>
                </c:pt>
                <c:pt idx="91">
                  <c:v>2.2623213265619002E-2</c:v>
                </c:pt>
                <c:pt idx="92">
                  <c:v>2.2028660134635003E-2</c:v>
                </c:pt>
                <c:pt idx="93">
                  <c:v>2.323860005587397E-2</c:v>
                </c:pt>
                <c:pt idx="94">
                  <c:v>2.3045104413206952E-2</c:v>
                </c:pt>
                <c:pt idx="95">
                  <c:v>2.3281195485508999E-2</c:v>
                </c:pt>
                <c:pt idx="96">
                  <c:v>2.3045894514512999E-2</c:v>
                </c:pt>
                <c:pt idx="97">
                  <c:v>2.3116433002183912E-2</c:v>
                </c:pt>
                <c:pt idx="98">
                  <c:v>2.1940207735437034E-2</c:v>
                </c:pt>
                <c:pt idx="99">
                  <c:v>2.5474221239196959E-2</c:v>
                </c:pt>
                <c:pt idx="100">
                  <c:v>2.192245353908695E-2</c:v>
                </c:pt>
                <c:pt idx="101">
                  <c:v>2.2006042072019949E-2</c:v>
                </c:pt>
                <c:pt idx="102">
                  <c:v>2.5400728001473971E-2</c:v>
                </c:pt>
                <c:pt idx="103">
                  <c:v>2.2933742337526986E-2</c:v>
                </c:pt>
                <c:pt idx="104">
                  <c:v>2.2159728908155985E-2</c:v>
                </c:pt>
                <c:pt idx="105">
                  <c:v>2.2334868622206017E-2</c:v>
                </c:pt>
                <c:pt idx="106">
                  <c:v>2.3285771323386051E-2</c:v>
                </c:pt>
                <c:pt idx="107">
                  <c:v>2.3012611082431023E-2</c:v>
                </c:pt>
                <c:pt idx="108">
                  <c:v>2.395908768709798E-2</c:v>
                </c:pt>
                <c:pt idx="109">
                  <c:v>2.182584852505598E-2</c:v>
                </c:pt>
                <c:pt idx="110">
                  <c:v>2.3138061689571998E-2</c:v>
                </c:pt>
                <c:pt idx="111">
                  <c:v>2.3138061689571998E-2</c:v>
                </c:pt>
                <c:pt idx="112">
                  <c:v>2.1574399682273038E-2</c:v>
                </c:pt>
                <c:pt idx="113">
                  <c:v>2.2049529166050075E-2</c:v>
                </c:pt>
                <c:pt idx="114">
                  <c:v>2.1712951748458997E-2</c:v>
                </c:pt>
                <c:pt idx="115">
                  <c:v>2.1006711837945002E-2</c:v>
                </c:pt>
                <c:pt idx="116">
                  <c:v>2.2718223243017976E-2</c:v>
                </c:pt>
                <c:pt idx="117">
                  <c:v>2.1336673395858985E-2</c:v>
                </c:pt>
                <c:pt idx="118">
                  <c:v>2.3934707665684951E-2</c:v>
                </c:pt>
                <c:pt idx="119">
                  <c:v>2.3885746565118993E-2</c:v>
                </c:pt>
                <c:pt idx="120">
                  <c:v>2.4636886181579998E-2</c:v>
                </c:pt>
                <c:pt idx="121">
                  <c:v>2.5954770465140942E-2</c:v>
                </c:pt>
                <c:pt idx="122">
                  <c:v>2.7387624846188063E-2</c:v>
                </c:pt>
                <c:pt idx="123">
                  <c:v>2.7396846707897993E-2</c:v>
                </c:pt>
                <c:pt idx="124">
                  <c:v>2.4356249349563042E-2</c:v>
                </c:pt>
                <c:pt idx="125">
                  <c:v>2.4748707436991979E-2</c:v>
                </c:pt>
                <c:pt idx="126">
                  <c:v>2.3721983966421001E-2</c:v>
                </c:pt>
                <c:pt idx="127">
                  <c:v>2.4015035680918007E-2</c:v>
                </c:pt>
                <c:pt idx="128">
                  <c:v>2.4586657410025969E-2</c:v>
                </c:pt>
                <c:pt idx="129">
                  <c:v>2.5020140115835976E-2</c:v>
                </c:pt>
                <c:pt idx="130">
                  <c:v>2.448780499499198E-2</c:v>
                </c:pt>
                <c:pt idx="131">
                  <c:v>2.5234444143474033E-2</c:v>
                </c:pt>
                <c:pt idx="132">
                  <c:v>2.3436581748615015E-2</c:v>
                </c:pt>
                <c:pt idx="133">
                  <c:v>2.4698216777366E-2</c:v>
                </c:pt>
                <c:pt idx="134">
                  <c:v>2.5923790087743037E-2</c:v>
                </c:pt>
                <c:pt idx="135">
                  <c:v>2.5579483137793013E-2</c:v>
                </c:pt>
                <c:pt idx="136">
                  <c:v>2.5253844188383001E-2</c:v>
                </c:pt>
                <c:pt idx="137">
                  <c:v>2.5253844188383001E-2</c:v>
                </c:pt>
                <c:pt idx="138">
                  <c:v>2.2354680914343006E-2</c:v>
                </c:pt>
                <c:pt idx="139">
                  <c:v>2.3237239610985033E-2</c:v>
                </c:pt>
                <c:pt idx="140">
                  <c:v>2.2833508159864985E-2</c:v>
                </c:pt>
                <c:pt idx="141">
                  <c:v>2.2826442408018011E-2</c:v>
                </c:pt>
                <c:pt idx="142">
                  <c:v>2.3657600623909009E-2</c:v>
                </c:pt>
                <c:pt idx="143">
                  <c:v>2.4411442429122021E-2</c:v>
                </c:pt>
                <c:pt idx="144">
                  <c:v>2.4521120670748964E-2</c:v>
                </c:pt>
                <c:pt idx="145">
                  <c:v>2.4364301177299985E-2</c:v>
                </c:pt>
                <c:pt idx="146">
                  <c:v>2.4726941736278041E-2</c:v>
                </c:pt>
                <c:pt idx="147">
                  <c:v>2.442832455333499E-2</c:v>
                </c:pt>
                <c:pt idx="148">
                  <c:v>2.5445593911785969E-2</c:v>
                </c:pt>
                <c:pt idx="149">
                  <c:v>2.4544578239795001E-2</c:v>
                </c:pt>
                <c:pt idx="150">
                  <c:v>2.4962760610098E-2</c:v>
                </c:pt>
                <c:pt idx="151">
                  <c:v>2.4443345160808039E-2</c:v>
                </c:pt>
                <c:pt idx="152">
                  <c:v>2.4714769010983018E-2</c:v>
                </c:pt>
                <c:pt idx="153">
                  <c:v>2.4132577762210977E-2</c:v>
                </c:pt>
                <c:pt idx="154">
                  <c:v>2.3910182191404006E-2</c:v>
                </c:pt>
                <c:pt idx="155">
                  <c:v>2.0677936525821006E-2</c:v>
                </c:pt>
                <c:pt idx="156">
                  <c:v>2.0405939315742999E-2</c:v>
                </c:pt>
                <c:pt idx="157">
                  <c:v>1.9012181649803006E-2</c:v>
                </c:pt>
                <c:pt idx="158">
                  <c:v>2.1725041379872995E-2</c:v>
                </c:pt>
                <c:pt idx="159">
                  <c:v>2.385631641094299E-2</c:v>
                </c:pt>
                <c:pt idx="160">
                  <c:v>2.4133376864509004E-2</c:v>
                </c:pt>
                <c:pt idx="161">
                  <c:v>2.3490582878840982E-2</c:v>
                </c:pt>
                <c:pt idx="162">
                  <c:v>2.3734404029613021E-2</c:v>
                </c:pt>
                <c:pt idx="163">
                  <c:v>2.4015377742685973E-2</c:v>
                </c:pt>
                <c:pt idx="164">
                  <c:v>2.4006639656241002E-2</c:v>
                </c:pt>
                <c:pt idx="165">
                  <c:v>2.2864760551051022E-2</c:v>
                </c:pt>
                <c:pt idx="166">
                  <c:v>2.4163207379861051E-2</c:v>
                </c:pt>
                <c:pt idx="167">
                  <c:v>2.4001956463504004E-2</c:v>
                </c:pt>
                <c:pt idx="168">
                  <c:v>2.4129946993109996E-2</c:v>
                </c:pt>
                <c:pt idx="169">
                  <c:v>2.2717125856637987E-2</c:v>
                </c:pt>
                <c:pt idx="170">
                  <c:v>2.4922595095405009E-2</c:v>
                </c:pt>
                <c:pt idx="171">
                  <c:v>2.5262059710907003E-2</c:v>
                </c:pt>
                <c:pt idx="172">
                  <c:v>2.5789543754646038E-2</c:v>
                </c:pt>
                <c:pt idx="173">
                  <c:v>2.5282717803924992E-2</c:v>
                </c:pt>
                <c:pt idx="174">
                  <c:v>2.7081223449143044E-2</c:v>
                </c:pt>
                <c:pt idx="175">
                  <c:v>2.9228013361092986E-2</c:v>
                </c:pt>
                <c:pt idx="176">
                  <c:v>2.9583398933585969E-2</c:v>
                </c:pt>
                <c:pt idx="177">
                  <c:v>3.0650699740589982E-2</c:v>
                </c:pt>
                <c:pt idx="178">
                  <c:v>3.189345616816297E-2</c:v>
                </c:pt>
                <c:pt idx="179">
                  <c:v>3.5124617247681011E-2</c:v>
                </c:pt>
                <c:pt idx="180">
                  <c:v>3.1810678137463022E-2</c:v>
                </c:pt>
                <c:pt idx="181">
                  <c:v>3.2199345902175991E-2</c:v>
                </c:pt>
                <c:pt idx="182">
                  <c:v>3.5124617247681011E-2</c:v>
                </c:pt>
                <c:pt idx="183">
                  <c:v>4.0894418191104953E-2</c:v>
                </c:pt>
                <c:pt idx="184">
                  <c:v>3.3218408855878012E-2</c:v>
                </c:pt>
                <c:pt idx="185">
                  <c:v>3.560048076730099E-2</c:v>
                </c:pt>
                <c:pt idx="186">
                  <c:v>3.560048076730099E-2</c:v>
                </c:pt>
                <c:pt idx="187">
                  <c:v>3.6682465672604025E-2</c:v>
                </c:pt>
                <c:pt idx="188">
                  <c:v>3.4538022001328994E-2</c:v>
                </c:pt>
                <c:pt idx="189">
                  <c:v>3.7848045871507974E-2</c:v>
                </c:pt>
                <c:pt idx="190">
                  <c:v>4.311865390370101E-2</c:v>
                </c:pt>
                <c:pt idx="191">
                  <c:v>4.311865390370101E-2</c:v>
                </c:pt>
                <c:pt idx="192">
                  <c:v>4.4396531936435002E-2</c:v>
                </c:pt>
                <c:pt idx="193">
                  <c:v>4.3202912888349987E-2</c:v>
                </c:pt>
                <c:pt idx="194">
                  <c:v>3.3927986103489016E-2</c:v>
                </c:pt>
                <c:pt idx="195">
                  <c:v>3.4664119688267991E-2</c:v>
                </c:pt>
                <c:pt idx="196">
                  <c:v>3.6299018885005974E-2</c:v>
                </c:pt>
                <c:pt idx="197">
                  <c:v>4.320778348878801E-2</c:v>
                </c:pt>
                <c:pt idx="198">
                  <c:v>5.5767371436922009E-2</c:v>
                </c:pt>
                <c:pt idx="199">
                  <c:v>5.7854243434436015E-2</c:v>
                </c:pt>
                <c:pt idx="200">
                  <c:v>5.5119685426901988E-2</c:v>
                </c:pt>
                <c:pt idx="201">
                  <c:v>4.9176612529252983E-2</c:v>
                </c:pt>
                <c:pt idx="202">
                  <c:v>4.922814110974999E-2</c:v>
                </c:pt>
                <c:pt idx="203">
                  <c:v>5.4910159185180996E-2</c:v>
                </c:pt>
                <c:pt idx="204">
                  <c:v>5.5879986587148045E-2</c:v>
                </c:pt>
                <c:pt idx="205">
                  <c:v>6.0133306816469001E-2</c:v>
                </c:pt>
                <c:pt idx="206">
                  <c:v>5.7371946942211982E-2</c:v>
                </c:pt>
                <c:pt idx="207">
                  <c:v>6.5990729484909971E-2</c:v>
                </c:pt>
                <c:pt idx="208">
                  <c:v>6.5567374115548971E-2</c:v>
                </c:pt>
                <c:pt idx="209">
                  <c:v>6.0112688684925975E-2</c:v>
                </c:pt>
                <c:pt idx="210">
                  <c:v>6.9436754868894002E-2</c:v>
                </c:pt>
                <c:pt idx="211">
                  <c:v>7.7699256329745059E-2</c:v>
                </c:pt>
                <c:pt idx="212">
                  <c:v>7.6952677594411045E-2</c:v>
                </c:pt>
                <c:pt idx="213">
                  <c:v>7.7699256329745059E-2</c:v>
                </c:pt>
                <c:pt idx="214">
                  <c:v>7.8919066492824985E-2</c:v>
                </c:pt>
                <c:pt idx="215">
                  <c:v>7.8500810862844106E-2</c:v>
                </c:pt>
                <c:pt idx="216">
                  <c:v>6.8989937785272015E-2</c:v>
                </c:pt>
                <c:pt idx="217">
                  <c:v>6.7065716502306971E-2</c:v>
                </c:pt>
                <c:pt idx="218">
                  <c:v>6.9638092828048004E-2</c:v>
                </c:pt>
                <c:pt idx="219">
                  <c:v>6.058929716573902E-2</c:v>
                </c:pt>
                <c:pt idx="220">
                  <c:v>6.8121076713101969E-2</c:v>
                </c:pt>
                <c:pt idx="221">
                  <c:v>7.8989527008370031E-2</c:v>
                </c:pt>
                <c:pt idx="222">
                  <c:v>7.8781843340151037E-2</c:v>
                </c:pt>
                <c:pt idx="223">
                  <c:v>7.9865453436108957E-2</c:v>
                </c:pt>
                <c:pt idx="224">
                  <c:v>7.8117664757740013E-2</c:v>
                </c:pt>
                <c:pt idx="225">
                  <c:v>7.9362525783738036E-2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6457728"/>
        <c:axId val="336459264"/>
      </c:barChart>
      <c:dateAx>
        <c:axId val="336457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36459264"/>
        <c:crosses val="autoZero"/>
        <c:auto val="1"/>
        <c:lblOffset val="100"/>
        <c:baseTimeUnit val="days"/>
      </c:dateAx>
      <c:valAx>
        <c:axId val="336459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64577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chart" Target="../charts/chart5.xml"/><Relationship Id="rId7" Type="http://schemas.openxmlformats.org/officeDocument/2006/relationships/chart" Target="../charts/chart9.xml"/><Relationship Id="rId12" Type="http://schemas.openxmlformats.org/officeDocument/2006/relationships/chart" Target="../charts/chart14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11" Type="http://schemas.openxmlformats.org/officeDocument/2006/relationships/chart" Target="../charts/chart13.xml"/><Relationship Id="rId5" Type="http://schemas.openxmlformats.org/officeDocument/2006/relationships/chart" Target="../charts/chart7.xml"/><Relationship Id="rId10" Type="http://schemas.openxmlformats.org/officeDocument/2006/relationships/chart" Target="../charts/chart12.xml"/><Relationship Id="rId4" Type="http://schemas.openxmlformats.org/officeDocument/2006/relationships/chart" Target="../charts/chart6.xml"/><Relationship Id="rId9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57150</xdr:colOff>
      <xdr:row>5</xdr:row>
      <xdr:rowOff>76201</xdr:rowOff>
    </xdr:from>
    <xdr:to>
      <xdr:col>20</xdr:col>
      <xdr:colOff>2695575</xdr:colOff>
      <xdr:row>7</xdr:row>
      <xdr:rowOff>80011</xdr:rowOff>
    </xdr:to>
    <xdr:sp macro="[0]!RunMarketShareDaily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21</xdr:col>
      <xdr:colOff>276226</xdr:colOff>
      <xdr:row>3</xdr:row>
      <xdr:rowOff>180976</xdr:rowOff>
    </xdr:from>
    <xdr:to>
      <xdr:col>23</xdr:col>
      <xdr:colOff>47626</xdr:colOff>
      <xdr:row>5</xdr:row>
      <xdr:rowOff>165736</xdr:rowOff>
    </xdr:to>
    <xdr:sp macro="[1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1</xdr:col>
      <xdr:colOff>358775</xdr:colOff>
      <xdr:row>11</xdr:row>
      <xdr:rowOff>85725</xdr:rowOff>
    </xdr:from>
    <xdr:to>
      <xdr:col>15</xdr:col>
      <xdr:colOff>895350</xdr:colOff>
      <xdr:row>37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37</xdr:row>
      <xdr:rowOff>114300</xdr:rowOff>
    </xdr:from>
    <xdr:to>
      <xdr:col>16</xdr:col>
      <xdr:colOff>196849</xdr:colOff>
      <xdr:row>57</xdr:row>
      <xdr:rowOff>84137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609600</xdr:colOff>
      <xdr:row>34</xdr:row>
      <xdr:rowOff>9524</xdr:rowOff>
    </xdr:from>
    <xdr:to>
      <xdr:col>16</xdr:col>
      <xdr:colOff>9525</xdr:colOff>
      <xdr:row>35</xdr:row>
      <xdr:rowOff>66675</xdr:rowOff>
    </xdr:to>
    <xdr:sp macro="" textlink="">
      <xdr:nvSpPr>
        <xdr:cNvPr id="4" name="TextBox 3"/>
        <xdr:cNvSpPr txBox="1"/>
      </xdr:nvSpPr>
      <xdr:spPr>
        <a:xfrm>
          <a:off x="12630150" y="5514974"/>
          <a:ext cx="2019300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Sources:Fannie</a:t>
          </a:r>
          <a:r>
            <a:rPr lang="en-US" sz="900" baseline="0"/>
            <a:t> Mae; IQ Database</a:t>
          </a:r>
          <a:endParaRPr lang="en-US" sz="900"/>
        </a:p>
      </xdr:txBody>
    </xdr:sp>
    <xdr:clientData/>
  </xdr:twoCellAnchor>
  <xdr:twoCellAnchor>
    <xdr:from>
      <xdr:col>3</xdr:col>
      <xdr:colOff>800100</xdr:colOff>
      <xdr:row>58</xdr:row>
      <xdr:rowOff>9524</xdr:rowOff>
    </xdr:from>
    <xdr:to>
      <xdr:col>5</xdr:col>
      <xdr:colOff>1038225</xdr:colOff>
      <xdr:row>59</xdr:row>
      <xdr:rowOff>47625</xdr:rowOff>
    </xdr:to>
    <xdr:sp macro="" textlink="">
      <xdr:nvSpPr>
        <xdr:cNvPr id="7" name="TextBox 6"/>
        <xdr:cNvSpPr txBox="1"/>
      </xdr:nvSpPr>
      <xdr:spPr>
        <a:xfrm>
          <a:off x="3067050" y="9429749"/>
          <a:ext cx="2333625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New data</a:t>
          </a:r>
          <a:r>
            <a:rPr lang="en-US" sz="900" baseline="0"/>
            <a:t> will be updated on the 4th business day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567358</xdr:colOff>
      <xdr:row>25</xdr:row>
      <xdr:rowOff>173312</xdr:rowOff>
    </xdr:from>
    <xdr:to>
      <xdr:col>30</xdr:col>
      <xdr:colOff>0</xdr:colOff>
      <xdr:row>43</xdr:row>
      <xdr:rowOff>35200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604630</xdr:colOff>
      <xdr:row>45</xdr:row>
      <xdr:rowOff>140804</xdr:rowOff>
    </xdr:from>
    <xdr:to>
      <xdr:col>30</xdr:col>
      <xdr:colOff>0</xdr:colOff>
      <xdr:row>60</xdr:row>
      <xdr:rowOff>26504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8284</xdr:colOff>
      <xdr:row>6</xdr:row>
      <xdr:rowOff>16565</xdr:rowOff>
    </xdr:from>
    <xdr:to>
      <xdr:col>29</xdr:col>
      <xdr:colOff>554936</xdr:colOff>
      <xdr:row>24</xdr:row>
      <xdr:rowOff>130865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612912</xdr:colOff>
      <xdr:row>63</xdr:row>
      <xdr:rowOff>0</xdr:rowOff>
    </xdr:from>
    <xdr:to>
      <xdr:col>30</xdr:col>
      <xdr:colOff>0</xdr:colOff>
      <xdr:row>77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79</xdr:row>
      <xdr:rowOff>0</xdr:rowOff>
    </xdr:from>
    <xdr:to>
      <xdr:col>30</xdr:col>
      <xdr:colOff>0</xdr:colOff>
      <xdr:row>93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8283</xdr:colOff>
      <xdr:row>93</xdr:row>
      <xdr:rowOff>173935</xdr:rowOff>
    </xdr:from>
    <xdr:to>
      <xdr:col>30</xdr:col>
      <xdr:colOff>0</xdr:colOff>
      <xdr:row>111</xdr:row>
      <xdr:rowOff>35823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</xdr:colOff>
      <xdr:row>113</xdr:row>
      <xdr:rowOff>123825</xdr:rowOff>
    </xdr:from>
    <xdr:to>
      <xdr:col>30</xdr:col>
      <xdr:colOff>0</xdr:colOff>
      <xdr:row>128</xdr:row>
      <xdr:rowOff>9525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130</xdr:row>
      <xdr:rowOff>0</xdr:rowOff>
    </xdr:from>
    <xdr:to>
      <xdr:col>30</xdr:col>
      <xdr:colOff>0</xdr:colOff>
      <xdr:row>144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146</xdr:row>
      <xdr:rowOff>0</xdr:rowOff>
    </xdr:from>
    <xdr:to>
      <xdr:col>30</xdr:col>
      <xdr:colOff>0</xdr:colOff>
      <xdr:row>160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162</xdr:row>
      <xdr:rowOff>0</xdr:rowOff>
    </xdr:from>
    <xdr:to>
      <xdr:col>30</xdr:col>
      <xdr:colOff>0</xdr:colOff>
      <xdr:row>176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590550</xdr:colOff>
      <xdr:row>179</xdr:row>
      <xdr:rowOff>23812</xdr:rowOff>
    </xdr:from>
    <xdr:to>
      <xdr:col>30</xdr:col>
      <xdr:colOff>0</xdr:colOff>
      <xdr:row>193</xdr:row>
      <xdr:rowOff>100012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16</xdr:col>
      <xdr:colOff>219074</xdr:colOff>
      <xdr:row>197</xdr:row>
      <xdr:rowOff>80962</xdr:rowOff>
    </xdr:from>
    <xdr:to>
      <xdr:col>30</xdr:col>
      <xdr:colOff>0</xdr:colOff>
      <xdr:row>211</xdr:row>
      <xdr:rowOff>157162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0.93673</cdr:x>
      <cdr:y>0.28763</cdr:y>
    </cdr:from>
    <cdr:to>
      <cdr:x>0.98148</cdr:x>
      <cdr:y>0.70968</cdr:y>
    </cdr:to>
    <cdr:sp macro="" textlink="">
      <cdr:nvSpPr>
        <cdr:cNvPr id="2" name="TextBox 1"/>
        <cdr:cNvSpPr txBox="1"/>
      </cdr:nvSpPr>
      <cdr:spPr>
        <a:xfrm xmlns:a="http://schemas.openxmlformats.org/drawingml/2006/main" rot="5400000">
          <a:off x="5172074" y="1628775"/>
          <a:ext cx="1495425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 b="1"/>
            <a:t>Refinancible</a:t>
          </a:r>
          <a:r>
            <a:rPr lang="en-US" sz="1100" b="1" baseline="0"/>
            <a:t> Universe</a:t>
          </a:r>
          <a:endParaRPr lang="en-US" sz="1100" b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37</xdr:row>
      <xdr:rowOff>0</xdr:rowOff>
    </xdr:from>
    <xdr:to>
      <xdr:col>22</xdr:col>
      <xdr:colOff>419100</xdr:colOff>
      <xdr:row>51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333375</xdr:colOff>
      <xdr:row>52</xdr:row>
      <xdr:rowOff>180975</xdr:rowOff>
    </xdr:from>
    <xdr:to>
      <xdr:col>22</xdr:col>
      <xdr:colOff>383045</xdr:colOff>
      <xdr:row>67</xdr:row>
      <xdr:rowOff>79106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81375" y="10086975"/>
          <a:ext cx="10412870" cy="27556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266699</xdr:colOff>
      <xdr:row>3</xdr:row>
      <xdr:rowOff>47625</xdr:rowOff>
    </xdr:from>
    <xdr:to>
      <xdr:col>35</xdr:col>
      <xdr:colOff>552449</xdr:colOff>
      <xdr:row>17</xdr:row>
      <xdr:rowOff>123825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285749</xdr:colOff>
      <xdr:row>19</xdr:row>
      <xdr:rowOff>142875</xdr:rowOff>
    </xdr:from>
    <xdr:to>
      <xdr:col>35</xdr:col>
      <xdr:colOff>590549</xdr:colOff>
      <xdr:row>34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16</xdr:col>
      <xdr:colOff>207264</xdr:colOff>
      <xdr:row>19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21</xdr:row>
      <xdr:rowOff>52388</xdr:rowOff>
    </xdr:from>
    <xdr:to>
      <xdr:col>16</xdr:col>
      <xdr:colOff>216789</xdr:colOff>
      <xdr:row>35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16</xdr:col>
      <xdr:colOff>207264</xdr:colOff>
      <xdr:row>52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54</xdr:row>
      <xdr:rowOff>0</xdr:rowOff>
    </xdr:from>
    <xdr:to>
      <xdr:col>16</xdr:col>
      <xdr:colOff>207264</xdr:colOff>
      <xdr:row>68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73</xdr:row>
      <xdr:rowOff>0</xdr:rowOff>
    </xdr:from>
    <xdr:to>
      <xdr:col>16</xdr:col>
      <xdr:colOff>207264</xdr:colOff>
      <xdr:row>87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41</xdr:row>
      <xdr:rowOff>95250</xdr:rowOff>
    </xdr:from>
    <xdr:to>
      <xdr:col>27</xdr:col>
      <xdr:colOff>400050</xdr:colOff>
      <xdr:row>55</xdr:row>
      <xdr:rowOff>171450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209549</xdr:colOff>
      <xdr:row>59</xdr:row>
      <xdr:rowOff>166687</xdr:rowOff>
    </xdr:from>
    <xdr:to>
      <xdr:col>27</xdr:col>
      <xdr:colOff>409574</xdr:colOff>
      <xdr:row>74</xdr:row>
      <xdr:rowOff>52387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600075</xdr:colOff>
      <xdr:row>4</xdr:row>
      <xdr:rowOff>95250</xdr:rowOff>
    </xdr:from>
    <xdr:to>
      <xdr:col>35</xdr:col>
      <xdr:colOff>219075</xdr:colOff>
      <xdr:row>18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609599</xdr:colOff>
      <xdr:row>20</xdr:row>
      <xdr:rowOff>0</xdr:rowOff>
    </xdr:from>
    <xdr:to>
      <xdr:col>35</xdr:col>
      <xdr:colOff>200024</xdr:colOff>
      <xdr:row>34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28574</xdr:colOff>
      <xdr:row>37</xdr:row>
      <xdr:rowOff>109536</xdr:rowOff>
    </xdr:from>
    <xdr:to>
      <xdr:col>25</xdr:col>
      <xdr:colOff>542925</xdr:colOff>
      <xdr:row>56</xdr:row>
      <xdr:rowOff>57149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61</xdr:row>
      <xdr:rowOff>0</xdr:rowOff>
    </xdr:from>
    <xdr:to>
      <xdr:col>25</xdr:col>
      <xdr:colOff>495300</xdr:colOff>
      <xdr:row>75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609599</xdr:colOff>
      <xdr:row>78</xdr:row>
      <xdr:rowOff>0</xdr:rowOff>
    </xdr:from>
    <xdr:to>
      <xdr:col>25</xdr:col>
      <xdr:colOff>504825</xdr:colOff>
      <xdr:row>92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95</xdr:row>
      <xdr:rowOff>0</xdr:rowOff>
    </xdr:from>
    <xdr:to>
      <xdr:col>19</xdr:col>
      <xdr:colOff>523875</xdr:colOff>
      <xdr:row>109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Users\Lien\14.Portfolio%20Data%20Query\1.MBA%20Refi%20vs%20FNMA%20Refinancible%20Universe\MBA%20refi%20index%20vs%20FNMA%20refinancible%20universe%20April%2027%202015%20-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</sheetNames>
    <definedNames>
      <definedName name="CreatePDFRepor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"/>
      <sheetName val="all FNCL"/>
      <sheetName val="projection"/>
      <sheetName val="Bloomberg"/>
    </sheetNames>
    <sheetDataSet>
      <sheetData sheetId="0"/>
      <sheetData sheetId="1">
        <row r="180">
          <cell r="I180">
            <v>40550</v>
          </cell>
          <cell r="J180">
            <v>2344.3000000000002</v>
          </cell>
          <cell r="L180">
            <v>0.62402170072443097</v>
          </cell>
        </row>
        <row r="181">
          <cell r="I181">
            <v>40557</v>
          </cell>
          <cell r="J181">
            <v>2528.6999999999998</v>
          </cell>
          <cell r="L181">
            <v>0.62817294477626895</v>
          </cell>
        </row>
        <row r="182">
          <cell r="I182">
            <v>40564</v>
          </cell>
          <cell r="J182">
            <v>2129.6999999999998</v>
          </cell>
          <cell r="L182">
            <v>0.62597730951219799</v>
          </cell>
        </row>
        <row r="183">
          <cell r="I183">
            <v>40571</v>
          </cell>
          <cell r="J183">
            <v>2371.1</v>
          </cell>
          <cell r="L183">
            <v>0.62392159162868699</v>
          </cell>
        </row>
        <row r="184">
          <cell r="I184">
            <v>40578</v>
          </cell>
          <cell r="J184">
            <v>2190.4</v>
          </cell>
          <cell r="L184">
            <v>0.60653142223595202</v>
          </cell>
        </row>
        <row r="185">
          <cell r="I185">
            <v>40585</v>
          </cell>
          <cell r="J185">
            <v>1953.2</v>
          </cell>
          <cell r="L185">
            <v>0.50868797673712296</v>
          </cell>
        </row>
        <row r="186">
          <cell r="I186">
            <v>40592</v>
          </cell>
          <cell r="J186">
            <v>2325.3000000000002</v>
          </cell>
          <cell r="L186">
            <v>0.52965901814335503</v>
          </cell>
        </row>
        <row r="187">
          <cell r="I187">
            <v>40599</v>
          </cell>
          <cell r="J187">
            <v>2155.5</v>
          </cell>
          <cell r="L187">
            <v>0.57709503787578098</v>
          </cell>
        </row>
        <row r="188">
          <cell r="I188">
            <v>40606</v>
          </cell>
          <cell r="J188">
            <v>2539.4</v>
          </cell>
          <cell r="L188">
            <v>0.59224775585706502</v>
          </cell>
        </row>
        <row r="189">
          <cell r="I189">
            <v>40613</v>
          </cell>
          <cell r="J189">
            <v>2563.6</v>
          </cell>
          <cell r="L189">
            <v>0.590905707896624</v>
          </cell>
        </row>
        <row r="190">
          <cell r="I190">
            <v>40620</v>
          </cell>
          <cell r="J190">
            <v>2620.8000000000002</v>
          </cell>
          <cell r="L190">
            <v>0.60261779474869903</v>
          </cell>
        </row>
        <row r="191">
          <cell r="I191">
            <v>40627</v>
          </cell>
          <cell r="J191">
            <v>2350.6999999999998</v>
          </cell>
          <cell r="L191">
            <v>0.59950595681897501</v>
          </cell>
        </row>
        <row r="192">
          <cell r="I192">
            <v>40634</v>
          </cell>
          <cell r="J192">
            <v>2194.4</v>
          </cell>
          <cell r="L192">
            <v>0.59322570820163401</v>
          </cell>
        </row>
        <row r="193">
          <cell r="I193">
            <v>40641</v>
          </cell>
          <cell r="J193">
            <v>2010.6</v>
          </cell>
          <cell r="L193">
            <v>0.58542144661011897</v>
          </cell>
        </row>
        <row r="194">
          <cell r="I194">
            <v>40648</v>
          </cell>
          <cell r="J194">
            <v>2065.3000000000002</v>
          </cell>
          <cell r="L194">
            <v>0.58155199492979504</v>
          </cell>
        </row>
        <row r="195">
          <cell r="I195">
            <v>40654</v>
          </cell>
          <cell r="J195">
            <v>2091.4</v>
          </cell>
          <cell r="L195">
            <v>0.59356262313394503</v>
          </cell>
        </row>
        <row r="196">
          <cell r="I196">
            <v>40662</v>
          </cell>
          <cell r="J196">
            <v>2220.1</v>
          </cell>
          <cell r="L196">
            <v>0.59445921362542897</v>
          </cell>
        </row>
        <row r="197">
          <cell r="I197">
            <v>40669</v>
          </cell>
          <cell r="J197">
            <v>2414.9</v>
          </cell>
          <cell r="L197">
            <v>0.59391131067456004</v>
          </cell>
        </row>
        <row r="198">
          <cell r="I198">
            <v>40676</v>
          </cell>
          <cell r="J198">
            <v>2742.2</v>
          </cell>
          <cell r="L198">
            <v>0.60662155942019902</v>
          </cell>
        </row>
        <row r="199">
          <cell r="I199">
            <v>40683</v>
          </cell>
          <cell r="J199">
            <v>2764.6</v>
          </cell>
          <cell r="L199">
            <v>0.61264076908113696</v>
          </cell>
        </row>
        <row r="200">
          <cell r="I200">
            <v>40690</v>
          </cell>
          <cell r="J200">
            <v>2619.6999999999998</v>
          </cell>
          <cell r="L200">
            <v>0.615993636080996</v>
          </cell>
        </row>
        <row r="201">
          <cell r="I201">
            <v>40697</v>
          </cell>
          <cell r="J201">
            <v>2648</v>
          </cell>
          <cell r="L201">
            <v>0.66311590107349005</v>
          </cell>
        </row>
        <row r="202">
          <cell r="I202">
            <v>40704</v>
          </cell>
          <cell r="J202">
            <v>3101.7</v>
          </cell>
          <cell r="L202">
            <v>0.74517189360077896</v>
          </cell>
        </row>
        <row r="203">
          <cell r="I203">
            <v>40711</v>
          </cell>
          <cell r="J203">
            <v>2857.9</v>
          </cell>
          <cell r="L203">
            <v>0.72397022872334404</v>
          </cell>
        </row>
        <row r="204">
          <cell r="I204">
            <v>40718</v>
          </cell>
          <cell r="J204">
            <v>2809.5</v>
          </cell>
          <cell r="L204">
            <v>0.66311590107349005</v>
          </cell>
        </row>
        <row r="205">
          <cell r="I205">
            <v>40725</v>
          </cell>
          <cell r="J205">
            <v>2527.5</v>
          </cell>
          <cell r="L205">
            <v>0.69050447134038195</v>
          </cell>
        </row>
        <row r="206">
          <cell r="I206">
            <v>40732</v>
          </cell>
          <cell r="J206">
            <v>2362.6999999999998</v>
          </cell>
          <cell r="L206">
            <v>0.60410549631050603</v>
          </cell>
        </row>
        <row r="207">
          <cell r="I207">
            <v>40739</v>
          </cell>
          <cell r="J207">
            <v>2923.8</v>
          </cell>
          <cell r="L207">
            <v>0.684475421712614</v>
          </cell>
        </row>
        <row r="208">
          <cell r="I208">
            <v>40746</v>
          </cell>
          <cell r="J208">
            <v>2769.6</v>
          </cell>
          <cell r="L208">
            <v>0.66675683999516899</v>
          </cell>
        </row>
        <row r="209">
          <cell r="I209">
            <v>40753</v>
          </cell>
          <cell r="J209">
            <v>2974.1</v>
          </cell>
          <cell r="L209">
            <v>0.61660059317974703</v>
          </cell>
        </row>
        <row r="210">
          <cell r="I210">
            <v>40760</v>
          </cell>
          <cell r="J210">
            <v>3880.9</v>
          </cell>
          <cell r="L210">
            <v>0.81803711941746404</v>
          </cell>
        </row>
        <row r="211">
          <cell r="I211">
            <v>40767</v>
          </cell>
          <cell r="J211">
            <v>4184.3999999999996</v>
          </cell>
          <cell r="L211">
            <v>0.83404184296119299</v>
          </cell>
        </row>
        <row r="212">
          <cell r="I212">
            <v>40774</v>
          </cell>
          <cell r="J212">
            <v>4110.8</v>
          </cell>
          <cell r="L212">
            <v>0.86117434904403201</v>
          </cell>
        </row>
        <row r="213">
          <cell r="I213">
            <v>40781</v>
          </cell>
          <cell r="J213">
            <v>3601.3</v>
          </cell>
          <cell r="L213">
            <v>0.84714025108084801</v>
          </cell>
        </row>
        <row r="214">
          <cell r="I214">
            <v>40788</v>
          </cell>
          <cell r="J214">
            <v>3372</v>
          </cell>
          <cell r="L214">
            <v>0.84129278814437103</v>
          </cell>
        </row>
        <row r="215">
          <cell r="I215">
            <v>40795</v>
          </cell>
          <cell r="J215">
            <v>3571.7</v>
          </cell>
          <cell r="L215">
            <v>0.87859103936280603</v>
          </cell>
        </row>
        <row r="216">
          <cell r="I216">
            <v>40802</v>
          </cell>
          <cell r="J216">
            <v>4033.78</v>
          </cell>
          <cell r="L216">
            <v>0.90242289630358996</v>
          </cell>
        </row>
        <row r="217">
          <cell r="I217">
            <v>40809</v>
          </cell>
          <cell r="J217">
            <v>4512.13</v>
          </cell>
          <cell r="L217">
            <v>0.90242289630358996</v>
          </cell>
        </row>
        <row r="218">
          <cell r="I218">
            <v>40816</v>
          </cell>
          <cell r="J218">
            <v>4241.8</v>
          </cell>
          <cell r="L218">
            <v>0.94644262124543399</v>
          </cell>
        </row>
        <row r="219">
          <cell r="I219">
            <v>40823</v>
          </cell>
          <cell r="J219">
            <v>4251.1000000000004</v>
          </cell>
          <cell r="L219">
            <v>0.967252006042155</v>
          </cell>
        </row>
        <row r="220">
          <cell r="I220">
            <v>40830</v>
          </cell>
          <cell r="J220">
            <v>3553.2</v>
          </cell>
          <cell r="L220">
            <v>0.84917694017596201</v>
          </cell>
        </row>
        <row r="221">
          <cell r="I221">
            <v>40837</v>
          </cell>
          <cell r="J221">
            <v>3719.3</v>
          </cell>
          <cell r="L221">
            <v>0.85635864773186399</v>
          </cell>
        </row>
        <row r="222">
          <cell r="I222">
            <v>40844</v>
          </cell>
          <cell r="J222">
            <v>3695</v>
          </cell>
          <cell r="L222">
            <v>0.86512672485653097</v>
          </cell>
        </row>
        <row r="223">
          <cell r="I223">
            <v>40851</v>
          </cell>
          <cell r="J223">
            <v>4137.6000000000004</v>
          </cell>
          <cell r="L223">
            <v>0.93485323798856301</v>
          </cell>
        </row>
        <row r="224">
          <cell r="I224">
            <v>40858</v>
          </cell>
          <cell r="J224">
            <v>3664.5</v>
          </cell>
          <cell r="L224">
            <v>0.94404770550683104</v>
          </cell>
        </row>
        <row r="225">
          <cell r="I225">
            <v>40865</v>
          </cell>
          <cell r="J225">
            <v>3466.8</v>
          </cell>
          <cell r="L225">
            <v>0.93485323798856301</v>
          </cell>
        </row>
        <row r="226">
          <cell r="I226">
            <v>40872</v>
          </cell>
          <cell r="J226">
            <v>2941.3</v>
          </cell>
          <cell r="L226">
            <v>0.94997170807452402</v>
          </cell>
        </row>
        <row r="227">
          <cell r="I227">
            <v>40879</v>
          </cell>
          <cell r="J227">
            <v>3394.7</v>
          </cell>
          <cell r="L227">
            <v>0.91542628506626</v>
          </cell>
        </row>
        <row r="228">
          <cell r="I228">
            <v>40886</v>
          </cell>
          <cell r="J228">
            <v>3708.6</v>
          </cell>
          <cell r="L228">
            <v>0.92487460681698297</v>
          </cell>
        </row>
        <row r="229">
          <cell r="I229">
            <v>40893</v>
          </cell>
          <cell r="J229">
            <v>3676.1</v>
          </cell>
          <cell r="L229">
            <v>0.93969161247928701</v>
          </cell>
        </row>
        <row r="230">
          <cell r="I230">
            <v>40900</v>
          </cell>
          <cell r="J230">
            <v>3684.5</v>
          </cell>
          <cell r="L230">
            <v>0.96019586623642394</v>
          </cell>
        </row>
        <row r="231">
          <cell r="I231">
            <v>40907</v>
          </cell>
          <cell r="J231">
            <v>3608.1</v>
          </cell>
          <cell r="L231">
            <v>0.94762260030460199</v>
          </cell>
        </row>
        <row r="232">
          <cell r="I232">
            <v>40914</v>
          </cell>
          <cell r="J232">
            <v>3668.3</v>
          </cell>
          <cell r="L232">
            <v>0.94481773750585696</v>
          </cell>
        </row>
        <row r="233">
          <cell r="I233">
            <v>40921</v>
          </cell>
          <cell r="J233">
            <v>4626.5</v>
          </cell>
          <cell r="L233">
            <v>0.95320351892281396</v>
          </cell>
        </row>
        <row r="234">
          <cell r="I234">
            <v>40928</v>
          </cell>
          <cell r="J234">
            <v>4326.3999999999996</v>
          </cell>
          <cell r="L234">
            <v>0.95182771809710398</v>
          </cell>
        </row>
        <row r="235">
          <cell r="I235">
            <v>40935</v>
          </cell>
          <cell r="J235">
            <v>4184.3</v>
          </cell>
          <cell r="L235">
            <v>0.91861521434498905</v>
          </cell>
        </row>
        <row r="236">
          <cell r="I236">
            <v>40942</v>
          </cell>
          <cell r="J236">
            <v>4617.1000000000004</v>
          </cell>
          <cell r="L236">
            <v>0.94107838104995301</v>
          </cell>
        </row>
        <row r="237">
          <cell r="I237">
            <v>40949</v>
          </cell>
          <cell r="J237">
            <v>4716.1000000000004</v>
          </cell>
          <cell r="L237">
            <v>0.94107838104995301</v>
          </cell>
        </row>
        <row r="238">
          <cell r="I238">
            <v>40956</v>
          </cell>
          <cell r="J238">
            <v>4466.8999999999996</v>
          </cell>
          <cell r="L238">
            <v>0.94107838104995301</v>
          </cell>
        </row>
        <row r="239">
          <cell r="I239">
            <v>40963</v>
          </cell>
          <cell r="J239">
            <v>4379.1000000000004</v>
          </cell>
          <cell r="L239">
            <v>0.90921329115869698</v>
          </cell>
        </row>
        <row r="240">
          <cell r="I240">
            <v>40970</v>
          </cell>
          <cell r="J240">
            <v>4277.6000000000004</v>
          </cell>
          <cell r="L240">
            <v>0.91584710240533496</v>
          </cell>
        </row>
        <row r="241">
          <cell r="I241">
            <v>40977</v>
          </cell>
          <cell r="J241">
            <v>4063.4</v>
          </cell>
          <cell r="L241">
            <v>0.91902765125865904</v>
          </cell>
        </row>
        <row r="242">
          <cell r="I242">
            <v>40984</v>
          </cell>
          <cell r="J242">
            <v>3715.2</v>
          </cell>
          <cell r="L242">
            <v>0.90514599034862198</v>
          </cell>
        </row>
        <row r="243">
          <cell r="I243">
            <v>40991</v>
          </cell>
          <cell r="J243">
            <v>3588.4</v>
          </cell>
          <cell r="L243">
            <v>0.78959380464288298</v>
          </cell>
        </row>
        <row r="244">
          <cell r="I244">
            <v>40998</v>
          </cell>
          <cell r="J244">
            <v>3699.5</v>
          </cell>
          <cell r="L244">
            <v>0.87490910290764401</v>
          </cell>
        </row>
        <row r="245">
          <cell r="I245">
            <v>41005</v>
          </cell>
          <cell r="J245">
            <v>3549.3</v>
          </cell>
          <cell r="L245">
            <v>0.86928745494692705</v>
          </cell>
        </row>
        <row r="246">
          <cell r="I246">
            <v>41012</v>
          </cell>
          <cell r="J246">
            <v>4144.3</v>
          </cell>
          <cell r="L246">
            <v>0.90849340717481797</v>
          </cell>
        </row>
        <row r="247">
          <cell r="I247">
            <v>41019</v>
          </cell>
          <cell r="J247">
            <v>3892.2</v>
          </cell>
          <cell r="L247">
            <v>0.90349839031693802</v>
          </cell>
        </row>
        <row r="248">
          <cell r="I248">
            <v>41026</v>
          </cell>
          <cell r="J248">
            <v>3856</v>
          </cell>
          <cell r="L248">
            <v>0.90849340717481797</v>
          </cell>
        </row>
        <row r="249">
          <cell r="I249">
            <v>41033</v>
          </cell>
          <cell r="J249">
            <v>3924.4</v>
          </cell>
          <cell r="L249">
            <v>0.89225108632442696</v>
          </cell>
        </row>
        <row r="250">
          <cell r="I250">
            <v>41040</v>
          </cell>
          <cell r="J250">
            <v>4482</v>
          </cell>
          <cell r="L250">
            <v>0.89337268606647202</v>
          </cell>
        </row>
        <row r="251">
          <cell r="I251">
            <v>41047</v>
          </cell>
          <cell r="J251">
            <v>4732</v>
          </cell>
          <cell r="L251">
            <v>0.89489979671430897</v>
          </cell>
        </row>
        <row r="252">
          <cell r="I252">
            <v>41054</v>
          </cell>
          <cell r="J252">
            <v>4675.8999999999996</v>
          </cell>
          <cell r="L252">
            <v>0.89443957907281701</v>
          </cell>
        </row>
        <row r="253">
          <cell r="I253">
            <v>41061</v>
          </cell>
          <cell r="J253">
            <v>4736</v>
          </cell>
          <cell r="L253">
            <v>0.895121220846959</v>
          </cell>
        </row>
        <row r="254">
          <cell r="I254">
            <v>41068</v>
          </cell>
          <cell r="J254">
            <v>5590</v>
          </cell>
          <cell r="L254">
            <v>0.89201954495855595</v>
          </cell>
        </row>
        <row r="255">
          <cell r="I255">
            <v>41075</v>
          </cell>
          <cell r="J255">
            <v>4719.6000000000004</v>
          </cell>
          <cell r="L255">
            <v>0.886674497978159</v>
          </cell>
        </row>
        <row r="256">
          <cell r="I256">
            <v>41082</v>
          </cell>
          <cell r="J256">
            <v>4585.8</v>
          </cell>
          <cell r="L256">
            <v>0.89407594990163797</v>
          </cell>
        </row>
        <row r="257">
          <cell r="I257">
            <v>41089</v>
          </cell>
          <cell r="J257">
            <v>4372.2</v>
          </cell>
          <cell r="L257">
            <v>0.89407594990163797</v>
          </cell>
        </row>
        <row r="258">
          <cell r="I258">
            <v>41096</v>
          </cell>
          <cell r="J258">
            <v>4267.8999999999996</v>
          </cell>
          <cell r="L258">
            <v>0.88191141048608501</v>
          </cell>
        </row>
        <row r="259">
          <cell r="I259">
            <v>41103</v>
          </cell>
          <cell r="J259">
            <v>5246.8</v>
          </cell>
          <cell r="L259">
            <v>0.94551237246929398</v>
          </cell>
        </row>
        <row r="260">
          <cell r="I260">
            <v>41110</v>
          </cell>
          <cell r="J260">
            <v>5383.1</v>
          </cell>
          <cell r="L260">
            <v>0.97186924857157997</v>
          </cell>
        </row>
        <row r="261">
          <cell r="I261">
            <v>41117</v>
          </cell>
          <cell r="J261">
            <v>5492.1</v>
          </cell>
          <cell r="L261">
            <v>0.98451993370244095</v>
          </cell>
        </row>
        <row r="262">
          <cell r="I262">
            <v>41124</v>
          </cell>
          <cell r="J262">
            <v>5444.3</v>
          </cell>
          <cell r="L262">
            <v>0.93852225394978095</v>
          </cell>
        </row>
        <row r="263">
          <cell r="I263">
            <v>41131</v>
          </cell>
          <cell r="J263">
            <v>5172.2</v>
          </cell>
          <cell r="L263">
            <v>0.92408794393225502</v>
          </cell>
        </row>
        <row r="264">
          <cell r="I264">
            <v>41138</v>
          </cell>
          <cell r="J264">
            <v>4671.1000000000004</v>
          </cell>
          <cell r="L264">
            <v>0.88445471641937101</v>
          </cell>
        </row>
        <row r="265">
          <cell r="I265">
            <v>41145</v>
          </cell>
          <cell r="J265">
            <v>4423</v>
          </cell>
          <cell r="L265">
            <v>0.85694996797233802</v>
          </cell>
        </row>
        <row r="266">
          <cell r="I266">
            <v>41152</v>
          </cell>
          <cell r="J266">
            <v>4273.1000000000004</v>
          </cell>
          <cell r="L266">
            <v>0.92408794393225502</v>
          </cell>
        </row>
        <row r="267">
          <cell r="I267">
            <v>41159</v>
          </cell>
          <cell r="J267">
            <v>4779.1000000000004</v>
          </cell>
          <cell r="L267">
            <v>0.91761037893987496</v>
          </cell>
        </row>
        <row r="268">
          <cell r="I268">
            <v>41166</v>
          </cell>
          <cell r="J268">
            <v>4823.3</v>
          </cell>
          <cell r="L268">
            <v>0.940476462565773</v>
          </cell>
        </row>
        <row r="269">
          <cell r="I269">
            <v>41173</v>
          </cell>
          <cell r="J269">
            <v>4979</v>
          </cell>
          <cell r="L269">
            <v>0.95891425076544701</v>
          </cell>
        </row>
        <row r="270">
          <cell r="I270">
            <v>41180</v>
          </cell>
          <cell r="J270">
            <v>5965.5</v>
          </cell>
          <cell r="L270">
            <v>0.96459917415866603</v>
          </cell>
        </row>
        <row r="271">
          <cell r="I271">
            <v>41187</v>
          </cell>
          <cell r="J271">
            <v>5892.5</v>
          </cell>
          <cell r="L271">
            <v>0.95362908529618595</v>
          </cell>
        </row>
        <row r="272">
          <cell r="I272">
            <v>41194</v>
          </cell>
          <cell r="J272">
            <v>5572.2</v>
          </cell>
          <cell r="L272">
            <v>0.95159604304738399</v>
          </cell>
        </row>
        <row r="273">
          <cell r="I273">
            <v>41201</v>
          </cell>
          <cell r="J273">
            <v>4847.2</v>
          </cell>
          <cell r="L273">
            <v>0.95277295236812298</v>
          </cell>
        </row>
        <row r="274">
          <cell r="I274">
            <v>41208</v>
          </cell>
          <cell r="J274">
            <v>4550.7</v>
          </cell>
          <cell r="L274">
            <v>0.95079229345734495</v>
          </cell>
        </row>
        <row r="275">
          <cell r="I275">
            <v>41215</v>
          </cell>
          <cell r="J275">
            <v>4297.7</v>
          </cell>
          <cell r="L275">
            <v>0.92571311512973697</v>
          </cell>
        </row>
        <row r="276">
          <cell r="I276">
            <v>41222</v>
          </cell>
          <cell r="J276">
            <v>4856.1000000000004</v>
          </cell>
          <cell r="L276">
            <v>0.92529425270600996</v>
          </cell>
        </row>
        <row r="277">
          <cell r="I277">
            <v>41229</v>
          </cell>
          <cell r="J277">
            <v>4702.3999999999996</v>
          </cell>
          <cell r="L277">
            <v>0.92772026190850898</v>
          </cell>
        </row>
        <row r="278">
          <cell r="I278">
            <v>41236</v>
          </cell>
          <cell r="J278">
            <v>4666.8</v>
          </cell>
          <cell r="L278">
            <v>0.92993011952820803</v>
          </cell>
        </row>
        <row r="279">
          <cell r="I279">
            <v>41243</v>
          </cell>
          <cell r="J279">
            <v>4943</v>
          </cell>
          <cell r="L279">
            <v>0.92756020040727505</v>
          </cell>
        </row>
        <row r="280">
          <cell r="I280">
            <v>41250</v>
          </cell>
          <cell r="J280">
            <v>5368.1</v>
          </cell>
          <cell r="L280">
            <v>0.91054790878492298</v>
          </cell>
        </row>
        <row r="281">
          <cell r="I281">
            <v>41257</v>
          </cell>
          <cell r="J281">
            <v>4564.3999999999996</v>
          </cell>
          <cell r="L281">
            <v>0.91261368517922603</v>
          </cell>
        </row>
        <row r="282">
          <cell r="I282">
            <v>41264</v>
          </cell>
          <cell r="J282">
            <v>3983.2</v>
          </cell>
          <cell r="L282">
            <v>0.909651579188403</v>
          </cell>
        </row>
        <row r="283">
          <cell r="I283">
            <v>41271</v>
          </cell>
          <cell r="J283">
            <v>3488.9</v>
          </cell>
          <cell r="L283">
            <v>0.91018597538933199</v>
          </cell>
        </row>
        <row r="284">
          <cell r="I284">
            <v>41278</v>
          </cell>
          <cell r="J284">
            <v>3896.4</v>
          </cell>
          <cell r="L284">
            <v>0.88829814088555903</v>
          </cell>
        </row>
        <row r="285">
          <cell r="I285">
            <v>41285</v>
          </cell>
          <cell r="J285">
            <v>4554.3999999999996</v>
          </cell>
          <cell r="L285">
            <v>0.88507237465235999</v>
          </cell>
        </row>
        <row r="286">
          <cell r="I286">
            <v>41292</v>
          </cell>
          <cell r="J286">
            <v>4937.3999999999996</v>
          </cell>
          <cell r="L286">
            <v>0.88631407683414698</v>
          </cell>
        </row>
        <row r="287">
          <cell r="I287">
            <v>41299</v>
          </cell>
          <cell r="J287">
            <v>4433.6000000000004</v>
          </cell>
          <cell r="L287">
            <v>0.88379536104531298</v>
          </cell>
        </row>
        <row r="288">
          <cell r="I288">
            <v>41306</v>
          </cell>
          <cell r="J288">
            <v>4579</v>
          </cell>
          <cell r="L288">
            <v>0.84748759806752005</v>
          </cell>
        </row>
        <row r="289">
          <cell r="I289">
            <v>41313</v>
          </cell>
          <cell r="J289">
            <v>4284.3</v>
          </cell>
          <cell r="L289">
            <v>0.79744674672768501</v>
          </cell>
        </row>
        <row r="290">
          <cell r="I290">
            <v>41320</v>
          </cell>
          <cell r="J290">
            <v>4261.8</v>
          </cell>
          <cell r="L290">
            <v>0.79744674672768501</v>
          </cell>
        </row>
        <row r="291">
          <cell r="I291">
            <v>41327</v>
          </cell>
          <cell r="J291">
            <v>4136.3</v>
          </cell>
          <cell r="L291">
            <v>0.75767121274966998</v>
          </cell>
        </row>
        <row r="292">
          <cell r="I292">
            <v>41334</v>
          </cell>
          <cell r="J292">
            <v>4724.8999999999996</v>
          </cell>
          <cell r="L292">
            <v>0.81599621049204496</v>
          </cell>
        </row>
        <row r="293">
          <cell r="I293">
            <v>41341</v>
          </cell>
          <cell r="J293">
            <v>4485.2</v>
          </cell>
          <cell r="L293">
            <v>0.81254588826988305</v>
          </cell>
        </row>
        <row r="294">
          <cell r="I294">
            <v>41348</v>
          </cell>
          <cell r="J294">
            <v>4111.3</v>
          </cell>
          <cell r="L294">
            <v>0.70260073761186803</v>
          </cell>
        </row>
        <row r="295">
          <cell r="I295">
            <v>41355</v>
          </cell>
          <cell r="J295">
            <v>4412.8999999999996</v>
          </cell>
          <cell r="L295">
            <v>0.76832708554350604</v>
          </cell>
        </row>
        <row r="296">
          <cell r="I296">
            <v>41361</v>
          </cell>
          <cell r="J296">
            <v>4119.2</v>
          </cell>
          <cell r="L296">
            <v>0.73085022058809701</v>
          </cell>
        </row>
        <row r="297">
          <cell r="I297">
            <v>41369</v>
          </cell>
          <cell r="J297">
            <v>4528.8999999999996</v>
          </cell>
          <cell r="L297">
            <v>0.74812714109915801</v>
          </cell>
        </row>
        <row r="298">
          <cell r="I298">
            <v>41376</v>
          </cell>
          <cell r="J298">
            <v>4726.8999999999996</v>
          </cell>
          <cell r="L298">
            <v>0.81951890925716098</v>
          </cell>
        </row>
        <row r="299">
          <cell r="I299">
            <v>41383</v>
          </cell>
          <cell r="J299">
            <v>4672.1000000000004</v>
          </cell>
          <cell r="L299">
            <v>0.82637993200499604</v>
          </cell>
        </row>
        <row r="300">
          <cell r="I300">
            <v>41390</v>
          </cell>
          <cell r="J300">
            <v>4854.1000000000004</v>
          </cell>
          <cell r="L300">
            <v>0.82478602429419601</v>
          </cell>
        </row>
        <row r="301">
          <cell r="I301">
            <v>41397</v>
          </cell>
          <cell r="J301">
            <v>5279.9</v>
          </cell>
          <cell r="L301">
            <v>0.816862820958143</v>
          </cell>
        </row>
        <row r="302">
          <cell r="I302">
            <v>41404</v>
          </cell>
          <cell r="J302">
            <v>4797.2</v>
          </cell>
          <cell r="L302">
            <v>0.80807149473903706</v>
          </cell>
        </row>
        <row r="303">
          <cell r="I303">
            <v>41409</v>
          </cell>
          <cell r="J303">
            <v>4241.5</v>
          </cell>
          <cell r="L303">
            <v>0.77783403735744605</v>
          </cell>
        </row>
        <row r="304">
          <cell r="I304">
            <v>41418</v>
          </cell>
          <cell r="J304">
            <v>3709.4</v>
          </cell>
          <cell r="L304">
            <v>0.69528028144530996</v>
          </cell>
        </row>
        <row r="305">
          <cell r="I305">
            <v>41425</v>
          </cell>
          <cell r="J305">
            <v>3163.6</v>
          </cell>
          <cell r="L305">
            <v>0.63267241864898405</v>
          </cell>
        </row>
        <row r="306">
          <cell r="I306">
            <v>41432</v>
          </cell>
          <cell r="J306">
            <v>3339.8</v>
          </cell>
          <cell r="L306">
            <v>0.60569175356282701</v>
          </cell>
        </row>
        <row r="307">
          <cell r="I307">
            <v>41439</v>
          </cell>
          <cell r="J307">
            <v>3214.4</v>
          </cell>
          <cell r="L307">
            <v>0.57343184072471898</v>
          </cell>
        </row>
        <row r="308">
          <cell r="I308">
            <v>41446</v>
          </cell>
          <cell r="J308">
            <v>3040.1</v>
          </cell>
          <cell r="L308">
            <v>0.58795254732817603</v>
          </cell>
        </row>
        <row r="309">
          <cell r="I309">
            <v>41453</v>
          </cell>
          <cell r="J309">
            <v>2573.4</v>
          </cell>
          <cell r="L309">
            <v>0.39082116641682302</v>
          </cell>
        </row>
        <row r="310">
          <cell r="I310">
            <v>41460</v>
          </cell>
          <cell r="J310">
            <v>2417.8000000000002</v>
          </cell>
          <cell r="L310">
            <v>0.43308646421209301</v>
          </cell>
        </row>
        <row r="311">
          <cell r="I311">
            <v>41467</v>
          </cell>
          <cell r="J311">
            <v>2242.1999999999998</v>
          </cell>
          <cell r="L311">
            <v>0.31856955774356599</v>
          </cell>
        </row>
        <row r="312">
          <cell r="I312">
            <v>41474</v>
          </cell>
          <cell r="J312">
            <v>2288</v>
          </cell>
          <cell r="L312">
            <v>0.42624975952077698</v>
          </cell>
        </row>
        <row r="313">
          <cell r="I313">
            <v>41481</v>
          </cell>
          <cell r="J313">
            <v>2218.3000000000002</v>
          </cell>
          <cell r="L313">
            <v>0.42922629610906499</v>
          </cell>
        </row>
        <row r="314">
          <cell r="I314">
            <v>41488</v>
          </cell>
          <cell r="J314">
            <v>2228.9</v>
          </cell>
          <cell r="L314">
            <v>0.40917398895536999</v>
          </cell>
        </row>
        <row r="315">
          <cell r="I315">
            <v>41495</v>
          </cell>
          <cell r="J315">
            <v>2110.6</v>
          </cell>
          <cell r="L315">
            <v>0.40797811985401</v>
          </cell>
        </row>
        <row r="316">
          <cell r="I316">
            <v>41508</v>
          </cell>
          <cell r="J316">
            <v>1935.1</v>
          </cell>
          <cell r="L316">
            <v>0.28211495793674202</v>
          </cell>
        </row>
        <row r="317">
          <cell r="I317">
            <v>41509</v>
          </cell>
          <cell r="J317">
            <v>1842.6</v>
          </cell>
          <cell r="L317">
            <v>0.28211495793674202</v>
          </cell>
        </row>
        <row r="318">
          <cell r="I318">
            <v>41516</v>
          </cell>
          <cell r="J318">
            <v>1909</v>
          </cell>
          <cell r="L318">
            <v>0.32707732602530398</v>
          </cell>
        </row>
        <row r="319">
          <cell r="I319">
            <v>41523</v>
          </cell>
          <cell r="J319">
            <v>1512.9</v>
          </cell>
          <cell r="L319">
            <v>0.28186492560364501</v>
          </cell>
        </row>
        <row r="320">
          <cell r="I320">
            <v>41530</v>
          </cell>
          <cell r="J320">
            <v>1814</v>
          </cell>
          <cell r="L320">
            <v>0.27463010199382099</v>
          </cell>
        </row>
        <row r="321">
          <cell r="I321">
            <v>41537</v>
          </cell>
          <cell r="J321">
            <v>1922.9</v>
          </cell>
          <cell r="L321">
            <v>0.33277831045649597</v>
          </cell>
        </row>
        <row r="322">
          <cell r="I322">
            <v>41544</v>
          </cell>
          <cell r="J322">
            <v>1956.6</v>
          </cell>
          <cell r="L322">
            <v>0.40445747526612702</v>
          </cell>
        </row>
        <row r="323">
          <cell r="I323">
            <v>41551</v>
          </cell>
          <cell r="J323">
            <v>2025.3</v>
          </cell>
          <cell r="L323">
            <v>0.41528178559290602</v>
          </cell>
        </row>
        <row r="324">
          <cell r="I324">
            <v>41558</v>
          </cell>
          <cell r="J324">
            <v>2102.6999999999998</v>
          </cell>
          <cell r="L324">
            <v>0.41314719259777</v>
          </cell>
        </row>
        <row r="325">
          <cell r="I325">
            <v>41565</v>
          </cell>
          <cell r="J325">
            <v>2033.7</v>
          </cell>
          <cell r="L325">
            <v>0.402324815903361</v>
          </cell>
        </row>
        <row r="326">
          <cell r="I326">
            <v>41572</v>
          </cell>
          <cell r="J326">
            <v>2211.8000000000002</v>
          </cell>
          <cell r="L326">
            <v>0.431569129246685</v>
          </cell>
        </row>
        <row r="327">
          <cell r="I327">
            <v>41579</v>
          </cell>
          <cell r="J327">
            <v>2105.6</v>
          </cell>
          <cell r="L327">
            <v>0.46054051472194202</v>
          </cell>
        </row>
        <row r="328">
          <cell r="I328">
            <v>41586</v>
          </cell>
          <cell r="J328">
            <v>2056.9</v>
          </cell>
          <cell r="L328">
            <v>0.42159370418067099</v>
          </cell>
        </row>
        <row r="329">
          <cell r="I329">
            <v>41593</v>
          </cell>
          <cell r="J329">
            <v>1903.5</v>
          </cell>
          <cell r="L329">
            <v>0.38756459325455</v>
          </cell>
        </row>
        <row r="330">
          <cell r="I330">
            <v>41600</v>
          </cell>
          <cell r="J330">
            <v>1917.2</v>
          </cell>
          <cell r="L330">
            <v>0.41410653536495001</v>
          </cell>
        </row>
        <row r="331">
          <cell r="I331">
            <v>41605</v>
          </cell>
          <cell r="J331">
            <v>1561.6</v>
          </cell>
          <cell r="L331">
            <v>0.39699815933228</v>
          </cell>
        </row>
        <row r="332">
          <cell r="I332">
            <v>41614</v>
          </cell>
          <cell r="J332">
            <v>1599.4</v>
          </cell>
          <cell r="L332">
            <v>0.37338021104571001</v>
          </cell>
        </row>
        <row r="333">
          <cell r="I333">
            <v>41621</v>
          </cell>
          <cell r="J333">
            <v>1529.8</v>
          </cell>
          <cell r="L333">
            <v>0.37072062674784101</v>
          </cell>
        </row>
        <row r="334">
          <cell r="I334">
            <v>41628</v>
          </cell>
          <cell r="J334">
            <v>1426.7</v>
          </cell>
          <cell r="L334">
            <v>0.339745677776082</v>
          </cell>
        </row>
        <row r="335">
          <cell r="I335">
            <v>41635</v>
          </cell>
          <cell r="J335">
            <v>1277.8</v>
          </cell>
          <cell r="L335">
            <v>0.33029809597210902</v>
          </cell>
        </row>
        <row r="336">
          <cell r="I336">
            <v>41642</v>
          </cell>
          <cell r="J336">
            <v>1352.7</v>
          </cell>
          <cell r="L336">
            <v>0.26212623729092299</v>
          </cell>
        </row>
        <row r="337">
          <cell r="I337">
            <v>41649</v>
          </cell>
          <cell r="J337">
            <v>1507</v>
          </cell>
          <cell r="L337">
            <v>0.29022600492529399</v>
          </cell>
        </row>
        <row r="338">
          <cell r="I338">
            <v>41656</v>
          </cell>
          <cell r="J338">
            <v>1675.8</v>
          </cell>
          <cell r="L338">
            <v>0.36774882579493101</v>
          </cell>
        </row>
        <row r="339">
          <cell r="I339">
            <v>41663</v>
          </cell>
          <cell r="J339">
            <v>1601.2</v>
          </cell>
          <cell r="L339">
            <v>0.37084428304329597</v>
          </cell>
        </row>
        <row r="340">
          <cell r="I340">
            <v>41670</v>
          </cell>
          <cell r="J340">
            <v>1667.5</v>
          </cell>
          <cell r="L340">
            <v>0.38160196936392599</v>
          </cell>
        </row>
        <row r="341">
          <cell r="I341">
            <v>41677</v>
          </cell>
          <cell r="J341">
            <v>1674.2</v>
          </cell>
          <cell r="L341">
            <v>0.40068103493110202</v>
          </cell>
        </row>
        <row r="342">
          <cell r="I342">
            <v>41684</v>
          </cell>
          <cell r="J342">
            <v>1650.6</v>
          </cell>
          <cell r="L342">
            <v>0.38532630107915999</v>
          </cell>
        </row>
        <row r="343">
          <cell r="I343">
            <v>41691</v>
          </cell>
          <cell r="J343">
            <v>1442.3</v>
          </cell>
          <cell r="L343">
            <v>0.375571977518594</v>
          </cell>
        </row>
        <row r="344">
          <cell r="I344">
            <v>41698</v>
          </cell>
          <cell r="J344">
            <v>1600.6</v>
          </cell>
          <cell r="L344">
            <v>0.36967404481869198</v>
          </cell>
        </row>
        <row r="345">
          <cell r="I345">
            <v>41705</v>
          </cell>
          <cell r="J345">
            <v>1528</v>
          </cell>
          <cell r="L345">
            <v>0.383169637258365</v>
          </cell>
        </row>
        <row r="346">
          <cell r="I346">
            <v>41712</v>
          </cell>
          <cell r="J346">
            <v>1552.1</v>
          </cell>
          <cell r="L346">
            <v>0.36933430427665598</v>
          </cell>
        </row>
        <row r="347">
          <cell r="I347">
            <v>41719</v>
          </cell>
          <cell r="J347">
            <v>1426.3</v>
          </cell>
          <cell r="L347">
            <v>0.38030249532079302</v>
          </cell>
        </row>
        <row r="348">
          <cell r="I348">
            <v>41726</v>
          </cell>
          <cell r="J348">
            <v>1383.5</v>
          </cell>
          <cell r="L348">
            <v>0.36565400061255998</v>
          </cell>
        </row>
        <row r="349">
          <cell r="I349">
            <v>41733</v>
          </cell>
          <cell r="J349">
            <v>1324.7</v>
          </cell>
          <cell r="L349">
            <v>0.35521926568999201</v>
          </cell>
        </row>
        <row r="350">
          <cell r="I350">
            <v>41740</v>
          </cell>
          <cell r="J350">
            <v>1429.9</v>
          </cell>
          <cell r="L350">
            <v>0.36683376695248798</v>
          </cell>
        </row>
        <row r="351">
          <cell r="I351">
            <v>41746</v>
          </cell>
          <cell r="J351">
            <v>1370.9</v>
          </cell>
          <cell r="L351">
            <v>0.38166972699665502</v>
          </cell>
        </row>
        <row r="352">
          <cell r="I352">
            <v>41754</v>
          </cell>
          <cell r="J352">
            <v>1298.0999999999999</v>
          </cell>
          <cell r="L352">
            <v>0.37393962817107101</v>
          </cell>
        </row>
        <row r="353">
          <cell r="I353">
            <v>41761</v>
          </cell>
          <cell r="J353">
            <v>1323.9</v>
          </cell>
          <cell r="L353">
            <v>0.37360583835556399</v>
          </cell>
        </row>
        <row r="354">
          <cell r="I354">
            <v>41768</v>
          </cell>
          <cell r="J354">
            <v>1400.9</v>
          </cell>
          <cell r="L354">
            <v>0.409756747537739</v>
          </cell>
        </row>
        <row r="355">
          <cell r="I355">
            <v>41775</v>
          </cell>
          <cell r="J355">
            <v>1460.6</v>
          </cell>
          <cell r="L355">
            <v>0.41321534069517601</v>
          </cell>
        </row>
        <row r="356">
          <cell r="I356">
            <v>41782</v>
          </cell>
          <cell r="J356">
            <v>1453.4</v>
          </cell>
          <cell r="L356">
            <v>0.44799454346559803</v>
          </cell>
        </row>
        <row r="357">
          <cell r="I357">
            <v>41789</v>
          </cell>
          <cell r="J357">
            <v>1382.6</v>
          </cell>
          <cell r="L357">
            <v>0.463620204949516</v>
          </cell>
        </row>
        <row r="358">
          <cell r="I358">
            <v>41796</v>
          </cell>
          <cell r="J358">
            <v>1516.9</v>
          </cell>
          <cell r="L358">
            <v>0.46847875373528802</v>
          </cell>
        </row>
        <row r="359">
          <cell r="I359">
            <v>41803</v>
          </cell>
          <cell r="J359">
            <v>1321.3</v>
          </cell>
          <cell r="L359">
            <v>0.41096738430920399</v>
          </cell>
        </row>
        <row r="360">
          <cell r="I360">
            <v>41810</v>
          </cell>
          <cell r="J360">
            <v>1333.5</v>
          </cell>
          <cell r="L360">
            <v>0.426359386921487</v>
          </cell>
        </row>
        <row r="361">
          <cell r="I361">
            <v>41817</v>
          </cell>
          <cell r="J361">
            <v>1341.8</v>
          </cell>
          <cell r="L361">
            <v>0.46847875373528802</v>
          </cell>
        </row>
        <row r="362">
          <cell r="I362">
            <v>41823</v>
          </cell>
          <cell r="J362">
            <v>1346.8</v>
          </cell>
          <cell r="L362">
            <v>0.481783217502605</v>
          </cell>
        </row>
        <row r="363">
          <cell r="I363">
            <v>41831</v>
          </cell>
          <cell r="J363">
            <v>1329.7</v>
          </cell>
          <cell r="L363">
            <v>0.42147742037559999</v>
          </cell>
        </row>
        <row r="364">
          <cell r="I364">
            <v>41838</v>
          </cell>
          <cell r="J364">
            <v>1400.7</v>
          </cell>
          <cell r="L364">
            <v>0.451552968278365</v>
          </cell>
        </row>
        <row r="365">
          <cell r="I365">
            <v>41845</v>
          </cell>
          <cell r="J365">
            <v>1327.5</v>
          </cell>
          <cell r="L365">
            <v>0.451552968278365</v>
          </cell>
        </row>
        <row r="366">
          <cell r="I366">
            <v>41852</v>
          </cell>
          <cell r="J366">
            <v>1373.9</v>
          </cell>
          <cell r="L366">
            <v>0.45923072088835198</v>
          </cell>
        </row>
        <row r="367">
          <cell r="I367">
            <v>41859</v>
          </cell>
          <cell r="J367">
            <v>1342.6</v>
          </cell>
          <cell r="L367">
            <v>0.42413376349642801</v>
          </cell>
        </row>
        <row r="368">
          <cell r="I368">
            <v>41866</v>
          </cell>
          <cell r="J368">
            <v>1404.9</v>
          </cell>
          <cell r="L368">
            <v>0.45575254137027599</v>
          </cell>
        </row>
        <row r="369">
          <cell r="I369">
            <v>41873</v>
          </cell>
          <cell r="J369">
            <v>1439.4</v>
          </cell>
          <cell r="L369">
            <v>0.49084413664233301</v>
          </cell>
        </row>
        <row r="370">
          <cell r="I370">
            <v>41880</v>
          </cell>
          <cell r="J370">
            <v>1436</v>
          </cell>
          <cell r="L370">
            <v>0.49084413664233301</v>
          </cell>
        </row>
        <row r="371">
          <cell r="I371">
            <v>41887</v>
          </cell>
          <cell r="J371">
            <v>1275.8</v>
          </cell>
          <cell r="L371">
            <v>0.487326419100717</v>
          </cell>
        </row>
        <row r="372">
          <cell r="I372">
            <v>41894</v>
          </cell>
          <cell r="J372">
            <v>1398.4</v>
          </cell>
          <cell r="L372">
            <v>0.47415919522438099</v>
          </cell>
        </row>
        <row r="373">
          <cell r="I373">
            <v>41901</v>
          </cell>
          <cell r="J373">
            <v>1335.1</v>
          </cell>
          <cell r="L373">
            <v>0.39816728626756598</v>
          </cell>
        </row>
        <row r="374">
          <cell r="I374">
            <v>41908</v>
          </cell>
          <cell r="J374">
            <v>1326.2</v>
          </cell>
          <cell r="L374">
            <v>0.413732301706637</v>
          </cell>
        </row>
        <row r="375">
          <cell r="I375">
            <v>41915</v>
          </cell>
          <cell r="J375">
            <v>1387.1</v>
          </cell>
          <cell r="L375">
            <v>0.43232059685066698</v>
          </cell>
        </row>
        <row r="376">
          <cell r="I376">
            <v>41922</v>
          </cell>
          <cell r="J376">
            <v>1560.6</v>
          </cell>
          <cell r="L376">
            <v>0.47165449273347199</v>
          </cell>
        </row>
        <row r="377">
          <cell r="I377">
            <v>41929</v>
          </cell>
          <cell r="J377">
            <v>1898.2</v>
          </cell>
          <cell r="L377">
            <v>0.57517284737260699</v>
          </cell>
        </row>
        <row r="378">
          <cell r="I378">
            <v>41936</v>
          </cell>
          <cell r="J378">
            <v>1713.6</v>
          </cell>
          <cell r="L378">
            <v>0.58745733896979602</v>
          </cell>
        </row>
        <row r="379">
          <cell r="I379">
            <v>41943</v>
          </cell>
          <cell r="J379">
            <v>1604.8</v>
          </cell>
          <cell r="L379">
            <v>0.57181297396619601</v>
          </cell>
        </row>
        <row r="380">
          <cell r="I380">
            <v>41950</v>
          </cell>
          <cell r="J380">
            <v>1565.3</v>
          </cell>
          <cell r="L380">
            <v>0.548579829179903</v>
          </cell>
        </row>
        <row r="381">
          <cell r="I381">
            <v>41957</v>
          </cell>
          <cell r="J381">
            <v>1563.2</v>
          </cell>
          <cell r="L381">
            <v>0.55497671209744104</v>
          </cell>
        </row>
        <row r="382">
          <cell r="I382">
            <v>41964</v>
          </cell>
          <cell r="J382">
            <v>1547.9</v>
          </cell>
          <cell r="L382">
            <v>0.56606721089043699</v>
          </cell>
        </row>
        <row r="383">
          <cell r="I383">
            <v>41971</v>
          </cell>
          <cell r="J383">
            <v>1366.6</v>
          </cell>
          <cell r="L383">
            <v>0.57290983086857505</v>
          </cell>
        </row>
        <row r="384">
          <cell r="I384">
            <v>41978</v>
          </cell>
          <cell r="J384">
            <v>1548.6</v>
          </cell>
          <cell r="L384">
            <v>0.59279776197128298</v>
          </cell>
        </row>
        <row r="385">
          <cell r="I385">
            <v>41985</v>
          </cell>
          <cell r="J385">
            <v>1518.8</v>
          </cell>
          <cell r="L385">
            <v>0.57867105076839898</v>
          </cell>
        </row>
        <row r="386">
          <cell r="I386">
            <v>41992</v>
          </cell>
          <cell r="J386">
            <v>1538.7</v>
          </cell>
          <cell r="L386">
            <v>0.61554969638107904</v>
          </cell>
        </row>
        <row r="387">
          <cell r="I387">
            <v>41999</v>
          </cell>
          <cell r="J387">
            <v>1164.2</v>
          </cell>
          <cell r="L387">
            <v>0.605746362235419</v>
          </cell>
        </row>
        <row r="388">
          <cell r="I388">
            <v>42006</v>
          </cell>
          <cell r="J388">
            <v>1347.6</v>
          </cell>
          <cell r="L388">
            <v>0.59072795930158895</v>
          </cell>
        </row>
        <row r="389">
          <cell r="I389">
            <v>42013</v>
          </cell>
          <cell r="J389">
            <v>2308.6999999999998</v>
          </cell>
          <cell r="L389">
            <v>0.63580141506138299</v>
          </cell>
        </row>
        <row r="390">
          <cell r="I390">
            <v>42020</v>
          </cell>
          <cell r="J390">
            <v>2799.3</v>
          </cell>
          <cell r="L390">
            <v>0.66264885680248997</v>
          </cell>
        </row>
        <row r="391">
          <cell r="I391">
            <v>42027</v>
          </cell>
          <cell r="J391">
            <v>2572.3000000000002</v>
          </cell>
          <cell r="L391">
            <v>0.664741267487021</v>
          </cell>
        </row>
        <row r="392">
          <cell r="I392">
            <v>42034</v>
          </cell>
          <cell r="J392">
            <v>2584.8000000000002</v>
          </cell>
          <cell r="L392">
            <v>0.66264885680248997</v>
          </cell>
        </row>
        <row r="393">
          <cell r="I393">
            <v>42041</v>
          </cell>
          <cell r="J393">
            <v>2291.3000000000002</v>
          </cell>
          <cell r="L393">
            <v>0.68438167594716104</v>
          </cell>
        </row>
        <row r="394">
          <cell r="I394">
            <v>42048</v>
          </cell>
          <cell r="J394">
            <v>1904.2</v>
          </cell>
          <cell r="L394">
            <v>0.64890841265420796</v>
          </cell>
        </row>
        <row r="395">
          <cell r="I395">
            <v>42055</v>
          </cell>
          <cell r="J395">
            <v>1703.1</v>
          </cell>
          <cell r="L395">
            <v>0.62651628119673397</v>
          </cell>
        </row>
        <row r="396">
          <cell r="I396">
            <v>42062</v>
          </cell>
          <cell r="J396">
            <v>1740.3</v>
          </cell>
          <cell r="L396">
            <v>0.61098575112407705</v>
          </cell>
        </row>
        <row r="397">
          <cell r="I397">
            <v>42069</v>
          </cell>
          <cell r="J397">
            <v>1685.7</v>
          </cell>
          <cell r="L397">
            <v>0.61966926616186602</v>
          </cell>
        </row>
        <row r="398">
          <cell r="I398">
            <v>42076</v>
          </cell>
          <cell r="J398">
            <v>1623.6</v>
          </cell>
          <cell r="L398">
            <v>0.57559445438514301</v>
          </cell>
        </row>
        <row r="399">
          <cell r="I399">
            <v>42083</v>
          </cell>
          <cell r="J399">
            <v>1860.8</v>
          </cell>
          <cell r="L399">
            <v>0.609371962286406</v>
          </cell>
        </row>
        <row r="400">
          <cell r="I400">
            <v>42090</v>
          </cell>
          <cell r="J400">
            <v>1941.6</v>
          </cell>
          <cell r="L400">
            <v>0.64195316325793905</v>
          </cell>
        </row>
        <row r="401">
          <cell r="I401">
            <v>42097</v>
          </cell>
          <cell r="J401">
            <v>1854.7</v>
          </cell>
          <cell r="L401">
            <v>0.62812472062617597</v>
          </cell>
        </row>
        <row r="402">
          <cell r="I402">
            <v>42104</v>
          </cell>
          <cell r="J402">
            <v>1804.6</v>
          </cell>
          <cell r="L402">
            <v>0.64478767281568505</v>
          </cell>
        </row>
        <row r="403">
          <cell r="I403">
            <v>42111</v>
          </cell>
          <cell r="J403">
            <v>1817</v>
          </cell>
          <cell r="L403">
            <v>0.63088888629855699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5" autoFormatId="16" applyNumberFormats="0" applyBorderFormats="0" applyFontFormats="0" applyPatternFormats="0" applyAlignmentFormats="0" applyWidthHeightFormats="0">
  <queryTableRefresh nextId="74" unboundColumnsRight="6">
    <queryTableFields count="9">
      <queryTableField id="62" name="AsOfDate" tableColumnId="1"/>
      <queryTableField id="64" name="refinancible" tableColumnId="3"/>
      <queryTableField id="65" name="refinancible_satoAdj" tableColumnId="4"/>
      <queryTableField id="66" dataBound="0" tableColumnId="5"/>
      <queryTableField id="67" dataBound="0" tableColumnId="6"/>
      <queryTableField id="68" dataBound="0" tableColumnId="2"/>
      <queryTableField id="70" dataBound="0" tableColumnId="8"/>
      <queryTableField id="71" dataBound="0" tableColumnId="7"/>
      <queryTableField id="72" dataBound="0" tableColumnId="9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6" autoFormatId="16" applyNumberFormats="0" applyBorderFormats="0" applyFontFormats="0" applyPatternFormats="0" applyAlignmentFormats="0" applyWidthHeightFormats="0">
  <queryTableRefresh nextId="70" unboundColumnsRight="1">
    <queryTableFields count="3">
      <queryTableField id="62" name="AsOfDate" tableColumnId="1"/>
      <queryTableField id="67" name="refinanceible" tableColumnId="6"/>
      <queryTableField id="66" dataBound="0" tableColumnId="5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7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4.xml><?xml version="1.0" encoding="utf-8"?>
<queryTable xmlns="http://schemas.openxmlformats.org/spreadsheetml/2006/main" name="Query from Agency_10" backgroundRefresh="0" adjustColumnWidth="0" connectionId="9" autoFormatId="16" applyNumberFormats="0" applyBorderFormats="0" applyFontFormats="0" applyPatternFormats="0" applyAlignmentFormats="0" applyWidthHeightFormats="0">
  <queryTableRefresh nextId="72">
    <queryTableFields count="2">
      <queryTableField id="62" name="AsOfDate" tableColumnId="1"/>
      <queryTableField id="67" name="refinanceible" tableColumnId="6"/>
    </queryTableFields>
  </queryTableRefresh>
</queryTable>
</file>

<file path=xl/queryTables/queryTable5.xml><?xml version="1.0" encoding="utf-8"?>
<queryTable xmlns="http://schemas.openxmlformats.org/spreadsheetml/2006/main" name="temp1_2" connectionId="1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emp1_1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emp1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emp1_1" connectionId="1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mp1" connectionId="1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mp1_2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mp" connectionId="2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mp_1" connectionId="2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mp" connectionId="2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mp_3" connectionId="2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mp_4" connectionId="2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mp_2" connectionId="23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urrentMtgRatesDataTable825" displayName="CurrentMtgRatesDataTable825" ref="B2:J232" tableType="queryTable" totalsRowShown="0" headerRowDxfId="27" dataDxfId="26">
  <tableColumns count="9">
    <tableColumn id="1" uniqueName="1" name="asOfDate" queryTableFieldId="62" dataDxfId="3"/>
    <tableColumn id="3" uniqueName="3" name="refinancible" queryTableFieldId="64" dataDxfId="2" dataCellStyle="Percent"/>
    <tableColumn id="4" uniqueName="4" name="refinancible_satoAdj" queryTableFieldId="65" dataDxfId="0" dataCellStyle="Percent"/>
    <tableColumn id="5" uniqueName="5" name="Conv Refi Index" queryTableFieldId="66" dataDxfId="1">
      <calculatedColumnFormula>VLOOKUP(CurrentMtgRatesDataTable825[[#This Row],[asOfDate]]+1,Bloomberg!B:C,2,0)</calculatedColumnFormula>
    </tableColumn>
    <tableColumn id="6" uniqueName="6" name="Loan Level" queryTableFieldId="67" dataDxfId="8" dataCellStyle="Percent">
      <calculatedColumnFormula>VLOOKUP(CurrentMtgRatesDataTable825[[#This Row],[asOfDate]],CurrentMtgRatesDataTable8256[#All],2,0)</calculatedColumnFormula>
    </tableColumn>
    <tableColumn id="2" uniqueName="2" name="Loan with LLPA" queryTableFieldId="68" dataDxfId="7" dataCellStyle="Percent">
      <calculatedColumnFormula>VLOOKUP(CurrentMtgRatesDataTable825[[#This Row],[asOfDate]],CurrentMtgRatesDataTable82562[],2,0)</calculatedColumnFormula>
    </tableColumn>
    <tableColumn id="8" uniqueName="8" name="Time-Dependent LLPA" queryTableFieldId="70" dataDxfId="6" dataCellStyle="Percent">
      <calculatedColumnFormula>VLOOKUP(CurrentMtgRatesDataTable825[[#This Row],[asOfDate]],S:T,2,0)</calculatedColumnFormula>
    </tableColumn>
    <tableColumn id="7" uniqueName="7" name="LLPA &amp; PMI" queryTableFieldId="71" dataDxfId="5" dataCellStyle="Percent">
      <calculatedColumnFormula>VLOOKUP(CurrentMtgRatesDataTable825[[#This Row],[asOfDate]],CurrentMtgRatesDataTable825623[#All],2,0)</calculatedColumnFormula>
    </tableColumn>
    <tableColumn id="9" uniqueName="9" name="HARP" queryTableFieldId="72" dataDxfId="4" dataCellStyle="Percent">
      <calculatedColumnFormula>VLOOKUP(CurrentMtgRatesDataTable825[[#This Row],[asOfDate]],AB:AC,2,0)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5" name="CurrentMtgRatesDataTable8256" displayName="CurrentMtgRatesDataTable8256" ref="L2:N227" tableType="queryTable" totalsRowShown="0" headerRowDxfId="25" dataDxfId="24">
  <tableColumns count="3">
    <tableColumn id="1" uniqueName="1" name="asOfDate" queryTableFieldId="62" dataDxfId="23"/>
    <tableColumn id="6" uniqueName="6" name="refinanceible" queryTableFieldId="67" dataDxfId="22"/>
    <tableColumn id="5" uniqueName="5" name="Conv Refi Index" queryTableFieldId="66" dataDxfId="21">
      <calculatedColumnFormula>VLOOKUP(CurrentMtgRatesDataTable8256[[#This Row],[asOfDate]]+1,Bloomberg!B:C,2,0)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1" name="CurrentMtgRatesDataTable82562" displayName="CurrentMtgRatesDataTable82562" ref="P2:Q228" tableType="queryTable" totalsRowShown="0" headerRowDxfId="20" dataDxfId="19">
  <tableColumns count="2">
    <tableColumn id="1" uniqueName="1" name="asOfDate" queryTableFieldId="62" dataDxfId="18"/>
    <tableColumn id="6" uniqueName="6" name="refinanceible" queryTableFieldId="67" dataDxfId="1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623" displayName="CurrentMtgRatesDataTable825623" ref="V2:W228" tableType="queryTable" totalsRowShown="0" headerRowDxfId="16" dataDxfId="15">
  <tableColumns count="2">
    <tableColumn id="1" uniqueName="1" name="asOfDate" queryTableFieldId="62" dataDxfId="14"/>
    <tableColumn id="6" uniqueName="6" name="refinanceible" queryTableFieldId="67" dataDxfId="1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3" Type="http://schemas.openxmlformats.org/officeDocument/2006/relationships/table" Target="../tables/table1.xml"/><Relationship Id="rId7" Type="http://schemas.openxmlformats.org/officeDocument/2006/relationships/queryTable" Target="../queryTables/query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1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drawing" Target="../drawings/drawing8.xml"/><Relationship Id="rId6" Type="http://schemas.openxmlformats.org/officeDocument/2006/relationships/queryTable" Target="../queryTables/queryTable16.xml"/><Relationship Id="rId5" Type="http://schemas.openxmlformats.org/officeDocument/2006/relationships/queryTable" Target="../queryTables/queryTable15.xml"/><Relationship Id="rId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W87"/>
  <sheetViews>
    <sheetView showGridLines="0" zoomScaleNormal="100" workbookViewId="0">
      <selection activeCell="K66" sqref="K66"/>
    </sheetView>
  </sheetViews>
  <sheetFormatPr defaultRowHeight="12.75"/>
  <cols>
    <col min="1" max="1" width="9.140625" style="6" customWidth="1"/>
    <col min="2" max="2" width="9.140625" style="6"/>
    <col min="3" max="11" width="15.7109375" style="6" customWidth="1"/>
    <col min="12" max="14" width="10.28515625" style="6" customWidth="1"/>
    <col min="15" max="15" width="13.140625" style="6" customWidth="1"/>
    <col min="16" max="16" width="15.85546875" style="6" bestFit="1" customWidth="1"/>
    <col min="17" max="17" width="7.5703125" style="6" customWidth="1"/>
    <col min="18" max="18" width="10.28515625" style="6" customWidth="1"/>
    <col min="19" max="19" width="9.140625" style="6"/>
    <col min="20" max="20" width="14.140625" style="6" customWidth="1"/>
    <col min="21" max="21" width="40.85546875" style="6" bestFit="1" customWidth="1"/>
    <col min="22" max="22" width="14.85546875" style="6" bestFit="1" customWidth="1"/>
    <col min="23" max="16384" width="9.140625" style="6"/>
  </cols>
  <sheetData>
    <row r="1" spans="3:23">
      <c r="T1" s="2" t="s">
        <v>1</v>
      </c>
      <c r="U1" s="3" t="s">
        <v>2</v>
      </c>
      <c r="V1" s="6" t="s">
        <v>3</v>
      </c>
      <c r="W1" s="3" t="s">
        <v>4</v>
      </c>
    </row>
    <row r="2" spans="3:23">
      <c r="T2" s="2" t="s">
        <v>5</v>
      </c>
      <c r="U2" s="4">
        <v>42095</v>
      </c>
    </row>
    <row r="3" spans="3:23">
      <c r="T3" s="2" t="s">
        <v>26</v>
      </c>
      <c r="U3" s="25" t="s">
        <v>29</v>
      </c>
    </row>
    <row r="4" spans="3:23">
      <c r="T4" s="2" t="s">
        <v>6</v>
      </c>
      <c r="U4" s="3" t="str">
        <f>PDFReportDir&amp;"Market Concentration " &amp; TEXT(CurrentCloseDate, "yyyy-mm-dd") &amp; ".pdf"</f>
        <v>S:\IT\Production\Daily Reports\Primary Market\tmp\Market Concentration 2015-04-01.pdf</v>
      </c>
    </row>
    <row r="5" spans="3:23">
      <c r="T5" s="11"/>
    </row>
    <row r="6" spans="3:23">
      <c r="T6" s="11"/>
    </row>
    <row r="9" spans="3:23" s="12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T9" s="12" t="s">
        <v>21</v>
      </c>
      <c r="U9" s="18">
        <f>IF(DAY(CurrentCloseDate)&lt;5,(CurrentCloseDate-DAY(CurrentCloseDate))-DAY((CurrentCloseDate-DAY(CurrentCloseDate)))+1,CurrentCloseDate-DAY(CurrentCloseDate)+1)</f>
        <v>42064</v>
      </c>
    </row>
    <row r="10" spans="3:23" s="13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T10" s="13" t="s">
        <v>22</v>
      </c>
      <c r="U10" s="19">
        <f>(U9-1)-DAY((U9-1))+1</f>
        <v>42036</v>
      </c>
    </row>
    <row r="11" spans="3:23" s="13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</row>
    <row r="12" spans="3:23" s="13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T12" s="13" t="s">
        <v>27</v>
      </c>
      <c r="U12" s="19">
        <v>40695</v>
      </c>
    </row>
    <row r="13" spans="3:23" s="13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</row>
    <row r="14" spans="3:23" s="13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</row>
    <row r="15" spans="3:23" s="13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</row>
    <row r="16" spans="3:23" s="13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</row>
    <row r="17" spans="3:18" s="13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</row>
    <row r="18" spans="3:18" s="13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</row>
    <row r="19" spans="3:18" s="13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</row>
    <row r="20" spans="3:18" s="13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</row>
    <row r="21" spans="3:18" s="13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</row>
    <row r="40" spans="3:11">
      <c r="D40" s="7"/>
      <c r="E40" s="8" t="s">
        <v>15</v>
      </c>
      <c r="F40" s="9" t="s">
        <v>16</v>
      </c>
      <c r="G40" s="9" t="s">
        <v>17</v>
      </c>
      <c r="H40" s="9" t="s">
        <v>18</v>
      </c>
      <c r="I40" s="9" t="s">
        <v>19</v>
      </c>
    </row>
    <row r="41" spans="3:11">
      <c r="D41" s="10" t="s">
        <v>12</v>
      </c>
      <c r="E41" s="20" t="e">
        <f>#REF!</f>
        <v>#REF!</v>
      </c>
      <c r="F41" s="14" t="e">
        <f>#REF!-#REF!</f>
        <v>#REF!</v>
      </c>
      <c r="G41" s="14" t="e">
        <f>#REF!-#REF!</f>
        <v>#REF!</v>
      </c>
      <c r="H41" s="14" t="e">
        <f>#REF!-#REF!</f>
        <v>#REF!</v>
      </c>
      <c r="I41" s="14" t="e">
        <f>#REF!-#REF!</f>
        <v>#REF!</v>
      </c>
    </row>
    <row r="42" spans="3:11">
      <c r="D42" s="10" t="s">
        <v>13</v>
      </c>
      <c r="E42" s="20" t="e">
        <f>#REF!</f>
        <v>#REF!</v>
      </c>
      <c r="F42" s="14" t="e">
        <f>#REF!-#REF!</f>
        <v>#REF!</v>
      </c>
      <c r="G42" s="14" t="e">
        <f>#REF!-#REF!</f>
        <v>#REF!</v>
      </c>
      <c r="H42" s="14" t="e">
        <f>#REF!-#REF!</f>
        <v>#REF!</v>
      </c>
      <c r="I42" s="14" t="e">
        <f>#REF!-#REF!</f>
        <v>#REF!</v>
      </c>
    </row>
    <row r="43" spans="3:11">
      <c r="D43" s="10" t="s">
        <v>14</v>
      </c>
      <c r="E43" s="20" t="e">
        <f>#REF!</f>
        <v>#REF!</v>
      </c>
      <c r="F43" s="14" t="e">
        <f>#REF!-#REF!</f>
        <v>#REF!</v>
      </c>
      <c r="G43" s="14" t="e">
        <f>#REF!-#REF!</f>
        <v>#REF!</v>
      </c>
      <c r="H43" s="14" t="e">
        <f>#REF!-#REF!</f>
        <v>#REF!</v>
      </c>
      <c r="I43" s="14" t="e">
        <f>#REF!-#REF!</f>
        <v>#REF!</v>
      </c>
      <c r="J43" s="23"/>
    </row>
    <row r="44" spans="3:11">
      <c r="D44" s="21"/>
      <c r="E44" s="22"/>
      <c r="F44" s="22"/>
      <c r="G44" s="23"/>
      <c r="H44" s="23"/>
      <c r="I44" s="23"/>
      <c r="J44" s="23"/>
    </row>
    <row r="47" spans="3:11" ht="15">
      <c r="C47" s="5" t="s">
        <v>24</v>
      </c>
      <c r="E47" s="35" t="s">
        <v>30</v>
      </c>
      <c r="F47" s="36">
        <f>U9</f>
        <v>42064</v>
      </c>
      <c r="H47" s="5" t="s">
        <v>25</v>
      </c>
      <c r="J47" s="35" t="s">
        <v>30</v>
      </c>
      <c r="K47" s="36">
        <f>U10</f>
        <v>42036</v>
      </c>
    </row>
    <row r="48" spans="3:11">
      <c r="C48" s="28" t="s">
        <v>0</v>
      </c>
      <c r="D48" s="29" t="s">
        <v>23</v>
      </c>
      <c r="E48" s="29" t="s">
        <v>20</v>
      </c>
      <c r="F48" s="30" t="s">
        <v>28</v>
      </c>
      <c r="H48" s="28" t="s">
        <v>0</v>
      </c>
      <c r="I48" s="29" t="s">
        <v>23</v>
      </c>
      <c r="J48" s="29" t="s">
        <v>20</v>
      </c>
      <c r="K48" s="30" t="s">
        <v>28</v>
      </c>
    </row>
    <row r="49" spans="3:11">
      <c r="C49" s="28">
        <v>1</v>
      </c>
      <c r="D49" s="31" t="e">
        <f t="array" ref="D49">VLOOKUP(C49&amp;$U$9,IF({1,0},#REF!&amp;#REF!,#REF!),2,0)</f>
        <v>#N/A</v>
      </c>
      <c r="E49" s="32" t="e">
        <f t="array" ref="E49">VLOOKUP(C49&amp;$U$9,IF({1,0},#REF!&amp;#REF!,#REF!),2,0)/VLOOKUP($U$9,#REF!,2,0)</f>
        <v>#N/A</v>
      </c>
      <c r="F49" s="33" t="e">
        <f t="array" ref="F49">VLOOKUP(C49&amp;$U$9,IF({1,0},#REF!&amp;#REF!,#REF!),2,0)/1000000</f>
        <v>#N/A</v>
      </c>
      <c r="H49" s="28">
        <v>1</v>
      </c>
      <c r="I49" s="31" t="e">
        <f t="array" ref="I49">VLOOKUP(C49&amp;$U$10,IF({1,0},#REF!&amp;#REF!,#REF!),2,0)</f>
        <v>#N/A</v>
      </c>
      <c r="J49" s="32" t="e">
        <f t="array" ref="J49">VLOOKUP(C49&amp;$U$10,IF({1,0},#REF!&amp;#REF!,#REF!),2,0)/VLOOKUP($U$10,#REF!,2,0)</f>
        <v>#N/A</v>
      </c>
      <c r="K49" s="34" t="e">
        <f t="array" ref="K49">VLOOKUP(C49&amp;$U$10,IF({1,0},#REF!&amp;#REF!,#REF!),2,0)/1000000</f>
        <v>#N/A</v>
      </c>
    </row>
    <row r="50" spans="3:11">
      <c r="C50" s="28">
        <v>2</v>
      </c>
      <c r="D50" s="31" t="e">
        <f t="array" ref="D50">VLOOKUP(C50&amp;$U$9,IF({1,0},#REF!&amp;#REF!,#REF!),2,0)</f>
        <v>#N/A</v>
      </c>
      <c r="E50" s="32" t="e">
        <f t="array" ref="E50">VLOOKUP(C50&amp;$U$9,IF({1,0},#REF!&amp;#REF!,#REF!),2,0)/VLOOKUP($U$9,#REF!,2,0)</f>
        <v>#N/A</v>
      </c>
      <c r="F50" s="33" t="e">
        <f t="array" ref="F50">VLOOKUP(C50&amp;$U$9,IF({1,0},#REF!&amp;#REF!,#REF!),2,0)/1000000</f>
        <v>#N/A</v>
      </c>
      <c r="H50" s="28">
        <v>2</v>
      </c>
      <c r="I50" s="31" t="e">
        <f t="array" ref="I50">VLOOKUP(C50&amp;$U$10,IF({1,0},#REF!&amp;#REF!,#REF!),2,0)</f>
        <v>#N/A</v>
      </c>
      <c r="J50" s="32" t="e">
        <f t="array" ref="J50">VLOOKUP(C50&amp;$U$10,IF({1,0},#REF!&amp;#REF!,#REF!),2,0)/VLOOKUP($U$10,#REF!,2,0)</f>
        <v>#N/A</v>
      </c>
      <c r="K50" s="34" t="e">
        <f t="array" ref="K50">VLOOKUP(C50&amp;$U$10,IF({1,0},#REF!&amp;#REF!,#REF!),2,0)/1000000</f>
        <v>#N/A</v>
      </c>
    </row>
    <row r="51" spans="3:11">
      <c r="C51" s="28">
        <v>3</v>
      </c>
      <c r="D51" s="31" t="e">
        <f t="array" ref="D51">VLOOKUP(C51&amp;$U$9,IF({1,0},#REF!&amp;#REF!,#REF!),2,0)</f>
        <v>#N/A</v>
      </c>
      <c r="E51" s="32" t="e">
        <f t="array" ref="E51">VLOOKUP(C51&amp;$U$9,IF({1,0},#REF!&amp;#REF!,#REF!),2,0)/VLOOKUP($U$9,#REF!,2,0)</f>
        <v>#N/A</v>
      </c>
      <c r="F51" s="33" t="e">
        <f t="array" ref="F51">VLOOKUP(C51&amp;$U$9,IF({1,0},#REF!&amp;#REF!,#REF!),2,0)/1000000</f>
        <v>#N/A</v>
      </c>
      <c r="H51" s="28">
        <v>3</v>
      </c>
      <c r="I51" s="31" t="e">
        <f t="array" ref="I51">VLOOKUP(C51&amp;$U$10,IF({1,0},#REF!&amp;#REF!,#REF!),2,0)</f>
        <v>#N/A</v>
      </c>
      <c r="J51" s="32" t="e">
        <f t="array" ref="J51">VLOOKUP(C51&amp;$U$10,IF({1,0},#REF!&amp;#REF!,#REF!),2,0)/VLOOKUP($U$10,#REF!,2,0)</f>
        <v>#N/A</v>
      </c>
      <c r="K51" s="34" t="e">
        <f t="array" ref="K51">VLOOKUP(C51&amp;$U$10,IF({1,0},#REF!&amp;#REF!,#REF!),2,0)/1000000</f>
        <v>#N/A</v>
      </c>
    </row>
    <row r="52" spans="3:11">
      <c r="C52" s="28">
        <v>4</v>
      </c>
      <c r="D52" s="31" t="e">
        <f t="array" ref="D52">VLOOKUP(C52&amp;$U$9,IF({1,0},#REF!&amp;#REF!,#REF!),2,0)</f>
        <v>#N/A</v>
      </c>
      <c r="E52" s="32" t="e">
        <f t="array" ref="E52">VLOOKUP(C52&amp;$U$9,IF({1,0},#REF!&amp;#REF!,#REF!),2,0)/VLOOKUP($U$9,#REF!,2,0)</f>
        <v>#N/A</v>
      </c>
      <c r="F52" s="33" t="e">
        <f t="array" ref="F52">VLOOKUP(C52&amp;$U$9,IF({1,0},#REF!&amp;#REF!,#REF!),2,0)/1000000</f>
        <v>#N/A</v>
      </c>
      <c r="H52" s="28">
        <v>4</v>
      </c>
      <c r="I52" s="31" t="e">
        <f t="array" ref="I52">VLOOKUP(C52&amp;$U$10,IF({1,0},#REF!&amp;#REF!,#REF!),2,0)</f>
        <v>#N/A</v>
      </c>
      <c r="J52" s="32" t="e">
        <f t="array" ref="J52">VLOOKUP(C52&amp;$U$10,IF({1,0},#REF!&amp;#REF!,#REF!),2,0)/VLOOKUP($U$10,#REF!,2,0)</f>
        <v>#N/A</v>
      </c>
      <c r="K52" s="34" t="e">
        <f t="array" ref="K52">VLOOKUP(C52&amp;$U$10,IF({1,0},#REF!&amp;#REF!,#REF!),2,0)/1000000</f>
        <v>#N/A</v>
      </c>
    </row>
    <row r="53" spans="3:11">
      <c r="C53" s="28">
        <v>5</v>
      </c>
      <c r="D53" s="31" t="e">
        <f t="array" ref="D53">VLOOKUP(C53&amp;$U$9,IF({1,0},#REF!&amp;#REF!,#REF!),2,0)</f>
        <v>#N/A</v>
      </c>
      <c r="E53" s="32" t="e">
        <f t="array" ref="E53">VLOOKUP(C53&amp;$U$9,IF({1,0},#REF!&amp;#REF!,#REF!),2,0)/VLOOKUP($U$9,#REF!,2,0)</f>
        <v>#N/A</v>
      </c>
      <c r="F53" s="33" t="e">
        <f t="array" ref="F53">VLOOKUP(C53&amp;$U$9,IF({1,0},#REF!&amp;#REF!,#REF!),2,0)/1000000</f>
        <v>#N/A</v>
      </c>
      <c r="H53" s="28">
        <v>5</v>
      </c>
      <c r="I53" s="31" t="e">
        <f t="array" ref="I53">VLOOKUP(C53&amp;$U$10,IF({1,0},#REF!&amp;#REF!,#REF!),2,0)</f>
        <v>#N/A</v>
      </c>
      <c r="J53" s="32" t="e">
        <f t="array" ref="J53">VLOOKUP(C53&amp;$U$10,IF({1,0},#REF!&amp;#REF!,#REF!),2,0)/VLOOKUP($U$10,#REF!,2,0)</f>
        <v>#N/A</v>
      </c>
      <c r="K53" s="34" t="e">
        <f t="array" ref="K53">VLOOKUP(C53&amp;$U$10,IF({1,0},#REF!&amp;#REF!,#REF!),2,0)/1000000</f>
        <v>#N/A</v>
      </c>
    </row>
    <row r="54" spans="3:11">
      <c r="C54" s="28">
        <v>6</v>
      </c>
      <c r="D54" s="31" t="e">
        <f t="array" ref="D54">VLOOKUP(C54&amp;$U$9,IF({1,0},#REF!&amp;#REF!,#REF!),2,0)</f>
        <v>#N/A</v>
      </c>
      <c r="E54" s="32" t="e">
        <f t="array" ref="E54">VLOOKUP(C54&amp;$U$9,IF({1,0},#REF!&amp;#REF!,#REF!),2,0)/VLOOKUP($U$9,#REF!,2,0)</f>
        <v>#N/A</v>
      </c>
      <c r="F54" s="33" t="e">
        <f t="array" ref="F54">VLOOKUP(C54&amp;$U$9,IF({1,0},#REF!&amp;#REF!,#REF!),2,0)/1000000</f>
        <v>#N/A</v>
      </c>
      <c r="H54" s="28">
        <v>6</v>
      </c>
      <c r="I54" s="31" t="e">
        <f t="array" ref="I54">VLOOKUP(C54&amp;$U$10,IF({1,0},#REF!&amp;#REF!,#REF!),2,0)</f>
        <v>#N/A</v>
      </c>
      <c r="J54" s="32" t="e">
        <f t="array" ref="J54">VLOOKUP(C54&amp;$U$10,IF({1,0},#REF!&amp;#REF!,#REF!),2,0)/VLOOKUP($U$10,#REF!,2,0)</f>
        <v>#N/A</v>
      </c>
      <c r="K54" s="34" t="e">
        <f t="array" ref="K54">VLOOKUP(C54&amp;$U$10,IF({1,0},#REF!&amp;#REF!,#REF!),2,0)/1000000</f>
        <v>#N/A</v>
      </c>
    </row>
    <row r="55" spans="3:11">
      <c r="C55" s="28">
        <v>7</v>
      </c>
      <c r="D55" s="31" t="e">
        <f t="array" ref="D55">VLOOKUP(C55&amp;$U$9,IF({1,0},#REF!&amp;#REF!,#REF!),2,0)</f>
        <v>#N/A</v>
      </c>
      <c r="E55" s="32" t="e">
        <f t="array" ref="E55">VLOOKUP(C55&amp;$U$9,IF({1,0},#REF!&amp;#REF!,#REF!),2,0)/VLOOKUP($U$9,#REF!,2,0)</f>
        <v>#N/A</v>
      </c>
      <c r="F55" s="33" t="e">
        <f t="array" ref="F55">VLOOKUP(C55&amp;$U$9,IF({1,0},#REF!&amp;#REF!,#REF!),2,0)/1000000</f>
        <v>#N/A</v>
      </c>
      <c r="H55" s="28">
        <v>7</v>
      </c>
      <c r="I55" s="31" t="e">
        <f t="array" ref="I55">VLOOKUP(C55&amp;$U$10,IF({1,0},#REF!&amp;#REF!,#REF!),2,0)</f>
        <v>#N/A</v>
      </c>
      <c r="J55" s="32" t="e">
        <f t="array" ref="J55">VLOOKUP(C55&amp;$U$10,IF({1,0},#REF!&amp;#REF!,#REF!),2,0)/VLOOKUP($U$10,#REF!,2,0)</f>
        <v>#N/A</v>
      </c>
      <c r="K55" s="34" t="e">
        <f t="array" ref="K55">VLOOKUP(C55&amp;$U$10,IF({1,0},#REF!&amp;#REF!,#REF!),2,0)/1000000</f>
        <v>#N/A</v>
      </c>
    </row>
    <row r="56" spans="3:11">
      <c r="C56" s="28">
        <v>8</v>
      </c>
      <c r="D56" s="31" t="e">
        <f t="array" ref="D56">VLOOKUP(C56&amp;$U$9,IF({1,0},#REF!&amp;#REF!,#REF!),2,0)</f>
        <v>#N/A</v>
      </c>
      <c r="E56" s="32" t="e">
        <f t="array" ref="E56">VLOOKUP(C56&amp;$U$9,IF({1,0},#REF!&amp;#REF!,#REF!),2,0)/VLOOKUP($U$9,#REF!,2,0)</f>
        <v>#N/A</v>
      </c>
      <c r="F56" s="33" t="e">
        <f t="array" ref="F56">VLOOKUP(C56&amp;$U$9,IF({1,0},#REF!&amp;#REF!,#REF!),2,0)/1000000</f>
        <v>#N/A</v>
      </c>
      <c r="H56" s="28">
        <v>8</v>
      </c>
      <c r="I56" s="31" t="e">
        <f t="array" ref="I56">VLOOKUP(C56&amp;$U$10,IF({1,0},#REF!&amp;#REF!,#REF!),2,0)</f>
        <v>#N/A</v>
      </c>
      <c r="J56" s="32" t="e">
        <f t="array" ref="J56">VLOOKUP(C56&amp;$U$10,IF({1,0},#REF!&amp;#REF!,#REF!),2,0)/VLOOKUP($U$10,#REF!,2,0)</f>
        <v>#N/A</v>
      </c>
      <c r="K56" s="34" t="e">
        <f t="array" ref="K56">VLOOKUP(C56&amp;$U$10,IF({1,0},#REF!&amp;#REF!,#REF!),2,0)/1000000</f>
        <v>#N/A</v>
      </c>
    </row>
    <row r="57" spans="3:11">
      <c r="C57" s="28">
        <v>9</v>
      </c>
      <c r="D57" s="31" t="e">
        <f t="array" ref="D57">VLOOKUP(C57&amp;$U$9,IF({1,0},#REF!&amp;#REF!,#REF!),2,0)</f>
        <v>#N/A</v>
      </c>
      <c r="E57" s="32" t="e">
        <f t="array" ref="E57">VLOOKUP(C57&amp;$U$9,IF({1,0},#REF!&amp;#REF!,#REF!),2,0)/VLOOKUP($U$9,#REF!,2,0)</f>
        <v>#N/A</v>
      </c>
      <c r="F57" s="33" t="e">
        <f t="array" ref="F57">VLOOKUP(C57&amp;$U$9,IF({1,0},#REF!&amp;#REF!,#REF!),2,0)/1000000</f>
        <v>#N/A</v>
      </c>
      <c r="H57" s="28">
        <v>9</v>
      </c>
      <c r="I57" s="31" t="e">
        <f t="array" ref="I57">VLOOKUP(C57&amp;$U$10,IF({1,0},#REF!&amp;#REF!,#REF!),2,0)</f>
        <v>#N/A</v>
      </c>
      <c r="J57" s="32" t="e">
        <f t="array" ref="J57">VLOOKUP(C57&amp;$U$10,IF({1,0},#REF!&amp;#REF!,#REF!),2,0)/VLOOKUP($U$10,#REF!,2,0)</f>
        <v>#N/A</v>
      </c>
      <c r="K57" s="34" t="e">
        <f t="array" ref="K57">VLOOKUP(C57&amp;$U$10,IF({1,0},#REF!&amp;#REF!,#REF!),2,0)/1000000</f>
        <v>#N/A</v>
      </c>
    </row>
    <row r="58" spans="3:11">
      <c r="C58" s="28">
        <v>10</v>
      </c>
      <c r="D58" s="31" t="e">
        <f t="array" ref="D58">VLOOKUP(C58&amp;$U$9,IF({1,0},#REF!&amp;#REF!,#REF!),2,0)</f>
        <v>#N/A</v>
      </c>
      <c r="E58" s="32" t="e">
        <f t="array" ref="E58">VLOOKUP(C58&amp;$U$9,IF({1,0},#REF!&amp;#REF!,#REF!),2,0)/VLOOKUP($U$9,#REF!,2,0)</f>
        <v>#N/A</v>
      </c>
      <c r="F58" s="33" t="e">
        <f t="array" ref="F58">VLOOKUP(C58&amp;$U$9,IF({1,0},#REF!&amp;#REF!,#REF!),2,0)/1000000</f>
        <v>#N/A</v>
      </c>
      <c r="H58" s="28">
        <v>10</v>
      </c>
      <c r="I58" s="31" t="e">
        <f t="array" ref="I58">VLOOKUP(C58&amp;$U$10,IF({1,0},#REF!&amp;#REF!,#REF!),2,0)</f>
        <v>#N/A</v>
      </c>
      <c r="J58" s="32" t="e">
        <f t="array" ref="J58">VLOOKUP(C58&amp;$U$10,IF({1,0},#REF!&amp;#REF!,#REF!),2,0)/VLOOKUP($U$10,#REF!,2,0)</f>
        <v>#N/A</v>
      </c>
      <c r="K58" s="34" t="e">
        <f t="array" ref="K58">VLOOKUP(C58&amp;$U$10,IF({1,0},#REF!&amp;#REF!,#REF!),2,0)/1000000</f>
        <v>#N/A</v>
      </c>
    </row>
    <row r="84" spans="16:17">
      <c r="P84" s="15" t="s">
        <v>11</v>
      </c>
      <c r="Q84" s="16" t="s">
        <v>7</v>
      </c>
    </row>
    <row r="85" spans="16:17">
      <c r="Q85" s="16" t="s">
        <v>8</v>
      </c>
    </row>
    <row r="86" spans="16:17">
      <c r="Q86" s="16" t="s">
        <v>9</v>
      </c>
    </row>
    <row r="87" spans="16:17">
      <c r="Q87" s="17" t="s">
        <v>10</v>
      </c>
    </row>
  </sheetData>
  <dataValidations disablePrompts="1" count="2">
    <dataValidation type="list" allowBlank="1" showInputMessage="1" showErrorMessage="1" sqref="W1">
      <formula1>"Yes, No"</formula1>
    </dataValidation>
    <dataValidation type="list" allowBlank="1" showInputMessage="1" showErrorMessage="1" sqref="U1">
      <formula1>"PROD, DEV"</formula1>
    </dataValidation>
  </dataValidations>
  <hyperlinks>
    <hyperlink ref="Q84" r:id="rId1" location="closeModal"/>
    <hyperlink ref="Q85" r:id="rId2"/>
    <hyperlink ref="Q87" r:id="rId3"/>
    <hyperlink ref="Q86" r:id="rId4" location="key-benefits"/>
  </hyperlinks>
  <pageMargins left="0.25" right="0.25" top="0.255" bottom="0.25" header="0.1" footer="0.1"/>
  <pageSetup scale="62" orientation="landscape" horizontalDpi="1200" verticalDpi="1200" r:id="rId5"/>
  <headerFooter scaleWithDoc="0">
    <oddHeader>&amp;L&amp;G&amp;C&amp;"-,Bold"&amp;10&amp;K2E398A
&amp;15Origination Market Concentration &amp;R&amp;"-,Bold"&amp;10&amp;K2E398A
As of 04/01/2015</oddHeader>
    <oddFooter>&amp;L&amp;10&amp;K2E398AReport created on &amp;D &amp;T&amp;C&amp;G
&amp;8&amp;K2E398APage &amp;P of &amp;N</oddFooter>
  </headerFooter>
  <colBreaks count="1" manualBreakCount="1">
    <brk id="18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C232"/>
  <sheetViews>
    <sheetView topLeftCell="A176" zoomScaleNormal="100" workbookViewId="0">
      <selection activeCell="B3" sqref="B3:C232"/>
    </sheetView>
  </sheetViews>
  <sheetFormatPr defaultRowHeight="15"/>
  <cols>
    <col min="2" max="2" width="10.42578125" bestFit="1" customWidth="1"/>
    <col min="13" max="13" width="9.28515625" bestFit="1" customWidth="1"/>
    <col min="14" max="15" width="11.7109375" bestFit="1" customWidth="1"/>
    <col min="19" max="19" width="11.85546875" bestFit="1" customWidth="1"/>
    <col min="20" max="23" width="11.85546875" customWidth="1"/>
    <col min="24" max="24" width="13.42578125" bestFit="1" customWidth="1"/>
    <col min="25" max="25" width="10.7109375" bestFit="1" customWidth="1"/>
    <col min="26" max="26" width="12.85546875" bestFit="1" customWidth="1"/>
    <col min="28" max="28" width="10.7109375" bestFit="1" customWidth="1"/>
    <col min="29" max="29" width="12.85546875" bestFit="1" customWidth="1"/>
  </cols>
  <sheetData>
    <row r="1" spans="2:29">
      <c r="D1" t="s">
        <v>47</v>
      </c>
      <c r="L1" t="s">
        <v>48</v>
      </c>
      <c r="P1" t="s">
        <v>45</v>
      </c>
      <c r="S1" t="s">
        <v>51</v>
      </c>
      <c r="V1" t="s">
        <v>58</v>
      </c>
      <c r="Y1" t="s">
        <v>60</v>
      </c>
    </row>
    <row r="2" spans="2:29">
      <c r="B2" s="6" t="s">
        <v>31</v>
      </c>
      <c r="C2" s="85" t="s">
        <v>32</v>
      </c>
      <c r="D2" s="85" t="s">
        <v>33</v>
      </c>
      <c r="E2" s="6" t="s">
        <v>34</v>
      </c>
      <c r="F2" s="6" t="s">
        <v>42</v>
      </c>
      <c r="G2" s="6" t="s">
        <v>45</v>
      </c>
      <c r="H2" s="6" t="s">
        <v>52</v>
      </c>
      <c r="I2" s="59" t="s">
        <v>59</v>
      </c>
      <c r="J2" s="6" t="s">
        <v>60</v>
      </c>
      <c r="L2" s="6" t="s">
        <v>31</v>
      </c>
      <c r="M2" s="6" t="s">
        <v>37</v>
      </c>
      <c r="N2" s="6" t="s">
        <v>34</v>
      </c>
      <c r="P2" s="6" t="s">
        <v>31</v>
      </c>
      <c r="Q2" s="6" t="s">
        <v>37</v>
      </c>
      <c r="S2" s="6" t="s">
        <v>31</v>
      </c>
      <c r="T2" s="6" t="s">
        <v>37</v>
      </c>
      <c r="V2" s="6" t="s">
        <v>31</v>
      </c>
      <c r="W2" s="6" t="s">
        <v>37</v>
      </c>
      <c r="Y2" t="s">
        <v>31</v>
      </c>
      <c r="Z2" t="s">
        <v>37</v>
      </c>
      <c r="AB2" t="s">
        <v>31</v>
      </c>
      <c r="AC2" t="s">
        <v>37</v>
      </c>
    </row>
    <row r="3" spans="2:29">
      <c r="B3" s="24">
        <v>40549</v>
      </c>
      <c r="C3" s="86">
        <v>0.6255950207246429</v>
      </c>
      <c r="D3" s="86">
        <v>0.55095746970942994</v>
      </c>
      <c r="E3" s="6">
        <f ca="1">VLOOKUP(CurrentMtgRatesDataTable825[[#This Row],[asOfDate]]+1,Bloomberg!B:C,2,0)</f>
        <v>2344.3000000000002</v>
      </c>
      <c r="F3" s="27">
        <f>VLOOKUP(CurrentMtgRatesDataTable825[[#This Row],[asOfDate]],CurrentMtgRatesDataTable8256[#All],2,0)</f>
        <v>0.53095286512326811</v>
      </c>
      <c r="G3" s="27">
        <f>VLOOKUP(CurrentMtgRatesDataTable825[[#This Row],[asOfDate]],CurrentMtgRatesDataTable82562[],2,0)</f>
        <v>0.28463940721984343</v>
      </c>
      <c r="H3" s="27">
        <f>VLOOKUP(CurrentMtgRatesDataTable825[[#This Row],[asOfDate]],S:T,2,0)</f>
        <v>0.29339129549199244</v>
      </c>
      <c r="I3" s="58">
        <f>VLOOKUP(CurrentMtgRatesDataTable825[[#This Row],[asOfDate]],CurrentMtgRatesDataTable825623[#All],2,0)</f>
        <v>0.20951326762642539</v>
      </c>
      <c r="J3" s="27">
        <f>VLOOKUP(CurrentMtgRatesDataTable825[[#This Row],[asOfDate]],AB:AC,2,0)</f>
        <v>0.41917445646047702</v>
      </c>
      <c r="L3" s="24">
        <v>40549</v>
      </c>
      <c r="M3" s="26">
        <v>0.53095286512326811</v>
      </c>
      <c r="N3" s="6">
        <f ca="1">VLOOKUP(CurrentMtgRatesDataTable8256[[#This Row],[asOfDate]]+1,Bloomberg!B:C,2,0)</f>
        <v>2344.3000000000002</v>
      </c>
      <c r="P3" s="24">
        <v>40549</v>
      </c>
      <c r="Q3" s="26">
        <v>0.28463940721984343</v>
      </c>
      <c r="S3" s="24">
        <v>40549</v>
      </c>
      <c r="T3" s="27">
        <v>0.29339129549199244</v>
      </c>
      <c r="V3" s="24">
        <v>40549</v>
      </c>
      <c r="W3" s="26">
        <v>0.20951326762642539</v>
      </c>
      <c r="Y3" s="1">
        <v>40549</v>
      </c>
      <c r="Z3">
        <v>0.236371868487981</v>
      </c>
      <c r="AB3" s="1">
        <v>40549</v>
      </c>
      <c r="AC3">
        <v>0.41917445646047702</v>
      </c>
    </row>
    <row r="4" spans="2:29">
      <c r="B4" s="24">
        <v>40556</v>
      </c>
      <c r="C4" s="86">
        <v>0.63000788176738898</v>
      </c>
      <c r="D4" s="86">
        <v>0.57672001215252855</v>
      </c>
      <c r="E4" s="6">
        <f ca="1">VLOOKUP(CurrentMtgRatesDataTable825[[#This Row],[asOfDate]]+1,Bloomberg!B:C,2,0)</f>
        <v>2528.6999999999998</v>
      </c>
      <c r="F4" s="27">
        <f>VLOOKUP(CurrentMtgRatesDataTable825[[#This Row],[asOfDate]],CurrentMtgRatesDataTable8256[#All],2,0)</f>
        <v>0.53151414802717445</v>
      </c>
      <c r="G4" s="27">
        <f>VLOOKUP(CurrentMtgRatesDataTable825[[#This Row],[asOfDate]],CurrentMtgRatesDataTable82562[],2,0)</f>
        <v>0.30326691494252433</v>
      </c>
      <c r="H4" s="27">
        <f>VLOOKUP(CurrentMtgRatesDataTable825[[#This Row],[asOfDate]],S:T,2,0)</f>
        <v>0.31216038149568309</v>
      </c>
      <c r="I4" s="58">
        <f>VLOOKUP(CurrentMtgRatesDataTable825[[#This Row],[asOfDate]],CurrentMtgRatesDataTable825623[#All],2,0)</f>
        <v>0.2286525724028925</v>
      </c>
      <c r="J4" s="27">
        <f>VLOOKUP(CurrentMtgRatesDataTable825[[#This Row],[asOfDate]],AB:AC,2,0)</f>
        <v>0.43621985629656101</v>
      </c>
      <c r="L4" s="24">
        <v>40556</v>
      </c>
      <c r="M4" s="26">
        <v>0.53151414802717445</v>
      </c>
      <c r="N4" s="6">
        <f ca="1">VLOOKUP(CurrentMtgRatesDataTable8256[[#This Row],[asOfDate]]+1,Bloomberg!B:C,2,0)</f>
        <v>2528.6999999999998</v>
      </c>
      <c r="P4" s="24">
        <v>40556</v>
      </c>
      <c r="Q4" s="26">
        <v>0.30326691494252433</v>
      </c>
      <c r="S4" s="24">
        <v>40556</v>
      </c>
      <c r="T4" s="27">
        <v>0.31216038149568309</v>
      </c>
      <c r="V4" s="24">
        <v>40556</v>
      </c>
      <c r="W4" s="26">
        <v>0.2286525724028925</v>
      </c>
      <c r="Y4" s="1">
        <v>40556</v>
      </c>
      <c r="Z4">
        <v>0.25612369572659199</v>
      </c>
      <c r="AB4" s="1">
        <v>40556</v>
      </c>
      <c r="AC4">
        <v>0.43621985629656101</v>
      </c>
    </row>
    <row r="5" spans="2:29">
      <c r="B5" s="24">
        <v>40563</v>
      </c>
      <c r="C5" s="86">
        <v>0.6274107117936687</v>
      </c>
      <c r="D5" s="86">
        <v>0.56117258889487043</v>
      </c>
      <c r="E5" s="6">
        <f ca="1">VLOOKUP(CurrentMtgRatesDataTable825[[#This Row],[asOfDate]]+1,Bloomberg!B:C,2,0)</f>
        <v>2129.6999999999998</v>
      </c>
      <c r="F5" s="27">
        <f>VLOOKUP(CurrentMtgRatesDataTable825[[#This Row],[asOfDate]],CurrentMtgRatesDataTable8256[#All],2,0)</f>
        <v>0.53128369296391043</v>
      </c>
      <c r="G5" s="27">
        <f>VLOOKUP(CurrentMtgRatesDataTable825[[#This Row],[asOfDate]],CurrentMtgRatesDataTable82562[],2,0)</f>
        <v>0.28476877321432642</v>
      </c>
      <c r="H5" s="27">
        <f>VLOOKUP(CurrentMtgRatesDataTable825[[#This Row],[asOfDate]],S:T,2,0)</f>
        <v>0.29352345631455612</v>
      </c>
      <c r="I5" s="58">
        <f>VLOOKUP(CurrentMtgRatesDataTable825[[#This Row],[asOfDate]],CurrentMtgRatesDataTable825623[#All],2,0)</f>
        <v>0.2131179723271458</v>
      </c>
      <c r="J5" s="27">
        <f>VLOOKUP(CurrentMtgRatesDataTable825[[#This Row],[asOfDate]],AB:AC,2,0)</f>
        <v>0.41944708561696598</v>
      </c>
      <c r="L5" s="24">
        <v>40563</v>
      </c>
      <c r="M5" s="26">
        <v>0.53128369296391043</v>
      </c>
      <c r="N5" s="6">
        <f ca="1">VLOOKUP(CurrentMtgRatesDataTable8256[[#This Row],[asOfDate]]+1,Bloomberg!B:C,2,0)</f>
        <v>2129.6999999999998</v>
      </c>
      <c r="P5" s="24">
        <v>40563</v>
      </c>
      <c r="Q5" s="26">
        <v>0.28476877321432642</v>
      </c>
      <c r="S5" s="24">
        <v>40563</v>
      </c>
      <c r="T5" s="27">
        <v>0.29352345631455612</v>
      </c>
      <c r="V5" s="24">
        <v>40563</v>
      </c>
      <c r="W5" s="26">
        <v>0.2131179723271458</v>
      </c>
      <c r="Y5" s="1">
        <v>40563</v>
      </c>
      <c r="Z5">
        <v>0.24051605852353899</v>
      </c>
      <c r="AB5" s="1">
        <v>40563</v>
      </c>
      <c r="AC5">
        <v>0.41944708561696598</v>
      </c>
    </row>
    <row r="6" spans="2:29">
      <c r="B6" s="24">
        <v>40570</v>
      </c>
      <c r="C6" s="86">
        <v>0.62506508170892505</v>
      </c>
      <c r="D6" s="86">
        <v>0.55095746970942994</v>
      </c>
      <c r="E6" s="6">
        <f ca="1">VLOOKUP(CurrentMtgRatesDataTable825[[#This Row],[asOfDate]]+1,Bloomberg!B:C,2,0)</f>
        <v>2371.1</v>
      </c>
      <c r="F6" s="27">
        <f>VLOOKUP(CurrentMtgRatesDataTable825[[#This Row],[asOfDate]],CurrentMtgRatesDataTable8256[#All],2,0)</f>
        <v>0.53088486817209324</v>
      </c>
      <c r="G6" s="27">
        <f>VLOOKUP(CurrentMtgRatesDataTable825[[#This Row],[asOfDate]],CurrentMtgRatesDataTable82562[],2,0)</f>
        <v>0.2846201863525834</v>
      </c>
      <c r="H6" s="27">
        <f>VLOOKUP(CurrentMtgRatesDataTable825[[#This Row],[asOfDate]],S:T,2,0)</f>
        <v>0.29337181673036272</v>
      </c>
      <c r="I6" s="58">
        <f>VLOOKUP(CurrentMtgRatesDataTable825[[#This Row],[asOfDate]],CurrentMtgRatesDataTable825623[#All],2,0)</f>
        <v>0.20810932608426305</v>
      </c>
      <c r="J6" s="27">
        <f>VLOOKUP(CurrentMtgRatesDataTable825[[#This Row],[asOfDate]],AB:AC,2,0)</f>
        <v>0.418710148423519</v>
      </c>
      <c r="L6" s="24">
        <v>40570</v>
      </c>
      <c r="M6" s="26">
        <v>0.53088486817209324</v>
      </c>
      <c r="N6" s="6">
        <f ca="1">VLOOKUP(CurrentMtgRatesDataTable8256[[#This Row],[asOfDate]]+1,Bloomberg!B:C,2,0)</f>
        <v>2371.1</v>
      </c>
      <c r="P6" s="24">
        <v>40570</v>
      </c>
      <c r="Q6" s="26">
        <v>0.2846201863525834</v>
      </c>
      <c r="S6" s="24">
        <v>40570</v>
      </c>
      <c r="T6" s="27">
        <v>0.29337181673036272</v>
      </c>
      <c r="V6" s="24">
        <v>40570</v>
      </c>
      <c r="W6" s="26">
        <v>0.20810932608426305</v>
      </c>
      <c r="Y6" s="1">
        <v>40570</v>
      </c>
      <c r="Z6">
        <v>0.2349374641724</v>
      </c>
      <c r="AB6" s="1">
        <v>40570</v>
      </c>
      <c r="AC6">
        <v>0.418710148423519</v>
      </c>
    </row>
    <row r="7" spans="2:29">
      <c r="B7" s="24">
        <v>40577</v>
      </c>
      <c r="C7" s="86">
        <v>0.59973806040791378</v>
      </c>
      <c r="D7" s="86">
        <v>0.52573834673070918</v>
      </c>
      <c r="E7" s="6">
        <f ca="1">VLOOKUP(CurrentMtgRatesDataTable825[[#This Row],[asOfDate]]+1,Bloomberg!B:C,2,0)</f>
        <v>2190.4</v>
      </c>
      <c r="F7" s="27">
        <f>VLOOKUP(CurrentMtgRatesDataTable825[[#This Row],[asOfDate]],CurrentMtgRatesDataTable8256[#All],2,0)</f>
        <v>0.45470305131111477</v>
      </c>
      <c r="G7" s="27">
        <f>VLOOKUP(CurrentMtgRatesDataTable825[[#This Row],[asOfDate]],CurrentMtgRatesDataTable82562[],2,0)</f>
        <v>0.24193364534957326</v>
      </c>
      <c r="H7" s="27">
        <f>VLOOKUP(CurrentMtgRatesDataTable825[[#This Row],[asOfDate]],S:T,2,0)</f>
        <v>0.25001180569005516</v>
      </c>
      <c r="I7" s="58">
        <f>VLOOKUP(CurrentMtgRatesDataTable825[[#This Row],[asOfDate]],CurrentMtgRatesDataTable825623[#All],2,0)</f>
        <v>0.17891549814152402</v>
      </c>
      <c r="J7" s="27">
        <f>VLOOKUP(CurrentMtgRatesDataTable825[[#This Row],[asOfDate]],AB:AC,2,0)</f>
        <v>0.38887560757790002</v>
      </c>
      <c r="L7" s="24">
        <v>40577</v>
      </c>
      <c r="M7" s="26">
        <v>0.45470305131111477</v>
      </c>
      <c r="N7" s="6">
        <f ca="1">VLOOKUP(CurrentMtgRatesDataTable8256[[#This Row],[asOfDate]]+1,Bloomberg!B:C,2,0)</f>
        <v>2190.4</v>
      </c>
      <c r="P7" s="24">
        <v>40577</v>
      </c>
      <c r="Q7" s="26">
        <v>0.24193364534957326</v>
      </c>
      <c r="S7" s="24">
        <v>40577</v>
      </c>
      <c r="T7" s="27">
        <v>0.25001180569005516</v>
      </c>
      <c r="V7" s="24">
        <v>40577</v>
      </c>
      <c r="W7" s="26">
        <v>0.17891549814152402</v>
      </c>
      <c r="Y7" s="1">
        <v>40577</v>
      </c>
      <c r="Z7">
        <v>0.20445767824867001</v>
      </c>
      <c r="AB7" s="1">
        <v>40577</v>
      </c>
      <c r="AC7">
        <v>0.38887560757790002</v>
      </c>
    </row>
    <row r="8" spans="2:29">
      <c r="B8" s="24">
        <v>40584</v>
      </c>
      <c r="C8" s="86">
        <v>0.48908058292459539</v>
      </c>
      <c r="D8" s="86">
        <v>0.50956808132524944</v>
      </c>
      <c r="E8" s="6">
        <f ca="1">VLOOKUP(CurrentMtgRatesDataTable825[[#This Row],[asOfDate]]+1,Bloomberg!B:C,2,0)</f>
        <v>1953.2</v>
      </c>
      <c r="F8" s="27">
        <f>VLOOKUP(CurrentMtgRatesDataTable825[[#This Row],[asOfDate]],CurrentMtgRatesDataTable8256[#All],2,0)</f>
        <v>0.40745494442377123</v>
      </c>
      <c r="G8" s="27">
        <f>VLOOKUP(CurrentMtgRatesDataTable825[[#This Row],[asOfDate]],CurrentMtgRatesDataTable82562[],2,0)</f>
        <v>0.20177712502015799</v>
      </c>
      <c r="H8" s="27">
        <f>VLOOKUP(CurrentMtgRatesDataTable825[[#This Row],[asOfDate]],S:T,2,0)</f>
        <v>0.20884941022700101</v>
      </c>
      <c r="I8" s="58">
        <f>VLOOKUP(CurrentMtgRatesDataTable825[[#This Row],[asOfDate]],CurrentMtgRatesDataTable825623[#All],2,0)</f>
        <v>0.13456022248425625</v>
      </c>
      <c r="J8" s="27">
        <f>VLOOKUP(CurrentMtgRatesDataTable825[[#This Row],[asOfDate]],AB:AC,2,0)</f>
        <v>0.35101070043975402</v>
      </c>
      <c r="L8" s="24">
        <v>40584</v>
      </c>
      <c r="M8" s="26">
        <v>0.40745494442377123</v>
      </c>
      <c r="N8" s="6">
        <f ca="1">VLOOKUP(CurrentMtgRatesDataTable8256[[#This Row],[asOfDate]]+1,Bloomberg!B:C,2,0)</f>
        <v>1953.2</v>
      </c>
      <c r="P8" s="24">
        <v>40584</v>
      </c>
      <c r="Q8" s="26">
        <v>0.20177712502015799</v>
      </c>
      <c r="S8" s="24">
        <v>40584</v>
      </c>
      <c r="T8" s="27">
        <v>0.20884941022700101</v>
      </c>
      <c r="V8" s="56">
        <v>40584</v>
      </c>
      <c r="W8" s="57">
        <v>0.13456022248425625</v>
      </c>
      <c r="Y8" s="1">
        <v>40584</v>
      </c>
      <c r="Z8">
        <v>0.15917351792336501</v>
      </c>
      <c r="AB8" s="1">
        <v>40584</v>
      </c>
      <c r="AC8">
        <v>0.35101070043975402</v>
      </c>
    </row>
    <row r="9" spans="2:29">
      <c r="B9" s="24">
        <v>40591</v>
      </c>
      <c r="C9" s="86">
        <v>0.50758567670351107</v>
      </c>
      <c r="D9" s="86">
        <v>0.50956808132524944</v>
      </c>
      <c r="E9" s="6">
        <f ca="1">VLOOKUP(CurrentMtgRatesDataTable825[[#This Row],[asOfDate]]+1,Bloomberg!B:C,2,0)</f>
        <v>2325.3000000000002</v>
      </c>
      <c r="F9" s="27">
        <f>VLOOKUP(CurrentMtgRatesDataTable825[[#This Row],[asOfDate]],CurrentMtgRatesDataTable8256[#All],2,0)</f>
        <v>0.40754568633496746</v>
      </c>
      <c r="G9" s="27">
        <f>VLOOKUP(CurrentMtgRatesDataTable825[[#This Row],[asOfDate]],CurrentMtgRatesDataTable82562[],2,0)</f>
        <v>0.21194639619399513</v>
      </c>
      <c r="H9" s="27">
        <f>VLOOKUP(CurrentMtgRatesDataTable825[[#This Row],[asOfDate]],S:T,2,0)</f>
        <v>0.21937474831597803</v>
      </c>
      <c r="I9" s="58">
        <f>VLOOKUP(CurrentMtgRatesDataTable825[[#This Row],[asOfDate]],CurrentMtgRatesDataTable825623[#All],2,0)</f>
        <v>0.14775234916291591</v>
      </c>
      <c r="J9" s="27">
        <f>VLOOKUP(CurrentMtgRatesDataTable825[[#This Row],[asOfDate]],AB:AC,2,0)</f>
        <v>0.36422873018148</v>
      </c>
      <c r="L9" s="24">
        <v>40591</v>
      </c>
      <c r="M9" s="26">
        <v>0.40754568633496746</v>
      </c>
      <c r="N9" s="6">
        <f ca="1">VLOOKUP(CurrentMtgRatesDataTable8256[[#This Row],[asOfDate]]+1,Bloomberg!B:C,2,0)</f>
        <v>2325.3000000000002</v>
      </c>
      <c r="P9" s="24">
        <v>40591</v>
      </c>
      <c r="Q9" s="26">
        <v>0.21194639619399513</v>
      </c>
      <c r="S9" s="24">
        <v>40591</v>
      </c>
      <c r="T9" s="27">
        <v>0.21937474831597803</v>
      </c>
      <c r="V9" s="56">
        <v>40591</v>
      </c>
      <c r="W9" s="57">
        <v>0.14775234916291591</v>
      </c>
      <c r="Y9" s="1">
        <v>40591</v>
      </c>
      <c r="Z9">
        <v>0.17268526897970701</v>
      </c>
      <c r="AB9" s="1">
        <v>40591</v>
      </c>
      <c r="AC9">
        <v>0.36422873018148</v>
      </c>
    </row>
    <row r="10" spans="2:29">
      <c r="B10" s="24">
        <v>40598</v>
      </c>
      <c r="C10" s="86">
        <v>0.56804474997330101</v>
      </c>
      <c r="D10" s="86">
        <v>0.52573834673070918</v>
      </c>
      <c r="E10" s="6">
        <f ca="1">VLOOKUP(CurrentMtgRatesDataTable825[[#This Row],[asOfDate]]+1,Bloomberg!B:C,2,0)</f>
        <v>2155.5</v>
      </c>
      <c r="F10" s="27">
        <f>VLOOKUP(CurrentMtgRatesDataTable825[[#This Row],[asOfDate]],CurrentMtgRatesDataTable8256[#All],2,0)</f>
        <v>0.45432862067371088</v>
      </c>
      <c r="G10" s="27">
        <f>VLOOKUP(CurrentMtgRatesDataTable825[[#This Row],[asOfDate]],CurrentMtgRatesDataTable82562[],2,0)</f>
        <v>0.2296622233105281</v>
      </c>
      <c r="H10" s="27">
        <f>VLOOKUP(CurrentMtgRatesDataTable825[[#This Row],[asOfDate]],S:T,2,0)</f>
        <v>0.23756924071282229</v>
      </c>
      <c r="I10" s="58">
        <f>VLOOKUP(CurrentMtgRatesDataTable825[[#This Row],[asOfDate]],CurrentMtgRatesDataTable825623[#All],2,0)</f>
        <v>0.16009478143712152</v>
      </c>
      <c r="J10" s="27">
        <f>VLOOKUP(CurrentMtgRatesDataTable825[[#This Row],[asOfDate]],AB:AC,2,0)</f>
        <v>0.37426156705539698</v>
      </c>
      <c r="L10" s="24">
        <v>40598</v>
      </c>
      <c r="M10" s="26">
        <v>0.45432862067371088</v>
      </c>
      <c r="N10" s="6">
        <f ca="1">VLOOKUP(CurrentMtgRatesDataTable8256[[#This Row],[asOfDate]]+1,Bloomberg!B:C,2,0)</f>
        <v>2155.5</v>
      </c>
      <c r="P10" s="24">
        <v>40598</v>
      </c>
      <c r="Q10" s="26">
        <v>0.2296622233105281</v>
      </c>
      <c r="S10" s="24">
        <v>40598</v>
      </c>
      <c r="T10" s="27">
        <v>0.23756924071282229</v>
      </c>
      <c r="V10" s="56">
        <v>40598</v>
      </c>
      <c r="W10" s="57">
        <v>0.16009478143712152</v>
      </c>
      <c r="Y10" s="1">
        <v>40598</v>
      </c>
      <c r="Z10">
        <v>0.18461609501929199</v>
      </c>
      <c r="AB10" s="1">
        <v>40598</v>
      </c>
      <c r="AC10">
        <v>0.37426156705539698</v>
      </c>
    </row>
    <row r="11" spans="2:29">
      <c r="B11" s="24">
        <v>40605</v>
      </c>
      <c r="C11" s="86">
        <v>0.58663499506814298</v>
      </c>
      <c r="D11" s="86">
        <v>0.51589940473764562</v>
      </c>
      <c r="E11" s="6">
        <f ca="1">VLOOKUP(CurrentMtgRatesDataTable825[[#This Row],[asOfDate]]+1,Bloomberg!B:C,2,0)</f>
        <v>2539.4</v>
      </c>
      <c r="F11" s="27">
        <f>VLOOKUP(CurrentMtgRatesDataTable825[[#This Row],[asOfDate]],CurrentMtgRatesDataTable8256[#All],2,0)</f>
        <v>0.44537925133640238</v>
      </c>
      <c r="G11" s="27">
        <f>VLOOKUP(CurrentMtgRatesDataTable825[[#This Row],[asOfDate]],CurrentMtgRatesDataTable82562[],2,0)</f>
        <v>0.22805396368099012</v>
      </c>
      <c r="H11" s="27">
        <f>VLOOKUP(CurrentMtgRatesDataTable825[[#This Row],[asOfDate]],S:T,2,0)</f>
        <v>0.23580697378092402</v>
      </c>
      <c r="I11" s="58">
        <f>VLOOKUP(CurrentMtgRatesDataTable825[[#This Row],[asOfDate]],CurrentMtgRatesDataTable825623[#All],2,0)</f>
        <v>0.16418790753930707</v>
      </c>
      <c r="J11" s="27">
        <f>VLOOKUP(CurrentMtgRatesDataTable825[[#This Row],[asOfDate]],AB:AC,2,0)</f>
        <v>0.378077073966118</v>
      </c>
      <c r="L11" s="24">
        <v>40605</v>
      </c>
      <c r="M11" s="26">
        <v>0.44537925133640238</v>
      </c>
      <c r="N11" s="26">
        <f ca="1">VLOOKUP(CurrentMtgRatesDataTable8256[[#This Row],[asOfDate]]+1,Bloomberg!B:C,2,0)</f>
        <v>2539.4</v>
      </c>
      <c r="P11" s="24">
        <v>40605</v>
      </c>
      <c r="Q11" s="26">
        <v>0.22805396368099012</v>
      </c>
      <c r="S11" s="24">
        <v>40605</v>
      </c>
      <c r="T11" s="27">
        <v>0.23580697378092402</v>
      </c>
      <c r="V11" s="56">
        <v>40605</v>
      </c>
      <c r="W11" s="57">
        <v>0.16418790753930707</v>
      </c>
      <c r="Y11" s="1">
        <v>40605</v>
      </c>
      <c r="Z11">
        <v>0.18861070227733101</v>
      </c>
      <c r="AB11" s="1">
        <v>40605</v>
      </c>
      <c r="AC11">
        <v>0.378077073966118</v>
      </c>
    </row>
    <row r="12" spans="2:29">
      <c r="B12" s="24">
        <v>40612</v>
      </c>
      <c r="C12" s="86">
        <v>0.5845791305589787</v>
      </c>
      <c r="D12" s="86">
        <v>0.51589940473764562</v>
      </c>
      <c r="E12" s="6">
        <f ca="1">VLOOKUP(CurrentMtgRatesDataTable825[[#This Row],[asOfDate]]+1,Bloomberg!B:C,2,0)</f>
        <v>2563.6</v>
      </c>
      <c r="F12" s="27">
        <f>VLOOKUP(CurrentMtgRatesDataTable825[[#This Row],[asOfDate]],CurrentMtgRatesDataTable8256[#All],2,0)</f>
        <v>0.44531343502837423</v>
      </c>
      <c r="G12" s="27">
        <f>VLOOKUP(CurrentMtgRatesDataTable825[[#This Row],[asOfDate]],CurrentMtgRatesDataTable82562[],2,0)</f>
        <v>0.22800497750165782</v>
      </c>
      <c r="H12" s="27">
        <f>VLOOKUP(CurrentMtgRatesDataTable825[[#This Row],[asOfDate]],S:T,2,0)</f>
        <v>0.23575738208426369</v>
      </c>
      <c r="I12" s="58">
        <f>VLOOKUP(CurrentMtgRatesDataTable825[[#This Row],[asOfDate]],CurrentMtgRatesDataTable825623[#All],2,0)</f>
        <v>0.16404066322029284</v>
      </c>
      <c r="J12" s="27">
        <f>VLOOKUP(CurrentMtgRatesDataTable825[[#This Row],[asOfDate]],AB:AC,2,0)</f>
        <v>0.37803494484535199</v>
      </c>
      <c r="L12" s="24">
        <v>40612</v>
      </c>
      <c r="M12" s="26">
        <v>0.44531343502837423</v>
      </c>
      <c r="N12" s="26">
        <f ca="1">VLOOKUP(CurrentMtgRatesDataTable8256[[#This Row],[asOfDate]]+1,Bloomberg!B:C,2,0)</f>
        <v>2563.6</v>
      </c>
      <c r="P12" s="24">
        <v>40612</v>
      </c>
      <c r="Q12" s="26">
        <v>0.22800497750165782</v>
      </c>
      <c r="S12" s="24">
        <v>40612</v>
      </c>
      <c r="T12" s="27">
        <v>0.23575738208426369</v>
      </c>
      <c r="V12" s="56">
        <v>40612</v>
      </c>
      <c r="W12" s="57">
        <v>0.16404066322029284</v>
      </c>
      <c r="Y12" s="1">
        <v>40612</v>
      </c>
      <c r="Z12">
        <v>0.187798038085703</v>
      </c>
      <c r="AB12" s="1">
        <v>40612</v>
      </c>
      <c r="AC12">
        <v>0.37803494484535199</v>
      </c>
    </row>
    <row r="13" spans="2:29">
      <c r="B13" s="24">
        <v>40619</v>
      </c>
      <c r="C13" s="86">
        <v>0.60527953850446525</v>
      </c>
      <c r="D13" s="86">
        <v>0.55215866456868179</v>
      </c>
      <c r="E13" s="6">
        <f ca="1">VLOOKUP(CurrentMtgRatesDataTable825[[#This Row],[asOfDate]]+1,Bloomberg!B:C,2,0)</f>
        <v>2620.8000000000002</v>
      </c>
      <c r="F13" s="27">
        <f>VLOOKUP(CurrentMtgRatesDataTable825[[#This Row],[asOfDate]],CurrentMtgRatesDataTable8256[#All],2,0)</f>
        <v>0.50756853544493263</v>
      </c>
      <c r="G13" s="27">
        <f>VLOOKUP(CurrentMtgRatesDataTable825[[#This Row],[asOfDate]],CurrentMtgRatesDataTable82562[],2,0)</f>
        <v>0.26952651165647717</v>
      </c>
      <c r="H13" s="27">
        <f>VLOOKUP(CurrentMtgRatesDataTable825[[#This Row],[asOfDate]],S:T,2,0)</f>
        <v>0.27772990136821168</v>
      </c>
      <c r="I13" s="58">
        <f>VLOOKUP(CurrentMtgRatesDataTable825[[#This Row],[asOfDate]],CurrentMtgRatesDataTable825623[#All],2,0)</f>
        <v>0.1977947076697287</v>
      </c>
      <c r="J13" s="27">
        <f>VLOOKUP(CurrentMtgRatesDataTable825[[#This Row],[asOfDate]],AB:AC,2,0)</f>
        <v>0.407679162563724</v>
      </c>
      <c r="L13" s="24">
        <v>40619</v>
      </c>
      <c r="M13" s="26">
        <v>0.50756853544493263</v>
      </c>
      <c r="N13" s="26">
        <f ca="1">VLOOKUP(CurrentMtgRatesDataTable8256[[#This Row],[asOfDate]]+1,Bloomberg!B:C,2,0)</f>
        <v>2620.8000000000002</v>
      </c>
      <c r="P13" s="24">
        <v>40619</v>
      </c>
      <c r="Q13" s="26">
        <v>0.26952651165647717</v>
      </c>
      <c r="S13" s="24">
        <v>40619</v>
      </c>
      <c r="T13" s="27">
        <v>0.27772990136821168</v>
      </c>
      <c r="V13" s="56">
        <v>40619</v>
      </c>
      <c r="W13" s="57">
        <v>0.1977947076697287</v>
      </c>
      <c r="Y13" s="1">
        <v>40619</v>
      </c>
      <c r="Z13">
        <v>0.22247103314798999</v>
      </c>
      <c r="AB13" s="1">
        <v>40619</v>
      </c>
      <c r="AC13">
        <v>0.407679162563724</v>
      </c>
    </row>
    <row r="14" spans="2:29">
      <c r="B14" s="24">
        <v>40626</v>
      </c>
      <c r="C14" s="86">
        <v>0.60223580840398516</v>
      </c>
      <c r="D14" s="86">
        <v>0.51589940473764562</v>
      </c>
      <c r="E14" s="6">
        <f ca="1">VLOOKUP(CurrentMtgRatesDataTable825[[#This Row],[asOfDate]]+1,Bloomberg!B:C,2,0)</f>
        <v>2350.6999999999998</v>
      </c>
      <c r="F14" s="27">
        <f>VLOOKUP(CurrentMtgRatesDataTable825[[#This Row],[asOfDate]],CurrentMtgRatesDataTable8256[#All],2,0)</f>
        <v>0.50709598627705932</v>
      </c>
      <c r="G14" s="27">
        <f>VLOOKUP(CurrentMtgRatesDataTable825[[#This Row],[asOfDate]],CurrentMtgRatesDataTable82562[],2,0)</f>
        <v>0.25273332689580402</v>
      </c>
      <c r="H14" s="27">
        <f>VLOOKUP(CurrentMtgRatesDataTable825[[#This Row],[asOfDate]],S:T,2,0)</f>
        <v>0.26081219543552103</v>
      </c>
      <c r="I14" s="58">
        <f>VLOOKUP(CurrentMtgRatesDataTable825[[#This Row],[asOfDate]],CurrentMtgRatesDataTable825623[#All],2,0)</f>
        <v>0.17977939874028584</v>
      </c>
      <c r="J14" s="27">
        <f>VLOOKUP(CurrentMtgRatesDataTable825[[#This Row],[asOfDate]],AB:AC,2,0)</f>
        <v>0.39154691259907098</v>
      </c>
      <c r="L14" s="24">
        <v>40626</v>
      </c>
      <c r="M14" s="26">
        <v>0.50709598627705932</v>
      </c>
      <c r="N14" s="26">
        <f ca="1">VLOOKUP(CurrentMtgRatesDataTable8256[[#This Row],[asOfDate]]+1,Bloomberg!B:C,2,0)</f>
        <v>2350.6999999999998</v>
      </c>
      <c r="P14" s="24">
        <v>40626</v>
      </c>
      <c r="Q14" s="26">
        <v>0.25273332689580402</v>
      </c>
      <c r="S14" s="24">
        <v>40626</v>
      </c>
      <c r="T14" s="27">
        <v>0.26081219543552103</v>
      </c>
      <c r="V14" s="56">
        <v>40626</v>
      </c>
      <c r="W14" s="57">
        <v>0.17977939874028584</v>
      </c>
      <c r="Y14" s="1">
        <v>40626</v>
      </c>
      <c r="Z14">
        <v>0.20433412896911801</v>
      </c>
      <c r="AB14" s="1">
        <v>40626</v>
      </c>
      <c r="AC14">
        <v>0.39154691259907098</v>
      </c>
    </row>
    <row r="15" spans="2:29">
      <c r="B15" s="24">
        <v>40633</v>
      </c>
      <c r="C15" s="86">
        <v>0.58766164015506672</v>
      </c>
      <c r="D15" s="86">
        <v>0.51589940473764562</v>
      </c>
      <c r="E15" s="6">
        <f ca="1">VLOOKUP(CurrentMtgRatesDataTable825[[#This Row],[asOfDate]]+1,Bloomberg!B:C,2,0)</f>
        <v>2194.4</v>
      </c>
      <c r="F15" s="27">
        <f>VLOOKUP(CurrentMtgRatesDataTable825[[#This Row],[asOfDate]],CurrentMtgRatesDataTable8256[#All],2,0)</f>
        <v>0.44540607652299313</v>
      </c>
      <c r="G15" s="27">
        <f>VLOOKUP(CurrentMtgRatesDataTable825[[#This Row],[asOfDate]],CurrentMtgRatesDataTable82562[],2,0)</f>
        <v>0.22807581848396768</v>
      </c>
      <c r="H15" s="27">
        <f>VLOOKUP(CurrentMtgRatesDataTable825[[#This Row],[asOfDate]],S:T,2,0)</f>
        <v>0.23582915359045858</v>
      </c>
      <c r="I15" s="58">
        <f>VLOOKUP(CurrentMtgRatesDataTable825[[#This Row],[asOfDate]],CurrentMtgRatesDataTable825623[#All],2,0)</f>
        <v>0.16421372267642936</v>
      </c>
      <c r="J15" s="27">
        <f>VLOOKUP(CurrentMtgRatesDataTable825[[#This Row],[asOfDate]],AB:AC,2,0)</f>
        <v>0.37809391960358502</v>
      </c>
      <c r="L15" s="24">
        <v>40633</v>
      </c>
      <c r="M15" s="26">
        <v>0.44540607652299313</v>
      </c>
      <c r="N15" s="26">
        <f ca="1">VLOOKUP(CurrentMtgRatesDataTable8256[[#This Row],[asOfDate]]+1,Bloomberg!B:C,2,0)</f>
        <v>2194.4</v>
      </c>
      <c r="P15" s="24">
        <v>40633</v>
      </c>
      <c r="Q15" s="26">
        <v>0.22807581848396768</v>
      </c>
      <c r="S15" s="24">
        <v>40633</v>
      </c>
      <c r="T15" s="27">
        <v>0.23582915359045858</v>
      </c>
      <c r="V15" s="56">
        <v>40633</v>
      </c>
      <c r="W15" s="57">
        <v>0.16421372267642936</v>
      </c>
      <c r="Y15" s="1">
        <v>40633</v>
      </c>
      <c r="Z15">
        <v>0.188633191426026</v>
      </c>
      <c r="AB15" s="1">
        <v>40633</v>
      </c>
      <c r="AC15">
        <v>0.37809391960358502</v>
      </c>
    </row>
    <row r="16" spans="2:29">
      <c r="B16" s="24">
        <v>40640</v>
      </c>
      <c r="C16" s="86">
        <v>0.57929953045895977</v>
      </c>
      <c r="D16" s="86">
        <v>0.50718359261901524</v>
      </c>
      <c r="E16" s="6">
        <f ca="1">VLOOKUP(CurrentMtgRatesDataTable825[[#This Row],[asOfDate]]+1,Bloomberg!B:C,2,0)</f>
        <v>2010.6</v>
      </c>
      <c r="F16" s="27">
        <f>VLOOKUP(CurrentMtgRatesDataTable825[[#This Row],[asOfDate]],CurrentMtgRatesDataTable8256[#All],2,0)</f>
        <v>0.43752802947744701</v>
      </c>
      <c r="G16" s="27">
        <f>VLOOKUP(CurrentMtgRatesDataTable825[[#This Row],[asOfDate]],CurrentMtgRatesDataTable82562[],2,0)</f>
        <v>0.22629927187952814</v>
      </c>
      <c r="H16" s="27">
        <f>VLOOKUP(CurrentMtgRatesDataTable825[[#This Row],[asOfDate]],S:T,2,0)</f>
        <v>0.23398840657953646</v>
      </c>
      <c r="I16" s="58">
        <f>VLOOKUP(CurrentMtgRatesDataTable825[[#This Row],[asOfDate]],CurrentMtgRatesDataTable825623[#All],2,0)</f>
        <v>0.16406956784376403</v>
      </c>
      <c r="J16" s="27">
        <f>VLOOKUP(CurrentMtgRatesDataTable825[[#This Row],[asOfDate]],AB:AC,2,0)</f>
        <v>0.36996472497765398</v>
      </c>
      <c r="L16" s="24">
        <v>40640</v>
      </c>
      <c r="M16" s="26">
        <v>0.43752802947744701</v>
      </c>
      <c r="N16" s="26">
        <f ca="1">VLOOKUP(CurrentMtgRatesDataTable8256[[#This Row],[asOfDate]]+1,Bloomberg!B:C,2,0)</f>
        <v>2010.6</v>
      </c>
      <c r="P16" s="24">
        <v>40640</v>
      </c>
      <c r="Q16" s="26">
        <v>0.22629927187952814</v>
      </c>
      <c r="S16" s="24">
        <v>40640</v>
      </c>
      <c r="T16" s="27">
        <v>0.23398840657953646</v>
      </c>
      <c r="V16" s="56">
        <v>40640</v>
      </c>
      <c r="W16" s="57">
        <v>0.16406956784376403</v>
      </c>
      <c r="Y16" s="1">
        <v>40640</v>
      </c>
      <c r="Z16">
        <v>0.187943854940987</v>
      </c>
      <c r="AB16" s="1">
        <v>40640</v>
      </c>
      <c r="AC16">
        <v>0.36996472497765398</v>
      </c>
    </row>
    <row r="17" spans="2:29">
      <c r="B17" s="24">
        <v>40647</v>
      </c>
      <c r="C17" s="86">
        <v>0.57522538646897203</v>
      </c>
      <c r="D17" s="86">
        <v>0.50718359261901524</v>
      </c>
      <c r="E17" s="6">
        <f ca="1">VLOOKUP(CurrentMtgRatesDataTable825[[#This Row],[asOfDate]]+1,Bloomberg!B:C,2,0)</f>
        <v>2065.3000000000002</v>
      </c>
      <c r="F17" s="27">
        <f>VLOOKUP(CurrentMtgRatesDataTable825[[#This Row],[asOfDate]],CurrentMtgRatesDataTable8256[#All],2,0)</f>
        <v>0.43743055763305833</v>
      </c>
      <c r="G17" s="27">
        <f>VLOOKUP(CurrentMtgRatesDataTable825[[#This Row],[asOfDate]],CurrentMtgRatesDataTable82562[],2,0)</f>
        <v>0.22624072096473111</v>
      </c>
      <c r="H17" s="27">
        <f>VLOOKUP(CurrentMtgRatesDataTable825[[#This Row],[asOfDate]],S:T,2,0)</f>
        <v>0.23392925226898756</v>
      </c>
      <c r="I17" s="58">
        <f>VLOOKUP(CurrentMtgRatesDataTable825[[#This Row],[asOfDate]],CurrentMtgRatesDataTable825623[#All],2,0)</f>
        <v>0.16188317261266852</v>
      </c>
      <c r="J17" s="27">
        <f>VLOOKUP(CurrentMtgRatesDataTable825[[#This Row],[asOfDate]],AB:AC,2,0)</f>
        <v>0.36984016473175102</v>
      </c>
      <c r="L17" s="24">
        <v>40647</v>
      </c>
      <c r="M17" s="26">
        <v>0.43743055763305833</v>
      </c>
      <c r="N17" s="26">
        <f ca="1">VLOOKUP(CurrentMtgRatesDataTable8256[[#This Row],[asOfDate]]+1,Bloomberg!B:C,2,0)</f>
        <v>2065.3000000000002</v>
      </c>
      <c r="P17" s="24">
        <v>40647</v>
      </c>
      <c r="Q17" s="26">
        <v>0.22624072096473111</v>
      </c>
      <c r="S17" s="24">
        <v>40647</v>
      </c>
      <c r="T17" s="27">
        <v>0.23392925226898756</v>
      </c>
      <c r="V17" s="56">
        <v>40647</v>
      </c>
      <c r="W17" s="57">
        <v>0.16188317261266852</v>
      </c>
      <c r="Y17" s="1">
        <v>40647</v>
      </c>
      <c r="Z17">
        <v>0.185483894307088</v>
      </c>
      <c r="AB17" s="1">
        <v>40647</v>
      </c>
      <c r="AC17">
        <v>0.36984016473175102</v>
      </c>
    </row>
    <row r="18" spans="2:29">
      <c r="B18" s="24">
        <v>40654</v>
      </c>
      <c r="C18" s="86">
        <v>0.59615160279512802</v>
      </c>
      <c r="D18" s="86">
        <v>0.51786316526429133</v>
      </c>
      <c r="E18" s="6">
        <f ca="1">VLOOKUP(CurrentMtgRatesDataTable825[[#This Row],[asOfDate]]+1,Bloomberg!B:C,2,0)</f>
        <v>2091.4</v>
      </c>
      <c r="F18" s="27">
        <f>VLOOKUP(CurrentMtgRatesDataTable825[[#This Row],[asOfDate]],CurrentMtgRatesDataTable8256[#All],2,0)</f>
        <v>0.50071367537414391</v>
      </c>
      <c r="G18" s="27">
        <f>VLOOKUP(CurrentMtgRatesDataTable825[[#This Row],[asOfDate]],CurrentMtgRatesDataTable82562[],2,0)</f>
        <v>0.2512985264962686</v>
      </c>
      <c r="H18" s="27">
        <f>VLOOKUP(CurrentMtgRatesDataTable825[[#This Row],[asOfDate]],S:T,2,0)</f>
        <v>0.25931046586102646</v>
      </c>
      <c r="I18" s="58">
        <f>VLOOKUP(CurrentMtgRatesDataTable825[[#This Row],[asOfDate]],CurrentMtgRatesDataTable825623[#All],2,0)</f>
        <v>0.18010388926248624</v>
      </c>
      <c r="J18" s="27">
        <f>VLOOKUP(CurrentMtgRatesDataTable825[[#This Row],[asOfDate]],AB:AC,2,0)</f>
        <v>0.38384871096807699</v>
      </c>
      <c r="L18" s="24">
        <v>40654</v>
      </c>
      <c r="M18" s="26">
        <v>0.50071367537414391</v>
      </c>
      <c r="N18" s="26">
        <f ca="1">VLOOKUP(CurrentMtgRatesDataTable8256[[#This Row],[asOfDate]]+1,Bloomberg!B:C,2,0)</f>
        <v>2091.4</v>
      </c>
      <c r="P18" s="24">
        <v>40654</v>
      </c>
      <c r="Q18" s="26">
        <v>0.2512985264962686</v>
      </c>
      <c r="S18" s="24">
        <v>40654</v>
      </c>
      <c r="T18" s="27">
        <v>0.25931046586102646</v>
      </c>
      <c r="V18" s="56">
        <v>40654</v>
      </c>
      <c r="W18" s="57">
        <v>0.18010388926248624</v>
      </c>
      <c r="Y18" s="1">
        <v>40654</v>
      </c>
      <c r="Z18">
        <v>0.20415630755773301</v>
      </c>
      <c r="AB18" s="1">
        <v>40654</v>
      </c>
      <c r="AC18">
        <v>0.38384871096807699</v>
      </c>
    </row>
    <row r="19" spans="2:29">
      <c r="B19" s="24">
        <v>40661</v>
      </c>
      <c r="C19" s="86">
        <v>0.5974089494257403</v>
      </c>
      <c r="D19" s="86">
        <v>0.51786316526429133</v>
      </c>
      <c r="E19" s="6">
        <f ca="1">VLOOKUP(CurrentMtgRatesDataTable825[[#This Row],[asOfDate]]+1,Bloomberg!B:C,2,0)</f>
        <v>2220.1</v>
      </c>
      <c r="F19" s="27">
        <f>VLOOKUP(CurrentMtgRatesDataTable825[[#This Row],[asOfDate]],CurrentMtgRatesDataTable8256[#All],2,0)</f>
        <v>0.50084038538064524</v>
      </c>
      <c r="G19" s="27">
        <f>VLOOKUP(CurrentMtgRatesDataTable825[[#This Row],[asOfDate]],CurrentMtgRatesDataTable82562[],2,0)</f>
        <v>0.25137722920486677</v>
      </c>
      <c r="H19" s="27">
        <f>VLOOKUP(CurrentMtgRatesDataTable825[[#This Row],[asOfDate]],S:T,2,0)</f>
        <v>0.25939108420754325</v>
      </c>
      <c r="I19" s="58">
        <f>VLOOKUP(CurrentMtgRatesDataTable825[[#This Row],[asOfDate]],CurrentMtgRatesDataTable825623[#All],2,0)</f>
        <v>0.18382677970033753</v>
      </c>
      <c r="J19" s="27">
        <f>VLOOKUP(CurrentMtgRatesDataTable825[[#This Row],[asOfDate]],AB:AC,2,0)</f>
        <v>0.38433074982262799</v>
      </c>
      <c r="L19" s="24">
        <v>40661</v>
      </c>
      <c r="M19" s="26">
        <v>0.50084038538064524</v>
      </c>
      <c r="N19" s="26">
        <f ca="1">VLOOKUP(CurrentMtgRatesDataTable8256[[#This Row],[asOfDate]]+1,Bloomberg!B:C,2,0)</f>
        <v>2220.1</v>
      </c>
      <c r="P19" s="24">
        <v>40661</v>
      </c>
      <c r="Q19" s="26">
        <v>0.25137722920486677</v>
      </c>
      <c r="S19" s="24">
        <v>40661</v>
      </c>
      <c r="T19" s="27">
        <v>0.25939108420754325</v>
      </c>
      <c r="V19" s="56">
        <v>40661</v>
      </c>
      <c r="W19" s="57">
        <v>0.18382677970033753</v>
      </c>
      <c r="Y19" s="1">
        <v>40661</v>
      </c>
      <c r="Z19">
        <v>0.208475933924608</v>
      </c>
      <c r="AB19" s="1">
        <v>40661</v>
      </c>
      <c r="AC19">
        <v>0.38433074982262799</v>
      </c>
    </row>
    <row r="20" spans="2:29">
      <c r="B20" s="24">
        <v>40668</v>
      </c>
      <c r="C20" s="86">
        <v>0.59724544574376981</v>
      </c>
      <c r="D20" s="86">
        <v>0.5467853091601883</v>
      </c>
      <c r="E20" s="6">
        <f ca="1">VLOOKUP(CurrentMtgRatesDataTable825[[#This Row],[asOfDate]]+1,Bloomberg!B:C,2,0)</f>
        <v>2414.9</v>
      </c>
      <c r="F20" s="27">
        <f>VLOOKUP(CurrentMtgRatesDataTable825[[#This Row],[asOfDate]],CurrentMtgRatesDataTable8256[#All],2,0)</f>
        <v>0.49619981605913671</v>
      </c>
      <c r="G20" s="27">
        <f>VLOOKUP(CurrentMtgRatesDataTable825[[#This Row],[asOfDate]],CurrentMtgRatesDataTable82562[],2,0)</f>
        <v>0.26857330186118961</v>
      </c>
      <c r="H20" s="27">
        <f>VLOOKUP(CurrentMtgRatesDataTable825[[#This Row],[asOfDate]],S:T,2,0)</f>
        <v>0.2767705840929231</v>
      </c>
      <c r="I20" s="58">
        <f>VLOOKUP(CurrentMtgRatesDataTable825[[#This Row],[asOfDate]],CurrentMtgRatesDataTable825623[#All],2,0)</f>
        <v>0.20387133077641981</v>
      </c>
      <c r="J20" s="27">
        <f>VLOOKUP(CurrentMtgRatesDataTable825[[#This Row],[asOfDate]],AB:AC,2,0)</f>
        <v>0.394871405610702</v>
      </c>
      <c r="L20" s="24">
        <v>40668</v>
      </c>
      <c r="M20" s="26">
        <v>0.49619981605913671</v>
      </c>
      <c r="N20" s="26">
        <f ca="1">VLOOKUP(CurrentMtgRatesDataTable8256[[#This Row],[asOfDate]]+1,Bloomberg!B:C,2,0)</f>
        <v>2414.9</v>
      </c>
      <c r="P20" s="24">
        <v>40668</v>
      </c>
      <c r="Q20" s="26">
        <v>0.26857330186118961</v>
      </c>
      <c r="S20" s="24">
        <v>40668</v>
      </c>
      <c r="T20" s="27">
        <v>0.2767705840929231</v>
      </c>
      <c r="V20" s="56">
        <v>40668</v>
      </c>
      <c r="W20" s="57">
        <v>0.20387133077641981</v>
      </c>
      <c r="Y20" s="1">
        <v>40668</v>
      </c>
      <c r="Z20">
        <v>0.22796776820787201</v>
      </c>
      <c r="AB20" s="1">
        <v>40668</v>
      </c>
      <c r="AC20">
        <v>0.394871405610702</v>
      </c>
    </row>
    <row r="21" spans="2:29">
      <c r="B21" s="24">
        <v>40675</v>
      </c>
      <c r="C21" s="86">
        <v>0.61082990045260388</v>
      </c>
      <c r="D21" s="86">
        <v>0.65738796666247612</v>
      </c>
      <c r="E21" s="6">
        <f ca="1">VLOOKUP(CurrentMtgRatesDataTable825[[#This Row],[asOfDate]]+1,Bloomberg!B:C,2,0)</f>
        <v>2742.2</v>
      </c>
      <c r="F21" s="27">
        <f>VLOOKUP(CurrentMtgRatesDataTable825[[#This Row],[asOfDate]],CurrentMtgRatesDataTable8256[#All],2,0)</f>
        <v>0.54734510927234215</v>
      </c>
      <c r="G21" s="27">
        <f>VLOOKUP(CurrentMtgRatesDataTable825[[#This Row],[asOfDate]],CurrentMtgRatesDataTable82562[],2,0)</f>
        <v>0.32233793721061016</v>
      </c>
      <c r="H21" s="27">
        <f>VLOOKUP(CurrentMtgRatesDataTable825[[#This Row],[asOfDate]],S:T,2,0)</f>
        <v>0.33101736528723608</v>
      </c>
      <c r="I21" s="58">
        <f>VLOOKUP(CurrentMtgRatesDataTable825[[#This Row],[asOfDate]],CurrentMtgRatesDataTable825623[#All],2,0)</f>
        <v>0.2408135217586809</v>
      </c>
      <c r="J21" s="27">
        <f>VLOOKUP(CurrentMtgRatesDataTable825[[#This Row],[asOfDate]],AB:AC,2,0)</f>
        <v>0.43079303669576202</v>
      </c>
      <c r="L21" s="24">
        <v>40675</v>
      </c>
      <c r="M21" s="26">
        <v>0.54734510927234215</v>
      </c>
      <c r="N21" s="26">
        <f ca="1">VLOOKUP(CurrentMtgRatesDataTable8256[[#This Row],[asOfDate]]+1,Bloomberg!B:C,2,0)</f>
        <v>2742.2</v>
      </c>
      <c r="P21" s="24">
        <v>40675</v>
      </c>
      <c r="Q21" s="26">
        <v>0.32233793721061016</v>
      </c>
      <c r="S21" s="24">
        <v>40675</v>
      </c>
      <c r="T21" s="27">
        <v>0.33101736528723608</v>
      </c>
      <c r="V21" s="56">
        <v>40675</v>
      </c>
      <c r="W21" s="57">
        <v>0.2408135217586809</v>
      </c>
      <c r="Y21" s="1">
        <v>40675</v>
      </c>
      <c r="Z21">
        <v>0.2647138960139</v>
      </c>
      <c r="AB21" s="1">
        <v>40675</v>
      </c>
      <c r="AC21">
        <v>0.43079303669576202</v>
      </c>
    </row>
    <row r="22" spans="2:29">
      <c r="B22" s="24">
        <v>40682</v>
      </c>
      <c r="C22" s="86">
        <v>0.61849820952818579</v>
      </c>
      <c r="D22" s="86">
        <v>0.66199859205962708</v>
      </c>
      <c r="E22" s="6">
        <f ca="1">VLOOKUP(CurrentMtgRatesDataTable825[[#This Row],[asOfDate]]+1,Bloomberg!B:C,2,0)</f>
        <v>2764.6</v>
      </c>
      <c r="F22" s="27">
        <f>VLOOKUP(CurrentMtgRatesDataTable825[[#This Row],[asOfDate]],CurrentMtgRatesDataTable8256[#All],2,0)</f>
        <v>0.54747259610785104</v>
      </c>
      <c r="G22" s="27">
        <f>VLOOKUP(CurrentMtgRatesDataTable825[[#This Row],[asOfDate]],CurrentMtgRatesDataTable82562[],2,0)</f>
        <v>0.32249985215715632</v>
      </c>
      <c r="H22" s="27">
        <f>VLOOKUP(CurrentMtgRatesDataTable825[[#This Row],[asOfDate]],S:T,2,0)</f>
        <v>0.33118276104512157</v>
      </c>
      <c r="I22" s="58">
        <f>VLOOKUP(CurrentMtgRatesDataTable825[[#This Row],[asOfDate]],CurrentMtgRatesDataTable825623[#All],2,0)</f>
        <v>0.24117986251785034</v>
      </c>
      <c r="J22" s="27">
        <f>VLOOKUP(CurrentMtgRatesDataTable825[[#This Row],[asOfDate]],AB:AC,2,0)</f>
        <v>0.43090192835496699</v>
      </c>
      <c r="L22" s="24">
        <v>40682</v>
      </c>
      <c r="M22" s="26">
        <v>0.54747259610785104</v>
      </c>
      <c r="N22" s="26">
        <f ca="1">VLOOKUP(CurrentMtgRatesDataTable8256[[#This Row],[asOfDate]]+1,Bloomberg!B:C,2,0)</f>
        <v>2764.6</v>
      </c>
      <c r="P22" s="24">
        <v>40682</v>
      </c>
      <c r="Q22" s="26">
        <v>0.32249985215715632</v>
      </c>
      <c r="S22" s="24">
        <v>40682</v>
      </c>
      <c r="T22" s="27">
        <v>0.33118276104512157</v>
      </c>
      <c r="V22" s="56">
        <v>40682</v>
      </c>
      <c r="W22" s="57">
        <v>0.24117986251785034</v>
      </c>
      <c r="Y22" s="1">
        <v>40682</v>
      </c>
      <c r="Z22">
        <v>0.26569391317337399</v>
      </c>
      <c r="AB22" s="1">
        <v>40682</v>
      </c>
      <c r="AC22">
        <v>0.43090192835496699</v>
      </c>
    </row>
    <row r="23" spans="2:29">
      <c r="B23" s="24">
        <v>40689</v>
      </c>
      <c r="C23" s="86">
        <v>0.62365510807241908</v>
      </c>
      <c r="D23" s="86">
        <v>0.66199859205962708</v>
      </c>
      <c r="E23" s="6">
        <f ca="1">VLOOKUP(CurrentMtgRatesDataTable825[[#This Row],[asOfDate]]+1,Bloomberg!B:C,2,0)</f>
        <v>2619.6999999999998</v>
      </c>
      <c r="F23" s="27">
        <f>VLOOKUP(CurrentMtgRatesDataTable825[[#This Row],[asOfDate]],CurrentMtgRatesDataTable8256[#All],2,0)</f>
        <v>0.54749050352200102</v>
      </c>
      <c r="G23" s="27">
        <f>VLOOKUP(CurrentMtgRatesDataTable825[[#This Row],[asOfDate]],CurrentMtgRatesDataTable82562[],2,0)</f>
        <v>0.32256622584809336</v>
      </c>
      <c r="H23" s="27">
        <f>VLOOKUP(CurrentMtgRatesDataTable825[[#This Row],[asOfDate]],S:T,2,0)</f>
        <v>0.33125092721379307</v>
      </c>
      <c r="I23" s="58">
        <f>VLOOKUP(CurrentMtgRatesDataTable825[[#This Row],[asOfDate]],CurrentMtgRatesDataTable825623[#All],2,0)</f>
        <v>0.24355361553325378</v>
      </c>
      <c r="J23" s="27">
        <f>VLOOKUP(CurrentMtgRatesDataTable825[[#This Row],[asOfDate]],AB:AC,2,0)</f>
        <v>0.431110671725766</v>
      </c>
      <c r="L23" s="24">
        <v>40689</v>
      </c>
      <c r="M23" s="26">
        <v>0.54749050352200102</v>
      </c>
      <c r="N23" s="26">
        <f ca="1">VLOOKUP(CurrentMtgRatesDataTable8256[[#This Row],[asOfDate]]+1,Bloomberg!B:C,2,0)</f>
        <v>2619.6999999999998</v>
      </c>
      <c r="P23" s="24">
        <v>40689</v>
      </c>
      <c r="Q23" s="26">
        <v>0.32256622584809336</v>
      </c>
      <c r="S23" s="24">
        <v>40689</v>
      </c>
      <c r="T23" s="27">
        <v>0.33125092721379307</v>
      </c>
      <c r="V23" s="56">
        <v>40689</v>
      </c>
      <c r="W23" s="57">
        <v>0.24355361553325378</v>
      </c>
      <c r="Y23" s="1">
        <v>40689</v>
      </c>
      <c r="Z23">
        <v>0.26738268195555598</v>
      </c>
      <c r="AB23" s="1">
        <v>40689</v>
      </c>
      <c r="AC23">
        <v>0.431110671725766</v>
      </c>
    </row>
    <row r="24" spans="2:29">
      <c r="B24" s="24">
        <v>40696</v>
      </c>
      <c r="C24" s="86">
        <v>0.68061413057737541</v>
      </c>
      <c r="D24" s="86">
        <v>0.73722939877581994</v>
      </c>
      <c r="E24" s="26">
        <f ca="1">VLOOKUP(CurrentMtgRatesDataTable825[[#This Row],[asOfDate]]+1,Bloomberg!B:C,2,0)</f>
        <v>2648</v>
      </c>
      <c r="F24" s="27">
        <f>VLOOKUP(CurrentMtgRatesDataTable825[[#This Row],[asOfDate]],CurrentMtgRatesDataTable8256[#All],2,0)</f>
        <v>0.61801719649367404</v>
      </c>
      <c r="G24" s="27">
        <f>VLOOKUP(CurrentMtgRatesDataTable825[[#This Row],[asOfDate]],CurrentMtgRatesDataTable82562[],2,0)</f>
        <v>0.36014914447868307</v>
      </c>
      <c r="H24" s="27">
        <f>VLOOKUP(CurrentMtgRatesDataTable825[[#This Row],[asOfDate]],S:T,2,0)</f>
        <v>0.3691835869311077</v>
      </c>
      <c r="I24" s="84">
        <f>VLOOKUP(CurrentMtgRatesDataTable825[[#This Row],[asOfDate]],CurrentMtgRatesDataTable825623[#All],2,0)</f>
        <v>0.27670038879120418</v>
      </c>
      <c r="J24" s="84">
        <f>VLOOKUP(CurrentMtgRatesDataTable825[[#This Row],[asOfDate]],AB:AC,2,0)</f>
        <v>0.45342303565958197</v>
      </c>
      <c r="L24" s="24">
        <v>40696</v>
      </c>
      <c r="M24" s="26">
        <v>0.61801719649367404</v>
      </c>
      <c r="N24" s="26">
        <f ca="1">VLOOKUP(CurrentMtgRatesDataTable8256[[#This Row],[asOfDate]]+1,Bloomberg!B:C,2,0)</f>
        <v>2648</v>
      </c>
      <c r="P24" s="24">
        <v>40696</v>
      </c>
      <c r="Q24" s="26">
        <v>0.36014914447868307</v>
      </c>
      <c r="S24" s="24">
        <v>40696</v>
      </c>
      <c r="T24" s="27">
        <v>0.3691835869311077</v>
      </c>
      <c r="V24" s="56">
        <v>40696</v>
      </c>
      <c r="W24" s="57">
        <v>0.27670038879120418</v>
      </c>
      <c r="Y24" s="1">
        <v>40696</v>
      </c>
      <c r="Z24">
        <v>0.30082048244992798</v>
      </c>
      <c r="AB24" s="1">
        <v>40696</v>
      </c>
      <c r="AC24">
        <v>0.45342303565958197</v>
      </c>
    </row>
    <row r="25" spans="2:29">
      <c r="B25" s="24">
        <v>40703</v>
      </c>
      <c r="C25" s="86">
        <v>0.7307446198335974</v>
      </c>
      <c r="D25" s="86">
        <v>0.76813769908743101</v>
      </c>
      <c r="E25" s="26">
        <f ca="1">VLOOKUP(CurrentMtgRatesDataTable825[[#This Row],[asOfDate]]+1,Bloomberg!B:C,2,0)</f>
        <v>3101.7</v>
      </c>
      <c r="F25" s="27">
        <f>VLOOKUP(CurrentMtgRatesDataTable825[[#This Row],[asOfDate]],CurrentMtgRatesDataTable8256[#All],2,0)</f>
        <v>0.61814735042604474</v>
      </c>
      <c r="G25" s="27">
        <f>VLOOKUP(CurrentMtgRatesDataTable825[[#This Row],[asOfDate]],CurrentMtgRatesDataTable82562[],2,0)</f>
        <v>0.38598811063501398</v>
      </c>
      <c r="H25" s="27">
        <f>VLOOKUP(CurrentMtgRatesDataTable825[[#This Row],[asOfDate]],S:T,2,0)</f>
        <v>0.39508524505835663</v>
      </c>
      <c r="I25" s="84">
        <f>VLOOKUP(CurrentMtgRatesDataTable825[[#This Row],[asOfDate]],CurrentMtgRatesDataTable825623[#All],2,0)</f>
        <v>0.29931986389681725</v>
      </c>
      <c r="J25" s="84">
        <f>VLOOKUP(CurrentMtgRatesDataTable825[[#This Row],[asOfDate]],AB:AC,2,0)</f>
        <v>0.47629557608974499</v>
      </c>
      <c r="L25" s="24">
        <v>40703</v>
      </c>
      <c r="M25" s="26">
        <v>0.61814735042604474</v>
      </c>
      <c r="N25" s="26">
        <f ca="1">VLOOKUP(CurrentMtgRatesDataTable8256[[#This Row],[asOfDate]]+1,Bloomberg!B:C,2,0)</f>
        <v>3101.7</v>
      </c>
      <c r="P25" s="24">
        <v>40703</v>
      </c>
      <c r="Q25" s="26">
        <v>0.38598811063501398</v>
      </c>
      <c r="S25" s="24">
        <v>40703</v>
      </c>
      <c r="T25" s="27">
        <v>0.39508524505835663</v>
      </c>
      <c r="V25" s="56">
        <v>40703</v>
      </c>
      <c r="W25" s="57">
        <v>0.29931986389681725</v>
      </c>
      <c r="Y25" s="1">
        <v>40703</v>
      </c>
      <c r="Z25">
        <v>0.323009664483068</v>
      </c>
      <c r="AB25" s="1">
        <v>40703</v>
      </c>
      <c r="AC25">
        <v>0.47629557608974499</v>
      </c>
    </row>
    <row r="26" spans="2:29">
      <c r="B26" s="24">
        <v>40710</v>
      </c>
      <c r="C26" s="86">
        <v>0.71119905794276284</v>
      </c>
      <c r="D26" s="86">
        <v>0.73722939877581994</v>
      </c>
      <c r="E26" s="26">
        <f ca="1">VLOOKUP(CurrentMtgRatesDataTable825[[#This Row],[asOfDate]]+1,Bloomberg!B:C,2,0)</f>
        <v>2857.9</v>
      </c>
      <c r="F26" s="27">
        <f>VLOOKUP(CurrentMtgRatesDataTable825[[#This Row],[asOfDate]],CurrentMtgRatesDataTable8256[#All],2,0)</f>
        <v>0.61809095300776584</v>
      </c>
      <c r="G26" s="27">
        <f>VLOOKUP(CurrentMtgRatesDataTable825[[#This Row],[asOfDate]],CurrentMtgRatesDataTable82562[],2,0)</f>
        <v>0.38593747737545009</v>
      </c>
      <c r="H26" s="27">
        <f>VLOOKUP(CurrentMtgRatesDataTable825[[#This Row],[asOfDate]],S:T,2,0)</f>
        <v>0.39503378326956207</v>
      </c>
      <c r="I26" s="84">
        <f>VLOOKUP(CurrentMtgRatesDataTable825[[#This Row],[asOfDate]],CurrentMtgRatesDataTable825623[#All],2,0)</f>
        <v>0.29927890586033978</v>
      </c>
      <c r="J26" s="84">
        <f>VLOOKUP(CurrentMtgRatesDataTable825[[#This Row],[asOfDate]],AB:AC,2,0)</f>
        <v>0.47626301055025799</v>
      </c>
      <c r="L26" s="24">
        <v>40710</v>
      </c>
      <c r="M26" s="26">
        <v>0.61809095300776584</v>
      </c>
      <c r="N26" s="26">
        <f ca="1">VLOOKUP(CurrentMtgRatesDataTable8256[[#This Row],[asOfDate]]+1,Bloomberg!B:C,2,0)</f>
        <v>2857.9</v>
      </c>
      <c r="P26" s="24">
        <v>40710</v>
      </c>
      <c r="Q26" s="26">
        <v>0.38593747737545009</v>
      </c>
      <c r="S26" s="24">
        <v>40710</v>
      </c>
      <c r="T26" s="27">
        <v>0.39503378326956207</v>
      </c>
      <c r="V26" s="56">
        <v>40710</v>
      </c>
      <c r="W26" s="57">
        <v>0.29927890586033978</v>
      </c>
      <c r="Y26" s="1">
        <v>40710</v>
      </c>
      <c r="Z26">
        <v>0.32297408610994599</v>
      </c>
      <c r="AB26" s="1">
        <v>40710</v>
      </c>
      <c r="AC26">
        <v>0.47626301055025799</v>
      </c>
    </row>
    <row r="27" spans="2:29">
      <c r="B27" s="24">
        <v>40717</v>
      </c>
      <c r="C27" s="86">
        <v>0.68061413057737541</v>
      </c>
      <c r="D27" s="86">
        <v>0.73722939877581994</v>
      </c>
      <c r="E27" s="26">
        <f ca="1">VLOOKUP(CurrentMtgRatesDataTable825[[#This Row],[asOfDate]]+1,Bloomberg!B:C,2,0)</f>
        <v>2809.5</v>
      </c>
      <c r="F27" s="27">
        <f>VLOOKUP(CurrentMtgRatesDataTable825[[#This Row],[asOfDate]],CurrentMtgRatesDataTable8256[#All],2,0)</f>
        <v>0.61801719649367404</v>
      </c>
      <c r="G27" s="27">
        <f>VLOOKUP(CurrentMtgRatesDataTable825[[#This Row],[asOfDate]],CurrentMtgRatesDataTable82562[],2,0)</f>
        <v>0.36014914447868307</v>
      </c>
      <c r="H27" s="27">
        <f>VLOOKUP(CurrentMtgRatesDataTable825[[#This Row],[asOfDate]],S:T,2,0)</f>
        <v>0.3691835869311077</v>
      </c>
      <c r="I27" s="84">
        <f>VLOOKUP(CurrentMtgRatesDataTable825[[#This Row],[asOfDate]],CurrentMtgRatesDataTable825623[#All],2,0)</f>
        <v>0.27670038879120418</v>
      </c>
      <c r="J27" s="84">
        <f>VLOOKUP(CurrentMtgRatesDataTable825[[#This Row],[asOfDate]],AB:AC,2,0)</f>
        <v>0.45342303565958197</v>
      </c>
      <c r="L27" s="24">
        <v>40717</v>
      </c>
      <c r="M27" s="26">
        <v>0.61801719649367404</v>
      </c>
      <c r="N27" s="26">
        <f ca="1">VLOOKUP(CurrentMtgRatesDataTable8256[[#This Row],[asOfDate]]+1,Bloomberg!B:C,2,0)</f>
        <v>2809.5</v>
      </c>
      <c r="P27" s="24">
        <v>40717</v>
      </c>
      <c r="Q27" s="26">
        <v>0.36014914447868307</v>
      </c>
      <c r="S27" s="24">
        <v>40717</v>
      </c>
      <c r="T27" s="27">
        <v>0.3691835869311077</v>
      </c>
      <c r="V27" s="56">
        <v>40717</v>
      </c>
      <c r="W27" s="57">
        <v>0.27670038879120418</v>
      </c>
      <c r="Y27" s="1">
        <v>40717</v>
      </c>
      <c r="Z27">
        <v>0.30082048244992798</v>
      </c>
      <c r="AB27" s="1">
        <v>40717</v>
      </c>
      <c r="AC27">
        <v>0.45342303565958197</v>
      </c>
    </row>
    <row r="28" spans="2:29">
      <c r="B28" s="24">
        <v>40724</v>
      </c>
      <c r="C28" s="86">
        <v>0.69873775780573066</v>
      </c>
      <c r="D28" s="86">
        <v>0.73722939877581994</v>
      </c>
      <c r="E28" s="26">
        <f ca="1">VLOOKUP(CurrentMtgRatesDataTable825[[#This Row],[asOfDate]]+1,Bloomberg!B:C,2,0)</f>
        <v>2527.5</v>
      </c>
      <c r="F28" s="27">
        <f>VLOOKUP(CurrentMtgRatesDataTable825[[#This Row],[asOfDate]],CurrentMtgRatesDataTable8256[#All],2,0)</f>
        <v>0.61807450623887938</v>
      </c>
      <c r="G28" s="27">
        <f>VLOOKUP(CurrentMtgRatesDataTable825[[#This Row],[asOfDate]],CurrentMtgRatesDataTable82562[],2,0)</f>
        <v>0.38497887844636058</v>
      </c>
      <c r="H28" s="27">
        <f>VLOOKUP(CurrentMtgRatesDataTable825[[#This Row],[asOfDate]],S:T,2,0)</f>
        <v>0.39407405863936062</v>
      </c>
      <c r="I28" s="84">
        <f>VLOOKUP(CurrentMtgRatesDataTable825[[#This Row],[asOfDate]],CurrentMtgRatesDataTable825623[#All],2,0)</f>
        <v>0.29803164102095814</v>
      </c>
      <c r="J28" s="84">
        <f>VLOOKUP(CurrentMtgRatesDataTable825[[#This Row],[asOfDate]],AB:AC,2,0)</f>
        <v>0.47533111966863201</v>
      </c>
      <c r="L28" s="24">
        <v>40724</v>
      </c>
      <c r="M28" s="26">
        <v>0.61807450623887938</v>
      </c>
      <c r="N28" s="26">
        <f ca="1">VLOOKUP(CurrentMtgRatesDataTable8256[[#This Row],[asOfDate]]+1,Bloomberg!B:C,2,0)</f>
        <v>2527.5</v>
      </c>
      <c r="P28" s="24">
        <v>40724</v>
      </c>
      <c r="Q28" s="26">
        <v>0.38497887844636058</v>
      </c>
      <c r="S28" s="24">
        <v>40724</v>
      </c>
      <c r="T28" s="27">
        <v>0.39407405863936062</v>
      </c>
      <c r="V28" s="56">
        <v>40724</v>
      </c>
      <c r="W28" s="57">
        <v>0.29803164102095814</v>
      </c>
      <c r="Y28" s="1">
        <v>40724</v>
      </c>
      <c r="Z28">
        <v>0.32154747841998998</v>
      </c>
      <c r="AB28" s="1">
        <v>40724</v>
      </c>
      <c r="AC28">
        <v>0.47533111966863201</v>
      </c>
    </row>
    <row r="29" spans="2:29">
      <c r="B29" s="24">
        <v>40731</v>
      </c>
      <c r="C29" s="86">
        <v>0.61259135853963087</v>
      </c>
      <c r="D29" s="86">
        <v>0.65071428166995871</v>
      </c>
      <c r="E29" s="26">
        <f ca="1">VLOOKUP(CurrentMtgRatesDataTable825[[#This Row],[asOfDate]]+1,Bloomberg!B:C,2,0)</f>
        <v>2362.6999999999998</v>
      </c>
      <c r="F29" s="27">
        <f>VLOOKUP(CurrentMtgRatesDataTable825[[#This Row],[asOfDate]],CurrentMtgRatesDataTable8256[#All],2,0)</f>
        <v>0.5369732812748057</v>
      </c>
      <c r="G29" s="27">
        <f>VLOOKUP(CurrentMtgRatesDataTable825[[#This Row],[asOfDate]],CurrentMtgRatesDataTable82562[],2,0)</f>
        <v>0.32091685059597075</v>
      </c>
      <c r="H29" s="27">
        <f>VLOOKUP(CurrentMtgRatesDataTable825[[#This Row],[asOfDate]],S:T,2,0)</f>
        <v>0.32953309642129813</v>
      </c>
      <c r="I29" s="84">
        <f>VLOOKUP(CurrentMtgRatesDataTable825[[#This Row],[asOfDate]],CurrentMtgRatesDataTable825623[#All],2,0)</f>
        <v>0.24635975140985969</v>
      </c>
      <c r="J29" s="84">
        <f>VLOOKUP(CurrentMtgRatesDataTable825[[#This Row],[asOfDate]],AB:AC,2,0)</f>
        <v>0.42115773967800002</v>
      </c>
      <c r="L29" s="24">
        <v>40731</v>
      </c>
      <c r="M29" s="26">
        <v>0.5369732812748057</v>
      </c>
      <c r="N29" s="26">
        <f ca="1">VLOOKUP(CurrentMtgRatesDataTable8256[[#This Row],[asOfDate]]+1,Bloomberg!B:C,2,0)</f>
        <v>2362.6999999999998</v>
      </c>
      <c r="P29" s="24">
        <v>40731</v>
      </c>
      <c r="Q29" s="26">
        <v>0.32091685059597075</v>
      </c>
      <c r="S29" s="24">
        <v>40731</v>
      </c>
      <c r="T29" s="27">
        <v>0.32953309642129813</v>
      </c>
      <c r="V29" s="56">
        <v>40731</v>
      </c>
      <c r="W29" s="57">
        <v>0.24635975140985969</v>
      </c>
      <c r="Y29" s="1">
        <v>40731</v>
      </c>
      <c r="Z29">
        <v>0.26933730408457301</v>
      </c>
      <c r="AB29" s="1">
        <v>40731</v>
      </c>
      <c r="AC29">
        <v>0.42115773967800002</v>
      </c>
    </row>
    <row r="30" spans="2:29">
      <c r="B30" s="24">
        <v>40738</v>
      </c>
      <c r="C30" s="86">
        <v>0.69302456737828066</v>
      </c>
      <c r="D30" s="86">
        <v>0.73117016696358827</v>
      </c>
      <c r="E30" s="26">
        <f ca="1">VLOOKUP(CurrentMtgRatesDataTable825[[#This Row],[asOfDate]]+1,Bloomberg!B:C,2,0)</f>
        <v>2923.8</v>
      </c>
      <c r="F30" s="27">
        <f>VLOOKUP(CurrentMtgRatesDataTable825[[#This Row],[asOfDate]],CurrentMtgRatesDataTable8256[#All],2,0)</f>
        <v>0.61264472977114681</v>
      </c>
      <c r="G30" s="27">
        <f>VLOOKUP(CurrentMtgRatesDataTable825[[#This Row],[asOfDate]],CurrentMtgRatesDataTable82562[],2,0)</f>
        <v>0.383025601933284</v>
      </c>
      <c r="H30" s="27">
        <f>VLOOKUP(CurrentMtgRatesDataTable825[[#This Row],[asOfDate]],S:T,2,0)</f>
        <v>0.39198068984469925</v>
      </c>
      <c r="I30" s="84">
        <f>VLOOKUP(CurrentMtgRatesDataTable825[[#This Row],[asOfDate]],CurrentMtgRatesDataTable825623[#All],2,0)</f>
        <v>0.29801285071746725</v>
      </c>
      <c r="J30" s="84">
        <f>VLOOKUP(CurrentMtgRatesDataTable825[[#This Row],[asOfDate]],AB:AC,2,0)</f>
        <v>0.47005900282082203</v>
      </c>
      <c r="L30" s="24">
        <v>40738</v>
      </c>
      <c r="M30" s="26">
        <v>0.61264472977114681</v>
      </c>
      <c r="N30" s="26">
        <f ca="1">VLOOKUP(CurrentMtgRatesDataTable8256[[#This Row],[asOfDate]]+1,Bloomberg!B:C,2,0)</f>
        <v>2923.8</v>
      </c>
      <c r="P30" s="24">
        <v>40738</v>
      </c>
      <c r="Q30" s="26">
        <v>0.383025601933284</v>
      </c>
      <c r="S30" s="24">
        <v>40738</v>
      </c>
      <c r="T30" s="27">
        <v>0.39198068984469925</v>
      </c>
      <c r="V30" s="56">
        <v>40738</v>
      </c>
      <c r="W30" s="57">
        <v>0.29801285071746725</v>
      </c>
      <c r="Y30" s="1">
        <v>40738</v>
      </c>
      <c r="Z30">
        <v>0.32104478244934098</v>
      </c>
      <c r="AB30" s="1">
        <v>40738</v>
      </c>
      <c r="AC30">
        <v>0.47005900282082203</v>
      </c>
    </row>
    <row r="31" spans="2:29">
      <c r="B31" s="24">
        <v>40745</v>
      </c>
      <c r="C31" s="86">
        <v>0.67956391613327316</v>
      </c>
      <c r="D31" s="86">
        <v>0.73117016696358827</v>
      </c>
      <c r="E31" s="26">
        <f ca="1">VLOOKUP(CurrentMtgRatesDataTable825[[#This Row],[asOfDate]]+1,Bloomberg!B:C,2,0)</f>
        <v>2769.6</v>
      </c>
      <c r="F31" s="27">
        <f>VLOOKUP(CurrentMtgRatesDataTable825[[#This Row],[asOfDate]],CurrentMtgRatesDataTable8256[#All],2,0)</f>
        <v>0.61259676686406817</v>
      </c>
      <c r="G31" s="27">
        <f>VLOOKUP(CurrentMtgRatesDataTable825[[#This Row],[asOfDate]],CurrentMtgRatesDataTable82562[],2,0)</f>
        <v>0.35799853895589562</v>
      </c>
      <c r="H31" s="27">
        <f>VLOOKUP(CurrentMtgRatesDataTable825[[#This Row],[asOfDate]],S:T,2,0)</f>
        <v>0.36688328154710265</v>
      </c>
      <c r="I31" s="84">
        <f>VLOOKUP(CurrentMtgRatesDataTable825[[#This Row],[asOfDate]],CurrentMtgRatesDataTable825623[#All],2,0)</f>
        <v>0.27647176144055741</v>
      </c>
      <c r="J31" s="84">
        <f>VLOOKUP(CurrentMtgRatesDataTable825[[#This Row],[asOfDate]],AB:AC,2,0)</f>
        <v>0.44797749734765901</v>
      </c>
      <c r="L31" s="24">
        <v>40745</v>
      </c>
      <c r="M31" s="26">
        <v>0.61259676686406817</v>
      </c>
      <c r="N31" s="26">
        <f ca="1">VLOOKUP(CurrentMtgRatesDataTable8256[[#This Row],[asOfDate]]+1,Bloomberg!B:C,2,0)</f>
        <v>2769.6</v>
      </c>
      <c r="P31" s="24">
        <v>40745</v>
      </c>
      <c r="Q31" s="26">
        <v>0.35799853895589562</v>
      </c>
      <c r="S31" s="24">
        <v>40745</v>
      </c>
      <c r="T31" s="27">
        <v>0.36688328154710265</v>
      </c>
      <c r="V31" s="56">
        <v>40745</v>
      </c>
      <c r="W31" s="57">
        <v>0.27647176144055741</v>
      </c>
      <c r="Y31" s="1">
        <v>40745</v>
      </c>
      <c r="Z31">
        <v>0.30008440864216102</v>
      </c>
      <c r="AB31" s="1">
        <v>40745</v>
      </c>
      <c r="AC31">
        <v>0.44797749734765901</v>
      </c>
    </row>
    <row r="32" spans="2:29">
      <c r="B32" s="24">
        <v>40752</v>
      </c>
      <c r="C32" s="86">
        <v>0.6276351058238383</v>
      </c>
      <c r="D32" s="86">
        <v>0.69998887799534937</v>
      </c>
      <c r="E32" s="26">
        <f ca="1">VLOOKUP(CurrentMtgRatesDataTable825[[#This Row],[asOfDate]]+1,Bloomberg!B:C,2,0)</f>
        <v>2974.1</v>
      </c>
      <c r="F32" s="27">
        <f>VLOOKUP(CurrentMtgRatesDataTable825[[#This Row],[asOfDate]],CurrentMtgRatesDataTable8256[#All],2,0)</f>
        <v>0.60542736860140534</v>
      </c>
      <c r="G32" s="27">
        <f>VLOOKUP(CurrentMtgRatesDataTable825[[#This Row],[asOfDate]],CurrentMtgRatesDataTable82562[],2,0)</f>
        <v>0.35662695643050035</v>
      </c>
      <c r="H32" s="27">
        <f>VLOOKUP(CurrentMtgRatesDataTable825[[#This Row],[asOfDate]],S:T,2,0)</f>
        <v>0.36550585923079215</v>
      </c>
      <c r="I32" s="84">
        <f>VLOOKUP(CurrentMtgRatesDataTable825[[#This Row],[asOfDate]],CurrentMtgRatesDataTable825623[#All],2,0)</f>
        <v>0.26886674922653592</v>
      </c>
      <c r="J32" s="84">
        <f>VLOOKUP(CurrentMtgRatesDataTable825[[#This Row],[asOfDate]],AB:AC,2,0)</f>
        <v>0.44409861209358098</v>
      </c>
      <c r="L32" s="24">
        <v>40752</v>
      </c>
      <c r="M32" s="26">
        <v>0.60542736860140534</v>
      </c>
      <c r="N32" s="26">
        <f ca="1">VLOOKUP(CurrentMtgRatesDataTable8256[[#This Row],[asOfDate]]+1,Bloomberg!B:C,2,0)</f>
        <v>2974.1</v>
      </c>
      <c r="P32" s="24">
        <v>40752</v>
      </c>
      <c r="Q32" s="26">
        <v>0.35662695643050035</v>
      </c>
      <c r="S32" s="24">
        <v>40752</v>
      </c>
      <c r="T32" s="27">
        <v>0.36550585923079215</v>
      </c>
      <c r="V32" s="56">
        <v>40752</v>
      </c>
      <c r="W32" s="57">
        <v>0.26886674922653592</v>
      </c>
      <c r="Y32" s="1">
        <v>40752</v>
      </c>
      <c r="Z32">
        <v>0.291512643636192</v>
      </c>
      <c r="AB32" s="1">
        <v>40752</v>
      </c>
      <c r="AC32">
        <v>0.44409861209358098</v>
      </c>
    </row>
    <row r="33" spans="2:29">
      <c r="B33" s="24">
        <v>40759</v>
      </c>
      <c r="C33" s="86">
        <v>0.82203491250504035</v>
      </c>
      <c r="D33" s="86">
        <v>0.84574612583872211</v>
      </c>
      <c r="E33" s="26">
        <f ca="1">VLOOKUP(CurrentMtgRatesDataTable825[[#This Row],[asOfDate]]+1,Bloomberg!B:C,2,0)</f>
        <v>3880.9</v>
      </c>
      <c r="F33" s="27">
        <f>VLOOKUP(CurrentMtgRatesDataTable825[[#This Row],[asOfDate]],CurrentMtgRatesDataTable8256[#All],2,0)</f>
        <v>0.74150202177436741</v>
      </c>
      <c r="G33" s="27">
        <f>VLOOKUP(CurrentMtgRatesDataTable825[[#This Row],[asOfDate]],CurrentMtgRatesDataTable82562[],2,0)</f>
        <v>0.44152388004450221</v>
      </c>
      <c r="H33" s="27">
        <f>VLOOKUP(CurrentMtgRatesDataTable825[[#This Row],[asOfDate]],S:T,2,0)</f>
        <v>0.45050394711351643</v>
      </c>
      <c r="I33" s="84">
        <f>VLOOKUP(CurrentMtgRatesDataTable825[[#This Row],[asOfDate]],CurrentMtgRatesDataTable825623[#All],2,0)</f>
        <v>0.35055994389214357</v>
      </c>
      <c r="J33" s="84">
        <f>VLOOKUP(CurrentMtgRatesDataTable825[[#This Row],[asOfDate]],AB:AC,2,0)</f>
        <v>0.515379400381896</v>
      </c>
      <c r="L33" s="24">
        <v>40759</v>
      </c>
      <c r="M33" s="26">
        <v>0.74150202177436741</v>
      </c>
      <c r="N33" s="26">
        <f ca="1">VLOOKUP(CurrentMtgRatesDataTable8256[[#This Row],[asOfDate]]+1,Bloomberg!B:C,2,0)</f>
        <v>3880.9</v>
      </c>
      <c r="P33" s="24">
        <v>40759</v>
      </c>
      <c r="Q33" s="26">
        <v>0.44152388004450221</v>
      </c>
      <c r="S33" s="24">
        <v>40759</v>
      </c>
      <c r="T33" s="27">
        <v>0.45050394711351643</v>
      </c>
      <c r="V33" s="56">
        <v>40759</v>
      </c>
      <c r="W33" s="57">
        <v>0.35055994389214357</v>
      </c>
      <c r="Y33" s="1">
        <v>40759</v>
      </c>
      <c r="Z33">
        <v>0.37317012727027599</v>
      </c>
      <c r="AB33" s="1">
        <v>40759</v>
      </c>
      <c r="AC33">
        <v>0.515379400381896</v>
      </c>
    </row>
    <row r="34" spans="2:29">
      <c r="B34" s="24">
        <v>40766</v>
      </c>
      <c r="C34" s="86">
        <v>0.86615921529099282</v>
      </c>
      <c r="D34" s="86">
        <v>0.8995783238448517</v>
      </c>
      <c r="E34" s="26">
        <f ca="1">VLOOKUP(CurrentMtgRatesDataTable825[[#This Row],[asOfDate]]+1,Bloomberg!B:C,2,0)</f>
        <v>4184.3999999999996</v>
      </c>
      <c r="F34" s="27">
        <f>VLOOKUP(CurrentMtgRatesDataTable825[[#This Row],[asOfDate]],CurrentMtgRatesDataTable8256[#All],2,0)</f>
        <v>0.84590073793359044</v>
      </c>
      <c r="G34" s="27">
        <f>VLOOKUP(CurrentMtgRatesDataTable825[[#This Row],[asOfDate]],CurrentMtgRatesDataTable82562[],2,0)</f>
        <v>0.56283322937311075</v>
      </c>
      <c r="H34" s="27">
        <f>VLOOKUP(CurrentMtgRatesDataTable825[[#This Row],[asOfDate]],S:T,2,0)</f>
        <v>0.57202234451964995</v>
      </c>
      <c r="I34" s="84">
        <f>VLOOKUP(CurrentMtgRatesDataTable825[[#This Row],[asOfDate]],CurrentMtgRatesDataTable825623[#All],2,0)</f>
        <v>0.44640823318837386</v>
      </c>
      <c r="J34" s="84">
        <f>VLOOKUP(CurrentMtgRatesDataTable825[[#This Row],[asOfDate]],AB:AC,2,0)</f>
        <v>0.61745026323361196</v>
      </c>
      <c r="L34" s="24">
        <v>40766</v>
      </c>
      <c r="M34" s="26">
        <v>0.84590073793359044</v>
      </c>
      <c r="N34" s="26">
        <f ca="1">VLOOKUP(CurrentMtgRatesDataTable8256[[#This Row],[asOfDate]]+1,Bloomberg!B:C,2,0)</f>
        <v>4184.3999999999996</v>
      </c>
      <c r="P34" s="24">
        <v>40766</v>
      </c>
      <c r="Q34" s="26">
        <v>0.56283322937311075</v>
      </c>
      <c r="S34" s="24">
        <v>40766</v>
      </c>
      <c r="T34" s="27">
        <v>0.57202234451964995</v>
      </c>
      <c r="V34" s="56">
        <v>40766</v>
      </c>
      <c r="W34" s="57">
        <v>0.44640823318837386</v>
      </c>
      <c r="Y34" s="1">
        <v>40766</v>
      </c>
      <c r="Z34">
        <v>0.467959525189241</v>
      </c>
      <c r="AB34" s="1">
        <v>40766</v>
      </c>
      <c r="AC34">
        <v>0.61745026323361196</v>
      </c>
    </row>
    <row r="35" spans="2:29">
      <c r="B35" s="24">
        <v>40773</v>
      </c>
      <c r="C35" s="86">
        <v>0.89405364982066748</v>
      </c>
      <c r="D35" s="86">
        <v>0.91709472888012378</v>
      </c>
      <c r="E35" s="26">
        <f ca="1">VLOOKUP(CurrentMtgRatesDataTable825[[#This Row],[asOfDate]]+1,Bloomberg!B:C,2,0)</f>
        <v>4110.8</v>
      </c>
      <c r="F35" s="27">
        <f>VLOOKUP(CurrentMtgRatesDataTable825[[#This Row],[asOfDate]],CurrentMtgRatesDataTable8256[#All],2,0)</f>
        <v>0.88586751140233078</v>
      </c>
      <c r="G35" s="27">
        <f>VLOOKUP(CurrentMtgRatesDataTable825[[#This Row],[asOfDate]],CurrentMtgRatesDataTable82562[],2,0)</f>
        <v>0.65725120433713646</v>
      </c>
      <c r="H35" s="27">
        <f>VLOOKUP(CurrentMtgRatesDataTable825[[#This Row],[asOfDate]],S:T,2,0)</f>
        <v>0.66665601955240716</v>
      </c>
      <c r="I35" s="84">
        <f>VLOOKUP(CurrentMtgRatesDataTable825[[#This Row],[asOfDate]],CurrentMtgRatesDataTable825623[#All],2,0)</f>
        <v>0.53965388848865747</v>
      </c>
      <c r="J35" s="84">
        <f>VLOOKUP(CurrentMtgRatesDataTable825[[#This Row],[asOfDate]],AB:AC,2,0)</f>
        <v>0.71103111098302996</v>
      </c>
      <c r="L35" s="24">
        <v>40773</v>
      </c>
      <c r="M35" s="26">
        <v>0.88586751140233078</v>
      </c>
      <c r="N35" s="26">
        <f ca="1">VLOOKUP(CurrentMtgRatesDataTable8256[[#This Row],[asOfDate]]+1,Bloomberg!B:C,2,0)</f>
        <v>4110.8</v>
      </c>
      <c r="P35" s="24">
        <v>40773</v>
      </c>
      <c r="Q35" s="26">
        <v>0.65725120433713646</v>
      </c>
      <c r="S35" s="24">
        <v>40773</v>
      </c>
      <c r="T35" s="27">
        <v>0.66665601955240716</v>
      </c>
      <c r="V35" s="56">
        <v>40773</v>
      </c>
      <c r="W35" s="57">
        <v>0.53965388848865747</v>
      </c>
      <c r="Y35" s="1">
        <v>40773</v>
      </c>
      <c r="Z35">
        <v>0.56158832424932603</v>
      </c>
      <c r="AB35" s="1">
        <v>40773</v>
      </c>
      <c r="AC35">
        <v>0.71103111098302996</v>
      </c>
    </row>
    <row r="36" spans="2:29">
      <c r="B36" s="24">
        <v>40780</v>
      </c>
      <c r="C36" s="86">
        <v>0.88245505880803987</v>
      </c>
      <c r="D36" s="86">
        <v>0.91709472888012378</v>
      </c>
      <c r="E36" s="26">
        <f ca="1">VLOOKUP(CurrentMtgRatesDataTable825[[#This Row],[asOfDate]]+1,Bloomberg!B:C,2,0)</f>
        <v>3601.3</v>
      </c>
      <c r="F36" s="27">
        <f>VLOOKUP(CurrentMtgRatesDataTable825[[#This Row],[asOfDate]],CurrentMtgRatesDataTable8256[#All],2,0)</f>
        <v>0.8463192849236576</v>
      </c>
      <c r="G36" s="27">
        <f>VLOOKUP(CurrentMtgRatesDataTable825[[#This Row],[asOfDate]],CurrentMtgRatesDataTable82562[],2,0)</f>
        <v>0.60423363209899439</v>
      </c>
      <c r="H36" s="27">
        <f>VLOOKUP(CurrentMtgRatesDataTable825[[#This Row],[asOfDate]],S:T,2,0)</f>
        <v>0.61340669597098385</v>
      </c>
      <c r="I36" s="84">
        <f>VLOOKUP(CurrentMtgRatesDataTable825[[#This Row],[asOfDate]],CurrentMtgRatesDataTable825623[#All],2,0)</f>
        <v>0.49732012063845815</v>
      </c>
      <c r="J36" s="84">
        <f>VLOOKUP(CurrentMtgRatesDataTable825[[#This Row],[asOfDate]],AB:AC,2,0)</f>
        <v>0.66735967344709601</v>
      </c>
      <c r="L36" s="24">
        <v>40780</v>
      </c>
      <c r="M36" s="26">
        <v>0.8463192849236576</v>
      </c>
      <c r="N36" s="26">
        <f ca="1">VLOOKUP(CurrentMtgRatesDataTable8256[[#This Row],[asOfDate]]+1,Bloomberg!B:C,2,0)</f>
        <v>3601.3</v>
      </c>
      <c r="P36" s="24">
        <v>40780</v>
      </c>
      <c r="Q36" s="26">
        <v>0.60423363209899439</v>
      </c>
      <c r="S36" s="24">
        <v>40780</v>
      </c>
      <c r="T36" s="27">
        <v>0.61340669597098385</v>
      </c>
      <c r="V36" s="56">
        <v>40780</v>
      </c>
      <c r="W36" s="57">
        <v>0.49732012063845815</v>
      </c>
      <c r="Y36" s="1">
        <v>40780</v>
      </c>
      <c r="Z36">
        <v>0.51977779568103499</v>
      </c>
      <c r="AB36" s="1">
        <v>40780</v>
      </c>
      <c r="AC36">
        <v>0.66735967344709601</v>
      </c>
    </row>
    <row r="37" spans="2:29">
      <c r="B37" s="24">
        <v>40787</v>
      </c>
      <c r="C37" s="86">
        <v>0.87705195212425147</v>
      </c>
      <c r="D37" s="86">
        <v>0.91201198279626483</v>
      </c>
      <c r="E37" s="26">
        <f ca="1">VLOOKUP(CurrentMtgRatesDataTable825[[#This Row],[asOfDate]]+1,Bloomberg!B:C,2,0)</f>
        <v>3372</v>
      </c>
      <c r="F37" s="27">
        <f>VLOOKUP(CurrentMtgRatesDataTable825[[#This Row],[asOfDate]],CurrentMtgRatesDataTable8256[#All],2,0)</f>
        <v>0.84045690434216458</v>
      </c>
      <c r="G37" s="27">
        <f>VLOOKUP(CurrentMtgRatesDataTable825[[#This Row],[asOfDate]],CurrentMtgRatesDataTable82562[],2,0)</f>
        <v>0.60140715225984098</v>
      </c>
      <c r="H37" s="27">
        <f>VLOOKUP(CurrentMtgRatesDataTable825[[#This Row],[asOfDate]],S:T,2,0)</f>
        <v>0.61043584134215234</v>
      </c>
      <c r="I37" s="84">
        <f>VLOOKUP(CurrentMtgRatesDataTable825[[#This Row],[asOfDate]],CurrentMtgRatesDataTable825623[#All],2,0)</f>
        <v>0.49621049424249691</v>
      </c>
      <c r="J37" s="84">
        <f>VLOOKUP(CurrentMtgRatesDataTable825[[#This Row],[asOfDate]],AB:AC,2,0)</f>
        <v>0.66070318293374397</v>
      </c>
      <c r="L37" s="24">
        <v>40787</v>
      </c>
      <c r="M37" s="26">
        <v>0.84045690434216458</v>
      </c>
      <c r="N37" s="26">
        <f ca="1">VLOOKUP(CurrentMtgRatesDataTable8256[[#This Row],[asOfDate]]+1,Bloomberg!B:C,2,0)</f>
        <v>3372</v>
      </c>
      <c r="P37" s="24">
        <v>40787</v>
      </c>
      <c r="Q37" s="26">
        <v>0.60140715225984098</v>
      </c>
      <c r="S37" s="24">
        <v>40787</v>
      </c>
      <c r="T37" s="27">
        <v>0.61043584134215234</v>
      </c>
      <c r="V37" s="56">
        <v>40787</v>
      </c>
      <c r="W37" s="57">
        <v>0.49621049424249691</v>
      </c>
      <c r="Y37" s="1">
        <v>40787</v>
      </c>
      <c r="Z37">
        <v>0.51816342975775198</v>
      </c>
      <c r="AB37" s="1">
        <v>40787</v>
      </c>
      <c r="AC37">
        <v>0.66070318293374397</v>
      </c>
    </row>
    <row r="38" spans="2:29">
      <c r="B38" s="24">
        <v>40794</v>
      </c>
      <c r="C38" s="86">
        <v>0.89913652458151405</v>
      </c>
      <c r="D38" s="86">
        <v>0.93459495704414008</v>
      </c>
      <c r="E38" s="26">
        <f ca="1">VLOOKUP(CurrentMtgRatesDataTable825[[#This Row],[asOfDate]]+1,Bloomberg!B:C,2,0)</f>
        <v>3571.7</v>
      </c>
      <c r="F38" s="27">
        <f>VLOOKUP(CurrentMtgRatesDataTable825[[#This Row],[asOfDate]],CurrentMtgRatesDataTable8256[#All],2,0)</f>
        <v>0.88186934327029209</v>
      </c>
      <c r="G38" s="27">
        <f>VLOOKUP(CurrentMtgRatesDataTable825[[#This Row],[asOfDate]],CurrentMtgRatesDataTable82562[],2,0)</f>
        <v>0.67983551896838756</v>
      </c>
      <c r="H38" s="27">
        <f>VLOOKUP(CurrentMtgRatesDataTable825[[#This Row],[asOfDate]],S:T,2,0)</f>
        <v>0.68911896233120773</v>
      </c>
      <c r="I38" s="84">
        <f>VLOOKUP(CurrentMtgRatesDataTable825[[#This Row],[asOfDate]],CurrentMtgRatesDataTable825623[#All],2,0)</f>
        <v>0.56188763696413691</v>
      </c>
      <c r="J38" s="84">
        <f>VLOOKUP(CurrentMtgRatesDataTable825[[#This Row],[asOfDate]],AB:AC,2,0)</f>
        <v>0.72862294428542695</v>
      </c>
      <c r="L38" s="24">
        <v>40794</v>
      </c>
      <c r="M38" s="26">
        <v>0.88186934327029209</v>
      </c>
      <c r="N38" s="26">
        <f ca="1">VLOOKUP(CurrentMtgRatesDataTable8256[[#This Row],[asOfDate]]+1,Bloomberg!B:C,2,0)</f>
        <v>3571.7</v>
      </c>
      <c r="P38" s="24">
        <v>40794</v>
      </c>
      <c r="Q38" s="26">
        <v>0.67983551896838756</v>
      </c>
      <c r="S38" s="24">
        <v>40794</v>
      </c>
      <c r="T38" s="27">
        <v>0.68911896233120773</v>
      </c>
      <c r="V38" s="56">
        <v>40794</v>
      </c>
      <c r="W38" s="57">
        <v>0.56188763696413691</v>
      </c>
      <c r="Y38" s="1">
        <v>40794</v>
      </c>
      <c r="Z38">
        <v>0.58267989940902998</v>
      </c>
      <c r="AB38" s="1">
        <v>40794</v>
      </c>
      <c r="AC38">
        <v>0.72862294428542695</v>
      </c>
    </row>
    <row r="39" spans="2:29">
      <c r="B39" s="24">
        <v>40801</v>
      </c>
      <c r="C39" s="86">
        <v>0.91573810007808687</v>
      </c>
      <c r="D39" s="86">
        <v>0.93459495704414008</v>
      </c>
      <c r="E39" s="26">
        <f ca="1">VLOOKUP(CurrentMtgRatesDataTable825[[#This Row],[asOfDate]]+1,Bloomberg!B:C,2,0)</f>
        <v>4033.8</v>
      </c>
      <c r="F39" s="27">
        <f>VLOOKUP(CurrentMtgRatesDataTable825[[#This Row],[asOfDate]],CurrentMtgRatesDataTable8256[#All],2,0)</f>
        <v>0.88191978475653932</v>
      </c>
      <c r="G39" s="27">
        <f>VLOOKUP(CurrentMtgRatesDataTable825[[#This Row],[asOfDate]],CurrentMtgRatesDataTable82562[],2,0)</f>
        <v>0.67993486944126125</v>
      </c>
      <c r="H39" s="27">
        <f>VLOOKUP(CurrentMtgRatesDataTable825[[#This Row],[asOfDate]],S:T,2,0)</f>
        <v>0.68921930805544263</v>
      </c>
      <c r="I39" s="84">
        <f>VLOOKUP(CurrentMtgRatesDataTable825[[#This Row],[asOfDate]],CurrentMtgRatesDataTable825623[#All],2,0)</f>
        <v>0.56666393386789538</v>
      </c>
      <c r="J39" s="84">
        <f>VLOOKUP(CurrentMtgRatesDataTable825[[#This Row],[asOfDate]],AB:AC,2,0)</f>
        <v>0.73180955418473204</v>
      </c>
      <c r="L39" s="24">
        <v>40801</v>
      </c>
      <c r="M39" s="26">
        <v>0.88191978475653932</v>
      </c>
      <c r="N39" s="26">
        <f ca="1">VLOOKUP(CurrentMtgRatesDataTable8256[[#This Row],[asOfDate]]+1,Bloomberg!B:C,2,0)</f>
        <v>4033.8</v>
      </c>
      <c r="P39" s="24">
        <v>40801</v>
      </c>
      <c r="Q39" s="26">
        <v>0.67993486944126125</v>
      </c>
      <c r="S39" s="24">
        <v>40801</v>
      </c>
      <c r="T39" s="27">
        <v>0.68921930805544263</v>
      </c>
      <c r="V39" s="56">
        <v>40801</v>
      </c>
      <c r="W39" s="57">
        <v>0.56666393386789538</v>
      </c>
      <c r="Y39" s="1">
        <v>40801</v>
      </c>
      <c r="Z39">
        <v>0.58712702699993002</v>
      </c>
      <c r="AB39" s="1">
        <v>40801</v>
      </c>
      <c r="AC39">
        <v>0.73180955418473204</v>
      </c>
    </row>
    <row r="40" spans="2:29">
      <c r="B40" s="24">
        <v>40808</v>
      </c>
      <c r="C40" s="86">
        <v>0.91573810007808687</v>
      </c>
      <c r="D40" s="86">
        <v>0.93459495704414008</v>
      </c>
      <c r="E40" s="26">
        <f ca="1">VLOOKUP(CurrentMtgRatesDataTable825[[#This Row],[asOfDate]]+1,Bloomberg!B:C,2,0)</f>
        <v>4512.1000000000004</v>
      </c>
      <c r="F40" s="27">
        <f>VLOOKUP(CurrentMtgRatesDataTable825[[#This Row],[asOfDate]],CurrentMtgRatesDataTable8256[#All],2,0)</f>
        <v>0.88191978475653932</v>
      </c>
      <c r="G40" s="27">
        <f>VLOOKUP(CurrentMtgRatesDataTable825[[#This Row],[asOfDate]],CurrentMtgRatesDataTable82562[],2,0)</f>
        <v>0.67993486944126125</v>
      </c>
      <c r="H40" s="27">
        <f>VLOOKUP(CurrentMtgRatesDataTable825[[#This Row],[asOfDate]],S:T,2,0)</f>
        <v>0.68921930805544263</v>
      </c>
      <c r="I40" s="84">
        <f>VLOOKUP(CurrentMtgRatesDataTable825[[#This Row],[asOfDate]],CurrentMtgRatesDataTable825623[#All],2,0)</f>
        <v>0.56666393386789538</v>
      </c>
      <c r="J40" s="84">
        <f>VLOOKUP(CurrentMtgRatesDataTable825[[#This Row],[asOfDate]],AB:AC,2,0)</f>
        <v>0.73180955418473204</v>
      </c>
      <c r="L40" s="24">
        <v>40808</v>
      </c>
      <c r="M40" s="26">
        <v>0.88191978475653932</v>
      </c>
      <c r="N40" s="26">
        <f ca="1">VLOOKUP(CurrentMtgRatesDataTable8256[[#This Row],[asOfDate]]+1,Bloomberg!B:C,2,0)</f>
        <v>4512.1000000000004</v>
      </c>
      <c r="P40" s="24">
        <v>40808</v>
      </c>
      <c r="Q40" s="26">
        <v>0.67993486944126125</v>
      </c>
      <c r="S40" s="24">
        <v>40808</v>
      </c>
      <c r="T40" s="27">
        <v>0.68921930805544263</v>
      </c>
      <c r="V40" s="56">
        <v>40808</v>
      </c>
      <c r="W40" s="57">
        <v>0.56666393386789538</v>
      </c>
      <c r="Y40" s="1">
        <v>40808</v>
      </c>
      <c r="Z40">
        <v>0.58712702699993002</v>
      </c>
      <c r="AB40" s="1">
        <v>40808</v>
      </c>
      <c r="AC40">
        <v>0.73180955418473204</v>
      </c>
    </row>
    <row r="41" spans="2:29">
      <c r="B41" s="24">
        <v>40815</v>
      </c>
      <c r="C41" s="86">
        <v>0.95119204448607597</v>
      </c>
      <c r="D41" s="86">
        <v>0.98210475926395868</v>
      </c>
      <c r="E41" s="26">
        <f ca="1">VLOOKUP(CurrentMtgRatesDataTable825[[#This Row],[asOfDate]]+1,Bloomberg!B:C,2,0)</f>
        <v>4241.8</v>
      </c>
      <c r="F41" s="27">
        <f>VLOOKUP(CurrentMtgRatesDataTable825[[#This Row],[asOfDate]],CurrentMtgRatesDataTable8256[#All],2,0)</f>
        <v>0.92481236623397145</v>
      </c>
      <c r="G41" s="27">
        <f>VLOOKUP(CurrentMtgRatesDataTable825[[#This Row],[asOfDate]],CurrentMtgRatesDataTable82562[],2,0)</f>
        <v>0.73138364057558247</v>
      </c>
      <c r="H41" s="27">
        <f>VLOOKUP(CurrentMtgRatesDataTable825[[#This Row],[asOfDate]],S:T,2,0)</f>
        <v>0.74085165408919718</v>
      </c>
      <c r="I41" s="84">
        <f>VLOOKUP(CurrentMtgRatesDataTable825[[#This Row],[asOfDate]],CurrentMtgRatesDataTable825623[#All],2,0)</f>
        <v>0.6263817731067115</v>
      </c>
      <c r="J41" s="84">
        <f>VLOOKUP(CurrentMtgRatesDataTable825[[#This Row],[asOfDate]],AB:AC,2,0)</f>
        <v>0.78537510001402</v>
      </c>
      <c r="L41" s="24">
        <v>40815</v>
      </c>
      <c r="M41" s="26">
        <v>0.92481236623397145</v>
      </c>
      <c r="N41" s="26">
        <f ca="1">VLOOKUP(CurrentMtgRatesDataTable8256[[#This Row],[asOfDate]]+1,Bloomberg!B:C,2,0)</f>
        <v>4241.8</v>
      </c>
      <c r="P41" s="24">
        <v>40815</v>
      </c>
      <c r="Q41" s="26">
        <v>0.73138364057558247</v>
      </c>
      <c r="S41" s="24">
        <v>40815</v>
      </c>
      <c r="T41" s="27">
        <v>0.74085165408919718</v>
      </c>
      <c r="V41" s="56">
        <v>40815</v>
      </c>
      <c r="W41" s="57">
        <v>0.6263817731067115</v>
      </c>
      <c r="Y41" s="1">
        <v>40815</v>
      </c>
      <c r="Z41">
        <v>0.64502890683438796</v>
      </c>
      <c r="AB41" s="1">
        <v>40815</v>
      </c>
      <c r="AC41">
        <v>0.78537510001402</v>
      </c>
    </row>
    <row r="42" spans="2:29">
      <c r="B42" s="24">
        <v>40822</v>
      </c>
      <c r="C42" s="86">
        <v>0.9606311457825103</v>
      </c>
      <c r="D42" s="86">
        <v>1</v>
      </c>
      <c r="E42" s="26">
        <f ca="1">VLOOKUP(CurrentMtgRatesDataTable825[[#This Row],[asOfDate]]+1,Bloomberg!B:C,2,0)</f>
        <v>4251.1000000000004</v>
      </c>
      <c r="F42" s="27">
        <f>VLOOKUP(CurrentMtgRatesDataTable825[[#This Row],[asOfDate]],CurrentMtgRatesDataTable8256[#All],2,0)</f>
        <v>0.91682101113682013</v>
      </c>
      <c r="G42" s="27">
        <f>VLOOKUP(CurrentMtgRatesDataTable825[[#This Row],[asOfDate]],CurrentMtgRatesDataTable82562[],2,0)</f>
        <v>0.71899866001218793</v>
      </c>
      <c r="H42" s="27">
        <f>VLOOKUP(CurrentMtgRatesDataTable825[[#This Row],[asOfDate]],S:T,2,0)</f>
        <v>0.7283352335565505</v>
      </c>
      <c r="I42" s="84">
        <f>VLOOKUP(CurrentMtgRatesDataTable825[[#This Row],[asOfDate]],CurrentMtgRatesDataTable825623[#All],2,0)</f>
        <v>0.61506978972280768</v>
      </c>
      <c r="J42" s="84">
        <f>VLOOKUP(CurrentMtgRatesDataTable825[[#This Row],[asOfDate]],AB:AC,2,0)</f>
        <v>0.77200889405912698</v>
      </c>
      <c r="L42" s="24">
        <v>40822</v>
      </c>
      <c r="M42" s="26">
        <v>0.91682101113682013</v>
      </c>
      <c r="N42" s="26">
        <f ca="1">VLOOKUP(CurrentMtgRatesDataTable8256[[#This Row],[asOfDate]]+1,Bloomberg!B:C,2,0)</f>
        <v>4251.1000000000004</v>
      </c>
      <c r="P42" s="24">
        <v>40822</v>
      </c>
      <c r="Q42" s="26">
        <v>0.71899866001218793</v>
      </c>
      <c r="S42" s="24">
        <v>40822</v>
      </c>
      <c r="T42" s="27">
        <v>0.7283352335565505</v>
      </c>
      <c r="V42" s="56">
        <v>40822</v>
      </c>
      <c r="W42" s="57">
        <v>0.61506978972280768</v>
      </c>
      <c r="Y42" s="1">
        <v>40822</v>
      </c>
      <c r="Z42">
        <v>0.63292140172586497</v>
      </c>
      <c r="AB42" s="1">
        <v>40822</v>
      </c>
      <c r="AC42">
        <v>0.77200889405912698</v>
      </c>
    </row>
    <row r="43" spans="2:29">
      <c r="B43" s="24">
        <v>40829</v>
      </c>
      <c r="C43" s="86">
        <v>0.88319294867091491</v>
      </c>
      <c r="D43" s="86">
        <v>0.92703756305638074</v>
      </c>
      <c r="E43" s="26">
        <f ca="1">VLOOKUP(CurrentMtgRatesDataTable825[[#This Row],[asOfDate]]+1,Bloomberg!B:C,2,0)</f>
        <v>3553.2</v>
      </c>
      <c r="F43" s="27">
        <f>VLOOKUP(CurrentMtgRatesDataTable825[[#This Row],[asOfDate]],CurrentMtgRatesDataTable8256[#All],2,0)</f>
        <v>0.87184341688215217</v>
      </c>
      <c r="G43" s="27">
        <f>VLOOKUP(CurrentMtgRatesDataTable825[[#This Row],[asOfDate]],CurrentMtgRatesDataTable82562[],2,0)</f>
        <v>0.6410959583633683</v>
      </c>
      <c r="H43" s="27">
        <f>VLOOKUP(CurrentMtgRatesDataTable825[[#This Row],[asOfDate]],S:T,2,0)</f>
        <v>0.65022815919416987</v>
      </c>
      <c r="I43" s="84">
        <f>VLOOKUP(CurrentMtgRatesDataTable825[[#This Row],[asOfDate]],CurrentMtgRatesDataTable825623[#All],2,0)</f>
        <v>0.52200302676770738</v>
      </c>
      <c r="J43" s="84">
        <f>VLOOKUP(CurrentMtgRatesDataTable825[[#This Row],[asOfDate]],AB:AC,2,0)</f>
        <v>0.68762581065136796</v>
      </c>
      <c r="L43" s="24">
        <v>40829</v>
      </c>
      <c r="M43" s="26">
        <v>0.87184341688215217</v>
      </c>
      <c r="N43" s="26">
        <f ca="1">VLOOKUP(CurrentMtgRatesDataTable8256[[#This Row],[asOfDate]]+1,Bloomberg!B:C,2,0)</f>
        <v>3553.2</v>
      </c>
      <c r="P43" s="24">
        <v>40829</v>
      </c>
      <c r="Q43" s="26">
        <v>0.6410959583633683</v>
      </c>
      <c r="S43" s="24">
        <v>40829</v>
      </c>
      <c r="T43" s="27">
        <v>0.65022815919416987</v>
      </c>
      <c r="V43" s="56">
        <v>40829</v>
      </c>
      <c r="W43" s="57">
        <v>0.52200302676770738</v>
      </c>
      <c r="Y43" s="1">
        <v>40829</v>
      </c>
      <c r="Z43">
        <v>0.54334881836562599</v>
      </c>
      <c r="AB43" s="1">
        <v>40829</v>
      </c>
      <c r="AC43">
        <v>0.68762581065136796</v>
      </c>
    </row>
    <row r="44" spans="2:29">
      <c r="B44" s="24">
        <v>40836</v>
      </c>
      <c r="C44" s="86">
        <v>0.88612166598921127</v>
      </c>
      <c r="D44" s="86">
        <v>0.92703756305638074</v>
      </c>
      <c r="E44" s="26">
        <f ca="1">VLOOKUP(CurrentMtgRatesDataTable825[[#This Row],[asOfDate]]+1,Bloomberg!B:C,2,0)</f>
        <v>3719.3</v>
      </c>
      <c r="F44" s="27">
        <f>VLOOKUP(CurrentMtgRatesDataTable825[[#This Row],[asOfDate]],CurrentMtgRatesDataTable8256[#All],2,0)</f>
        <v>0.87184733410546966</v>
      </c>
      <c r="G44" s="27">
        <f>VLOOKUP(CurrentMtgRatesDataTable825[[#This Row],[asOfDate]],CurrentMtgRatesDataTable82562[],2,0)</f>
        <v>0.66581224062715683</v>
      </c>
      <c r="H44" s="27">
        <f>VLOOKUP(CurrentMtgRatesDataTable825[[#This Row],[asOfDate]],S:T,2,0)</f>
        <v>0.67496554048719415</v>
      </c>
      <c r="I44" s="84">
        <f>VLOOKUP(CurrentMtgRatesDataTable825[[#This Row],[asOfDate]],CurrentMtgRatesDataTable825623[#All],2,0)</f>
        <v>0.54092116244187771</v>
      </c>
      <c r="J44" s="84">
        <f>VLOOKUP(CurrentMtgRatesDataTable825[[#This Row],[asOfDate]],AB:AC,2,0)</f>
        <v>0.70907311332117495</v>
      </c>
      <c r="L44" s="24">
        <v>40836</v>
      </c>
      <c r="M44" s="26">
        <v>0.87184733410546966</v>
      </c>
      <c r="N44" s="26">
        <f ca="1">VLOOKUP(CurrentMtgRatesDataTable8256[[#This Row],[asOfDate]]+1,Bloomberg!B:C,2,0)</f>
        <v>3719.3</v>
      </c>
      <c r="P44" s="24">
        <v>40836</v>
      </c>
      <c r="Q44" s="26">
        <v>0.66581224062715683</v>
      </c>
      <c r="S44" s="24">
        <v>40836</v>
      </c>
      <c r="T44" s="27">
        <v>0.67496554048719415</v>
      </c>
      <c r="V44" s="56">
        <v>40836</v>
      </c>
      <c r="W44" s="57">
        <v>0.54092116244187771</v>
      </c>
      <c r="Y44" s="1">
        <v>40836</v>
      </c>
      <c r="Z44">
        <v>0.56246435693305497</v>
      </c>
      <c r="AB44" s="1">
        <v>40836</v>
      </c>
      <c r="AC44">
        <v>0.70907311332117495</v>
      </c>
    </row>
    <row r="45" spans="2:29">
      <c r="B45" s="24">
        <v>40843</v>
      </c>
      <c r="C45" s="86">
        <v>0.89034422301999483</v>
      </c>
      <c r="D45" s="86">
        <v>0.92703756305638074</v>
      </c>
      <c r="E45" s="26">
        <f ca="1">VLOOKUP(CurrentMtgRatesDataTable825[[#This Row],[asOfDate]]+1,Bloomberg!B:C,2,0)</f>
        <v>3695</v>
      </c>
      <c r="F45" s="27">
        <f>VLOOKUP(CurrentMtgRatesDataTable825[[#This Row],[asOfDate]],CurrentMtgRatesDataTable8256[#All],2,0)</f>
        <v>0.87190767917521173</v>
      </c>
      <c r="G45" s="27">
        <f>VLOOKUP(CurrentMtgRatesDataTable825[[#This Row],[asOfDate]],CurrentMtgRatesDataTable82562[],2,0)</f>
        <v>0.66595295657278242</v>
      </c>
      <c r="H45" s="27">
        <f>VLOOKUP(CurrentMtgRatesDataTable825[[#This Row],[asOfDate]],S:T,2,0)</f>
        <v>0.67510900125173667</v>
      </c>
      <c r="I45" s="84">
        <f>VLOOKUP(CurrentMtgRatesDataTable825[[#This Row],[asOfDate]],CurrentMtgRatesDataTable825623[#All],2,0)</f>
        <v>0.54427813909906164</v>
      </c>
      <c r="J45" s="84">
        <f>VLOOKUP(CurrentMtgRatesDataTable825[[#This Row],[asOfDate]],AB:AC,2,0)</f>
        <v>0.71096371307505601</v>
      </c>
      <c r="L45" s="24">
        <v>40843</v>
      </c>
      <c r="M45" s="26">
        <v>0.87190767917521173</v>
      </c>
      <c r="N45" s="26">
        <f ca="1">VLOOKUP(CurrentMtgRatesDataTable8256[[#This Row],[asOfDate]]+1,Bloomberg!B:C,2,0)</f>
        <v>3695</v>
      </c>
      <c r="P45" s="24">
        <v>40843</v>
      </c>
      <c r="Q45" s="26">
        <v>0.66595295657278242</v>
      </c>
      <c r="S45" s="24">
        <v>40843</v>
      </c>
      <c r="T45" s="27">
        <v>0.67510900125173667</v>
      </c>
      <c r="V45" s="56">
        <v>40843</v>
      </c>
      <c r="W45" s="57">
        <v>0.54427813909906164</v>
      </c>
      <c r="Y45" s="1">
        <v>40843</v>
      </c>
      <c r="Z45">
        <v>0.56500210214528801</v>
      </c>
      <c r="AB45" s="1">
        <v>40843</v>
      </c>
      <c r="AC45">
        <v>0.71096371307505601</v>
      </c>
    </row>
    <row r="46" spans="2:29">
      <c r="B46" s="24">
        <v>40850</v>
      </c>
      <c r="C46" s="86">
        <v>0.94066080506408445</v>
      </c>
      <c r="D46" s="86">
        <v>0.96301378538275895</v>
      </c>
      <c r="E46" s="26">
        <f ca="1">VLOOKUP(CurrentMtgRatesDataTable825[[#This Row],[asOfDate]]+1,Bloomberg!B:C,2,0)</f>
        <v>4137.6000000000004</v>
      </c>
      <c r="F46" s="27">
        <f>VLOOKUP(CurrentMtgRatesDataTable825[[#This Row],[asOfDate]],CurrentMtgRatesDataTable8256[#All],2,0)</f>
        <v>0.90632973266278982</v>
      </c>
      <c r="G46" s="27">
        <f>VLOOKUP(CurrentMtgRatesDataTable825[[#This Row],[asOfDate]],CurrentMtgRatesDataTable82562[],2,0)</f>
        <v>0.70392552647182693</v>
      </c>
      <c r="H46" s="27">
        <f>VLOOKUP(CurrentMtgRatesDataTable825[[#This Row],[asOfDate]],S:T,2,0)</f>
        <v>0.71321272785210488</v>
      </c>
      <c r="I46" s="84">
        <f>VLOOKUP(CurrentMtgRatesDataTable825[[#This Row],[asOfDate]],CurrentMtgRatesDataTable825623[#All],2,0)</f>
        <v>0.5930585678824033</v>
      </c>
      <c r="J46" s="84">
        <f>VLOOKUP(CurrentMtgRatesDataTable825[[#This Row],[asOfDate]],AB:AC,2,0)</f>
        <v>0.75213064967891696</v>
      </c>
      <c r="L46" s="24">
        <v>40850</v>
      </c>
      <c r="M46" s="26">
        <v>0.90632973266278982</v>
      </c>
      <c r="N46" s="26">
        <f ca="1">VLOOKUP(CurrentMtgRatesDataTable8256[[#This Row],[asOfDate]]+1,Bloomberg!B:C,2,0)</f>
        <v>4137.6000000000004</v>
      </c>
      <c r="P46" s="24">
        <v>40850</v>
      </c>
      <c r="Q46" s="26">
        <v>0.70392552647182693</v>
      </c>
      <c r="S46" s="24">
        <v>40850</v>
      </c>
      <c r="T46" s="27">
        <v>0.71321272785210488</v>
      </c>
      <c r="V46" s="56">
        <v>40850</v>
      </c>
      <c r="W46" s="57">
        <v>0.5930585678824033</v>
      </c>
      <c r="Y46" s="1">
        <v>40850</v>
      </c>
      <c r="Z46">
        <v>0.61108389475403901</v>
      </c>
      <c r="AB46" s="1">
        <v>40850</v>
      </c>
      <c r="AC46">
        <v>0.75213064967891696</v>
      </c>
    </row>
    <row r="47" spans="2:29">
      <c r="B47" s="24">
        <v>40857</v>
      </c>
      <c r="C47" s="86">
        <v>0.94307267216913626</v>
      </c>
      <c r="D47" s="86">
        <v>0.98098084043931899</v>
      </c>
      <c r="E47" s="26">
        <f ca="1">VLOOKUP(CurrentMtgRatesDataTable825[[#This Row],[asOfDate]]+1,Bloomberg!B:C,2,0)</f>
        <v>3664.5</v>
      </c>
      <c r="F47" s="27">
        <f>VLOOKUP(CurrentMtgRatesDataTable825[[#This Row],[asOfDate]],CurrentMtgRatesDataTable8256[#All],2,0)</f>
        <v>0.9063475730739603</v>
      </c>
      <c r="G47" s="27">
        <f>VLOOKUP(CurrentMtgRatesDataTable825[[#This Row],[asOfDate]],CurrentMtgRatesDataTable82562[],2,0)</f>
        <v>0.70394618436594358</v>
      </c>
      <c r="H47" s="27">
        <f>VLOOKUP(CurrentMtgRatesDataTable825[[#This Row],[asOfDate]],S:T,2,0)</f>
        <v>0.71323324235131957</v>
      </c>
      <c r="I47" s="84">
        <f>VLOOKUP(CurrentMtgRatesDataTable825[[#This Row],[asOfDate]],CurrentMtgRatesDataTable825623[#All],2,0)</f>
        <v>0.59308702713551809</v>
      </c>
      <c r="J47" s="84">
        <f>VLOOKUP(CurrentMtgRatesDataTable825[[#This Row],[asOfDate]],AB:AC,2,0)</f>
        <v>0.75215343752934904</v>
      </c>
      <c r="L47" s="24">
        <v>40857</v>
      </c>
      <c r="M47" s="26">
        <v>0.9063475730739603</v>
      </c>
      <c r="N47" s="26">
        <f ca="1">VLOOKUP(CurrentMtgRatesDataTable8256[[#This Row],[asOfDate]]+1,Bloomberg!B:C,2,0)</f>
        <v>3664.5</v>
      </c>
      <c r="P47" s="24">
        <v>40857</v>
      </c>
      <c r="Q47" s="26">
        <v>0.70394618436594358</v>
      </c>
      <c r="S47" s="24">
        <v>40857</v>
      </c>
      <c r="T47" s="27">
        <v>0.71323324235131957</v>
      </c>
      <c r="V47" s="56">
        <v>40857</v>
      </c>
      <c r="W47" s="57">
        <v>0.59308702713551809</v>
      </c>
      <c r="Y47" s="1">
        <v>40857</v>
      </c>
      <c r="Z47">
        <v>0.61111047806911201</v>
      </c>
      <c r="AB47" s="1">
        <v>40857</v>
      </c>
      <c r="AC47">
        <v>0.75215343752934904</v>
      </c>
    </row>
    <row r="48" spans="2:29">
      <c r="B48" s="24">
        <v>40864</v>
      </c>
      <c r="C48" s="86">
        <v>0.94066080506408445</v>
      </c>
      <c r="D48" s="86">
        <v>0.96301378538275895</v>
      </c>
      <c r="E48" s="26">
        <f ca="1">VLOOKUP(CurrentMtgRatesDataTable825[[#This Row],[asOfDate]]+1,Bloomberg!B:C,2,0)</f>
        <v>3466.8</v>
      </c>
      <c r="F48" s="27">
        <f>VLOOKUP(CurrentMtgRatesDataTable825[[#This Row],[asOfDate]],CurrentMtgRatesDataTable8256[#All],2,0)</f>
        <v>0.90632973266278982</v>
      </c>
      <c r="G48" s="27">
        <f>VLOOKUP(CurrentMtgRatesDataTable825[[#This Row],[asOfDate]],CurrentMtgRatesDataTable82562[],2,0)</f>
        <v>0.70392552647182693</v>
      </c>
      <c r="H48" s="27">
        <f>VLOOKUP(CurrentMtgRatesDataTable825[[#This Row],[asOfDate]],S:T,2,0)</f>
        <v>0.71321272785210488</v>
      </c>
      <c r="I48" s="84">
        <f>VLOOKUP(CurrentMtgRatesDataTable825[[#This Row],[asOfDate]],CurrentMtgRatesDataTable825623[#All],2,0)</f>
        <v>0.5930585678824033</v>
      </c>
      <c r="J48" s="84">
        <f>VLOOKUP(CurrentMtgRatesDataTable825[[#This Row],[asOfDate]],AB:AC,2,0)</f>
        <v>0.75213064967891696</v>
      </c>
      <c r="L48" s="24">
        <v>40864</v>
      </c>
      <c r="M48" s="26">
        <v>0.90632973266278982</v>
      </c>
      <c r="N48" s="26">
        <f ca="1">VLOOKUP(CurrentMtgRatesDataTable8256[[#This Row],[asOfDate]]+1,Bloomberg!B:C,2,0)</f>
        <v>3466.8</v>
      </c>
      <c r="P48" s="24">
        <v>40864</v>
      </c>
      <c r="Q48" s="26">
        <v>0.70392552647182693</v>
      </c>
      <c r="S48" s="24">
        <v>40864</v>
      </c>
      <c r="T48" s="27">
        <v>0.71321272785210488</v>
      </c>
      <c r="V48" s="56">
        <v>40864</v>
      </c>
      <c r="W48" s="57">
        <v>0.5930585678824033</v>
      </c>
      <c r="Y48" s="1">
        <v>40864</v>
      </c>
      <c r="Z48">
        <v>0.61108389475403901</v>
      </c>
      <c r="AB48" s="1">
        <v>40864</v>
      </c>
      <c r="AC48">
        <v>0.75213064967891696</v>
      </c>
    </row>
    <row r="49" spans="2:29">
      <c r="B49" s="24">
        <v>40870</v>
      </c>
      <c r="C49" s="86">
        <v>0.94548210621178497</v>
      </c>
      <c r="D49" s="86">
        <v>0.98098084043931899</v>
      </c>
      <c r="E49" s="26" t="e">
        <f ca="1">VLOOKUP(CurrentMtgRatesDataTable825[[#This Row],[asOfDate]]+1,Bloomberg!B:C,2,0)</f>
        <v>#N/A</v>
      </c>
      <c r="F49" s="27">
        <f>VLOOKUP(CurrentMtgRatesDataTable825[[#This Row],[asOfDate]],CurrentMtgRatesDataTable8256[#All],2,0)</f>
        <v>0.90635487345396593</v>
      </c>
      <c r="G49" s="27">
        <f>VLOOKUP(CurrentMtgRatesDataTable825[[#This Row],[asOfDate]],CurrentMtgRatesDataTable82562[],2,0)</f>
        <v>0.70396661640219049</v>
      </c>
      <c r="H49" s="27">
        <f>VLOOKUP(CurrentMtgRatesDataTable825[[#This Row],[asOfDate]],S:T,2,0)</f>
        <v>0.71325364250112233</v>
      </c>
      <c r="I49" s="84">
        <f>VLOOKUP(CurrentMtgRatesDataTable825[[#This Row],[asOfDate]],CurrentMtgRatesDataTable825623[#All],2,0)</f>
        <v>0.59609102497578137</v>
      </c>
      <c r="J49" s="84">
        <f>VLOOKUP(CurrentMtgRatesDataTable825[[#This Row],[asOfDate]],AB:AC,2,0)</f>
        <v>0.75451882195048703</v>
      </c>
      <c r="L49" s="24">
        <v>40870</v>
      </c>
      <c r="M49" s="26">
        <v>0.90635487345396593</v>
      </c>
      <c r="N49" s="26" t="e">
        <f ca="1">VLOOKUP(CurrentMtgRatesDataTable8256[[#This Row],[asOfDate]]+1,Bloomberg!B:C,2,0)</f>
        <v>#N/A</v>
      </c>
      <c r="P49" s="24">
        <v>40870</v>
      </c>
      <c r="Q49" s="26">
        <v>0.70396661640219049</v>
      </c>
      <c r="S49" s="24">
        <v>40870</v>
      </c>
      <c r="T49" s="27">
        <v>0.71325364250112233</v>
      </c>
      <c r="V49" s="56">
        <v>40870</v>
      </c>
      <c r="W49" s="57">
        <v>0.59609102497578137</v>
      </c>
      <c r="Y49" s="1">
        <v>40870</v>
      </c>
      <c r="Z49">
        <v>0.61421348298588097</v>
      </c>
      <c r="AB49" s="1">
        <v>40870</v>
      </c>
      <c r="AC49">
        <v>0.75451882195048703</v>
      </c>
    </row>
    <row r="50" spans="2:29">
      <c r="B50" s="24">
        <v>40878</v>
      </c>
      <c r="C50" s="86">
        <v>0.93350677700053231</v>
      </c>
      <c r="D50" s="86">
        <v>0.95353241194663263</v>
      </c>
      <c r="E50" s="26">
        <f ca="1">VLOOKUP(CurrentMtgRatesDataTable825[[#This Row],[asOfDate]]+1,Bloomberg!B:C,2,0)</f>
        <v>3394.7</v>
      </c>
      <c r="F50" s="27">
        <f>VLOOKUP(CurrentMtgRatesDataTable825[[#This Row],[asOfDate]],CurrentMtgRatesDataTable8256[#All],2,0)</f>
        <v>0.89703139526962428</v>
      </c>
      <c r="G50" s="27">
        <f>VLOOKUP(CurrentMtgRatesDataTable825[[#This Row],[asOfDate]],CurrentMtgRatesDataTable82562[],2,0)</f>
        <v>0.69000379241839993</v>
      </c>
      <c r="H50" s="27">
        <f>VLOOKUP(CurrentMtgRatesDataTable825[[#This Row],[asOfDate]],S:T,2,0)</f>
        <v>0.69921469866784125</v>
      </c>
      <c r="I50" s="84">
        <f>VLOOKUP(CurrentMtgRatesDataTable825[[#This Row],[asOfDate]],CurrentMtgRatesDataTable825623[#All],2,0)</f>
        <v>0.57637470870076846</v>
      </c>
      <c r="J50" s="84">
        <f>VLOOKUP(CurrentMtgRatesDataTable825[[#This Row],[asOfDate]],AB:AC,2,0)</f>
        <v>0.73701250506221705</v>
      </c>
      <c r="L50" s="24">
        <v>40878</v>
      </c>
      <c r="M50" s="26">
        <v>0.89703139526962428</v>
      </c>
      <c r="N50" s="26">
        <f ca="1">VLOOKUP(CurrentMtgRatesDataTable8256[[#This Row],[asOfDate]]+1,Bloomberg!B:C,2,0)</f>
        <v>3394.7</v>
      </c>
      <c r="P50" s="24">
        <v>40878</v>
      </c>
      <c r="Q50" s="26">
        <v>0.69000379241839993</v>
      </c>
      <c r="S50" s="24">
        <v>40878</v>
      </c>
      <c r="T50" s="27">
        <v>0.69921469866784125</v>
      </c>
      <c r="V50" s="56">
        <v>40878</v>
      </c>
      <c r="W50" s="57">
        <v>0.57637470870076846</v>
      </c>
      <c r="Y50" s="1">
        <v>40878</v>
      </c>
      <c r="Z50">
        <v>0.59439049539354405</v>
      </c>
      <c r="AB50" s="1">
        <v>40878</v>
      </c>
      <c r="AC50">
        <v>0.73701250506221705</v>
      </c>
    </row>
    <row r="51" spans="2:29">
      <c r="B51" s="24">
        <v>40885</v>
      </c>
      <c r="C51" s="86">
        <v>0.9360479648360801</v>
      </c>
      <c r="D51" s="86">
        <v>0.97148782618021212</v>
      </c>
      <c r="E51" s="26">
        <f ca="1">VLOOKUP(CurrentMtgRatesDataTable825[[#This Row],[asOfDate]]+1,Bloomberg!B:C,2,0)</f>
        <v>3708.6</v>
      </c>
      <c r="F51" s="27">
        <f>VLOOKUP(CurrentMtgRatesDataTable825[[#This Row],[asOfDate]],CurrentMtgRatesDataTable8256[#All],2,0)</f>
        <v>0.89704903447944062</v>
      </c>
      <c r="G51" s="27">
        <f>VLOOKUP(CurrentMtgRatesDataTable825[[#This Row],[asOfDate]],CurrentMtgRatesDataTable82562[],2,0)</f>
        <v>0.69002399417324023</v>
      </c>
      <c r="H51" s="27">
        <f>VLOOKUP(CurrentMtgRatesDataTable825[[#This Row],[asOfDate]],S:T,2,0)</f>
        <v>0.69923497192416595</v>
      </c>
      <c r="I51" s="84">
        <f>VLOOKUP(CurrentMtgRatesDataTable825[[#This Row],[asOfDate]],CurrentMtgRatesDataTable825623[#All],2,0)</f>
        <v>0.57640199098694489</v>
      </c>
      <c r="J51" s="84">
        <f>VLOOKUP(CurrentMtgRatesDataTable825[[#This Row],[asOfDate]],AB:AC,2,0)</f>
        <v>0.737034618623016</v>
      </c>
      <c r="L51" s="24">
        <v>40885</v>
      </c>
      <c r="M51" s="26">
        <v>0.89704903447944062</v>
      </c>
      <c r="N51" s="26">
        <f ca="1">VLOOKUP(CurrentMtgRatesDataTable8256[[#This Row],[asOfDate]]+1,Bloomberg!B:C,2,0)</f>
        <v>3708.6</v>
      </c>
      <c r="P51" s="24">
        <v>40885</v>
      </c>
      <c r="Q51" s="26">
        <v>0.69002399417324023</v>
      </c>
      <c r="S51" s="24">
        <v>40885</v>
      </c>
      <c r="T51" s="27">
        <v>0.69923497192416595</v>
      </c>
      <c r="V51" s="56">
        <v>40885</v>
      </c>
      <c r="W51" s="57">
        <v>0.57640199098694489</v>
      </c>
      <c r="Y51" s="1">
        <v>40885</v>
      </c>
      <c r="Z51">
        <v>0.59441609204797496</v>
      </c>
      <c r="AB51" s="1">
        <v>40885</v>
      </c>
      <c r="AC51">
        <v>0.737034618623016</v>
      </c>
    </row>
    <row r="52" spans="2:29">
      <c r="B52" s="24">
        <v>40892</v>
      </c>
      <c r="C52" s="86">
        <v>0.94651897141040553</v>
      </c>
      <c r="D52" s="86">
        <v>0.98652261152294252</v>
      </c>
      <c r="E52" s="26">
        <f ca="1">VLOOKUP(CurrentMtgRatesDataTable825[[#This Row],[asOfDate]]+1,Bloomberg!B:C,2,0)</f>
        <v>3676.1</v>
      </c>
      <c r="F52" s="27">
        <f>VLOOKUP(CurrentMtgRatesDataTable825[[#This Row],[asOfDate]],CurrentMtgRatesDataTable8256[#All],2,0)</f>
        <v>0.89709375429273885</v>
      </c>
      <c r="G52" s="27">
        <f>VLOOKUP(CurrentMtgRatesDataTable825[[#This Row],[asOfDate]],CurrentMtgRatesDataTable82562[],2,0)</f>
        <v>0.69007408458163666</v>
      </c>
      <c r="H52" s="27">
        <f>VLOOKUP(CurrentMtgRatesDataTable825[[#This Row],[asOfDate]],S:T,2,0)</f>
        <v>0.69928350198009037</v>
      </c>
      <c r="I52" s="84">
        <f>VLOOKUP(CurrentMtgRatesDataTable825[[#This Row],[asOfDate]],CurrentMtgRatesDataTable825623[#All],2,0)</f>
        <v>0.58069452065626503</v>
      </c>
      <c r="J52" s="84">
        <f>VLOOKUP(CurrentMtgRatesDataTable825[[#This Row],[asOfDate]],AB:AC,2,0)</f>
        <v>0.74005848510739902</v>
      </c>
      <c r="L52" s="24">
        <v>40892</v>
      </c>
      <c r="M52" s="26">
        <v>0.89709375429273885</v>
      </c>
      <c r="N52" s="26">
        <f ca="1">VLOOKUP(CurrentMtgRatesDataTable8256[[#This Row],[asOfDate]]+1,Bloomberg!B:C,2,0)</f>
        <v>3676.1</v>
      </c>
      <c r="P52" s="24">
        <v>40892</v>
      </c>
      <c r="Q52" s="26">
        <v>0.69007408458163666</v>
      </c>
      <c r="S52" s="24">
        <v>40892</v>
      </c>
      <c r="T52" s="27">
        <v>0.69928350198009037</v>
      </c>
      <c r="V52" s="56">
        <v>40892</v>
      </c>
      <c r="W52" s="57">
        <v>0.58069452065626503</v>
      </c>
      <c r="Y52" s="1">
        <v>40892</v>
      </c>
      <c r="Z52">
        <v>0.59862012705429901</v>
      </c>
      <c r="AB52" s="1">
        <v>40892</v>
      </c>
      <c r="AC52">
        <v>0.74005848510739902</v>
      </c>
    </row>
    <row r="53" spans="2:29">
      <c r="B53" s="24">
        <v>40899</v>
      </c>
      <c r="C53" s="86">
        <v>0.96812599238425934</v>
      </c>
      <c r="D53" s="86">
        <v>0.98652261152294252</v>
      </c>
      <c r="E53" s="26">
        <f ca="1">VLOOKUP(CurrentMtgRatesDataTable825[[#This Row],[asOfDate]]+1,Bloomberg!B:C,2,0)</f>
        <v>3684.5</v>
      </c>
      <c r="F53" s="27">
        <f>VLOOKUP(CurrentMtgRatesDataTable825[[#This Row],[asOfDate]],CurrentMtgRatesDataTable8256[#All],2,0)</f>
        <v>0.94137030351529016</v>
      </c>
      <c r="G53" s="27">
        <f>VLOOKUP(CurrentMtgRatesDataTable825[[#This Row],[asOfDate]],CurrentMtgRatesDataTable82562[],2,0)</f>
        <v>0.72186451896875248</v>
      </c>
      <c r="H53" s="27">
        <f>VLOOKUP(CurrentMtgRatesDataTable825[[#This Row],[asOfDate]],S:T,2,0)</f>
        <v>0.73130536310420036</v>
      </c>
      <c r="I53" s="84">
        <f>VLOOKUP(CurrentMtgRatesDataTable825[[#This Row],[asOfDate]],CurrentMtgRatesDataTable825623[#All],2,0)</f>
        <v>0.61774760876460955</v>
      </c>
      <c r="J53" s="84">
        <f>VLOOKUP(CurrentMtgRatesDataTable825[[#This Row],[asOfDate]],AB:AC,2,0)</f>
        <v>0.77262482249298603</v>
      </c>
      <c r="L53" s="24">
        <v>40899</v>
      </c>
      <c r="M53" s="26">
        <v>0.94137030351529016</v>
      </c>
      <c r="N53" s="26">
        <f ca="1">VLOOKUP(CurrentMtgRatesDataTable8256[[#This Row],[asOfDate]]+1,Bloomberg!B:C,2,0)</f>
        <v>3684.5</v>
      </c>
      <c r="P53" s="24">
        <v>40899</v>
      </c>
      <c r="Q53" s="26">
        <v>0.72186451896875248</v>
      </c>
      <c r="S53" s="24">
        <v>40899</v>
      </c>
      <c r="T53" s="27">
        <v>0.73130536310420036</v>
      </c>
      <c r="V53" s="56">
        <v>40899</v>
      </c>
      <c r="W53" s="57">
        <v>0.61774760876460955</v>
      </c>
      <c r="Y53" s="1">
        <v>40899</v>
      </c>
      <c r="Z53">
        <v>0.63492455166062101</v>
      </c>
      <c r="AB53" s="1">
        <v>40899</v>
      </c>
      <c r="AC53">
        <v>0.77262482249298603</v>
      </c>
    </row>
    <row r="54" spans="2:29">
      <c r="B54" s="24">
        <v>40906</v>
      </c>
      <c r="C54" s="86">
        <v>0.95812187386283387</v>
      </c>
      <c r="D54" s="86">
        <v>0.98652261152294252</v>
      </c>
      <c r="E54" s="26">
        <f ca="1">VLOOKUP(CurrentMtgRatesDataTable825[[#This Row],[asOfDate]]+1,Bloomberg!B:C,2,0)</f>
        <v>3608.1</v>
      </c>
      <c r="F54" s="27">
        <f>VLOOKUP(CurrentMtgRatesDataTable825[[#This Row],[asOfDate]],CurrentMtgRatesDataTable8256[#All],2,0)</f>
        <v>0.94128842871061857</v>
      </c>
      <c r="G54" s="27">
        <f>VLOOKUP(CurrentMtgRatesDataTable825[[#This Row],[asOfDate]],CurrentMtgRatesDataTable82562[],2,0)</f>
        <v>0.72167534304727499</v>
      </c>
      <c r="H54" s="27">
        <f>VLOOKUP(CurrentMtgRatesDataTable825[[#This Row],[asOfDate]],S:T,2,0)</f>
        <v>0.7311164441815301</v>
      </c>
      <c r="I54" s="84">
        <f>VLOOKUP(CurrentMtgRatesDataTable825[[#This Row],[asOfDate]],CurrentMtgRatesDataTable825623[#All],2,0)</f>
        <v>0.60388415088067371</v>
      </c>
      <c r="J54" s="84">
        <f>VLOOKUP(CurrentMtgRatesDataTable825[[#This Row],[asOfDate]],AB:AC,2,0)</f>
        <v>0.76353022654842795</v>
      </c>
      <c r="L54" s="24">
        <v>40906</v>
      </c>
      <c r="M54" s="26">
        <v>0.94128842871061857</v>
      </c>
      <c r="N54" s="26">
        <f ca="1">VLOOKUP(CurrentMtgRatesDataTable8256[[#This Row],[asOfDate]]+1,Bloomberg!B:C,2,0)</f>
        <v>3608.1</v>
      </c>
      <c r="P54" s="24">
        <v>40906</v>
      </c>
      <c r="Q54" s="26">
        <v>0.72167534304727499</v>
      </c>
      <c r="S54" s="24">
        <v>40906</v>
      </c>
      <c r="T54" s="27">
        <v>0.7311164441815301</v>
      </c>
      <c r="V54" s="56">
        <v>40906</v>
      </c>
      <c r="W54" s="57">
        <v>0.60388415088067371</v>
      </c>
      <c r="Y54" s="1">
        <v>40906</v>
      </c>
      <c r="Z54">
        <v>0.62123912089799704</v>
      </c>
      <c r="AB54" s="1">
        <v>40906</v>
      </c>
      <c r="AC54">
        <v>0.76353022654842795</v>
      </c>
    </row>
    <row r="55" spans="2:29">
      <c r="B55" s="24">
        <v>40913</v>
      </c>
      <c r="C55" s="86">
        <v>0.95589794777414239</v>
      </c>
      <c r="D55" s="86">
        <v>0.97313344015886127</v>
      </c>
      <c r="E55" s="26">
        <f ca="1">VLOOKUP(CurrentMtgRatesDataTable825[[#This Row],[asOfDate]]+1,Bloomberg!B:C,2,0)</f>
        <v>3668.3</v>
      </c>
      <c r="F55" s="27">
        <f>VLOOKUP(CurrentMtgRatesDataTable825[[#This Row],[asOfDate]],CurrentMtgRatesDataTable8256[#All],2,0)</f>
        <v>0.93080329806075279</v>
      </c>
      <c r="G55" s="27">
        <f>VLOOKUP(CurrentMtgRatesDataTable825[[#This Row],[asOfDate]],CurrentMtgRatesDataTable82562[],2,0)</f>
        <v>0.70942160362842166</v>
      </c>
      <c r="H55" s="27">
        <f>VLOOKUP(CurrentMtgRatesDataTable825[[#This Row],[asOfDate]],S:T,2,0)</f>
        <v>0.71872246623497638</v>
      </c>
      <c r="I55" s="84">
        <f>VLOOKUP(CurrentMtgRatesDataTable825[[#This Row],[asOfDate]],CurrentMtgRatesDataTable825623[#All],2,0)</f>
        <v>0.59330115968578845</v>
      </c>
      <c r="J55" s="84">
        <f>VLOOKUP(CurrentMtgRatesDataTable825[[#This Row],[asOfDate]],AB:AC,2,0)</f>
        <v>0.75017446397926801</v>
      </c>
      <c r="L55" s="24">
        <v>40913</v>
      </c>
      <c r="M55" s="26">
        <v>0.93080329806075279</v>
      </c>
      <c r="N55" s="26">
        <f ca="1">VLOOKUP(CurrentMtgRatesDataTable8256[[#This Row],[asOfDate]]+1,Bloomberg!B:C,2,0)</f>
        <v>3668.3</v>
      </c>
      <c r="P55" s="24">
        <v>40913</v>
      </c>
      <c r="Q55" s="26">
        <v>0.70942160362842166</v>
      </c>
      <c r="S55" s="24">
        <v>40913</v>
      </c>
      <c r="T55" s="27">
        <v>0.71872246623497638</v>
      </c>
      <c r="V55" s="56">
        <v>40913</v>
      </c>
      <c r="W55" s="57">
        <v>0.59330115968578845</v>
      </c>
      <c r="Y55" s="1">
        <v>40913</v>
      </c>
      <c r="Z55">
        <v>0.610477145868213</v>
      </c>
      <c r="AB55" s="1">
        <v>40913</v>
      </c>
      <c r="AC55">
        <v>0.75017446397926801</v>
      </c>
    </row>
    <row r="56" spans="2:29">
      <c r="B56" s="24">
        <v>40920</v>
      </c>
      <c r="C56" s="86">
        <v>0.96253398235989307</v>
      </c>
      <c r="D56" s="86">
        <v>0.97313344015886127</v>
      </c>
      <c r="E56" s="26">
        <f ca="1">VLOOKUP(CurrentMtgRatesDataTable825[[#This Row],[asOfDate]]+1,Bloomberg!B:C,2,0)</f>
        <v>4626.5</v>
      </c>
      <c r="F56" s="27">
        <f>VLOOKUP(CurrentMtgRatesDataTable825[[#This Row],[asOfDate]],CurrentMtgRatesDataTable8256[#All],2,0)</f>
        <v>0.93090646498108043</v>
      </c>
      <c r="G56" s="27">
        <f>VLOOKUP(CurrentMtgRatesDataTable825[[#This Row],[asOfDate]],CurrentMtgRatesDataTable82562[],2,0)</f>
        <v>0.71029190543434573</v>
      </c>
      <c r="H56" s="27">
        <f>VLOOKUP(CurrentMtgRatesDataTable825[[#This Row],[asOfDate]],S:T,2,0)</f>
        <v>0.71892720085282324</v>
      </c>
      <c r="I56" s="84">
        <f>VLOOKUP(CurrentMtgRatesDataTable825[[#This Row],[asOfDate]],CurrentMtgRatesDataTable825623[#All],2,0)</f>
        <v>0.61007610137748614</v>
      </c>
      <c r="J56" s="84">
        <f>VLOOKUP(CurrentMtgRatesDataTable825[[#This Row],[asOfDate]],AB:AC,2,0)</f>
        <v>0.76194885743932395</v>
      </c>
      <c r="L56" s="24">
        <v>40920</v>
      </c>
      <c r="M56" s="26">
        <v>0.93090646498108043</v>
      </c>
      <c r="N56" s="26">
        <f ca="1">VLOOKUP(CurrentMtgRatesDataTable8256[[#This Row],[asOfDate]]+1,Bloomberg!B:C,2,0)</f>
        <v>4626.5</v>
      </c>
      <c r="P56" s="24">
        <v>40920</v>
      </c>
      <c r="Q56" s="26">
        <v>0.71029190543434573</v>
      </c>
      <c r="S56" s="24">
        <v>40920</v>
      </c>
      <c r="T56" s="27">
        <v>0.71892720085282324</v>
      </c>
      <c r="V56" s="56">
        <v>40920</v>
      </c>
      <c r="W56" s="57">
        <v>0.61007610137748614</v>
      </c>
      <c r="Y56" s="1">
        <v>40920</v>
      </c>
      <c r="Z56">
        <v>0.62716866511220104</v>
      </c>
      <c r="AB56" s="1">
        <v>40920</v>
      </c>
      <c r="AC56">
        <v>0.76194885743932395</v>
      </c>
    </row>
    <row r="57" spans="2:29">
      <c r="B57" s="24">
        <v>40927</v>
      </c>
      <c r="C57" s="86">
        <v>0.96144007933003084</v>
      </c>
      <c r="D57" s="86">
        <v>0.97313344015886127</v>
      </c>
      <c r="E57" s="26">
        <f ca="1">VLOOKUP(CurrentMtgRatesDataTable825[[#This Row],[asOfDate]]+1,Bloomberg!B:C,2,0)</f>
        <v>4326.3999999999996</v>
      </c>
      <c r="F57" s="27">
        <f>VLOOKUP(CurrentMtgRatesDataTable825[[#This Row],[asOfDate]],CurrentMtgRatesDataTable8256[#All],2,0)</f>
        <v>0.93088678298606131</v>
      </c>
      <c r="G57" s="27">
        <f>VLOOKUP(CurrentMtgRatesDataTable825[[#This Row],[asOfDate]],CurrentMtgRatesDataTable82562[],2,0)</f>
        <v>0.70950341028365815</v>
      </c>
      <c r="H57" s="27">
        <f>VLOOKUP(CurrentMtgRatesDataTable825[[#This Row],[asOfDate]],S:T,2,0)</f>
        <v>0.71880362926806407</v>
      </c>
      <c r="I57" s="84">
        <f>VLOOKUP(CurrentMtgRatesDataTable825[[#This Row],[asOfDate]],CurrentMtgRatesDataTable825623[#All],2,0)</f>
        <v>0.6075488171158312</v>
      </c>
      <c r="J57" s="84">
        <f>VLOOKUP(CurrentMtgRatesDataTable825[[#This Row],[asOfDate]],AB:AC,2,0)</f>
        <v>0.76015152542719999</v>
      </c>
      <c r="L57" s="24">
        <v>40927</v>
      </c>
      <c r="M57" s="26">
        <v>0.93088678298606131</v>
      </c>
      <c r="N57" s="26">
        <f ca="1">VLOOKUP(CurrentMtgRatesDataTable8256[[#This Row],[asOfDate]]+1,Bloomberg!B:C,2,0)</f>
        <v>4326.3999999999996</v>
      </c>
      <c r="P57" s="24">
        <v>40927</v>
      </c>
      <c r="Q57" s="26">
        <v>0.70950341028365815</v>
      </c>
      <c r="S57" s="24">
        <v>40927</v>
      </c>
      <c r="T57" s="27">
        <v>0.71880362926806407</v>
      </c>
      <c r="V57" s="56">
        <v>40927</v>
      </c>
      <c r="W57" s="57">
        <v>0.6075488171158312</v>
      </c>
      <c r="Y57" s="1">
        <v>40927</v>
      </c>
      <c r="Z57">
        <v>0.62463697336878699</v>
      </c>
      <c r="AB57" s="1">
        <v>40927</v>
      </c>
      <c r="AC57">
        <v>0.76015152542719999</v>
      </c>
    </row>
    <row r="58" spans="2:29">
      <c r="B58" s="24">
        <v>40934</v>
      </c>
      <c r="C58" s="86">
        <v>0.92928464922708942</v>
      </c>
      <c r="D58" s="86">
        <v>0.957981683987018</v>
      </c>
      <c r="E58" s="26">
        <f ca="1">VLOOKUP(CurrentMtgRatesDataTable825[[#This Row],[asOfDate]]+1,Bloomberg!B:C,2,0)</f>
        <v>4184.3</v>
      </c>
      <c r="F58" s="27">
        <f>VLOOKUP(CurrentMtgRatesDataTable825[[#This Row],[asOfDate]],CurrentMtgRatesDataTable8256[#All],2,0)</f>
        <v>0.88426645621178879</v>
      </c>
      <c r="G58" s="27">
        <f>VLOOKUP(CurrentMtgRatesDataTable825[[#This Row],[asOfDate]],CurrentMtgRatesDataTable82562[],2,0)</f>
        <v>0.6768466690798014</v>
      </c>
      <c r="H58" s="27">
        <f>VLOOKUP(CurrentMtgRatesDataTable825[[#This Row],[asOfDate]],S:T,2,0)</f>
        <v>0.68591641414675153</v>
      </c>
      <c r="I58" s="84">
        <f>VLOOKUP(CurrentMtgRatesDataTable825[[#This Row],[asOfDate]],CurrentMtgRatesDataTable825623[#All],2,0)</f>
        <v>0.56757815274844003</v>
      </c>
      <c r="J58" s="84">
        <f>VLOOKUP(CurrentMtgRatesDataTable825[[#This Row],[asOfDate]],AB:AC,2,0)</f>
        <v>0.72538795894175401</v>
      </c>
      <c r="L58" s="24">
        <v>40934</v>
      </c>
      <c r="M58" s="26">
        <v>0.88426645621178879</v>
      </c>
      <c r="N58" s="26">
        <f ca="1">VLOOKUP(CurrentMtgRatesDataTable8256[[#This Row],[asOfDate]]+1,Bloomberg!B:C,2,0)</f>
        <v>4184.3</v>
      </c>
      <c r="P58" s="24">
        <v>40934</v>
      </c>
      <c r="Q58" s="26">
        <v>0.6768466690798014</v>
      </c>
      <c r="S58" s="24">
        <v>40934</v>
      </c>
      <c r="T58" s="27">
        <v>0.68591641414675153</v>
      </c>
      <c r="V58" s="56">
        <v>40934</v>
      </c>
      <c r="W58" s="57">
        <v>0.56757815274844003</v>
      </c>
      <c r="Y58" s="1">
        <v>40934</v>
      </c>
      <c r="Z58">
        <v>0.58551436601988804</v>
      </c>
      <c r="AB58" s="1">
        <v>40934</v>
      </c>
      <c r="AC58">
        <v>0.72538795894175401</v>
      </c>
    </row>
    <row r="59" spans="2:29">
      <c r="B59" s="24">
        <v>40941</v>
      </c>
      <c r="C59" s="86">
        <v>0.94780035153366171</v>
      </c>
      <c r="D59" s="86">
        <v>0.95346432417648652</v>
      </c>
      <c r="E59" s="26">
        <f ca="1">VLOOKUP(CurrentMtgRatesDataTable825[[#This Row],[asOfDate]]+1,Bloomberg!B:C,2,0)</f>
        <v>4617.1000000000004</v>
      </c>
      <c r="F59" s="27">
        <f>VLOOKUP(CurrentMtgRatesDataTable825[[#This Row],[asOfDate]],CurrentMtgRatesDataTable8256[#All],2,0)</f>
        <v>0.91360112522716286</v>
      </c>
      <c r="G59" s="27">
        <f>VLOOKUP(CurrentMtgRatesDataTable825[[#This Row],[asOfDate]],CurrentMtgRatesDataTable82562[],2,0)</f>
        <v>0.691794492463359</v>
      </c>
      <c r="H59" s="27">
        <f>VLOOKUP(CurrentMtgRatesDataTable825[[#This Row],[asOfDate]],S:T,2,0)</f>
        <v>0.70090674609623727</v>
      </c>
      <c r="I59" s="84">
        <f>VLOOKUP(CurrentMtgRatesDataTable825[[#This Row],[asOfDate]],CurrentMtgRatesDataTable825623[#All],2,0)</f>
        <v>0.59021628278930161</v>
      </c>
      <c r="J59" s="84">
        <f>VLOOKUP(CurrentMtgRatesDataTable825[[#This Row],[asOfDate]],AB:AC,2,0)</f>
        <v>0.73976850442679698</v>
      </c>
      <c r="L59" s="24">
        <v>40941</v>
      </c>
      <c r="M59" s="26">
        <v>0.91360112522716286</v>
      </c>
      <c r="N59" s="26">
        <f ca="1">VLOOKUP(CurrentMtgRatesDataTable8256[[#This Row],[asOfDate]]+1,Bloomberg!B:C,2,0)</f>
        <v>4617.1000000000004</v>
      </c>
      <c r="P59" s="24">
        <v>40941</v>
      </c>
      <c r="Q59" s="26">
        <v>0.691794492463359</v>
      </c>
      <c r="S59" s="24">
        <v>40941</v>
      </c>
      <c r="T59" s="27">
        <v>0.70090674609623727</v>
      </c>
      <c r="V59" s="56">
        <v>40941</v>
      </c>
      <c r="W59" s="57">
        <v>0.59021628278930161</v>
      </c>
      <c r="Y59" s="1">
        <v>40941</v>
      </c>
      <c r="Z59">
        <v>0.60694127442694001</v>
      </c>
      <c r="AB59" s="1">
        <v>40941</v>
      </c>
      <c r="AC59">
        <v>0.73976850442679698</v>
      </c>
    </row>
    <row r="60" spans="2:29">
      <c r="B60" s="24">
        <v>40948</v>
      </c>
      <c r="C60" s="86">
        <v>0.94780035153366171</v>
      </c>
      <c r="D60" s="86">
        <v>0.95346432417648652</v>
      </c>
      <c r="E60" s="26">
        <f ca="1">VLOOKUP(CurrentMtgRatesDataTable825[[#This Row],[asOfDate]]+1,Bloomberg!B:C,2,0)</f>
        <v>4716.1000000000004</v>
      </c>
      <c r="F60" s="27">
        <f>VLOOKUP(CurrentMtgRatesDataTable825[[#This Row],[asOfDate]],CurrentMtgRatesDataTable8256[#All],2,0)</f>
        <v>0.91360112522716286</v>
      </c>
      <c r="G60" s="27">
        <f>VLOOKUP(CurrentMtgRatesDataTable825[[#This Row],[asOfDate]],CurrentMtgRatesDataTable82562[],2,0)</f>
        <v>0.691794492463359</v>
      </c>
      <c r="H60" s="27">
        <f>VLOOKUP(CurrentMtgRatesDataTable825[[#This Row],[asOfDate]],S:T,2,0)</f>
        <v>0.70090674609623727</v>
      </c>
      <c r="I60" s="84">
        <f>VLOOKUP(CurrentMtgRatesDataTable825[[#This Row],[asOfDate]],CurrentMtgRatesDataTable825623[#All],2,0)</f>
        <v>0.59021628278930161</v>
      </c>
      <c r="J60" s="84">
        <f>VLOOKUP(CurrentMtgRatesDataTable825[[#This Row],[asOfDate]],AB:AC,2,0)</f>
        <v>0.73976850442679698</v>
      </c>
      <c r="L60" s="24">
        <v>40948</v>
      </c>
      <c r="M60" s="26">
        <v>0.91360112522716286</v>
      </c>
      <c r="N60" s="26">
        <f ca="1">VLOOKUP(CurrentMtgRatesDataTable8256[[#This Row],[asOfDate]]+1,Bloomberg!B:C,2,0)</f>
        <v>4716.1000000000004</v>
      </c>
      <c r="P60" s="24">
        <v>40948</v>
      </c>
      <c r="Q60" s="26">
        <v>0.691794492463359</v>
      </c>
      <c r="S60" s="24">
        <v>40948</v>
      </c>
      <c r="T60" s="27">
        <v>0.70090674609623727</v>
      </c>
      <c r="V60" s="56">
        <v>40948</v>
      </c>
      <c r="W60" s="57">
        <v>0.59021628278930161</v>
      </c>
      <c r="Y60" s="1">
        <v>40948</v>
      </c>
      <c r="Z60">
        <v>0.60694127442694001</v>
      </c>
      <c r="AB60" s="1">
        <v>40948</v>
      </c>
      <c r="AC60">
        <v>0.73976850442679698</v>
      </c>
    </row>
    <row r="61" spans="2:29">
      <c r="B61" s="24">
        <v>40955</v>
      </c>
      <c r="C61" s="86">
        <v>0.94780035153366171</v>
      </c>
      <c r="D61" s="86">
        <v>0.95346432417648652</v>
      </c>
      <c r="E61" s="26">
        <f ca="1">VLOOKUP(CurrentMtgRatesDataTable825[[#This Row],[asOfDate]]+1,Bloomberg!B:C,2,0)</f>
        <v>4466.8999999999996</v>
      </c>
      <c r="F61" s="27">
        <f>VLOOKUP(CurrentMtgRatesDataTable825[[#This Row],[asOfDate]],CurrentMtgRatesDataTable8256[#All],2,0)</f>
        <v>0.91360112522716286</v>
      </c>
      <c r="G61" s="27">
        <f>VLOOKUP(CurrentMtgRatesDataTable825[[#This Row],[asOfDate]],CurrentMtgRatesDataTable82562[],2,0)</f>
        <v>0.691794492463359</v>
      </c>
      <c r="H61" s="27">
        <f>VLOOKUP(CurrentMtgRatesDataTable825[[#This Row],[asOfDate]],S:T,2,0)</f>
        <v>0.70090674609623727</v>
      </c>
      <c r="I61" s="84">
        <f>VLOOKUP(CurrentMtgRatesDataTable825[[#This Row],[asOfDate]],CurrentMtgRatesDataTable825623[#All],2,0)</f>
        <v>0.59021628278930161</v>
      </c>
      <c r="J61" s="84">
        <f>VLOOKUP(CurrentMtgRatesDataTable825[[#This Row],[asOfDate]],AB:AC,2,0)</f>
        <v>0.73976850442679698</v>
      </c>
      <c r="L61" s="24">
        <v>40955</v>
      </c>
      <c r="M61" s="26">
        <v>0.91360112522716286</v>
      </c>
      <c r="N61" s="26">
        <f ca="1">VLOOKUP(CurrentMtgRatesDataTable8256[[#This Row],[asOfDate]]+1,Bloomberg!B:C,2,0)</f>
        <v>4466.8999999999996</v>
      </c>
      <c r="P61" s="24">
        <v>40955</v>
      </c>
      <c r="Q61" s="26">
        <v>0.691794492463359</v>
      </c>
      <c r="S61" s="24">
        <v>40955</v>
      </c>
      <c r="T61" s="27">
        <v>0.70090674609623727</v>
      </c>
      <c r="V61" s="56">
        <v>40955</v>
      </c>
      <c r="W61" s="57">
        <v>0.59021628278930161</v>
      </c>
      <c r="Y61" s="1">
        <v>40955</v>
      </c>
      <c r="Z61">
        <v>0.60694127442694001</v>
      </c>
      <c r="AB61" s="1">
        <v>40955</v>
      </c>
      <c r="AC61">
        <v>0.73976850442679698</v>
      </c>
    </row>
    <row r="62" spans="2:29">
      <c r="B62" s="24">
        <v>40962</v>
      </c>
      <c r="C62" s="86">
        <v>0.9162603145709336</v>
      </c>
      <c r="D62" s="86">
        <v>0.93846984663718713</v>
      </c>
      <c r="E62" s="26">
        <f ca="1">VLOOKUP(CurrentMtgRatesDataTable825[[#This Row],[asOfDate]]+1,Bloomberg!B:C,2,0)</f>
        <v>4379.1000000000004</v>
      </c>
      <c r="F62" s="27">
        <f>VLOOKUP(CurrentMtgRatesDataTable825[[#This Row],[asOfDate]],CurrentMtgRatesDataTable8256[#All],2,0)</f>
        <v>0.86453426929410926</v>
      </c>
      <c r="G62" s="27">
        <f>VLOOKUP(CurrentMtgRatesDataTable825[[#This Row],[asOfDate]],CurrentMtgRatesDataTable82562[],2,0)</f>
        <v>0.65880324187098283</v>
      </c>
      <c r="H62" s="27">
        <f>VLOOKUP(CurrentMtgRatesDataTable825[[#This Row],[asOfDate]],S:T,2,0)</f>
        <v>0.66768685957234042</v>
      </c>
      <c r="I62" s="84">
        <f>VLOOKUP(CurrentMtgRatesDataTable825[[#This Row],[asOfDate]],CurrentMtgRatesDataTable825623[#All],2,0)</f>
        <v>0.55038966954359403</v>
      </c>
      <c r="J62" s="84">
        <f>VLOOKUP(CurrentMtgRatesDataTable825[[#This Row],[asOfDate]],AB:AC,2,0)</f>
        <v>0.70482380254349597</v>
      </c>
      <c r="L62" s="24">
        <v>40962</v>
      </c>
      <c r="M62" s="26">
        <v>0.86453426929410926</v>
      </c>
      <c r="N62" s="26">
        <f ca="1">VLOOKUP(CurrentMtgRatesDataTable8256[[#This Row],[asOfDate]]+1,Bloomberg!B:C,2,0)</f>
        <v>4379.1000000000004</v>
      </c>
      <c r="P62" s="24">
        <v>40962</v>
      </c>
      <c r="Q62" s="26">
        <v>0.65880324187098283</v>
      </c>
      <c r="S62" s="24">
        <v>40962</v>
      </c>
      <c r="T62" s="27">
        <v>0.66768685957234042</v>
      </c>
      <c r="V62" s="56">
        <v>40962</v>
      </c>
      <c r="W62" s="57">
        <v>0.55038966954359403</v>
      </c>
      <c r="Y62" s="1">
        <v>40962</v>
      </c>
      <c r="Z62">
        <v>0.56792528642142004</v>
      </c>
      <c r="AB62" s="1">
        <v>40962</v>
      </c>
      <c r="AC62">
        <v>0.70482380254349597</v>
      </c>
    </row>
    <row r="63" spans="2:29">
      <c r="B63" s="24">
        <v>40969</v>
      </c>
      <c r="C63" s="86">
        <v>0.93168768578717942</v>
      </c>
      <c r="D63" s="86">
        <v>0.93750824643060326</v>
      </c>
      <c r="E63" s="26">
        <f ca="1">VLOOKUP(CurrentMtgRatesDataTable825[[#This Row],[asOfDate]]+1,Bloomberg!B:C,2,0)</f>
        <v>4277.6000000000004</v>
      </c>
      <c r="F63" s="27">
        <f>VLOOKUP(CurrentMtgRatesDataTable825[[#This Row],[asOfDate]],CurrentMtgRatesDataTable8256[#All],2,0)</f>
        <v>0.8998965016430206</v>
      </c>
      <c r="G63" s="27">
        <f>VLOOKUP(CurrentMtgRatesDataTable825[[#This Row],[asOfDate]],CurrentMtgRatesDataTable82562[],2,0)</f>
        <v>0.6768042748029276</v>
      </c>
      <c r="H63" s="27">
        <f>VLOOKUP(CurrentMtgRatesDataTable825[[#This Row],[asOfDate]],S:T,2,0)</f>
        <v>0.68578772853860537</v>
      </c>
      <c r="I63" s="84">
        <f>VLOOKUP(CurrentMtgRatesDataTable825[[#This Row],[asOfDate]],CurrentMtgRatesDataTable825623[#All],2,0)</f>
        <v>0.56168586846910651</v>
      </c>
      <c r="J63" s="84">
        <f>VLOOKUP(CurrentMtgRatesDataTable825[[#This Row],[asOfDate]],AB:AC,2,0)</f>
        <v>0.71197045097818001</v>
      </c>
      <c r="L63" s="24">
        <v>40969</v>
      </c>
      <c r="M63" s="26">
        <v>0.8998965016430206</v>
      </c>
      <c r="N63" s="26">
        <f ca="1">VLOOKUP(CurrentMtgRatesDataTable8256[[#This Row],[asOfDate]]+1,Bloomberg!B:C,2,0)</f>
        <v>4277.6000000000004</v>
      </c>
      <c r="P63" s="24">
        <v>40969</v>
      </c>
      <c r="Q63" s="26">
        <v>0.6768042748029276</v>
      </c>
      <c r="S63" s="24">
        <v>40969</v>
      </c>
      <c r="T63" s="27">
        <v>0.68578772853860537</v>
      </c>
      <c r="V63" s="56">
        <v>40969</v>
      </c>
      <c r="W63" s="57">
        <v>0.56168586846910651</v>
      </c>
      <c r="Y63" s="1">
        <v>40969</v>
      </c>
      <c r="Z63">
        <v>0.57803081125714095</v>
      </c>
      <c r="AB63" s="1">
        <v>40969</v>
      </c>
      <c r="AC63">
        <v>0.71197045097818001</v>
      </c>
    </row>
    <row r="64" spans="2:29">
      <c r="B64" s="24">
        <v>40976</v>
      </c>
      <c r="C64" s="86">
        <v>0.93565091374934095</v>
      </c>
      <c r="D64" s="86">
        <v>0.93750824643060326</v>
      </c>
      <c r="E64" s="26">
        <f ca="1">VLOOKUP(CurrentMtgRatesDataTable825[[#This Row],[asOfDate]]+1,Bloomberg!B:C,2,0)</f>
        <v>4063.4</v>
      </c>
      <c r="F64" s="27">
        <f>VLOOKUP(CurrentMtgRatesDataTable825[[#This Row],[asOfDate]],CurrentMtgRatesDataTable8256[#All],2,0)</f>
        <v>0.89998685767725373</v>
      </c>
      <c r="G64" s="27">
        <f>VLOOKUP(CurrentMtgRatesDataTable825[[#This Row],[asOfDate]],CurrentMtgRatesDataTable82562[],2,0)</f>
        <v>0.67687616474817947</v>
      </c>
      <c r="H64" s="27">
        <f>VLOOKUP(CurrentMtgRatesDataTable825[[#This Row],[asOfDate]],S:T,2,0)</f>
        <v>0.68585905113025258</v>
      </c>
      <c r="I64" s="84">
        <f>VLOOKUP(CurrentMtgRatesDataTable825[[#This Row],[asOfDate]],CurrentMtgRatesDataTable825623[#All],2,0)</f>
        <v>0.57507010563023941</v>
      </c>
      <c r="J64" s="84">
        <f>VLOOKUP(CurrentMtgRatesDataTable825[[#This Row],[asOfDate]],AB:AC,2,0)</f>
        <v>0.72185562668080905</v>
      </c>
      <c r="L64" s="24">
        <v>40976</v>
      </c>
      <c r="M64" s="26">
        <v>0.89998685767725373</v>
      </c>
      <c r="N64" s="26">
        <f ca="1">VLOOKUP(CurrentMtgRatesDataTable8256[[#This Row],[asOfDate]]+1,Bloomberg!B:C,2,0)</f>
        <v>4063.4</v>
      </c>
      <c r="P64" s="24">
        <v>40976</v>
      </c>
      <c r="Q64" s="26">
        <v>0.67687616474817947</v>
      </c>
      <c r="S64" s="24">
        <v>40976</v>
      </c>
      <c r="T64" s="27">
        <v>0.68585905113025258</v>
      </c>
      <c r="V64" s="56">
        <v>40976</v>
      </c>
      <c r="W64" s="57">
        <v>0.57507010563023941</v>
      </c>
      <c r="Y64" s="1">
        <v>40976</v>
      </c>
      <c r="Z64">
        <v>0.59143229740486702</v>
      </c>
      <c r="AB64" s="1">
        <v>40976</v>
      </c>
      <c r="AC64">
        <v>0.72185562668080905</v>
      </c>
    </row>
    <row r="65" spans="2:29">
      <c r="B65" s="24">
        <v>40983</v>
      </c>
      <c r="C65" s="86">
        <v>0.9253574941172088</v>
      </c>
      <c r="D65" s="86">
        <v>0.93750824643060326</v>
      </c>
      <c r="E65" s="26">
        <f ca="1">VLOOKUP(CurrentMtgRatesDataTable825[[#This Row],[asOfDate]]+1,Bloomberg!B:C,2,0)</f>
        <v>3715.2</v>
      </c>
      <c r="F65" s="27">
        <f>VLOOKUP(CurrentMtgRatesDataTable825[[#This Row],[asOfDate]],CurrentMtgRatesDataTable8256[#All],2,0)</f>
        <v>0.89987035776157298</v>
      </c>
      <c r="G65" s="27">
        <f>VLOOKUP(CurrentMtgRatesDataTable825[[#This Row],[asOfDate]],CurrentMtgRatesDataTable82562[],2,0)</f>
        <v>0.67666690882866454</v>
      </c>
      <c r="H65" s="27">
        <f>VLOOKUP(CurrentMtgRatesDataTable825[[#This Row],[asOfDate]],S:T,2,0)</f>
        <v>0.68564931358979331</v>
      </c>
      <c r="I65" s="84">
        <f>VLOOKUP(CurrentMtgRatesDataTable825[[#This Row],[asOfDate]],CurrentMtgRatesDataTable825623[#All],2,0)</f>
        <v>0.56062904678556613</v>
      </c>
      <c r="J65" s="84">
        <f>VLOOKUP(CurrentMtgRatesDataTable825[[#This Row],[asOfDate]],AB:AC,2,0)</f>
        <v>0.71184965643423004</v>
      </c>
      <c r="L65" s="24">
        <v>40983</v>
      </c>
      <c r="M65" s="26">
        <v>0.89987035776157298</v>
      </c>
      <c r="N65" s="26">
        <f ca="1">VLOOKUP(CurrentMtgRatesDataTable8256[[#This Row],[asOfDate]]+1,Bloomberg!B:C,2,0)</f>
        <v>3715.2</v>
      </c>
      <c r="P65" s="24">
        <v>40983</v>
      </c>
      <c r="Q65" s="26">
        <v>0.67666690882866454</v>
      </c>
      <c r="S65" s="24">
        <v>40983</v>
      </c>
      <c r="T65" s="27">
        <v>0.68564931358979331</v>
      </c>
      <c r="V65" s="56">
        <v>40983</v>
      </c>
      <c r="W65" s="57">
        <v>0.56062904678556613</v>
      </c>
      <c r="Y65" s="1">
        <v>40983</v>
      </c>
      <c r="Z65">
        <v>0.57713624097697003</v>
      </c>
      <c r="AB65" s="1">
        <v>40983</v>
      </c>
      <c r="AC65">
        <v>0.71184965643423004</v>
      </c>
    </row>
    <row r="66" spans="2:29">
      <c r="B66" s="24">
        <v>40990</v>
      </c>
      <c r="C66" s="86">
        <v>0.84016392200752299</v>
      </c>
      <c r="D66" s="86">
        <v>0.85649622640124801</v>
      </c>
      <c r="E66" s="26">
        <f ca="1">VLOOKUP(CurrentMtgRatesDataTable825[[#This Row],[asOfDate]]+1,Bloomberg!B:C,2,0)</f>
        <v>3588.4</v>
      </c>
      <c r="F66" s="27">
        <f>VLOOKUP(CurrentMtgRatesDataTable825[[#This Row],[asOfDate]],CurrentMtgRatesDataTable8256[#All],2,0)</f>
        <v>0.79963025534966692</v>
      </c>
      <c r="G66" s="27">
        <f>VLOOKUP(CurrentMtgRatesDataTable825[[#This Row],[asOfDate]],CurrentMtgRatesDataTable82562[],2,0)</f>
        <v>0.59032138856351324</v>
      </c>
      <c r="H66" s="27">
        <f>VLOOKUP(CurrentMtgRatesDataTable825[[#This Row],[asOfDate]],S:T,2,0)</f>
        <v>0.59885812506806924</v>
      </c>
      <c r="I66" s="84">
        <f>VLOOKUP(CurrentMtgRatesDataTable825[[#This Row],[asOfDate]],CurrentMtgRatesDataTable825623[#All],2,0)</f>
        <v>0.4708307878948611</v>
      </c>
      <c r="J66" s="84">
        <f>VLOOKUP(CurrentMtgRatesDataTable825[[#This Row],[asOfDate]],AB:AC,2,0)</f>
        <v>0.63003810447880604</v>
      </c>
      <c r="L66" s="24">
        <v>40990</v>
      </c>
      <c r="M66" s="26">
        <v>0.79963025534966692</v>
      </c>
      <c r="N66" s="26">
        <f ca="1">VLOOKUP(CurrentMtgRatesDataTable8256[[#This Row],[asOfDate]]+1,Bloomberg!B:C,2,0)</f>
        <v>3588.4</v>
      </c>
      <c r="P66" s="24">
        <v>40990</v>
      </c>
      <c r="Q66" s="26">
        <v>0.59032138856351324</v>
      </c>
      <c r="S66" s="24">
        <v>40990</v>
      </c>
      <c r="T66" s="27">
        <v>0.59885812506806924</v>
      </c>
      <c r="V66" s="56">
        <v>40990</v>
      </c>
      <c r="W66" s="57">
        <v>0.4708307878948611</v>
      </c>
      <c r="Y66" s="1">
        <v>40990</v>
      </c>
      <c r="Z66">
        <v>0.49049181145255799</v>
      </c>
      <c r="AB66" s="1">
        <v>40990</v>
      </c>
      <c r="AC66">
        <v>0.63003810447880604</v>
      </c>
    </row>
    <row r="67" spans="2:29">
      <c r="B67" s="24">
        <v>40997</v>
      </c>
      <c r="C67" s="86">
        <v>0.89961658130696354</v>
      </c>
      <c r="D67" s="86">
        <v>0.9222483748108059</v>
      </c>
      <c r="E67" s="26">
        <f ca="1">VLOOKUP(CurrentMtgRatesDataTable825[[#This Row],[asOfDate]]+1,Bloomberg!B:C,2,0)</f>
        <v>3699.5</v>
      </c>
      <c r="F67" s="27">
        <f>VLOOKUP(CurrentMtgRatesDataTable825[[#This Row],[asOfDate]],CurrentMtgRatesDataTable8256[#All],2,0)</f>
        <v>0.84935496597160542</v>
      </c>
      <c r="G67" s="27">
        <f>VLOOKUP(CurrentMtgRatesDataTable825[[#This Row],[asOfDate]],CurrentMtgRatesDataTable82562[],2,0)</f>
        <v>0.64352631185007236</v>
      </c>
      <c r="H67" s="27">
        <f>VLOOKUP(CurrentMtgRatesDataTable825[[#This Row],[asOfDate]],S:T,2,0)</f>
        <v>0.65228379705075934</v>
      </c>
      <c r="I67" s="84">
        <f>VLOOKUP(CurrentMtgRatesDataTable825[[#This Row],[asOfDate]],CurrentMtgRatesDataTable825623[#All],2,0)</f>
        <v>0.53275480546964971</v>
      </c>
      <c r="J67" s="84">
        <f>VLOOKUP(CurrentMtgRatesDataTable825[[#This Row],[asOfDate]],AB:AC,2,0)</f>
        <v>0.68476549375243201</v>
      </c>
      <c r="L67" s="24">
        <v>40997</v>
      </c>
      <c r="M67" s="26">
        <v>0.84935496597160542</v>
      </c>
      <c r="N67" s="26">
        <f ca="1">VLOOKUP(CurrentMtgRatesDataTable8256[[#This Row],[asOfDate]]+1,Bloomberg!B:C,2,0)</f>
        <v>3699.5</v>
      </c>
      <c r="P67" s="24">
        <v>40997</v>
      </c>
      <c r="Q67" s="26">
        <v>0.64352631185007236</v>
      </c>
      <c r="S67" s="24">
        <v>40997</v>
      </c>
      <c r="T67" s="27">
        <v>0.65228379705075934</v>
      </c>
      <c r="V67" s="56">
        <v>40997</v>
      </c>
      <c r="W67" s="57">
        <v>0.53275480546964971</v>
      </c>
      <c r="Y67" s="1">
        <v>40997</v>
      </c>
      <c r="Z67">
        <v>0.54981654187899498</v>
      </c>
      <c r="AB67" s="1">
        <v>40997</v>
      </c>
      <c r="AC67">
        <v>0.68476549375243201</v>
      </c>
    </row>
    <row r="68" spans="2:29">
      <c r="B68" s="24">
        <v>41004</v>
      </c>
      <c r="C68" s="86">
        <v>0.89066045096691271</v>
      </c>
      <c r="D68" s="86">
        <v>0.90828471917970754</v>
      </c>
      <c r="E68" s="26">
        <f ca="1">VLOOKUP(CurrentMtgRatesDataTable825[[#This Row],[asOfDate]]+1,Bloomberg!B:C,2,0)</f>
        <v>3549.3</v>
      </c>
      <c r="F68" s="27">
        <f>VLOOKUP(CurrentMtgRatesDataTable825[[#This Row],[asOfDate]],CurrentMtgRatesDataTable8256[#All],2,0)</f>
        <v>0.83420792590434467</v>
      </c>
      <c r="G68" s="27">
        <f>VLOOKUP(CurrentMtgRatesDataTable825[[#This Row],[asOfDate]],CurrentMtgRatesDataTable82562[],2,0)</f>
        <v>0.64723923967041441</v>
      </c>
      <c r="H68" s="27">
        <f>VLOOKUP(CurrentMtgRatesDataTable825[[#This Row],[asOfDate]],S:T,2,0)</f>
        <v>0.65610516867504221</v>
      </c>
      <c r="I68" s="84">
        <f>VLOOKUP(CurrentMtgRatesDataTable825[[#This Row],[asOfDate]],CurrentMtgRatesDataTable825623[#All],2,0)</f>
        <v>0.55204144089130647</v>
      </c>
      <c r="J68" s="84">
        <f>VLOOKUP(CurrentMtgRatesDataTable825[[#This Row],[asOfDate]],AB:AC,2,0)</f>
        <v>0.68702063249841105</v>
      </c>
      <c r="L68" s="24">
        <v>41004</v>
      </c>
      <c r="M68" s="26">
        <v>0.83420792590434467</v>
      </c>
      <c r="N68" s="26">
        <f ca="1">VLOOKUP(CurrentMtgRatesDataTable8256[[#This Row],[asOfDate]]+1,Bloomberg!B:C,2,0)</f>
        <v>3549.3</v>
      </c>
      <c r="P68" s="24">
        <v>41004</v>
      </c>
      <c r="Q68" s="26">
        <v>0.64723923967041441</v>
      </c>
      <c r="S68" s="24">
        <v>41004</v>
      </c>
      <c r="T68" s="27">
        <v>0.65610516867504221</v>
      </c>
      <c r="V68" s="56">
        <v>41004</v>
      </c>
      <c r="W68" s="57">
        <v>0.55204144089130647</v>
      </c>
      <c r="Y68" s="1">
        <v>41004</v>
      </c>
      <c r="Z68">
        <v>0.56842744331591599</v>
      </c>
      <c r="AB68" s="1">
        <v>41004</v>
      </c>
      <c r="AC68">
        <v>0.68702063249841105</v>
      </c>
    </row>
    <row r="69" spans="2:29">
      <c r="B69" s="24">
        <v>41011</v>
      </c>
      <c r="C69" s="86">
        <v>0.92489295272966243</v>
      </c>
      <c r="D69" s="86">
        <v>0.92351784260636405</v>
      </c>
      <c r="E69" s="26">
        <f ca="1">VLOOKUP(CurrentMtgRatesDataTable825[[#This Row],[asOfDate]]+1,Bloomberg!B:C,2,0)</f>
        <v>4144.3</v>
      </c>
      <c r="F69" s="27">
        <f>VLOOKUP(CurrentMtgRatesDataTable825[[#This Row],[asOfDate]],CurrentMtgRatesDataTable8256[#All],2,0)</f>
        <v>0.88546928546811865</v>
      </c>
      <c r="G69" s="27">
        <f>VLOOKUP(CurrentMtgRatesDataTable825[[#This Row],[asOfDate]],CurrentMtgRatesDataTable82562[],2,0)</f>
        <v>0.70114627754493941</v>
      </c>
      <c r="H69" s="27">
        <f>VLOOKUP(CurrentMtgRatesDataTable825[[#This Row],[asOfDate]],S:T,2,0)</f>
        <v>0.70976914085945686</v>
      </c>
      <c r="I69" s="84">
        <f>VLOOKUP(CurrentMtgRatesDataTable825[[#This Row],[asOfDate]],CurrentMtgRatesDataTable825623[#All],2,0)</f>
        <v>0.61520517788323992</v>
      </c>
      <c r="J69" s="84">
        <f>VLOOKUP(CurrentMtgRatesDataTable825[[#This Row],[asOfDate]],AB:AC,2,0)</f>
        <v>0.74360097428026795</v>
      </c>
      <c r="L69" s="24">
        <v>41011</v>
      </c>
      <c r="M69" s="26">
        <v>0.88546928546811865</v>
      </c>
      <c r="N69" s="26">
        <f ca="1">VLOOKUP(CurrentMtgRatesDataTable8256[[#This Row],[asOfDate]]+1,Bloomberg!B:C,2,0)</f>
        <v>4144.3</v>
      </c>
      <c r="P69" s="24">
        <v>41011</v>
      </c>
      <c r="Q69" s="26">
        <v>0.70114627754493941</v>
      </c>
      <c r="S69" s="24">
        <v>41011</v>
      </c>
      <c r="T69" s="27">
        <v>0.70976914085945686</v>
      </c>
      <c r="V69" s="56">
        <v>41011</v>
      </c>
      <c r="W69" s="57">
        <v>0.61520517788323992</v>
      </c>
      <c r="Y69" s="1">
        <v>41011</v>
      </c>
      <c r="Z69">
        <v>0.63040932783689696</v>
      </c>
      <c r="AB69" s="1">
        <v>41011</v>
      </c>
      <c r="AC69">
        <v>0.74360097428026795</v>
      </c>
    </row>
    <row r="70" spans="2:29">
      <c r="B70" s="24">
        <v>41018</v>
      </c>
      <c r="C70" s="86">
        <v>0.91943111271663436</v>
      </c>
      <c r="D70" s="86">
        <v>0.92351784260636405</v>
      </c>
      <c r="E70" s="26">
        <f ca="1">VLOOKUP(CurrentMtgRatesDataTable825[[#This Row],[asOfDate]]+1,Bloomberg!B:C,2,0)</f>
        <v>3892.2</v>
      </c>
      <c r="F70" s="27">
        <f>VLOOKUP(CurrentMtgRatesDataTable825[[#This Row],[asOfDate]],CurrentMtgRatesDataTable8256[#All],2,0)</f>
        <v>0.88532092394225137</v>
      </c>
      <c r="G70" s="27">
        <f>VLOOKUP(CurrentMtgRatesDataTable825[[#This Row],[asOfDate]],CurrentMtgRatesDataTable82562[],2,0)</f>
        <v>0.68067991850220211</v>
      </c>
      <c r="H70" s="27">
        <f>VLOOKUP(CurrentMtgRatesDataTable825[[#This Row],[asOfDate]],S:T,2,0)</f>
        <v>0.68977407029497229</v>
      </c>
      <c r="I70" s="84">
        <f>VLOOKUP(CurrentMtgRatesDataTable825[[#This Row],[asOfDate]],CurrentMtgRatesDataTable825623[#All],2,0)</f>
        <v>0.57950169097067328</v>
      </c>
      <c r="J70" s="84">
        <f>VLOOKUP(CurrentMtgRatesDataTable825[[#This Row],[asOfDate]],AB:AC,2,0)</f>
        <v>0.71319163212853798</v>
      </c>
      <c r="L70" s="24">
        <v>41018</v>
      </c>
      <c r="M70" s="26">
        <v>0.88532092394225137</v>
      </c>
      <c r="N70" s="26">
        <f ca="1">VLOOKUP(CurrentMtgRatesDataTable8256[[#This Row],[asOfDate]]+1,Bloomberg!B:C,2,0)</f>
        <v>3892.2</v>
      </c>
      <c r="P70" s="24">
        <v>41018</v>
      </c>
      <c r="Q70" s="26">
        <v>0.68067991850220211</v>
      </c>
      <c r="S70" s="24">
        <v>41018</v>
      </c>
      <c r="T70" s="27">
        <v>0.68977407029497229</v>
      </c>
      <c r="V70" s="56">
        <v>41018</v>
      </c>
      <c r="W70" s="57">
        <v>0.57950169097067328</v>
      </c>
      <c r="Y70" s="1">
        <v>41018</v>
      </c>
      <c r="Z70">
        <v>0.59508953698551004</v>
      </c>
      <c r="AB70" s="1">
        <v>41018</v>
      </c>
      <c r="AC70">
        <v>0.71319163212853798</v>
      </c>
    </row>
    <row r="71" spans="2:29">
      <c r="B71" s="24">
        <v>41025</v>
      </c>
      <c r="C71" s="86">
        <v>0.92489295272966243</v>
      </c>
      <c r="D71" s="86">
        <v>0.92351784260636405</v>
      </c>
      <c r="E71" s="26">
        <f ca="1">VLOOKUP(CurrentMtgRatesDataTable825[[#This Row],[asOfDate]]+1,Bloomberg!B:C,2,0)</f>
        <v>3856</v>
      </c>
      <c r="F71" s="27">
        <f>VLOOKUP(CurrentMtgRatesDataTable825[[#This Row],[asOfDate]],CurrentMtgRatesDataTable8256[#All],2,0)</f>
        <v>0.88546928546811865</v>
      </c>
      <c r="G71" s="27">
        <f>VLOOKUP(CurrentMtgRatesDataTable825[[#This Row],[asOfDate]],CurrentMtgRatesDataTable82562[],2,0)</f>
        <v>0.70114627754493941</v>
      </c>
      <c r="H71" s="27">
        <f>VLOOKUP(CurrentMtgRatesDataTable825[[#This Row],[asOfDate]],S:T,2,0)</f>
        <v>0.70976914085945686</v>
      </c>
      <c r="I71" s="84">
        <f>VLOOKUP(CurrentMtgRatesDataTable825[[#This Row],[asOfDate]],CurrentMtgRatesDataTable825623[#All],2,0)</f>
        <v>0.61520517788323992</v>
      </c>
      <c r="J71" s="84">
        <f>VLOOKUP(CurrentMtgRatesDataTable825[[#This Row],[asOfDate]],AB:AC,2,0)</f>
        <v>0.74360097428026795</v>
      </c>
      <c r="L71" s="24">
        <v>41025</v>
      </c>
      <c r="M71" s="26">
        <v>0.88546928546811865</v>
      </c>
      <c r="N71" s="26">
        <f ca="1">VLOOKUP(CurrentMtgRatesDataTable8256[[#This Row],[asOfDate]]+1,Bloomberg!B:C,2,0)</f>
        <v>3856</v>
      </c>
      <c r="P71" s="24">
        <v>41025</v>
      </c>
      <c r="Q71" s="26">
        <v>0.70114627754493941</v>
      </c>
      <c r="S71" s="24">
        <v>41025</v>
      </c>
      <c r="T71" s="27">
        <v>0.70976914085945686</v>
      </c>
      <c r="V71" s="56">
        <v>41025</v>
      </c>
      <c r="W71" s="57">
        <v>0.61520517788323992</v>
      </c>
      <c r="Y71" s="1">
        <v>41025</v>
      </c>
      <c r="Z71">
        <v>0.63040932783689696</v>
      </c>
      <c r="AB71" s="1">
        <v>41025</v>
      </c>
      <c r="AC71">
        <v>0.74360097428026795</v>
      </c>
    </row>
    <row r="72" spans="2:29">
      <c r="B72" s="24">
        <v>41032</v>
      </c>
      <c r="C72" s="86">
        <v>0.9184275299690029</v>
      </c>
      <c r="D72" s="86">
        <v>0.91186023239566938</v>
      </c>
      <c r="E72" s="26">
        <f ca="1">VLOOKUP(CurrentMtgRatesDataTable825[[#This Row],[asOfDate]]+1,Bloomberg!B:C,2,0)</f>
        <v>3924.4</v>
      </c>
      <c r="F72" s="27">
        <f>VLOOKUP(CurrentMtgRatesDataTable825[[#This Row],[asOfDate]],CurrentMtgRatesDataTable8256[#All],2,0)</f>
        <v>0.875279554781354</v>
      </c>
      <c r="G72" s="27">
        <f>VLOOKUP(CurrentMtgRatesDataTable825[[#This Row],[asOfDate]],CurrentMtgRatesDataTable82562[],2,0)</f>
        <v>0.70888791690843067</v>
      </c>
      <c r="H72" s="27">
        <f>VLOOKUP(CurrentMtgRatesDataTable825[[#This Row],[asOfDate]],S:T,2,0)</f>
        <v>0.71778894613505184</v>
      </c>
      <c r="I72" s="84">
        <f>VLOOKUP(CurrentMtgRatesDataTable825[[#This Row],[asOfDate]],CurrentMtgRatesDataTable825623[#All],2,0)</f>
        <v>0.6317239856588488</v>
      </c>
      <c r="J72" s="84">
        <f>VLOOKUP(CurrentMtgRatesDataTable825[[#This Row],[asOfDate]],AB:AC,2,0)</f>
        <v>0.74458940201611601</v>
      </c>
      <c r="L72" s="24">
        <v>41032</v>
      </c>
      <c r="M72" s="26">
        <v>0.875279554781354</v>
      </c>
      <c r="N72" s="26">
        <f ca="1">VLOOKUP(CurrentMtgRatesDataTable8256[[#This Row],[asOfDate]]+1,Bloomberg!B:C,2,0)</f>
        <v>3924.4</v>
      </c>
      <c r="P72" s="24">
        <v>41032</v>
      </c>
      <c r="Q72" s="26">
        <v>0.70888791690843067</v>
      </c>
      <c r="S72" s="24">
        <v>41032</v>
      </c>
      <c r="T72" s="27">
        <v>0.71778894613505184</v>
      </c>
      <c r="V72" s="56">
        <v>41032</v>
      </c>
      <c r="W72" s="57">
        <v>0.6317239856588488</v>
      </c>
      <c r="Y72" s="1">
        <v>41032</v>
      </c>
      <c r="Z72">
        <v>0.64559823748966705</v>
      </c>
      <c r="AB72" s="1">
        <v>41032</v>
      </c>
      <c r="AC72">
        <v>0.74458940201611601</v>
      </c>
    </row>
    <row r="73" spans="2:29">
      <c r="B73" s="24">
        <v>41039</v>
      </c>
      <c r="C73" s="86">
        <v>0.92108968175982231</v>
      </c>
      <c r="D73" s="86">
        <v>0.92221063543667836</v>
      </c>
      <c r="E73" s="26">
        <f ca="1">VLOOKUP(CurrentMtgRatesDataTable825[[#This Row],[asOfDate]]+1,Bloomberg!B:C,2,0)</f>
        <v>4482</v>
      </c>
      <c r="F73" s="27">
        <f>VLOOKUP(CurrentMtgRatesDataTable825[[#This Row],[asOfDate]],CurrentMtgRatesDataTable8256[#All],2,0)</f>
        <v>0.87534475648983412</v>
      </c>
      <c r="G73" s="27">
        <f>VLOOKUP(CurrentMtgRatesDataTable825[[#This Row],[asOfDate]],CurrentMtgRatesDataTable82562[],2,0)</f>
        <v>0.70900581341869928</v>
      </c>
      <c r="H73" s="27">
        <f>VLOOKUP(CurrentMtgRatesDataTable825[[#This Row],[asOfDate]],S:T,2,0)</f>
        <v>0.71790603687606236</v>
      </c>
      <c r="I73" s="84">
        <f>VLOOKUP(CurrentMtgRatesDataTable825[[#This Row],[asOfDate]],CurrentMtgRatesDataTable825623[#All],2,0)</f>
        <v>0.63749716402095913</v>
      </c>
      <c r="J73" s="84">
        <f>VLOOKUP(CurrentMtgRatesDataTable825[[#This Row],[asOfDate]],AB:AC,2,0)</f>
        <v>0.74880992852224404</v>
      </c>
      <c r="L73" s="24">
        <v>41039</v>
      </c>
      <c r="M73" s="26">
        <v>0.87534475648983412</v>
      </c>
      <c r="N73" s="26">
        <f ca="1">VLOOKUP(CurrentMtgRatesDataTable8256[[#This Row],[asOfDate]]+1,Bloomberg!B:C,2,0)</f>
        <v>4482</v>
      </c>
      <c r="P73" s="24">
        <v>41039</v>
      </c>
      <c r="Q73" s="26">
        <v>0.70900581341869928</v>
      </c>
      <c r="S73" s="24">
        <v>41039</v>
      </c>
      <c r="T73" s="27">
        <v>0.71790603687606236</v>
      </c>
      <c r="V73" s="56">
        <v>41039</v>
      </c>
      <c r="W73" s="57">
        <v>0.63749716402095913</v>
      </c>
      <c r="Y73" s="1">
        <v>41039</v>
      </c>
      <c r="Z73">
        <v>0.65138430961623695</v>
      </c>
      <c r="AB73" s="1">
        <v>41039</v>
      </c>
      <c r="AC73">
        <v>0.74880992852224404</v>
      </c>
    </row>
    <row r="74" spans="2:29">
      <c r="B74" s="24">
        <v>41046</v>
      </c>
      <c r="C74" s="86">
        <v>0.9251386776980256</v>
      </c>
      <c r="D74" s="86">
        <v>0.93643383645815115</v>
      </c>
      <c r="E74" s="26">
        <f ca="1">VLOOKUP(CurrentMtgRatesDataTable825[[#This Row],[asOfDate]]+1,Bloomberg!B:C,2,0)</f>
        <v>4732</v>
      </c>
      <c r="F74" s="27">
        <f>VLOOKUP(CurrentMtgRatesDataTable825[[#This Row],[asOfDate]],CurrentMtgRatesDataTable8256[#All],2,0)</f>
        <v>0.91993589788714725</v>
      </c>
      <c r="G74" s="27">
        <f>VLOOKUP(CurrentMtgRatesDataTable825[[#This Row],[asOfDate]],CurrentMtgRatesDataTable82562[],2,0)</f>
        <v>0.74206222053219018</v>
      </c>
      <c r="H74" s="27">
        <f>VLOOKUP(CurrentMtgRatesDataTable825[[#This Row],[asOfDate]],S:T,2,0)</f>
        <v>0.7511226293764568</v>
      </c>
      <c r="I74" s="84">
        <f>VLOOKUP(CurrentMtgRatesDataTable825[[#This Row],[asOfDate]],CurrentMtgRatesDataTable825623[#All],2,0)</f>
        <v>0.6654941916397813</v>
      </c>
      <c r="J74" s="84">
        <f>VLOOKUP(CurrentMtgRatesDataTable825[[#This Row],[asOfDate]],AB:AC,2,0)</f>
        <v>0.77533293010841997</v>
      </c>
      <c r="L74" s="24">
        <v>41046</v>
      </c>
      <c r="M74" s="26">
        <v>0.91993589788714725</v>
      </c>
      <c r="N74" s="26">
        <f ca="1">VLOOKUP(CurrentMtgRatesDataTable8256[[#This Row],[asOfDate]]+1,Bloomberg!B:C,2,0)</f>
        <v>4732</v>
      </c>
      <c r="P74" s="24">
        <v>41046</v>
      </c>
      <c r="Q74" s="26">
        <v>0.74206222053219018</v>
      </c>
      <c r="S74" s="24">
        <v>41046</v>
      </c>
      <c r="T74" s="27">
        <v>0.7511226293764568</v>
      </c>
      <c r="V74" s="56">
        <v>41046</v>
      </c>
      <c r="W74" s="57">
        <v>0.6654941916397813</v>
      </c>
      <c r="Y74" s="1">
        <v>41046</v>
      </c>
      <c r="Z74">
        <v>0.67896847917221803</v>
      </c>
      <c r="AB74" s="1">
        <v>41046</v>
      </c>
      <c r="AC74">
        <v>0.77533293010841997</v>
      </c>
    </row>
    <row r="75" spans="2:29">
      <c r="B75" s="24">
        <v>41053</v>
      </c>
      <c r="C75" s="86">
        <v>0.92490784089213363</v>
      </c>
      <c r="D75" s="86">
        <v>0.93643383645815115</v>
      </c>
      <c r="E75" s="26">
        <f ca="1">VLOOKUP(CurrentMtgRatesDataTable825[[#This Row],[asOfDate]]+1,Bloomberg!B:C,2,0)</f>
        <v>4675.8999999999996</v>
      </c>
      <c r="F75" s="27">
        <f>VLOOKUP(CurrentMtgRatesDataTable825[[#This Row],[asOfDate]],CurrentMtgRatesDataTable8256[#All],2,0)</f>
        <v>0.91989879371783623</v>
      </c>
      <c r="G75" s="27">
        <f>VLOOKUP(CurrentMtgRatesDataTable825[[#This Row],[asOfDate]],CurrentMtgRatesDataTable82562[],2,0)</f>
        <v>0.74198992424051435</v>
      </c>
      <c r="H75" s="27">
        <f>VLOOKUP(CurrentMtgRatesDataTable825[[#This Row],[asOfDate]],S:T,2,0)</f>
        <v>0.75105035429874611</v>
      </c>
      <c r="I75" s="84">
        <f>VLOOKUP(CurrentMtgRatesDataTable825[[#This Row],[asOfDate]],CurrentMtgRatesDataTable825623[#All],2,0)</f>
        <v>0.66148107330138128</v>
      </c>
      <c r="J75" s="84">
        <f>VLOOKUP(CurrentMtgRatesDataTable825[[#This Row],[asOfDate]],AB:AC,2,0)</f>
        <v>0.77252849495486897</v>
      </c>
      <c r="L75" s="24">
        <v>41053</v>
      </c>
      <c r="M75" s="26">
        <v>0.91989879371783623</v>
      </c>
      <c r="N75" s="26">
        <f ca="1">VLOOKUP(CurrentMtgRatesDataTable8256[[#This Row],[asOfDate]]+1,Bloomberg!B:C,2,0)</f>
        <v>4675.8999999999996</v>
      </c>
      <c r="P75" s="24">
        <v>41053</v>
      </c>
      <c r="Q75" s="26">
        <v>0.74198992424051435</v>
      </c>
      <c r="S75" s="24">
        <v>41053</v>
      </c>
      <c r="T75" s="27">
        <v>0.75105035429874611</v>
      </c>
      <c r="V75" s="56">
        <v>41053</v>
      </c>
      <c r="W75" s="57">
        <v>0.66148107330138128</v>
      </c>
      <c r="Y75" s="1">
        <v>41053</v>
      </c>
      <c r="Z75">
        <v>0.67504222682150905</v>
      </c>
      <c r="AB75" s="1">
        <v>41053</v>
      </c>
      <c r="AC75">
        <v>0.77252849495486897</v>
      </c>
    </row>
    <row r="76" spans="2:29">
      <c r="B76" s="24">
        <v>41060</v>
      </c>
      <c r="C76" s="86">
        <v>0.92737244747575076</v>
      </c>
      <c r="D76" s="86">
        <v>0.93643383645815115</v>
      </c>
      <c r="E76" s="26">
        <f ca="1">VLOOKUP(CurrentMtgRatesDataTable825[[#This Row],[asOfDate]]+1,Bloomberg!B:C,2,0)</f>
        <v>4736</v>
      </c>
      <c r="F76" s="27">
        <f>VLOOKUP(CurrentMtgRatesDataTable825[[#This Row],[asOfDate]],CurrentMtgRatesDataTable8256[#All],2,0)</f>
        <v>0.92005776451854027</v>
      </c>
      <c r="G76" s="27">
        <f>VLOOKUP(CurrentMtgRatesDataTable825[[#This Row],[asOfDate]],CurrentMtgRatesDataTable82562[],2,0)</f>
        <v>0.74214259096899848</v>
      </c>
      <c r="H76" s="27">
        <f>VLOOKUP(CurrentMtgRatesDataTable825[[#This Row],[asOfDate]],S:T,2,0)</f>
        <v>0.7512041517176814</v>
      </c>
      <c r="I76" s="84">
        <f>VLOOKUP(CurrentMtgRatesDataTable825[[#This Row],[asOfDate]],CurrentMtgRatesDataTable825623[#All],2,0)</f>
        <v>0.66816368917970947</v>
      </c>
      <c r="J76" s="84">
        <f>VLOOKUP(CurrentMtgRatesDataTable825[[#This Row],[asOfDate]],AB:AC,2,0)</f>
        <v>0.77719223327132003</v>
      </c>
      <c r="L76" s="24">
        <v>41060</v>
      </c>
      <c r="M76" s="26">
        <v>0.92005776451854027</v>
      </c>
      <c r="N76" s="26">
        <f ca="1">VLOOKUP(CurrentMtgRatesDataTable8256[[#This Row],[asOfDate]]+1,Bloomberg!B:C,2,0)</f>
        <v>4736</v>
      </c>
      <c r="P76" s="24">
        <v>41060</v>
      </c>
      <c r="Q76" s="26">
        <v>0.74214259096899848</v>
      </c>
      <c r="S76" s="24">
        <v>41060</v>
      </c>
      <c r="T76" s="27">
        <v>0.7512041517176814</v>
      </c>
      <c r="V76" s="56">
        <v>41060</v>
      </c>
      <c r="W76" s="57">
        <v>0.66816368917970947</v>
      </c>
      <c r="Y76" s="1">
        <v>41060</v>
      </c>
      <c r="Z76">
        <v>0.68184117694774304</v>
      </c>
      <c r="AB76" s="1">
        <v>41060</v>
      </c>
      <c r="AC76">
        <v>0.77719223327132003</v>
      </c>
    </row>
    <row r="77" spans="2:29">
      <c r="B77" s="24">
        <v>41067</v>
      </c>
      <c r="C77" s="86">
        <v>0.92420561533920875</v>
      </c>
      <c r="D77" s="86">
        <v>1</v>
      </c>
      <c r="E77" s="26">
        <f ca="1">VLOOKUP(CurrentMtgRatesDataTable825[[#This Row],[asOfDate]]+1,Bloomberg!B:C,2,0)</f>
        <v>5590</v>
      </c>
      <c r="F77" s="27">
        <f>VLOOKUP(CurrentMtgRatesDataTable825[[#This Row],[asOfDate]],CurrentMtgRatesDataTable8256[#All],2,0)</f>
        <v>0.92441254418745433</v>
      </c>
      <c r="G77" s="27">
        <f>VLOOKUP(CurrentMtgRatesDataTable825[[#This Row],[asOfDate]],CurrentMtgRatesDataTable82562[],2,0)</f>
        <v>0.78454877297076475</v>
      </c>
      <c r="H77" s="27">
        <f>VLOOKUP(CurrentMtgRatesDataTable825[[#This Row],[asOfDate]],S:T,2,0)</f>
        <v>0.79329641551681107</v>
      </c>
      <c r="I77" s="84">
        <f>VLOOKUP(CurrentMtgRatesDataTable825[[#This Row],[asOfDate]],CurrentMtgRatesDataTable825623[#All],2,0)</f>
        <v>0.72131165820460841</v>
      </c>
      <c r="J77" s="84">
        <f>VLOOKUP(CurrentMtgRatesDataTable825[[#This Row],[asOfDate]],AB:AC,2,0)</f>
        <v>0.81161668458948799</v>
      </c>
      <c r="L77" s="24">
        <v>41067</v>
      </c>
      <c r="M77" s="26">
        <v>0.92441254418745433</v>
      </c>
      <c r="N77" s="26">
        <f ca="1">VLOOKUP(CurrentMtgRatesDataTable8256[[#This Row],[asOfDate]]+1,Bloomberg!B:C,2,0)</f>
        <v>5590</v>
      </c>
      <c r="P77" s="24">
        <v>41067</v>
      </c>
      <c r="Q77" s="26">
        <v>0.78454877297076475</v>
      </c>
      <c r="S77" s="24">
        <v>41067</v>
      </c>
      <c r="T77" s="27">
        <v>0.79329641551681107</v>
      </c>
      <c r="V77" s="56">
        <v>41067</v>
      </c>
      <c r="W77" s="57">
        <v>0.72131165820460841</v>
      </c>
      <c r="Y77" s="1">
        <v>41067</v>
      </c>
      <c r="Z77">
        <v>0.73234191340249</v>
      </c>
      <c r="AB77" s="1">
        <v>41067</v>
      </c>
      <c r="AC77">
        <v>0.81161668458948799</v>
      </c>
    </row>
    <row r="78" spans="2:29">
      <c r="B78" s="24">
        <v>41074</v>
      </c>
      <c r="C78" s="86">
        <v>0.91572705192015491</v>
      </c>
      <c r="D78" s="86">
        <v>0.95972134168061829</v>
      </c>
      <c r="E78" s="26">
        <f ca="1">VLOOKUP(CurrentMtgRatesDataTable825[[#This Row],[asOfDate]]+1,Bloomberg!B:C,2,0)</f>
        <v>4719.6000000000004</v>
      </c>
      <c r="F78" s="27">
        <f>VLOOKUP(CurrentMtgRatesDataTable825[[#This Row],[asOfDate]],CurrentMtgRatesDataTable8256[#All],2,0)</f>
        <v>0.90289735225778367</v>
      </c>
      <c r="G78" s="27">
        <f>VLOOKUP(CurrentMtgRatesDataTable825[[#This Row],[asOfDate]],CurrentMtgRatesDataTable82562[],2,0)</f>
        <v>0.76165437928870827</v>
      </c>
      <c r="H78" s="27">
        <f>VLOOKUP(CurrentMtgRatesDataTable825[[#This Row],[asOfDate]],S:T,2,0)</f>
        <v>0.77022399573729294</v>
      </c>
      <c r="I78" s="84">
        <f>VLOOKUP(CurrentMtgRatesDataTable825[[#This Row],[asOfDate]],CurrentMtgRatesDataTable825623[#All],2,0)</f>
        <v>0.7016393157738251</v>
      </c>
      <c r="J78" s="84">
        <f>VLOOKUP(CurrentMtgRatesDataTable825[[#This Row],[asOfDate]],AB:AC,2,0)</f>
        <v>0.79320998802631504</v>
      </c>
      <c r="L78" s="24">
        <v>41074</v>
      </c>
      <c r="M78" s="26">
        <v>0.90289735225778367</v>
      </c>
      <c r="N78" s="26">
        <f ca="1">VLOOKUP(CurrentMtgRatesDataTable8256[[#This Row],[asOfDate]]+1,Bloomberg!B:C,2,0)</f>
        <v>4719.6000000000004</v>
      </c>
      <c r="P78" s="24">
        <v>41074</v>
      </c>
      <c r="Q78" s="26">
        <v>0.76165437928870827</v>
      </c>
      <c r="S78" s="24">
        <v>41074</v>
      </c>
      <c r="T78" s="27">
        <v>0.77022399573729294</v>
      </c>
      <c r="V78" s="56">
        <v>41074</v>
      </c>
      <c r="W78" s="57">
        <v>0.7016393157738251</v>
      </c>
      <c r="Y78" s="1">
        <v>41074</v>
      </c>
      <c r="Z78">
        <v>0.71310176203625297</v>
      </c>
      <c r="AB78" s="1">
        <v>41074</v>
      </c>
      <c r="AC78">
        <v>0.79320998802631504</v>
      </c>
    </row>
    <row r="79" spans="2:29">
      <c r="B79" s="24">
        <v>41081</v>
      </c>
      <c r="C79" s="86">
        <v>0.92561973142284837</v>
      </c>
      <c r="D79" s="86">
        <v>1</v>
      </c>
      <c r="E79" s="26">
        <f ca="1">VLOOKUP(CurrentMtgRatesDataTable825[[#This Row],[asOfDate]]+1,Bloomberg!B:C,2,0)</f>
        <v>4585.8</v>
      </c>
      <c r="F79" s="27">
        <f>VLOOKUP(CurrentMtgRatesDataTable825[[#This Row],[asOfDate]],CurrentMtgRatesDataTable8256[#All],2,0)</f>
        <v>0.9244242433615838</v>
      </c>
      <c r="G79" s="27">
        <f>VLOOKUP(CurrentMtgRatesDataTable825[[#This Row],[asOfDate]],CurrentMtgRatesDataTable82562[],2,0)</f>
        <v>0.78458904121756523</v>
      </c>
      <c r="H79" s="27">
        <f>VLOOKUP(CurrentMtgRatesDataTable825[[#This Row],[asOfDate]],S:T,2,0)</f>
        <v>0.79333577564121049</v>
      </c>
      <c r="I79" s="84">
        <f>VLOOKUP(CurrentMtgRatesDataTable825[[#This Row],[asOfDate]],CurrentMtgRatesDataTable825623[#All],2,0)</f>
        <v>0.72329670850827033</v>
      </c>
      <c r="J79" s="84">
        <f>VLOOKUP(CurrentMtgRatesDataTable825[[#This Row],[asOfDate]],AB:AC,2,0)</f>
        <v>0.81309219550150202</v>
      </c>
      <c r="L79" s="24">
        <v>41081</v>
      </c>
      <c r="M79" s="26">
        <v>0.9244242433615838</v>
      </c>
      <c r="N79" s="26">
        <f ca="1">VLOOKUP(CurrentMtgRatesDataTable8256[[#This Row],[asOfDate]]+1,Bloomberg!B:C,2,0)</f>
        <v>4585.8</v>
      </c>
      <c r="P79" s="24">
        <v>41081</v>
      </c>
      <c r="Q79" s="26">
        <v>0.78458904121756523</v>
      </c>
      <c r="S79" s="24">
        <v>41081</v>
      </c>
      <c r="T79" s="27">
        <v>0.79333577564121049</v>
      </c>
      <c r="V79" s="56">
        <v>41081</v>
      </c>
      <c r="W79" s="57">
        <v>0.72329670850827033</v>
      </c>
      <c r="Y79" s="1">
        <v>41081</v>
      </c>
      <c r="Z79">
        <v>0.73436759398613805</v>
      </c>
      <c r="AB79" s="1">
        <v>41081</v>
      </c>
      <c r="AC79">
        <v>0.81309219550150202</v>
      </c>
    </row>
    <row r="80" spans="2:29">
      <c r="B80" s="24">
        <v>41088</v>
      </c>
      <c r="C80" s="86">
        <v>0.92561973142284837</v>
      </c>
      <c r="D80" s="86">
        <v>1</v>
      </c>
      <c r="E80" s="26">
        <f ca="1">VLOOKUP(CurrentMtgRatesDataTable825[[#This Row],[asOfDate]]+1,Bloomberg!B:C,2,0)</f>
        <v>4372.2</v>
      </c>
      <c r="F80" s="27">
        <f>VLOOKUP(CurrentMtgRatesDataTable825[[#This Row],[asOfDate]],CurrentMtgRatesDataTable8256[#All],2,0)</f>
        <v>0.9244242433615838</v>
      </c>
      <c r="G80" s="27">
        <f>VLOOKUP(CurrentMtgRatesDataTable825[[#This Row],[asOfDate]],CurrentMtgRatesDataTable82562[],2,0)</f>
        <v>0.78458904121756523</v>
      </c>
      <c r="H80" s="27">
        <f>VLOOKUP(CurrentMtgRatesDataTable825[[#This Row],[asOfDate]],S:T,2,0)</f>
        <v>0.79333577564121049</v>
      </c>
      <c r="I80" s="84">
        <f>VLOOKUP(CurrentMtgRatesDataTable825[[#This Row],[asOfDate]],CurrentMtgRatesDataTable825623[#All],2,0)</f>
        <v>0.72329670850827033</v>
      </c>
      <c r="J80" s="84">
        <f>VLOOKUP(CurrentMtgRatesDataTable825[[#This Row],[asOfDate]],AB:AC,2,0)</f>
        <v>0.81309219550150202</v>
      </c>
      <c r="L80" s="24">
        <v>41088</v>
      </c>
      <c r="M80" s="26">
        <v>0.9244242433615838</v>
      </c>
      <c r="N80" s="26">
        <f ca="1">VLOOKUP(CurrentMtgRatesDataTable8256[[#This Row],[asOfDate]]+1,Bloomberg!B:C,2,0)</f>
        <v>4372.2</v>
      </c>
      <c r="P80" s="24">
        <v>41088</v>
      </c>
      <c r="Q80" s="26">
        <v>0.78458904121756523</v>
      </c>
      <c r="S80" s="24">
        <v>41088</v>
      </c>
      <c r="T80" s="27">
        <v>0.79333577564121049</v>
      </c>
      <c r="V80" s="56">
        <v>41088</v>
      </c>
      <c r="W80" s="57">
        <v>0.72329670850827033</v>
      </c>
      <c r="Y80" s="1">
        <v>41088</v>
      </c>
      <c r="Z80">
        <v>0.73436759398613805</v>
      </c>
      <c r="AB80" s="1">
        <v>41088</v>
      </c>
      <c r="AC80">
        <v>0.81309219550150202</v>
      </c>
    </row>
    <row r="81" spans="2:29">
      <c r="B81" s="24">
        <v>41095</v>
      </c>
      <c r="C81" s="86">
        <v>0.91777188154396527</v>
      </c>
      <c r="D81" s="86">
        <v>0.99462308003649469</v>
      </c>
      <c r="E81" s="26">
        <f ca="1">VLOOKUP(CurrentMtgRatesDataTable825[[#This Row],[asOfDate]]+1,Bloomberg!B:C,2,0)</f>
        <v>4267.8999999999996</v>
      </c>
      <c r="F81" s="27">
        <f>VLOOKUP(CurrentMtgRatesDataTable825[[#This Row],[asOfDate]],CurrentMtgRatesDataTable8256[#All],2,0)</f>
        <v>0.91386483587378442</v>
      </c>
      <c r="G81" s="27">
        <f>VLOOKUP(CurrentMtgRatesDataTable825[[#This Row],[asOfDate]],CurrentMtgRatesDataTable82562[],2,0)</f>
        <v>0.7787052272593904</v>
      </c>
      <c r="H81" s="27">
        <f>VLOOKUP(CurrentMtgRatesDataTable825[[#This Row],[asOfDate]],S:T,2,0)</f>
        <v>0.78742350246505088</v>
      </c>
      <c r="I81" s="84">
        <f>VLOOKUP(CurrentMtgRatesDataTable825[[#This Row],[asOfDate]],CurrentMtgRatesDataTable825623[#All],2,0)</f>
        <v>0.72001119292013993</v>
      </c>
      <c r="J81" s="84">
        <f>VLOOKUP(CurrentMtgRatesDataTable825[[#This Row],[asOfDate]],AB:AC,2,0)</f>
        <v>0.80304589352971401</v>
      </c>
      <c r="L81" s="24">
        <v>41095</v>
      </c>
      <c r="M81" s="26">
        <v>0.91386483587378442</v>
      </c>
      <c r="N81" s="26">
        <f ca="1">VLOOKUP(CurrentMtgRatesDataTable8256[[#This Row],[asOfDate]]+1,Bloomberg!B:C,2,0)</f>
        <v>4267.8999999999996</v>
      </c>
      <c r="P81" s="24">
        <v>41095</v>
      </c>
      <c r="Q81" s="26">
        <v>0.7787052272593904</v>
      </c>
      <c r="S81" s="24">
        <v>41095</v>
      </c>
      <c r="T81" s="27">
        <v>0.78742350246505088</v>
      </c>
      <c r="V81" s="56">
        <v>41095</v>
      </c>
      <c r="W81" s="57">
        <v>0.72001119292013993</v>
      </c>
      <c r="Y81" s="1">
        <v>41095</v>
      </c>
      <c r="Z81">
        <v>0.73043866214544695</v>
      </c>
      <c r="AB81" s="1">
        <v>41095</v>
      </c>
      <c r="AC81">
        <v>0.80304589352971401</v>
      </c>
    </row>
    <row r="82" spans="2:29">
      <c r="B82" s="24">
        <v>41102</v>
      </c>
      <c r="C82" s="86">
        <v>0.95771777043064987</v>
      </c>
      <c r="D82" s="86">
        <v>0.99462308003649469</v>
      </c>
      <c r="E82" s="26">
        <f ca="1">VLOOKUP(CurrentMtgRatesDataTable825[[#This Row],[asOfDate]]+1,Bloomberg!B:C,2,0)</f>
        <v>5246.8</v>
      </c>
      <c r="F82" s="27">
        <f>VLOOKUP(CurrentMtgRatesDataTable825[[#This Row],[asOfDate]],CurrentMtgRatesDataTable8256[#All],2,0)</f>
        <v>0.94968585268042571</v>
      </c>
      <c r="G82" s="27">
        <f>VLOOKUP(CurrentMtgRatesDataTable825[[#This Row],[asOfDate]],CurrentMtgRatesDataTable82562[],2,0)</f>
        <v>0.81145553697323414</v>
      </c>
      <c r="H82" s="27">
        <f>VLOOKUP(CurrentMtgRatesDataTable825[[#This Row],[asOfDate]],S:T,2,0)</f>
        <v>0.81997698463178614</v>
      </c>
      <c r="I82" s="84">
        <f>VLOOKUP(CurrentMtgRatesDataTable825[[#This Row],[asOfDate]],CurrentMtgRatesDataTable825623[#All],2,0)</f>
        <v>0.75407044900013098</v>
      </c>
      <c r="J82" s="84">
        <f>VLOOKUP(CurrentMtgRatesDataTable825[[#This Row],[asOfDate]],AB:AC,2,0)</f>
        <v>0.83475833318603099</v>
      </c>
      <c r="L82" s="24">
        <v>41102</v>
      </c>
      <c r="M82" s="26">
        <v>0.94968585268042571</v>
      </c>
      <c r="N82" s="26">
        <f ca="1">VLOOKUP(CurrentMtgRatesDataTable8256[[#This Row],[asOfDate]]+1,Bloomberg!B:C,2,0)</f>
        <v>5246.8</v>
      </c>
      <c r="P82" s="24">
        <v>41102</v>
      </c>
      <c r="Q82" s="26">
        <v>0.81145553697323414</v>
      </c>
      <c r="S82" s="24">
        <v>41102</v>
      </c>
      <c r="T82" s="27">
        <v>0.81997698463178614</v>
      </c>
      <c r="V82" s="56">
        <v>41102</v>
      </c>
      <c r="W82" s="57">
        <v>0.75407044900013098</v>
      </c>
      <c r="Y82" s="1">
        <v>41102</v>
      </c>
      <c r="Z82">
        <v>0.76354932961009103</v>
      </c>
      <c r="AB82" s="1">
        <v>41102</v>
      </c>
      <c r="AC82">
        <v>0.83475833318603099</v>
      </c>
    </row>
    <row r="83" spans="2:29">
      <c r="B83" s="24">
        <v>41109</v>
      </c>
      <c r="C83" s="86">
        <v>0.97173459822761488</v>
      </c>
      <c r="D83" s="86">
        <v>1</v>
      </c>
      <c r="E83" s="26">
        <f ca="1">VLOOKUP(CurrentMtgRatesDataTable825[[#This Row],[asOfDate]]+1,Bloomberg!B:C,2,0)</f>
        <v>5383.1</v>
      </c>
      <c r="F83" s="27">
        <f>VLOOKUP(CurrentMtgRatesDataTable825[[#This Row],[asOfDate]],CurrentMtgRatesDataTable8256[#All],2,0)</f>
        <v>0.94974571127352658</v>
      </c>
      <c r="G83" s="27">
        <f>VLOOKUP(CurrentMtgRatesDataTable825[[#This Row],[asOfDate]],CurrentMtgRatesDataTable82562[],2,0)</f>
        <v>0.81152752487539104</v>
      </c>
      <c r="H83" s="27">
        <f>VLOOKUP(CurrentMtgRatesDataTable825[[#This Row],[asOfDate]],S:T,2,0)</f>
        <v>0.82005106161314656</v>
      </c>
      <c r="I83" s="84">
        <f>VLOOKUP(CurrentMtgRatesDataTable825[[#This Row],[asOfDate]],CurrentMtgRatesDataTable825623[#All],2,0)</f>
        <v>0.75979626670465439</v>
      </c>
      <c r="J83" s="84">
        <f>VLOOKUP(CurrentMtgRatesDataTable825[[#This Row],[asOfDate]],AB:AC,2,0)</f>
        <v>0.839279067165004</v>
      </c>
      <c r="L83" s="24">
        <v>41109</v>
      </c>
      <c r="M83" s="26">
        <v>0.94974571127352658</v>
      </c>
      <c r="N83" s="26">
        <f ca="1">VLOOKUP(CurrentMtgRatesDataTable8256[[#This Row],[asOfDate]]+1,Bloomberg!B:C,2,0)</f>
        <v>5383.1</v>
      </c>
      <c r="P83" s="24">
        <v>41109</v>
      </c>
      <c r="Q83" s="26">
        <v>0.81152752487539104</v>
      </c>
      <c r="S83" s="24">
        <v>41109</v>
      </c>
      <c r="T83" s="27">
        <v>0.82005106161314656</v>
      </c>
      <c r="V83" s="56">
        <v>41109</v>
      </c>
      <c r="W83" s="57">
        <v>0.75979626670465439</v>
      </c>
      <c r="Y83" s="1">
        <v>41109</v>
      </c>
      <c r="Z83">
        <v>0.768866704661886</v>
      </c>
      <c r="AB83" s="1">
        <v>41109</v>
      </c>
      <c r="AC83">
        <v>0.839279067165004</v>
      </c>
    </row>
    <row r="84" spans="2:29">
      <c r="B84" s="24">
        <v>41116</v>
      </c>
      <c r="C84" s="86">
        <v>0.9879859476046281</v>
      </c>
      <c r="D84" s="86">
        <v>1</v>
      </c>
      <c r="E84" s="26">
        <f ca="1">VLOOKUP(CurrentMtgRatesDataTable825[[#This Row],[asOfDate]]+1,Bloomberg!B:C,2,0)</f>
        <v>5492.1</v>
      </c>
      <c r="F84" s="27">
        <f>VLOOKUP(CurrentMtgRatesDataTable825[[#This Row],[asOfDate]],CurrentMtgRatesDataTable8256[#All],2,0)</f>
        <v>0.95271926668027695</v>
      </c>
      <c r="G84" s="27">
        <f>VLOOKUP(CurrentMtgRatesDataTable825[[#This Row],[asOfDate]],CurrentMtgRatesDataTable82562[],2,0)</f>
        <v>0.8279869924203217</v>
      </c>
      <c r="H84" s="27">
        <f>VLOOKUP(CurrentMtgRatesDataTable825[[#This Row],[asOfDate]],S:T,2,0)</f>
        <v>0.83574642345813432</v>
      </c>
      <c r="I84" s="84">
        <f>VLOOKUP(CurrentMtgRatesDataTable825[[#This Row],[asOfDate]],CurrentMtgRatesDataTable825623[#All],2,0)</f>
        <v>0.7772659421579855</v>
      </c>
      <c r="J84" s="84">
        <f>VLOOKUP(CurrentMtgRatesDataTable825[[#This Row],[asOfDate]],AB:AC,2,0)</f>
        <v>0.85583686182580798</v>
      </c>
      <c r="L84" s="24">
        <v>41116</v>
      </c>
      <c r="M84" s="26">
        <v>0.95271926668027695</v>
      </c>
      <c r="N84" s="26">
        <f ca="1">VLOOKUP(CurrentMtgRatesDataTable8256[[#This Row],[asOfDate]]+1,Bloomberg!B:C,2,0)</f>
        <v>5492.1</v>
      </c>
      <c r="P84" s="24">
        <v>41116</v>
      </c>
      <c r="Q84" s="26">
        <v>0.8279869924203217</v>
      </c>
      <c r="S84" s="24">
        <v>41116</v>
      </c>
      <c r="T84" s="27">
        <v>0.83574642345813432</v>
      </c>
      <c r="V84" s="56">
        <v>41116</v>
      </c>
      <c r="W84" s="57">
        <v>0.7772659421579855</v>
      </c>
      <c r="Y84" s="1">
        <v>41116</v>
      </c>
      <c r="Z84">
        <v>0.78572902055143101</v>
      </c>
      <c r="AB84" s="1">
        <v>41116</v>
      </c>
      <c r="AC84">
        <v>0.85583686182580798</v>
      </c>
    </row>
    <row r="85" spans="2:29">
      <c r="B85" s="24">
        <v>41123</v>
      </c>
      <c r="C85" s="86">
        <v>0.94860016725439644</v>
      </c>
      <c r="D85" s="86">
        <v>0.97356531249371248</v>
      </c>
      <c r="E85" s="26">
        <f ca="1">VLOOKUP(CurrentMtgRatesDataTable825[[#This Row],[asOfDate]]+1,Bloomberg!B:C,2,0)</f>
        <v>5444.3</v>
      </c>
      <c r="F85" s="27">
        <f>VLOOKUP(CurrentMtgRatesDataTable825[[#This Row],[asOfDate]],CurrentMtgRatesDataTable8256[#All],2,0)</f>
        <v>0.93570894150236794</v>
      </c>
      <c r="G85" s="27">
        <f>VLOOKUP(CurrentMtgRatesDataTable825[[#This Row],[asOfDate]],CurrentMtgRatesDataTable82562[],2,0)</f>
        <v>0.79821644612468112</v>
      </c>
      <c r="H85" s="27">
        <f>VLOOKUP(CurrentMtgRatesDataTable825[[#This Row],[asOfDate]],S:T,2,0)</f>
        <v>0.80667448116643814</v>
      </c>
      <c r="I85" s="84">
        <f>VLOOKUP(CurrentMtgRatesDataTable825[[#This Row],[asOfDate]],CurrentMtgRatesDataTable825623[#All],2,0)</f>
        <v>0.74202188782112288</v>
      </c>
      <c r="J85" s="84">
        <f>VLOOKUP(CurrentMtgRatesDataTable825[[#This Row],[asOfDate]],AB:AC,2,0)</f>
        <v>0.81672598038940503</v>
      </c>
      <c r="L85" s="24">
        <v>41123</v>
      </c>
      <c r="M85" s="26">
        <v>0.93570894150236794</v>
      </c>
      <c r="N85" s="26">
        <f ca="1">VLOOKUP(CurrentMtgRatesDataTable8256[[#This Row],[asOfDate]]+1,Bloomberg!B:C,2,0)</f>
        <v>5444.3</v>
      </c>
      <c r="P85" s="24">
        <v>41123</v>
      </c>
      <c r="Q85" s="26">
        <v>0.79821644612468112</v>
      </c>
      <c r="S85" s="24">
        <v>41123</v>
      </c>
      <c r="T85" s="27">
        <v>0.80667448116643814</v>
      </c>
      <c r="V85" s="56">
        <v>41123</v>
      </c>
      <c r="W85" s="57">
        <v>0.74202188782112288</v>
      </c>
      <c r="Y85" s="1">
        <v>41123</v>
      </c>
      <c r="Z85">
        <v>0.75086551441354799</v>
      </c>
      <c r="AB85" s="1">
        <v>41123</v>
      </c>
      <c r="AC85">
        <v>0.81672598038940503</v>
      </c>
    </row>
    <row r="86" spans="2:29">
      <c r="B86" s="24">
        <v>41130</v>
      </c>
      <c r="C86" s="86">
        <v>0.93912504488962867</v>
      </c>
      <c r="D86" s="86">
        <v>0.97356531249371248</v>
      </c>
      <c r="E86" s="26">
        <f ca="1">VLOOKUP(CurrentMtgRatesDataTable825[[#This Row],[asOfDate]]+1,Bloomberg!B:C,2,0)</f>
        <v>5172.2</v>
      </c>
      <c r="F86" s="27">
        <f>VLOOKUP(CurrentMtgRatesDataTable825[[#This Row],[asOfDate]],CurrentMtgRatesDataTable8256[#All],2,0)</f>
        <v>0.9356798644507448</v>
      </c>
      <c r="G86" s="27">
        <f>VLOOKUP(CurrentMtgRatesDataTable825[[#This Row],[asOfDate]],CurrentMtgRatesDataTable82562[],2,0)</f>
        <v>0.79815390760264004</v>
      </c>
      <c r="H86" s="27">
        <f>VLOOKUP(CurrentMtgRatesDataTable825[[#This Row],[asOfDate]],S:T,2,0)</f>
        <v>0.80661010872786376</v>
      </c>
      <c r="I86" s="84">
        <f>VLOOKUP(CurrentMtgRatesDataTable825[[#This Row],[asOfDate]],CurrentMtgRatesDataTable825623[#All],2,0)</f>
        <v>0.74172452642125275</v>
      </c>
      <c r="J86" s="84">
        <f>VLOOKUP(CurrentMtgRatesDataTable825[[#This Row],[asOfDate]],AB:AC,2,0)</f>
        <v>0.81660096914097402</v>
      </c>
      <c r="L86" s="24">
        <v>41130</v>
      </c>
      <c r="M86" s="26">
        <v>0.9356798644507448</v>
      </c>
      <c r="N86" s="26">
        <f ca="1">VLOOKUP(CurrentMtgRatesDataTable8256[[#This Row],[asOfDate]]+1,Bloomberg!B:C,2,0)</f>
        <v>5172.2</v>
      </c>
      <c r="P86" s="24">
        <v>41130</v>
      </c>
      <c r="Q86" s="26">
        <v>0.79815390760264004</v>
      </c>
      <c r="S86" s="24">
        <v>41130</v>
      </c>
      <c r="T86" s="27">
        <v>0.80661010872786376</v>
      </c>
      <c r="V86" s="56">
        <v>41130</v>
      </c>
      <c r="W86" s="57">
        <v>0.74172452642125275</v>
      </c>
      <c r="Y86" s="1">
        <v>41130</v>
      </c>
      <c r="Z86">
        <v>0.750585022608945</v>
      </c>
      <c r="AB86" s="1">
        <v>41130</v>
      </c>
      <c r="AC86">
        <v>0.81660096914097402</v>
      </c>
    </row>
    <row r="87" spans="2:29">
      <c r="B87" s="24">
        <v>41137</v>
      </c>
      <c r="C87" s="86">
        <v>0.91585834932586352</v>
      </c>
      <c r="D87" s="86">
        <v>0.97356531249371248</v>
      </c>
      <c r="E87" s="26">
        <f ca="1">VLOOKUP(CurrentMtgRatesDataTable825[[#This Row],[asOfDate]]+1,Bloomberg!B:C,2,0)</f>
        <v>4671.1000000000004</v>
      </c>
      <c r="F87" s="27">
        <f>VLOOKUP(CurrentMtgRatesDataTable825[[#This Row],[asOfDate]],CurrentMtgRatesDataTable8256[#All],2,0)</f>
        <v>0.89511007451891311</v>
      </c>
      <c r="G87" s="27">
        <f>VLOOKUP(CurrentMtgRatesDataTable825[[#This Row],[asOfDate]],CurrentMtgRatesDataTable82562[],2,0)</f>
        <v>0.77767208811206812</v>
      </c>
      <c r="H87" s="27">
        <f>VLOOKUP(CurrentMtgRatesDataTable825[[#This Row],[asOfDate]],S:T,2,0)</f>
        <v>0.7859411996742075</v>
      </c>
      <c r="I87" s="84">
        <f>VLOOKUP(CurrentMtgRatesDataTable825[[#This Row],[asOfDate]],CurrentMtgRatesDataTable825623[#All],2,0)</f>
        <v>0.72502948633550401</v>
      </c>
      <c r="J87" s="84">
        <f>VLOOKUP(CurrentMtgRatesDataTable825[[#This Row],[asOfDate]],AB:AC,2,0)</f>
        <v>0.80039531716996504</v>
      </c>
      <c r="L87" s="24">
        <v>41137</v>
      </c>
      <c r="M87" s="26">
        <v>0.89511007451891311</v>
      </c>
      <c r="N87" s="26">
        <f ca="1">VLOOKUP(CurrentMtgRatesDataTable8256[[#This Row],[asOfDate]]+1,Bloomberg!B:C,2,0)</f>
        <v>4671.1000000000004</v>
      </c>
      <c r="P87" s="24">
        <v>41137</v>
      </c>
      <c r="Q87" s="26">
        <v>0.77767208811206812</v>
      </c>
      <c r="S87" s="24">
        <v>41137</v>
      </c>
      <c r="T87" s="27">
        <v>0.7859411996742075</v>
      </c>
      <c r="V87" s="56">
        <v>41137</v>
      </c>
      <c r="W87" s="57">
        <v>0.72502948633550401</v>
      </c>
      <c r="Y87" s="1">
        <v>41137</v>
      </c>
      <c r="Z87">
        <v>0.73415953674152901</v>
      </c>
      <c r="AB87" s="1">
        <v>41137</v>
      </c>
      <c r="AC87">
        <v>0.80039531716996504</v>
      </c>
    </row>
    <row r="88" spans="2:29">
      <c r="B88" s="24">
        <v>41144</v>
      </c>
      <c r="C88" s="86">
        <v>0.89726467039347879</v>
      </c>
      <c r="D88" s="86">
        <v>0.97356531249371248</v>
      </c>
      <c r="E88" s="26">
        <f ca="1">VLOOKUP(CurrentMtgRatesDataTable825[[#This Row],[asOfDate]]+1,Bloomberg!B:C,2,0)</f>
        <v>4414.6000000000004</v>
      </c>
      <c r="F88" s="27">
        <f>VLOOKUP(CurrentMtgRatesDataTable825[[#This Row],[asOfDate]],CurrentMtgRatesDataTable8256[#All],2,0)</f>
        <v>0.89495866041217464</v>
      </c>
      <c r="G88" s="27">
        <f>VLOOKUP(CurrentMtgRatesDataTable825[[#This Row],[asOfDate]],CurrentMtgRatesDataTable82562[],2,0)</f>
        <v>0.76370064895501943</v>
      </c>
      <c r="H88" s="27">
        <f>VLOOKUP(CurrentMtgRatesDataTable825[[#This Row],[asOfDate]],S:T,2,0)</f>
        <v>0.77233085778339827</v>
      </c>
      <c r="I88" s="84">
        <f>VLOOKUP(CurrentMtgRatesDataTable825[[#This Row],[asOfDate]],CurrentMtgRatesDataTable825623[#All],2,0)</f>
        <v>0.70545980617085735</v>
      </c>
      <c r="J88" s="84">
        <f>VLOOKUP(CurrentMtgRatesDataTable825[[#This Row],[asOfDate]],AB:AC,2,0)</f>
        <v>0.78286282867668</v>
      </c>
      <c r="L88" s="24">
        <v>41144</v>
      </c>
      <c r="M88" s="26">
        <v>0.89495866041217464</v>
      </c>
      <c r="N88" s="26">
        <f ca="1">VLOOKUP(CurrentMtgRatesDataTable8256[[#This Row],[asOfDate]]+1,Bloomberg!B:C,2,0)</f>
        <v>4414.6000000000004</v>
      </c>
      <c r="P88" s="24">
        <v>41144</v>
      </c>
      <c r="Q88" s="26">
        <v>0.76370064895501943</v>
      </c>
      <c r="S88" s="24">
        <v>41144</v>
      </c>
      <c r="T88" s="27">
        <v>0.77233085778339827</v>
      </c>
      <c r="V88" s="56">
        <v>41144</v>
      </c>
      <c r="W88" s="57">
        <v>0.70545980617085735</v>
      </c>
      <c r="Y88" s="1">
        <v>41144</v>
      </c>
      <c r="Z88">
        <v>0.71547683131804896</v>
      </c>
      <c r="AB88" s="1">
        <v>41144</v>
      </c>
      <c r="AC88">
        <v>0.78286282867668</v>
      </c>
    </row>
    <row r="89" spans="2:29">
      <c r="B89" s="24">
        <v>41151</v>
      </c>
      <c r="C89" s="86">
        <v>0.93912504488962867</v>
      </c>
      <c r="D89" s="86">
        <v>0.97356531249371248</v>
      </c>
      <c r="E89" s="26">
        <f ca="1">VLOOKUP(CurrentMtgRatesDataTable825[[#This Row],[asOfDate]]+1,Bloomberg!B:C,2,0)</f>
        <v>4274.8</v>
      </c>
      <c r="F89" s="27">
        <f>VLOOKUP(CurrentMtgRatesDataTable825[[#This Row],[asOfDate]],CurrentMtgRatesDataTable8256[#All],2,0)</f>
        <v>0.9356798644507448</v>
      </c>
      <c r="G89" s="27">
        <f>VLOOKUP(CurrentMtgRatesDataTable825[[#This Row],[asOfDate]],CurrentMtgRatesDataTable82562[],2,0)</f>
        <v>0.79815390760264004</v>
      </c>
      <c r="H89" s="27">
        <f>VLOOKUP(CurrentMtgRatesDataTable825[[#This Row],[asOfDate]],S:T,2,0)</f>
        <v>0.80661010872786376</v>
      </c>
      <c r="I89" s="84">
        <f>VLOOKUP(CurrentMtgRatesDataTable825[[#This Row],[asOfDate]],CurrentMtgRatesDataTable825623[#All],2,0)</f>
        <v>0.74172452642125275</v>
      </c>
      <c r="J89" s="84">
        <f>VLOOKUP(CurrentMtgRatesDataTable825[[#This Row],[asOfDate]],AB:AC,2,0)</f>
        <v>0.81660096914097402</v>
      </c>
      <c r="L89" s="24">
        <v>41151</v>
      </c>
      <c r="M89" s="26">
        <v>0.9356798644507448</v>
      </c>
      <c r="N89" s="26">
        <f ca="1">VLOOKUP(CurrentMtgRatesDataTable8256[[#This Row],[asOfDate]]+1,Bloomberg!B:C,2,0)</f>
        <v>4274.8</v>
      </c>
      <c r="P89" s="24">
        <v>41151</v>
      </c>
      <c r="Q89" s="26">
        <v>0.79815390760264004</v>
      </c>
      <c r="S89" s="24">
        <v>41151</v>
      </c>
      <c r="T89" s="27">
        <v>0.80661010872786376</v>
      </c>
      <c r="V89" s="56">
        <v>41151</v>
      </c>
      <c r="W89" s="57">
        <v>0.74172452642125275</v>
      </c>
      <c r="Y89" s="1">
        <v>41151</v>
      </c>
      <c r="Z89">
        <v>0.750585022608945</v>
      </c>
      <c r="AB89" s="1">
        <v>41151</v>
      </c>
      <c r="AC89">
        <v>0.81660096914097402</v>
      </c>
    </row>
    <row r="90" spans="2:29">
      <c r="B90" s="24">
        <v>41158</v>
      </c>
      <c r="C90" s="86">
        <v>0.93507497659257821</v>
      </c>
      <c r="D90" s="86">
        <v>0.95511755963946832</v>
      </c>
      <c r="E90" s="26">
        <f ca="1">VLOOKUP(CurrentMtgRatesDataTable825[[#This Row],[asOfDate]]+1,Bloomberg!B:C,2,0)</f>
        <v>4779.1000000000004</v>
      </c>
      <c r="F90" s="27">
        <f>VLOOKUP(CurrentMtgRatesDataTable825[[#This Row],[asOfDate]],CurrentMtgRatesDataTable8256[#All],2,0)</f>
        <v>0.921376249797624</v>
      </c>
      <c r="G90" s="27">
        <f>VLOOKUP(CurrentMtgRatesDataTable825[[#This Row],[asOfDate]],CurrentMtgRatesDataTable82562[],2,0)</f>
        <v>0.78544987095574126</v>
      </c>
      <c r="H90" s="27">
        <f>VLOOKUP(CurrentMtgRatesDataTable825[[#This Row],[asOfDate]],S:T,2,0)</f>
        <v>0.79385522628191763</v>
      </c>
      <c r="I90" s="84">
        <f>VLOOKUP(CurrentMtgRatesDataTable825[[#This Row],[asOfDate]],CurrentMtgRatesDataTable825623[#All],2,0)</f>
        <v>0.73031006659475117</v>
      </c>
      <c r="J90" s="84">
        <f>VLOOKUP(CurrentMtgRatesDataTable825[[#This Row],[asOfDate]],AB:AC,2,0)</f>
        <v>0.80003630895948397</v>
      </c>
      <c r="L90" s="24">
        <v>41158</v>
      </c>
      <c r="M90" s="26">
        <v>0.921376249797624</v>
      </c>
      <c r="N90" s="26">
        <f ca="1">VLOOKUP(CurrentMtgRatesDataTable8256[[#This Row],[asOfDate]]+1,Bloomberg!B:C,2,0)</f>
        <v>4779.1000000000004</v>
      </c>
      <c r="P90" s="24">
        <v>41158</v>
      </c>
      <c r="Q90" s="26">
        <v>0.78544987095574126</v>
      </c>
      <c r="S90" s="24">
        <v>41158</v>
      </c>
      <c r="T90" s="27">
        <v>0.79385522628191763</v>
      </c>
      <c r="V90" s="56">
        <v>41158</v>
      </c>
      <c r="W90" s="57">
        <v>0.73031006659475117</v>
      </c>
      <c r="Y90" s="1">
        <v>41158</v>
      </c>
      <c r="Z90">
        <v>0.73869553312661196</v>
      </c>
      <c r="AB90" s="1">
        <v>41158</v>
      </c>
      <c r="AC90">
        <v>0.80003630895948397</v>
      </c>
    </row>
    <row r="91" spans="2:29">
      <c r="B91" s="24">
        <v>41165</v>
      </c>
      <c r="C91" s="86">
        <v>0.95218594305554205</v>
      </c>
      <c r="D91" s="86">
        <v>0.97159540327453819</v>
      </c>
      <c r="E91" s="26">
        <f ca="1">VLOOKUP(CurrentMtgRatesDataTable825[[#This Row],[asOfDate]]+1,Bloomberg!B:C,2,0)</f>
        <v>4823.3</v>
      </c>
      <c r="F91" s="27">
        <f>VLOOKUP(CurrentMtgRatesDataTable825[[#This Row],[asOfDate]],CurrentMtgRatesDataTable8256[#All],2,0)</f>
        <v>0.9248916494900683</v>
      </c>
      <c r="G91" s="27">
        <f>VLOOKUP(CurrentMtgRatesDataTable825[[#This Row],[asOfDate]],CurrentMtgRatesDataTable82562[],2,0)</f>
        <v>0.78635808843680277</v>
      </c>
      <c r="H91" s="27">
        <f>VLOOKUP(CurrentMtgRatesDataTable825[[#This Row],[asOfDate]],S:T,2,0)</f>
        <v>0.79476488314048044</v>
      </c>
      <c r="I91" s="84">
        <f>VLOOKUP(CurrentMtgRatesDataTable825[[#This Row],[asOfDate]],CurrentMtgRatesDataTable825623[#All],2,0)</f>
        <v>0.73633520756526005</v>
      </c>
      <c r="J91" s="84">
        <f>VLOOKUP(CurrentMtgRatesDataTable825[[#This Row],[asOfDate]],AB:AC,2,0)</f>
        <v>0.80517464210851997</v>
      </c>
      <c r="L91" s="24">
        <v>41165</v>
      </c>
      <c r="M91" s="26">
        <v>0.9248916494900683</v>
      </c>
      <c r="N91" s="26">
        <f ca="1">VLOOKUP(CurrentMtgRatesDataTable8256[[#This Row],[asOfDate]]+1,Bloomberg!B:C,2,0)</f>
        <v>4823.3</v>
      </c>
      <c r="P91" s="24">
        <v>41165</v>
      </c>
      <c r="Q91" s="26">
        <v>0.78635808843680277</v>
      </c>
      <c r="S91" s="24">
        <v>41165</v>
      </c>
      <c r="T91" s="27">
        <v>0.79476488314048044</v>
      </c>
      <c r="V91" s="56">
        <v>41165</v>
      </c>
      <c r="W91" s="57">
        <v>0.73633520756526005</v>
      </c>
      <c r="Y91" s="1">
        <v>41165</v>
      </c>
      <c r="Z91">
        <v>0.74447404386570404</v>
      </c>
      <c r="AB91" s="1">
        <v>41165</v>
      </c>
      <c r="AC91">
        <v>0.80517464210851997</v>
      </c>
    </row>
    <row r="92" spans="2:29">
      <c r="B92" s="24">
        <v>41172</v>
      </c>
      <c r="C92" s="86">
        <v>0.97677569556161481</v>
      </c>
      <c r="D92" s="86">
        <v>0.97159540327453819</v>
      </c>
      <c r="E92" s="26">
        <f ca="1">VLOOKUP(CurrentMtgRatesDataTable825[[#This Row],[asOfDate]]+1,Bloomberg!B:C,2,0)</f>
        <v>4979</v>
      </c>
      <c r="F92" s="27">
        <f>VLOOKUP(CurrentMtgRatesDataTable825[[#This Row],[asOfDate]],CurrentMtgRatesDataTable8256[#All],2,0)</f>
        <v>0.92514591669223734</v>
      </c>
      <c r="G92" s="27">
        <f>VLOOKUP(CurrentMtgRatesDataTable825[[#This Row],[asOfDate]],CurrentMtgRatesDataTable82562[],2,0)</f>
        <v>0.80445044367527219</v>
      </c>
      <c r="H92" s="27">
        <f>VLOOKUP(CurrentMtgRatesDataTable825[[#This Row],[asOfDate]],S:T,2,0)</f>
        <v>0.81215273598629645</v>
      </c>
      <c r="I92" s="84">
        <f>VLOOKUP(CurrentMtgRatesDataTable825[[#This Row],[asOfDate]],CurrentMtgRatesDataTable825623[#All],2,0)</f>
        <v>0.75820018205964568</v>
      </c>
      <c r="J92" s="84">
        <f>VLOOKUP(CurrentMtgRatesDataTable825[[#This Row],[asOfDate]],AB:AC,2,0)</f>
        <v>0.82579336591607799</v>
      </c>
      <c r="L92" s="24">
        <v>41172</v>
      </c>
      <c r="M92" s="26">
        <v>0.92514591669223734</v>
      </c>
      <c r="N92" s="26">
        <f ca="1">VLOOKUP(CurrentMtgRatesDataTable8256[[#This Row],[asOfDate]]+1,Bloomberg!B:C,2,0)</f>
        <v>4979</v>
      </c>
      <c r="P92" s="24">
        <v>41172</v>
      </c>
      <c r="Q92" s="26">
        <v>0.80445044367527219</v>
      </c>
      <c r="S92" s="24">
        <v>41172</v>
      </c>
      <c r="T92" s="27">
        <v>0.81215273598629645</v>
      </c>
      <c r="V92" s="56">
        <v>41172</v>
      </c>
      <c r="W92" s="57">
        <v>0.75820018205964568</v>
      </c>
      <c r="Y92" s="1">
        <v>41172</v>
      </c>
      <c r="Z92">
        <v>0.76567154137860305</v>
      </c>
      <c r="AB92" s="1">
        <v>41172</v>
      </c>
      <c r="AC92">
        <v>0.82579336591607799</v>
      </c>
    </row>
    <row r="93" spans="2:29">
      <c r="B93" s="24">
        <v>41179</v>
      </c>
      <c r="C93" s="86">
        <v>0.98215736625125771</v>
      </c>
      <c r="D93" s="86">
        <v>0.99093698705478794</v>
      </c>
      <c r="E93" s="26">
        <f ca="1">VLOOKUP(CurrentMtgRatesDataTable825[[#This Row],[asOfDate]]+1,Bloomberg!B:C,2,0)</f>
        <v>5965.5</v>
      </c>
      <c r="F93" s="27">
        <f>VLOOKUP(CurrentMtgRatesDataTable825[[#This Row],[asOfDate]],CurrentMtgRatesDataTable8256[#All],2,0)</f>
        <v>0.96960771050923455</v>
      </c>
      <c r="G93" s="27">
        <f>VLOOKUP(CurrentMtgRatesDataTable825[[#This Row],[asOfDate]],CurrentMtgRatesDataTable82562[],2,0)</f>
        <v>0.85572735211332496</v>
      </c>
      <c r="H93" s="27">
        <f>VLOOKUP(CurrentMtgRatesDataTable825[[#This Row],[asOfDate]],S:T,2,0)</f>
        <v>0.86283075587771796</v>
      </c>
      <c r="I93" s="84">
        <f>VLOOKUP(CurrentMtgRatesDataTable825[[#This Row],[asOfDate]],CurrentMtgRatesDataTable825623[#All],2,0)</f>
        <v>0.80745235876438604</v>
      </c>
      <c r="J93" s="84">
        <f>VLOOKUP(CurrentMtgRatesDataTable825[[#This Row],[asOfDate]],AB:AC,2,0)</f>
        <v>0.87352757054468799</v>
      </c>
      <c r="L93" s="24">
        <v>41179</v>
      </c>
      <c r="M93" s="26">
        <v>0.96960771050923455</v>
      </c>
      <c r="N93" s="26">
        <f ca="1">VLOOKUP(CurrentMtgRatesDataTable8256[[#This Row],[asOfDate]]+1,Bloomberg!B:C,2,0)</f>
        <v>5965.5</v>
      </c>
      <c r="P93" s="24">
        <v>41179</v>
      </c>
      <c r="Q93" s="26">
        <v>0.85572735211332496</v>
      </c>
      <c r="S93" s="24">
        <v>41179</v>
      </c>
      <c r="T93" s="27">
        <v>0.86283075587771796</v>
      </c>
      <c r="V93" s="56">
        <v>41179</v>
      </c>
      <c r="W93" s="57">
        <v>0.80745235876438604</v>
      </c>
      <c r="Y93" s="1">
        <v>41179</v>
      </c>
      <c r="Z93">
        <v>0.81412068874043197</v>
      </c>
      <c r="AB93" s="1">
        <v>41179</v>
      </c>
      <c r="AC93">
        <v>0.87352757054468799</v>
      </c>
    </row>
    <row r="94" spans="2:29">
      <c r="B94" s="24">
        <v>41186</v>
      </c>
      <c r="C94" s="86">
        <v>0.9656367235551897</v>
      </c>
      <c r="D94" s="86">
        <v>0.98517049782281263</v>
      </c>
      <c r="E94" s="26">
        <f ca="1">VLOOKUP(CurrentMtgRatesDataTable825[[#This Row],[asOfDate]]+1,Bloomberg!B:C,2,0)</f>
        <v>5892.5</v>
      </c>
      <c r="F94" s="27">
        <f>VLOOKUP(CurrentMtgRatesDataTable825[[#This Row],[asOfDate]],CurrentMtgRatesDataTable8256[#All],2,0)</f>
        <v>0.95173821154236116</v>
      </c>
      <c r="G94" s="27">
        <f>VLOOKUP(CurrentMtgRatesDataTable825[[#This Row],[asOfDate]],CurrentMtgRatesDataTable82562[],2,0)</f>
        <v>0.8367994340061099</v>
      </c>
      <c r="H94" s="27">
        <f>VLOOKUP(CurrentMtgRatesDataTable825[[#This Row],[asOfDate]],S:T,2,0)</f>
        <v>0.84379634926171598</v>
      </c>
      <c r="I94" s="84">
        <f>VLOOKUP(CurrentMtgRatesDataTable825[[#This Row],[asOfDate]],CurrentMtgRatesDataTable825623[#All],2,0)</f>
        <v>0.79075164893065863</v>
      </c>
      <c r="J94" s="84">
        <f>VLOOKUP(CurrentMtgRatesDataTable825[[#This Row],[asOfDate]],AB:AC,2,0)</f>
        <v>0.85283995726602502</v>
      </c>
      <c r="L94" s="24">
        <v>41186</v>
      </c>
      <c r="M94" s="26">
        <v>0.95173821154236116</v>
      </c>
      <c r="N94" s="26">
        <f ca="1">VLOOKUP(CurrentMtgRatesDataTable8256[[#This Row],[asOfDate]]+1,Bloomberg!B:C,2,0)</f>
        <v>5892.5</v>
      </c>
      <c r="P94" s="24">
        <v>41186</v>
      </c>
      <c r="Q94" s="26">
        <v>0.8367994340061099</v>
      </c>
      <c r="S94" s="24">
        <v>41186</v>
      </c>
      <c r="T94" s="27">
        <v>0.84379634926171598</v>
      </c>
      <c r="V94" s="56">
        <v>41186</v>
      </c>
      <c r="W94" s="57">
        <v>0.79075164893065863</v>
      </c>
      <c r="Y94" s="1">
        <v>41186</v>
      </c>
      <c r="Z94">
        <v>0.79703955922115</v>
      </c>
      <c r="AB94" s="1">
        <v>41186</v>
      </c>
      <c r="AC94">
        <v>0.85283995726602502</v>
      </c>
    </row>
    <row r="95" spans="2:29">
      <c r="B95" s="24">
        <v>41193</v>
      </c>
      <c r="C95" s="86">
        <v>0.96496302153371782</v>
      </c>
      <c r="D95" s="86">
        <v>0.96513167826882806</v>
      </c>
      <c r="E95" s="26">
        <f ca="1">VLOOKUP(CurrentMtgRatesDataTable825[[#This Row],[asOfDate]]+1,Bloomberg!B:C,2,0)</f>
        <v>5572.2</v>
      </c>
      <c r="F95" s="27">
        <f>VLOOKUP(CurrentMtgRatesDataTable825[[#This Row],[asOfDate]],CurrentMtgRatesDataTable8256[#All],2,0)</f>
        <v>0.9516214910186106</v>
      </c>
      <c r="G95" s="27">
        <f>VLOOKUP(CurrentMtgRatesDataTable825[[#This Row],[asOfDate]],CurrentMtgRatesDataTable82562[],2,0)</f>
        <v>0.81647343463882882</v>
      </c>
      <c r="H95" s="27">
        <f>VLOOKUP(CurrentMtgRatesDataTable825[[#This Row],[asOfDate]],S:T,2,0)</f>
        <v>0.82335914163118795</v>
      </c>
      <c r="I95" s="84">
        <f>VLOOKUP(CurrentMtgRatesDataTable825[[#This Row],[asOfDate]],CurrentMtgRatesDataTable825623[#All],2,0)</f>
        <v>0.7668489280555747</v>
      </c>
      <c r="J95" s="84">
        <f>VLOOKUP(CurrentMtgRatesDataTable825[[#This Row],[asOfDate]],AB:AC,2,0)</f>
        <v>0.82980253162130702</v>
      </c>
      <c r="L95" s="24">
        <v>41193</v>
      </c>
      <c r="M95" s="26">
        <v>0.9516214910186106</v>
      </c>
      <c r="N95" s="26">
        <f ca="1">VLOOKUP(CurrentMtgRatesDataTable8256[[#This Row],[asOfDate]]+1,Bloomberg!B:C,2,0)</f>
        <v>5572.2</v>
      </c>
      <c r="P95" s="24">
        <v>41193</v>
      </c>
      <c r="Q95" s="26">
        <v>0.81647343463882882</v>
      </c>
      <c r="S95" s="24">
        <v>41193</v>
      </c>
      <c r="T95" s="27">
        <v>0.82335914163118795</v>
      </c>
      <c r="V95" s="56">
        <v>41193</v>
      </c>
      <c r="W95" s="57">
        <v>0.7668489280555747</v>
      </c>
      <c r="Y95" s="1">
        <v>41193</v>
      </c>
      <c r="Z95">
        <v>0.77369349947497801</v>
      </c>
      <c r="AB95" s="1">
        <v>41193</v>
      </c>
      <c r="AC95">
        <v>0.82980253162130702</v>
      </c>
    </row>
    <row r="96" spans="2:29">
      <c r="B96" s="24">
        <v>41200</v>
      </c>
      <c r="C96" s="86">
        <v>0.96513273767789598</v>
      </c>
      <c r="D96" s="86">
        <v>0.96513167826882806</v>
      </c>
      <c r="E96" s="26">
        <f ca="1">VLOOKUP(CurrentMtgRatesDataTable825[[#This Row],[asOfDate]]+1,Bloomberg!B:C,2,0)</f>
        <v>4847.2</v>
      </c>
      <c r="F96" s="27">
        <f>VLOOKUP(CurrentMtgRatesDataTable825[[#This Row],[asOfDate]],CurrentMtgRatesDataTable8256[#All],2,0)</f>
        <v>0.95171433528773408</v>
      </c>
      <c r="G96" s="27">
        <f>VLOOKUP(CurrentMtgRatesDataTable825[[#This Row],[asOfDate]],CurrentMtgRatesDataTable82562[],2,0)</f>
        <v>0.8364537448796312</v>
      </c>
      <c r="H96" s="27">
        <f>VLOOKUP(CurrentMtgRatesDataTable825[[#This Row],[asOfDate]],S:T,2,0)</f>
        <v>0.84345556360039442</v>
      </c>
      <c r="I96" s="84">
        <f>VLOOKUP(CurrentMtgRatesDataTable825[[#This Row],[asOfDate]],CurrentMtgRatesDataTable825623[#All],2,0)</f>
        <v>0.78750763693586801</v>
      </c>
      <c r="J96" s="84">
        <f>VLOOKUP(CurrentMtgRatesDataTable825[[#This Row],[asOfDate]],AB:AC,2,0)</f>
        <v>0.84996407134381802</v>
      </c>
      <c r="L96" s="24">
        <v>41200</v>
      </c>
      <c r="M96" s="26">
        <v>0.95171433528773408</v>
      </c>
      <c r="N96" s="26">
        <f ca="1">VLOOKUP(CurrentMtgRatesDataTable8256[[#This Row],[asOfDate]]+1,Bloomberg!B:C,2,0)</f>
        <v>4847.2</v>
      </c>
      <c r="P96" s="24">
        <v>41200</v>
      </c>
      <c r="Q96" s="26">
        <v>0.8364537448796312</v>
      </c>
      <c r="S96" s="24">
        <v>41200</v>
      </c>
      <c r="T96" s="27">
        <v>0.84345556360039442</v>
      </c>
      <c r="V96" s="56">
        <v>41200</v>
      </c>
      <c r="W96" s="57">
        <v>0.78750763693586801</v>
      </c>
      <c r="Y96" s="1">
        <v>41200</v>
      </c>
      <c r="Z96">
        <v>0.79391991676221796</v>
      </c>
      <c r="AB96" s="1">
        <v>41200</v>
      </c>
      <c r="AC96">
        <v>0.84996407134381802</v>
      </c>
    </row>
    <row r="97" spans="2:29">
      <c r="B97" s="24">
        <v>41207</v>
      </c>
      <c r="C97" s="86">
        <v>0.96430526526940574</v>
      </c>
      <c r="D97" s="86">
        <v>0.96513167826882806</v>
      </c>
      <c r="E97" s="26">
        <f ca="1">VLOOKUP(CurrentMtgRatesDataTable825[[#This Row],[asOfDate]]+1,Bloomberg!B:C,2,0)</f>
        <v>4550.7</v>
      </c>
      <c r="F97" s="27">
        <f>VLOOKUP(CurrentMtgRatesDataTable825[[#This Row],[asOfDate]],CurrentMtgRatesDataTable8256[#All],2,0)</f>
        <v>0.95160314091355924</v>
      </c>
      <c r="G97" s="27">
        <f>VLOOKUP(CurrentMtgRatesDataTable825[[#This Row],[asOfDate]],CurrentMtgRatesDataTable82562[],2,0)</f>
        <v>0.8143557568992531</v>
      </c>
      <c r="H97" s="27">
        <f>VLOOKUP(CurrentMtgRatesDataTable825[[#This Row],[asOfDate]],S:T,2,0)</f>
        <v>0.82205123015040049</v>
      </c>
      <c r="I97" s="84">
        <f>VLOOKUP(CurrentMtgRatesDataTable825[[#This Row],[asOfDate]],CurrentMtgRatesDataTable825623[#All],2,0)</f>
        <v>0.76516434563272751</v>
      </c>
      <c r="J97" s="84">
        <f>VLOOKUP(CurrentMtgRatesDataTable825[[#This Row],[asOfDate]],AB:AC,2,0)</f>
        <v>0.828248760892495</v>
      </c>
      <c r="L97" s="24">
        <v>41207</v>
      </c>
      <c r="M97" s="26">
        <v>0.95160314091355924</v>
      </c>
      <c r="N97" s="26">
        <f ca="1">VLOOKUP(CurrentMtgRatesDataTable8256[[#This Row],[asOfDate]]+1,Bloomberg!B:C,2,0)</f>
        <v>4550.7</v>
      </c>
      <c r="P97" s="24">
        <v>41207</v>
      </c>
      <c r="Q97" s="26">
        <v>0.8143557568992531</v>
      </c>
      <c r="S97" s="24">
        <v>41207</v>
      </c>
      <c r="T97" s="27">
        <v>0.82205123015040049</v>
      </c>
      <c r="V97" s="56">
        <v>41207</v>
      </c>
      <c r="W97" s="57">
        <v>0.76516434563272751</v>
      </c>
      <c r="Y97" s="1">
        <v>41207</v>
      </c>
      <c r="Z97">
        <v>0.77207058815551899</v>
      </c>
      <c r="AB97" s="1">
        <v>41207</v>
      </c>
      <c r="AC97">
        <v>0.828248760892495</v>
      </c>
    </row>
    <row r="98" spans="2:29">
      <c r="B98" s="24">
        <v>41214</v>
      </c>
      <c r="C98" s="86">
        <v>0.9417870827834891</v>
      </c>
      <c r="D98" s="86">
        <v>0.93225794275199514</v>
      </c>
      <c r="E98" s="26">
        <f ca="1">VLOOKUP(CurrentMtgRatesDataTable825[[#This Row],[asOfDate]]+1,Bloomberg!B:C,2,0)</f>
        <v>4297.7</v>
      </c>
      <c r="F98" s="27">
        <f>VLOOKUP(CurrentMtgRatesDataTable825[[#This Row],[asOfDate]],CurrentMtgRatesDataTable8256[#All],2,0)</f>
        <v>0.92867980817147811</v>
      </c>
      <c r="G98" s="27">
        <f>VLOOKUP(CurrentMtgRatesDataTable825[[#This Row],[asOfDate]],CurrentMtgRatesDataTable82562[],2,0)</f>
        <v>0.7903315811871281</v>
      </c>
      <c r="H98" s="27">
        <f>VLOOKUP(CurrentMtgRatesDataTable825[[#This Row],[asOfDate]],S:T,2,0)</f>
        <v>0.79712077418900507</v>
      </c>
      <c r="I98" s="84">
        <f>VLOOKUP(CurrentMtgRatesDataTable825[[#This Row],[asOfDate]],CurrentMtgRatesDataTable825623[#All],2,0)</f>
        <v>0.74037235734233853</v>
      </c>
      <c r="J98" s="84">
        <f>VLOOKUP(CurrentMtgRatesDataTable825[[#This Row],[asOfDate]],AB:AC,2,0)</f>
        <v>0.79915808926981402</v>
      </c>
      <c r="L98" s="24">
        <v>41214</v>
      </c>
      <c r="M98" s="26">
        <v>0.92867980817147811</v>
      </c>
      <c r="N98" s="26">
        <f ca="1">VLOOKUP(CurrentMtgRatesDataTable8256[[#This Row],[asOfDate]]+1,Bloomberg!B:C,2,0)</f>
        <v>4297.7</v>
      </c>
      <c r="P98" s="24">
        <v>41214</v>
      </c>
      <c r="Q98" s="26">
        <v>0.7903315811871281</v>
      </c>
      <c r="S98" s="24">
        <v>41214</v>
      </c>
      <c r="T98" s="27">
        <v>0.79712077418900507</v>
      </c>
      <c r="V98" s="56">
        <v>41214</v>
      </c>
      <c r="W98" s="57">
        <v>0.74037235734233853</v>
      </c>
      <c r="Y98" s="1">
        <v>41214</v>
      </c>
      <c r="Z98">
        <v>0.74688385141217795</v>
      </c>
      <c r="AB98" s="1">
        <v>41214</v>
      </c>
      <c r="AC98">
        <v>0.79915808926981402</v>
      </c>
    </row>
    <row r="99" spans="2:29">
      <c r="B99" s="24">
        <v>41221</v>
      </c>
      <c r="C99" s="86">
        <v>0.94144507517949372</v>
      </c>
      <c r="D99" s="86">
        <v>0.93225794275199514</v>
      </c>
      <c r="E99" s="26">
        <f ca="1">VLOOKUP(CurrentMtgRatesDataTable825[[#This Row],[asOfDate]]+1,Bloomberg!B:C,2,0)</f>
        <v>4856.1000000000004</v>
      </c>
      <c r="F99" s="27">
        <f>VLOOKUP(CurrentMtgRatesDataTable825[[#This Row],[asOfDate]],CurrentMtgRatesDataTable8256[#All],2,0)</f>
        <v>0.92867016836240179</v>
      </c>
      <c r="G99" s="27">
        <f>VLOOKUP(CurrentMtgRatesDataTable825[[#This Row],[asOfDate]],CurrentMtgRatesDataTable82562[],2,0)</f>
        <v>0.78941596065900443</v>
      </c>
      <c r="H99" s="27">
        <f>VLOOKUP(CurrentMtgRatesDataTable825[[#This Row],[asOfDate]],S:T,2,0)</f>
        <v>0.79698536593342428</v>
      </c>
      <c r="I99" s="84">
        <f>VLOOKUP(CurrentMtgRatesDataTable825[[#This Row],[asOfDate]],CurrentMtgRatesDataTable825623[#All],2,0)</f>
        <v>0.73991276487142854</v>
      </c>
      <c r="J99" s="84">
        <f>VLOOKUP(CurrentMtgRatesDataTable825[[#This Row],[asOfDate]],AB:AC,2,0)</f>
        <v>0.79873425180913604</v>
      </c>
      <c r="L99" s="24">
        <v>41221</v>
      </c>
      <c r="M99" s="26">
        <v>0.92867016836240179</v>
      </c>
      <c r="N99" s="26">
        <f ca="1">VLOOKUP(CurrentMtgRatesDataTable8256[[#This Row],[asOfDate]]+1,Bloomberg!B:C,2,0)</f>
        <v>4856.1000000000004</v>
      </c>
      <c r="P99" s="24">
        <v>41221</v>
      </c>
      <c r="Q99" s="26">
        <v>0.78941596065900443</v>
      </c>
      <c r="S99" s="24">
        <v>41221</v>
      </c>
      <c r="T99" s="27">
        <v>0.79698536593342428</v>
      </c>
      <c r="V99" s="56">
        <v>41221</v>
      </c>
      <c r="W99" s="57">
        <v>0.73991276487142854</v>
      </c>
      <c r="Y99" s="1">
        <v>41221</v>
      </c>
      <c r="Z99">
        <v>0.74643455787814805</v>
      </c>
      <c r="AB99" s="1">
        <v>41221</v>
      </c>
      <c r="AC99">
        <v>0.79873425180913604</v>
      </c>
    </row>
    <row r="100" spans="2:29">
      <c r="B100" s="24">
        <v>41228</v>
      </c>
      <c r="C100" s="86">
        <v>0.94302774958051128</v>
      </c>
      <c r="D100" s="86">
        <v>0.95241754744895746</v>
      </c>
      <c r="E100" s="26">
        <f ca="1">VLOOKUP(CurrentMtgRatesDataTable825[[#This Row],[asOfDate]]+1,Bloomberg!B:C,2,0)</f>
        <v>4702.3999999999996</v>
      </c>
      <c r="F100" s="27">
        <f>VLOOKUP(CurrentMtgRatesDataTable825[[#This Row],[asOfDate]],CurrentMtgRatesDataTable8256[#All],2,0)</f>
        <v>0.92880125520801771</v>
      </c>
      <c r="G100" s="27">
        <f>VLOOKUP(CurrentMtgRatesDataTable825[[#This Row],[asOfDate]],CurrentMtgRatesDataTable82562[],2,0)</f>
        <v>0.81158702805411931</v>
      </c>
      <c r="H100" s="27">
        <f>VLOOKUP(CurrentMtgRatesDataTable825[[#This Row],[asOfDate]],S:T,2,0)</f>
        <v>0.81850077597759319</v>
      </c>
      <c r="I100" s="84">
        <f>VLOOKUP(CurrentMtgRatesDataTable825[[#This Row],[asOfDate]],CurrentMtgRatesDataTable825623[#All],2,0)</f>
        <v>0.76480419869010208</v>
      </c>
      <c r="J100" s="84">
        <f>VLOOKUP(CurrentMtgRatesDataTable825[[#This Row],[asOfDate]],AB:AC,2,0)</f>
        <v>0.82276956639306598</v>
      </c>
      <c r="L100" s="24">
        <v>41228</v>
      </c>
      <c r="M100" s="26">
        <v>0.92880125520801771</v>
      </c>
      <c r="N100" s="26">
        <f ca="1">VLOOKUP(CurrentMtgRatesDataTable8256[[#This Row],[asOfDate]]+1,Bloomberg!B:C,2,0)</f>
        <v>4702.3999999999996</v>
      </c>
      <c r="P100" s="24">
        <v>41228</v>
      </c>
      <c r="Q100" s="26">
        <v>0.81158702805411931</v>
      </c>
      <c r="S100" s="24">
        <v>41228</v>
      </c>
      <c r="T100" s="27">
        <v>0.81850077597759319</v>
      </c>
      <c r="V100" s="56">
        <v>41228</v>
      </c>
      <c r="W100" s="57">
        <v>0.76480419869010208</v>
      </c>
      <c r="Y100" s="1">
        <v>41228</v>
      </c>
      <c r="Z100">
        <v>0.77078227356485196</v>
      </c>
      <c r="AB100" s="1">
        <v>41228</v>
      </c>
      <c r="AC100">
        <v>0.82276956639306598</v>
      </c>
    </row>
    <row r="101" spans="2:29">
      <c r="B101" s="24">
        <v>41234</v>
      </c>
      <c r="C101" s="86">
        <v>0.94449503233862075</v>
      </c>
      <c r="D101" s="86">
        <v>0.98416259833193609</v>
      </c>
      <c r="E101" s="26" t="e">
        <f ca="1">VLOOKUP(CurrentMtgRatesDataTable825[[#This Row],[asOfDate]]+1,Bloomberg!B:C,2,0)</f>
        <v>#N/A</v>
      </c>
      <c r="F101" s="27">
        <f>VLOOKUP(CurrentMtgRatesDataTable825[[#This Row],[asOfDate]],CurrentMtgRatesDataTable8256[#All],2,0)</f>
        <v>0.95306397070735893</v>
      </c>
      <c r="G101" s="27">
        <f>VLOOKUP(CurrentMtgRatesDataTable825[[#This Row],[asOfDate]],CurrentMtgRatesDataTable82562[],2,0)</f>
        <v>0.83732764249868441</v>
      </c>
      <c r="H101" s="27">
        <f>VLOOKUP(CurrentMtgRatesDataTable825[[#This Row],[asOfDate]],S:T,2,0)</f>
        <v>0.84439089185574212</v>
      </c>
      <c r="I101" s="84">
        <f>VLOOKUP(CurrentMtgRatesDataTable825[[#This Row],[asOfDate]],CurrentMtgRatesDataTable825623[#All],2,0)</f>
        <v>0.78285539257517112</v>
      </c>
      <c r="J101" s="84">
        <f>VLOOKUP(CurrentMtgRatesDataTable825[[#This Row],[asOfDate]],AB:AC,2,0)</f>
        <v>0.84066676404946505</v>
      </c>
      <c r="L101" s="24">
        <v>41234</v>
      </c>
      <c r="M101" s="26">
        <v>0.95306397070735893</v>
      </c>
      <c r="N101" s="26" t="e">
        <f ca="1">VLOOKUP(CurrentMtgRatesDataTable8256[[#This Row],[asOfDate]]+1,Bloomberg!B:C,2,0)</f>
        <v>#N/A</v>
      </c>
      <c r="P101" s="24">
        <v>41234</v>
      </c>
      <c r="Q101" s="26">
        <v>0.83732764249868441</v>
      </c>
      <c r="S101" s="24">
        <v>41234</v>
      </c>
      <c r="T101" s="27">
        <v>0.84439089185574212</v>
      </c>
      <c r="V101" s="56">
        <v>41234</v>
      </c>
      <c r="W101" s="57">
        <v>0.78285539257517112</v>
      </c>
      <c r="Y101" s="1">
        <v>41234</v>
      </c>
      <c r="Z101">
        <v>0.78875816570701696</v>
      </c>
      <c r="AB101" s="1">
        <v>41234</v>
      </c>
      <c r="AC101">
        <v>0.84066676404946505</v>
      </c>
    </row>
    <row r="102" spans="2:29">
      <c r="B102" s="24">
        <v>41242</v>
      </c>
      <c r="C102" s="86">
        <v>0.94301120100798697</v>
      </c>
      <c r="D102" s="86">
        <v>0.95241754744895746</v>
      </c>
      <c r="E102" s="26">
        <f ca="1">VLOOKUP(CurrentMtgRatesDataTable825[[#This Row],[asOfDate]]+1,Bloomberg!B:C,2,0)</f>
        <v>4943</v>
      </c>
      <c r="F102" s="27">
        <f>VLOOKUP(CurrentMtgRatesDataTable825[[#This Row],[asOfDate]],CurrentMtgRatesDataTable8256[#All],2,0)</f>
        <v>0.92879920649220771</v>
      </c>
      <c r="G102" s="27">
        <f>VLOOKUP(CurrentMtgRatesDataTable825[[#This Row],[asOfDate]],CurrentMtgRatesDataTable82562[],2,0)</f>
        <v>0.81158050245553093</v>
      </c>
      <c r="H102" s="27">
        <f>VLOOKUP(CurrentMtgRatesDataTable825[[#This Row],[asOfDate]],S:T,2,0)</f>
        <v>0.81849486720040165</v>
      </c>
      <c r="I102" s="84">
        <f>VLOOKUP(CurrentMtgRatesDataTable825[[#This Row],[asOfDate]],CurrentMtgRatesDataTable825623[#All],2,0)</f>
        <v>0.76478774162966701</v>
      </c>
      <c r="J102" s="84">
        <f>VLOOKUP(CurrentMtgRatesDataTable825[[#This Row],[asOfDate]],AB:AC,2,0)</f>
        <v>0.82275551487300902</v>
      </c>
      <c r="L102" s="24">
        <v>41242</v>
      </c>
      <c r="M102" s="26">
        <v>0.92879920649220771</v>
      </c>
      <c r="N102" s="26">
        <f ca="1">VLOOKUP(CurrentMtgRatesDataTable8256[[#This Row],[asOfDate]]+1,Bloomberg!B:C,2,0)</f>
        <v>4943</v>
      </c>
      <c r="P102" s="24">
        <v>41242</v>
      </c>
      <c r="Q102" s="26">
        <v>0.81158050245553093</v>
      </c>
      <c r="S102" s="24">
        <v>41242</v>
      </c>
      <c r="T102" s="27">
        <v>0.81849486720040165</v>
      </c>
      <c r="V102" s="56">
        <v>41242</v>
      </c>
      <c r="W102" s="57">
        <v>0.76478774162966701</v>
      </c>
      <c r="Y102" s="1">
        <v>41242</v>
      </c>
      <c r="Z102">
        <v>0.770768222044795</v>
      </c>
      <c r="AB102" s="1">
        <v>41242</v>
      </c>
      <c r="AC102">
        <v>0.82275551487300902</v>
      </c>
    </row>
    <row r="103" spans="2:29">
      <c r="B103" s="24">
        <v>41249</v>
      </c>
      <c r="C103" s="86">
        <v>0.93075358283087861</v>
      </c>
      <c r="D103" s="86">
        <v>0.9363743239443395</v>
      </c>
      <c r="E103" s="26">
        <f ca="1">VLOOKUP(CurrentMtgRatesDataTable825[[#This Row],[asOfDate]]+1,Bloomberg!B:C,2,0)</f>
        <v>5368.1</v>
      </c>
      <c r="F103" s="27">
        <f>VLOOKUP(CurrentMtgRatesDataTable825[[#This Row],[asOfDate]],CurrentMtgRatesDataTable8256[#All],2,0)</f>
        <v>0.91462867250042379</v>
      </c>
      <c r="G103" s="27">
        <f>VLOOKUP(CurrentMtgRatesDataTable825[[#This Row],[asOfDate]],CurrentMtgRatesDataTable82562[],2,0)</f>
        <v>0.79819422857128408</v>
      </c>
      <c r="H103" s="27">
        <f>VLOOKUP(CurrentMtgRatesDataTable825[[#This Row],[asOfDate]],S:T,2,0)</f>
        <v>0.80509322996926413</v>
      </c>
      <c r="I103" s="84">
        <f>VLOOKUP(CurrentMtgRatesDataTable825[[#This Row],[asOfDate]],CurrentMtgRatesDataTable825623[#All],2,0)</f>
        <v>0.75100707648100773</v>
      </c>
      <c r="J103" s="84">
        <f>VLOOKUP(CurrentMtgRatesDataTable825[[#This Row],[asOfDate]],AB:AC,2,0)</f>
        <v>0.80649977939682505</v>
      </c>
      <c r="L103" s="24">
        <v>41249</v>
      </c>
      <c r="M103" s="26">
        <v>0.91462867250042379</v>
      </c>
      <c r="N103" s="26">
        <f ca="1">VLOOKUP(CurrentMtgRatesDataTable8256[[#This Row],[asOfDate]]+1,Bloomberg!B:C,2,0)</f>
        <v>5368.1</v>
      </c>
      <c r="P103" s="24">
        <v>41249</v>
      </c>
      <c r="Q103" s="26">
        <v>0.79819422857128408</v>
      </c>
      <c r="S103" s="24">
        <v>41249</v>
      </c>
      <c r="T103" s="27">
        <v>0.80509322996926413</v>
      </c>
      <c r="V103" s="56">
        <v>41249</v>
      </c>
      <c r="W103" s="57">
        <v>0.75100707648100773</v>
      </c>
      <c r="Y103" s="1">
        <v>41249</v>
      </c>
      <c r="Z103">
        <v>0.75684291963105699</v>
      </c>
      <c r="AB103" s="1">
        <v>41249</v>
      </c>
      <c r="AC103">
        <v>0.80649977939682505</v>
      </c>
    </row>
    <row r="104" spans="2:29">
      <c r="B104" s="24">
        <v>41256</v>
      </c>
      <c r="C104" s="86">
        <v>0.93208248912063707</v>
      </c>
      <c r="D104" s="86">
        <v>0.96443934900789374</v>
      </c>
      <c r="E104" s="26">
        <f ca="1">VLOOKUP(CurrentMtgRatesDataTable825[[#This Row],[asOfDate]]+1,Bloomberg!B:C,2,0)</f>
        <v>4564.3999999999996</v>
      </c>
      <c r="F104" s="27">
        <f>VLOOKUP(CurrentMtgRatesDataTable825[[#This Row],[asOfDate]],CurrentMtgRatesDataTable8256[#All],2,0)</f>
        <v>0.94167657117439885</v>
      </c>
      <c r="G104" s="27">
        <f>VLOOKUP(CurrentMtgRatesDataTable825[[#This Row],[asOfDate]],CurrentMtgRatesDataTable82562[],2,0)</f>
        <v>0.82430398544770933</v>
      </c>
      <c r="H104" s="27">
        <f>VLOOKUP(CurrentMtgRatesDataTable825[[#This Row],[asOfDate]],S:T,2,0)</f>
        <v>0.83135770301903678</v>
      </c>
      <c r="I104" s="84">
        <f>VLOOKUP(CurrentMtgRatesDataTable825[[#This Row],[asOfDate]],CurrentMtgRatesDataTable825623[#All],2,0)</f>
        <v>0.7687818046324969</v>
      </c>
      <c r="J104" s="84">
        <f>VLOOKUP(CurrentMtgRatesDataTable825[[#This Row],[asOfDate]],AB:AC,2,0)</f>
        <v>0.82418991295466604</v>
      </c>
      <c r="L104" s="24">
        <v>41256</v>
      </c>
      <c r="M104" s="26">
        <v>0.94167657117439885</v>
      </c>
      <c r="N104" s="26">
        <f ca="1">VLOOKUP(CurrentMtgRatesDataTable8256[[#This Row],[asOfDate]]+1,Bloomberg!B:C,2,0)</f>
        <v>4564.3999999999996</v>
      </c>
      <c r="P104" s="24">
        <v>41256</v>
      </c>
      <c r="Q104" s="26">
        <v>0.82430398544770933</v>
      </c>
      <c r="S104" s="24">
        <v>41256</v>
      </c>
      <c r="T104" s="27">
        <v>0.83135770301903678</v>
      </c>
      <c r="V104" s="56">
        <v>41256</v>
      </c>
      <c r="W104" s="57">
        <v>0.7687818046324969</v>
      </c>
      <c r="Y104" s="1">
        <v>41256</v>
      </c>
      <c r="Z104">
        <v>0.77457134947831496</v>
      </c>
      <c r="AB104" s="1">
        <v>41256</v>
      </c>
      <c r="AC104">
        <v>0.82418991295466604</v>
      </c>
    </row>
    <row r="105" spans="2:29">
      <c r="B105" s="24">
        <v>41263</v>
      </c>
      <c r="C105" s="86">
        <v>0.92997912524281168</v>
      </c>
      <c r="D105" s="86">
        <v>0.91605808355659812</v>
      </c>
      <c r="E105" s="26">
        <f ca="1">VLOOKUP(CurrentMtgRatesDataTable825[[#This Row],[asOfDate]]+1,Bloomberg!B:C,2,0)</f>
        <v>3983.2</v>
      </c>
      <c r="F105" s="27">
        <f>VLOOKUP(CurrentMtgRatesDataTable825[[#This Row],[asOfDate]],CurrentMtgRatesDataTable8256[#All],2,0)</f>
        <v>0.91459695563417198</v>
      </c>
      <c r="G105" s="27">
        <f>VLOOKUP(CurrentMtgRatesDataTable825[[#This Row],[asOfDate]],CurrentMtgRatesDataTable82562[],2,0)</f>
        <v>0.79805276253561475</v>
      </c>
      <c r="H105" s="27">
        <f>VLOOKUP(CurrentMtgRatesDataTable825[[#This Row],[asOfDate]],S:T,2,0)</f>
        <v>0.80495713977092143</v>
      </c>
      <c r="I105" s="84">
        <f>VLOOKUP(CurrentMtgRatesDataTable825[[#This Row],[asOfDate]],CurrentMtgRatesDataTable825623[#All],2,0)</f>
        <v>0.74807230422736604</v>
      </c>
      <c r="J105" s="84">
        <f>VLOOKUP(CurrentMtgRatesDataTable825[[#This Row],[asOfDate]],AB:AC,2,0)</f>
        <v>0.80390223047279097</v>
      </c>
      <c r="L105" s="24">
        <v>41263</v>
      </c>
      <c r="M105" s="26">
        <v>0.91459695563417198</v>
      </c>
      <c r="N105" s="26">
        <f ca="1">VLOOKUP(CurrentMtgRatesDataTable8256[[#This Row],[asOfDate]]+1,Bloomberg!B:C,2,0)</f>
        <v>3983.2</v>
      </c>
      <c r="P105" s="24">
        <v>41263</v>
      </c>
      <c r="Q105" s="26">
        <v>0.79805276253561475</v>
      </c>
      <c r="S105" s="24">
        <v>41263</v>
      </c>
      <c r="T105" s="27">
        <v>0.80495713977092143</v>
      </c>
      <c r="V105" s="56">
        <v>41263</v>
      </c>
      <c r="W105" s="57">
        <v>0.74807230422736604</v>
      </c>
      <c r="Y105" s="1">
        <v>41263</v>
      </c>
      <c r="Z105">
        <v>0.75403279107777299</v>
      </c>
      <c r="AB105" s="1">
        <v>41263</v>
      </c>
      <c r="AC105">
        <v>0.80390223047279097</v>
      </c>
    </row>
    <row r="106" spans="2:29">
      <c r="B106" s="24">
        <v>41270</v>
      </c>
      <c r="C106" s="86">
        <v>0.93054356216073064</v>
      </c>
      <c r="D106" s="86">
        <v>0.9363743239443395</v>
      </c>
      <c r="E106" s="26">
        <f ca="1">VLOOKUP(CurrentMtgRatesDataTable825[[#This Row],[asOfDate]]+1,Bloomberg!B:C,2,0)</f>
        <v>3488.9</v>
      </c>
      <c r="F106" s="27">
        <f>VLOOKUP(CurrentMtgRatesDataTable825[[#This Row],[asOfDate]],CurrentMtgRatesDataTable8256[#All],2,0)</f>
        <v>0.91462311468400781</v>
      </c>
      <c r="G106" s="27">
        <f>VLOOKUP(CurrentMtgRatesDataTable825[[#This Row],[asOfDate]],CurrentMtgRatesDataTable82562[],2,0)</f>
        <v>0.79817901661119839</v>
      </c>
      <c r="H106" s="27">
        <f>VLOOKUP(CurrentMtgRatesDataTable825[[#This Row],[asOfDate]],S:T,2,0)</f>
        <v>0.80507982737116601</v>
      </c>
      <c r="I106" s="84">
        <f>VLOOKUP(CurrentMtgRatesDataTable825[[#This Row],[asOfDate]],CurrentMtgRatesDataTable825623[#All],2,0)</f>
        <v>0.75035821746947151</v>
      </c>
      <c r="J106" s="84">
        <f>VLOOKUP(CurrentMtgRatesDataTable825[[#This Row],[asOfDate]],AB:AC,2,0)</f>
        <v>0.80591432289546205</v>
      </c>
      <c r="L106" s="24">
        <v>41270</v>
      </c>
      <c r="M106" s="26">
        <v>0.91462311468400781</v>
      </c>
      <c r="N106" s="26">
        <f ca="1">VLOOKUP(CurrentMtgRatesDataTable8256[[#This Row],[asOfDate]]+1,Bloomberg!B:C,2,0)</f>
        <v>3488.9</v>
      </c>
      <c r="P106" s="24">
        <v>41270</v>
      </c>
      <c r="Q106" s="26">
        <v>0.79817901661119839</v>
      </c>
      <c r="S106" s="24">
        <v>41270</v>
      </c>
      <c r="T106" s="27">
        <v>0.80507982737116601</v>
      </c>
      <c r="V106" s="56">
        <v>41270</v>
      </c>
      <c r="W106" s="57">
        <v>0.75035821746947151</v>
      </c>
      <c r="Y106" s="1">
        <v>41270</v>
      </c>
      <c r="Z106">
        <v>0.75615949589787801</v>
      </c>
      <c r="AB106" s="1">
        <v>41270</v>
      </c>
      <c r="AC106">
        <v>0.80591432289546205</v>
      </c>
    </row>
    <row r="107" spans="2:29">
      <c r="B107" s="24">
        <v>41277</v>
      </c>
      <c r="C107" s="86">
        <v>0.91144412210822534</v>
      </c>
      <c r="D107" s="86">
        <v>0.9121106716078361</v>
      </c>
      <c r="E107" s="26">
        <f ca="1">VLOOKUP(CurrentMtgRatesDataTable825[[#This Row],[asOfDate]]+1,Bloomberg!B:C,2,0)</f>
        <v>3896.4</v>
      </c>
      <c r="F107" s="27">
        <f>VLOOKUP(CurrentMtgRatesDataTable825[[#This Row],[asOfDate]],CurrentMtgRatesDataTable8256[#All],2,0)</f>
        <v>0.89326181251225278</v>
      </c>
      <c r="G107" s="27">
        <f>VLOOKUP(CurrentMtgRatesDataTable825[[#This Row],[asOfDate]],CurrentMtgRatesDataTable82562[],2,0)</f>
        <v>0.77903280650246454</v>
      </c>
      <c r="H107" s="27">
        <f>VLOOKUP(CurrentMtgRatesDataTable825[[#This Row],[asOfDate]],S:T,2,0)</f>
        <v>0.78587704060014518</v>
      </c>
      <c r="I107" s="84">
        <f>VLOOKUP(CurrentMtgRatesDataTable825[[#This Row],[asOfDate]],CurrentMtgRatesDataTable825623[#All],2,0)</f>
        <v>0.73297781488807146</v>
      </c>
      <c r="J107" s="84">
        <f>VLOOKUP(CurrentMtgRatesDataTable825[[#This Row],[asOfDate]],AB:AC,2,0)</f>
        <v>0.78440164177592298</v>
      </c>
      <c r="L107" s="24">
        <v>41277</v>
      </c>
      <c r="M107" s="26">
        <v>0.89326181251225278</v>
      </c>
      <c r="N107" s="26">
        <f ca="1">VLOOKUP(CurrentMtgRatesDataTable8256[[#This Row],[asOfDate]]+1,Bloomberg!B:C,2,0)</f>
        <v>3896.4</v>
      </c>
      <c r="P107" s="24">
        <v>41277</v>
      </c>
      <c r="Q107" s="26">
        <v>0.77903280650246454</v>
      </c>
      <c r="S107" s="24">
        <v>41277</v>
      </c>
      <c r="T107" s="27">
        <v>0.78587704060014518</v>
      </c>
      <c r="V107" s="56">
        <v>41277</v>
      </c>
      <c r="W107" s="57">
        <v>0.73297781488807146</v>
      </c>
      <c r="Y107" s="1">
        <v>41277</v>
      </c>
      <c r="Z107">
        <v>0.73841094748036995</v>
      </c>
      <c r="AB107" s="1">
        <v>41277</v>
      </c>
      <c r="AC107">
        <v>0.78440164177592298</v>
      </c>
    </row>
    <row r="108" spans="2:29">
      <c r="B108" s="24">
        <v>41284</v>
      </c>
      <c r="C108" s="86">
        <v>0.90823329404202158</v>
      </c>
      <c r="D108" s="86">
        <v>0.89149746037285094</v>
      </c>
      <c r="E108" s="26">
        <f ca="1">VLOOKUP(CurrentMtgRatesDataTable825[[#This Row],[asOfDate]]+1,Bloomberg!B:C,2,0)</f>
        <v>4554.3999999999996</v>
      </c>
      <c r="F108" s="27">
        <f>VLOOKUP(CurrentMtgRatesDataTable825[[#This Row],[asOfDate]],CurrentMtgRatesDataTable8256[#All],2,0)</f>
        <v>0.89311387348630478</v>
      </c>
      <c r="G108" s="27">
        <f>VLOOKUP(CurrentMtgRatesDataTable825[[#This Row],[asOfDate]],CurrentMtgRatesDataTable82562[],2,0)</f>
        <v>0.75573593713546339</v>
      </c>
      <c r="H108" s="27">
        <f>VLOOKUP(CurrentMtgRatesDataTable825[[#This Row],[asOfDate]],S:T,2,0)</f>
        <v>0.76318717011624149</v>
      </c>
      <c r="I108" s="84">
        <f>VLOOKUP(CurrentMtgRatesDataTable825[[#This Row],[asOfDate]],CurrentMtgRatesDataTable825623[#All],2,0)</f>
        <v>0.70742761689353828</v>
      </c>
      <c r="J108" s="84">
        <f>VLOOKUP(CurrentMtgRatesDataTable825[[#This Row],[asOfDate]],AB:AC,2,0)</f>
        <v>0.759606662501778</v>
      </c>
      <c r="L108" s="24">
        <v>41284</v>
      </c>
      <c r="M108" s="26">
        <v>0.89311387348630478</v>
      </c>
      <c r="N108" s="26">
        <f ca="1">VLOOKUP(CurrentMtgRatesDataTable8256[[#This Row],[asOfDate]]+1,Bloomberg!B:C,2,0)</f>
        <v>4554.3999999999996</v>
      </c>
      <c r="P108" s="24">
        <v>41284</v>
      </c>
      <c r="Q108" s="26">
        <v>0.75573593713546339</v>
      </c>
      <c r="S108" s="24">
        <v>41284</v>
      </c>
      <c r="T108" s="27">
        <v>0.76318717011624149</v>
      </c>
      <c r="V108" s="56">
        <v>41284</v>
      </c>
      <c r="W108" s="57">
        <v>0.70742761689353828</v>
      </c>
      <c r="Y108" s="1">
        <v>41284</v>
      </c>
      <c r="Z108">
        <v>0.71334765708304704</v>
      </c>
      <c r="AB108" s="1">
        <v>41284</v>
      </c>
      <c r="AC108">
        <v>0.759606662501778</v>
      </c>
    </row>
    <row r="109" spans="2:29">
      <c r="B109" s="24">
        <v>41291</v>
      </c>
      <c r="C109" s="86">
        <v>0.9101068245904016</v>
      </c>
      <c r="D109" s="86">
        <v>0.89149746037285094</v>
      </c>
      <c r="E109" s="26">
        <f ca="1">VLOOKUP(CurrentMtgRatesDataTable825[[#This Row],[asOfDate]]+1,Bloomberg!B:C,2,0)</f>
        <v>4937.3999999999996</v>
      </c>
      <c r="F109" s="27">
        <f>VLOOKUP(CurrentMtgRatesDataTable825[[#This Row],[asOfDate]],CurrentMtgRatesDataTable8256[#All],2,0)</f>
        <v>0.89313594354940329</v>
      </c>
      <c r="G109" s="27">
        <f>VLOOKUP(CurrentMtgRatesDataTable825[[#This Row],[asOfDate]],CurrentMtgRatesDataTable82562[],2,0)</f>
        <v>0.7782961731296214</v>
      </c>
      <c r="H109" s="27">
        <f>VLOOKUP(CurrentMtgRatesDataTable825[[#This Row],[asOfDate]],S:T,2,0)</f>
        <v>0.785144217858876</v>
      </c>
      <c r="I109" s="84">
        <f>VLOOKUP(CurrentMtgRatesDataTable825[[#This Row],[asOfDate]],CurrentMtgRatesDataTable825623[#All],2,0)</f>
        <v>0.72944046146990393</v>
      </c>
      <c r="J109" s="84">
        <f>VLOOKUP(CurrentMtgRatesDataTable825[[#This Row],[asOfDate]],AB:AC,2,0)</f>
        <v>0.78142443901466097</v>
      </c>
      <c r="L109" s="24">
        <v>41291</v>
      </c>
      <c r="M109" s="26">
        <v>0.89313594354940329</v>
      </c>
      <c r="N109" s="26">
        <f ca="1">VLOOKUP(CurrentMtgRatesDataTable8256[[#This Row],[asOfDate]]+1,Bloomberg!B:C,2,0)</f>
        <v>4937.3999999999996</v>
      </c>
      <c r="P109" s="24">
        <v>41291</v>
      </c>
      <c r="Q109" s="26">
        <v>0.7782961731296214</v>
      </c>
      <c r="S109" s="24">
        <v>41291</v>
      </c>
      <c r="T109" s="27">
        <v>0.785144217858876</v>
      </c>
      <c r="V109" s="56">
        <v>41291</v>
      </c>
      <c r="W109" s="57">
        <v>0.72944046146990393</v>
      </c>
      <c r="Y109" s="1">
        <v>41291</v>
      </c>
      <c r="Z109">
        <v>0.73522055926059904</v>
      </c>
      <c r="AB109" s="1">
        <v>41291</v>
      </c>
      <c r="AC109">
        <v>0.78142443901466097</v>
      </c>
    </row>
    <row r="110" spans="2:29">
      <c r="B110" s="24">
        <v>41298</v>
      </c>
      <c r="C110" s="86">
        <v>0.90718629343553325</v>
      </c>
      <c r="D110" s="86">
        <v>0.89149746037285094</v>
      </c>
      <c r="E110" s="26">
        <f ca="1">VLOOKUP(CurrentMtgRatesDataTable825[[#This Row],[asOfDate]]+1,Bloomberg!B:C,2,0)</f>
        <v>4433.6000000000004</v>
      </c>
      <c r="F110" s="27">
        <f>VLOOKUP(CurrentMtgRatesDataTable825[[#This Row],[asOfDate]],CurrentMtgRatesDataTable8256[#All],2,0)</f>
        <v>0.89309005512837913</v>
      </c>
      <c r="G110" s="27">
        <f>VLOOKUP(CurrentMtgRatesDataTable825[[#This Row],[asOfDate]],CurrentMtgRatesDataTable82562[],2,0)</f>
        <v>0.75445743013165401</v>
      </c>
      <c r="H110" s="27">
        <f>VLOOKUP(CurrentMtgRatesDataTable825[[#This Row],[asOfDate]],S:T,2,0)</f>
        <v>0.76190943399436351</v>
      </c>
      <c r="I110" s="84">
        <f>VLOOKUP(CurrentMtgRatesDataTable825[[#This Row],[asOfDate]],CurrentMtgRatesDataTable825623[#All],2,0)</f>
        <v>0.70454946765433357</v>
      </c>
      <c r="J110" s="84">
        <f>VLOOKUP(CurrentMtgRatesDataTable825[[#This Row],[asOfDate]],AB:AC,2,0)</f>
        <v>0.75700205657756403</v>
      </c>
      <c r="L110" s="24">
        <v>41298</v>
      </c>
      <c r="M110" s="26">
        <v>0.89309005512837913</v>
      </c>
      <c r="N110" s="26">
        <f ca="1">VLOOKUP(CurrentMtgRatesDataTable8256[[#This Row],[asOfDate]]+1,Bloomberg!B:C,2,0)</f>
        <v>4433.6000000000004</v>
      </c>
      <c r="P110" s="24">
        <v>41298</v>
      </c>
      <c r="Q110" s="26">
        <v>0.75445743013165401</v>
      </c>
      <c r="S110" s="24">
        <v>41298</v>
      </c>
      <c r="T110" s="27">
        <v>0.76190943399436351</v>
      </c>
      <c r="V110" s="56">
        <v>41298</v>
      </c>
      <c r="W110" s="57">
        <v>0.70454946765433357</v>
      </c>
      <c r="Y110" s="1">
        <v>41298</v>
      </c>
      <c r="Z110">
        <v>0.71054258834271899</v>
      </c>
      <c r="AB110" s="1">
        <v>41298</v>
      </c>
      <c r="AC110">
        <v>0.75700205657756403</v>
      </c>
    </row>
    <row r="111" spans="2:29">
      <c r="B111" s="24">
        <v>41305</v>
      </c>
      <c r="C111" s="86">
        <v>0.87062322481214993</v>
      </c>
      <c r="D111" s="86">
        <v>0.87202428386644493</v>
      </c>
      <c r="E111" s="26">
        <f ca="1">VLOOKUP(CurrentMtgRatesDataTable825[[#This Row],[asOfDate]]+1,Bloomberg!B:C,2,0)</f>
        <v>4579</v>
      </c>
      <c r="F111" s="27">
        <f>VLOOKUP(CurrentMtgRatesDataTable825[[#This Row],[asOfDate]],CurrentMtgRatesDataTable8256[#All],2,0)</f>
        <v>0.8331952647990043</v>
      </c>
      <c r="G111" s="27">
        <f>VLOOKUP(CurrentMtgRatesDataTable825[[#This Row],[asOfDate]],CurrentMtgRatesDataTable82562[],2,0)</f>
        <v>0.70069200359610684</v>
      </c>
      <c r="H111" s="27">
        <f>VLOOKUP(CurrentMtgRatesDataTable825[[#This Row],[asOfDate]],S:T,2,0)</f>
        <v>0.70861609938717229</v>
      </c>
      <c r="I111" s="84">
        <f>VLOOKUP(CurrentMtgRatesDataTable825[[#This Row],[asOfDate]],CurrentMtgRatesDataTable825623[#All],2,0)</f>
        <v>0.65383764183083803</v>
      </c>
      <c r="J111" s="84">
        <f>VLOOKUP(CurrentMtgRatesDataTable825[[#This Row],[asOfDate]],AB:AC,2,0)</f>
        <v>0.70776343414969201</v>
      </c>
      <c r="L111" s="24">
        <v>41305</v>
      </c>
      <c r="M111" s="26">
        <v>0.8331952647990043</v>
      </c>
      <c r="N111" s="26">
        <f ca="1">VLOOKUP(CurrentMtgRatesDataTable8256[[#This Row],[asOfDate]]+1,Bloomberg!B:C,2,0)</f>
        <v>4579</v>
      </c>
      <c r="P111" s="24">
        <v>41305</v>
      </c>
      <c r="Q111" s="26">
        <v>0.70069200359610684</v>
      </c>
      <c r="S111" s="24">
        <v>41305</v>
      </c>
      <c r="T111" s="27">
        <v>0.70861609938717229</v>
      </c>
      <c r="V111" s="56">
        <v>41305</v>
      </c>
      <c r="W111" s="57">
        <v>0.65383764183083803</v>
      </c>
      <c r="Y111" s="1">
        <v>41305</v>
      </c>
      <c r="Z111">
        <v>0.660601886091016</v>
      </c>
      <c r="AB111" s="1">
        <v>41305</v>
      </c>
      <c r="AC111">
        <v>0.70776343414969201</v>
      </c>
    </row>
    <row r="112" spans="2:29">
      <c r="B112" s="24">
        <v>41312</v>
      </c>
      <c r="C112" s="86">
        <v>0.83260800876880436</v>
      </c>
      <c r="D112" s="86">
        <v>0.83097405440739847</v>
      </c>
      <c r="E112" s="26">
        <f ca="1">VLOOKUP(CurrentMtgRatesDataTable825[[#This Row],[asOfDate]]+1,Bloomberg!B:C,2,0)</f>
        <v>4284.3</v>
      </c>
      <c r="F112" s="27">
        <f>VLOOKUP(CurrentMtgRatesDataTable825[[#This Row],[asOfDate]],CurrentMtgRatesDataTable8256[#All],2,0)</f>
        <v>0.81023525759205761</v>
      </c>
      <c r="G112" s="27">
        <f>VLOOKUP(CurrentMtgRatesDataTable825[[#This Row],[asOfDate]],CurrentMtgRatesDataTable82562[],2,0)</f>
        <v>0.68066390920056685</v>
      </c>
      <c r="H112" s="27">
        <f>VLOOKUP(CurrentMtgRatesDataTable825[[#This Row],[asOfDate]],S:T,2,0)</f>
        <v>0.6884953726397457</v>
      </c>
      <c r="I112" s="84">
        <f>VLOOKUP(CurrentMtgRatesDataTable825[[#This Row],[asOfDate]],CurrentMtgRatesDataTable825623[#All],2,0)</f>
        <v>0.63114301374580217</v>
      </c>
      <c r="J112" s="84">
        <f>VLOOKUP(CurrentMtgRatesDataTable825[[#This Row],[asOfDate]],AB:AC,2,0)</f>
        <v>0.68149824697650396</v>
      </c>
      <c r="L112" s="24">
        <v>41312</v>
      </c>
      <c r="M112" s="26">
        <v>0.81023525759205761</v>
      </c>
      <c r="N112" s="26">
        <f ca="1">VLOOKUP(CurrentMtgRatesDataTable8256[[#This Row],[asOfDate]]+1,Bloomberg!B:C,2,0)</f>
        <v>4284.3</v>
      </c>
      <c r="P112" s="24">
        <v>41312</v>
      </c>
      <c r="Q112" s="26">
        <v>0.68066390920056685</v>
      </c>
      <c r="S112" s="24">
        <v>41312</v>
      </c>
      <c r="T112" s="27">
        <v>0.6884953726397457</v>
      </c>
      <c r="V112" s="56">
        <v>41312</v>
      </c>
      <c r="W112" s="57">
        <v>0.63114301374580217</v>
      </c>
      <c r="Y112" s="1">
        <v>41312</v>
      </c>
      <c r="Z112">
        <v>0.63767160679092805</v>
      </c>
      <c r="AB112" s="1">
        <v>41312</v>
      </c>
      <c r="AC112">
        <v>0.68149824697650396</v>
      </c>
    </row>
    <row r="113" spans="2:29">
      <c r="B113" s="24">
        <v>41319</v>
      </c>
      <c r="C113" s="86">
        <v>0.83260800876880436</v>
      </c>
      <c r="D113" s="86">
        <v>0.83097405440739847</v>
      </c>
      <c r="E113" s="26">
        <f ca="1">VLOOKUP(CurrentMtgRatesDataTable825[[#This Row],[asOfDate]]+1,Bloomberg!B:C,2,0)</f>
        <v>4261.8</v>
      </c>
      <c r="F113" s="27">
        <f>VLOOKUP(CurrentMtgRatesDataTable825[[#This Row],[asOfDate]],CurrentMtgRatesDataTable8256[#All],2,0)</f>
        <v>0.81023525759205761</v>
      </c>
      <c r="G113" s="27">
        <f>VLOOKUP(CurrentMtgRatesDataTable825[[#This Row],[asOfDate]],CurrentMtgRatesDataTable82562[],2,0)</f>
        <v>0.68066390920056685</v>
      </c>
      <c r="H113" s="27">
        <f>VLOOKUP(CurrentMtgRatesDataTable825[[#This Row],[asOfDate]],S:T,2,0)</f>
        <v>0.6884953726397457</v>
      </c>
      <c r="I113" s="84">
        <f>VLOOKUP(CurrentMtgRatesDataTable825[[#This Row],[asOfDate]],CurrentMtgRatesDataTable825623[#All],2,0)</f>
        <v>0.63114301374580217</v>
      </c>
      <c r="J113" s="84">
        <f>VLOOKUP(CurrentMtgRatesDataTable825[[#This Row],[asOfDate]],AB:AC,2,0)</f>
        <v>0.68149824697650396</v>
      </c>
      <c r="L113" s="24">
        <v>41319</v>
      </c>
      <c r="M113" s="26">
        <v>0.81023525759205761</v>
      </c>
      <c r="N113" s="26">
        <f ca="1">VLOOKUP(CurrentMtgRatesDataTable8256[[#This Row],[asOfDate]]+1,Bloomberg!B:C,2,0)</f>
        <v>4261.8</v>
      </c>
      <c r="P113" s="24">
        <v>41319</v>
      </c>
      <c r="Q113" s="26">
        <v>0.68066390920056685</v>
      </c>
      <c r="S113" s="24">
        <v>41319</v>
      </c>
      <c r="T113" s="27">
        <v>0.6884953726397457</v>
      </c>
      <c r="V113" s="56">
        <v>41319</v>
      </c>
      <c r="W113" s="57">
        <v>0.63114301374580217</v>
      </c>
      <c r="Y113" s="1">
        <v>41319</v>
      </c>
      <c r="Z113">
        <v>0.63767160679092805</v>
      </c>
      <c r="AB113" s="1">
        <v>41319</v>
      </c>
      <c r="AC113">
        <v>0.68149824697650396</v>
      </c>
    </row>
    <row r="114" spans="2:29">
      <c r="B114" s="24">
        <v>41326</v>
      </c>
      <c r="C114" s="86">
        <v>0.80439090654511258</v>
      </c>
      <c r="D114" s="86">
        <v>0.83097405440739847</v>
      </c>
      <c r="E114" s="26">
        <f ca="1">VLOOKUP(CurrentMtgRatesDataTable825[[#This Row],[asOfDate]]+1,Bloomberg!B:C,2,0)</f>
        <v>4136.3</v>
      </c>
      <c r="F114" s="27">
        <f>VLOOKUP(CurrentMtgRatesDataTable825[[#This Row],[asOfDate]],CurrentMtgRatesDataTable8256[#All],2,0)</f>
        <v>0.75933345466765345</v>
      </c>
      <c r="G114" s="27">
        <f>VLOOKUP(CurrentMtgRatesDataTable825[[#This Row],[asOfDate]],CurrentMtgRatesDataTable82562[],2,0)</f>
        <v>0.65848868988278741</v>
      </c>
      <c r="H114" s="27">
        <f>VLOOKUP(CurrentMtgRatesDataTable825[[#This Row],[asOfDate]],S:T,2,0)</f>
        <v>0.66613472475485569</v>
      </c>
      <c r="I114" s="84">
        <f>VLOOKUP(CurrentMtgRatesDataTable825[[#This Row],[asOfDate]],CurrentMtgRatesDataTable825623[#All],2,0)</f>
        <v>0.61369684310791517</v>
      </c>
      <c r="J114" s="84">
        <f>VLOOKUP(CurrentMtgRatesDataTable825[[#This Row],[asOfDate]],AB:AC,2,0)</f>
        <v>0.66443156184372798</v>
      </c>
      <c r="L114" s="24">
        <v>41326</v>
      </c>
      <c r="M114" s="26">
        <v>0.75933345466765345</v>
      </c>
      <c r="N114" s="26">
        <f ca="1">VLOOKUP(CurrentMtgRatesDataTable8256[[#This Row],[asOfDate]]+1,Bloomberg!B:C,2,0)</f>
        <v>4136.3</v>
      </c>
      <c r="P114" s="24">
        <v>41326</v>
      </c>
      <c r="Q114" s="26">
        <v>0.65848868988278741</v>
      </c>
      <c r="S114" s="24">
        <v>41326</v>
      </c>
      <c r="T114" s="27">
        <v>0.66613472475485569</v>
      </c>
      <c r="V114" s="56">
        <v>41326</v>
      </c>
      <c r="W114" s="57">
        <v>0.61369684310791517</v>
      </c>
      <c r="Y114" s="1">
        <v>41326</v>
      </c>
      <c r="Z114">
        <v>0.62038295660610898</v>
      </c>
      <c r="AB114" s="1">
        <v>41326</v>
      </c>
      <c r="AC114">
        <v>0.66443156184372798</v>
      </c>
    </row>
    <row r="115" spans="2:29">
      <c r="B115" s="24">
        <v>41333</v>
      </c>
      <c r="C115" s="86">
        <v>0.84718356345388168</v>
      </c>
      <c r="D115" s="86">
        <v>0.84743331967987268</v>
      </c>
      <c r="E115" s="26">
        <f ca="1">VLOOKUP(CurrentMtgRatesDataTable825[[#This Row],[asOfDate]]+1,Bloomberg!B:C,2,0)</f>
        <v>4724.8999999999996</v>
      </c>
      <c r="F115" s="27">
        <f>VLOOKUP(CurrentMtgRatesDataTable825[[#This Row],[asOfDate]],CurrentMtgRatesDataTable8256[#All],2,0)</f>
        <v>0.81029528984572785</v>
      </c>
      <c r="G115" s="27">
        <f>VLOOKUP(CurrentMtgRatesDataTable825[[#This Row],[asOfDate]],CurrentMtgRatesDataTable82562[],2,0)</f>
        <v>0.68073059983518691</v>
      </c>
      <c r="H115" s="27">
        <f>VLOOKUP(CurrentMtgRatesDataTable825[[#This Row],[asOfDate]],S:T,2,0)</f>
        <v>0.68856460743428471</v>
      </c>
      <c r="I115" s="84">
        <f>VLOOKUP(CurrentMtgRatesDataTable825[[#This Row],[asOfDate]],CurrentMtgRatesDataTable825623[#All],2,0)</f>
        <v>0.63491676312975698</v>
      </c>
      <c r="J115" s="84">
        <f>VLOOKUP(CurrentMtgRatesDataTable825[[#This Row],[asOfDate]],AB:AC,2,0)</f>
        <v>0.68474077330080096</v>
      </c>
      <c r="L115" s="24">
        <v>41333</v>
      </c>
      <c r="M115" s="26">
        <v>0.81029528984572785</v>
      </c>
      <c r="N115" s="26">
        <f ca="1">VLOOKUP(CurrentMtgRatesDataTable8256[[#This Row],[asOfDate]]+1,Bloomberg!B:C,2,0)</f>
        <v>4724.8999999999996</v>
      </c>
      <c r="P115" s="24">
        <v>41333</v>
      </c>
      <c r="Q115" s="26">
        <v>0.68073059983518691</v>
      </c>
      <c r="S115" s="24">
        <v>41333</v>
      </c>
      <c r="T115" s="27">
        <v>0.68856460743428471</v>
      </c>
      <c r="V115" s="56">
        <v>41333</v>
      </c>
      <c r="W115" s="57">
        <v>0.63491676312975698</v>
      </c>
      <c r="Y115" s="1">
        <v>41333</v>
      </c>
      <c r="Z115">
        <v>0.641347168442431</v>
      </c>
      <c r="AB115" s="1">
        <v>41333</v>
      </c>
      <c r="AC115">
        <v>0.68474077330080096</v>
      </c>
    </row>
    <row r="116" spans="2:29">
      <c r="B116" s="24">
        <v>41340</v>
      </c>
      <c r="C116" s="86">
        <v>0.83402921086925264</v>
      </c>
      <c r="D116" s="86">
        <v>0.8183467812044608</v>
      </c>
      <c r="E116" s="26">
        <f ca="1">VLOOKUP(CurrentMtgRatesDataTable825[[#This Row],[asOfDate]]+1,Bloomberg!B:C,2,0)</f>
        <v>4485.2</v>
      </c>
      <c r="F116" s="27">
        <f>VLOOKUP(CurrentMtgRatesDataTable825[[#This Row],[asOfDate]],CurrentMtgRatesDataTable8256[#All],2,0)</f>
        <v>0.78624166702839782</v>
      </c>
      <c r="G116" s="27">
        <f>VLOOKUP(CurrentMtgRatesDataTable825[[#This Row],[asOfDate]],CurrentMtgRatesDataTable82562[],2,0)</f>
        <v>0.65724986454914325</v>
      </c>
      <c r="H116" s="27">
        <f>VLOOKUP(CurrentMtgRatesDataTable825[[#This Row],[asOfDate]],S:T,2,0)</f>
        <v>0.66492754235269635</v>
      </c>
      <c r="I116" s="84">
        <f>VLOOKUP(CurrentMtgRatesDataTable825[[#This Row],[asOfDate]],CurrentMtgRatesDataTable825623[#All],2,0)</f>
        <v>0.61458591818107544</v>
      </c>
      <c r="J116" s="84">
        <f>VLOOKUP(CurrentMtgRatesDataTable825[[#This Row],[asOfDate]],AB:AC,2,0)</f>
        <v>0.65965341103045605</v>
      </c>
      <c r="L116" s="24">
        <v>41340</v>
      </c>
      <c r="M116" s="26">
        <v>0.78624166702839782</v>
      </c>
      <c r="N116" s="26">
        <f ca="1">VLOOKUP(CurrentMtgRatesDataTable8256[[#This Row],[asOfDate]]+1,Bloomberg!B:C,2,0)</f>
        <v>4485.2</v>
      </c>
      <c r="P116" s="24">
        <v>41340</v>
      </c>
      <c r="Q116" s="26">
        <v>0.65724986454914325</v>
      </c>
      <c r="S116" s="24">
        <v>41340</v>
      </c>
      <c r="T116" s="27">
        <v>0.66492754235269635</v>
      </c>
      <c r="V116" s="56">
        <v>41340</v>
      </c>
      <c r="W116" s="57">
        <v>0.61458591818107544</v>
      </c>
      <c r="Y116" s="1">
        <v>41340</v>
      </c>
      <c r="Z116">
        <v>0.62037921637133797</v>
      </c>
      <c r="AB116" s="1">
        <v>41340</v>
      </c>
      <c r="AC116">
        <v>0.65965341103045605</v>
      </c>
    </row>
    <row r="117" spans="2:29">
      <c r="B117" s="24">
        <v>41347</v>
      </c>
      <c r="C117" s="86">
        <v>0.75039921033204837</v>
      </c>
      <c r="D117" s="86">
        <v>0.80206735069425628</v>
      </c>
      <c r="E117" s="26">
        <f ca="1">VLOOKUP(CurrentMtgRatesDataTable825[[#This Row],[asOfDate]]+1,Bloomberg!B:C,2,0)</f>
        <v>4111.3</v>
      </c>
      <c r="F117" s="27">
        <f>VLOOKUP(CurrentMtgRatesDataTable825[[#This Row],[asOfDate]],CurrentMtgRatesDataTable8256[#All],2,0)</f>
        <v>0.73111655922691299</v>
      </c>
      <c r="G117" s="27">
        <f>VLOOKUP(CurrentMtgRatesDataTable825[[#This Row],[asOfDate]],CurrentMtgRatesDataTable82562[],2,0)</f>
        <v>0.62014045099909187</v>
      </c>
      <c r="H117" s="27">
        <f>VLOOKUP(CurrentMtgRatesDataTable825[[#This Row],[asOfDate]],S:T,2,0)</f>
        <v>0.62785527997640145</v>
      </c>
      <c r="I117" s="84">
        <f>VLOOKUP(CurrentMtgRatesDataTable825[[#This Row],[asOfDate]],CurrentMtgRatesDataTable825623[#All],2,0)</f>
        <v>0.57544552260540727</v>
      </c>
      <c r="J117" s="84">
        <f>VLOOKUP(CurrentMtgRatesDataTable825[[#This Row],[asOfDate]],AB:AC,2,0)</f>
        <v>0.622542311024053</v>
      </c>
      <c r="L117" s="24">
        <v>41347</v>
      </c>
      <c r="M117" s="26">
        <v>0.73111655922691299</v>
      </c>
      <c r="N117" s="26">
        <f ca="1">VLOOKUP(CurrentMtgRatesDataTable8256[[#This Row],[asOfDate]]+1,Bloomberg!B:C,2,0)</f>
        <v>4111.3</v>
      </c>
      <c r="P117" s="24">
        <v>41347</v>
      </c>
      <c r="Q117" s="26">
        <v>0.62014045099909187</v>
      </c>
      <c r="S117" s="24">
        <v>41347</v>
      </c>
      <c r="T117" s="27">
        <v>0.62785527997640145</v>
      </c>
      <c r="V117" s="56">
        <v>41347</v>
      </c>
      <c r="W117" s="57">
        <v>0.57544552260540727</v>
      </c>
      <c r="Y117" s="1">
        <v>41347</v>
      </c>
      <c r="Z117">
        <v>0.58212855722770496</v>
      </c>
      <c r="AB117" s="1">
        <v>41347</v>
      </c>
      <c r="AC117">
        <v>0.622542311024053</v>
      </c>
    </row>
    <row r="118" spans="2:29">
      <c r="B118" s="24">
        <v>41354</v>
      </c>
      <c r="C118" s="86">
        <v>0.79786665858318839</v>
      </c>
      <c r="D118" s="86">
        <v>0.80206735069425628</v>
      </c>
      <c r="E118" s="26">
        <f ca="1">VLOOKUP(CurrentMtgRatesDataTable825[[#This Row],[asOfDate]]+1,Bloomberg!B:C,2,0)</f>
        <v>4412.8999999999996</v>
      </c>
      <c r="F118" s="27">
        <f>VLOOKUP(CurrentMtgRatesDataTable825[[#This Row],[asOfDate]],CurrentMtgRatesDataTable8256[#All],2,0)</f>
        <v>0.78232504101034894</v>
      </c>
      <c r="G118" s="27">
        <f>VLOOKUP(CurrentMtgRatesDataTable825[[#This Row],[asOfDate]],CurrentMtgRatesDataTable82562[],2,0)</f>
        <v>0.6562686953452237</v>
      </c>
      <c r="H118" s="27">
        <f>VLOOKUP(CurrentMtgRatesDataTable825[[#This Row],[asOfDate]],S:T,2,0)</f>
        <v>0.66394223169170952</v>
      </c>
      <c r="I118" s="84">
        <f>VLOOKUP(CurrentMtgRatesDataTable825[[#This Row],[asOfDate]],CurrentMtgRatesDataTable825623[#All],2,0)</f>
        <v>0.60905555004469225</v>
      </c>
      <c r="J118" s="84">
        <f>VLOOKUP(CurrentMtgRatesDataTable825[[#This Row],[asOfDate]],AB:AC,2,0)</f>
        <v>0.65490269555006198</v>
      </c>
      <c r="L118" s="24">
        <v>41354</v>
      </c>
      <c r="M118" s="26">
        <v>0.78232504101034894</v>
      </c>
      <c r="N118" s="26">
        <f ca="1">VLOOKUP(CurrentMtgRatesDataTable8256[[#This Row],[asOfDate]]+1,Bloomberg!B:C,2,0)</f>
        <v>4412.8999999999996</v>
      </c>
      <c r="P118" s="24">
        <v>41354</v>
      </c>
      <c r="Q118" s="26">
        <v>0.6562686953452237</v>
      </c>
      <c r="S118" s="24">
        <v>41354</v>
      </c>
      <c r="T118" s="27">
        <v>0.66394223169170952</v>
      </c>
      <c r="V118" s="56">
        <v>41354</v>
      </c>
      <c r="W118" s="57">
        <v>0.60905555004469225</v>
      </c>
      <c r="Y118" s="1">
        <v>41354</v>
      </c>
      <c r="Z118">
        <v>0.61514628767993795</v>
      </c>
      <c r="AB118" s="1">
        <v>41354</v>
      </c>
      <c r="AC118">
        <v>0.65490269555006198</v>
      </c>
    </row>
    <row r="119" spans="2:29">
      <c r="B119" s="24">
        <v>41361</v>
      </c>
      <c r="C119" s="86">
        <v>0.77419688278908672</v>
      </c>
      <c r="D119" s="86">
        <v>0.80206735069425628</v>
      </c>
      <c r="E119" s="26">
        <f ca="1">VLOOKUP(CurrentMtgRatesDataTable825[[#This Row],[asOfDate]]+1,Bloomberg!B:C,2,0)</f>
        <v>4119.2</v>
      </c>
      <c r="F119" s="27">
        <f>VLOOKUP(CurrentMtgRatesDataTable825[[#This Row],[asOfDate]],CurrentMtgRatesDataTable8256[#All],2,0)</f>
        <v>0.73126322983221848</v>
      </c>
      <c r="G119" s="27">
        <f>VLOOKUP(CurrentMtgRatesDataTable825[[#This Row],[asOfDate]],CurrentMtgRatesDataTable82562[],2,0)</f>
        <v>0.63433556022178206</v>
      </c>
      <c r="H119" s="27">
        <f>VLOOKUP(CurrentMtgRatesDataTable825[[#This Row],[asOfDate]],S:T,2,0)</f>
        <v>0.64182776636199401</v>
      </c>
      <c r="I119" s="84">
        <f>VLOOKUP(CurrentMtgRatesDataTable825[[#This Row],[asOfDate]],CurrentMtgRatesDataTable825623[#All],2,0)</f>
        <v>0.59208663893880442</v>
      </c>
      <c r="J119" s="84">
        <f>VLOOKUP(CurrentMtgRatesDataTable825[[#This Row],[asOfDate]],AB:AC,2,0)</f>
        <v>0.63814443106247998</v>
      </c>
      <c r="L119" s="24">
        <v>41361</v>
      </c>
      <c r="M119" s="26">
        <v>0.73126322983221848</v>
      </c>
      <c r="N119" s="26">
        <f ca="1">VLOOKUP(CurrentMtgRatesDataTable8256[[#This Row],[asOfDate]]+1,Bloomberg!B:C,2,0)</f>
        <v>4119.2</v>
      </c>
      <c r="P119" s="24">
        <v>41361</v>
      </c>
      <c r="Q119" s="26">
        <v>0.63433556022178206</v>
      </c>
      <c r="S119" s="24">
        <v>41361</v>
      </c>
      <c r="T119" s="27">
        <v>0.64182776636199401</v>
      </c>
      <c r="V119" s="56">
        <v>41361</v>
      </c>
      <c r="W119" s="57">
        <v>0.59208663893880442</v>
      </c>
      <c r="Y119" s="1">
        <v>41361</v>
      </c>
      <c r="Z119">
        <v>0.59825460111802897</v>
      </c>
      <c r="AB119" s="1">
        <v>41361</v>
      </c>
      <c r="AC119">
        <v>0.63814443106247998</v>
      </c>
    </row>
    <row r="120" spans="2:29">
      <c r="B120" s="24">
        <v>41368</v>
      </c>
      <c r="C120" s="86">
        <v>0.77632411843120308</v>
      </c>
      <c r="D120" s="86">
        <v>0.77488418693880523</v>
      </c>
      <c r="E120" s="26">
        <f ca="1">VLOOKUP(CurrentMtgRatesDataTable825[[#This Row],[asOfDate]]+1,Bloomberg!B:C,2,0)</f>
        <v>4528.8999999999996</v>
      </c>
      <c r="F120" s="27">
        <f>VLOOKUP(CurrentMtgRatesDataTable825[[#This Row],[asOfDate]],CurrentMtgRatesDataTable8256[#All],2,0)</f>
        <v>0.75888961446246717</v>
      </c>
      <c r="G120" s="27">
        <f>VLOOKUP(CurrentMtgRatesDataTable825[[#This Row],[asOfDate]],CurrentMtgRatesDataTable82562[],2,0)</f>
        <v>0.64025888760919014</v>
      </c>
      <c r="H120" s="27">
        <f>VLOOKUP(CurrentMtgRatesDataTable825[[#This Row],[asOfDate]],S:T,2,0)</f>
        <v>0.64790815234902699</v>
      </c>
      <c r="I120" s="84">
        <f>VLOOKUP(CurrentMtgRatesDataTable825[[#This Row],[asOfDate]],CurrentMtgRatesDataTable825623[#All],2,0)</f>
        <v>0.59809945210751836</v>
      </c>
      <c r="J120" s="84">
        <f>VLOOKUP(CurrentMtgRatesDataTable825[[#This Row],[asOfDate]],AB:AC,2,0)</f>
        <v>0.63701726572087702</v>
      </c>
      <c r="L120" s="24">
        <v>41368</v>
      </c>
      <c r="M120" s="26">
        <v>0.75888961446246717</v>
      </c>
      <c r="N120" s="26">
        <f ca="1">VLOOKUP(CurrentMtgRatesDataTable8256[[#This Row],[asOfDate]]+1,Bloomberg!B:C,2,0)</f>
        <v>4528.8999999999996</v>
      </c>
      <c r="P120" s="24">
        <v>41368</v>
      </c>
      <c r="Q120" s="26">
        <v>0.64025888760919014</v>
      </c>
      <c r="S120" s="24">
        <v>41368</v>
      </c>
      <c r="T120" s="27">
        <v>0.64790815234902699</v>
      </c>
      <c r="V120" s="56">
        <v>41368</v>
      </c>
      <c r="W120" s="57">
        <v>0.59809945210751836</v>
      </c>
      <c r="Y120" s="1">
        <v>41368</v>
      </c>
      <c r="Z120">
        <v>0.60335526195177902</v>
      </c>
      <c r="AB120" s="1">
        <v>41368</v>
      </c>
      <c r="AC120">
        <v>0.63701726572087702</v>
      </c>
    </row>
    <row r="121" spans="2:29">
      <c r="B121" s="24">
        <v>41375</v>
      </c>
      <c r="C121" s="86">
        <v>0.83647062776494652</v>
      </c>
      <c r="D121" s="86">
        <v>0.80984368872529433</v>
      </c>
      <c r="E121" s="26">
        <f ca="1">VLOOKUP(CurrentMtgRatesDataTable825[[#This Row],[asOfDate]]+1,Bloomberg!B:C,2,0)</f>
        <v>4726.8999999999996</v>
      </c>
      <c r="F121" s="27">
        <f>VLOOKUP(CurrentMtgRatesDataTable825[[#This Row],[asOfDate]],CurrentMtgRatesDataTable8256[#All],2,0)</f>
        <v>0.76309932434523087</v>
      </c>
      <c r="G121" s="27">
        <f>VLOOKUP(CurrentMtgRatesDataTable825[[#This Row],[asOfDate]],CurrentMtgRatesDataTable82562[],2,0)</f>
        <v>0.6637730812462096</v>
      </c>
      <c r="H121" s="27">
        <f>VLOOKUP(CurrentMtgRatesDataTable825[[#This Row],[asOfDate]],S:T,2,0)</f>
        <v>0.67093986203227984</v>
      </c>
      <c r="I121" s="84">
        <f>VLOOKUP(CurrentMtgRatesDataTable825[[#This Row],[asOfDate]],CurrentMtgRatesDataTable825623[#All],2,0)</f>
        <v>0.62716608193306933</v>
      </c>
      <c r="J121" s="84">
        <f>VLOOKUP(CurrentMtgRatesDataTable825[[#This Row],[asOfDate]],AB:AC,2,0)</f>
        <v>0.66472248963496305</v>
      </c>
      <c r="L121" s="24">
        <v>41375</v>
      </c>
      <c r="M121" s="26">
        <v>0.76309932434523087</v>
      </c>
      <c r="N121" s="26">
        <f ca="1">VLOOKUP(CurrentMtgRatesDataTable8256[[#This Row],[asOfDate]]+1,Bloomberg!B:C,2,0)</f>
        <v>4726.8999999999996</v>
      </c>
      <c r="P121" s="24">
        <v>41375</v>
      </c>
      <c r="Q121" s="26">
        <v>0.6637730812462096</v>
      </c>
      <c r="S121" s="24">
        <v>41375</v>
      </c>
      <c r="T121" s="27">
        <v>0.67093986203227984</v>
      </c>
      <c r="V121" s="56">
        <v>41375</v>
      </c>
      <c r="W121" s="57">
        <v>0.62716608193306933</v>
      </c>
      <c r="Y121" s="1">
        <v>41375</v>
      </c>
      <c r="Z121">
        <v>0.631756033416912</v>
      </c>
      <c r="AB121" s="1">
        <v>41375</v>
      </c>
      <c r="AC121">
        <v>0.66472248963496305</v>
      </c>
    </row>
    <row r="122" spans="2:29">
      <c r="B122" s="24">
        <v>41382</v>
      </c>
      <c r="C122" s="86">
        <v>0.84326459833377376</v>
      </c>
      <c r="D122" s="86">
        <v>0.80984368872529433</v>
      </c>
      <c r="E122" s="26">
        <f ca="1">VLOOKUP(CurrentMtgRatesDataTable825[[#This Row],[asOfDate]]+1,Bloomberg!B:C,2,0)</f>
        <v>4672.1000000000004</v>
      </c>
      <c r="F122" s="27">
        <f>VLOOKUP(CurrentMtgRatesDataTable825[[#This Row],[asOfDate]],CurrentMtgRatesDataTable8256[#All],2,0)</f>
        <v>0.82449537522534488</v>
      </c>
      <c r="G122" s="27">
        <f>VLOOKUP(CurrentMtgRatesDataTable825[[#This Row],[asOfDate]],CurrentMtgRatesDataTable82562[],2,0)</f>
        <v>0.695622626584674</v>
      </c>
      <c r="H122" s="27">
        <f>VLOOKUP(CurrentMtgRatesDataTable825[[#This Row],[asOfDate]],S:T,2,0)</f>
        <v>0.70290697718981421</v>
      </c>
      <c r="I122" s="84">
        <f>VLOOKUP(CurrentMtgRatesDataTable825[[#This Row],[asOfDate]],CurrentMtgRatesDataTable825623[#All],2,0)</f>
        <v>0.65452696598777205</v>
      </c>
      <c r="J122" s="84">
        <f>VLOOKUP(CurrentMtgRatesDataTable825[[#This Row],[asOfDate]],AB:AC,2,0)</f>
        <v>0.691617287637183</v>
      </c>
      <c r="L122" s="24">
        <v>41382</v>
      </c>
      <c r="M122" s="26">
        <v>0.82449537522534488</v>
      </c>
      <c r="N122" s="26">
        <f ca="1">VLOOKUP(CurrentMtgRatesDataTable8256[[#This Row],[asOfDate]]+1,Bloomberg!B:C,2,0)</f>
        <v>4672.1000000000004</v>
      </c>
      <c r="P122" s="24">
        <v>41382</v>
      </c>
      <c r="Q122" s="26">
        <v>0.695622626584674</v>
      </c>
      <c r="S122" s="24">
        <v>41382</v>
      </c>
      <c r="T122" s="27">
        <v>0.70290697718981421</v>
      </c>
      <c r="V122" s="56">
        <v>41382</v>
      </c>
      <c r="W122" s="57">
        <v>0.65452696598777205</v>
      </c>
      <c r="Y122" s="1">
        <v>41382</v>
      </c>
      <c r="Z122">
        <v>0.65891124498231801</v>
      </c>
      <c r="AB122" s="1">
        <v>41382</v>
      </c>
      <c r="AC122">
        <v>0.691617287637183</v>
      </c>
    </row>
    <row r="123" spans="2:29">
      <c r="B123" s="24">
        <v>41389</v>
      </c>
      <c r="C123" s="86">
        <v>0.84251881732270073</v>
      </c>
      <c r="D123" s="86">
        <v>0.80984368872529433</v>
      </c>
      <c r="E123" s="26">
        <f ca="1">VLOOKUP(CurrentMtgRatesDataTable825[[#This Row],[asOfDate]]+1,Bloomberg!B:C,2,0)</f>
        <v>4854.1000000000004</v>
      </c>
      <c r="F123" s="27">
        <f>VLOOKUP(CurrentMtgRatesDataTable825[[#This Row],[asOfDate]],CurrentMtgRatesDataTable8256[#All],2,0)</f>
        <v>0.82447540826292098</v>
      </c>
      <c r="G123" s="27">
        <f>VLOOKUP(CurrentMtgRatesDataTable825[[#This Row],[asOfDate]],CurrentMtgRatesDataTable82562[],2,0)</f>
        <v>0.69553149400315528</v>
      </c>
      <c r="H123" s="27">
        <f>VLOOKUP(CurrentMtgRatesDataTable825[[#This Row],[asOfDate]],S:T,2,0)</f>
        <v>0.70281611264171606</v>
      </c>
      <c r="I123" s="84">
        <f>VLOOKUP(CurrentMtgRatesDataTable825[[#This Row],[asOfDate]],CurrentMtgRatesDataTable825623[#All],2,0)</f>
        <v>0.65157246412580749</v>
      </c>
      <c r="J123" s="84">
        <f>VLOOKUP(CurrentMtgRatesDataTable825[[#This Row],[asOfDate]],AB:AC,2,0)</f>
        <v>0.68894417616710202</v>
      </c>
      <c r="L123" s="24">
        <v>41389</v>
      </c>
      <c r="M123" s="26">
        <v>0.82447540826292098</v>
      </c>
      <c r="N123" s="26">
        <f ca="1">VLOOKUP(CurrentMtgRatesDataTable8256[[#This Row],[asOfDate]]+1,Bloomberg!B:C,2,0)</f>
        <v>4854.1000000000004</v>
      </c>
      <c r="P123" s="24">
        <v>41389</v>
      </c>
      <c r="Q123" s="26">
        <v>0.69553149400315528</v>
      </c>
      <c r="S123" s="24">
        <v>41389</v>
      </c>
      <c r="T123" s="27">
        <v>0.70281611264171606</v>
      </c>
      <c r="V123" s="56">
        <v>41389</v>
      </c>
      <c r="W123" s="57">
        <v>0.65157246412580749</v>
      </c>
      <c r="Y123" s="1">
        <v>41389</v>
      </c>
      <c r="Z123">
        <v>0.65607814964228905</v>
      </c>
      <c r="AB123" s="1">
        <v>41389</v>
      </c>
      <c r="AC123">
        <v>0.68894417616710202</v>
      </c>
    </row>
    <row r="124" spans="2:29">
      <c r="B124" s="24">
        <v>41396</v>
      </c>
      <c r="C124" s="86">
        <v>0.83592695906500303</v>
      </c>
      <c r="D124" s="86">
        <v>0.8393194670683074</v>
      </c>
      <c r="E124" s="26">
        <f ca="1">VLOOKUP(CurrentMtgRatesDataTable825[[#This Row],[asOfDate]]+1,Bloomberg!B:C,2,0)</f>
        <v>5279.9</v>
      </c>
      <c r="F124" s="27">
        <f>VLOOKUP(CurrentMtgRatesDataTable825[[#This Row],[asOfDate]],CurrentMtgRatesDataTable8256[#All],2,0)</f>
        <v>0.81093209114269571</v>
      </c>
      <c r="G124" s="27">
        <f>VLOOKUP(CurrentMtgRatesDataTable825[[#This Row],[asOfDate]],CurrentMtgRatesDataTable82562[],2,0)</f>
        <v>0.71409535481591846</v>
      </c>
      <c r="H124" s="27">
        <f>VLOOKUP(CurrentMtgRatesDataTable825[[#This Row],[asOfDate]],S:T,2,0)</f>
        <v>0.72094528388633183</v>
      </c>
      <c r="I124" s="84">
        <f>VLOOKUP(CurrentMtgRatesDataTable825[[#This Row],[asOfDate]],CurrentMtgRatesDataTable825623[#All],2,0)</f>
        <v>0.67537337584507506</v>
      </c>
      <c r="J124" s="84">
        <f>VLOOKUP(CurrentMtgRatesDataTable825[[#This Row],[asOfDate]],AB:AC,2,0)</f>
        <v>0.70646423511043499</v>
      </c>
      <c r="L124" s="24">
        <v>41396</v>
      </c>
      <c r="M124" s="26">
        <v>0.81093209114269571</v>
      </c>
      <c r="N124" s="26">
        <f ca="1">VLOOKUP(CurrentMtgRatesDataTable8256[[#This Row],[asOfDate]]+1,Bloomberg!B:C,2,0)</f>
        <v>5279.9</v>
      </c>
      <c r="P124" s="24">
        <v>41396</v>
      </c>
      <c r="Q124" s="26">
        <v>0.71409535481591846</v>
      </c>
      <c r="S124" s="24">
        <v>41396</v>
      </c>
      <c r="T124" s="27">
        <v>0.72094528388633183</v>
      </c>
      <c r="V124" s="56">
        <v>41396</v>
      </c>
      <c r="W124" s="57">
        <v>0.67537337584507506</v>
      </c>
      <c r="Y124" s="1">
        <v>41396</v>
      </c>
      <c r="Z124">
        <v>0.67877644527472603</v>
      </c>
      <c r="AB124" s="1">
        <v>41396</v>
      </c>
      <c r="AC124">
        <v>0.70646423511043499</v>
      </c>
    </row>
    <row r="125" spans="2:29">
      <c r="B125" s="24">
        <v>41403</v>
      </c>
      <c r="C125" s="86">
        <v>0.82847793276947834</v>
      </c>
      <c r="D125" s="86">
        <v>0.78671531651286708</v>
      </c>
      <c r="E125" s="26">
        <f ca="1">VLOOKUP(CurrentMtgRatesDataTable825[[#This Row],[asOfDate]]+1,Bloomberg!B:C,2,0)</f>
        <v>4797.2</v>
      </c>
      <c r="F125" s="27">
        <f>VLOOKUP(CurrentMtgRatesDataTable825[[#This Row],[asOfDate]],CurrentMtgRatesDataTable8256[#All],2,0)</f>
        <v>0.81067760043559867</v>
      </c>
      <c r="G125" s="27">
        <f>VLOOKUP(CurrentMtgRatesDataTable825[[#This Row],[asOfDate]],CurrentMtgRatesDataTable82562[],2,0)</f>
        <v>0.68515952942868741</v>
      </c>
      <c r="H125" s="27">
        <f>VLOOKUP(CurrentMtgRatesDataTable825[[#This Row],[asOfDate]],S:T,2,0)</f>
        <v>0.69246979917415841</v>
      </c>
      <c r="I125" s="84">
        <f>VLOOKUP(CurrentMtgRatesDataTable825[[#This Row],[asOfDate]],CurrentMtgRatesDataTable825623[#All],2,0)</f>
        <v>0.64540614198338686</v>
      </c>
      <c r="J125" s="84">
        <f>VLOOKUP(CurrentMtgRatesDataTable825[[#This Row],[asOfDate]],AB:AC,2,0)</f>
        <v>0.67710126151444505</v>
      </c>
      <c r="L125" s="24">
        <v>41403</v>
      </c>
      <c r="M125" s="26">
        <v>0.81067760043559867</v>
      </c>
      <c r="N125" s="26">
        <f ca="1">VLOOKUP(CurrentMtgRatesDataTable8256[[#This Row],[asOfDate]]+1,Bloomberg!B:C,2,0)</f>
        <v>4797.2</v>
      </c>
      <c r="P125" s="24">
        <v>41403</v>
      </c>
      <c r="Q125" s="26">
        <v>0.68515952942868741</v>
      </c>
      <c r="S125" s="24">
        <v>41403</v>
      </c>
      <c r="T125" s="27">
        <v>0.69246979917415841</v>
      </c>
      <c r="V125" s="56">
        <v>41403</v>
      </c>
      <c r="W125" s="57">
        <v>0.64540614198338686</v>
      </c>
      <c r="Y125" s="1">
        <v>41403</v>
      </c>
      <c r="Z125">
        <v>0.64919648492136195</v>
      </c>
      <c r="AB125" s="1">
        <v>41403</v>
      </c>
      <c r="AC125">
        <v>0.67710126151444505</v>
      </c>
    </row>
    <row r="126" spans="2:29">
      <c r="B126" s="24">
        <v>41410</v>
      </c>
      <c r="C126" s="86">
        <v>0.80144782202367137</v>
      </c>
      <c r="D126" s="86">
        <v>0.76794266759218222</v>
      </c>
      <c r="E126" s="26">
        <f ca="1">VLOOKUP(CurrentMtgRatesDataTable825[[#This Row],[asOfDate]]+1,Bloomberg!B:C,2,0)</f>
        <v>4241.5</v>
      </c>
      <c r="F126" s="27">
        <f>VLOOKUP(CurrentMtgRatesDataTable825[[#This Row],[asOfDate]],CurrentMtgRatesDataTable8256[#All],2,0)</f>
        <v>0.74620755103308722</v>
      </c>
      <c r="G126" s="27">
        <f>VLOOKUP(CurrentMtgRatesDataTable825[[#This Row],[asOfDate]],CurrentMtgRatesDataTable82562[],2,0)</f>
        <v>0.6494790290250736</v>
      </c>
      <c r="H126" s="27">
        <f>VLOOKUP(CurrentMtgRatesDataTable825[[#This Row],[asOfDate]],S:T,2,0)</f>
        <v>0.65667808288144003</v>
      </c>
      <c r="I126" s="84">
        <f>VLOOKUP(CurrentMtgRatesDataTable825[[#This Row],[asOfDate]],CurrentMtgRatesDataTable825623[#All],2,0)</f>
        <v>0.61371644626137789</v>
      </c>
      <c r="J126" s="84">
        <f>VLOOKUP(CurrentMtgRatesDataTable825[[#This Row],[asOfDate]],AB:AC,2,0)</f>
        <v>0.64608424059300296</v>
      </c>
      <c r="L126" s="24">
        <v>41410</v>
      </c>
      <c r="M126" s="26">
        <v>0.74620755103308722</v>
      </c>
      <c r="N126" s="26">
        <f ca="1">VLOOKUP(CurrentMtgRatesDataTable8256[[#This Row],[asOfDate]]+1,Bloomberg!B:C,2,0)</f>
        <v>4241.5</v>
      </c>
      <c r="P126" s="24">
        <v>41410</v>
      </c>
      <c r="Q126" s="26">
        <v>0.6494790290250736</v>
      </c>
      <c r="S126" s="24">
        <v>41410</v>
      </c>
      <c r="T126" s="27">
        <v>0.65667808288144003</v>
      </c>
      <c r="V126" s="56">
        <v>41410</v>
      </c>
      <c r="W126" s="57">
        <v>0.61371644626137789</v>
      </c>
      <c r="Y126" s="1">
        <v>41410</v>
      </c>
      <c r="Z126">
        <v>0.61789930294269302</v>
      </c>
      <c r="AB126" s="1">
        <v>41410</v>
      </c>
      <c r="AC126">
        <v>0.64608424059300296</v>
      </c>
    </row>
    <row r="127" spans="2:29">
      <c r="B127" s="24">
        <v>41417</v>
      </c>
      <c r="C127" s="86">
        <v>0.73856242915400727</v>
      </c>
      <c r="D127" s="86">
        <v>0.75182333450759131</v>
      </c>
      <c r="E127" s="26">
        <f ca="1">VLOOKUP(CurrentMtgRatesDataTable825[[#This Row],[asOfDate]]+1,Bloomberg!B:C,2,0)</f>
        <v>3709.4</v>
      </c>
      <c r="F127" s="27">
        <f>VLOOKUP(CurrentMtgRatesDataTable825[[#This Row],[asOfDate]],CurrentMtgRatesDataTable8256[#All],2,0)</f>
        <v>0.68879869829190365</v>
      </c>
      <c r="G127" s="27">
        <f>VLOOKUP(CurrentMtgRatesDataTable825[[#This Row],[asOfDate]],CurrentMtgRatesDataTable82562[],2,0)</f>
        <v>0.6051404208222666</v>
      </c>
      <c r="H127" s="27">
        <f>VLOOKUP(CurrentMtgRatesDataTable825[[#This Row],[asOfDate]],S:T,2,0)</f>
        <v>0.61265051606608523</v>
      </c>
      <c r="I127" s="84">
        <f>VLOOKUP(CurrentMtgRatesDataTable825[[#This Row],[asOfDate]],CurrentMtgRatesDataTable825623[#All],2,0)</f>
        <v>0.57161053072002388</v>
      </c>
      <c r="J127" s="84">
        <f>VLOOKUP(CurrentMtgRatesDataTable825[[#This Row],[asOfDate]],AB:AC,2,0)</f>
        <v>0.60492342195832605</v>
      </c>
      <c r="L127" s="24">
        <v>41417</v>
      </c>
      <c r="M127" s="26">
        <v>0.68879869829190365</v>
      </c>
      <c r="N127" s="26">
        <f ca="1">VLOOKUP(CurrentMtgRatesDataTable8256[[#This Row],[asOfDate]]+1,Bloomberg!B:C,2,0)</f>
        <v>3709.4</v>
      </c>
      <c r="P127" s="24">
        <v>41417</v>
      </c>
      <c r="Q127" s="26">
        <v>0.6051404208222666</v>
      </c>
      <c r="S127" s="24">
        <v>41417</v>
      </c>
      <c r="T127" s="27">
        <v>0.61265051606608523</v>
      </c>
      <c r="V127" s="56">
        <v>41417</v>
      </c>
      <c r="W127" s="57">
        <v>0.57161053072002388</v>
      </c>
      <c r="Y127" s="1">
        <v>41417</v>
      </c>
      <c r="Z127">
        <v>0.57624856200420604</v>
      </c>
      <c r="AB127" s="1">
        <v>41417</v>
      </c>
      <c r="AC127">
        <v>0.60492342195832605</v>
      </c>
    </row>
    <row r="128" spans="2:29">
      <c r="B128" s="24">
        <v>41424</v>
      </c>
      <c r="C128" s="86">
        <v>0.67369650735217201</v>
      </c>
      <c r="D128" s="86">
        <v>0.65459198280917597</v>
      </c>
      <c r="E128" s="26">
        <f ca="1">VLOOKUP(CurrentMtgRatesDataTable825[[#This Row],[asOfDate]]+1,Bloomberg!B:C,2,0)</f>
        <v>3163.6</v>
      </c>
      <c r="F128" s="27">
        <f>VLOOKUP(CurrentMtgRatesDataTable825[[#This Row],[asOfDate]],CurrentMtgRatesDataTable8256[#All],2,0)</f>
        <v>0.60503526915664596</v>
      </c>
      <c r="G128" s="27">
        <f>VLOOKUP(CurrentMtgRatesDataTable825[[#This Row],[asOfDate]],CurrentMtgRatesDataTable82562[],2,0)</f>
        <v>0.52721345464386349</v>
      </c>
      <c r="H128" s="27">
        <f>VLOOKUP(CurrentMtgRatesDataTable825[[#This Row],[asOfDate]],S:T,2,0)</f>
        <v>0.53483965838657976</v>
      </c>
      <c r="I128" s="84">
        <f>VLOOKUP(CurrentMtgRatesDataTable825[[#This Row],[asOfDate]],CurrentMtgRatesDataTable825623[#All],2,0)</f>
        <v>0.49281389771726519</v>
      </c>
      <c r="J128" s="84">
        <f>VLOOKUP(CurrentMtgRatesDataTable825[[#This Row],[asOfDate]],AB:AC,2,0)</f>
        <v>0.52986130193183101</v>
      </c>
      <c r="L128" s="24">
        <v>41424</v>
      </c>
      <c r="M128" s="26">
        <v>0.60503526915664596</v>
      </c>
      <c r="N128" s="26">
        <f ca="1">VLOOKUP(CurrentMtgRatesDataTable8256[[#This Row],[asOfDate]]+1,Bloomberg!B:C,2,0)</f>
        <v>3163.6</v>
      </c>
      <c r="P128" s="24">
        <v>41424</v>
      </c>
      <c r="Q128" s="26">
        <v>0.52721345464386349</v>
      </c>
      <c r="S128" s="24">
        <v>41424</v>
      </c>
      <c r="T128" s="27">
        <v>0.53483965838657976</v>
      </c>
      <c r="V128" s="56">
        <v>41424</v>
      </c>
      <c r="W128" s="57">
        <v>0.49281389771726519</v>
      </c>
      <c r="Y128" s="1">
        <v>41424</v>
      </c>
      <c r="Z128">
        <v>0.49900003894999101</v>
      </c>
      <c r="AB128" s="1">
        <v>41424</v>
      </c>
      <c r="AC128">
        <v>0.52986130193183101</v>
      </c>
    </row>
    <row r="129" spans="2:29">
      <c r="B129" s="24">
        <v>41431</v>
      </c>
      <c r="C129" s="86">
        <v>0.64286297380273072</v>
      </c>
      <c r="D129" s="86">
        <v>0.6209670313448894</v>
      </c>
      <c r="E129" s="26">
        <f ca="1">VLOOKUP(CurrentMtgRatesDataTable825[[#This Row],[asOfDate]]+1,Bloomberg!B:C,2,0)</f>
        <v>3339.8</v>
      </c>
      <c r="F129" s="27">
        <f>VLOOKUP(CurrentMtgRatesDataTable825[[#This Row],[asOfDate]],CurrentMtgRatesDataTable8256[#All],2,0)</f>
        <v>0.58039665812793095</v>
      </c>
      <c r="G129" s="27">
        <f>VLOOKUP(CurrentMtgRatesDataTable825[[#This Row],[asOfDate]],CurrentMtgRatesDataTable82562[],2,0)</f>
        <v>0.4891944540160782</v>
      </c>
      <c r="H129" s="27">
        <f>VLOOKUP(CurrentMtgRatesDataTable825[[#This Row],[asOfDate]],S:T,2,0)</f>
        <v>0.49694449948610975</v>
      </c>
      <c r="I129" s="84">
        <f>VLOOKUP(CurrentMtgRatesDataTable825[[#This Row],[asOfDate]],CurrentMtgRatesDataTable825623[#All],2,0)</f>
        <v>0.45700453068812052</v>
      </c>
      <c r="J129" s="84">
        <f>VLOOKUP(CurrentMtgRatesDataTable825[[#This Row],[asOfDate]],AB:AC,2,0)</f>
        <v>0.48936320762315699</v>
      </c>
      <c r="L129" s="24">
        <v>41431</v>
      </c>
      <c r="M129" s="26">
        <v>0.58039665812793095</v>
      </c>
      <c r="N129" s="26">
        <f ca="1">VLOOKUP(CurrentMtgRatesDataTable8256[[#This Row],[asOfDate]]+1,Bloomberg!B:C,2,0)</f>
        <v>3339.8</v>
      </c>
      <c r="P129" s="24">
        <v>41431</v>
      </c>
      <c r="Q129" s="26">
        <v>0.4891944540160782</v>
      </c>
      <c r="S129" s="24">
        <v>41431</v>
      </c>
      <c r="T129" s="27">
        <v>0.49694449948610975</v>
      </c>
      <c r="V129" s="56">
        <v>41431</v>
      </c>
      <c r="W129" s="57">
        <v>0.45700453068812052</v>
      </c>
      <c r="Y129" s="1">
        <v>41431</v>
      </c>
      <c r="Z129">
        <v>0.46273323671411698</v>
      </c>
      <c r="AB129" s="1">
        <v>41431</v>
      </c>
      <c r="AC129">
        <v>0.48936320762315699</v>
      </c>
    </row>
    <row r="130" spans="2:29">
      <c r="B130" s="24">
        <v>41438</v>
      </c>
      <c r="C130" s="86">
        <v>0.61407900191108244</v>
      </c>
      <c r="D130" s="86">
        <v>0.60903472456401908</v>
      </c>
      <c r="E130" s="26">
        <f ca="1">VLOOKUP(CurrentMtgRatesDataTable825[[#This Row],[asOfDate]]+1,Bloomberg!B:C,2,0)</f>
        <v>3214.4</v>
      </c>
      <c r="F130" s="27">
        <f>VLOOKUP(CurrentMtgRatesDataTable825[[#This Row],[asOfDate]],CurrentMtgRatesDataTable8256[#All],2,0)</f>
        <v>0.53516783439685534</v>
      </c>
      <c r="G130" s="27">
        <f>VLOOKUP(CurrentMtgRatesDataTable825[[#This Row],[asOfDate]],CurrentMtgRatesDataTable82562[],2,0)</f>
        <v>0.46639665698988902</v>
      </c>
      <c r="H130" s="27">
        <f>VLOOKUP(CurrentMtgRatesDataTable825[[#This Row],[asOfDate]],S:T,2,0)</f>
        <v>0.47397924667640279</v>
      </c>
      <c r="I130" s="84">
        <f>VLOOKUP(CurrentMtgRatesDataTable825[[#This Row],[asOfDate]],CurrentMtgRatesDataTable825623[#All],2,0)</f>
        <v>0.4344487152177407</v>
      </c>
      <c r="J130" s="84">
        <f>VLOOKUP(CurrentMtgRatesDataTable825[[#This Row],[asOfDate]],AB:AC,2,0)</f>
        <v>0.46803712037587902</v>
      </c>
      <c r="L130" s="24">
        <v>41438</v>
      </c>
      <c r="M130" s="26">
        <v>0.53516783439685534</v>
      </c>
      <c r="N130" s="26">
        <f ca="1">VLOOKUP(CurrentMtgRatesDataTable8256[[#This Row],[asOfDate]]+1,Bloomberg!B:C,2,0)</f>
        <v>3214.4</v>
      </c>
      <c r="P130" s="24">
        <v>41438</v>
      </c>
      <c r="Q130" s="26">
        <v>0.46639665698988902</v>
      </c>
      <c r="S130" s="24">
        <v>41438</v>
      </c>
      <c r="T130" s="27">
        <v>0.47397924667640279</v>
      </c>
      <c r="V130" s="56">
        <v>41438</v>
      </c>
      <c r="W130" s="57">
        <v>0.4344487152177407</v>
      </c>
      <c r="Y130" s="1">
        <v>41438</v>
      </c>
      <c r="Z130">
        <v>0.44072380110037201</v>
      </c>
      <c r="AB130" s="1">
        <v>41438</v>
      </c>
      <c r="AC130">
        <v>0.46803712037587902</v>
      </c>
    </row>
    <row r="131" spans="2:29">
      <c r="B131" s="24">
        <v>41445</v>
      </c>
      <c r="C131" s="86">
        <v>0.62890082024771521</v>
      </c>
      <c r="D131" s="86">
        <v>0.6209670313448894</v>
      </c>
      <c r="E131" s="26">
        <f ca="1">VLOOKUP(CurrentMtgRatesDataTable825[[#This Row],[asOfDate]]+1,Bloomberg!B:C,2,0)</f>
        <v>3040.1</v>
      </c>
      <c r="F131" s="27">
        <f>VLOOKUP(CurrentMtgRatesDataTable825[[#This Row],[asOfDate]],CurrentMtgRatesDataTable8256[#All],2,0)</f>
        <v>0.5352370883375368</v>
      </c>
      <c r="G131" s="27">
        <f>VLOOKUP(CurrentMtgRatesDataTable825[[#This Row],[asOfDate]],CurrentMtgRatesDataTable82562[],2,0)</f>
        <v>0.46645564331496181</v>
      </c>
      <c r="H131" s="27">
        <f>VLOOKUP(CurrentMtgRatesDataTable825[[#This Row],[asOfDate]],S:T,2,0)</f>
        <v>0.47403756846371675</v>
      </c>
      <c r="I131" s="84">
        <f>VLOOKUP(CurrentMtgRatesDataTable825[[#This Row],[asOfDate]],CurrentMtgRatesDataTable825623[#All],2,0)</f>
        <v>0.43496628993259662</v>
      </c>
      <c r="J131" s="84">
        <f>VLOOKUP(CurrentMtgRatesDataTable825[[#This Row],[asOfDate]],AB:AC,2,0)</f>
        <v>0.46841833416873302</v>
      </c>
      <c r="L131" s="24">
        <v>41445</v>
      </c>
      <c r="M131" s="26">
        <v>0.5352370883375368</v>
      </c>
      <c r="N131" s="26">
        <f ca="1">VLOOKUP(CurrentMtgRatesDataTable8256[[#This Row],[asOfDate]]+1,Bloomberg!B:C,2,0)</f>
        <v>3040.1</v>
      </c>
      <c r="P131" s="24">
        <v>41445</v>
      </c>
      <c r="Q131" s="26">
        <v>0.46645564331496181</v>
      </c>
      <c r="S131" s="24">
        <v>41445</v>
      </c>
      <c r="T131" s="27">
        <v>0.47403756846371675</v>
      </c>
      <c r="V131" s="56">
        <v>41445</v>
      </c>
      <c r="W131" s="57">
        <v>0.43496628993259662</v>
      </c>
      <c r="Y131" s="1">
        <v>41445</v>
      </c>
      <c r="Z131">
        <v>0.441195770169867</v>
      </c>
      <c r="AB131" s="1">
        <v>41445</v>
      </c>
      <c r="AC131">
        <v>0.46841833416873302</v>
      </c>
    </row>
    <row r="132" spans="2:29">
      <c r="B132" s="24">
        <v>41452</v>
      </c>
      <c r="C132" s="86">
        <v>0.42759723325368659</v>
      </c>
      <c r="D132" s="86">
        <v>0.44196416203739941</v>
      </c>
      <c r="E132" s="26">
        <f ca="1">VLOOKUP(CurrentMtgRatesDataTable825[[#This Row],[asOfDate]]+1,Bloomberg!B:C,2,0)</f>
        <v>2573.4</v>
      </c>
      <c r="F132" s="27">
        <f>VLOOKUP(CurrentMtgRatesDataTable825[[#This Row],[asOfDate]],CurrentMtgRatesDataTable8256[#All],2,0)</f>
        <v>0.31802392696495574</v>
      </c>
      <c r="G132" s="27">
        <f>VLOOKUP(CurrentMtgRatesDataTable825[[#This Row],[asOfDate]],CurrentMtgRatesDataTable82562[],2,0)</f>
        <v>0.24762221189085226</v>
      </c>
      <c r="H132" s="27">
        <f>VLOOKUP(CurrentMtgRatesDataTable825[[#This Row],[asOfDate]],S:T,2,0)</f>
        <v>0.25403206756592833</v>
      </c>
      <c r="I132" s="84">
        <f>VLOOKUP(CurrentMtgRatesDataTable825[[#This Row],[asOfDate]],CurrentMtgRatesDataTable825623[#All],2,0)</f>
        <v>0.2199872648895852</v>
      </c>
      <c r="J132" s="84">
        <f>VLOOKUP(CurrentMtgRatesDataTable825[[#This Row],[asOfDate]],AB:AC,2,0)</f>
        <v>0.25930726321944902</v>
      </c>
      <c r="L132" s="24">
        <v>41452</v>
      </c>
      <c r="M132" s="26">
        <v>0.31802392696495574</v>
      </c>
      <c r="N132" s="26">
        <f ca="1">VLOOKUP(CurrentMtgRatesDataTable8256[[#This Row],[asOfDate]]+1,Bloomberg!B:C,2,0)</f>
        <v>2573.4</v>
      </c>
      <c r="P132" s="24">
        <v>41452</v>
      </c>
      <c r="Q132" s="26">
        <v>0.24762221189085226</v>
      </c>
      <c r="S132" s="24">
        <v>41452</v>
      </c>
      <c r="T132" s="27">
        <v>0.25403206756592833</v>
      </c>
      <c r="V132" s="56">
        <v>41452</v>
      </c>
      <c r="W132" s="57">
        <v>0.2199872648895852</v>
      </c>
      <c r="Y132" s="1">
        <v>41452</v>
      </c>
      <c r="Z132">
        <v>0.229374556333794</v>
      </c>
      <c r="AB132" s="1">
        <v>41452</v>
      </c>
      <c r="AC132">
        <v>0.25930726321944902</v>
      </c>
    </row>
    <row r="133" spans="2:29">
      <c r="B133" s="24">
        <v>41458</v>
      </c>
      <c r="C133" s="86">
        <v>0.49671929032153261</v>
      </c>
      <c r="D133" s="86">
        <v>0.50243636475242492</v>
      </c>
      <c r="E133" s="26" t="e">
        <f ca="1">VLOOKUP(CurrentMtgRatesDataTable825[[#This Row],[asOfDate]]+1,Bloomberg!B:C,2,0)</f>
        <v>#N/A</v>
      </c>
      <c r="F133" s="27">
        <f>VLOOKUP(CurrentMtgRatesDataTable825[[#This Row],[asOfDate]],CurrentMtgRatesDataTable8256[#All],2,0)</f>
        <v>0.44137433773261886</v>
      </c>
      <c r="G133" s="27">
        <f>VLOOKUP(CurrentMtgRatesDataTable825[[#This Row],[asOfDate]],CurrentMtgRatesDataTable82562[],2,0)</f>
        <v>0.34116092459322267</v>
      </c>
      <c r="H133" s="27">
        <f>VLOOKUP(CurrentMtgRatesDataTable825[[#This Row],[asOfDate]],S:T,2,0)</f>
        <v>0.34777149804179863</v>
      </c>
      <c r="I133" s="84">
        <f>VLOOKUP(CurrentMtgRatesDataTable825[[#This Row],[asOfDate]],CurrentMtgRatesDataTable825623[#All],2,0)</f>
        <v>0.31059723114058108</v>
      </c>
      <c r="J133" s="84">
        <f>VLOOKUP(CurrentMtgRatesDataTable825[[#This Row],[asOfDate]],AB:AC,2,0)</f>
        <v>0.34399747197441399</v>
      </c>
      <c r="L133" s="24">
        <v>41458</v>
      </c>
      <c r="M133" s="26">
        <v>0.44137433773261886</v>
      </c>
      <c r="N133" s="26" t="e">
        <f ca="1">VLOOKUP(CurrentMtgRatesDataTable8256[[#This Row],[asOfDate]]+1,Bloomberg!B:C,2,0)</f>
        <v>#N/A</v>
      </c>
      <c r="P133" s="24">
        <v>41458</v>
      </c>
      <c r="Q133" s="26">
        <v>0.34116092459322267</v>
      </c>
      <c r="S133" s="24">
        <v>41458</v>
      </c>
      <c r="T133" s="27">
        <v>0.34777149804179863</v>
      </c>
      <c r="V133" s="56">
        <v>41458</v>
      </c>
      <c r="W133" s="57">
        <v>0.31059723114058108</v>
      </c>
      <c r="Y133" s="1">
        <v>41458</v>
      </c>
      <c r="Z133">
        <v>0.318238763217012</v>
      </c>
      <c r="AB133" s="1">
        <v>41458</v>
      </c>
      <c r="AC133">
        <v>0.34399747197441399</v>
      </c>
    </row>
    <row r="134" spans="2:29">
      <c r="B134" s="24">
        <v>41466</v>
      </c>
      <c r="C134" s="86">
        <v>0.37039238508200317</v>
      </c>
      <c r="D134" s="86">
        <v>0.38470608806246515</v>
      </c>
      <c r="E134" s="26">
        <f ca="1">VLOOKUP(CurrentMtgRatesDataTable825[[#This Row],[asOfDate]]+1,Bloomberg!B:C,2,0)</f>
        <v>2242.1999999999998</v>
      </c>
      <c r="F134" s="27">
        <f>VLOOKUP(CurrentMtgRatesDataTable825[[#This Row],[asOfDate]],CurrentMtgRatesDataTable8256[#All],2,0)</f>
        <v>0.30323693087397197</v>
      </c>
      <c r="G134" s="27">
        <f>VLOOKUP(CurrentMtgRatesDataTable825[[#This Row],[asOfDate]],CurrentMtgRatesDataTable82562[],2,0)</f>
        <v>0.21925196921871176</v>
      </c>
      <c r="H134" s="27">
        <f>VLOOKUP(CurrentMtgRatesDataTable825[[#This Row],[asOfDate]],S:T,2,0)</f>
        <v>0.22534397246731291</v>
      </c>
      <c r="I134" s="84">
        <f>VLOOKUP(CurrentMtgRatesDataTable825[[#This Row],[asOfDate]],CurrentMtgRatesDataTable825623[#All],2,0)</f>
        <v>0.19429609707083362</v>
      </c>
      <c r="J134" s="84">
        <f>VLOOKUP(CurrentMtgRatesDataTable825[[#This Row],[asOfDate]],AB:AC,2,0)</f>
        <v>0.23052122039717299</v>
      </c>
      <c r="L134" s="24">
        <v>41466</v>
      </c>
      <c r="M134" s="26">
        <v>0.30323693087397197</v>
      </c>
      <c r="N134" s="26">
        <f ca="1">VLOOKUP(CurrentMtgRatesDataTable8256[[#This Row],[asOfDate]]+1,Bloomberg!B:C,2,0)</f>
        <v>2242.1999999999998</v>
      </c>
      <c r="P134" s="24">
        <v>41466</v>
      </c>
      <c r="Q134" s="26">
        <v>0.21925196921871176</v>
      </c>
      <c r="S134" s="24">
        <v>41466</v>
      </c>
      <c r="T134" s="27">
        <v>0.22534397246731291</v>
      </c>
      <c r="V134" s="56">
        <v>41466</v>
      </c>
      <c r="W134" s="57">
        <v>0.19429609707083362</v>
      </c>
      <c r="Y134" s="1">
        <v>41466</v>
      </c>
      <c r="Z134">
        <v>0.20346214895969</v>
      </c>
      <c r="AB134" s="1">
        <v>41466</v>
      </c>
      <c r="AC134">
        <v>0.23052122039717299</v>
      </c>
    </row>
    <row r="135" spans="2:29">
      <c r="B135" s="24">
        <v>41473</v>
      </c>
      <c r="C135" s="86">
        <v>0.48324024921027042</v>
      </c>
      <c r="D135" s="86">
        <v>0.48273799430530578</v>
      </c>
      <c r="E135" s="26">
        <f ca="1">VLOOKUP(CurrentMtgRatesDataTable825[[#This Row],[asOfDate]]+1,Bloomberg!B:C,2,0)</f>
        <v>2288</v>
      </c>
      <c r="F135" s="27">
        <f>VLOOKUP(CurrentMtgRatesDataTable825[[#This Row],[asOfDate]],CurrentMtgRatesDataTable8256[#All],2,0)</f>
        <v>0.38224036528758815</v>
      </c>
      <c r="G135" s="27">
        <f>VLOOKUP(CurrentMtgRatesDataTable825[[#This Row],[asOfDate]],CurrentMtgRatesDataTable82562[],2,0)</f>
        <v>0.30618919991705607</v>
      </c>
      <c r="H135" s="27">
        <f>VLOOKUP(CurrentMtgRatesDataTable825[[#This Row],[asOfDate]],S:T,2,0)</f>
        <v>0.31268318581252624</v>
      </c>
      <c r="I135" s="84">
        <f>VLOOKUP(CurrentMtgRatesDataTable825[[#This Row],[asOfDate]],CurrentMtgRatesDataTable825623[#All],2,0)</f>
        <v>0.2794842470602576</v>
      </c>
      <c r="J135" s="84">
        <f>VLOOKUP(CurrentMtgRatesDataTable825[[#This Row],[asOfDate]],AB:AC,2,0)</f>
        <v>0.313528938106932</v>
      </c>
      <c r="L135" s="24">
        <v>41473</v>
      </c>
      <c r="M135" s="26">
        <v>0.38224036528758815</v>
      </c>
      <c r="N135" s="26">
        <f ca="1">VLOOKUP(CurrentMtgRatesDataTable8256[[#This Row],[asOfDate]]+1,Bloomberg!B:C,2,0)</f>
        <v>2288</v>
      </c>
      <c r="P135" s="24">
        <v>41473</v>
      </c>
      <c r="Q135" s="26">
        <v>0.30618919991705607</v>
      </c>
      <c r="S135" s="24">
        <v>41473</v>
      </c>
      <c r="T135" s="27">
        <v>0.31268318581252624</v>
      </c>
      <c r="V135" s="56">
        <v>41473</v>
      </c>
      <c r="W135" s="57">
        <v>0.2794842470602576</v>
      </c>
      <c r="Y135" s="1">
        <v>41473</v>
      </c>
      <c r="Z135">
        <v>0.28759038829307199</v>
      </c>
      <c r="AB135" s="1">
        <v>41473</v>
      </c>
      <c r="AC135">
        <v>0.313528938106932</v>
      </c>
    </row>
    <row r="136" spans="2:29">
      <c r="B136" s="24">
        <v>41480</v>
      </c>
      <c r="C136" s="86">
        <v>0.48940474844938586</v>
      </c>
      <c r="D136" s="86">
        <v>0.49400738574487063</v>
      </c>
      <c r="E136" s="26">
        <f ca="1">VLOOKUP(CurrentMtgRatesDataTable825[[#This Row],[asOfDate]]+1,Bloomberg!B:C,2,0)</f>
        <v>2218.3000000000002</v>
      </c>
      <c r="F136" s="27">
        <f>VLOOKUP(CurrentMtgRatesDataTable825[[#This Row],[asOfDate]],CurrentMtgRatesDataTable8256[#All],2,0)</f>
        <v>0.38235673657078234</v>
      </c>
      <c r="G136" s="27">
        <f>VLOOKUP(CurrentMtgRatesDataTable825[[#This Row],[asOfDate]],CurrentMtgRatesDataTable82562[],2,0)</f>
        <v>0.30641559236172644</v>
      </c>
      <c r="H136" s="27">
        <f>VLOOKUP(CurrentMtgRatesDataTable825[[#This Row],[asOfDate]],S:T,2,0)</f>
        <v>0.312913492244701</v>
      </c>
      <c r="I136" s="84">
        <f>VLOOKUP(CurrentMtgRatesDataTable825[[#This Row],[asOfDate]],CurrentMtgRatesDataTable825623[#All],2,0)</f>
        <v>0.28045144255790144</v>
      </c>
      <c r="J136" s="84">
        <f>VLOOKUP(CurrentMtgRatesDataTable825[[#This Row],[asOfDate]],AB:AC,2,0)</f>
        <v>0.31410556361706699</v>
      </c>
      <c r="L136" s="24">
        <v>41480</v>
      </c>
      <c r="M136" s="26">
        <v>0.38235673657078234</v>
      </c>
      <c r="N136" s="26">
        <f ca="1">VLOOKUP(CurrentMtgRatesDataTable8256[[#This Row],[asOfDate]]+1,Bloomberg!B:C,2,0)</f>
        <v>2218.3000000000002</v>
      </c>
      <c r="P136" s="24">
        <v>41480</v>
      </c>
      <c r="Q136" s="26">
        <v>0.30641559236172644</v>
      </c>
      <c r="S136" s="24">
        <v>41480</v>
      </c>
      <c r="T136" s="27">
        <v>0.312913492244701</v>
      </c>
      <c r="V136" s="56">
        <v>41480</v>
      </c>
      <c r="W136" s="57">
        <v>0.28045144255790144</v>
      </c>
      <c r="Y136" s="1">
        <v>41480</v>
      </c>
      <c r="Z136">
        <v>0.28853044568249298</v>
      </c>
      <c r="AB136" s="1">
        <v>41480</v>
      </c>
      <c r="AC136">
        <v>0.31410556361706699</v>
      </c>
    </row>
    <row r="137" spans="2:29">
      <c r="B137" s="24">
        <v>41487</v>
      </c>
      <c r="C137" s="86">
        <v>0.46118442865629727</v>
      </c>
      <c r="D137" s="86">
        <v>0.46393577918472528</v>
      </c>
      <c r="E137" s="26">
        <f ca="1">VLOOKUP(CurrentMtgRatesDataTable825[[#This Row],[asOfDate]]+1,Bloomberg!B:C,2,0)</f>
        <v>2228.9</v>
      </c>
      <c r="F137" s="27">
        <f>VLOOKUP(CurrentMtgRatesDataTable825[[#This Row],[asOfDate]],CurrentMtgRatesDataTable8256[#All],2,0)</f>
        <v>0.366090471734486</v>
      </c>
      <c r="G137" s="27">
        <f>VLOOKUP(CurrentMtgRatesDataTable825[[#This Row],[asOfDate]],CurrentMtgRatesDataTable82562[],2,0)</f>
        <v>0.26247242102513602</v>
      </c>
      <c r="H137" s="27">
        <f>VLOOKUP(CurrentMtgRatesDataTable825[[#This Row],[asOfDate]],S:T,2,0)</f>
        <v>0.26851632698808114</v>
      </c>
      <c r="I137" s="84">
        <f>VLOOKUP(CurrentMtgRatesDataTable825[[#This Row],[asOfDate]],CurrentMtgRatesDataTable825623[#All],2,0)</f>
        <v>0.23838945674236522</v>
      </c>
      <c r="J137" s="84">
        <f>VLOOKUP(CurrentMtgRatesDataTable825[[#This Row],[asOfDate]],AB:AC,2,0)</f>
        <v>0.26871710621385497</v>
      </c>
      <c r="L137" s="24">
        <v>41487</v>
      </c>
      <c r="M137" s="26">
        <v>0.366090471734486</v>
      </c>
      <c r="N137" s="26">
        <f ca="1">VLOOKUP(CurrentMtgRatesDataTable8256[[#This Row],[asOfDate]]+1,Bloomberg!B:C,2,0)</f>
        <v>2228.9</v>
      </c>
      <c r="P137" s="24">
        <v>41487</v>
      </c>
      <c r="Q137" s="26">
        <v>0.26247242102513602</v>
      </c>
      <c r="S137" s="24">
        <v>41487</v>
      </c>
      <c r="T137" s="27">
        <v>0.26851632698808114</v>
      </c>
      <c r="V137" s="56">
        <v>41487</v>
      </c>
      <c r="W137" s="57">
        <v>0.23838945674236522</v>
      </c>
      <c r="Y137" s="1">
        <v>41487</v>
      </c>
      <c r="Z137">
        <v>0.24583842295687</v>
      </c>
      <c r="AB137" s="1">
        <v>41487</v>
      </c>
      <c r="AC137">
        <v>0.26871710621385497</v>
      </c>
    </row>
    <row r="138" spans="2:29">
      <c r="B138" s="24">
        <v>41494</v>
      </c>
      <c r="C138" s="86">
        <v>0.45809430423750058</v>
      </c>
      <c r="D138" s="86">
        <v>0.44490486446196276</v>
      </c>
      <c r="E138" s="26">
        <f ca="1">VLOOKUP(CurrentMtgRatesDataTable825[[#This Row],[asOfDate]]+1,Bloomberg!B:C,2,0)</f>
        <v>2110.6</v>
      </c>
      <c r="F138" s="27">
        <f>VLOOKUP(CurrentMtgRatesDataTable825[[#This Row],[asOfDate]],CurrentMtgRatesDataTable8256[#All],2,0)</f>
        <v>0.36607182581429965</v>
      </c>
      <c r="G138" s="27">
        <f>VLOOKUP(CurrentMtgRatesDataTable825[[#This Row],[asOfDate]],CurrentMtgRatesDataTable82562[],2,0)</f>
        <v>0.26232322891763199</v>
      </c>
      <c r="H138" s="27">
        <f>VLOOKUP(CurrentMtgRatesDataTable825[[#This Row],[asOfDate]],S:T,2,0)</f>
        <v>0.26848961945490407</v>
      </c>
      <c r="I138" s="84">
        <f>VLOOKUP(CurrentMtgRatesDataTable825[[#This Row],[asOfDate]],CurrentMtgRatesDataTable825623[#All],2,0)</f>
        <v>0.23805160399751818</v>
      </c>
      <c r="J138" s="84">
        <f>VLOOKUP(CurrentMtgRatesDataTable825[[#This Row],[asOfDate]],AB:AC,2,0)</f>
        <v>0.26842687745364402</v>
      </c>
      <c r="L138" s="24">
        <v>41494</v>
      </c>
      <c r="M138" s="26">
        <v>0.36607182581429965</v>
      </c>
      <c r="N138" s="26">
        <f ca="1">VLOOKUP(CurrentMtgRatesDataTable8256[[#This Row],[asOfDate]]+1,Bloomberg!B:C,2,0)</f>
        <v>2110.6</v>
      </c>
      <c r="P138" s="24">
        <v>41494</v>
      </c>
      <c r="Q138" s="26">
        <v>0.26232322891763199</v>
      </c>
      <c r="S138" s="24">
        <v>41494</v>
      </c>
      <c r="T138" s="27">
        <v>0.26848961945490407</v>
      </c>
      <c r="V138" s="56">
        <v>41494</v>
      </c>
      <c r="W138" s="57">
        <v>0.23805160399751818</v>
      </c>
      <c r="Y138" s="1">
        <v>41494</v>
      </c>
      <c r="Z138">
        <v>0.245506258292609</v>
      </c>
      <c r="AB138" s="1">
        <v>41494</v>
      </c>
      <c r="AC138">
        <v>0.26842687745364402</v>
      </c>
    </row>
    <row r="139" spans="2:29">
      <c r="B139" s="24">
        <v>41501</v>
      </c>
      <c r="C139" s="86">
        <v>0.45809430423750058</v>
      </c>
      <c r="D139" s="86">
        <v>0.44490486446196276</v>
      </c>
      <c r="E139" s="26">
        <f ca="1">VLOOKUP(CurrentMtgRatesDataTable825[[#This Row],[asOfDate]]+1,Bloomberg!B:C,2,0)</f>
        <v>1935.1</v>
      </c>
      <c r="F139" s="27">
        <f>VLOOKUP(CurrentMtgRatesDataTable825[[#This Row],[asOfDate]],CurrentMtgRatesDataTable8256[#All],2,0)</f>
        <v>0.36607182581429965</v>
      </c>
      <c r="G139" s="27">
        <f>VLOOKUP(CurrentMtgRatesDataTable825[[#This Row],[asOfDate]],CurrentMtgRatesDataTable82562[],2,0)</f>
        <v>0.26232322891763199</v>
      </c>
      <c r="H139" s="27">
        <f>VLOOKUP(CurrentMtgRatesDataTable825[[#This Row],[asOfDate]],S:T,2,0)</f>
        <v>0.26848961945490407</v>
      </c>
      <c r="I139" s="84">
        <f>VLOOKUP(CurrentMtgRatesDataTable825[[#This Row],[asOfDate]],CurrentMtgRatesDataTable825623[#All],2,0)</f>
        <v>0.23805160399751818</v>
      </c>
      <c r="J139" s="84">
        <f>VLOOKUP(CurrentMtgRatesDataTable825[[#This Row],[asOfDate]],AB:AC,2,0)</f>
        <v>0.26842687745364402</v>
      </c>
      <c r="L139" s="24">
        <v>41501</v>
      </c>
      <c r="M139" s="26">
        <v>0.36607182581429965</v>
      </c>
      <c r="N139" s="26">
        <f ca="1">VLOOKUP(CurrentMtgRatesDataTable8256[[#This Row],[asOfDate]]+1,Bloomberg!B:C,2,0)</f>
        <v>1935.1</v>
      </c>
      <c r="P139" s="24">
        <v>41501</v>
      </c>
      <c r="Q139" s="26">
        <v>0.26232322891763199</v>
      </c>
      <c r="S139" s="24">
        <v>41501</v>
      </c>
      <c r="T139" s="27">
        <v>0.26848961945490407</v>
      </c>
      <c r="V139" s="56">
        <v>41501</v>
      </c>
      <c r="W139" s="57">
        <v>0.23805160399751818</v>
      </c>
      <c r="Y139" s="1">
        <v>41501</v>
      </c>
      <c r="Z139">
        <v>0.245506258292609</v>
      </c>
      <c r="AB139" s="1">
        <v>41501</v>
      </c>
      <c r="AC139">
        <v>0.26842687745364402</v>
      </c>
    </row>
    <row r="140" spans="2:29">
      <c r="B140" s="24">
        <v>41508</v>
      </c>
      <c r="C140" s="86">
        <v>0.32155455767019431</v>
      </c>
      <c r="D140" s="86">
        <v>0.33748738961589225</v>
      </c>
      <c r="E140" s="26">
        <f ca="1">VLOOKUP(CurrentMtgRatesDataTable825[[#This Row],[asOfDate]]+1,Bloomberg!B:C,2,0)</f>
        <v>1842.6</v>
      </c>
      <c r="F140" s="27">
        <f>VLOOKUP(CurrentMtgRatesDataTable825[[#This Row],[asOfDate]],CurrentMtgRatesDataTable8256[#All],2,0)</f>
        <v>0.25066720783636109</v>
      </c>
      <c r="G140" s="27">
        <f>VLOOKUP(CurrentMtgRatesDataTable825[[#This Row],[asOfDate]],CurrentMtgRatesDataTable82562[],2,0)</f>
        <v>0.1931798913236967</v>
      </c>
      <c r="H140" s="27">
        <f>VLOOKUP(CurrentMtgRatesDataTable825[[#This Row],[asOfDate]],S:T,2,0)</f>
        <v>0.19897551419907808</v>
      </c>
      <c r="I140" s="84">
        <f>VLOOKUP(CurrentMtgRatesDataTable825[[#This Row],[asOfDate]],CurrentMtgRatesDataTable825623[#All],2,0)</f>
        <v>0.17139837278320391</v>
      </c>
      <c r="J140" s="84">
        <f>VLOOKUP(CurrentMtgRatesDataTable825[[#This Row],[asOfDate]],AB:AC,2,0)</f>
        <v>0.20545197668606799</v>
      </c>
      <c r="L140" s="24">
        <v>41508</v>
      </c>
      <c r="M140" s="26">
        <v>0.25066720783636109</v>
      </c>
      <c r="N140" s="26">
        <f ca="1">VLOOKUP(CurrentMtgRatesDataTable8256[[#This Row],[asOfDate]]+1,Bloomberg!B:C,2,0)</f>
        <v>1842.6</v>
      </c>
      <c r="P140" s="24">
        <v>41508</v>
      </c>
      <c r="Q140" s="26">
        <v>0.1931798913236967</v>
      </c>
      <c r="S140" s="24">
        <v>41508</v>
      </c>
      <c r="T140" s="27">
        <v>0.19897551419907808</v>
      </c>
      <c r="V140" s="56">
        <v>41508</v>
      </c>
      <c r="W140" s="57">
        <v>0.17139837278320391</v>
      </c>
      <c r="Y140" s="1">
        <v>41508</v>
      </c>
      <c r="Z140">
        <v>0.18018540137539299</v>
      </c>
      <c r="AB140" s="1">
        <v>41508</v>
      </c>
      <c r="AC140">
        <v>0.20545197668606799</v>
      </c>
    </row>
    <row r="141" spans="2:29">
      <c r="B141" s="24">
        <v>41515</v>
      </c>
      <c r="C141" s="86">
        <v>0.36837711159380437</v>
      </c>
      <c r="D141" s="86">
        <v>0.37827841514930449</v>
      </c>
      <c r="E141" s="26">
        <f ca="1">VLOOKUP(CurrentMtgRatesDataTable825[[#This Row],[asOfDate]]+1,Bloomberg!B:C,2,0)</f>
        <v>1909</v>
      </c>
      <c r="F141" s="27">
        <f>VLOOKUP(CurrentMtgRatesDataTable825[[#This Row],[asOfDate]],CurrentMtgRatesDataTable8256[#All],2,0)</f>
        <v>0.29050117748807303</v>
      </c>
      <c r="G141" s="27">
        <f>VLOOKUP(CurrentMtgRatesDataTable825[[#This Row],[asOfDate]],CurrentMtgRatesDataTable82562[],2,0)</f>
        <v>0.22914742259420434</v>
      </c>
      <c r="H141" s="27">
        <f>VLOOKUP(CurrentMtgRatesDataTable825[[#This Row],[asOfDate]],S:T,2,0)</f>
        <v>0.2352153173287943</v>
      </c>
      <c r="I141" s="84">
        <f>VLOOKUP(CurrentMtgRatesDataTable825[[#This Row],[asOfDate]],CurrentMtgRatesDataTable825623[#All],2,0)</f>
        <v>0.20573773224038241</v>
      </c>
      <c r="J141" s="84">
        <f>VLOOKUP(CurrentMtgRatesDataTable825[[#This Row],[asOfDate]],AB:AC,2,0)</f>
        <v>0.23763744646630799</v>
      </c>
      <c r="L141" s="24">
        <v>41515</v>
      </c>
      <c r="M141" s="26">
        <v>0.29050117748807303</v>
      </c>
      <c r="N141" s="26">
        <f ca="1">VLOOKUP(CurrentMtgRatesDataTable8256[[#This Row],[asOfDate]]+1,Bloomberg!B:C,2,0)</f>
        <v>1909</v>
      </c>
      <c r="P141" s="24">
        <v>41515</v>
      </c>
      <c r="Q141" s="26">
        <v>0.22914742259420434</v>
      </c>
      <c r="S141" s="24">
        <v>41515</v>
      </c>
      <c r="T141" s="27">
        <v>0.2352153173287943</v>
      </c>
      <c r="V141" s="56">
        <v>41515</v>
      </c>
      <c r="W141" s="57">
        <v>0.20573773224038241</v>
      </c>
      <c r="Y141" s="1">
        <v>41515</v>
      </c>
      <c r="Z141">
        <v>0.21361840043373101</v>
      </c>
      <c r="AB141" s="1">
        <v>41515</v>
      </c>
      <c r="AC141">
        <v>0.23763744646630799</v>
      </c>
    </row>
    <row r="142" spans="2:29">
      <c r="B142" s="24">
        <v>41522</v>
      </c>
      <c r="C142" s="86">
        <v>0.32270862091389874</v>
      </c>
      <c r="D142" s="86">
        <v>0.35119506171832598</v>
      </c>
      <c r="E142" s="26">
        <f ca="1">VLOOKUP(CurrentMtgRatesDataTable825[[#This Row],[asOfDate]]+1,Bloomberg!B:C,2,0)</f>
        <v>1512.9</v>
      </c>
      <c r="F142" s="27">
        <f>VLOOKUP(CurrentMtgRatesDataTable825[[#This Row],[asOfDate]],CurrentMtgRatesDataTable8256[#All],2,0)</f>
        <v>0.27649551668926681</v>
      </c>
      <c r="G142" s="27">
        <f>VLOOKUP(CurrentMtgRatesDataTable825[[#This Row],[asOfDate]],CurrentMtgRatesDataTable82562[],2,0)</f>
        <v>0.20407660990880219</v>
      </c>
      <c r="H142" s="27">
        <f>VLOOKUP(CurrentMtgRatesDataTable825[[#This Row],[asOfDate]],S:T,2,0)</f>
        <v>0.20985102278531986</v>
      </c>
      <c r="I142" s="84">
        <f>VLOOKUP(CurrentMtgRatesDataTable825[[#This Row],[asOfDate]],CurrentMtgRatesDataTable825623[#All],2,0)</f>
        <v>0.18142824317266582</v>
      </c>
      <c r="J142" s="84">
        <f>VLOOKUP(CurrentMtgRatesDataTable825[[#This Row],[asOfDate]],AB:AC,2,0)</f>
        <v>0.21149349910069001</v>
      </c>
      <c r="L142" s="24">
        <v>41522</v>
      </c>
      <c r="M142" s="26">
        <v>0.27649551668926681</v>
      </c>
      <c r="N142" s="26">
        <f ca="1">VLOOKUP(CurrentMtgRatesDataTable8256[[#This Row],[asOfDate]]+1,Bloomberg!B:C,2,0)</f>
        <v>1512.9</v>
      </c>
      <c r="P142" s="24">
        <v>41522</v>
      </c>
      <c r="Q142" s="26">
        <v>0.20407660990880219</v>
      </c>
      <c r="S142" s="24">
        <v>41522</v>
      </c>
      <c r="T142" s="27">
        <v>0.20985102278531986</v>
      </c>
      <c r="V142" s="56">
        <v>41522</v>
      </c>
      <c r="W142" s="57">
        <v>0.18142824317266582</v>
      </c>
      <c r="Y142" s="1">
        <v>41522</v>
      </c>
      <c r="Z142">
        <v>0.189194931548887</v>
      </c>
      <c r="AB142" s="1">
        <v>41522</v>
      </c>
      <c r="AC142">
        <v>0.21149349910069001</v>
      </c>
    </row>
    <row r="143" spans="2:29">
      <c r="B143" s="24">
        <v>41529</v>
      </c>
      <c r="C143" s="86">
        <v>0.31397185155832891</v>
      </c>
      <c r="D143" s="86">
        <v>0.32626324261469913</v>
      </c>
      <c r="E143" s="26">
        <f ca="1">VLOOKUP(CurrentMtgRatesDataTable825[[#This Row],[asOfDate]]+1,Bloomberg!B:C,2,0)</f>
        <v>1814</v>
      </c>
      <c r="F143" s="27">
        <f>VLOOKUP(CurrentMtgRatesDataTable825[[#This Row],[asOfDate]],CurrentMtgRatesDataTable8256[#All],2,0)</f>
        <v>0.24165122804318193</v>
      </c>
      <c r="G143" s="27">
        <f>VLOOKUP(CurrentMtgRatesDataTable825[[#This Row],[asOfDate]],CurrentMtgRatesDataTable82562[],2,0)</f>
        <v>0.18764355995817586</v>
      </c>
      <c r="H143" s="27">
        <f>VLOOKUP(CurrentMtgRatesDataTable825[[#This Row],[asOfDate]],S:T,2,0)</f>
        <v>0.1933013159773479</v>
      </c>
      <c r="I143" s="84">
        <f>VLOOKUP(CurrentMtgRatesDataTable825[[#This Row],[asOfDate]],CurrentMtgRatesDataTable825623[#All],2,0)</f>
        <v>0.16781950534512624</v>
      </c>
      <c r="J143" s="84">
        <f>VLOOKUP(CurrentMtgRatesDataTable825[[#This Row],[asOfDate]],AB:AC,2,0)</f>
        <v>0.19827486089892299</v>
      </c>
      <c r="L143" s="24">
        <v>41529</v>
      </c>
      <c r="M143" s="26">
        <v>0.24165122804318193</v>
      </c>
      <c r="N143" s="26">
        <f ca="1">VLOOKUP(CurrentMtgRatesDataTable8256[[#This Row],[asOfDate]]+1,Bloomberg!B:C,2,0)</f>
        <v>1814</v>
      </c>
      <c r="P143" s="24">
        <v>41529</v>
      </c>
      <c r="Q143" s="26">
        <v>0.18764355995817586</v>
      </c>
      <c r="S143" s="24">
        <v>41529</v>
      </c>
      <c r="T143" s="27">
        <v>0.1933013159773479</v>
      </c>
      <c r="V143" s="56">
        <v>41529</v>
      </c>
      <c r="W143" s="57">
        <v>0.16781950534512624</v>
      </c>
      <c r="Y143" s="1">
        <v>41529</v>
      </c>
      <c r="Z143">
        <v>0.17589546572752501</v>
      </c>
      <c r="AB143" s="1">
        <v>41529</v>
      </c>
      <c r="AC143">
        <v>0.19827486089892299</v>
      </c>
    </row>
    <row r="144" spans="2:29">
      <c r="B144" s="24">
        <v>41536</v>
      </c>
      <c r="C144" s="86">
        <v>0.36676284815642968</v>
      </c>
      <c r="D144" s="86">
        <v>0.36614724942264681</v>
      </c>
      <c r="E144" s="26">
        <f ca="1">VLOOKUP(CurrentMtgRatesDataTable825[[#This Row],[asOfDate]]+1,Bloomberg!B:C,2,0)</f>
        <v>1922.9</v>
      </c>
      <c r="F144" s="27">
        <f>VLOOKUP(CurrentMtgRatesDataTable825[[#This Row],[asOfDate]],CurrentMtgRatesDataTable8256[#All],2,0)</f>
        <v>0.28087782506985004</v>
      </c>
      <c r="G144" s="27">
        <f>VLOOKUP(CurrentMtgRatesDataTable825[[#This Row],[asOfDate]],CurrentMtgRatesDataTable82562[],2,0)</f>
        <v>0.2238872135619516</v>
      </c>
      <c r="H144" s="27">
        <f>VLOOKUP(CurrentMtgRatesDataTable825[[#This Row],[asOfDate]],S:T,2,0)</f>
        <v>0.22981537322953327</v>
      </c>
      <c r="I144" s="84">
        <f>VLOOKUP(CurrentMtgRatesDataTable825[[#This Row],[asOfDate]],CurrentMtgRatesDataTable825623[#All],2,0)</f>
        <v>0.20224886083981533</v>
      </c>
      <c r="J144" s="84">
        <f>VLOOKUP(CurrentMtgRatesDataTable825[[#This Row],[asOfDate]],AB:AC,2,0)</f>
        <v>0.230982049953562</v>
      </c>
      <c r="L144" s="24">
        <v>41536</v>
      </c>
      <c r="M144" s="26">
        <v>0.28087782506985004</v>
      </c>
      <c r="N144" s="26">
        <f ca="1">VLOOKUP(CurrentMtgRatesDataTable8256[[#This Row],[asOfDate]]+1,Bloomberg!B:C,2,0)</f>
        <v>1922.9</v>
      </c>
      <c r="P144" s="24">
        <v>41536</v>
      </c>
      <c r="Q144" s="26">
        <v>0.2238872135619516</v>
      </c>
      <c r="S144" s="24">
        <v>41536</v>
      </c>
      <c r="T144" s="27">
        <v>0.22981537322953327</v>
      </c>
      <c r="V144" s="56">
        <v>41536</v>
      </c>
      <c r="W144" s="57">
        <v>0.20224886083981533</v>
      </c>
      <c r="Y144" s="1">
        <v>41536</v>
      </c>
      <c r="Z144">
        <v>0.20959656864387999</v>
      </c>
      <c r="AB144" s="1">
        <v>41536</v>
      </c>
      <c r="AC144">
        <v>0.230982049953562</v>
      </c>
    </row>
    <row r="145" spans="2:29">
      <c r="B145" s="24">
        <v>41543</v>
      </c>
      <c r="C145" s="86">
        <v>0.4642436748645592</v>
      </c>
      <c r="D145" s="86">
        <v>0.46905716507564599</v>
      </c>
      <c r="E145" s="26">
        <f ca="1">VLOOKUP(CurrentMtgRatesDataTable825[[#This Row],[asOfDate]]+1,Bloomberg!B:C,2,0)</f>
        <v>1956.6</v>
      </c>
      <c r="F145" s="27">
        <f>VLOOKUP(CurrentMtgRatesDataTable825[[#This Row],[asOfDate]],CurrentMtgRatesDataTable8256[#All],2,0)</f>
        <v>0.41495307542117416</v>
      </c>
      <c r="G145" s="27">
        <f>VLOOKUP(CurrentMtgRatesDataTable825[[#This Row],[asOfDate]],CurrentMtgRatesDataTable82562[],2,0)</f>
        <v>0.32122402612001461</v>
      </c>
      <c r="H145" s="27">
        <f>VLOOKUP(CurrentMtgRatesDataTable825[[#This Row],[asOfDate]],S:T,2,0)</f>
        <v>0.32752583432106064</v>
      </c>
      <c r="I145" s="84">
        <f>VLOOKUP(CurrentMtgRatesDataTable825[[#This Row],[asOfDate]],CurrentMtgRatesDataTable825623[#All],2,0)</f>
        <v>0.2938332535347441</v>
      </c>
      <c r="J145" s="84">
        <f>VLOOKUP(CurrentMtgRatesDataTable825[[#This Row],[asOfDate]],AB:AC,2,0)</f>
        <v>0.32130927271021897</v>
      </c>
      <c r="L145" s="24">
        <v>41543</v>
      </c>
      <c r="M145" s="26">
        <v>0.41495307542117416</v>
      </c>
      <c r="N145" s="26">
        <f ca="1">VLOOKUP(CurrentMtgRatesDataTable8256[[#This Row],[asOfDate]]+1,Bloomberg!B:C,2,0)</f>
        <v>1956.6</v>
      </c>
      <c r="P145" s="24">
        <v>41543</v>
      </c>
      <c r="Q145" s="26">
        <v>0.32122402612001461</v>
      </c>
      <c r="S145" s="24">
        <v>41543</v>
      </c>
      <c r="T145" s="27">
        <v>0.32752583432106064</v>
      </c>
      <c r="V145" s="56">
        <v>41543</v>
      </c>
      <c r="W145" s="57">
        <v>0.2938332535347441</v>
      </c>
      <c r="Y145" s="1">
        <v>41543</v>
      </c>
      <c r="Z145">
        <v>0.30034825473791299</v>
      </c>
      <c r="AB145" s="1">
        <v>41543</v>
      </c>
      <c r="AC145">
        <v>0.32130927271021897</v>
      </c>
    </row>
    <row r="146" spans="2:29">
      <c r="B146" s="24">
        <v>41550</v>
      </c>
      <c r="C146" s="86">
        <v>0.46846408937290757</v>
      </c>
      <c r="D146" s="86">
        <v>0.47324397313817262</v>
      </c>
      <c r="E146" s="26">
        <f ca="1">VLOOKUP(CurrentMtgRatesDataTable825[[#This Row],[asOfDate]]+1,Bloomberg!B:C,2,0)</f>
        <v>2025.3</v>
      </c>
      <c r="F146" s="27">
        <f>VLOOKUP(CurrentMtgRatesDataTable825[[#This Row],[asOfDate]],CurrentMtgRatesDataTable8256[#All],2,0)</f>
        <v>0.40987337416034908</v>
      </c>
      <c r="G146" s="27">
        <f>VLOOKUP(CurrentMtgRatesDataTable825[[#This Row],[asOfDate]],CurrentMtgRatesDataTable82562[],2,0)</f>
        <v>0.34307700444970379</v>
      </c>
      <c r="H146" s="27">
        <f>VLOOKUP(CurrentMtgRatesDataTable825[[#This Row],[asOfDate]],S:T,2,0)</f>
        <v>0.34934694100582447</v>
      </c>
      <c r="I146" s="84">
        <f>VLOOKUP(CurrentMtgRatesDataTable825[[#This Row],[asOfDate]],CurrentMtgRatesDataTable825623[#All],2,0)</f>
        <v>0.31777500213957705</v>
      </c>
      <c r="J146" s="84">
        <f>VLOOKUP(CurrentMtgRatesDataTable825[[#This Row],[asOfDate]],AB:AC,2,0)</f>
        <v>0.34374501426377402</v>
      </c>
      <c r="L146" s="24">
        <v>41550</v>
      </c>
      <c r="M146" s="26">
        <v>0.40987337416034908</v>
      </c>
      <c r="N146" s="26">
        <f ca="1">VLOOKUP(CurrentMtgRatesDataTable8256[[#This Row],[asOfDate]]+1,Bloomberg!B:C,2,0)</f>
        <v>2025.3</v>
      </c>
      <c r="P146" s="24">
        <v>41550</v>
      </c>
      <c r="Q146" s="26">
        <v>0.34307700444970379</v>
      </c>
      <c r="S146" s="24">
        <v>41550</v>
      </c>
      <c r="T146" s="27">
        <v>0.34934694100582447</v>
      </c>
      <c r="V146" s="56">
        <v>41550</v>
      </c>
      <c r="W146" s="57">
        <v>0.31777500213957705</v>
      </c>
      <c r="Y146" s="1">
        <v>41550</v>
      </c>
      <c r="Z146">
        <v>0.324368079116095</v>
      </c>
      <c r="AB146" s="1">
        <v>41550</v>
      </c>
      <c r="AC146">
        <v>0.34374501426377402</v>
      </c>
    </row>
    <row r="147" spans="2:29">
      <c r="B147" s="24">
        <v>41557</v>
      </c>
      <c r="C147" s="86">
        <v>0.46604163075436117</v>
      </c>
      <c r="D147" s="86">
        <v>0.47324397313817262</v>
      </c>
      <c r="E147" s="26">
        <f ca="1">VLOOKUP(CurrentMtgRatesDataTable825[[#This Row],[asOfDate]]+1,Bloomberg!B:C,2,0)</f>
        <v>2102.6999999999998</v>
      </c>
      <c r="F147" s="27">
        <f>VLOOKUP(CurrentMtgRatesDataTable825[[#This Row],[asOfDate]],CurrentMtgRatesDataTable8256[#All],2,0)</f>
        <v>0.40982657529658695</v>
      </c>
      <c r="G147" s="27">
        <f>VLOOKUP(CurrentMtgRatesDataTable825[[#This Row],[asOfDate]],CurrentMtgRatesDataTable82562[],2,0)</f>
        <v>0.34303969168913079</v>
      </c>
      <c r="H147" s="27">
        <f>VLOOKUP(CurrentMtgRatesDataTable825[[#This Row],[asOfDate]],S:T,2,0)</f>
        <v>0.34930953319751107</v>
      </c>
      <c r="I147" s="84">
        <f>VLOOKUP(CurrentMtgRatesDataTable825[[#This Row],[asOfDate]],CurrentMtgRatesDataTable825623[#All],2,0)</f>
        <v>0.31720208476376438</v>
      </c>
      <c r="J147" s="84">
        <f>VLOOKUP(CurrentMtgRatesDataTable825[[#This Row],[asOfDate]],AB:AC,2,0)</f>
        <v>0.343362461707855</v>
      </c>
      <c r="L147" s="24">
        <v>41557</v>
      </c>
      <c r="M147" s="26">
        <v>0.40982657529658695</v>
      </c>
      <c r="N147" s="26">
        <f ca="1">VLOOKUP(CurrentMtgRatesDataTable8256[[#This Row],[asOfDate]]+1,Bloomberg!B:C,2,0)</f>
        <v>2102.6999999999998</v>
      </c>
      <c r="P147" s="24">
        <v>41557</v>
      </c>
      <c r="Q147" s="26">
        <v>0.34303969168913079</v>
      </c>
      <c r="S147" s="24">
        <v>41557</v>
      </c>
      <c r="T147" s="27">
        <v>0.34930953319751107</v>
      </c>
      <c r="V147" s="56">
        <v>41557</v>
      </c>
      <c r="W147" s="57">
        <v>0.31720208476376438</v>
      </c>
      <c r="Y147" s="1">
        <v>41557</v>
      </c>
      <c r="Z147">
        <v>0.32381439715593102</v>
      </c>
      <c r="AB147" s="1">
        <v>41557</v>
      </c>
      <c r="AC147">
        <v>0.343362461707855</v>
      </c>
    </row>
    <row r="148" spans="2:29">
      <c r="B148" s="24">
        <v>41564</v>
      </c>
      <c r="C148" s="86">
        <v>0.45882942996224085</v>
      </c>
      <c r="D148" s="86">
        <v>0.45797688340366849</v>
      </c>
      <c r="E148" s="26">
        <f ca="1">VLOOKUP(CurrentMtgRatesDataTable825[[#This Row],[asOfDate]]+1,Bloomberg!B:C,2,0)</f>
        <v>2033.7</v>
      </c>
      <c r="F148" s="27">
        <f>VLOOKUP(CurrentMtgRatesDataTable825[[#This Row],[asOfDate]],CurrentMtgRatesDataTable8256[#All],2,0)</f>
        <v>0.40960480873930216</v>
      </c>
      <c r="G148" s="27">
        <f>VLOOKUP(CurrentMtgRatesDataTable825[[#This Row],[asOfDate]],CurrentMtgRatesDataTable82562[],2,0)</f>
        <v>0.31440034261436189</v>
      </c>
      <c r="H148" s="27">
        <f>VLOOKUP(CurrentMtgRatesDataTable825[[#This Row],[asOfDate]],S:T,2,0)</f>
        <v>0.32051900820894169</v>
      </c>
      <c r="I148" s="84">
        <f>VLOOKUP(CurrentMtgRatesDataTable825[[#This Row],[asOfDate]],CurrentMtgRatesDataTable825623[#All],2,0)</f>
        <v>0.28885302300705301</v>
      </c>
      <c r="J148" s="84">
        <f>VLOOKUP(CurrentMtgRatesDataTable825[[#This Row],[asOfDate]],AB:AC,2,0)</f>
        <v>0.31435548538393299</v>
      </c>
      <c r="L148" s="24">
        <v>41564</v>
      </c>
      <c r="M148" s="26">
        <v>0.40960480873930216</v>
      </c>
      <c r="N148" s="26">
        <f ca="1">VLOOKUP(CurrentMtgRatesDataTable8256[[#This Row],[asOfDate]]+1,Bloomberg!B:C,2,0)</f>
        <v>2033.7</v>
      </c>
      <c r="P148" s="24">
        <v>41564</v>
      </c>
      <c r="Q148" s="26">
        <v>0.31440034261436189</v>
      </c>
      <c r="S148" s="24">
        <v>41564</v>
      </c>
      <c r="T148" s="27">
        <v>0.32051900820894169</v>
      </c>
      <c r="V148" s="56">
        <v>41564</v>
      </c>
      <c r="W148" s="57">
        <v>0.28885302300705301</v>
      </c>
      <c r="Y148" s="1">
        <v>41564</v>
      </c>
      <c r="Z148">
        <v>0.29503134837906198</v>
      </c>
      <c r="AB148" s="1">
        <v>41564</v>
      </c>
      <c r="AC148">
        <v>0.31435548538393299</v>
      </c>
    </row>
    <row r="149" spans="2:29">
      <c r="B149" s="24">
        <v>41571</v>
      </c>
      <c r="C149" s="86">
        <v>0.48819793986705451</v>
      </c>
      <c r="D149" s="86">
        <v>0.49856286439162589</v>
      </c>
      <c r="E149" s="26">
        <f ca="1">VLOOKUP(CurrentMtgRatesDataTable825[[#This Row],[asOfDate]]+1,Bloomberg!B:C,2,0)</f>
        <v>2211.8000000000002</v>
      </c>
      <c r="F149" s="27">
        <f>VLOOKUP(CurrentMtgRatesDataTable825[[#This Row],[asOfDate]],CurrentMtgRatesDataTable8256[#All],2,0)</f>
        <v>0.44702204362509623</v>
      </c>
      <c r="G149" s="27">
        <f>VLOOKUP(CurrentMtgRatesDataTable825[[#This Row],[asOfDate]],CurrentMtgRatesDataTable82562[],2,0)</f>
        <v>0.36543320460755224</v>
      </c>
      <c r="H149" s="27">
        <f>VLOOKUP(CurrentMtgRatesDataTable825[[#This Row],[asOfDate]],S:T,2,0)</f>
        <v>0.37185328450087929</v>
      </c>
      <c r="I149" s="84">
        <f>VLOOKUP(CurrentMtgRatesDataTable825[[#This Row],[asOfDate]],CurrentMtgRatesDataTable825623[#All],2,0)</f>
        <v>0.33766312973364548</v>
      </c>
      <c r="J149" s="84">
        <f>VLOOKUP(CurrentMtgRatesDataTable825[[#This Row],[asOfDate]],AB:AC,2,0)</f>
        <v>0.36279732883580901</v>
      </c>
      <c r="L149" s="24">
        <v>41571</v>
      </c>
      <c r="M149" s="26">
        <v>0.44702204362509623</v>
      </c>
      <c r="N149" s="26">
        <f ca="1">VLOOKUP(CurrentMtgRatesDataTable8256[[#This Row],[asOfDate]]+1,Bloomberg!B:C,2,0)</f>
        <v>2211.8000000000002</v>
      </c>
      <c r="P149" s="24">
        <v>41571</v>
      </c>
      <c r="Q149" s="26">
        <v>0.36543320460755224</v>
      </c>
      <c r="S149" s="24">
        <v>41571</v>
      </c>
      <c r="T149" s="27">
        <v>0.37185328450087929</v>
      </c>
      <c r="V149" s="56">
        <v>41571</v>
      </c>
      <c r="W149" s="57">
        <v>0.33766312973364548</v>
      </c>
      <c r="Y149" s="1">
        <v>41571</v>
      </c>
      <c r="Z149">
        <v>0.34367260795232402</v>
      </c>
      <c r="AB149" s="1">
        <v>41571</v>
      </c>
      <c r="AC149">
        <v>0.36279732883580901</v>
      </c>
    </row>
    <row r="150" spans="2:29">
      <c r="B150" s="24">
        <v>41578</v>
      </c>
      <c r="C150" s="86">
        <v>0.51686237282085756</v>
      </c>
      <c r="D150" s="86">
        <v>0.51084899769756886</v>
      </c>
      <c r="E150" s="26">
        <f ca="1">VLOOKUP(CurrentMtgRatesDataTable825[[#This Row],[asOfDate]]+1,Bloomberg!B:C,2,0)</f>
        <v>2105.6</v>
      </c>
      <c r="F150" s="27">
        <f>VLOOKUP(CurrentMtgRatesDataTable825[[#This Row],[asOfDate]],CurrentMtgRatesDataTable8256[#All],2,0)</f>
        <v>0.44722315120204531</v>
      </c>
      <c r="G150" s="27">
        <f>VLOOKUP(CurrentMtgRatesDataTable825[[#This Row],[asOfDate]],CurrentMtgRatesDataTable82562[],2,0)</f>
        <v>0.38400936708573585</v>
      </c>
      <c r="H150" s="27">
        <f>VLOOKUP(CurrentMtgRatesDataTable825[[#This Row],[asOfDate]],S:T,2,0)</f>
        <v>0.39063551189178952</v>
      </c>
      <c r="I150" s="84">
        <f>VLOOKUP(CurrentMtgRatesDataTable825[[#This Row],[asOfDate]],CurrentMtgRatesDataTable825623[#All],2,0)</f>
        <v>0.35586088249893616</v>
      </c>
      <c r="J150" s="84">
        <f>VLOOKUP(CurrentMtgRatesDataTable825[[#This Row],[asOfDate]],AB:AC,2,0)</f>
        <v>0.38076704542262901</v>
      </c>
      <c r="L150" s="24">
        <v>41578</v>
      </c>
      <c r="M150" s="26">
        <v>0.44722315120204531</v>
      </c>
      <c r="N150" s="26">
        <f ca="1">VLOOKUP(CurrentMtgRatesDataTable8256[[#This Row],[asOfDate]]+1,Bloomberg!B:C,2,0)</f>
        <v>2105.6</v>
      </c>
      <c r="P150" s="24">
        <v>41578</v>
      </c>
      <c r="Q150" s="26">
        <v>0.38400936708573585</v>
      </c>
      <c r="S150" s="24">
        <v>41578</v>
      </c>
      <c r="T150" s="27">
        <v>0.39063551189178952</v>
      </c>
      <c r="V150" s="56">
        <v>41578</v>
      </c>
      <c r="W150" s="57">
        <v>0.35586088249893616</v>
      </c>
      <c r="Y150" s="1">
        <v>41578</v>
      </c>
      <c r="Z150">
        <v>0.36165175488048201</v>
      </c>
      <c r="AB150" s="1">
        <v>41578</v>
      </c>
      <c r="AC150">
        <v>0.38076704542262901</v>
      </c>
    </row>
    <row r="151" spans="2:29">
      <c r="B151" s="24">
        <v>41585</v>
      </c>
      <c r="C151" s="86">
        <v>0.47659235222796992</v>
      </c>
      <c r="D151" s="86">
        <v>0.48503321760135515</v>
      </c>
      <c r="E151" s="26">
        <f ca="1">VLOOKUP(CurrentMtgRatesDataTable825[[#This Row],[asOfDate]]+1,Bloomberg!B:C,2,0)</f>
        <v>2056.9</v>
      </c>
      <c r="F151" s="27">
        <f>VLOOKUP(CurrentMtgRatesDataTable825[[#This Row],[asOfDate]],CurrentMtgRatesDataTable8256[#All],2,0)</f>
        <v>0.44656189112559813</v>
      </c>
      <c r="G151" s="27">
        <f>VLOOKUP(CurrentMtgRatesDataTable825[[#This Row],[asOfDate]],CurrentMtgRatesDataTable82562[],2,0)</f>
        <v>0.36033789770283325</v>
      </c>
      <c r="H151" s="27">
        <f>VLOOKUP(CurrentMtgRatesDataTable825[[#This Row],[asOfDate]],S:T,2,0)</f>
        <v>0.36662430427029247</v>
      </c>
      <c r="I151" s="84">
        <f>VLOOKUP(CurrentMtgRatesDataTable825[[#This Row],[asOfDate]],CurrentMtgRatesDataTable825623[#All],2,0)</f>
        <v>0.32955790309451866</v>
      </c>
      <c r="J151" s="84">
        <f>VLOOKUP(CurrentMtgRatesDataTable825[[#This Row],[asOfDate]],AB:AC,2,0)</f>
        <v>0.35403891055164699</v>
      </c>
      <c r="L151" s="24">
        <v>41585</v>
      </c>
      <c r="M151" s="26">
        <v>0.44656189112559813</v>
      </c>
      <c r="N151" s="26">
        <f ca="1">VLOOKUP(CurrentMtgRatesDataTable8256[[#This Row],[asOfDate]]+1,Bloomberg!B:C,2,0)</f>
        <v>2056.9</v>
      </c>
      <c r="P151" s="24">
        <v>41585</v>
      </c>
      <c r="Q151" s="26">
        <v>0.36033789770283325</v>
      </c>
      <c r="S151" s="24">
        <v>41585</v>
      </c>
      <c r="T151" s="27">
        <v>0.36662430427029247</v>
      </c>
      <c r="V151" s="56">
        <v>41585</v>
      </c>
      <c r="W151" s="57">
        <v>0.32955790309451866</v>
      </c>
      <c r="Y151" s="1">
        <v>41585</v>
      </c>
      <c r="Z151">
        <v>0.33537906936994799</v>
      </c>
      <c r="AB151" s="1">
        <v>41585</v>
      </c>
      <c r="AC151">
        <v>0.35403891055164699</v>
      </c>
    </row>
    <row r="152" spans="2:29">
      <c r="B152" s="24">
        <v>41592</v>
      </c>
      <c r="C152" s="86">
        <v>0.43809899693344728</v>
      </c>
      <c r="D152" s="86">
        <v>0.43956195505792461</v>
      </c>
      <c r="E152" s="26">
        <f ca="1">VLOOKUP(CurrentMtgRatesDataTable825[[#This Row],[asOfDate]]+1,Bloomberg!B:C,2,0)</f>
        <v>1903.5</v>
      </c>
      <c r="F152" s="27">
        <f>VLOOKUP(CurrentMtgRatesDataTable825[[#This Row],[asOfDate]],CurrentMtgRatesDataTable8256[#All],2,0)</f>
        <v>0.34376188323838874</v>
      </c>
      <c r="G152" s="27">
        <f>VLOOKUP(CurrentMtgRatesDataTable825[[#This Row],[asOfDate]],CurrentMtgRatesDataTable82562[],2,0)</f>
        <v>0.27485742228516102</v>
      </c>
      <c r="H152" s="27">
        <f>VLOOKUP(CurrentMtgRatesDataTable825[[#This Row],[asOfDate]],S:T,2,0)</f>
        <v>0.28071881128362103</v>
      </c>
      <c r="I152" s="84">
        <f>VLOOKUP(CurrentMtgRatesDataTable825[[#This Row],[asOfDate]],CurrentMtgRatesDataTable825623[#All],2,0)</f>
        <v>0.25277848591280316</v>
      </c>
      <c r="J152" s="84">
        <f>VLOOKUP(CurrentMtgRatesDataTable825[[#This Row],[asOfDate]],AB:AC,2,0)</f>
        <v>0.27765033429796598</v>
      </c>
      <c r="L152" s="24">
        <v>41592</v>
      </c>
      <c r="M152" s="26">
        <v>0.34376188323838874</v>
      </c>
      <c r="N152" s="26">
        <f ca="1">VLOOKUP(CurrentMtgRatesDataTable8256[[#This Row],[asOfDate]]+1,Bloomberg!B:C,2,0)</f>
        <v>1903.5</v>
      </c>
      <c r="P152" s="24">
        <v>41592</v>
      </c>
      <c r="Q152" s="26">
        <v>0.27485742228516102</v>
      </c>
      <c r="S152" s="24">
        <v>41592</v>
      </c>
      <c r="T152" s="27">
        <v>0.28071881128362103</v>
      </c>
      <c r="V152" s="56">
        <v>41592</v>
      </c>
      <c r="W152" s="57">
        <v>0.25277848591280316</v>
      </c>
      <c r="Y152" s="1">
        <v>41592</v>
      </c>
      <c r="Z152">
        <v>0.25910666482190398</v>
      </c>
      <c r="AB152" s="1">
        <v>41592</v>
      </c>
      <c r="AC152">
        <v>0.27765033429796598</v>
      </c>
    </row>
    <row r="153" spans="2:29">
      <c r="B153" s="24">
        <v>41599</v>
      </c>
      <c r="C153" s="86">
        <v>0.46646655511873347</v>
      </c>
      <c r="D153" s="86">
        <v>0.4773659203161072</v>
      </c>
      <c r="E153" s="26">
        <f ca="1">VLOOKUP(CurrentMtgRatesDataTable825[[#This Row],[asOfDate]]+1,Bloomberg!B:C,2,0)</f>
        <v>1917.2</v>
      </c>
      <c r="F153" s="27">
        <f>VLOOKUP(CurrentMtgRatesDataTable825[[#This Row],[asOfDate]],CurrentMtgRatesDataTable8256[#All],2,0)</f>
        <v>0.40633426574889947</v>
      </c>
      <c r="G153" s="27">
        <f>VLOOKUP(CurrentMtgRatesDataTable825[[#This Row],[asOfDate]],CurrentMtgRatesDataTable82562[],2,0)</f>
        <v>0.33691055631393624</v>
      </c>
      <c r="H153" s="27">
        <f>VLOOKUP(CurrentMtgRatesDataTable825[[#This Row],[asOfDate]],S:T,2,0)</f>
        <v>0.34304694481314357</v>
      </c>
      <c r="I153" s="84">
        <f>VLOOKUP(CurrentMtgRatesDataTable825[[#This Row],[asOfDate]],CurrentMtgRatesDataTable825623[#All],2,0)</f>
        <v>0.31131333173074666</v>
      </c>
      <c r="J153" s="84">
        <f>VLOOKUP(CurrentMtgRatesDataTable825[[#This Row],[asOfDate]],AB:AC,2,0)</f>
        <v>0.33620447417750299</v>
      </c>
      <c r="L153" s="24">
        <v>41599</v>
      </c>
      <c r="M153" s="26">
        <v>0.40633426574889947</v>
      </c>
      <c r="N153" s="26">
        <f ca="1">VLOOKUP(CurrentMtgRatesDataTable8256[[#This Row],[asOfDate]]+1,Bloomberg!B:C,2,0)</f>
        <v>1917.2</v>
      </c>
      <c r="P153" s="24">
        <v>41599</v>
      </c>
      <c r="Q153" s="26">
        <v>0.33691055631393624</v>
      </c>
      <c r="S153" s="24">
        <v>41599</v>
      </c>
      <c r="T153" s="27">
        <v>0.34304694481314357</v>
      </c>
      <c r="V153" s="56">
        <v>41599</v>
      </c>
      <c r="W153" s="57">
        <v>0.31131333173074666</v>
      </c>
      <c r="Y153" s="1">
        <v>41599</v>
      </c>
      <c r="Z153">
        <v>0.31768885989301698</v>
      </c>
      <c r="AB153" s="1">
        <v>41599</v>
      </c>
      <c r="AC153">
        <v>0.33620447417750299</v>
      </c>
    </row>
    <row r="154" spans="2:29">
      <c r="B154" s="24">
        <v>41605</v>
      </c>
      <c r="C154" s="86">
        <v>0.45035714868846971</v>
      </c>
      <c r="D154" s="86">
        <v>0.4476588188009728</v>
      </c>
      <c r="E154" s="26" t="e">
        <f ca="1">VLOOKUP(CurrentMtgRatesDataTable825[[#This Row],[asOfDate]]+1,Bloomberg!B:C,2,0)</f>
        <v>#N/A</v>
      </c>
      <c r="F154" s="27">
        <f>VLOOKUP(CurrentMtgRatesDataTable825[[#This Row],[asOfDate]],CurrentMtgRatesDataTable8256[#All],2,0)</f>
        <v>0.40599486098742238</v>
      </c>
      <c r="G154" s="27">
        <f>VLOOKUP(CurrentMtgRatesDataTable825[[#This Row],[asOfDate]],CurrentMtgRatesDataTable82562[],2,0)</f>
        <v>0.30831604608005586</v>
      </c>
      <c r="H154" s="27">
        <f>VLOOKUP(CurrentMtgRatesDataTable825[[#This Row],[asOfDate]],S:T,2,0)</f>
        <v>0.31428622705242126</v>
      </c>
      <c r="I154" s="84">
        <f>VLOOKUP(CurrentMtgRatesDataTable825[[#This Row],[asOfDate]],CurrentMtgRatesDataTable825623[#All],2,0)</f>
        <v>0.28206150012278947</v>
      </c>
      <c r="J154" s="84">
        <f>VLOOKUP(CurrentMtgRatesDataTable825[[#This Row],[asOfDate]],AB:AC,2,0)</f>
        <v>0.30662338263190497</v>
      </c>
      <c r="L154" s="24">
        <v>41605</v>
      </c>
      <c r="M154" s="26">
        <v>0.40599486098742238</v>
      </c>
      <c r="N154" s="26" t="e">
        <f ca="1">VLOOKUP(CurrentMtgRatesDataTable8256[[#This Row],[asOfDate]]+1,Bloomberg!B:C,2,0)</f>
        <v>#N/A</v>
      </c>
      <c r="P154" s="24">
        <v>41605</v>
      </c>
      <c r="Q154" s="26">
        <v>0.30831604608005586</v>
      </c>
      <c r="S154" s="24">
        <v>41605</v>
      </c>
      <c r="T154" s="27">
        <v>0.31428622705242126</v>
      </c>
      <c r="V154" s="56">
        <v>41605</v>
      </c>
      <c r="W154" s="57">
        <v>0.28206150012278947</v>
      </c>
      <c r="Y154" s="1">
        <v>41605</v>
      </c>
      <c r="Z154">
        <v>0.28807463231820801</v>
      </c>
      <c r="AB154" s="1">
        <v>41605</v>
      </c>
      <c r="AC154">
        <v>0.30662338263190497</v>
      </c>
    </row>
    <row r="155" spans="2:29">
      <c r="B155" s="24">
        <v>41613</v>
      </c>
      <c r="C155" s="86">
        <v>0.41435742347941557</v>
      </c>
      <c r="D155" s="86">
        <v>0.40105235244362969</v>
      </c>
      <c r="E155" s="26">
        <f ca="1">VLOOKUP(CurrentMtgRatesDataTable825[[#This Row],[asOfDate]]+1,Bloomberg!B:C,2,0)</f>
        <v>1599.4</v>
      </c>
      <c r="F155" s="27">
        <f>VLOOKUP(CurrentMtgRatesDataTable825[[#This Row],[asOfDate]],CurrentMtgRatesDataTable8256[#All],2,0)</f>
        <v>0.33663336734019467</v>
      </c>
      <c r="G155" s="27">
        <f>VLOOKUP(CurrentMtgRatesDataTable825[[#This Row],[asOfDate]],CurrentMtgRatesDataTable82562[],2,0)</f>
        <v>0.23676117392553889</v>
      </c>
      <c r="H155" s="27">
        <f>VLOOKUP(CurrentMtgRatesDataTable825[[#This Row],[asOfDate]],S:T,2,0)</f>
        <v>0.24226678471994609</v>
      </c>
      <c r="I155" s="84">
        <f>VLOOKUP(CurrentMtgRatesDataTable825[[#This Row],[asOfDate]],CurrentMtgRatesDataTable825623[#All],2,0)</f>
        <v>0.21485389589079185</v>
      </c>
      <c r="J155" s="84">
        <f>VLOOKUP(CurrentMtgRatesDataTable825[[#This Row],[asOfDate]],AB:AC,2,0)</f>
        <v>0.238872261686181</v>
      </c>
      <c r="L155" s="24">
        <v>41613</v>
      </c>
      <c r="M155" s="26">
        <v>0.33663336734019467</v>
      </c>
      <c r="N155" s="26">
        <f ca="1">VLOOKUP(CurrentMtgRatesDataTable8256[[#This Row],[asOfDate]]+1,Bloomberg!B:C,2,0)</f>
        <v>1599.4</v>
      </c>
      <c r="P155" s="24">
        <v>41613</v>
      </c>
      <c r="Q155" s="26">
        <v>0.23676117392553889</v>
      </c>
      <c r="S155" s="24">
        <v>41613</v>
      </c>
      <c r="T155" s="27">
        <v>0.24226678471994609</v>
      </c>
      <c r="V155" s="56">
        <v>41613</v>
      </c>
      <c r="W155" s="57">
        <v>0.21485389589079185</v>
      </c>
      <c r="Y155" s="1">
        <v>41613</v>
      </c>
      <c r="Z155">
        <v>0.221072096993749</v>
      </c>
      <c r="AB155" s="1">
        <v>41613</v>
      </c>
      <c r="AC155">
        <v>0.238872261686181</v>
      </c>
    </row>
    <row r="156" spans="2:29">
      <c r="B156" s="24">
        <v>41620</v>
      </c>
      <c r="C156" s="86">
        <v>0.40946577691320324</v>
      </c>
      <c r="D156" s="86">
        <v>0.39298244764617535</v>
      </c>
      <c r="E156" s="26">
        <f ca="1">VLOOKUP(CurrentMtgRatesDataTable825[[#This Row],[asOfDate]]+1,Bloomberg!B:C,2,0)</f>
        <v>1529.8</v>
      </c>
      <c r="F156" s="27">
        <f>VLOOKUP(CurrentMtgRatesDataTable825[[#This Row],[asOfDate]],CurrentMtgRatesDataTable8256[#All],2,0)</f>
        <v>0.33659925585033085</v>
      </c>
      <c r="G156" s="27">
        <f>VLOOKUP(CurrentMtgRatesDataTable825[[#This Row],[asOfDate]],CurrentMtgRatesDataTable82562[],2,0)</f>
        <v>0.23671874324760347</v>
      </c>
      <c r="H156" s="27">
        <f>VLOOKUP(CurrentMtgRatesDataTable825[[#This Row],[asOfDate]],S:T,2,0)</f>
        <v>0.24222415354324153</v>
      </c>
      <c r="I156" s="84">
        <f>VLOOKUP(CurrentMtgRatesDataTable825[[#This Row],[asOfDate]],CurrentMtgRatesDataTable825623[#All],2,0)</f>
        <v>0.21443883052881366</v>
      </c>
      <c r="J156" s="84">
        <f>VLOOKUP(CurrentMtgRatesDataTable825[[#This Row],[asOfDate]],AB:AC,2,0)</f>
        <v>0.23869230352122101</v>
      </c>
      <c r="L156" s="24">
        <v>41620</v>
      </c>
      <c r="M156" s="26">
        <v>0.33659925585033085</v>
      </c>
      <c r="N156" s="26">
        <f ca="1">VLOOKUP(CurrentMtgRatesDataTable8256[[#This Row],[asOfDate]]+1,Bloomberg!B:C,2,0)</f>
        <v>1529.8</v>
      </c>
      <c r="P156" s="24">
        <v>41620</v>
      </c>
      <c r="Q156" s="26">
        <v>0.23671874324760347</v>
      </c>
      <c r="S156" s="24">
        <v>41620</v>
      </c>
      <c r="T156" s="27">
        <v>0.24222415354324153</v>
      </c>
      <c r="V156" s="56">
        <v>41620</v>
      </c>
      <c r="W156" s="57">
        <v>0.21443883052881366</v>
      </c>
      <c r="Y156" s="1">
        <v>41620</v>
      </c>
      <c r="Z156">
        <v>0.22067684071629601</v>
      </c>
      <c r="AB156" s="1">
        <v>41620</v>
      </c>
      <c r="AC156">
        <v>0.23869230352122101</v>
      </c>
    </row>
    <row r="157" spans="2:29">
      <c r="B157" s="24">
        <v>41627</v>
      </c>
      <c r="C157" s="86">
        <v>0.37314562604747809</v>
      </c>
      <c r="D157" s="86">
        <v>0.372163065698008</v>
      </c>
      <c r="E157" s="26">
        <f ca="1">VLOOKUP(CurrentMtgRatesDataTable825[[#This Row],[asOfDate]]+1,Bloomberg!B:C,2,0)</f>
        <v>1426.7</v>
      </c>
      <c r="F157" s="27">
        <f>VLOOKUP(CurrentMtgRatesDataTable825[[#This Row],[asOfDate]],CurrentMtgRatesDataTable8256[#All],2,0)</f>
        <v>0.26251314123023178</v>
      </c>
      <c r="G157" s="27">
        <f>VLOOKUP(CurrentMtgRatesDataTable825[[#This Row],[asOfDate]],CurrentMtgRatesDataTable82562[],2,0)</f>
        <v>0.20585084911050922</v>
      </c>
      <c r="H157" s="27">
        <f>VLOOKUP(CurrentMtgRatesDataTable825[[#This Row],[asOfDate]],S:T,2,0)</f>
        <v>0.20141162346005181</v>
      </c>
      <c r="I157" s="84">
        <f>VLOOKUP(CurrentMtgRatesDataTable825[[#This Row],[asOfDate]],CurrentMtgRatesDataTable825623[#All],2,0)</f>
        <v>0.17874887754348148</v>
      </c>
      <c r="J157" s="84">
        <f>VLOOKUP(CurrentMtgRatesDataTable825[[#This Row],[asOfDate]],AB:AC,2,0)</f>
        <v>0.20595646030872</v>
      </c>
      <c r="L157" s="24">
        <v>41627</v>
      </c>
      <c r="M157" s="26">
        <v>0.26251314123023178</v>
      </c>
      <c r="N157" s="26">
        <f ca="1">VLOOKUP(CurrentMtgRatesDataTable8256[[#This Row],[asOfDate]]+1,Bloomberg!B:C,2,0)</f>
        <v>1426.7</v>
      </c>
      <c r="P157" s="24">
        <v>41627</v>
      </c>
      <c r="Q157" s="26">
        <v>0.20585084911050922</v>
      </c>
      <c r="S157" s="24">
        <v>41627</v>
      </c>
      <c r="T157" s="27">
        <v>0.20141162346005181</v>
      </c>
      <c r="V157" s="56">
        <v>41627</v>
      </c>
      <c r="W157" s="57">
        <v>0.17874887754348148</v>
      </c>
      <c r="Y157" s="1">
        <v>41627</v>
      </c>
      <c r="Z157">
        <v>0.18761251328260201</v>
      </c>
      <c r="AB157" s="1">
        <v>41627</v>
      </c>
      <c r="AC157">
        <v>0.20595646030872</v>
      </c>
    </row>
    <row r="158" spans="2:29">
      <c r="B158" s="24">
        <v>41634</v>
      </c>
      <c r="C158" s="86">
        <v>0.36311039029163023</v>
      </c>
      <c r="D158" s="86">
        <v>0.36595196614156666</v>
      </c>
      <c r="E158" s="26">
        <f ca="1">VLOOKUP(CurrentMtgRatesDataTable825[[#This Row],[asOfDate]]+1,Bloomberg!B:C,2,0)</f>
        <v>1277.8</v>
      </c>
      <c r="F158" s="27">
        <f>VLOOKUP(CurrentMtgRatesDataTable825[[#This Row],[asOfDate]],CurrentMtgRatesDataTable8256[#All],2,0)</f>
        <v>0.2624253850951212</v>
      </c>
      <c r="G158" s="27">
        <f>VLOOKUP(CurrentMtgRatesDataTable825[[#This Row],[asOfDate]],CurrentMtgRatesDataTable82562[],2,0)</f>
        <v>0.20580376248650398</v>
      </c>
      <c r="H158" s="27">
        <f>VLOOKUP(CurrentMtgRatesDataTable825[[#This Row],[asOfDate]],S:T,2,0)</f>
        <v>0.2013640996379655</v>
      </c>
      <c r="I158" s="84">
        <f>VLOOKUP(CurrentMtgRatesDataTable825[[#This Row],[asOfDate]],CurrentMtgRatesDataTable825623[#All],2,0)</f>
        <v>0.17806894310932117</v>
      </c>
      <c r="J158" s="84">
        <f>VLOOKUP(CurrentMtgRatesDataTable825[[#This Row],[asOfDate]],AB:AC,2,0)</f>
        <v>0.20588522084022601</v>
      </c>
      <c r="L158" s="24">
        <v>41634</v>
      </c>
      <c r="M158" s="26">
        <v>0.2624253850951212</v>
      </c>
      <c r="N158" s="26">
        <f ca="1">VLOOKUP(CurrentMtgRatesDataTable8256[[#This Row],[asOfDate]]+1,Bloomberg!B:C,2,0)</f>
        <v>1277.8</v>
      </c>
      <c r="P158" s="24">
        <v>41634</v>
      </c>
      <c r="Q158" s="26">
        <v>0.20580376248650398</v>
      </c>
      <c r="S158" s="24">
        <v>41634</v>
      </c>
      <c r="T158" s="27">
        <v>0.2013640996379655</v>
      </c>
      <c r="V158" s="56">
        <v>41634</v>
      </c>
      <c r="W158" s="57">
        <v>0.17806894310932117</v>
      </c>
      <c r="Y158" s="1">
        <v>41634</v>
      </c>
      <c r="Z158">
        <v>0.18735458500638699</v>
      </c>
      <c r="AB158" s="1">
        <v>41634</v>
      </c>
      <c r="AC158">
        <v>0.20588522084022601</v>
      </c>
    </row>
    <row r="159" spans="2:29">
      <c r="B159" s="24">
        <v>41641</v>
      </c>
      <c r="C159" s="86">
        <v>0.30222062844184339</v>
      </c>
      <c r="D159" s="86">
        <v>0.32171874211009099</v>
      </c>
      <c r="E159" s="26">
        <f ca="1">VLOOKUP(CurrentMtgRatesDataTable825[[#This Row],[asOfDate]]+1,Bloomberg!B:C,2,0)</f>
        <v>1352.7</v>
      </c>
      <c r="F159" s="27">
        <f>VLOOKUP(CurrentMtgRatesDataTable825[[#This Row],[asOfDate]],CurrentMtgRatesDataTable8256[#All],2,0)</f>
        <v>0.25542920246734474</v>
      </c>
      <c r="G159" s="27">
        <f>VLOOKUP(CurrentMtgRatesDataTable825[[#This Row],[asOfDate]],CurrentMtgRatesDataTable82562[],2,0)</f>
        <v>0.18277167291557561</v>
      </c>
      <c r="H159" s="27">
        <f>VLOOKUP(CurrentMtgRatesDataTable825[[#This Row],[asOfDate]],S:T,2,0)</f>
        <v>0.17802959709068786</v>
      </c>
      <c r="I159" s="84">
        <f>VLOOKUP(CurrentMtgRatesDataTable825[[#This Row],[asOfDate]],CurrentMtgRatesDataTable825623[#All],2,0)</f>
        <v>0.15577799845188453</v>
      </c>
      <c r="J159" s="84">
        <f>VLOOKUP(CurrentMtgRatesDataTable825[[#This Row],[asOfDate]],AB:AC,2,0)</f>
        <v>0.18270041372936699</v>
      </c>
      <c r="L159" s="24">
        <v>41641</v>
      </c>
      <c r="M159" s="26">
        <v>0.25542920246734474</v>
      </c>
      <c r="N159" s="26">
        <f ca="1">VLOOKUP(CurrentMtgRatesDataTable8256[[#This Row],[asOfDate]]+1,Bloomberg!B:C,2,0)</f>
        <v>1352.7</v>
      </c>
      <c r="P159" s="24">
        <v>41641</v>
      </c>
      <c r="Q159" s="26">
        <v>0.18277167291557561</v>
      </c>
      <c r="S159" s="24">
        <v>41641</v>
      </c>
      <c r="T159" s="27">
        <v>0.17802959709068786</v>
      </c>
      <c r="V159" s="56">
        <v>41641</v>
      </c>
      <c r="W159" s="57">
        <v>0.15577799845188453</v>
      </c>
      <c r="Y159" s="1">
        <v>41641</v>
      </c>
      <c r="Z159">
        <v>0.16465999692605299</v>
      </c>
      <c r="AB159" s="1">
        <v>41641</v>
      </c>
      <c r="AC159">
        <v>0.18270041372936699</v>
      </c>
    </row>
    <row r="160" spans="2:29">
      <c r="B160" s="24">
        <v>41648</v>
      </c>
      <c r="C160" s="86">
        <v>0.32771934161884003</v>
      </c>
      <c r="D160" s="86">
        <v>0.3301457913950564</v>
      </c>
      <c r="E160" s="26">
        <f ca="1">VLOOKUP(CurrentMtgRatesDataTable825[[#This Row],[asOfDate]]+1,Bloomberg!B:C,2,0)</f>
        <v>1507</v>
      </c>
      <c r="F160" s="27">
        <f>VLOOKUP(CurrentMtgRatesDataTable825[[#This Row],[asOfDate]],CurrentMtgRatesDataTable8256[#All],2,0)</f>
        <v>0.25657721618559615</v>
      </c>
      <c r="G160" s="27">
        <f>VLOOKUP(CurrentMtgRatesDataTable825[[#This Row],[asOfDate]],CurrentMtgRatesDataTable82562[],2,0)</f>
        <v>0.1995598708648329</v>
      </c>
      <c r="H160" s="27">
        <f>VLOOKUP(CurrentMtgRatesDataTable825[[#This Row],[asOfDate]],S:T,2,0)</f>
        <v>0.19750176495775237</v>
      </c>
      <c r="I160" s="84">
        <f>VLOOKUP(CurrentMtgRatesDataTable825[[#This Row],[asOfDate]],CurrentMtgRatesDataTable825623[#All],2,0)</f>
        <v>0.17930576521621211</v>
      </c>
      <c r="J160" s="84">
        <f>VLOOKUP(CurrentMtgRatesDataTable825[[#This Row],[asOfDate]],AB:AC,2,0)</f>
        <v>0.20349751001168101</v>
      </c>
      <c r="L160" s="24">
        <v>41648</v>
      </c>
      <c r="M160" s="26">
        <v>0.25657721618559615</v>
      </c>
      <c r="N160" s="26">
        <f ca="1">VLOOKUP(CurrentMtgRatesDataTable8256[[#This Row],[asOfDate]]+1,Bloomberg!B:C,2,0)</f>
        <v>1507</v>
      </c>
      <c r="P160" s="24">
        <v>41648</v>
      </c>
      <c r="Q160" s="26">
        <v>0.1995598708648329</v>
      </c>
      <c r="S160" s="24">
        <v>41648</v>
      </c>
      <c r="T160" s="27">
        <v>0.19750176495775237</v>
      </c>
      <c r="V160" s="56">
        <v>41648</v>
      </c>
      <c r="W160" s="57">
        <v>0.17930576521621211</v>
      </c>
      <c r="Y160" s="1">
        <v>41648</v>
      </c>
      <c r="Z160">
        <v>0.185921978942027</v>
      </c>
      <c r="AB160" s="1">
        <v>41648</v>
      </c>
      <c r="AC160">
        <v>0.20349751001168101</v>
      </c>
    </row>
    <row r="161" spans="2:29">
      <c r="B161" s="24">
        <v>41655</v>
      </c>
      <c r="C161" s="86">
        <v>0.40641511694283672</v>
      </c>
      <c r="D161" s="86">
        <v>0.39187994159100115</v>
      </c>
      <c r="E161" s="26">
        <f ca="1">VLOOKUP(CurrentMtgRatesDataTable825[[#This Row],[asOfDate]]+1,Bloomberg!B:C,2,0)</f>
        <v>1675.8</v>
      </c>
      <c r="F161" s="27">
        <f>VLOOKUP(CurrentMtgRatesDataTable825[[#This Row],[asOfDate]],CurrentMtgRatesDataTable8256[#All],2,0)</f>
        <v>0.3304592378060357</v>
      </c>
      <c r="G161" s="27">
        <f>VLOOKUP(CurrentMtgRatesDataTable825[[#This Row],[asOfDate]],CurrentMtgRatesDataTable82562[],2,0)</f>
        <v>0.23136337362836862</v>
      </c>
      <c r="H161" s="27">
        <f>VLOOKUP(CurrentMtgRatesDataTable825[[#This Row],[asOfDate]],S:T,2,0)</f>
        <v>0.22917295307652799</v>
      </c>
      <c r="I161" s="84">
        <f>VLOOKUP(CurrentMtgRatesDataTable825[[#This Row],[asOfDate]],CurrentMtgRatesDataTable825623[#All],2,0)</f>
        <v>0.20959300534444442</v>
      </c>
      <c r="J161" s="84">
        <f>VLOOKUP(CurrentMtgRatesDataTable825[[#This Row],[asOfDate]],AB:AC,2,0)</f>
        <v>0.23285648019755101</v>
      </c>
      <c r="L161" s="24">
        <v>41655</v>
      </c>
      <c r="M161" s="26">
        <v>0.3304592378060357</v>
      </c>
      <c r="N161" s="26">
        <f ca="1">VLOOKUP(CurrentMtgRatesDataTable8256[[#This Row],[asOfDate]]+1,Bloomberg!B:C,2,0)</f>
        <v>1675.8</v>
      </c>
      <c r="P161" s="24">
        <v>41655</v>
      </c>
      <c r="Q161" s="26">
        <v>0.23136337362836862</v>
      </c>
      <c r="S161" s="24">
        <v>41655</v>
      </c>
      <c r="T161" s="27">
        <v>0.22917295307652799</v>
      </c>
      <c r="V161" s="56">
        <v>41655</v>
      </c>
      <c r="W161" s="57">
        <v>0.20959300534444442</v>
      </c>
      <c r="Y161" s="1">
        <v>41655</v>
      </c>
      <c r="Z161">
        <v>0.216042930815323</v>
      </c>
      <c r="AB161" s="1">
        <v>41655</v>
      </c>
      <c r="AC161">
        <v>0.23285648019755101</v>
      </c>
    </row>
    <row r="162" spans="2:29">
      <c r="B162" s="24">
        <v>41662</v>
      </c>
      <c r="C162" s="86">
        <v>0.41373446472520986</v>
      </c>
      <c r="D162" s="86">
        <v>0.40913238844571759</v>
      </c>
      <c r="E162" s="26">
        <f ca="1">VLOOKUP(CurrentMtgRatesDataTable825[[#This Row],[asOfDate]]+1,Bloomberg!B:C,2,0)</f>
        <v>1601.2</v>
      </c>
      <c r="F162" s="27">
        <f>VLOOKUP(CurrentMtgRatesDataTable825[[#This Row],[asOfDate]],CurrentMtgRatesDataTable8256[#All],2,0)</f>
        <v>0.33051418127812865</v>
      </c>
      <c r="G162" s="27">
        <f>VLOOKUP(CurrentMtgRatesDataTable825[[#This Row],[asOfDate]],CurrentMtgRatesDataTable82562[],2,0)</f>
        <v>0.23169665097660838</v>
      </c>
      <c r="H162" s="27">
        <f>VLOOKUP(CurrentMtgRatesDataTable825[[#This Row],[asOfDate]],S:T,2,0)</f>
        <v>0.22951003472904788</v>
      </c>
      <c r="I162" s="84">
        <f>VLOOKUP(CurrentMtgRatesDataTable825[[#This Row],[asOfDate]],CurrentMtgRatesDataTable825623[#All],2,0)</f>
        <v>0.21019143531749254</v>
      </c>
      <c r="J162" s="84">
        <f>VLOOKUP(CurrentMtgRatesDataTable825[[#This Row],[asOfDate]],AB:AC,2,0)</f>
        <v>0.23330797794566899</v>
      </c>
      <c r="L162" s="24">
        <v>41662</v>
      </c>
      <c r="M162" s="26">
        <v>0.33051418127812865</v>
      </c>
      <c r="N162" s="26">
        <f ca="1">VLOOKUP(CurrentMtgRatesDataTable8256[[#This Row],[asOfDate]]+1,Bloomberg!B:C,2,0)</f>
        <v>1601.2</v>
      </c>
      <c r="P162" s="24">
        <v>41662</v>
      </c>
      <c r="Q162" s="26">
        <v>0.23169665097660838</v>
      </c>
      <c r="S162" s="24">
        <v>41662</v>
      </c>
      <c r="T162" s="27">
        <v>0.22951003472904788</v>
      </c>
      <c r="V162" s="56">
        <v>41662</v>
      </c>
      <c r="W162" s="57">
        <v>0.21019143531749254</v>
      </c>
      <c r="Y162" s="1">
        <v>41662</v>
      </c>
      <c r="Z162">
        <v>0.216603413639506</v>
      </c>
      <c r="AB162" s="1">
        <v>41662</v>
      </c>
      <c r="AC162">
        <v>0.23330797794566899</v>
      </c>
    </row>
    <row r="163" spans="2:29">
      <c r="B163" s="24">
        <v>41669</v>
      </c>
      <c r="C163" s="86">
        <v>0.43082638628918513</v>
      </c>
      <c r="D163" s="86">
        <v>0.42740592179003306</v>
      </c>
      <c r="E163" s="26">
        <f ca="1">VLOOKUP(CurrentMtgRatesDataTable825[[#This Row],[asOfDate]]+1,Bloomberg!B:C,2,0)</f>
        <v>1667.5</v>
      </c>
      <c r="F163" s="27">
        <f>VLOOKUP(CurrentMtgRatesDataTable825[[#This Row],[asOfDate]],CurrentMtgRatesDataTable8256[#All],2,0)</f>
        <v>0.39423204709456816</v>
      </c>
      <c r="G163" s="27">
        <f>VLOOKUP(CurrentMtgRatesDataTable825[[#This Row],[asOfDate]],CurrentMtgRatesDataTable82562[],2,0)</f>
        <v>0.29474577349870773</v>
      </c>
      <c r="H163" s="27">
        <f>VLOOKUP(CurrentMtgRatesDataTable825[[#This Row],[asOfDate]],S:T,2,0)</f>
        <v>0.29231353005395816</v>
      </c>
      <c r="I163" s="84">
        <f>VLOOKUP(CurrentMtgRatesDataTable825[[#This Row],[asOfDate]],CurrentMtgRatesDataTable825623[#All],2,0)</f>
        <v>0.26753407065163864</v>
      </c>
      <c r="J163" s="84">
        <f>VLOOKUP(CurrentMtgRatesDataTable825[[#This Row],[asOfDate]],AB:AC,2,0)</f>
        <v>0.29089795893761</v>
      </c>
      <c r="L163" s="24">
        <v>41669</v>
      </c>
      <c r="M163" s="26">
        <v>0.39423204709456816</v>
      </c>
      <c r="N163" s="26">
        <f ca="1">VLOOKUP(CurrentMtgRatesDataTable8256[[#This Row],[asOfDate]]+1,Bloomberg!B:C,2,0)</f>
        <v>1667.5</v>
      </c>
      <c r="P163" s="24">
        <v>41669</v>
      </c>
      <c r="Q163" s="26">
        <v>0.29474577349870773</v>
      </c>
      <c r="S163" s="24">
        <v>41669</v>
      </c>
      <c r="T163" s="27">
        <v>0.29231353005395816</v>
      </c>
      <c r="V163" s="56">
        <v>41669</v>
      </c>
      <c r="W163" s="57">
        <v>0.26753407065163864</v>
      </c>
      <c r="Y163" s="1">
        <v>41669</v>
      </c>
      <c r="Z163">
        <v>0.27368472968670898</v>
      </c>
      <c r="AB163" s="1">
        <v>41669</v>
      </c>
      <c r="AC163">
        <v>0.29089795893761</v>
      </c>
    </row>
    <row r="164" spans="2:29">
      <c r="B164" s="24">
        <v>41676</v>
      </c>
      <c r="C164" s="86">
        <v>0.44229187681125864</v>
      </c>
      <c r="D164" s="86">
        <v>0.45822883562397482</v>
      </c>
      <c r="E164" s="26">
        <f ca="1">VLOOKUP(CurrentMtgRatesDataTable825[[#This Row],[asOfDate]]+1,Bloomberg!B:C,2,0)</f>
        <v>1674.2</v>
      </c>
      <c r="F164" s="27">
        <f>VLOOKUP(CurrentMtgRatesDataTable825[[#This Row],[asOfDate]],CurrentMtgRatesDataTable8256[#All],2,0)</f>
        <v>0.39101792197108992</v>
      </c>
      <c r="G164" s="27">
        <f>VLOOKUP(CurrentMtgRatesDataTable825[[#This Row],[asOfDate]],CurrentMtgRatesDataTable82562[],2,0)</f>
        <v>0.31761815233915819</v>
      </c>
      <c r="H164" s="27">
        <f>VLOOKUP(CurrentMtgRatesDataTable825[[#This Row],[asOfDate]],S:T,2,0)</f>
        <v>0.31520979957393219</v>
      </c>
      <c r="I164" s="84">
        <f>VLOOKUP(CurrentMtgRatesDataTable825[[#This Row],[asOfDate]],CurrentMtgRatesDataTable825623[#All],2,0)</f>
        <v>0.29181927799860874</v>
      </c>
      <c r="J164" s="84">
        <f>VLOOKUP(CurrentMtgRatesDataTable825[[#This Row],[asOfDate]],AB:AC,2,0)</f>
        <v>0.31424671770039497</v>
      </c>
      <c r="L164" s="24">
        <v>41676</v>
      </c>
      <c r="M164" s="26">
        <v>0.39101792197108992</v>
      </c>
      <c r="N164" s="26">
        <f ca="1">VLOOKUP(CurrentMtgRatesDataTable8256[[#This Row],[asOfDate]]+1,Bloomberg!B:C,2,0)</f>
        <v>1674.2</v>
      </c>
      <c r="P164" s="24">
        <v>41676</v>
      </c>
      <c r="Q164" s="26">
        <v>0.31761815233915819</v>
      </c>
      <c r="S164" s="24">
        <v>41676</v>
      </c>
      <c r="T164" s="27">
        <v>0.31520979957393219</v>
      </c>
      <c r="V164" s="56">
        <v>41676</v>
      </c>
      <c r="W164" s="57">
        <v>0.29181927799860874</v>
      </c>
      <c r="Y164" s="1">
        <v>41676</v>
      </c>
      <c r="Z164">
        <v>0.29812871914502598</v>
      </c>
      <c r="AB164" s="1">
        <v>41676</v>
      </c>
      <c r="AC164">
        <v>0.31424671770039497</v>
      </c>
    </row>
    <row r="165" spans="2:29">
      <c r="B165" s="24">
        <v>41683</v>
      </c>
      <c r="C165" s="86">
        <v>0.42867877923273462</v>
      </c>
      <c r="D165" s="86">
        <v>0.42232238423374058</v>
      </c>
      <c r="E165" s="26">
        <f ca="1">VLOOKUP(CurrentMtgRatesDataTable825[[#This Row],[asOfDate]]+1,Bloomberg!B:C,2,0)</f>
        <v>1650.6</v>
      </c>
      <c r="F165" s="27">
        <f>VLOOKUP(CurrentMtgRatesDataTable825[[#This Row],[asOfDate]],CurrentMtgRatesDataTable8256[#All],2,0)</f>
        <v>0.39068366290434636</v>
      </c>
      <c r="G165" s="27">
        <f>VLOOKUP(CurrentMtgRatesDataTable825[[#This Row],[asOfDate]],CurrentMtgRatesDataTable82562[],2,0)</f>
        <v>0.28995938501376983</v>
      </c>
      <c r="H165" s="27">
        <f>VLOOKUP(CurrentMtgRatesDataTable825[[#This Row],[asOfDate]],S:T,2,0)</f>
        <v>0.28764958142832198</v>
      </c>
      <c r="I165" s="84">
        <f>VLOOKUP(CurrentMtgRatesDataTable825[[#This Row],[asOfDate]],CurrentMtgRatesDataTable825623[#All],2,0)</f>
        <v>0.26481047273119829</v>
      </c>
      <c r="J165" s="84">
        <f>VLOOKUP(CurrentMtgRatesDataTable825[[#This Row],[asOfDate]],AB:AC,2,0)</f>
        <v>0.28654188629747801</v>
      </c>
      <c r="L165" s="24">
        <v>41683</v>
      </c>
      <c r="M165" s="26">
        <v>0.39068366290434636</v>
      </c>
      <c r="N165" s="26">
        <f ca="1">VLOOKUP(CurrentMtgRatesDataTable8256[[#This Row],[asOfDate]]+1,Bloomberg!B:C,2,0)</f>
        <v>1650.6</v>
      </c>
      <c r="P165" s="24">
        <v>41683</v>
      </c>
      <c r="Q165" s="26">
        <v>0.28995938501376983</v>
      </c>
      <c r="S165" s="24">
        <v>41683</v>
      </c>
      <c r="T165" s="27">
        <v>0.28764958142832198</v>
      </c>
      <c r="V165" s="56">
        <v>41683</v>
      </c>
      <c r="W165" s="57">
        <v>0.26481047273119829</v>
      </c>
      <c r="Y165" s="1">
        <v>41683</v>
      </c>
      <c r="Z165">
        <v>0.27065341449398</v>
      </c>
      <c r="AB165" s="1">
        <v>41683</v>
      </c>
      <c r="AC165">
        <v>0.28654188629747801</v>
      </c>
    </row>
    <row r="166" spans="2:29">
      <c r="B166" s="24">
        <v>41690</v>
      </c>
      <c r="C166" s="86">
        <v>0.4190960023934181</v>
      </c>
      <c r="D166" s="86">
        <v>0.41120102053262975</v>
      </c>
      <c r="E166" s="26">
        <f ca="1">VLOOKUP(CurrentMtgRatesDataTable825[[#This Row],[asOfDate]]+1,Bloomberg!B:C,2,0)</f>
        <v>1442.3</v>
      </c>
      <c r="F166" s="27">
        <f>VLOOKUP(CurrentMtgRatesDataTable825[[#This Row],[asOfDate]],CurrentMtgRatesDataTable8256[#All],2,0)</f>
        <v>0.32596209420558231</v>
      </c>
      <c r="G166" s="27">
        <f>VLOOKUP(CurrentMtgRatesDataTable825[[#This Row],[asOfDate]],CurrentMtgRatesDataTable82562[],2,0)</f>
        <v>0.25704564753531173</v>
      </c>
      <c r="H166" s="27">
        <f>VLOOKUP(CurrentMtgRatesDataTable825[[#This Row],[asOfDate]],S:T,2,0)</f>
        <v>0.25489738506230836</v>
      </c>
      <c r="I166" s="84">
        <f>VLOOKUP(CurrentMtgRatesDataTable825[[#This Row],[asOfDate]],CurrentMtgRatesDataTable825623[#All],2,0)</f>
        <v>0.23629264624582719</v>
      </c>
      <c r="J166" s="84">
        <f>VLOOKUP(CurrentMtgRatesDataTable825[[#This Row],[asOfDate]],AB:AC,2,0)</f>
        <v>0.25823477101989301</v>
      </c>
      <c r="L166" s="24">
        <v>41690</v>
      </c>
      <c r="M166" s="26">
        <v>0.32596209420558231</v>
      </c>
      <c r="N166" s="26">
        <f ca="1">VLOOKUP(CurrentMtgRatesDataTable8256[[#This Row],[asOfDate]]+1,Bloomberg!B:C,2,0)</f>
        <v>1442.3</v>
      </c>
      <c r="P166" s="24">
        <v>41690</v>
      </c>
      <c r="Q166" s="26">
        <v>0.25704564753531173</v>
      </c>
      <c r="S166" s="24">
        <v>41690</v>
      </c>
      <c r="T166" s="27">
        <v>0.25489738506230836</v>
      </c>
      <c r="V166" s="56">
        <v>41690</v>
      </c>
      <c r="W166" s="57">
        <v>0.23629264624582719</v>
      </c>
      <c r="Y166" s="1">
        <v>41690</v>
      </c>
      <c r="Z166">
        <v>0.24244901885890699</v>
      </c>
      <c r="AB166" s="1">
        <v>41690</v>
      </c>
      <c r="AC166">
        <v>0.25823477101989301</v>
      </c>
    </row>
    <row r="167" spans="2:29">
      <c r="B167" s="24">
        <v>41697</v>
      </c>
      <c r="C167" s="86">
        <v>0.41087729858311572</v>
      </c>
      <c r="D167" s="86">
        <v>0.40092922216196164</v>
      </c>
      <c r="E167" s="26">
        <f ca="1">VLOOKUP(CurrentMtgRatesDataTable825[[#This Row],[asOfDate]]+1,Bloomberg!B:C,2,0)</f>
        <v>1600.6</v>
      </c>
      <c r="F167" s="27">
        <f>VLOOKUP(CurrentMtgRatesDataTable825[[#This Row],[asOfDate]],CurrentMtgRatesDataTable8256[#All],2,0)</f>
        <v>0.32584125763891397</v>
      </c>
      <c r="G167" s="27">
        <f>VLOOKUP(CurrentMtgRatesDataTable825[[#This Row],[asOfDate]],CurrentMtgRatesDataTable82562[],2,0)</f>
        <v>0.25682661220400127</v>
      </c>
      <c r="H167" s="27">
        <f>VLOOKUP(CurrentMtgRatesDataTable825[[#This Row],[asOfDate]],S:T,2,0)</f>
        <v>0.25467923398674452</v>
      </c>
      <c r="I167" s="84">
        <f>VLOOKUP(CurrentMtgRatesDataTable825[[#This Row],[asOfDate]],CurrentMtgRatesDataTable825623[#All],2,0)</f>
        <v>0.23523336613531681</v>
      </c>
      <c r="J167" s="84">
        <f>VLOOKUP(CurrentMtgRatesDataTable825[[#This Row],[asOfDate]],AB:AC,2,0)</f>
        <v>0.25744034883327499</v>
      </c>
      <c r="L167" s="24">
        <v>41697</v>
      </c>
      <c r="M167" s="26">
        <v>0.32584125763891397</v>
      </c>
      <c r="N167" s="26">
        <f ca="1">VLOOKUP(CurrentMtgRatesDataTable8256[[#This Row],[asOfDate]]+1,Bloomberg!B:C,2,0)</f>
        <v>1600.6</v>
      </c>
      <c r="P167" s="24">
        <v>41697</v>
      </c>
      <c r="Q167" s="26">
        <v>0.25682661220400127</v>
      </c>
      <c r="S167" s="24">
        <v>41697</v>
      </c>
      <c r="T167" s="27">
        <v>0.25467923398674452</v>
      </c>
      <c r="V167" s="56">
        <v>41697</v>
      </c>
      <c r="W167" s="57">
        <v>0.23523336613531681</v>
      </c>
      <c r="Y167" s="1">
        <v>41697</v>
      </c>
      <c r="Z167">
        <v>0.241396467571595</v>
      </c>
      <c r="AB167" s="1">
        <v>41697</v>
      </c>
      <c r="AC167">
        <v>0.25744034883327499</v>
      </c>
    </row>
    <row r="168" spans="2:29">
      <c r="B168" s="24">
        <v>41704</v>
      </c>
      <c r="C168" s="86">
        <v>0.42373437747114012</v>
      </c>
      <c r="D168" s="86">
        <v>0.42032392660498552</v>
      </c>
      <c r="E168" s="26">
        <f ca="1">VLOOKUP(CurrentMtgRatesDataTable825[[#This Row],[asOfDate]]+1,Bloomberg!B:C,2,0)</f>
        <v>1528</v>
      </c>
      <c r="F168" s="27">
        <f>VLOOKUP(CurrentMtgRatesDataTable825[[#This Row],[asOfDate]],CurrentMtgRatesDataTable8256[#All],2,0)</f>
        <v>0.3880906059489676</v>
      </c>
      <c r="G168" s="27">
        <f>VLOOKUP(CurrentMtgRatesDataTable825[[#This Row],[asOfDate]],CurrentMtgRatesDataTable82562[],2,0)</f>
        <v>0.2862432263746571</v>
      </c>
      <c r="H168" s="27">
        <f>VLOOKUP(CurrentMtgRatesDataTable825[[#This Row],[asOfDate]],S:T,2,0)</f>
        <v>0.28397099180873842</v>
      </c>
      <c r="I168" s="84">
        <f>VLOOKUP(CurrentMtgRatesDataTable825[[#This Row],[asOfDate]],CurrentMtgRatesDataTable825623[#All],2,0)</f>
        <v>0.26131289645907729</v>
      </c>
      <c r="J168" s="84">
        <f>VLOOKUP(CurrentMtgRatesDataTable825[[#This Row],[asOfDate]],AB:AC,2,0)</f>
        <v>0.28216102843400898</v>
      </c>
      <c r="L168" s="24">
        <v>41704</v>
      </c>
      <c r="M168" s="26">
        <v>0.3880906059489676</v>
      </c>
      <c r="N168" s="26">
        <f ca="1">VLOOKUP(CurrentMtgRatesDataTable8256[[#This Row],[asOfDate]]+1,Bloomberg!B:C,2,0)</f>
        <v>1528</v>
      </c>
      <c r="P168" s="24">
        <v>41704</v>
      </c>
      <c r="Q168" s="26">
        <v>0.2862432263746571</v>
      </c>
      <c r="S168" s="24">
        <v>41704</v>
      </c>
      <c r="T168" s="27">
        <v>0.28397099180873842</v>
      </c>
      <c r="V168" s="56">
        <v>41704</v>
      </c>
      <c r="W168" s="57">
        <v>0.26131289645907729</v>
      </c>
      <c r="Y168" s="1">
        <v>41704</v>
      </c>
      <c r="Z168">
        <v>0.26694203162482799</v>
      </c>
      <c r="AB168" s="1">
        <v>41704</v>
      </c>
      <c r="AC168">
        <v>0.28216102843400898</v>
      </c>
    </row>
    <row r="169" spans="2:29">
      <c r="B169" s="24">
        <v>41711</v>
      </c>
      <c r="C169" s="86">
        <v>0.40957194544715148</v>
      </c>
      <c r="D169" s="86">
        <v>0.4045389885463066</v>
      </c>
      <c r="E169" s="26">
        <f ca="1">VLOOKUP(CurrentMtgRatesDataTable825[[#This Row],[asOfDate]]+1,Bloomberg!B:C,2,0)</f>
        <v>1552.1</v>
      </c>
      <c r="F169" s="27">
        <f>VLOOKUP(CurrentMtgRatesDataTable825[[#This Row],[asOfDate]],CurrentMtgRatesDataTable8256[#All],2,0)</f>
        <v>0.32243239988824457</v>
      </c>
      <c r="G169" s="27">
        <f>VLOOKUP(CurrentMtgRatesDataTable825[[#This Row],[asOfDate]],CurrentMtgRatesDataTable82562[],2,0)</f>
        <v>0.25311362033574425</v>
      </c>
      <c r="H169" s="27">
        <f>VLOOKUP(CurrentMtgRatesDataTable825[[#This Row],[asOfDate]],S:T,2,0)</f>
        <v>0.25100221815672541</v>
      </c>
      <c r="I169" s="84">
        <f>VLOOKUP(CurrentMtgRatesDataTable825[[#This Row],[asOfDate]],CurrentMtgRatesDataTable825623[#All],2,0)</f>
        <v>0.23229463907320802</v>
      </c>
      <c r="J169" s="84">
        <f>VLOOKUP(CurrentMtgRatesDataTable825[[#This Row],[asOfDate]],AB:AC,2,0)</f>
        <v>0.25339035668079501</v>
      </c>
      <c r="L169" s="24">
        <v>41711</v>
      </c>
      <c r="M169" s="26">
        <v>0.32243239988824457</v>
      </c>
      <c r="N169" s="26">
        <f ca="1">VLOOKUP(CurrentMtgRatesDataTable8256[[#This Row],[asOfDate]]+1,Bloomberg!B:C,2,0)</f>
        <v>1552.1</v>
      </c>
      <c r="P169" s="24">
        <v>41711</v>
      </c>
      <c r="Q169" s="26">
        <v>0.25311362033574425</v>
      </c>
      <c r="S169" s="24">
        <v>41711</v>
      </c>
      <c r="T169" s="27">
        <v>0.25100221815672541</v>
      </c>
      <c r="V169" s="56">
        <v>41711</v>
      </c>
      <c r="W169" s="57">
        <v>0.23229463907320802</v>
      </c>
      <c r="Y169" s="1">
        <v>41711</v>
      </c>
      <c r="Z169">
        <v>0.23824719785874199</v>
      </c>
      <c r="AB169" s="1">
        <v>41711</v>
      </c>
      <c r="AC169">
        <v>0.25339035668079501</v>
      </c>
    </row>
    <row r="170" spans="2:29">
      <c r="B170" s="24">
        <v>41718</v>
      </c>
      <c r="C170" s="86">
        <v>0.42118721507933182</v>
      </c>
      <c r="D170" s="86">
        <v>0.41226975971321461</v>
      </c>
      <c r="E170" s="26">
        <f ca="1">VLOOKUP(CurrentMtgRatesDataTable825[[#This Row],[asOfDate]]+1,Bloomberg!B:C,2,0)</f>
        <v>1426.3</v>
      </c>
      <c r="F170" s="27">
        <f>VLOOKUP(CurrentMtgRatesDataTable825[[#This Row],[asOfDate]],CurrentMtgRatesDataTable8256[#All],2,0)</f>
        <v>0.38803155963126795</v>
      </c>
      <c r="G170" s="27">
        <f>VLOOKUP(CurrentMtgRatesDataTable825[[#This Row],[asOfDate]],CurrentMtgRatesDataTable82562[],2,0)</f>
        <v>0.28618346079129836</v>
      </c>
      <c r="H170" s="27">
        <f>VLOOKUP(CurrentMtgRatesDataTable825[[#This Row],[asOfDate]],S:T,2,0)</f>
        <v>0.28391182536273768</v>
      </c>
      <c r="I170" s="84">
        <f>VLOOKUP(CurrentMtgRatesDataTable825[[#This Row],[asOfDate]],CurrentMtgRatesDataTable825623[#All],2,0)</f>
        <v>0.25991121759857438</v>
      </c>
      <c r="J170" s="84">
        <f>VLOOKUP(CurrentMtgRatesDataTable825[[#This Row],[asOfDate]],AB:AC,2,0)</f>
        <v>0.28102818996708701</v>
      </c>
      <c r="L170" s="24">
        <v>41718</v>
      </c>
      <c r="M170" s="26">
        <v>0.38803155963126795</v>
      </c>
      <c r="N170" s="26">
        <f ca="1">VLOOKUP(CurrentMtgRatesDataTable8256[[#This Row],[asOfDate]]+1,Bloomberg!B:C,2,0)</f>
        <v>1426.3</v>
      </c>
      <c r="P170" s="24">
        <v>41718</v>
      </c>
      <c r="Q170" s="26">
        <v>0.28618346079129836</v>
      </c>
      <c r="S170" s="24">
        <v>41718</v>
      </c>
      <c r="T170" s="27">
        <v>0.28391182536273768</v>
      </c>
      <c r="V170" s="56">
        <v>41718</v>
      </c>
      <c r="W170" s="57">
        <v>0.25991121759857438</v>
      </c>
      <c r="Y170" s="1">
        <v>41718</v>
      </c>
      <c r="Z170">
        <v>0.265586453209053</v>
      </c>
      <c r="AB170" s="1">
        <v>41718</v>
      </c>
      <c r="AC170">
        <v>0.28102818996708701</v>
      </c>
    </row>
    <row r="171" spans="2:29">
      <c r="B171" s="24">
        <v>41725</v>
      </c>
      <c r="C171" s="86">
        <v>0.40398876534854189</v>
      </c>
      <c r="D171" s="86">
        <v>0.39430822438848651</v>
      </c>
      <c r="E171" s="26">
        <f ca="1">VLOOKUP(CurrentMtgRatesDataTable825[[#This Row],[asOfDate]]+1,Bloomberg!B:C,2,0)</f>
        <v>1383.5</v>
      </c>
      <c r="F171" s="27">
        <f>VLOOKUP(CurrentMtgRatesDataTable825[[#This Row],[asOfDate]],CurrentMtgRatesDataTable8256[#All],2,0)</f>
        <v>0.32225376577204623</v>
      </c>
      <c r="G171" s="27">
        <f>VLOOKUP(CurrentMtgRatesDataTable825[[#This Row],[asOfDate]],CurrentMtgRatesDataTable82562[],2,0)</f>
        <v>0.2529912660652664</v>
      </c>
      <c r="H171" s="27">
        <f>VLOOKUP(CurrentMtgRatesDataTable825[[#This Row],[asOfDate]],S:T,2,0)</f>
        <v>0.25088103362043407</v>
      </c>
      <c r="I171" s="84">
        <f>VLOOKUP(CurrentMtgRatesDataTable825[[#This Row],[asOfDate]],CurrentMtgRatesDataTable825623[#All],2,0)</f>
        <v>0.23160663701689185</v>
      </c>
      <c r="J171" s="84">
        <f>VLOOKUP(CurrentMtgRatesDataTable825[[#This Row],[asOfDate]],AB:AC,2,0)</f>
        <v>0.25299751732949799</v>
      </c>
      <c r="L171" s="24">
        <v>41725</v>
      </c>
      <c r="M171" s="26">
        <v>0.32225376577204623</v>
      </c>
      <c r="N171" s="26">
        <f ca="1">VLOOKUP(CurrentMtgRatesDataTable8256[[#This Row],[asOfDate]]+1,Bloomberg!B:C,2,0)</f>
        <v>1383.5</v>
      </c>
      <c r="P171" s="24">
        <v>41725</v>
      </c>
      <c r="Q171" s="26">
        <v>0.2529912660652664</v>
      </c>
      <c r="S171" s="24">
        <v>41725</v>
      </c>
      <c r="T171" s="27">
        <v>0.25088103362043407</v>
      </c>
      <c r="V171" s="56">
        <v>41725</v>
      </c>
      <c r="W171" s="57">
        <v>0.23160663701689185</v>
      </c>
      <c r="Y171" s="1">
        <v>41725</v>
      </c>
      <c r="Z171">
        <v>0.23763543332293</v>
      </c>
      <c r="AB171" s="1">
        <v>41725</v>
      </c>
      <c r="AC171">
        <v>0.25299751732949799</v>
      </c>
    </row>
    <row r="172" spans="2:29">
      <c r="B172" s="24">
        <v>41732</v>
      </c>
      <c r="C172" s="86">
        <v>0.38842204575632649</v>
      </c>
      <c r="D172" s="86">
        <v>0.37018131764189915</v>
      </c>
      <c r="E172" s="26">
        <f ca="1">VLOOKUP(CurrentMtgRatesDataTable825[[#This Row],[asOfDate]]+1,Bloomberg!B:C,2,0)</f>
        <v>1324.7</v>
      </c>
      <c r="F172" s="27">
        <f>VLOOKUP(CurrentMtgRatesDataTable825[[#This Row],[asOfDate]],CurrentMtgRatesDataTable8256[#All],2,0)</f>
        <v>0.31763867857518779</v>
      </c>
      <c r="G172" s="27">
        <f>VLOOKUP(CurrentMtgRatesDataTable825[[#This Row],[asOfDate]],CurrentMtgRatesDataTable82562[],2,0)</f>
        <v>0.22226173892798851</v>
      </c>
      <c r="H172" s="27">
        <f>VLOOKUP(CurrentMtgRatesDataTable825[[#This Row],[asOfDate]],S:T,2,0)</f>
        <v>0.22052709973522447</v>
      </c>
      <c r="I172" s="84">
        <f>VLOOKUP(CurrentMtgRatesDataTable825[[#This Row],[asOfDate]],CurrentMtgRatesDataTable825623[#All],2,0)</f>
        <v>0.20321387799468149</v>
      </c>
      <c r="J172" s="84">
        <f>VLOOKUP(CurrentMtgRatesDataTable825[[#This Row],[asOfDate]],AB:AC,2,0)</f>
        <v>0.222143720081627</v>
      </c>
      <c r="L172" s="24">
        <v>41732</v>
      </c>
      <c r="M172" s="26">
        <v>0.31763867857518779</v>
      </c>
      <c r="N172" s="26">
        <f ca="1">VLOOKUP(CurrentMtgRatesDataTable8256[[#This Row],[asOfDate]]+1,Bloomberg!B:C,2,0)</f>
        <v>1324.7</v>
      </c>
      <c r="P172" s="24">
        <v>41732</v>
      </c>
      <c r="Q172" s="26">
        <v>0.22226173892798851</v>
      </c>
      <c r="S172" s="24">
        <v>41732</v>
      </c>
      <c r="T172" s="27">
        <v>0.22052709973522447</v>
      </c>
      <c r="V172" s="56">
        <v>41732</v>
      </c>
      <c r="W172" s="57">
        <v>0.20321387799468149</v>
      </c>
      <c r="Y172" s="1">
        <v>41732</v>
      </c>
      <c r="Z172">
        <v>0.208631033089789</v>
      </c>
      <c r="AB172" s="1">
        <v>41732</v>
      </c>
      <c r="AC172">
        <v>0.222143720081627</v>
      </c>
    </row>
    <row r="173" spans="2:29">
      <c r="B173" s="24">
        <v>41739</v>
      </c>
      <c r="C173" s="86">
        <v>0.40452869269282377</v>
      </c>
      <c r="D173" s="86">
        <v>0.39666565832160561</v>
      </c>
      <c r="E173" s="26">
        <f ca="1">VLOOKUP(CurrentMtgRatesDataTable825[[#This Row],[asOfDate]]+1,Bloomberg!B:C,2,0)</f>
        <v>1429.9</v>
      </c>
      <c r="F173" s="27">
        <f>VLOOKUP(CurrentMtgRatesDataTable825[[#This Row],[asOfDate]],CurrentMtgRatesDataTable8256[#All],2,0)</f>
        <v>0.3179400498756681</v>
      </c>
      <c r="G173" s="27">
        <f>VLOOKUP(CurrentMtgRatesDataTable825[[#This Row],[asOfDate]],CurrentMtgRatesDataTable82562[],2,0)</f>
        <v>0.25193488777281597</v>
      </c>
      <c r="H173" s="27">
        <f>VLOOKUP(CurrentMtgRatesDataTable825[[#This Row],[asOfDate]],S:T,2,0)</f>
        <v>0.25015107339443698</v>
      </c>
      <c r="I173" s="84">
        <f>VLOOKUP(CurrentMtgRatesDataTable825[[#This Row],[asOfDate]],CurrentMtgRatesDataTable825623[#All],2,0)</f>
        <v>0.23288461809893268</v>
      </c>
      <c r="J173" s="84">
        <f>VLOOKUP(CurrentMtgRatesDataTable825[[#This Row],[asOfDate]],AB:AC,2,0)</f>
        <v>0.25169457423695202</v>
      </c>
      <c r="L173" s="24">
        <v>41739</v>
      </c>
      <c r="M173" s="26">
        <v>0.3179400498756681</v>
      </c>
      <c r="N173" s="26">
        <f ca="1">VLOOKUP(CurrentMtgRatesDataTable8256[[#This Row],[asOfDate]]+1,Bloomberg!B:C,2,0)</f>
        <v>1429.9</v>
      </c>
      <c r="P173" s="24">
        <v>41739</v>
      </c>
      <c r="Q173" s="26">
        <v>0.25193488777281597</v>
      </c>
      <c r="S173" s="24">
        <v>41739</v>
      </c>
      <c r="T173" s="27">
        <v>0.25015107339443698</v>
      </c>
      <c r="V173" s="56">
        <v>41739</v>
      </c>
      <c r="W173" s="57">
        <v>0.23288461809893268</v>
      </c>
      <c r="Y173" s="1">
        <v>41739</v>
      </c>
      <c r="Z173">
        <v>0.23833106587035599</v>
      </c>
      <c r="AB173" s="1">
        <v>41739</v>
      </c>
      <c r="AC173">
        <v>0.25169457423695202</v>
      </c>
    </row>
    <row r="174" spans="2:29">
      <c r="B174" s="24">
        <v>41746</v>
      </c>
      <c r="C174" s="86">
        <v>0.41899770903391403</v>
      </c>
      <c r="D174" s="86">
        <v>0.41244387504013574</v>
      </c>
      <c r="E174" s="26">
        <f ca="1">VLOOKUP(CurrentMtgRatesDataTable825[[#This Row],[asOfDate]]+1,Bloomberg!B:C,2,0)</f>
        <v>1370.9</v>
      </c>
      <c r="F174" s="27">
        <f>VLOOKUP(CurrentMtgRatesDataTable825[[#This Row],[asOfDate]],CurrentMtgRatesDataTable8256[#All],2,0)</f>
        <v>0.38470598100767872</v>
      </c>
      <c r="G174" s="27">
        <f>VLOOKUP(CurrentMtgRatesDataTable825[[#This Row],[asOfDate]],CurrentMtgRatesDataTable82562[],2,0)</f>
        <v>0.28486963190417852</v>
      </c>
      <c r="H174" s="27">
        <f>VLOOKUP(CurrentMtgRatesDataTable825[[#This Row],[asOfDate]],S:T,2,0)</f>
        <v>0.28299748708911909</v>
      </c>
      <c r="I174" s="84">
        <f>VLOOKUP(CurrentMtgRatesDataTable825[[#This Row],[asOfDate]],CurrentMtgRatesDataTable825623[#All],2,0)</f>
        <v>0.26202204782205368</v>
      </c>
      <c r="J174" s="84">
        <f>VLOOKUP(CurrentMtgRatesDataTable825[[#This Row],[asOfDate]],AB:AC,2,0)</f>
        <v>0.28058021231610197</v>
      </c>
      <c r="L174" s="24">
        <v>41746</v>
      </c>
      <c r="M174" s="26">
        <v>0.38470598100767872</v>
      </c>
      <c r="N174" s="26">
        <f ca="1">VLOOKUP(CurrentMtgRatesDataTable8256[[#This Row],[asOfDate]]+1,Bloomberg!B:C,2,0)</f>
        <v>1370.9</v>
      </c>
      <c r="P174" s="24">
        <v>41746</v>
      </c>
      <c r="Q174" s="26">
        <v>0.28486963190417852</v>
      </c>
      <c r="S174" s="24">
        <v>41746</v>
      </c>
      <c r="T174" s="27">
        <v>0.28299748708911909</v>
      </c>
      <c r="V174" s="56">
        <v>41746</v>
      </c>
      <c r="W174" s="57">
        <v>0.26202204782205368</v>
      </c>
      <c r="Y174" s="1">
        <v>41746</v>
      </c>
      <c r="Z174">
        <v>0.26720272525041899</v>
      </c>
      <c r="AB174" s="1">
        <v>41746</v>
      </c>
      <c r="AC174">
        <v>0.28058021231610197</v>
      </c>
    </row>
    <row r="175" spans="2:29">
      <c r="B175" s="24">
        <v>41753</v>
      </c>
      <c r="C175" s="86">
        <v>0.41427601525024443</v>
      </c>
      <c r="D175" s="86">
        <v>0.40432601023313197</v>
      </c>
      <c r="E175" s="26">
        <f ca="1">VLOOKUP(CurrentMtgRatesDataTable825[[#This Row],[asOfDate]]+1,Bloomberg!B:C,2,0)</f>
        <v>1298.0999999999999</v>
      </c>
      <c r="F175" s="27">
        <f>VLOOKUP(CurrentMtgRatesDataTable825[[#This Row],[asOfDate]],CurrentMtgRatesDataTable8256[#All],2,0)</f>
        <v>0.38440732841326453</v>
      </c>
      <c r="G175" s="27">
        <f>VLOOKUP(CurrentMtgRatesDataTable825[[#This Row],[asOfDate]],CurrentMtgRatesDataTable82562[],2,0)</f>
        <v>0.2847162826216843</v>
      </c>
      <c r="H175" s="27">
        <f>VLOOKUP(CurrentMtgRatesDataTable825[[#This Row],[asOfDate]],S:T,2,0)</f>
        <v>0.28284593551814341</v>
      </c>
      <c r="I175" s="84">
        <f>VLOOKUP(CurrentMtgRatesDataTable825[[#This Row],[asOfDate]],CurrentMtgRatesDataTable825623[#All],2,0)</f>
        <v>0.26064759544975269</v>
      </c>
      <c r="J175" s="84">
        <f>VLOOKUP(CurrentMtgRatesDataTable825[[#This Row],[asOfDate]],AB:AC,2,0)</f>
        <v>0.279448840397376</v>
      </c>
      <c r="L175" s="24">
        <v>41753</v>
      </c>
      <c r="M175" s="26">
        <v>0.38440732841326453</v>
      </c>
      <c r="N175" s="26">
        <f ca="1">VLOOKUP(CurrentMtgRatesDataTable8256[[#This Row],[asOfDate]]+1,Bloomberg!B:C,2,0)</f>
        <v>1298.0999999999999</v>
      </c>
      <c r="P175" s="24">
        <v>41753</v>
      </c>
      <c r="Q175" s="26">
        <v>0.2847162826216843</v>
      </c>
      <c r="S175" s="24">
        <v>41753</v>
      </c>
      <c r="T175" s="27">
        <v>0.28284593551814341</v>
      </c>
      <c r="V175" s="56">
        <v>41753</v>
      </c>
      <c r="W175" s="57">
        <v>0.26064759544975269</v>
      </c>
      <c r="Y175" s="1">
        <v>41753</v>
      </c>
      <c r="Z175">
        <v>0.26582404892400002</v>
      </c>
      <c r="AB175" s="1">
        <v>41753</v>
      </c>
      <c r="AC175">
        <v>0.279448840397376</v>
      </c>
    </row>
    <row r="176" spans="2:29">
      <c r="B176" s="24">
        <v>41760</v>
      </c>
      <c r="C176" s="86">
        <v>0.40922673931396869</v>
      </c>
      <c r="D176" s="86">
        <v>0.4043605106102986</v>
      </c>
      <c r="E176" s="26">
        <f ca="1">VLOOKUP(CurrentMtgRatesDataTable825[[#This Row],[asOfDate]]+1,Bloomberg!B:C,2,0)</f>
        <v>1323.9</v>
      </c>
      <c r="F176" s="27">
        <f>VLOOKUP(CurrentMtgRatesDataTable825[[#This Row],[asOfDate]],CurrentMtgRatesDataTable8256[#All],2,0)</f>
        <v>0.38059841454921201</v>
      </c>
      <c r="G176" s="27">
        <f>VLOOKUP(CurrentMtgRatesDataTable825[[#This Row],[asOfDate]],CurrentMtgRatesDataTable82562[],2,0)</f>
        <v>0.28231972736522121</v>
      </c>
      <c r="H176" s="27">
        <f>VLOOKUP(CurrentMtgRatesDataTable825[[#This Row],[asOfDate]],S:T,2,0)</f>
        <v>0.28069096324496473</v>
      </c>
      <c r="I176" s="84">
        <f>VLOOKUP(CurrentMtgRatesDataTable825[[#This Row],[asOfDate]],CurrentMtgRatesDataTable825623[#All],2,0)</f>
        <v>0.26096797184396925</v>
      </c>
      <c r="J176" s="84">
        <f>VLOOKUP(CurrentMtgRatesDataTable825[[#This Row],[asOfDate]],AB:AC,2,0)</f>
        <v>0.27758425345188897</v>
      </c>
      <c r="L176" s="24">
        <v>41760</v>
      </c>
      <c r="M176" s="26">
        <v>0.38059841454921201</v>
      </c>
      <c r="N176" s="26">
        <f ca="1">VLOOKUP(CurrentMtgRatesDataTable8256[[#This Row],[asOfDate]]+1,Bloomberg!B:C,2,0)</f>
        <v>1323.9</v>
      </c>
      <c r="P176" s="24">
        <v>41760</v>
      </c>
      <c r="Q176" s="26">
        <v>0.28231972736522121</v>
      </c>
      <c r="S176" s="24">
        <v>41760</v>
      </c>
      <c r="T176" s="27">
        <v>0.28069096324496473</v>
      </c>
      <c r="V176" s="56">
        <v>41760</v>
      </c>
      <c r="W176" s="57">
        <v>0.26096797184396925</v>
      </c>
      <c r="Y176" s="1">
        <v>41760</v>
      </c>
      <c r="Z176">
        <v>0.265739765141083</v>
      </c>
      <c r="AB176" s="1">
        <v>41760</v>
      </c>
      <c r="AC176">
        <v>0.27758425345188897</v>
      </c>
    </row>
    <row r="177" spans="2:29">
      <c r="B177" s="24">
        <v>41767</v>
      </c>
      <c r="C177" s="86">
        <v>0.45351225783810156</v>
      </c>
      <c r="D177" s="86">
        <v>0.45692392323030162</v>
      </c>
      <c r="E177" s="26">
        <f ca="1">VLOOKUP(CurrentMtgRatesDataTable825[[#This Row],[asOfDate]]+1,Bloomberg!B:C,2,0)</f>
        <v>1400.9</v>
      </c>
      <c r="F177" s="27">
        <f>VLOOKUP(CurrentMtgRatesDataTable825[[#This Row],[asOfDate]],CurrentMtgRatesDataTable8256[#All],2,0)</f>
        <v>0.43450609291099734</v>
      </c>
      <c r="G177" s="27">
        <f>VLOOKUP(CurrentMtgRatesDataTable825[[#This Row],[asOfDate]],CurrentMtgRatesDataTable82562[],2,0)</f>
        <v>0.33562728951290161</v>
      </c>
      <c r="H177" s="27">
        <f>VLOOKUP(CurrentMtgRatesDataTable825[[#This Row],[asOfDate]],S:T,2,0)</f>
        <v>0.33387849823041243</v>
      </c>
      <c r="I177" s="84">
        <f>VLOOKUP(CurrentMtgRatesDataTable825[[#This Row],[asOfDate]],CurrentMtgRatesDataTable825623[#All],2,0)</f>
        <v>0.30889383306981971</v>
      </c>
      <c r="J177" s="84">
        <f>VLOOKUP(CurrentMtgRatesDataTable825[[#This Row],[asOfDate]],AB:AC,2,0)</f>
        <v>0.32550344763156402</v>
      </c>
      <c r="L177" s="24">
        <v>41767</v>
      </c>
      <c r="M177" s="26">
        <v>0.43450609291099734</v>
      </c>
      <c r="N177" s="26">
        <f ca="1">VLOOKUP(CurrentMtgRatesDataTable8256[[#This Row],[asOfDate]]+1,Bloomberg!B:C,2,0)</f>
        <v>1400.9</v>
      </c>
      <c r="P177" s="24">
        <v>41767</v>
      </c>
      <c r="Q177" s="26">
        <v>0.33562728951290161</v>
      </c>
      <c r="S177" s="24">
        <v>41767</v>
      </c>
      <c r="T177" s="27">
        <v>0.33387849823041243</v>
      </c>
      <c r="V177" s="56">
        <v>41767</v>
      </c>
      <c r="W177" s="57">
        <v>0.30889383306981971</v>
      </c>
      <c r="Y177" s="1">
        <v>41767</v>
      </c>
      <c r="Z177">
        <v>0.313610826062592</v>
      </c>
      <c r="AB177" s="1">
        <v>41767</v>
      </c>
      <c r="AC177">
        <v>0.32550344763156402</v>
      </c>
    </row>
    <row r="178" spans="2:29">
      <c r="B178" s="24">
        <v>41774</v>
      </c>
      <c r="C178" s="86">
        <v>0.45691985970382054</v>
      </c>
      <c r="D178" s="86">
        <v>0.45692392323030162</v>
      </c>
      <c r="E178" s="26">
        <f ca="1">VLOOKUP(CurrentMtgRatesDataTable825[[#This Row],[asOfDate]]+1,Bloomberg!B:C,2,0)</f>
        <v>1460.6</v>
      </c>
      <c r="F178" s="27">
        <f>VLOOKUP(CurrentMtgRatesDataTable825[[#This Row],[asOfDate]],CurrentMtgRatesDataTable8256[#All],2,0)</f>
        <v>0.43452030184865936</v>
      </c>
      <c r="G178" s="27">
        <f>VLOOKUP(CurrentMtgRatesDataTable825[[#This Row],[asOfDate]],CurrentMtgRatesDataTable82562[],2,0)</f>
        <v>0.33564994150270799</v>
      </c>
      <c r="H178" s="27">
        <f>VLOOKUP(CurrentMtgRatesDataTable825[[#This Row],[asOfDate]],S:T,2,0)</f>
        <v>0.33390062435369622</v>
      </c>
      <c r="I178" s="84">
        <f>VLOOKUP(CurrentMtgRatesDataTable825[[#This Row],[asOfDate]],CurrentMtgRatesDataTable825623[#All],2,0)</f>
        <v>0.30891479778446918</v>
      </c>
      <c r="J178" s="84">
        <f>VLOOKUP(CurrentMtgRatesDataTable825[[#This Row],[asOfDate]],AB:AC,2,0)</f>
        <v>0.32552411046597202</v>
      </c>
      <c r="L178" s="24">
        <v>41774</v>
      </c>
      <c r="M178" s="26">
        <v>0.43452030184865936</v>
      </c>
      <c r="N178" s="26">
        <f ca="1">VLOOKUP(CurrentMtgRatesDataTable8256[[#This Row],[asOfDate]]+1,Bloomberg!B:C,2,0)</f>
        <v>1460.6</v>
      </c>
      <c r="P178" s="24">
        <v>41774</v>
      </c>
      <c r="Q178" s="26">
        <v>0.33564994150270799</v>
      </c>
      <c r="S178" s="24">
        <v>41774</v>
      </c>
      <c r="T178" s="27">
        <v>0.33390062435369622</v>
      </c>
      <c r="V178" s="56">
        <v>41774</v>
      </c>
      <c r="W178" s="57">
        <v>0.30891479778446918</v>
      </c>
      <c r="Y178" s="1">
        <v>41774</v>
      </c>
      <c r="Z178">
        <v>0.31367479572658302</v>
      </c>
      <c r="AB178" s="1">
        <v>41774</v>
      </c>
      <c r="AC178">
        <v>0.32552411046597202</v>
      </c>
    </row>
    <row r="179" spans="2:29">
      <c r="B179" s="24">
        <v>41781</v>
      </c>
      <c r="C179" s="86">
        <v>0.50044950670899591</v>
      </c>
      <c r="D179" s="86">
        <v>0.52383149025396858</v>
      </c>
      <c r="E179" s="26">
        <f ca="1">VLOOKUP(CurrentMtgRatesDataTable825[[#This Row],[asOfDate]]+1,Bloomberg!B:C,2,0)</f>
        <v>1453.4</v>
      </c>
      <c r="F179" s="27">
        <f>VLOOKUP(CurrentMtgRatesDataTable825[[#This Row],[asOfDate]],CurrentMtgRatesDataTable8256[#All],2,0)</f>
        <v>0.43535189728112444</v>
      </c>
      <c r="G179" s="27">
        <f>VLOOKUP(CurrentMtgRatesDataTable825[[#This Row],[asOfDate]],CurrentMtgRatesDataTable82562[],2,0)</f>
        <v>0.35800907395487891</v>
      </c>
      <c r="H179" s="27">
        <f>VLOOKUP(CurrentMtgRatesDataTable825[[#This Row],[asOfDate]],S:T,2,0)</f>
        <v>0.35622497076114035</v>
      </c>
      <c r="I179" s="84">
        <f>VLOOKUP(CurrentMtgRatesDataTable825[[#This Row],[asOfDate]],CurrentMtgRatesDataTable825623[#All],2,0)</f>
        <v>0.33114270527414602</v>
      </c>
      <c r="J179" s="84">
        <f>VLOOKUP(CurrentMtgRatesDataTable825[[#This Row],[asOfDate]],AB:AC,2,0)</f>
        <v>0.347488455871724</v>
      </c>
      <c r="L179" s="24">
        <v>41781</v>
      </c>
      <c r="M179" s="26">
        <v>0.43535189728112444</v>
      </c>
      <c r="N179" s="26">
        <f ca="1">VLOOKUP(CurrentMtgRatesDataTable8256[[#This Row],[asOfDate]]+1,Bloomberg!B:C,2,0)</f>
        <v>1453.4</v>
      </c>
      <c r="P179" s="24">
        <v>41781</v>
      </c>
      <c r="Q179" s="26">
        <v>0.35800907395487891</v>
      </c>
      <c r="S179" s="24">
        <v>41781</v>
      </c>
      <c r="T179" s="27">
        <v>0.35622497076114035</v>
      </c>
      <c r="V179" s="56">
        <v>41781</v>
      </c>
      <c r="W179" s="57">
        <v>0.33114270527414602</v>
      </c>
      <c r="Y179" s="1">
        <v>41781</v>
      </c>
      <c r="Z179">
        <v>0.33579532790854399</v>
      </c>
      <c r="AB179" s="1">
        <v>41781</v>
      </c>
      <c r="AC179">
        <v>0.347488455871724</v>
      </c>
    </row>
    <row r="180" spans="2:29">
      <c r="B180" s="24">
        <v>41788</v>
      </c>
      <c r="C180" s="86">
        <v>0.51691546049332004</v>
      </c>
      <c r="D180" s="86">
        <v>0.52383149025396858</v>
      </c>
      <c r="E180" s="26">
        <f ca="1">VLOOKUP(CurrentMtgRatesDataTable825[[#This Row],[asOfDate]]+1,Bloomberg!B:C,2,0)</f>
        <v>1382.6</v>
      </c>
      <c r="F180" s="27">
        <f>VLOOKUP(CurrentMtgRatesDataTable825[[#This Row],[asOfDate]],CurrentMtgRatesDataTable8256[#All],2,0)</f>
        <v>0.43540610404364999</v>
      </c>
      <c r="G180" s="27">
        <f>VLOOKUP(CurrentMtgRatesDataTable825[[#This Row],[asOfDate]],CurrentMtgRatesDataTable82562[],2,0)</f>
        <v>0.35811856180138385</v>
      </c>
      <c r="H180" s="27">
        <f>VLOOKUP(CurrentMtgRatesDataTable825[[#This Row],[asOfDate]],S:T,2,0)</f>
        <v>0.35633423706395456</v>
      </c>
      <c r="I180" s="84">
        <f>VLOOKUP(CurrentMtgRatesDataTable825[[#This Row],[asOfDate]],CurrentMtgRatesDataTable825623[#All],2,0)</f>
        <v>0.33194076989098714</v>
      </c>
      <c r="J180" s="84">
        <f>VLOOKUP(CurrentMtgRatesDataTable825[[#This Row],[asOfDate]],AB:AC,2,0)</f>
        <v>0.34818390220270101</v>
      </c>
      <c r="L180" s="24">
        <v>41788</v>
      </c>
      <c r="M180" s="26">
        <v>0.43540610404364999</v>
      </c>
      <c r="N180" s="26">
        <f ca="1">VLOOKUP(CurrentMtgRatesDataTable8256[[#This Row],[asOfDate]]+1,Bloomberg!B:C,2,0)</f>
        <v>1382.6</v>
      </c>
      <c r="P180" s="24">
        <v>41788</v>
      </c>
      <c r="Q180" s="26">
        <v>0.35811856180138385</v>
      </c>
      <c r="S180" s="24">
        <v>41788</v>
      </c>
      <c r="T180" s="27">
        <v>0.35633423706395456</v>
      </c>
      <c r="V180" s="56">
        <v>41788</v>
      </c>
      <c r="W180" s="57">
        <v>0.33194076989098714</v>
      </c>
      <c r="Y180" s="1">
        <v>41788</v>
      </c>
      <c r="Z180">
        <v>0.33662059981869802</v>
      </c>
      <c r="AB180" s="1">
        <v>41788</v>
      </c>
      <c r="AC180">
        <v>0.34818390220270101</v>
      </c>
    </row>
    <row r="181" spans="2:29">
      <c r="B181" s="24">
        <v>41795</v>
      </c>
      <c r="C181" s="86">
        <v>0.52106283427340949</v>
      </c>
      <c r="D181" s="86">
        <v>0.54055971720211804</v>
      </c>
      <c r="E181" s="26">
        <f ca="1">VLOOKUP(CurrentMtgRatesDataTable825[[#This Row],[asOfDate]]+1,Bloomberg!B:C,2,0)</f>
        <v>1516.9</v>
      </c>
      <c r="F181" s="27">
        <f>VLOOKUP(CurrentMtgRatesDataTable825[[#This Row],[asOfDate]],CurrentMtgRatesDataTable8256[#All],2,0)</f>
        <v>0.43456496283175705</v>
      </c>
      <c r="G181" s="27">
        <f>VLOOKUP(CurrentMtgRatesDataTable825[[#This Row],[asOfDate]],CurrentMtgRatesDataTable82562[],2,0)</f>
        <v>0.35629539343759348</v>
      </c>
      <c r="H181" s="27">
        <f>VLOOKUP(CurrentMtgRatesDataTable825[[#This Row],[asOfDate]],S:T,2,0)</f>
        <v>0.35489250561464825</v>
      </c>
      <c r="I181" s="84">
        <f>VLOOKUP(CurrentMtgRatesDataTable825[[#This Row],[asOfDate]],CurrentMtgRatesDataTable825623[#All],2,0)</f>
        <v>0.33192034731196002</v>
      </c>
      <c r="J181" s="84">
        <f>VLOOKUP(CurrentMtgRatesDataTable825[[#This Row],[asOfDate]],AB:AC,2,0)</f>
        <v>0.346238128399389</v>
      </c>
      <c r="L181" s="24">
        <v>41795</v>
      </c>
      <c r="M181" s="26">
        <v>0.43456496283175705</v>
      </c>
      <c r="N181" s="26">
        <f ca="1">VLOOKUP(CurrentMtgRatesDataTable8256[[#This Row],[asOfDate]]+1,Bloomberg!B:C,2,0)</f>
        <v>1516.9</v>
      </c>
      <c r="P181" s="24">
        <v>41795</v>
      </c>
      <c r="Q181" s="26">
        <v>0.35629539343759348</v>
      </c>
      <c r="S181" s="24">
        <v>41795</v>
      </c>
      <c r="T181" s="27">
        <v>0.35489250561464825</v>
      </c>
      <c r="V181" s="56">
        <v>41795</v>
      </c>
      <c r="W181" s="57">
        <v>0.33192034731196002</v>
      </c>
      <c r="Y181" s="1">
        <v>41795</v>
      </c>
      <c r="Z181">
        <v>0.33599328622587599</v>
      </c>
      <c r="AB181" s="1">
        <v>41795</v>
      </c>
      <c r="AC181">
        <v>0.346238128399389</v>
      </c>
    </row>
    <row r="182" spans="2:29">
      <c r="B182" s="24">
        <v>41802</v>
      </c>
      <c r="C182" s="86">
        <v>0.45425380803935078</v>
      </c>
      <c r="D182" s="86">
        <v>0.46163949488682776</v>
      </c>
      <c r="E182" s="26">
        <f ca="1">VLOOKUP(CurrentMtgRatesDataTable825[[#This Row],[asOfDate]]+1,Bloomberg!B:C,2,0)</f>
        <v>1321.3</v>
      </c>
      <c r="F182" s="27">
        <f>VLOOKUP(CurrentMtgRatesDataTable825[[#This Row],[asOfDate]],CurrentMtgRatesDataTable8256[#All],2,0)</f>
        <v>0.43354196734760481</v>
      </c>
      <c r="G182" s="27">
        <f>VLOOKUP(CurrentMtgRatesDataTable825[[#This Row],[asOfDate]],CurrentMtgRatesDataTable82562[],2,0)</f>
        <v>0.33276240912323568</v>
      </c>
      <c r="H182" s="27">
        <f>VLOOKUP(CurrentMtgRatesDataTable825[[#This Row],[asOfDate]],S:T,2,0)</f>
        <v>0.33139268056260768</v>
      </c>
      <c r="I182" s="84">
        <f>VLOOKUP(CurrentMtgRatesDataTable825[[#This Row],[asOfDate]],CurrentMtgRatesDataTable825623[#All],2,0)</f>
        <v>0.30807676123988897</v>
      </c>
      <c r="J182" s="84">
        <f>VLOOKUP(CurrentMtgRatesDataTable825[[#This Row],[asOfDate]],AB:AC,2,0)</f>
        <v>0.32274759646781798</v>
      </c>
      <c r="L182" s="24">
        <v>41802</v>
      </c>
      <c r="M182" s="26">
        <v>0.43354196734760481</v>
      </c>
      <c r="N182" s="26">
        <f ca="1">VLOOKUP(CurrentMtgRatesDataTable8256[[#This Row],[asOfDate]]+1,Bloomberg!B:C,2,0)</f>
        <v>1321.3</v>
      </c>
      <c r="P182" s="24">
        <v>41802</v>
      </c>
      <c r="Q182" s="26">
        <v>0.33276240912323568</v>
      </c>
      <c r="S182" s="24">
        <v>41802</v>
      </c>
      <c r="T182" s="27">
        <v>0.33139268056260768</v>
      </c>
      <c r="V182" s="56">
        <v>41802</v>
      </c>
      <c r="W182" s="57">
        <v>0.30807676123988897</v>
      </c>
      <c r="Y182" s="1">
        <v>41802</v>
      </c>
      <c r="Z182">
        <v>0.312241036233324</v>
      </c>
      <c r="AB182" s="1">
        <v>41802</v>
      </c>
      <c r="AC182">
        <v>0.32274759646781798</v>
      </c>
    </row>
    <row r="183" spans="2:29">
      <c r="B183" s="24">
        <v>41809</v>
      </c>
      <c r="C183" s="86">
        <v>0.47647398145844211</v>
      </c>
      <c r="D183" s="86">
        <v>0.50999173750074722</v>
      </c>
      <c r="E183" s="26">
        <f ca="1">VLOOKUP(CurrentMtgRatesDataTable825[[#This Row],[asOfDate]]+1,Bloomberg!B:C,2,0)</f>
        <v>1333.5</v>
      </c>
      <c r="F183" s="27">
        <f>VLOOKUP(CurrentMtgRatesDataTable825[[#This Row],[asOfDate]],CurrentMtgRatesDataTable8256[#All],2,0)</f>
        <v>0.43404253553300182</v>
      </c>
      <c r="G183" s="27">
        <f>VLOOKUP(CurrentMtgRatesDataTable825[[#This Row],[asOfDate]],CurrentMtgRatesDataTable82562[],2,0)</f>
        <v>0.33298320890646194</v>
      </c>
      <c r="H183" s="27">
        <f>VLOOKUP(CurrentMtgRatesDataTable825[[#This Row],[asOfDate]],S:T,2,0)</f>
        <v>0.33161272059622571</v>
      </c>
      <c r="I183" s="84">
        <f>VLOOKUP(CurrentMtgRatesDataTable825[[#This Row],[asOfDate]],CurrentMtgRatesDataTable825623[#All],2,0)</f>
        <v>0.30971242843576313</v>
      </c>
      <c r="J183" s="84">
        <f>VLOOKUP(CurrentMtgRatesDataTable825[[#This Row],[asOfDate]],AB:AC,2,0)</f>
        <v>0.324184407069465</v>
      </c>
      <c r="L183" s="24">
        <v>41809</v>
      </c>
      <c r="M183" s="26">
        <v>0.43404253553300182</v>
      </c>
      <c r="N183" s="26">
        <f ca="1">VLOOKUP(CurrentMtgRatesDataTable8256[[#This Row],[asOfDate]]+1,Bloomberg!B:C,2,0)</f>
        <v>1333.5</v>
      </c>
      <c r="P183" s="24">
        <v>41809</v>
      </c>
      <c r="Q183" s="26">
        <v>0.33298320890646194</v>
      </c>
      <c r="S183" s="24">
        <v>41809</v>
      </c>
      <c r="T183" s="27">
        <v>0.33161272059622571</v>
      </c>
      <c r="V183" s="56">
        <v>41809</v>
      </c>
      <c r="W183" s="57">
        <v>0.30971242843576313</v>
      </c>
      <c r="Y183" s="1">
        <v>41809</v>
      </c>
      <c r="Z183">
        <v>0.31387857551491599</v>
      </c>
      <c r="AB183" s="1">
        <v>41809</v>
      </c>
      <c r="AC183">
        <v>0.324184407069465</v>
      </c>
    </row>
    <row r="184" spans="2:29">
      <c r="B184" s="24">
        <v>41816</v>
      </c>
      <c r="C184" s="86">
        <v>0.52106283427340949</v>
      </c>
      <c r="D184" s="86">
        <v>0.54055971720211804</v>
      </c>
      <c r="E184" s="26">
        <f ca="1">VLOOKUP(CurrentMtgRatesDataTable825[[#This Row],[asOfDate]]+1,Bloomberg!B:C,2,0)</f>
        <v>1341.8</v>
      </c>
      <c r="F184" s="27">
        <f>VLOOKUP(CurrentMtgRatesDataTable825[[#This Row],[asOfDate]],CurrentMtgRatesDataTable8256[#All],2,0)</f>
        <v>0.43456496283175705</v>
      </c>
      <c r="G184" s="27">
        <f>VLOOKUP(CurrentMtgRatesDataTable825[[#This Row],[asOfDate]],CurrentMtgRatesDataTable82562[],2,0)</f>
        <v>0.35629539343759348</v>
      </c>
      <c r="H184" s="27">
        <f>VLOOKUP(CurrentMtgRatesDataTable825[[#This Row],[asOfDate]],S:T,2,0)</f>
        <v>0.35489250561464825</v>
      </c>
      <c r="I184" s="84">
        <f>VLOOKUP(CurrentMtgRatesDataTable825[[#This Row],[asOfDate]],CurrentMtgRatesDataTable825623[#All],2,0)</f>
        <v>0.33192034731196002</v>
      </c>
      <c r="J184" s="84">
        <f>VLOOKUP(CurrentMtgRatesDataTable825[[#This Row],[asOfDate]],AB:AC,2,0)</f>
        <v>0.346238128399389</v>
      </c>
      <c r="L184" s="24">
        <v>41816</v>
      </c>
      <c r="M184" s="26">
        <v>0.43456496283175705</v>
      </c>
      <c r="N184" s="26">
        <f ca="1">VLOOKUP(CurrentMtgRatesDataTable8256[[#This Row],[asOfDate]]+1,Bloomberg!B:C,2,0)</f>
        <v>1341.8</v>
      </c>
      <c r="P184" s="24">
        <v>41816</v>
      </c>
      <c r="Q184" s="26">
        <v>0.35629539343759348</v>
      </c>
      <c r="S184" s="24">
        <v>41816</v>
      </c>
      <c r="T184" s="27">
        <v>0.35489250561464825</v>
      </c>
      <c r="V184" s="56">
        <v>41816</v>
      </c>
      <c r="W184" s="57">
        <v>0.33192034731196002</v>
      </c>
      <c r="Y184" s="1">
        <v>41816</v>
      </c>
      <c r="Z184">
        <v>0.33599328622587599</v>
      </c>
      <c r="AB184" s="1">
        <v>41816</v>
      </c>
      <c r="AC184">
        <v>0.346238128399389</v>
      </c>
    </row>
    <row r="185" spans="2:29">
      <c r="B185" s="24">
        <v>41823</v>
      </c>
      <c r="C185" s="86">
        <v>0.53301594192210267</v>
      </c>
      <c r="D185" s="86">
        <v>0.55255033455679525</v>
      </c>
      <c r="E185" s="26">
        <f ca="1">VLOOKUP(CurrentMtgRatesDataTable825[[#This Row],[asOfDate]]+1,Bloomberg!B:C,2,0)</f>
        <v>1346.8</v>
      </c>
      <c r="F185" s="27">
        <f>VLOOKUP(CurrentMtgRatesDataTable825[[#This Row],[asOfDate]],CurrentMtgRatesDataTable8256[#All],2,0)</f>
        <v>0.49845248288256383</v>
      </c>
      <c r="G185" s="27">
        <f>VLOOKUP(CurrentMtgRatesDataTable825[[#This Row],[asOfDate]],CurrentMtgRatesDataTable82562[],2,0)</f>
        <v>0.38510975967739758</v>
      </c>
      <c r="H185" s="27">
        <f>VLOOKUP(CurrentMtgRatesDataTable825[[#This Row],[asOfDate]],S:T,2,0)</f>
        <v>0.38369257635845216</v>
      </c>
      <c r="I185" s="84">
        <f>VLOOKUP(CurrentMtgRatesDataTable825[[#This Row],[asOfDate]],CurrentMtgRatesDataTable825623[#All],2,0)</f>
        <v>0.3526251649505287</v>
      </c>
      <c r="J185" s="84">
        <f>VLOOKUP(CurrentMtgRatesDataTable825[[#This Row],[asOfDate]],AB:AC,2,0)</f>
        <v>0.36578907876503403</v>
      </c>
      <c r="L185" s="24">
        <v>41823</v>
      </c>
      <c r="M185" s="26">
        <v>0.49845248288256383</v>
      </c>
      <c r="N185" s="26">
        <f ca="1">VLOOKUP(CurrentMtgRatesDataTable8256[[#This Row],[asOfDate]]+1,Bloomberg!B:C,2,0)</f>
        <v>1346.8</v>
      </c>
      <c r="P185" s="24">
        <v>41823</v>
      </c>
      <c r="Q185" s="26">
        <v>0.38510975967739758</v>
      </c>
      <c r="S185" s="24">
        <v>41823</v>
      </c>
      <c r="T185" s="27">
        <v>0.38369257635845216</v>
      </c>
      <c r="V185" s="56">
        <v>41823</v>
      </c>
      <c r="W185" s="57">
        <v>0.3526251649505287</v>
      </c>
      <c r="Y185" s="1">
        <v>41823</v>
      </c>
      <c r="Z185">
        <v>0.35615918282475401</v>
      </c>
      <c r="AB185" s="1">
        <v>41823</v>
      </c>
      <c r="AC185">
        <v>0.36578907876503403</v>
      </c>
    </row>
    <row r="186" spans="2:29">
      <c r="B186" s="24">
        <v>41830</v>
      </c>
      <c r="C186" s="86">
        <v>0.46861230622739936</v>
      </c>
      <c r="D186" s="86">
        <v>0.49493295599468534</v>
      </c>
      <c r="E186" s="26">
        <f ca="1">VLOOKUP(CurrentMtgRatesDataTable825[[#This Row],[asOfDate]]+1,Bloomberg!B:C,2,0)</f>
        <v>1329.7</v>
      </c>
      <c r="F186" s="27">
        <f>VLOOKUP(CurrentMtgRatesDataTable825[[#This Row],[asOfDate]],CurrentMtgRatesDataTable8256[#All],2,0)</f>
        <v>0.43035217131462522</v>
      </c>
      <c r="G186" s="27">
        <f>VLOOKUP(CurrentMtgRatesDataTable825[[#This Row],[asOfDate]],CurrentMtgRatesDataTable82562[],2,0)</f>
        <v>0.32741444023701044</v>
      </c>
      <c r="H186" s="27">
        <f>VLOOKUP(CurrentMtgRatesDataTable825[[#This Row],[asOfDate]],S:T,2,0)</f>
        <v>0.32616027597080055</v>
      </c>
      <c r="I186" s="84">
        <f>VLOOKUP(CurrentMtgRatesDataTable825[[#This Row],[asOfDate]],CurrentMtgRatesDataTable825623[#All],2,0)</f>
        <v>0.30448503707734181</v>
      </c>
      <c r="J186" s="84">
        <f>VLOOKUP(CurrentMtgRatesDataTable825[[#This Row],[asOfDate]],AB:AC,2,0)</f>
        <v>0.31805600486192798</v>
      </c>
      <c r="L186" s="24">
        <v>41830</v>
      </c>
      <c r="M186" s="26">
        <v>0.43035217131462522</v>
      </c>
      <c r="N186" s="26">
        <f ca="1">VLOOKUP(CurrentMtgRatesDataTable8256[[#This Row],[asOfDate]]+1,Bloomberg!B:C,2,0)</f>
        <v>1329.7</v>
      </c>
      <c r="P186" s="24">
        <v>41830</v>
      </c>
      <c r="Q186" s="26">
        <v>0.32741444023701044</v>
      </c>
      <c r="S186" s="24">
        <v>41830</v>
      </c>
      <c r="T186" s="27">
        <v>0.32616027597080055</v>
      </c>
      <c r="V186" s="56">
        <v>41830</v>
      </c>
      <c r="W186" s="57">
        <v>0.30448503707734181</v>
      </c>
      <c r="Y186" s="1">
        <v>41830</v>
      </c>
      <c r="Z186">
        <v>0.30839598693416398</v>
      </c>
      <c r="AB186" s="1">
        <v>41830</v>
      </c>
      <c r="AC186">
        <v>0.31805600486192798</v>
      </c>
    </row>
    <row r="187" spans="2:29">
      <c r="B187" s="24">
        <v>41837</v>
      </c>
      <c r="C187" s="86">
        <v>0.5093660772692542</v>
      </c>
      <c r="D187" s="86">
        <v>0.52220831086851227</v>
      </c>
      <c r="E187" s="26">
        <f ca="1">VLOOKUP(CurrentMtgRatesDataTable825[[#This Row],[asOfDate]]+1,Bloomberg!B:C,2,0)</f>
        <v>1400.7</v>
      </c>
      <c r="F187" s="27">
        <f>VLOOKUP(CurrentMtgRatesDataTable825[[#This Row],[asOfDate]],CurrentMtgRatesDataTable8256[#All],2,0)</f>
        <v>0.43087417454638577</v>
      </c>
      <c r="G187" s="27">
        <f>VLOOKUP(CurrentMtgRatesDataTable825[[#This Row],[asOfDate]],CurrentMtgRatesDataTable82562[],2,0)</f>
        <v>0.35110266556174058</v>
      </c>
      <c r="H187" s="27">
        <f>VLOOKUP(CurrentMtgRatesDataTable825[[#This Row],[asOfDate]],S:T,2,0)</f>
        <v>0.34980501428845279</v>
      </c>
      <c r="I187" s="84">
        <f>VLOOKUP(CurrentMtgRatesDataTable825[[#This Row],[asOfDate]],CurrentMtgRatesDataTable825623[#All],2,0)</f>
        <v>0.32660064596161226</v>
      </c>
      <c r="J187" s="84">
        <f>VLOOKUP(CurrentMtgRatesDataTable825[[#This Row],[asOfDate]],AB:AC,2,0)</f>
        <v>0.34009498441958502</v>
      </c>
      <c r="L187" s="24">
        <v>41837</v>
      </c>
      <c r="M187" s="26">
        <v>0.43087417454638577</v>
      </c>
      <c r="N187" s="26">
        <f ca="1">VLOOKUP(CurrentMtgRatesDataTable8256[[#This Row],[asOfDate]]+1,Bloomberg!B:C,2,0)</f>
        <v>1400.7</v>
      </c>
      <c r="P187" s="24">
        <v>41837</v>
      </c>
      <c r="Q187" s="26">
        <v>0.35110266556174058</v>
      </c>
      <c r="S187" s="24">
        <v>41837</v>
      </c>
      <c r="T187" s="27">
        <v>0.34980501428845279</v>
      </c>
      <c r="V187" s="56">
        <v>41837</v>
      </c>
      <c r="W187" s="57">
        <v>0.32660064596161226</v>
      </c>
      <c r="Y187" s="1">
        <v>41837</v>
      </c>
      <c r="Z187">
        <v>0.330444059633481</v>
      </c>
      <c r="AB187" s="1">
        <v>41837</v>
      </c>
      <c r="AC187">
        <v>0.34009498441958502</v>
      </c>
    </row>
    <row r="188" spans="2:29">
      <c r="B188" s="24">
        <v>41844</v>
      </c>
      <c r="C188" s="86">
        <v>0.5093660772692542</v>
      </c>
      <c r="D188" s="86">
        <v>0.52220831086851227</v>
      </c>
      <c r="E188" s="26">
        <f ca="1">VLOOKUP(CurrentMtgRatesDataTable825[[#This Row],[asOfDate]]+1,Bloomberg!B:C,2,0)</f>
        <v>1327.5</v>
      </c>
      <c r="F188" s="27">
        <f>VLOOKUP(CurrentMtgRatesDataTable825[[#This Row],[asOfDate]],CurrentMtgRatesDataTable8256[#All],2,0)</f>
        <v>0.43087417454638577</v>
      </c>
      <c r="G188" s="27">
        <f>VLOOKUP(CurrentMtgRatesDataTable825[[#This Row],[asOfDate]],CurrentMtgRatesDataTable82562[],2,0)</f>
        <v>0.35110266556174058</v>
      </c>
      <c r="H188" s="27">
        <f>VLOOKUP(CurrentMtgRatesDataTable825[[#This Row],[asOfDate]],S:T,2,0)</f>
        <v>0.34980501428845279</v>
      </c>
      <c r="I188" s="84">
        <f>VLOOKUP(CurrentMtgRatesDataTable825[[#This Row],[asOfDate]],CurrentMtgRatesDataTable825623[#All],2,0)</f>
        <v>0.32660064596161226</v>
      </c>
      <c r="J188" s="84">
        <f>VLOOKUP(CurrentMtgRatesDataTable825[[#This Row],[asOfDate]],AB:AC,2,0)</f>
        <v>0.34009498441958502</v>
      </c>
      <c r="L188" s="24">
        <v>41844</v>
      </c>
      <c r="M188" s="26">
        <v>0.43087417454638577</v>
      </c>
      <c r="N188" s="26">
        <f ca="1">VLOOKUP(CurrentMtgRatesDataTable8256[[#This Row],[asOfDate]]+1,Bloomberg!B:C,2,0)</f>
        <v>1327.5</v>
      </c>
      <c r="P188" s="24">
        <v>41844</v>
      </c>
      <c r="Q188" s="26">
        <v>0.35110266556174058</v>
      </c>
      <c r="S188" s="24">
        <v>41844</v>
      </c>
      <c r="T188" s="27">
        <v>0.34980501428845279</v>
      </c>
      <c r="V188" s="56">
        <v>41844</v>
      </c>
      <c r="W188" s="57">
        <v>0.32660064596161226</v>
      </c>
      <c r="Y188" s="1">
        <v>41844</v>
      </c>
      <c r="Z188">
        <v>0.330444059633481</v>
      </c>
      <c r="AB188" s="1">
        <v>41844</v>
      </c>
      <c r="AC188">
        <v>0.34009498441958502</v>
      </c>
    </row>
    <row r="189" spans="2:29">
      <c r="B189" s="24">
        <v>41851</v>
      </c>
      <c r="C189" s="86">
        <v>0.51665823055209925</v>
      </c>
      <c r="D189" s="86">
        <v>0.52220831086851227</v>
      </c>
      <c r="E189" s="26">
        <f ca="1">VLOOKUP(CurrentMtgRatesDataTable825[[#This Row],[asOfDate]]+1,Bloomberg!B:C,2,0)</f>
        <v>1373.9</v>
      </c>
      <c r="F189" s="27">
        <f>VLOOKUP(CurrentMtgRatesDataTable825[[#This Row],[asOfDate]],CurrentMtgRatesDataTable8256[#All],2,0)</f>
        <v>0.4308956555661862</v>
      </c>
      <c r="G189" s="27">
        <f>VLOOKUP(CurrentMtgRatesDataTable825[[#This Row],[asOfDate]],CurrentMtgRatesDataTable82562[],2,0)</f>
        <v>0.35114526360131104</v>
      </c>
      <c r="H189" s="27">
        <f>VLOOKUP(CurrentMtgRatesDataTable825[[#This Row],[asOfDate]],S:T,2,0)</f>
        <v>0.34984761232802325</v>
      </c>
      <c r="I189" s="84">
        <f>VLOOKUP(CurrentMtgRatesDataTable825[[#This Row],[asOfDate]],CurrentMtgRatesDataTable825623[#All],2,0)</f>
        <v>0.32699157373577631</v>
      </c>
      <c r="J189" s="84">
        <f>VLOOKUP(CurrentMtgRatesDataTable825[[#This Row],[asOfDate]],AB:AC,2,0)</f>
        <v>0.34042369497045799</v>
      </c>
      <c r="L189" s="24">
        <v>41851</v>
      </c>
      <c r="M189" s="26">
        <v>0.4308956555661862</v>
      </c>
      <c r="N189" s="26">
        <f ca="1">VLOOKUP(CurrentMtgRatesDataTable8256[[#This Row],[asOfDate]]+1,Bloomberg!B:C,2,0)</f>
        <v>1373.9</v>
      </c>
      <c r="P189" s="24">
        <v>41851</v>
      </c>
      <c r="Q189" s="26">
        <v>0.35114526360131104</v>
      </c>
      <c r="S189" s="24">
        <v>41851</v>
      </c>
      <c r="T189" s="27">
        <v>0.34984761232802325</v>
      </c>
      <c r="V189" s="56">
        <v>41851</v>
      </c>
      <c r="W189" s="57">
        <v>0.32699157373577631</v>
      </c>
      <c r="Y189" s="1">
        <v>41851</v>
      </c>
      <c r="Z189">
        <v>0.33081889657191998</v>
      </c>
      <c r="AB189" s="1">
        <v>41851</v>
      </c>
      <c r="AC189">
        <v>0.34042369497045799</v>
      </c>
    </row>
    <row r="190" spans="2:29">
      <c r="B190" s="24">
        <v>41858</v>
      </c>
      <c r="C190" s="86">
        <v>0.47024534644528793</v>
      </c>
      <c r="D190" s="86">
        <v>0.51182275211124573</v>
      </c>
      <c r="E190" s="26">
        <f ca="1">VLOOKUP(CurrentMtgRatesDataTable825[[#This Row],[asOfDate]]+1,Bloomberg!B:C,2,0)</f>
        <v>1342.6</v>
      </c>
      <c r="F190" s="27">
        <f>VLOOKUP(CurrentMtgRatesDataTable825[[#This Row],[asOfDate]],CurrentMtgRatesDataTable8256[#All],2,0)</f>
        <v>0.42439769838835339</v>
      </c>
      <c r="G190" s="27">
        <f>VLOOKUP(CurrentMtgRatesDataTable825[[#This Row],[asOfDate]],CurrentMtgRatesDataTable82562[],2,0)</f>
        <v>0.3199331729306169</v>
      </c>
      <c r="H190" s="27">
        <f>VLOOKUP(CurrentMtgRatesDataTable825[[#This Row],[asOfDate]],S:T,2,0)</f>
        <v>0.31880210030046374</v>
      </c>
      <c r="I190" s="84">
        <f>VLOOKUP(CurrentMtgRatesDataTable825[[#This Row],[asOfDate]],CurrentMtgRatesDataTable825623[#All],2,0)</f>
        <v>0.29774290507115825</v>
      </c>
      <c r="J190" s="84">
        <f>VLOOKUP(CurrentMtgRatesDataTable825[[#This Row],[asOfDate]],AB:AC,2,0)</f>
        <v>0.31036061365073903</v>
      </c>
      <c r="L190" s="24">
        <v>41858</v>
      </c>
      <c r="M190" s="26">
        <v>0.42439769838835339</v>
      </c>
      <c r="N190" s="26">
        <f ca="1">VLOOKUP(CurrentMtgRatesDataTable8256[[#This Row],[asOfDate]]+1,Bloomberg!B:C,2,0)</f>
        <v>1342.6</v>
      </c>
      <c r="P190" s="24">
        <v>41858</v>
      </c>
      <c r="Q190" s="26">
        <v>0.3199331729306169</v>
      </c>
      <c r="S190" s="24">
        <v>41858</v>
      </c>
      <c r="T190" s="27">
        <v>0.31880210030046374</v>
      </c>
      <c r="V190" s="56">
        <v>41858</v>
      </c>
      <c r="W190" s="57">
        <v>0.29774290507115825</v>
      </c>
      <c r="Y190" s="1">
        <v>41858</v>
      </c>
      <c r="Z190">
        <v>0.30137279798343097</v>
      </c>
      <c r="AB190" s="1">
        <v>41858</v>
      </c>
      <c r="AC190">
        <v>0.31036061365073903</v>
      </c>
    </row>
    <row r="191" spans="2:29">
      <c r="B191" s="24">
        <v>41865</v>
      </c>
      <c r="C191" s="86">
        <v>0.51309051805748795</v>
      </c>
      <c r="D191" s="86">
        <v>0.51182275211124573</v>
      </c>
      <c r="E191" s="26">
        <f ca="1">VLOOKUP(CurrentMtgRatesDataTable825[[#This Row],[asOfDate]]+1,Bloomberg!B:C,2,0)</f>
        <v>1404.9</v>
      </c>
      <c r="F191" s="27">
        <f>VLOOKUP(CurrentMtgRatesDataTable825[[#This Row],[asOfDate]],CurrentMtgRatesDataTable8256[#All],2,0)</f>
        <v>0.42491168993334688</v>
      </c>
      <c r="G191" s="27">
        <f>VLOOKUP(CurrentMtgRatesDataTable825[[#This Row],[asOfDate]],CurrentMtgRatesDataTable82562[],2,0)</f>
        <v>0.34372390880739873</v>
      </c>
      <c r="H191" s="27">
        <f>VLOOKUP(CurrentMtgRatesDataTable825[[#This Row],[asOfDate]],S:T,2,0)</f>
        <v>0.34253304807104173</v>
      </c>
      <c r="I191" s="84">
        <f>VLOOKUP(CurrentMtgRatesDataTable825[[#This Row],[asOfDate]],CurrentMtgRatesDataTable825623[#All],2,0)</f>
        <v>0.32013236192256794</v>
      </c>
      <c r="J191" s="84">
        <f>VLOOKUP(CurrentMtgRatesDataTable825[[#This Row],[asOfDate]],AB:AC,2,0)</f>
        <v>0.33263554438079002</v>
      </c>
      <c r="L191" s="24">
        <v>41865</v>
      </c>
      <c r="M191" s="26">
        <v>0.42491168993334688</v>
      </c>
      <c r="N191" s="26">
        <f ca="1">VLOOKUP(CurrentMtgRatesDataTable8256[[#This Row],[asOfDate]]+1,Bloomberg!B:C,2,0)</f>
        <v>1404.9</v>
      </c>
      <c r="P191" s="24">
        <v>41865</v>
      </c>
      <c r="Q191" s="26">
        <v>0.34372390880739873</v>
      </c>
      <c r="S191" s="24">
        <v>41865</v>
      </c>
      <c r="T191" s="27">
        <v>0.34253304807104173</v>
      </c>
      <c r="V191" s="56">
        <v>41865</v>
      </c>
      <c r="W191" s="57">
        <v>0.32013236192256794</v>
      </c>
      <c r="Y191" s="1">
        <v>41865</v>
      </c>
      <c r="Z191">
        <v>0.32368452853077301</v>
      </c>
      <c r="AB191" s="1">
        <v>41865</v>
      </c>
      <c r="AC191">
        <v>0.33263554438079002</v>
      </c>
    </row>
    <row r="192" spans="2:29">
      <c r="B192" s="24">
        <v>41872</v>
      </c>
      <c r="C192" s="86">
        <v>0.53891273072782475</v>
      </c>
      <c r="D192" s="86">
        <v>0.55520280276533573</v>
      </c>
      <c r="E192" s="26">
        <f ca="1">VLOOKUP(CurrentMtgRatesDataTable825[[#This Row],[asOfDate]]+1,Bloomberg!B:C,2,0)</f>
        <v>1439.4</v>
      </c>
      <c r="F192" s="27">
        <f>VLOOKUP(CurrentMtgRatesDataTable825[[#This Row],[asOfDate]],CurrentMtgRatesDataTable8256[#All],2,0)</f>
        <v>0.49522669245285544</v>
      </c>
      <c r="G192" s="27">
        <f>VLOOKUP(CurrentMtgRatesDataTable825[[#This Row],[asOfDate]],CurrentMtgRatesDataTable82562[],2,0)</f>
        <v>0.37842109522047007</v>
      </c>
      <c r="H192" s="27">
        <f>VLOOKUP(CurrentMtgRatesDataTable825[[#This Row],[asOfDate]],S:T,2,0)</f>
        <v>0.37707642116327283</v>
      </c>
      <c r="I192" s="84">
        <f>VLOOKUP(CurrentMtgRatesDataTable825[[#This Row],[asOfDate]],CurrentMtgRatesDataTable825623[#All],2,0)</f>
        <v>0.34626375886905675</v>
      </c>
      <c r="J192" s="84">
        <f>VLOOKUP(CurrentMtgRatesDataTable825[[#This Row],[asOfDate]],AB:AC,2,0)</f>
        <v>0.35838762838330102</v>
      </c>
      <c r="L192" s="24">
        <v>41872</v>
      </c>
      <c r="M192" s="26">
        <v>0.49522669245285544</v>
      </c>
      <c r="N192" s="26">
        <f ca="1">VLOOKUP(CurrentMtgRatesDataTable8256[[#This Row],[asOfDate]]+1,Bloomberg!B:C,2,0)</f>
        <v>1439.4</v>
      </c>
      <c r="P192" s="24">
        <v>41872</v>
      </c>
      <c r="Q192" s="26">
        <v>0.37842109522047007</v>
      </c>
      <c r="S192" s="24">
        <v>41872</v>
      </c>
      <c r="T192" s="27">
        <v>0.37707642116327283</v>
      </c>
      <c r="V192" s="56">
        <v>41872</v>
      </c>
      <c r="W192" s="57">
        <v>0.34626375886905675</v>
      </c>
      <c r="Y192" s="1">
        <v>41872</v>
      </c>
      <c r="Z192">
        <v>0.34949435310913202</v>
      </c>
      <c r="AB192" s="1">
        <v>41872</v>
      </c>
      <c r="AC192">
        <v>0.35838762838330102</v>
      </c>
    </row>
    <row r="193" spans="2:29">
      <c r="B193" s="24">
        <v>41879</v>
      </c>
      <c r="C193" s="86">
        <v>0.53891273072782475</v>
      </c>
      <c r="D193" s="86">
        <v>0.55520280276533573</v>
      </c>
      <c r="E193" s="26">
        <f ca="1">VLOOKUP(CurrentMtgRatesDataTable825[[#This Row],[asOfDate]]+1,Bloomberg!B:C,2,0)</f>
        <v>1436</v>
      </c>
      <c r="F193" s="27">
        <f>VLOOKUP(CurrentMtgRatesDataTable825[[#This Row],[asOfDate]],CurrentMtgRatesDataTable8256[#All],2,0)</f>
        <v>0.49522669245285544</v>
      </c>
      <c r="G193" s="27">
        <f>VLOOKUP(CurrentMtgRatesDataTable825[[#This Row],[asOfDate]],CurrentMtgRatesDataTable82562[],2,0)</f>
        <v>0.37842109522047007</v>
      </c>
      <c r="H193" s="27">
        <f>VLOOKUP(CurrentMtgRatesDataTable825[[#This Row],[asOfDate]],S:T,2,0)</f>
        <v>0.37707642116327283</v>
      </c>
      <c r="I193" s="84">
        <f>VLOOKUP(CurrentMtgRatesDataTable825[[#This Row],[asOfDate]],CurrentMtgRatesDataTable825623[#All],2,0)</f>
        <v>0.34626375886905675</v>
      </c>
      <c r="J193" s="84">
        <f>VLOOKUP(CurrentMtgRatesDataTable825[[#This Row],[asOfDate]],AB:AC,2,0)</f>
        <v>0.35838762838330102</v>
      </c>
      <c r="L193" s="24">
        <v>41879</v>
      </c>
      <c r="M193" s="26">
        <v>0.49522669245285544</v>
      </c>
      <c r="N193" s="26">
        <f ca="1">VLOOKUP(CurrentMtgRatesDataTable8256[[#This Row],[asOfDate]]+1,Bloomberg!B:C,2,0)</f>
        <v>1436</v>
      </c>
      <c r="P193" s="24">
        <v>41879</v>
      </c>
      <c r="Q193" s="26">
        <v>0.37842109522047007</v>
      </c>
      <c r="S193" s="24">
        <v>41879</v>
      </c>
      <c r="T193" s="27">
        <v>0.37707642116327283</v>
      </c>
      <c r="V193" s="56">
        <v>41879</v>
      </c>
      <c r="W193" s="57">
        <v>0.34626375886905675</v>
      </c>
      <c r="Y193" s="1">
        <v>41879</v>
      </c>
      <c r="Z193">
        <v>0.34949435310913202</v>
      </c>
      <c r="AB193" s="1">
        <v>41879</v>
      </c>
      <c r="AC193">
        <v>0.35838762838330102</v>
      </c>
    </row>
    <row r="194" spans="2:29">
      <c r="B194" s="24">
        <v>41886</v>
      </c>
      <c r="C194" s="86">
        <v>0.53504897285947772</v>
      </c>
      <c r="D194" s="86">
        <v>0.54258315110948585</v>
      </c>
      <c r="E194" s="26">
        <f ca="1">VLOOKUP(CurrentMtgRatesDataTable825[[#This Row],[asOfDate]]+1,Bloomberg!B:C,2,0)</f>
        <v>1275.8</v>
      </c>
      <c r="F194" s="27">
        <f>VLOOKUP(CurrentMtgRatesDataTable825[[#This Row],[asOfDate]],CurrentMtgRatesDataTable8256[#All],2,0)</f>
        <v>0.49109889772075627</v>
      </c>
      <c r="G194" s="27">
        <f>VLOOKUP(CurrentMtgRatesDataTable825[[#This Row],[asOfDate]],CurrentMtgRatesDataTable82562[],2,0)</f>
        <v>0.37165910285507714</v>
      </c>
      <c r="H194" s="27">
        <f>VLOOKUP(CurrentMtgRatesDataTable825[[#This Row],[asOfDate]],S:T,2,0)</f>
        <v>0.37038222757969602</v>
      </c>
      <c r="I194" s="84">
        <f>VLOOKUP(CurrentMtgRatesDataTable825[[#This Row],[asOfDate]],CurrentMtgRatesDataTable825623[#All],2,0)</f>
        <v>0.33989690719769772</v>
      </c>
      <c r="J194" s="84">
        <f>VLOOKUP(CurrentMtgRatesDataTable825[[#This Row],[asOfDate]],AB:AC,2,0)</f>
        <v>0.35124395630609401</v>
      </c>
      <c r="L194" s="24">
        <v>41886</v>
      </c>
      <c r="M194" s="26">
        <v>0.49109889772075627</v>
      </c>
      <c r="N194" s="26">
        <f ca="1">VLOOKUP(CurrentMtgRatesDataTable8256[[#This Row],[asOfDate]]+1,Bloomberg!B:C,2,0)</f>
        <v>1275.8</v>
      </c>
      <c r="P194" s="24">
        <v>41886</v>
      </c>
      <c r="Q194" s="26">
        <v>0.37165910285507714</v>
      </c>
      <c r="S194" s="24">
        <v>41886</v>
      </c>
      <c r="T194" s="27">
        <v>0.37038222757969602</v>
      </c>
      <c r="V194" s="56">
        <v>41886</v>
      </c>
      <c r="W194" s="57">
        <v>0.33989690719769772</v>
      </c>
      <c r="Y194" s="1">
        <v>41886</v>
      </c>
      <c r="Z194">
        <v>0.34291487318389402</v>
      </c>
      <c r="AB194" s="1">
        <v>41886</v>
      </c>
      <c r="AC194">
        <v>0.35124395630609401</v>
      </c>
    </row>
    <row r="195" spans="2:29">
      <c r="B195" s="24">
        <v>41893</v>
      </c>
      <c r="C195" s="86">
        <v>0.5257779345197845</v>
      </c>
      <c r="D195" s="86">
        <v>0.52685300310004946</v>
      </c>
      <c r="E195" s="26">
        <f ca="1">VLOOKUP(CurrentMtgRatesDataTable825[[#This Row],[asOfDate]]+1,Bloomberg!B:C,2,0)</f>
        <v>1398.4</v>
      </c>
      <c r="F195" s="27">
        <f>VLOOKUP(CurrentMtgRatesDataTable825[[#This Row],[asOfDate]],CurrentMtgRatesDataTable8256[#All],2,0)</f>
        <v>0.49012736819164349</v>
      </c>
      <c r="G195" s="27">
        <f>VLOOKUP(CurrentMtgRatesDataTable825[[#This Row],[asOfDate]],CurrentMtgRatesDataTable82562[],2,0)</f>
        <v>0.3711734763292962</v>
      </c>
      <c r="H195" s="27">
        <f>VLOOKUP(CurrentMtgRatesDataTable825[[#This Row],[asOfDate]],S:T,2,0)</f>
        <v>0.36989684152089741</v>
      </c>
      <c r="I195" s="84">
        <f>VLOOKUP(CurrentMtgRatesDataTable825[[#This Row],[asOfDate]],CurrentMtgRatesDataTable825623[#All],2,0)</f>
        <v>0.33936239503709198</v>
      </c>
      <c r="J195" s="84">
        <f>VLOOKUP(CurrentMtgRatesDataTable825[[#This Row],[asOfDate]],AB:AC,2,0)</f>
        <v>0.350821387629207</v>
      </c>
      <c r="L195" s="24">
        <v>41893</v>
      </c>
      <c r="M195" s="26">
        <v>0.49012736819164349</v>
      </c>
      <c r="N195" s="26">
        <f ca="1">VLOOKUP(CurrentMtgRatesDataTable8256[[#This Row],[asOfDate]]+1,Bloomberg!B:C,2,0)</f>
        <v>1398.4</v>
      </c>
      <c r="P195" s="24">
        <v>41893</v>
      </c>
      <c r="Q195" s="26">
        <v>0.3711734763292962</v>
      </c>
      <c r="S195" s="24">
        <v>41893</v>
      </c>
      <c r="T195" s="27">
        <v>0.36989684152089741</v>
      </c>
      <c r="V195" s="56">
        <v>41893</v>
      </c>
      <c r="W195" s="57">
        <v>0.33936239503709198</v>
      </c>
      <c r="Y195" s="1">
        <v>41893</v>
      </c>
      <c r="Z195">
        <v>0.342414364554747</v>
      </c>
      <c r="AB195" s="1">
        <v>41893</v>
      </c>
      <c r="AC195">
        <v>0.350821387629207</v>
      </c>
    </row>
    <row r="196" spans="2:29">
      <c r="B196" s="24">
        <v>41900</v>
      </c>
      <c r="C196" s="86">
        <v>0.43411017798804036</v>
      </c>
      <c r="D196" s="86">
        <v>0.42882252129129311</v>
      </c>
      <c r="E196" s="26">
        <f ca="1">VLOOKUP(CurrentMtgRatesDataTable825[[#This Row],[asOfDate]]+1,Bloomberg!B:C,2,0)</f>
        <v>1335.1</v>
      </c>
      <c r="F196" s="27">
        <f>VLOOKUP(CurrentMtgRatesDataTable825[[#This Row],[asOfDate]],CurrentMtgRatesDataTable8256[#All],2,0)</f>
        <v>0.41802491804441944</v>
      </c>
      <c r="G196" s="27">
        <f>VLOOKUP(CurrentMtgRatesDataTable825[[#This Row],[asOfDate]],CurrentMtgRatesDataTable82562[],2,0)</f>
        <v>0.31262849116425834</v>
      </c>
      <c r="H196" s="27">
        <f>VLOOKUP(CurrentMtgRatesDataTable825[[#This Row],[asOfDate]],S:T,2,0)</f>
        <v>0.31156063649874671</v>
      </c>
      <c r="I196" s="84">
        <f>VLOOKUP(CurrentMtgRatesDataTable825[[#This Row],[asOfDate]],CurrentMtgRatesDataTable825623[#All],2,0)</f>
        <v>0.28985985896912109</v>
      </c>
      <c r="J196" s="84">
        <f>VLOOKUP(CurrentMtgRatesDataTable825[[#This Row],[asOfDate]],AB:AC,2,0)</f>
        <v>0.30185821114737799</v>
      </c>
      <c r="L196" s="24">
        <v>41900</v>
      </c>
      <c r="M196" s="26">
        <v>0.41802491804441944</v>
      </c>
      <c r="N196" s="26">
        <f ca="1">VLOOKUP(CurrentMtgRatesDataTable8256[[#This Row],[asOfDate]]+1,Bloomberg!B:C,2,0)</f>
        <v>1335.1</v>
      </c>
      <c r="P196" s="24">
        <v>41900</v>
      </c>
      <c r="Q196" s="26">
        <v>0.31262849116425834</v>
      </c>
      <c r="S196" s="24">
        <v>41900</v>
      </c>
      <c r="T196" s="27">
        <v>0.31156063649874671</v>
      </c>
      <c r="V196" s="56">
        <v>41900</v>
      </c>
      <c r="W196" s="57">
        <v>0.28985985896912109</v>
      </c>
      <c r="Y196" s="1">
        <v>41900</v>
      </c>
      <c r="Z196">
        <v>0.29324490813253001</v>
      </c>
      <c r="AB196" s="1">
        <v>41900</v>
      </c>
      <c r="AC196">
        <v>0.30185821114737799</v>
      </c>
    </row>
    <row r="197" spans="2:29">
      <c r="B197" s="24">
        <v>41907</v>
      </c>
      <c r="C197" s="86">
        <v>0.45486909993325186</v>
      </c>
      <c r="D197" s="86">
        <v>0.47143296005652757</v>
      </c>
      <c r="E197" s="26">
        <f ca="1">VLOOKUP(CurrentMtgRatesDataTable825[[#This Row],[asOfDate]]+1,Bloomberg!B:C,2,0)</f>
        <v>1326.2</v>
      </c>
      <c r="F197" s="27">
        <f>VLOOKUP(CurrentMtgRatesDataTable825[[#This Row],[asOfDate]],CurrentMtgRatesDataTable8256[#All],2,0)</f>
        <v>0.41850850640907544</v>
      </c>
      <c r="G197" s="27">
        <f>VLOOKUP(CurrentMtgRatesDataTable825[[#This Row],[asOfDate]],CurrentMtgRatesDataTable82562[],2,0)</f>
        <v>0.31284206209860954</v>
      </c>
      <c r="H197" s="27">
        <f>VLOOKUP(CurrentMtgRatesDataTable825[[#This Row],[asOfDate]],S:T,2,0)</f>
        <v>0.31177385303472149</v>
      </c>
      <c r="I197" s="84">
        <f>VLOOKUP(CurrentMtgRatesDataTable825[[#This Row],[asOfDate]],CurrentMtgRatesDataTable825623[#All],2,0)</f>
        <v>0.29129845378289931</v>
      </c>
      <c r="J197" s="84">
        <f>VLOOKUP(CurrentMtgRatesDataTable825[[#This Row],[asOfDate]],AB:AC,2,0)</f>
        <v>0.303134887573904</v>
      </c>
      <c r="L197" s="24">
        <v>41907</v>
      </c>
      <c r="M197" s="26">
        <v>0.41850850640907544</v>
      </c>
      <c r="N197" s="26">
        <f ca="1">VLOOKUP(CurrentMtgRatesDataTable8256[[#This Row],[asOfDate]]+1,Bloomberg!B:C,2,0)</f>
        <v>1326.2</v>
      </c>
      <c r="P197" s="24">
        <v>41907</v>
      </c>
      <c r="Q197" s="26">
        <v>0.31284206209860954</v>
      </c>
      <c r="S197" s="24">
        <v>41907</v>
      </c>
      <c r="T197" s="27">
        <v>0.31177385303472149</v>
      </c>
      <c r="V197" s="56">
        <v>41907</v>
      </c>
      <c r="W197" s="57">
        <v>0.29129845378289931</v>
      </c>
      <c r="Y197" s="1">
        <v>41907</v>
      </c>
      <c r="Z197">
        <v>0.29470318456766498</v>
      </c>
      <c r="AB197" s="1">
        <v>41907</v>
      </c>
      <c r="AC197">
        <v>0.303134887573904</v>
      </c>
    </row>
    <row r="198" spans="2:29">
      <c r="B198" s="24">
        <v>41914</v>
      </c>
      <c r="C198" s="86">
        <v>0.47865989263762543</v>
      </c>
      <c r="D198" s="86">
        <v>0.48823903821734288</v>
      </c>
      <c r="E198" s="26">
        <f ca="1">VLOOKUP(CurrentMtgRatesDataTable825[[#This Row],[asOfDate]]+1,Bloomberg!B:C,2,0)</f>
        <v>1387.1</v>
      </c>
      <c r="F198" s="27">
        <f>VLOOKUP(CurrentMtgRatesDataTable825[[#This Row],[asOfDate]],CurrentMtgRatesDataTable8256[#All],2,0)</f>
        <v>0.41343470051083375</v>
      </c>
      <c r="G198" s="27">
        <f>VLOOKUP(CurrentMtgRatesDataTable825[[#This Row],[asOfDate]],CurrentMtgRatesDataTable82562[],2,0)</f>
        <v>0.32898554801574148</v>
      </c>
      <c r="H198" s="27">
        <f>VLOOKUP(CurrentMtgRatesDataTable825[[#This Row],[asOfDate]],S:T,2,0)</f>
        <v>0.32780574578763855</v>
      </c>
      <c r="I198" s="84">
        <f>VLOOKUP(CurrentMtgRatesDataTable825[[#This Row],[asOfDate]],CurrentMtgRatesDataTable825623[#All],2,0)</f>
        <v>0.30547746964083727</v>
      </c>
      <c r="J198" s="84">
        <f>VLOOKUP(CurrentMtgRatesDataTable825[[#This Row],[asOfDate]],AB:AC,2,0)</f>
        <v>0.31668157332951902</v>
      </c>
      <c r="L198" s="24">
        <v>41914</v>
      </c>
      <c r="M198" s="26">
        <v>0.41343470051083375</v>
      </c>
      <c r="N198" s="26">
        <f ca="1">VLOOKUP(CurrentMtgRatesDataTable8256[[#This Row],[asOfDate]]+1,Bloomberg!B:C,2,0)</f>
        <v>1387.1</v>
      </c>
      <c r="P198" s="24">
        <v>41914</v>
      </c>
      <c r="Q198" s="26">
        <v>0.32898554801574148</v>
      </c>
      <c r="S198" s="24">
        <v>41914</v>
      </c>
      <c r="T198" s="27">
        <v>0.32780574578763855</v>
      </c>
      <c r="V198" s="56">
        <v>41914</v>
      </c>
      <c r="W198" s="57">
        <v>0.30547746964083727</v>
      </c>
      <c r="Y198" s="1">
        <v>41914</v>
      </c>
      <c r="Z198">
        <v>0.308692898726523</v>
      </c>
      <c r="AB198" s="1">
        <v>41914</v>
      </c>
      <c r="AC198">
        <v>0.31668157332951902</v>
      </c>
    </row>
    <row r="199" spans="2:29">
      <c r="B199" s="24">
        <v>41921</v>
      </c>
      <c r="C199" s="86">
        <v>0.5223034520698695</v>
      </c>
      <c r="D199" s="86">
        <v>0.51463010204240645</v>
      </c>
      <c r="E199" s="26">
        <f ca="1">VLOOKUP(CurrentMtgRatesDataTable825[[#This Row],[asOfDate]]+1,Bloomberg!B:C,2,0)</f>
        <v>1560.6</v>
      </c>
      <c r="F199" s="27">
        <f>VLOOKUP(CurrentMtgRatesDataTable825[[#This Row],[asOfDate]],CurrentMtgRatesDataTable8256[#All],2,0)</f>
        <v>0.48620694744117765</v>
      </c>
      <c r="G199" s="27">
        <f>VLOOKUP(CurrentMtgRatesDataTable825[[#This Row],[asOfDate]],CurrentMtgRatesDataTable82562[],2,0)</f>
        <v>0.36357043577417181</v>
      </c>
      <c r="H199" s="27">
        <f>VLOOKUP(CurrentMtgRatesDataTable825[[#This Row],[asOfDate]],S:T,2,0)</f>
        <v>0.36218729223083185</v>
      </c>
      <c r="I199" s="84">
        <f>VLOOKUP(CurrentMtgRatesDataTable825[[#This Row],[asOfDate]],CurrentMtgRatesDataTable825623[#All],2,0)</f>
        <v>0.33144164337331594</v>
      </c>
      <c r="J199" s="84">
        <f>VLOOKUP(CurrentMtgRatesDataTable825[[#This Row],[asOfDate]],AB:AC,2,0)</f>
        <v>0.34232551793557098</v>
      </c>
      <c r="L199" s="24">
        <v>41921</v>
      </c>
      <c r="M199" s="26">
        <v>0.48620694744117765</v>
      </c>
      <c r="N199" s="26">
        <f ca="1">VLOOKUP(CurrentMtgRatesDataTable8256[[#This Row],[asOfDate]]+1,Bloomberg!B:C,2,0)</f>
        <v>1560.6</v>
      </c>
      <c r="P199" s="24">
        <v>41921</v>
      </c>
      <c r="Q199" s="26">
        <v>0.36357043577417181</v>
      </c>
      <c r="S199" s="24">
        <v>41921</v>
      </c>
      <c r="T199" s="27">
        <v>0.36218729223083185</v>
      </c>
      <c r="V199" s="56">
        <v>41921</v>
      </c>
      <c r="W199" s="57">
        <v>0.33144164337331594</v>
      </c>
      <c r="Y199" s="1">
        <v>41921</v>
      </c>
      <c r="Z199">
        <v>0.33439656030070802</v>
      </c>
      <c r="AB199" s="1">
        <v>41921</v>
      </c>
      <c r="AC199">
        <v>0.34232551793557098</v>
      </c>
    </row>
    <row r="200" spans="2:29">
      <c r="B200" s="24">
        <v>41928</v>
      </c>
      <c r="C200" s="86">
        <v>0.58710562488184848</v>
      </c>
      <c r="D200" s="86">
        <v>0.61486085120983391</v>
      </c>
      <c r="E200" s="26">
        <f ca="1">VLOOKUP(CurrentMtgRatesDataTable825[[#This Row],[asOfDate]]+1,Bloomberg!B:C,2,0)</f>
        <v>1898.2</v>
      </c>
      <c r="F200" s="27">
        <f>VLOOKUP(CurrentMtgRatesDataTable825[[#This Row],[asOfDate]],CurrentMtgRatesDataTable8256[#All],2,0)</f>
        <v>0.55255700045884115</v>
      </c>
      <c r="G200" s="27">
        <f>VLOOKUP(CurrentMtgRatesDataTable825[[#This Row],[asOfDate]],CurrentMtgRatesDataTable82562[],2,0)</f>
        <v>0.43716239568675586</v>
      </c>
      <c r="H200" s="27">
        <f>VLOOKUP(CurrentMtgRatesDataTable825[[#This Row],[asOfDate]],S:T,2,0)</f>
        <v>0.4353898175636014</v>
      </c>
      <c r="I200" s="84">
        <f>VLOOKUP(CurrentMtgRatesDataTable825[[#This Row],[asOfDate]],CurrentMtgRatesDataTable825623[#All],2,0)</f>
        <v>0.39292803060156761</v>
      </c>
      <c r="J200" s="84">
        <f>VLOOKUP(CurrentMtgRatesDataTable825[[#This Row],[asOfDate]],AB:AC,2,0)</f>
        <v>0.40285473187500098</v>
      </c>
      <c r="L200" s="24">
        <v>41928</v>
      </c>
      <c r="M200" s="26">
        <v>0.55255700045884115</v>
      </c>
      <c r="N200" s="26">
        <f ca="1">VLOOKUP(CurrentMtgRatesDataTable8256[[#This Row],[asOfDate]]+1,Bloomberg!B:C,2,0)</f>
        <v>1898.2</v>
      </c>
      <c r="P200" s="24">
        <v>41928</v>
      </c>
      <c r="Q200" s="26">
        <v>0.43716239568675586</v>
      </c>
      <c r="S200" s="24">
        <v>41928</v>
      </c>
      <c r="T200" s="27">
        <v>0.4353898175636014</v>
      </c>
      <c r="V200" s="56">
        <v>41928</v>
      </c>
      <c r="W200" s="57">
        <v>0.39292803060156761</v>
      </c>
      <c r="Y200" s="1">
        <v>41928</v>
      </c>
      <c r="Z200">
        <v>0.39535892671010298</v>
      </c>
      <c r="AB200" s="1">
        <v>41928</v>
      </c>
      <c r="AC200">
        <v>0.40285473187500098</v>
      </c>
    </row>
    <row r="201" spans="2:29">
      <c r="B201" s="24">
        <v>41935</v>
      </c>
      <c r="C201" s="86">
        <v>0.59748600290895393</v>
      </c>
      <c r="D201" s="86">
        <v>0.61486085120983391</v>
      </c>
      <c r="E201" s="26">
        <f ca="1">VLOOKUP(CurrentMtgRatesDataTable825[[#This Row],[asOfDate]]+1,Bloomberg!B:C,2,0)</f>
        <v>1713.6</v>
      </c>
      <c r="F201" s="27">
        <f>VLOOKUP(CurrentMtgRatesDataTable825[[#This Row],[asOfDate]],CurrentMtgRatesDataTable8256[#All],2,0)</f>
        <v>0.55308845562501008</v>
      </c>
      <c r="G201" s="27">
        <f>VLOOKUP(CurrentMtgRatesDataTable825[[#This Row],[asOfDate]],CurrentMtgRatesDataTable82562[],2,0)</f>
        <v>0.46855719956108682</v>
      </c>
      <c r="H201" s="27">
        <f>VLOOKUP(CurrentMtgRatesDataTable825[[#This Row],[asOfDate]],S:T,2,0)</f>
        <v>0.46664485443170889</v>
      </c>
      <c r="I201" s="84">
        <f>VLOOKUP(CurrentMtgRatesDataTable825[[#This Row],[asOfDate]],CurrentMtgRatesDataTable825623[#All],2,0)</f>
        <v>0.42272700072756136</v>
      </c>
      <c r="J201" s="84">
        <f>VLOOKUP(CurrentMtgRatesDataTable825[[#This Row],[asOfDate]],AB:AC,2,0)</f>
        <v>0.43224640519919799</v>
      </c>
      <c r="L201" s="24">
        <v>41935</v>
      </c>
      <c r="M201" s="26">
        <v>0.55308845562501008</v>
      </c>
      <c r="N201" s="26">
        <f ca="1">VLOOKUP(CurrentMtgRatesDataTable8256[[#This Row],[asOfDate]]+1,Bloomberg!B:C,2,0)</f>
        <v>1713.6</v>
      </c>
      <c r="P201" s="24">
        <v>41935</v>
      </c>
      <c r="Q201" s="26">
        <v>0.46855719956108682</v>
      </c>
      <c r="S201" s="24">
        <v>41935</v>
      </c>
      <c r="T201" s="27">
        <v>0.46664485443170889</v>
      </c>
      <c r="V201" s="56">
        <v>41935</v>
      </c>
      <c r="W201" s="57">
        <v>0.42272700072756136</v>
      </c>
      <c r="Y201" s="1">
        <v>41935</v>
      </c>
      <c r="Z201">
        <v>0.424971092113403</v>
      </c>
      <c r="AB201" s="1">
        <v>41935</v>
      </c>
      <c r="AC201">
        <v>0.43224640519919799</v>
      </c>
    </row>
    <row r="202" spans="2:29">
      <c r="B202" s="24">
        <v>41942</v>
      </c>
      <c r="C202" s="86">
        <v>0.58498315146570623</v>
      </c>
      <c r="D202" s="86">
        <v>0.61486085120983391</v>
      </c>
      <c r="E202" s="26">
        <f ca="1">VLOOKUP(CurrentMtgRatesDataTable825[[#This Row],[asOfDate]]+1,Bloomberg!B:C,2,0)</f>
        <v>1604.8</v>
      </c>
      <c r="F202" s="27">
        <f>VLOOKUP(CurrentMtgRatesDataTable825[[#This Row],[asOfDate]],CurrentMtgRatesDataTable8256[#All],2,0)</f>
        <v>0.55239173073087677</v>
      </c>
      <c r="G202" s="27">
        <f>VLOOKUP(CurrentMtgRatesDataTable825[[#This Row],[asOfDate]],CurrentMtgRatesDataTable82562[],2,0)</f>
        <v>0.43709492816271001</v>
      </c>
      <c r="H202" s="27">
        <f>VLOOKUP(CurrentMtgRatesDataTable825[[#This Row],[asOfDate]],S:T,2,0)</f>
        <v>0.43532256207051467</v>
      </c>
      <c r="I202" s="84">
        <f>VLOOKUP(CurrentMtgRatesDataTable825[[#This Row],[asOfDate]],CurrentMtgRatesDataTable825623[#All],2,0)</f>
        <v>0.39286667249963214</v>
      </c>
      <c r="J202" s="84">
        <f>VLOOKUP(CurrentMtgRatesDataTable825[[#This Row],[asOfDate]],AB:AC,2,0)</f>
        <v>0.40279530551033699</v>
      </c>
      <c r="L202" s="24">
        <v>41942</v>
      </c>
      <c r="M202" s="26">
        <v>0.55239173073087677</v>
      </c>
      <c r="N202" s="26">
        <f ca="1">VLOOKUP(CurrentMtgRatesDataTable8256[[#This Row],[asOfDate]]+1,Bloomberg!B:C,2,0)</f>
        <v>1604.8</v>
      </c>
      <c r="P202" s="24">
        <v>41942</v>
      </c>
      <c r="Q202" s="26">
        <v>0.43709492816271001</v>
      </c>
      <c r="S202" s="24">
        <v>41942</v>
      </c>
      <c r="T202" s="27">
        <v>0.43532256207051467</v>
      </c>
      <c r="V202" s="56">
        <v>41942</v>
      </c>
      <c r="W202" s="57">
        <v>0.39286667249963214</v>
      </c>
      <c r="Y202" s="1">
        <v>41942</v>
      </c>
      <c r="Z202">
        <v>0.39528643481839698</v>
      </c>
      <c r="AB202" s="1">
        <v>41942</v>
      </c>
      <c r="AC202">
        <v>0.40279530551033699</v>
      </c>
    </row>
    <row r="203" spans="2:29">
      <c r="B203" s="24">
        <v>41949</v>
      </c>
      <c r="C203" s="86">
        <v>0.56191456736441669</v>
      </c>
      <c r="D203" s="86">
        <v>0.61960464099935697</v>
      </c>
      <c r="E203" s="26">
        <f ca="1">VLOOKUP(CurrentMtgRatesDataTable825[[#This Row],[asOfDate]]+1,Bloomberg!B:C,2,0)</f>
        <v>1565.3</v>
      </c>
      <c r="F203" s="27">
        <f>VLOOKUP(CurrentMtgRatesDataTable825[[#This Row],[asOfDate]],CurrentMtgRatesDataTable8256[#All],2,0)</f>
        <v>0.48321629589156551</v>
      </c>
      <c r="G203" s="27">
        <f>VLOOKUP(CurrentMtgRatesDataTable825[[#This Row],[asOfDate]],CurrentMtgRatesDataTable82562[],2,0)</f>
        <v>0.38755454680533724</v>
      </c>
      <c r="H203" s="27">
        <f>VLOOKUP(CurrentMtgRatesDataTable825[[#This Row],[asOfDate]],S:T,2,0)</f>
        <v>0.38587687479746474</v>
      </c>
      <c r="I203" s="84">
        <f>VLOOKUP(CurrentMtgRatesDataTable825[[#This Row],[asOfDate]],CurrentMtgRatesDataTable825623[#All],2,0)</f>
        <v>0.35414308183782223</v>
      </c>
      <c r="J203" s="84">
        <f>VLOOKUP(CurrentMtgRatesDataTable825[[#This Row],[asOfDate]],AB:AC,2,0)</f>
        <v>0.363805283856794</v>
      </c>
      <c r="L203" s="24">
        <v>41949</v>
      </c>
      <c r="M203" s="26">
        <v>0.48321629589156551</v>
      </c>
      <c r="N203" s="26">
        <f ca="1">VLOOKUP(CurrentMtgRatesDataTable8256[[#This Row],[asOfDate]]+1,Bloomberg!B:C,2,0)</f>
        <v>1565.3</v>
      </c>
      <c r="P203" s="24">
        <v>41949</v>
      </c>
      <c r="Q203" s="26">
        <v>0.38755454680533724</v>
      </c>
      <c r="S203" s="24">
        <v>41949</v>
      </c>
      <c r="T203" s="27">
        <v>0.38587687479746474</v>
      </c>
      <c r="V203" s="56">
        <v>41949</v>
      </c>
      <c r="W203" s="57">
        <v>0.35414308183782223</v>
      </c>
      <c r="Y203" s="1">
        <v>41949</v>
      </c>
      <c r="Z203">
        <v>0.356693081893312</v>
      </c>
      <c r="AB203" s="1">
        <v>41949</v>
      </c>
      <c r="AC203">
        <v>0.363805283856794</v>
      </c>
    </row>
    <row r="204" spans="2:29">
      <c r="B204" s="24">
        <v>41956</v>
      </c>
      <c r="C204" s="86">
        <v>0.56913286805662044</v>
      </c>
      <c r="D204" s="86">
        <v>0.61960464099935697</v>
      </c>
      <c r="E204" s="26">
        <f ca="1">VLOOKUP(CurrentMtgRatesDataTable825[[#This Row],[asOfDate]]+1,Bloomberg!B:C,2,0)</f>
        <v>1563.2</v>
      </c>
      <c r="F204" s="27">
        <f>VLOOKUP(CurrentMtgRatesDataTable825[[#This Row],[asOfDate]],CurrentMtgRatesDataTable8256[#All],2,0)</f>
        <v>0.4832857349268318</v>
      </c>
      <c r="G204" s="27">
        <f>VLOOKUP(CurrentMtgRatesDataTable825[[#This Row],[asOfDate]],CurrentMtgRatesDataTable82562[],2,0)</f>
        <v>0.3876856076600298</v>
      </c>
      <c r="H204" s="27">
        <f>VLOOKUP(CurrentMtgRatesDataTable825[[#This Row],[asOfDate]],S:T,2,0)</f>
        <v>0.38600681959673633</v>
      </c>
      <c r="I204" s="84">
        <f>VLOOKUP(CurrentMtgRatesDataTable825[[#This Row],[asOfDate]],CurrentMtgRatesDataTable825623[#All],2,0)</f>
        <v>0.3542712812179995</v>
      </c>
      <c r="J204" s="84">
        <f>VLOOKUP(CurrentMtgRatesDataTable825[[#This Row],[asOfDate]],AB:AC,2,0)</f>
        <v>0.36393083176118401</v>
      </c>
      <c r="L204" s="24">
        <v>41956</v>
      </c>
      <c r="M204" s="26">
        <v>0.4832857349268318</v>
      </c>
      <c r="N204" s="26">
        <f ca="1">VLOOKUP(CurrentMtgRatesDataTable8256[[#This Row],[asOfDate]]+1,Bloomberg!B:C,2,0)</f>
        <v>1563.2</v>
      </c>
      <c r="P204" s="24">
        <v>41956</v>
      </c>
      <c r="Q204" s="26">
        <v>0.3876856076600298</v>
      </c>
      <c r="S204" s="24">
        <v>41956</v>
      </c>
      <c r="T204" s="27">
        <v>0.38600681959673633</v>
      </c>
      <c r="V204" s="56">
        <v>41956</v>
      </c>
      <c r="W204" s="57">
        <v>0.3542712812179995</v>
      </c>
      <c r="Y204" s="1">
        <v>41956</v>
      </c>
      <c r="Z204">
        <v>0.35681922008918499</v>
      </c>
      <c r="AB204" s="1">
        <v>41956</v>
      </c>
      <c r="AC204">
        <v>0.36393083176118401</v>
      </c>
    </row>
    <row r="205" spans="2:29">
      <c r="B205" s="24">
        <v>41963</v>
      </c>
      <c r="C205" s="86">
        <v>0.57641640154379037</v>
      </c>
      <c r="D205" s="86">
        <v>0.61960464099935697</v>
      </c>
      <c r="E205" s="26">
        <f ca="1">VLOOKUP(CurrentMtgRatesDataTable825[[#This Row],[asOfDate]]+1,Bloomberg!B:C,2,0)</f>
        <v>1547.9</v>
      </c>
      <c r="F205" s="27">
        <f>VLOOKUP(CurrentMtgRatesDataTable825[[#This Row],[asOfDate]],CurrentMtgRatesDataTable8256[#All],2,0)</f>
        <v>0.5490432943232525</v>
      </c>
      <c r="G205" s="27">
        <f>VLOOKUP(CurrentMtgRatesDataTable825[[#This Row],[asOfDate]],CurrentMtgRatesDataTable82562[],2,0)</f>
        <v>0.43020815046617</v>
      </c>
      <c r="H205" s="27">
        <f>VLOOKUP(CurrentMtgRatesDataTable825[[#This Row],[asOfDate]],S:T,2,0)</f>
        <v>0.42814045267369355</v>
      </c>
      <c r="I205" s="84">
        <f>VLOOKUP(CurrentMtgRatesDataTable825[[#This Row],[asOfDate]],CurrentMtgRatesDataTable825623[#All],2,0)</f>
        <v>0.38515221599308352</v>
      </c>
      <c r="J205" s="84">
        <f>VLOOKUP(CurrentMtgRatesDataTable825[[#This Row],[asOfDate]],AB:AC,2,0)</f>
        <v>0.39464243161649398</v>
      </c>
      <c r="L205" s="24">
        <v>41963</v>
      </c>
      <c r="M205" s="26">
        <v>0.5490432943232525</v>
      </c>
      <c r="N205" s="26">
        <f ca="1">VLOOKUP(CurrentMtgRatesDataTable8256[[#This Row],[asOfDate]]+1,Bloomberg!B:C,2,0)</f>
        <v>1547.9</v>
      </c>
      <c r="P205" s="24">
        <v>41963</v>
      </c>
      <c r="Q205" s="26">
        <v>0.43020815046617</v>
      </c>
      <c r="S205" s="24">
        <v>41963</v>
      </c>
      <c r="T205" s="27">
        <v>0.42814045267369355</v>
      </c>
      <c r="V205" s="56">
        <v>41963</v>
      </c>
      <c r="W205" s="57">
        <v>0.38515221599308352</v>
      </c>
      <c r="Y205" s="1">
        <v>41963</v>
      </c>
      <c r="Z205">
        <v>0.38755022595492999</v>
      </c>
      <c r="AB205" s="1">
        <v>41963</v>
      </c>
      <c r="AC205">
        <v>0.39464243161649398</v>
      </c>
    </row>
    <row r="206" spans="2:29">
      <c r="B206" s="24">
        <v>41969</v>
      </c>
      <c r="C206" s="86">
        <v>0.5815584292290823</v>
      </c>
      <c r="D206" s="86">
        <v>0.61960464099935697</v>
      </c>
      <c r="E206" s="26" t="e">
        <f ca="1">VLOOKUP(CurrentMtgRatesDataTable825[[#This Row],[asOfDate]]+1,Bloomberg!B:C,2,0)</f>
        <v>#N/A</v>
      </c>
      <c r="F206" s="27">
        <f>VLOOKUP(CurrentMtgRatesDataTable825[[#This Row],[asOfDate]],CurrentMtgRatesDataTable8256[#All],2,0)</f>
        <v>0.54924529031688318</v>
      </c>
      <c r="G206" s="27">
        <f>VLOOKUP(CurrentMtgRatesDataTable825[[#This Row],[asOfDate]],CurrentMtgRatesDataTable82562[],2,0)</f>
        <v>0.43039904065227119</v>
      </c>
      <c r="H206" s="27">
        <f>VLOOKUP(CurrentMtgRatesDataTable825[[#This Row],[asOfDate]],S:T,2,0)</f>
        <v>0.42832938632971174</v>
      </c>
      <c r="I206" s="84">
        <f>VLOOKUP(CurrentMtgRatesDataTable825[[#This Row],[asOfDate]],CurrentMtgRatesDataTable825623[#All],2,0)</f>
        <v>0.38537159802743809</v>
      </c>
      <c r="J206" s="84">
        <f>VLOOKUP(CurrentMtgRatesDataTable825[[#This Row],[asOfDate]],AB:AC,2,0)</f>
        <v>0.39478657813594797</v>
      </c>
      <c r="L206" s="24">
        <v>41969</v>
      </c>
      <c r="M206" s="26">
        <v>0.54924529031688318</v>
      </c>
      <c r="N206" s="26" t="e">
        <f ca="1">VLOOKUP(CurrentMtgRatesDataTable8256[[#This Row],[asOfDate]]+1,Bloomberg!B:C,2,0)</f>
        <v>#N/A</v>
      </c>
      <c r="P206" s="24">
        <v>41969</v>
      </c>
      <c r="Q206" s="26">
        <v>0.43039904065227119</v>
      </c>
      <c r="S206" s="24">
        <v>41969</v>
      </c>
      <c r="T206" s="27">
        <v>0.42832938632971174</v>
      </c>
      <c r="V206" s="56">
        <v>41969</v>
      </c>
      <c r="W206" s="57">
        <v>0.38537159802743809</v>
      </c>
      <c r="Y206" s="1">
        <v>41969</v>
      </c>
      <c r="Z206">
        <v>0.387752299155186</v>
      </c>
      <c r="AB206" s="1">
        <v>41969</v>
      </c>
      <c r="AC206">
        <v>0.39478657813594797</v>
      </c>
    </row>
    <row r="207" spans="2:29">
      <c r="B207" s="24">
        <v>41977</v>
      </c>
      <c r="C207" s="86">
        <v>0.5930900951939968</v>
      </c>
      <c r="D207" s="86">
        <v>0.63997799544539491</v>
      </c>
      <c r="E207" s="26">
        <f ca="1">VLOOKUP(CurrentMtgRatesDataTable825[[#This Row],[asOfDate]]+1,Bloomberg!B:C,2,0)</f>
        <v>1548.6</v>
      </c>
      <c r="F207" s="27">
        <f>VLOOKUP(CurrentMtgRatesDataTable825[[#This Row],[asOfDate]],CurrentMtgRatesDataTable8256[#All],2,0)</f>
        <v>0.54634536257975941</v>
      </c>
      <c r="G207" s="27">
        <f>VLOOKUP(CurrentMtgRatesDataTable825[[#This Row],[asOfDate]],CurrentMtgRatesDataTable82562[],2,0)</f>
        <v>0.45628100373039499</v>
      </c>
      <c r="H207" s="27">
        <f>VLOOKUP(CurrentMtgRatesDataTable825[[#This Row],[asOfDate]],S:T,2,0)</f>
        <v>0.45366657462074822</v>
      </c>
      <c r="I207" s="84">
        <f>VLOOKUP(CurrentMtgRatesDataTable825[[#This Row],[asOfDate]],CurrentMtgRatesDataTable825623[#All],2,0)</f>
        <v>0.40924051329753336</v>
      </c>
      <c r="J207" s="84">
        <f>VLOOKUP(CurrentMtgRatesDataTable825[[#This Row],[asOfDate]],AB:AC,2,0)</f>
        <v>0.41779394948311799</v>
      </c>
      <c r="L207" s="24">
        <v>41977</v>
      </c>
      <c r="M207" s="26">
        <v>0.54634536257975941</v>
      </c>
      <c r="N207" s="26">
        <f ca="1">VLOOKUP(CurrentMtgRatesDataTable8256[[#This Row],[asOfDate]]+1,Bloomberg!B:C,2,0)</f>
        <v>1548.6</v>
      </c>
      <c r="P207" s="24">
        <v>41977</v>
      </c>
      <c r="Q207" s="26">
        <v>0.45628100373039499</v>
      </c>
      <c r="S207" s="24">
        <v>41977</v>
      </c>
      <c r="T207" s="27">
        <v>0.45366657462074822</v>
      </c>
      <c r="V207" s="56">
        <v>41977</v>
      </c>
      <c r="W207" s="57">
        <v>0.40924051329753336</v>
      </c>
      <c r="Y207" s="1">
        <v>41977</v>
      </c>
      <c r="Z207">
        <v>0.41142729430222202</v>
      </c>
      <c r="AB207" s="1">
        <v>41977</v>
      </c>
      <c r="AC207">
        <v>0.41779394948311799</v>
      </c>
    </row>
    <row r="208" spans="2:29">
      <c r="B208" s="24">
        <v>41984</v>
      </c>
      <c r="C208" s="86">
        <v>0.58486417412482083</v>
      </c>
      <c r="D208" s="86">
        <v>0.61686511863952342</v>
      </c>
      <c r="E208" s="26">
        <f ca="1">VLOOKUP(CurrentMtgRatesDataTable825[[#This Row],[asOfDate]]+1,Bloomberg!B:C,2,0)</f>
        <v>1518.8</v>
      </c>
      <c r="F208" s="27">
        <f>VLOOKUP(CurrentMtgRatesDataTable825[[#This Row],[asOfDate]],CurrentMtgRatesDataTable8256[#All],2,0)</f>
        <v>0.54581015855265858</v>
      </c>
      <c r="G208" s="27">
        <f>VLOOKUP(CurrentMtgRatesDataTable825[[#This Row],[asOfDate]],CurrentMtgRatesDataTable82562[],2,0)</f>
        <v>0.45567894153433269</v>
      </c>
      <c r="H208" s="27">
        <f>VLOOKUP(CurrentMtgRatesDataTable825[[#This Row],[asOfDate]],S:T,2,0)</f>
        <v>0.45307285506276335</v>
      </c>
      <c r="I208" s="84">
        <f>VLOOKUP(CurrentMtgRatesDataTable825[[#This Row],[asOfDate]],CurrentMtgRatesDataTable825623[#All],2,0)</f>
        <v>0.4080580571716918</v>
      </c>
      <c r="J208" s="84">
        <f>VLOOKUP(CurrentMtgRatesDataTable825[[#This Row],[asOfDate]],AB:AC,2,0)</f>
        <v>0.41674162737276199</v>
      </c>
      <c r="L208" s="24">
        <v>41984</v>
      </c>
      <c r="M208" s="26">
        <v>0.54581015855265858</v>
      </c>
      <c r="N208" s="26">
        <f ca="1">VLOOKUP(CurrentMtgRatesDataTable8256[[#This Row],[asOfDate]]+1,Bloomberg!B:C,2,0)</f>
        <v>1518.8</v>
      </c>
      <c r="P208" s="24">
        <v>41984</v>
      </c>
      <c r="Q208" s="26">
        <v>0.45567894153433269</v>
      </c>
      <c r="S208" s="24">
        <v>41984</v>
      </c>
      <c r="T208" s="27">
        <v>0.45307285506276335</v>
      </c>
      <c r="V208" s="56">
        <v>41984</v>
      </c>
      <c r="W208" s="57">
        <v>0.4080580571716918</v>
      </c>
      <c r="Y208" s="1">
        <v>41984</v>
      </c>
      <c r="Z208">
        <v>0.41030749815699002</v>
      </c>
      <c r="AB208" s="1">
        <v>41984</v>
      </c>
      <c r="AC208">
        <v>0.41674162737276199</v>
      </c>
    </row>
    <row r="209" spans="2:29">
      <c r="B209" s="24">
        <v>41991</v>
      </c>
      <c r="C209" s="86">
        <v>0.63917571751743196</v>
      </c>
      <c r="D209" s="86">
        <v>0.65670751485581857</v>
      </c>
      <c r="E209" s="26">
        <f ca="1">VLOOKUP(CurrentMtgRatesDataTable825[[#This Row],[asOfDate]]+1,Bloomberg!B:C,2,0)</f>
        <v>1538.7</v>
      </c>
      <c r="F209" s="27">
        <f>VLOOKUP(CurrentMtgRatesDataTable825[[#This Row],[asOfDate]],CurrentMtgRatesDataTable8256[#All],2,0)</f>
        <v>0.62551576683628252</v>
      </c>
      <c r="G209" s="27">
        <f>VLOOKUP(CurrentMtgRatesDataTable825[[#This Row],[asOfDate]],CurrentMtgRatesDataTable82562[],2,0)</f>
        <v>0.49932545547497792</v>
      </c>
      <c r="H209" s="27">
        <f>VLOOKUP(CurrentMtgRatesDataTable825[[#This Row],[asOfDate]],S:T,2,0)</f>
        <v>0.49619277574154708</v>
      </c>
      <c r="I209" s="84">
        <f>VLOOKUP(CurrentMtgRatesDataTable825[[#This Row],[asOfDate]],CurrentMtgRatesDataTable825623[#All],2,0)</f>
        <v>0.44444312661220686</v>
      </c>
      <c r="J209" s="84">
        <f>VLOOKUP(CurrentMtgRatesDataTable825[[#This Row],[asOfDate]],AB:AC,2,0)</f>
        <v>0.45273770907866101</v>
      </c>
      <c r="L209" s="24">
        <v>41991</v>
      </c>
      <c r="M209" s="26">
        <v>0.62551576683628252</v>
      </c>
      <c r="N209" s="26">
        <f ca="1">VLOOKUP(CurrentMtgRatesDataTable8256[[#This Row],[asOfDate]]+1,Bloomberg!B:C,2,0)</f>
        <v>1538.7</v>
      </c>
      <c r="P209" s="24">
        <v>41991</v>
      </c>
      <c r="Q209" s="26">
        <v>0.49932545547497792</v>
      </c>
      <c r="S209" s="24">
        <v>41991</v>
      </c>
      <c r="T209" s="27">
        <v>0.49619277574154708</v>
      </c>
      <c r="V209" s="56">
        <v>41991</v>
      </c>
      <c r="W209" s="57">
        <v>0.44444312661220686</v>
      </c>
      <c r="Y209" s="1">
        <v>41991</v>
      </c>
      <c r="Z209">
        <v>0.44654095293144802</v>
      </c>
      <c r="AB209" s="1">
        <v>41991</v>
      </c>
      <c r="AC209">
        <v>0.45273770907866101</v>
      </c>
    </row>
    <row r="210" spans="2:29">
      <c r="B210" s="24">
        <v>41997</v>
      </c>
      <c r="C210" s="86">
        <v>0.62652977193512516</v>
      </c>
      <c r="D210" s="86">
        <v>0.65670751485581857</v>
      </c>
      <c r="E210" s="26" t="e">
        <f ca="1">VLOOKUP(CurrentMtgRatesDataTable825[[#This Row],[asOfDate]]+1,Bloomberg!B:C,2,0)</f>
        <v>#N/A</v>
      </c>
      <c r="F210" s="27">
        <f>VLOOKUP(CurrentMtgRatesDataTable825[[#This Row],[asOfDate]],CurrentMtgRatesDataTable8256[#All],2,0)</f>
        <v>0.62486343279989665</v>
      </c>
      <c r="G210" s="27">
        <f>VLOOKUP(CurrentMtgRatesDataTable825[[#This Row],[asOfDate]],CurrentMtgRatesDataTable82562[],2,0)</f>
        <v>0.49889277729006254</v>
      </c>
      <c r="H210" s="27">
        <f>VLOOKUP(CurrentMtgRatesDataTable825[[#This Row],[asOfDate]],S:T,2,0)</f>
        <v>0.49576374351331026</v>
      </c>
      <c r="I210" s="84">
        <f>VLOOKUP(CurrentMtgRatesDataTable825[[#This Row],[asOfDate]],CurrentMtgRatesDataTable825623[#All],2,0)</f>
        <v>0.44157633126365065</v>
      </c>
      <c r="J210" s="84">
        <f>VLOOKUP(CurrentMtgRatesDataTable825[[#This Row],[asOfDate]],AB:AC,2,0)</f>
        <v>0.44996183796017403</v>
      </c>
      <c r="L210" s="24">
        <v>41997</v>
      </c>
      <c r="M210" s="26">
        <v>0.62486343279989665</v>
      </c>
      <c r="N210" s="26" t="e">
        <f ca="1">VLOOKUP(CurrentMtgRatesDataTable8256[[#This Row],[asOfDate]]+1,Bloomberg!B:C,2,0)</f>
        <v>#N/A</v>
      </c>
      <c r="P210" s="24">
        <v>41997</v>
      </c>
      <c r="Q210" s="26">
        <v>0.49889277729006254</v>
      </c>
      <c r="S210" s="24">
        <v>41997</v>
      </c>
      <c r="T210" s="27">
        <v>0.49576374351331026</v>
      </c>
      <c r="V210" s="56">
        <v>41997</v>
      </c>
      <c r="W210" s="57">
        <v>0.44157633126365065</v>
      </c>
      <c r="Y210" s="1">
        <v>41997</v>
      </c>
      <c r="Z210">
        <v>0.44364336157886203</v>
      </c>
      <c r="AB210" s="1">
        <v>41997</v>
      </c>
      <c r="AC210">
        <v>0.44996183796017403</v>
      </c>
    </row>
    <row r="211" spans="2:29">
      <c r="B211" s="24">
        <v>42004</v>
      </c>
      <c r="C211" s="86">
        <v>0.59248885396328499</v>
      </c>
      <c r="D211" s="86">
        <v>0.63997799544539491</v>
      </c>
      <c r="E211" s="26" t="e">
        <f ca="1">VLOOKUP(CurrentMtgRatesDataTable825[[#This Row],[asOfDate]]+1,Bloomberg!B:C,2,0)</f>
        <v>#N/A</v>
      </c>
      <c r="F211" s="27">
        <f>VLOOKUP(CurrentMtgRatesDataTable825[[#This Row],[asOfDate]],CurrentMtgRatesDataTable8256[#All],2,0)</f>
        <v>0.54632026447860305</v>
      </c>
      <c r="G211" s="27">
        <f>VLOOKUP(CurrentMtgRatesDataTable825[[#This Row],[asOfDate]],CurrentMtgRatesDataTable82562[],2,0)</f>
        <v>0.45623015728134225</v>
      </c>
      <c r="H211" s="27">
        <f>VLOOKUP(CurrentMtgRatesDataTable825[[#This Row],[asOfDate]],S:T,2,0)</f>
        <v>0.45361652490457088</v>
      </c>
      <c r="I211" s="84">
        <f>VLOOKUP(CurrentMtgRatesDataTable825[[#This Row],[asOfDate]],CurrentMtgRatesDataTable825623[#All],2,0)</f>
        <v>0.40919489925904234</v>
      </c>
      <c r="J211" s="84">
        <f>VLOOKUP(CurrentMtgRatesDataTable825[[#This Row],[asOfDate]],AB:AC,2,0)</f>
        <v>0.41775040408126601</v>
      </c>
      <c r="L211" s="24">
        <v>42004</v>
      </c>
      <c r="M211" s="26">
        <v>0.54632026447860305</v>
      </c>
      <c r="N211" s="26" t="e">
        <f ca="1">VLOOKUP(CurrentMtgRatesDataTable8256[[#This Row],[asOfDate]]+1,Bloomberg!B:C,2,0)</f>
        <v>#N/A</v>
      </c>
      <c r="P211" s="24">
        <v>42004</v>
      </c>
      <c r="Q211" s="26">
        <v>0.45623015728134225</v>
      </c>
      <c r="S211" s="24">
        <v>42004</v>
      </c>
      <c r="T211" s="27">
        <v>0.45361652490457088</v>
      </c>
      <c r="V211" s="56">
        <v>42004</v>
      </c>
      <c r="W211" s="57">
        <v>0.40919489925904234</v>
      </c>
      <c r="Y211" s="1">
        <v>42004</v>
      </c>
      <c r="Z211">
        <v>0.41138357558236399</v>
      </c>
      <c r="AB211" s="1">
        <v>42004</v>
      </c>
      <c r="AC211">
        <v>0.41775040408126601</v>
      </c>
    </row>
    <row r="212" spans="2:29">
      <c r="B212" s="24">
        <v>42012</v>
      </c>
      <c r="C212" s="86">
        <v>0.66856647147593873</v>
      </c>
      <c r="D212" s="86">
        <v>0.6900494521652949</v>
      </c>
      <c r="E212" s="26">
        <f ca="1">VLOOKUP(CurrentMtgRatesDataTable825[[#This Row],[asOfDate]]+1,Bloomberg!B:C,2,0)</f>
        <v>2271.5</v>
      </c>
      <c r="F212" s="27">
        <f>VLOOKUP(CurrentMtgRatesDataTable825[[#This Row],[asOfDate]],CurrentMtgRatesDataTable8256[#All],2,0)</f>
        <v>0.62197683361271305</v>
      </c>
      <c r="G212" s="27">
        <f>VLOOKUP(CurrentMtgRatesDataTable825[[#This Row],[asOfDate]],CurrentMtgRatesDataTable82562[],2,0)</f>
        <v>0.52521506611823021</v>
      </c>
      <c r="H212" s="27">
        <f>VLOOKUP(CurrentMtgRatesDataTable825[[#This Row],[asOfDate]],S:T,2,0)</f>
        <v>0.52521506611823021</v>
      </c>
      <c r="I212" s="84">
        <f>VLOOKUP(CurrentMtgRatesDataTable825[[#This Row],[asOfDate]],CurrentMtgRatesDataTable825623[#All],2,0)</f>
        <v>0.4699805706154972</v>
      </c>
      <c r="J212" s="84">
        <f>VLOOKUP(CurrentMtgRatesDataTable825[[#This Row],[asOfDate]],AB:AC,2,0)</f>
        <v>0.47713334056444601</v>
      </c>
      <c r="L212" s="24">
        <v>42012</v>
      </c>
      <c r="M212" s="26">
        <v>0.62197683361271305</v>
      </c>
      <c r="N212" s="26">
        <f ca="1">VLOOKUP(CurrentMtgRatesDataTable8256[[#This Row],[asOfDate]]+1,Bloomberg!B:C,2,0)</f>
        <v>2271.5</v>
      </c>
      <c r="P212" s="24">
        <v>42012</v>
      </c>
      <c r="Q212" s="26">
        <v>0.52521506611823021</v>
      </c>
      <c r="S212" s="24">
        <v>42012</v>
      </c>
      <c r="T212" s="27">
        <v>0.52521506611823021</v>
      </c>
      <c r="V212" s="56">
        <v>42012</v>
      </c>
      <c r="W212" s="57">
        <v>0.4699805706154972</v>
      </c>
      <c r="Y212" s="1">
        <v>42012</v>
      </c>
      <c r="Z212">
        <v>0.471283336620196</v>
      </c>
      <c r="AB212" s="1">
        <v>42012</v>
      </c>
      <c r="AC212">
        <v>0.47713334056444601</v>
      </c>
    </row>
    <row r="213" spans="2:29">
      <c r="B213" s="24">
        <v>42019</v>
      </c>
      <c r="C213" s="86">
        <v>0.69441513932723864</v>
      </c>
      <c r="D213" s="86">
        <v>0.72866547859305075</v>
      </c>
      <c r="E213" s="26">
        <f ca="1">VLOOKUP(CurrentMtgRatesDataTable825[[#This Row],[asOfDate]]+1,Bloomberg!B:C,2,0)</f>
        <v>2799.3</v>
      </c>
      <c r="F213" s="27">
        <f>VLOOKUP(CurrentMtgRatesDataTable825[[#This Row],[asOfDate]],CurrentMtgRatesDataTable8256[#All],2,0)</f>
        <v>0.67978466942559534</v>
      </c>
      <c r="G213" s="27">
        <f>VLOOKUP(CurrentMtgRatesDataTable825[[#This Row],[asOfDate]],CurrentMtgRatesDataTable82562[],2,0)</f>
        <v>0.59589441419972755</v>
      </c>
      <c r="H213" s="27">
        <f>VLOOKUP(CurrentMtgRatesDataTable825[[#This Row],[asOfDate]],S:T,2,0)</f>
        <v>0.59589441419972755</v>
      </c>
      <c r="I213" s="84">
        <f>VLOOKUP(CurrentMtgRatesDataTable825[[#This Row],[asOfDate]],CurrentMtgRatesDataTable825623[#All],2,0)</f>
        <v>0.52605134754242744</v>
      </c>
      <c r="J213" s="84">
        <f>VLOOKUP(CurrentMtgRatesDataTable825[[#This Row],[asOfDate]],AB:AC,2,0)</f>
        <v>0.53296054461027997</v>
      </c>
      <c r="L213" s="24">
        <v>42019</v>
      </c>
      <c r="M213" s="26">
        <v>0.67978466942559534</v>
      </c>
      <c r="N213" s="26">
        <f ca="1">VLOOKUP(CurrentMtgRatesDataTable8256[[#This Row],[asOfDate]]+1,Bloomberg!B:C,2,0)</f>
        <v>2799.3</v>
      </c>
      <c r="P213" s="24">
        <v>42019</v>
      </c>
      <c r="Q213" s="26">
        <v>0.59589441419972755</v>
      </c>
      <c r="S213" s="24">
        <v>42019</v>
      </c>
      <c r="T213" s="27">
        <v>0.59589441419972755</v>
      </c>
      <c r="V213" s="56">
        <v>42019</v>
      </c>
      <c r="W213" s="57">
        <v>0.52605134754242744</v>
      </c>
      <c r="Y213" s="1">
        <v>42019</v>
      </c>
      <c r="Z213">
        <v>0.52719927591037796</v>
      </c>
      <c r="AB213" s="1">
        <v>42019</v>
      </c>
      <c r="AC213">
        <v>0.53296054461027997</v>
      </c>
    </row>
    <row r="214" spans="2:29">
      <c r="B214" s="24">
        <v>42026</v>
      </c>
      <c r="C214" s="86">
        <v>0.69625439745521622</v>
      </c>
      <c r="D214" s="86">
        <v>0.72866547859305075</v>
      </c>
      <c r="E214" s="26">
        <f ca="1">VLOOKUP(CurrentMtgRatesDataTable825[[#This Row],[asOfDate]]+1,Bloomberg!B:C,2,0)</f>
        <v>2572.3000000000002</v>
      </c>
      <c r="F214" s="27">
        <f>VLOOKUP(CurrentMtgRatesDataTable825[[#This Row],[asOfDate]],CurrentMtgRatesDataTable8256[#All],2,0)</f>
        <v>0.67981359258153007</v>
      </c>
      <c r="G214" s="27">
        <f>VLOOKUP(CurrentMtgRatesDataTable825[[#This Row],[asOfDate]],CurrentMtgRatesDataTable82562[],2,0)</f>
        <v>0.59596808480105368</v>
      </c>
      <c r="H214" s="27">
        <f>VLOOKUP(CurrentMtgRatesDataTable825[[#This Row],[asOfDate]],S:T,2,0)</f>
        <v>0.59596808480105368</v>
      </c>
      <c r="I214" s="84">
        <f>VLOOKUP(CurrentMtgRatesDataTable825[[#This Row],[asOfDate]],CurrentMtgRatesDataTable825623[#All],2,0)</f>
        <v>0.52835609079609336</v>
      </c>
      <c r="J214" s="84">
        <f>VLOOKUP(CurrentMtgRatesDataTable825[[#This Row],[asOfDate]],AB:AC,2,0)</f>
        <v>0.53525908703488601</v>
      </c>
      <c r="L214" s="24">
        <v>42026</v>
      </c>
      <c r="M214" s="26">
        <v>0.67981359258153007</v>
      </c>
      <c r="N214" s="26">
        <f ca="1">VLOOKUP(CurrentMtgRatesDataTable8256[[#This Row],[asOfDate]]+1,Bloomberg!B:C,2,0)</f>
        <v>2572.3000000000002</v>
      </c>
      <c r="P214" s="24">
        <v>42026</v>
      </c>
      <c r="Q214" s="26">
        <v>0.59596808480105368</v>
      </c>
      <c r="S214" s="24">
        <v>42026</v>
      </c>
      <c r="T214" s="27">
        <v>0.59596808480105368</v>
      </c>
      <c r="V214" s="56">
        <v>42026</v>
      </c>
      <c r="W214" s="57">
        <v>0.52835609079609336</v>
      </c>
      <c r="Y214" s="1">
        <v>42026</v>
      </c>
      <c r="Z214">
        <v>0.52950364378839199</v>
      </c>
      <c r="AB214" s="1">
        <v>42026</v>
      </c>
      <c r="AC214">
        <v>0.53525908703488601</v>
      </c>
    </row>
    <row r="215" spans="2:29">
      <c r="B215" s="24">
        <v>42033</v>
      </c>
      <c r="C215" s="86">
        <v>0.69441513932723864</v>
      </c>
      <c r="D215" s="86">
        <v>0.72866547859305075</v>
      </c>
      <c r="E215" s="26">
        <f ca="1">VLOOKUP(CurrentMtgRatesDataTable825[[#This Row],[asOfDate]]+1,Bloomberg!B:C,2,0)</f>
        <v>2584.8000000000002</v>
      </c>
      <c r="F215" s="27">
        <f>VLOOKUP(CurrentMtgRatesDataTable825[[#This Row],[asOfDate]],CurrentMtgRatesDataTable8256[#All],2,0)</f>
        <v>0.67978466942559534</v>
      </c>
      <c r="G215" s="27">
        <f>VLOOKUP(CurrentMtgRatesDataTable825[[#This Row],[asOfDate]],CurrentMtgRatesDataTable82562[],2,0)</f>
        <v>0.59589441419972755</v>
      </c>
      <c r="H215" s="27">
        <f>VLOOKUP(CurrentMtgRatesDataTable825[[#This Row],[asOfDate]],S:T,2,0)</f>
        <v>0.59589441419972755</v>
      </c>
      <c r="I215" s="84">
        <f>VLOOKUP(CurrentMtgRatesDataTable825[[#This Row],[asOfDate]],CurrentMtgRatesDataTable825623[#All],2,0)</f>
        <v>0.52605134754242744</v>
      </c>
      <c r="J215" s="84">
        <f>VLOOKUP(CurrentMtgRatesDataTable825[[#This Row],[asOfDate]],AB:AC,2,0)</f>
        <v>0.53296054461027997</v>
      </c>
      <c r="L215" s="24">
        <v>42033</v>
      </c>
      <c r="M215" s="26">
        <v>0.67978466942559534</v>
      </c>
      <c r="N215" s="26">
        <f ca="1">VLOOKUP(CurrentMtgRatesDataTable8256[[#This Row],[asOfDate]]+1,Bloomberg!B:C,2,0)</f>
        <v>2584.8000000000002</v>
      </c>
      <c r="P215" s="24">
        <v>42033</v>
      </c>
      <c r="Q215" s="26">
        <v>0.59589441419972755</v>
      </c>
      <c r="S215" s="24">
        <v>42033</v>
      </c>
      <c r="T215" s="27">
        <v>0.59589441419972755</v>
      </c>
      <c r="V215" s="56">
        <v>42033</v>
      </c>
      <c r="W215" s="57">
        <v>0.52605134754242744</v>
      </c>
      <c r="Y215" s="1">
        <v>42033</v>
      </c>
      <c r="Z215">
        <v>0.52719927591037796</v>
      </c>
      <c r="AB215" s="1">
        <v>42033</v>
      </c>
      <c r="AC215">
        <v>0.53296054461027997</v>
      </c>
    </row>
    <row r="216" spans="2:29">
      <c r="B216" s="24">
        <v>42040</v>
      </c>
      <c r="C216" s="86">
        <v>0.71728615544957119</v>
      </c>
      <c r="D216" s="86">
        <v>0.73088897222781612</v>
      </c>
      <c r="E216" s="26">
        <f ca="1">VLOOKUP(CurrentMtgRatesDataTable825[[#This Row],[asOfDate]]+1,Bloomberg!B:C,2,0)</f>
        <v>2291.3000000000002</v>
      </c>
      <c r="F216" s="27">
        <f>VLOOKUP(CurrentMtgRatesDataTable825[[#This Row],[asOfDate]],CurrentMtgRatesDataTable8256[#All],2,0)</f>
        <v>0.67752750204659062</v>
      </c>
      <c r="G216" s="27">
        <f>VLOOKUP(CurrentMtgRatesDataTable825[[#This Row],[asOfDate]],CurrentMtgRatesDataTable82562[],2,0)</f>
        <v>0.59044174111366599</v>
      </c>
      <c r="H216" s="27">
        <f>VLOOKUP(CurrentMtgRatesDataTable825[[#This Row],[asOfDate]],S:T,2,0)</f>
        <v>0.59044174111366599</v>
      </c>
      <c r="I216" s="84">
        <f>VLOOKUP(CurrentMtgRatesDataTable825[[#This Row],[asOfDate]],CurrentMtgRatesDataTable825623[#All],2,0)</f>
        <v>0.5254602265012428</v>
      </c>
      <c r="J216" s="84">
        <f>VLOOKUP(CurrentMtgRatesDataTable825[[#This Row],[asOfDate]],AB:AC,2,0)</f>
        <v>0.531964205535849</v>
      </c>
      <c r="L216" s="24">
        <v>42040</v>
      </c>
      <c r="M216" s="26">
        <v>0.67752750204659062</v>
      </c>
      <c r="N216" s="26">
        <f ca="1">VLOOKUP(CurrentMtgRatesDataTable8256[[#This Row],[asOfDate]]+1,Bloomberg!B:C,2,0)</f>
        <v>2291.3000000000002</v>
      </c>
      <c r="P216" s="24">
        <v>42040</v>
      </c>
      <c r="Q216" s="26">
        <v>0.59044174111366599</v>
      </c>
      <c r="S216" s="24">
        <v>42040</v>
      </c>
      <c r="T216" s="27">
        <v>0.59044174111366599</v>
      </c>
      <c r="V216" s="56">
        <v>42040</v>
      </c>
      <c r="W216" s="57">
        <v>0.5254602265012428</v>
      </c>
      <c r="Y216" s="1">
        <v>42040</v>
      </c>
      <c r="Z216">
        <v>0.52648652215574798</v>
      </c>
      <c r="AB216" s="1">
        <v>42040</v>
      </c>
      <c r="AC216">
        <v>0.531964205535849</v>
      </c>
    </row>
    <row r="217" spans="2:29">
      <c r="B217" s="24">
        <v>42047</v>
      </c>
      <c r="C217" s="86">
        <v>0.67961908546991245</v>
      </c>
      <c r="D217" s="86">
        <v>0.73088897222781612</v>
      </c>
      <c r="E217" s="26">
        <f ca="1">VLOOKUP(CurrentMtgRatesDataTable825[[#This Row],[asOfDate]]+1,Bloomberg!B:C,2,0)</f>
        <v>1904.2</v>
      </c>
      <c r="F217" s="27">
        <f>VLOOKUP(CurrentMtgRatesDataTable825[[#This Row],[asOfDate]],CurrentMtgRatesDataTable8256[#All],2,0)</f>
        <v>0.676983954566723</v>
      </c>
      <c r="G217" s="27">
        <f>VLOOKUP(CurrentMtgRatesDataTable825[[#This Row],[asOfDate]],CurrentMtgRatesDataTable82562[],2,0)</f>
        <v>0.56093530260459656</v>
      </c>
      <c r="H217" s="27">
        <f>VLOOKUP(CurrentMtgRatesDataTable825[[#This Row],[asOfDate]],S:T,2,0)</f>
        <v>0.56093530260459656</v>
      </c>
      <c r="I217" s="84">
        <f>VLOOKUP(CurrentMtgRatesDataTable825[[#This Row],[asOfDate]],CurrentMtgRatesDataTable825623[#All],2,0)</f>
        <v>0.49442366816029654</v>
      </c>
      <c r="J217" s="84">
        <f>VLOOKUP(CurrentMtgRatesDataTable825[[#This Row],[asOfDate]],AB:AC,2,0)</f>
        <v>0.50112937152177495</v>
      </c>
      <c r="L217" s="24">
        <v>42047</v>
      </c>
      <c r="M217" s="26">
        <v>0.676983954566723</v>
      </c>
      <c r="N217" s="26">
        <f ca="1">VLOOKUP(CurrentMtgRatesDataTable8256[[#This Row],[asOfDate]]+1,Bloomberg!B:C,2,0)</f>
        <v>1904.2</v>
      </c>
      <c r="P217" s="24">
        <v>42047</v>
      </c>
      <c r="Q217" s="26">
        <v>0.56093530260459656</v>
      </c>
      <c r="S217" s="24">
        <v>42047</v>
      </c>
      <c r="T217" s="27">
        <v>0.56093530260459656</v>
      </c>
      <c r="V217" s="56">
        <v>42047</v>
      </c>
      <c r="W217" s="57">
        <v>0.49442366816029654</v>
      </c>
      <c r="Y217" s="1">
        <v>42047</v>
      </c>
      <c r="Z217">
        <v>0.49557864175973598</v>
      </c>
      <c r="AB217" s="1">
        <v>42047</v>
      </c>
      <c r="AC217">
        <v>0.50112937152177495</v>
      </c>
    </row>
    <row r="218" spans="2:29">
      <c r="B218" s="24">
        <v>42054</v>
      </c>
      <c r="C218" s="86">
        <v>0.65477542416340195</v>
      </c>
      <c r="D218" s="86">
        <v>0.68757115420700965</v>
      </c>
      <c r="E218" s="26">
        <f ca="1">VLOOKUP(CurrentMtgRatesDataTable825[[#This Row],[asOfDate]]+1,Bloomberg!B:C,2,0)</f>
        <v>1703.1</v>
      </c>
      <c r="F218" s="27">
        <f>VLOOKUP(CurrentMtgRatesDataTable825[[#This Row],[asOfDate]],CurrentMtgRatesDataTable8256[#All],2,0)</f>
        <v>0.61566859790099082</v>
      </c>
      <c r="G218" s="27">
        <f>VLOOKUP(CurrentMtgRatesDataTable825[[#This Row],[asOfDate]],CurrentMtgRatesDataTable82562[],2,0)</f>
        <v>0.51672469270397592</v>
      </c>
      <c r="H218" s="27">
        <f>VLOOKUP(CurrentMtgRatesDataTable825[[#This Row],[asOfDate]],S:T,2,0)</f>
        <v>0.51672469270397592</v>
      </c>
      <c r="I218" s="84">
        <f>VLOOKUP(CurrentMtgRatesDataTable825[[#This Row],[asOfDate]],CurrentMtgRatesDataTable825623[#All],2,0)</f>
        <v>0.46098343440077427</v>
      </c>
      <c r="J218" s="84">
        <f>VLOOKUP(CurrentMtgRatesDataTable825[[#This Row],[asOfDate]],AB:AC,2,0)</f>
        <v>0.46787253141998503</v>
      </c>
      <c r="L218" s="24">
        <v>42054</v>
      </c>
      <c r="M218" s="26">
        <v>0.61566859790099082</v>
      </c>
      <c r="N218" s="26">
        <f ca="1">VLOOKUP(CurrentMtgRatesDataTable8256[[#This Row],[asOfDate]]+1,Bloomberg!B:C,2,0)</f>
        <v>1703.1</v>
      </c>
      <c r="P218" s="24">
        <v>42054</v>
      </c>
      <c r="Q218" s="26">
        <v>0.51672469270397592</v>
      </c>
      <c r="S218" s="24">
        <v>42054</v>
      </c>
      <c r="T218" s="27">
        <v>0.51672469270397592</v>
      </c>
      <c r="V218" s="56">
        <v>42054</v>
      </c>
      <c r="W218" s="57">
        <v>0.46098343440077427</v>
      </c>
      <c r="Y218" s="1">
        <v>42054</v>
      </c>
      <c r="Z218">
        <v>0.462228272584294</v>
      </c>
      <c r="AB218" s="1">
        <v>42054</v>
      </c>
      <c r="AC218">
        <v>0.46787253141998503</v>
      </c>
    </row>
    <row r="219" spans="2:29">
      <c r="B219" s="24">
        <v>42061</v>
      </c>
      <c r="C219" s="86">
        <v>0.62665384357251297</v>
      </c>
      <c r="D219" s="86">
        <v>0.65784972377546647</v>
      </c>
      <c r="E219" s="26">
        <f ca="1">VLOOKUP(CurrentMtgRatesDataTable825[[#This Row],[asOfDate]]+1,Bloomberg!B:C,2,0)</f>
        <v>1740.3</v>
      </c>
      <c r="F219" s="27">
        <f>VLOOKUP(CurrentMtgRatesDataTable825[[#This Row],[asOfDate]],CurrentMtgRatesDataTable8256[#All],2,0)</f>
        <v>0.6151593401991402</v>
      </c>
      <c r="G219" s="27">
        <f>VLOOKUP(CurrentMtgRatesDataTable825[[#This Row],[asOfDate]],CurrentMtgRatesDataTable82562[],2,0)</f>
        <v>0.48350846650958634</v>
      </c>
      <c r="H219" s="27">
        <f>VLOOKUP(CurrentMtgRatesDataTable825[[#This Row],[asOfDate]],S:T,2,0)</f>
        <v>0.48350846650958634</v>
      </c>
      <c r="I219" s="84">
        <f>VLOOKUP(CurrentMtgRatesDataTable825[[#This Row],[asOfDate]],CurrentMtgRatesDataTable825623[#All],2,0)</f>
        <v>0.43010921248141931</v>
      </c>
      <c r="J219" s="84">
        <f>VLOOKUP(CurrentMtgRatesDataTable825[[#This Row],[asOfDate]],AB:AC,2,0)</f>
        <v>0.43720530063230401</v>
      </c>
      <c r="L219" s="24">
        <v>42061</v>
      </c>
      <c r="M219" s="26">
        <v>0.6151593401991402</v>
      </c>
      <c r="N219" s="26">
        <f ca="1">VLOOKUP(CurrentMtgRatesDataTable8256[[#This Row],[asOfDate]]+1,Bloomberg!B:C,2,0)</f>
        <v>1740.3</v>
      </c>
      <c r="P219" s="24">
        <v>42061</v>
      </c>
      <c r="Q219" s="26">
        <v>0.48350846650958634</v>
      </c>
      <c r="S219" s="24">
        <v>42061</v>
      </c>
      <c r="T219" s="27">
        <v>0.48350846650958634</v>
      </c>
      <c r="V219" s="56">
        <v>42061</v>
      </c>
      <c r="W219" s="57">
        <v>0.43010921248141931</v>
      </c>
      <c r="Y219" s="1">
        <v>42061</v>
      </c>
      <c r="Z219">
        <v>0.43151146745546598</v>
      </c>
      <c r="AB219" s="1">
        <v>42061</v>
      </c>
      <c r="AC219">
        <v>0.43720530063230401</v>
      </c>
    </row>
    <row r="220" spans="2:29">
      <c r="B220" s="24">
        <v>42068</v>
      </c>
      <c r="C220" s="86">
        <v>0.64879793947367048</v>
      </c>
      <c r="D220" s="86">
        <v>0.66972808419438756</v>
      </c>
      <c r="E220" s="26">
        <f ca="1">VLOOKUP(CurrentMtgRatesDataTable825[[#This Row],[asOfDate]]+1,Bloomberg!B:C,2,0)</f>
        <v>1685.7</v>
      </c>
      <c r="F220" s="27">
        <f>VLOOKUP(CurrentMtgRatesDataTable825[[#This Row],[asOfDate]],CurrentMtgRatesDataTable8256[#All],2,0)</f>
        <v>0.60677474487423166</v>
      </c>
      <c r="G220" s="27">
        <f>VLOOKUP(CurrentMtgRatesDataTable825[[#This Row],[asOfDate]],CurrentMtgRatesDataTable82562[],2,0)</f>
        <v>0.50718342258638915</v>
      </c>
      <c r="H220" s="27">
        <f>VLOOKUP(CurrentMtgRatesDataTable825[[#This Row],[asOfDate]],S:T,2,0)</f>
        <v>0.50718342258638915</v>
      </c>
      <c r="I220" s="84">
        <f>VLOOKUP(CurrentMtgRatesDataTable825[[#This Row],[asOfDate]],CurrentMtgRatesDataTable825623[#All],2,0)</f>
        <v>0.45294063034136495</v>
      </c>
      <c r="J220" s="84">
        <f>VLOOKUP(CurrentMtgRatesDataTable825[[#This Row],[asOfDate]],AB:AC,2,0)</f>
        <v>0.45959407492170601</v>
      </c>
      <c r="L220" s="24">
        <v>42068</v>
      </c>
      <c r="M220" s="26">
        <v>0.60677474487423166</v>
      </c>
      <c r="N220" s="26">
        <f ca="1">VLOOKUP(CurrentMtgRatesDataTable8256[[#This Row],[asOfDate]]+1,Bloomberg!B:C,2,0)</f>
        <v>1685.7</v>
      </c>
      <c r="P220" s="24">
        <v>42068</v>
      </c>
      <c r="Q220" s="26">
        <v>0.50718342258638915</v>
      </c>
      <c r="S220" s="24">
        <v>42068</v>
      </c>
      <c r="T220" s="27">
        <v>0.50718342258638915</v>
      </c>
      <c r="V220" s="56">
        <v>42068</v>
      </c>
      <c r="W220" s="57">
        <v>0.45294063034136495</v>
      </c>
      <c r="Y220" s="1">
        <v>42068</v>
      </c>
      <c r="Z220">
        <v>0.45414359671485499</v>
      </c>
      <c r="AB220" s="1">
        <v>42068</v>
      </c>
      <c r="AC220">
        <v>0.45959407492170601</v>
      </c>
    </row>
    <row r="221" spans="2:29">
      <c r="B221" s="24">
        <v>42075</v>
      </c>
      <c r="C221" s="86">
        <v>0.56709086833409406</v>
      </c>
      <c r="D221" s="86">
        <v>0.61723226070954185</v>
      </c>
      <c r="E221" s="26">
        <f ca="1">VLOOKUP(CurrentMtgRatesDataTable825[[#This Row],[asOfDate]]+1,Bloomberg!B:C,2,0)</f>
        <v>1623.6</v>
      </c>
      <c r="F221" s="27">
        <f>VLOOKUP(CurrentMtgRatesDataTable825[[#This Row],[asOfDate]],CurrentMtgRatesDataTable8256[#All],2,0)</f>
        <v>0.52303888200369164</v>
      </c>
      <c r="G221" s="27">
        <f>VLOOKUP(CurrentMtgRatesDataTable825[[#This Row],[asOfDate]],CurrentMtgRatesDataTable82562[],2,0)</f>
        <v>0.43124435584172754</v>
      </c>
      <c r="H221" s="27">
        <f>VLOOKUP(CurrentMtgRatesDataTable825[[#This Row],[asOfDate]],S:T,2,0)</f>
        <v>0.43124435584172754</v>
      </c>
      <c r="I221" s="84">
        <f>VLOOKUP(CurrentMtgRatesDataTable825[[#This Row],[asOfDate]],CurrentMtgRatesDataTable825623[#All],2,0)</f>
        <v>0.3870529036276229</v>
      </c>
      <c r="J221" s="84">
        <f>VLOOKUP(CurrentMtgRatesDataTable825[[#This Row],[asOfDate]],AB:AC,2,0)</f>
        <v>0.394169404360453</v>
      </c>
      <c r="L221" s="24">
        <v>42075</v>
      </c>
      <c r="M221" s="26">
        <v>0.52303888200369164</v>
      </c>
      <c r="N221" s="26">
        <f ca="1">VLOOKUP(CurrentMtgRatesDataTable8256[[#This Row],[asOfDate]]+1,Bloomberg!B:C,2,0)</f>
        <v>1623.6</v>
      </c>
      <c r="P221" s="24">
        <v>42075</v>
      </c>
      <c r="Q221" s="26">
        <v>0.43124435584172754</v>
      </c>
      <c r="S221" s="24">
        <v>42075</v>
      </c>
      <c r="T221" s="27">
        <v>0.43124435584172754</v>
      </c>
      <c r="V221" s="56">
        <v>42075</v>
      </c>
      <c r="W221" s="57">
        <v>0.3870529036276229</v>
      </c>
      <c r="Y221" s="1">
        <v>42075</v>
      </c>
      <c r="Z221">
        <v>0.388510102191298</v>
      </c>
      <c r="AB221" s="1">
        <v>42075</v>
      </c>
      <c r="AC221">
        <v>0.394169404360453</v>
      </c>
    </row>
    <row r="222" spans="2:29">
      <c r="B222" s="24">
        <v>42082</v>
      </c>
      <c r="C222" s="86">
        <v>0.62625017100514624</v>
      </c>
      <c r="D222" s="86">
        <v>0.66237081970998835</v>
      </c>
      <c r="E222" s="26">
        <f ca="1">VLOOKUP(CurrentMtgRatesDataTable825[[#This Row],[asOfDate]]+1,Bloomberg!B:C,2,0)</f>
        <v>1860.8</v>
      </c>
      <c r="F222" s="27">
        <f>VLOOKUP(CurrentMtgRatesDataTable825[[#This Row],[asOfDate]],CurrentMtgRatesDataTable8256[#All],2,0)</f>
        <v>0.60648965415006506</v>
      </c>
      <c r="G222" s="27">
        <f>VLOOKUP(CurrentMtgRatesDataTable825[[#This Row],[asOfDate]],CurrentMtgRatesDataTable82562[],2,0)</f>
        <v>0.50666988212578556</v>
      </c>
      <c r="H222" s="27">
        <f>VLOOKUP(CurrentMtgRatesDataTable825[[#This Row],[asOfDate]],S:T,2,0)</f>
        <v>0.50666988212578556</v>
      </c>
      <c r="I222" s="84">
        <f>VLOOKUP(CurrentMtgRatesDataTable825[[#This Row],[asOfDate]],CurrentMtgRatesDataTable825623[#All],2,0)</f>
        <v>0.45175307267929959</v>
      </c>
      <c r="J222" s="84">
        <f>VLOOKUP(CurrentMtgRatesDataTable825[[#This Row],[asOfDate]],AB:AC,2,0)</f>
        <v>0.45850870301610303</v>
      </c>
      <c r="L222" s="24">
        <v>42082</v>
      </c>
      <c r="M222" s="26">
        <v>0.60648965415006506</v>
      </c>
      <c r="N222" s="26">
        <f ca="1">VLOOKUP(CurrentMtgRatesDataTable8256[[#This Row],[asOfDate]]+1,Bloomberg!B:C,2,0)</f>
        <v>1860.8</v>
      </c>
      <c r="P222" s="24">
        <v>42082</v>
      </c>
      <c r="Q222" s="26">
        <v>0.50666988212578556</v>
      </c>
      <c r="S222" s="24">
        <v>42082</v>
      </c>
      <c r="T222" s="27">
        <v>0.50666988212578556</v>
      </c>
      <c r="V222" s="56">
        <v>42082</v>
      </c>
      <c r="W222" s="57">
        <v>0.45175307267929959</v>
      </c>
      <c r="Y222" s="1">
        <v>42082</v>
      </c>
      <c r="Z222">
        <v>0.453029450737649</v>
      </c>
      <c r="AB222" s="1">
        <v>42082</v>
      </c>
      <c r="AC222">
        <v>0.45850870301610303</v>
      </c>
    </row>
    <row r="223" spans="2:29">
      <c r="B223" s="24">
        <v>42089</v>
      </c>
      <c r="C223" s="86">
        <v>0.67177281536533184</v>
      </c>
      <c r="D223" s="86">
        <v>0.72231014422853612</v>
      </c>
      <c r="E223" s="26">
        <f ca="1">VLOOKUP(CurrentMtgRatesDataTable825[[#This Row],[asOfDate]]+1,Bloomberg!B:C,2,0)</f>
        <v>1941.6</v>
      </c>
      <c r="F223" s="27">
        <f>VLOOKUP(CurrentMtgRatesDataTable825[[#This Row],[asOfDate]],CurrentMtgRatesDataTable8256[#All],2,0)</f>
        <v>0.66948681688726752</v>
      </c>
      <c r="G223" s="27">
        <f>VLOOKUP(CurrentMtgRatesDataTable825[[#This Row],[asOfDate]],CurrentMtgRatesDataTable82562[],2,0)</f>
        <v>0.55138762509375627</v>
      </c>
      <c r="H223" s="27">
        <f>VLOOKUP(CurrentMtgRatesDataTable825[[#This Row],[asOfDate]],S:T,2,0)</f>
        <v>0.55138762509375627</v>
      </c>
      <c r="I223" s="84">
        <f>VLOOKUP(CurrentMtgRatesDataTable825[[#This Row],[asOfDate]],CurrentMtgRatesDataTable825623[#All],2,0)</f>
        <v>0.48615161590543643</v>
      </c>
      <c r="J223" s="84">
        <f>VLOOKUP(CurrentMtgRatesDataTable825[[#This Row],[asOfDate]],AB:AC,2,0)</f>
        <v>0.49264013227543102</v>
      </c>
      <c r="L223" s="24">
        <v>42089</v>
      </c>
      <c r="M223" s="26">
        <v>0.66948681688726752</v>
      </c>
      <c r="N223" s="26">
        <f ca="1">VLOOKUP(CurrentMtgRatesDataTable8256[[#This Row],[asOfDate]]+1,Bloomberg!B:C,2,0)</f>
        <v>1941.6</v>
      </c>
      <c r="P223" s="24">
        <v>42089</v>
      </c>
      <c r="Q223" s="26">
        <v>0.55138762509375627</v>
      </c>
      <c r="S223" s="24">
        <v>42089</v>
      </c>
      <c r="T223" s="27">
        <v>0.55138762509375627</v>
      </c>
      <c r="V223" s="56">
        <v>42089</v>
      </c>
      <c r="W223" s="57">
        <v>0.48615161590543643</v>
      </c>
      <c r="Y223" s="1">
        <v>42089</v>
      </c>
      <c r="Z223">
        <v>0.48726739365175198</v>
      </c>
      <c r="AB223" s="1">
        <v>42089</v>
      </c>
      <c r="AC223">
        <v>0.49264013227543102</v>
      </c>
    </row>
    <row r="224" spans="2:29">
      <c r="B224" s="24">
        <v>42096</v>
      </c>
      <c r="C224" s="86">
        <v>0.6565095101369548</v>
      </c>
      <c r="D224" s="86">
        <v>0.68264080857525944</v>
      </c>
      <c r="E224" s="26">
        <f ca="1">VLOOKUP(CurrentMtgRatesDataTable825[[#This Row],[asOfDate]]+1,Bloomberg!B:C,2,0)</f>
        <v>1854.7</v>
      </c>
      <c r="F224" s="27">
        <f>VLOOKUP(CurrentMtgRatesDataTable825[[#This Row],[asOfDate]],CurrentMtgRatesDataTable8256[#All],2,0)</f>
        <v>0.65757284583633613</v>
      </c>
      <c r="G224" s="27">
        <f>VLOOKUP(CurrentMtgRatesDataTable825[[#This Row],[asOfDate]],CurrentMtgRatesDataTable82562[],2,0)</f>
        <v>0.53682243639344718</v>
      </c>
      <c r="H224" s="27">
        <f>VLOOKUP(CurrentMtgRatesDataTable825[[#This Row],[asOfDate]],S:T,2,0)</f>
        <v>0.53682243639344718</v>
      </c>
      <c r="I224" s="84">
        <f>VLOOKUP(CurrentMtgRatesDataTable825[[#This Row],[asOfDate]],CurrentMtgRatesDataTable825623[#All],2,0)</f>
        <v>0.47072884359674472</v>
      </c>
      <c r="J224" s="84">
        <f>VLOOKUP(CurrentMtgRatesDataTable825[[#This Row],[asOfDate]],AB:AC,2,0)</f>
        <v>0.47700652645494301</v>
      </c>
      <c r="L224" s="24">
        <v>42096</v>
      </c>
      <c r="M224" s="26">
        <v>0.65757284583633613</v>
      </c>
      <c r="N224" s="26">
        <f ca="1">VLOOKUP(CurrentMtgRatesDataTable8256[[#This Row],[asOfDate]]+1,Bloomberg!B:C,2,0)</f>
        <v>1854.7</v>
      </c>
      <c r="P224" s="24">
        <v>42096</v>
      </c>
      <c r="Q224" s="26">
        <v>0.53682243639344718</v>
      </c>
      <c r="S224" s="24">
        <v>42096</v>
      </c>
      <c r="T224" s="27">
        <v>0.53682243639344718</v>
      </c>
      <c r="V224" s="56">
        <v>42096</v>
      </c>
      <c r="W224" s="57">
        <v>0.47072884359674472</v>
      </c>
      <c r="Y224" s="1">
        <v>42096</v>
      </c>
      <c r="Z224">
        <v>0.47180003931027897</v>
      </c>
      <c r="AB224" s="1">
        <v>42096</v>
      </c>
      <c r="AC224">
        <v>0.47700652645494301</v>
      </c>
    </row>
    <row r="225" spans="2:29">
      <c r="B225" s="24">
        <v>42103</v>
      </c>
      <c r="C225" s="86">
        <v>0.67417257610562109</v>
      </c>
      <c r="D225" s="86">
        <v>0.70281234322362063</v>
      </c>
      <c r="E225" s="26">
        <f ca="1">VLOOKUP(CurrentMtgRatesDataTable825[[#This Row],[asOfDate]]+1,Bloomberg!B:C,2,0)</f>
        <v>1804.6</v>
      </c>
      <c r="F225" s="27">
        <f>VLOOKUP(CurrentMtgRatesDataTable825[[#This Row],[asOfDate]],CurrentMtgRatesDataTable8256[#All],2,0)</f>
        <v>0.65811343479434081</v>
      </c>
      <c r="G225" s="27">
        <f>VLOOKUP(CurrentMtgRatesDataTable825[[#This Row],[asOfDate]],CurrentMtgRatesDataTable82562[],2,0)</f>
        <v>0.56624534907007407</v>
      </c>
      <c r="H225" s="27">
        <f>VLOOKUP(CurrentMtgRatesDataTable825[[#This Row],[asOfDate]],S:T,2,0)</f>
        <v>0.56624534907007407</v>
      </c>
      <c r="I225" s="84">
        <f>VLOOKUP(CurrentMtgRatesDataTable825[[#This Row],[asOfDate]],CurrentMtgRatesDataTable825623[#All],2,0)</f>
        <v>0.49915608737725392</v>
      </c>
      <c r="J225" s="84">
        <f>VLOOKUP(CurrentMtgRatesDataTable825[[#This Row],[asOfDate]],AB:AC,2,0)</f>
        <v>0.505305541519944</v>
      </c>
      <c r="L225" s="24">
        <v>42103</v>
      </c>
      <c r="M225" s="26">
        <v>0.65811343479434081</v>
      </c>
      <c r="N225" s="26">
        <f ca="1">VLOOKUP(CurrentMtgRatesDataTable8256[[#This Row],[asOfDate]]+1,Bloomberg!B:C,2,0)</f>
        <v>1804.6</v>
      </c>
      <c r="P225" s="24">
        <v>42103</v>
      </c>
      <c r="Q225" s="26">
        <v>0.56624534907007407</v>
      </c>
      <c r="S225" s="24">
        <v>42103</v>
      </c>
      <c r="T225" s="27">
        <v>0.56624534907007407</v>
      </c>
      <c r="V225" s="56">
        <v>42103</v>
      </c>
      <c r="W225" s="57">
        <v>0.49915608737725392</v>
      </c>
      <c r="Y225" s="1">
        <v>42103</v>
      </c>
      <c r="Z225">
        <v>0.50015786928129402</v>
      </c>
      <c r="AB225" s="1">
        <v>42103</v>
      </c>
      <c r="AC225">
        <v>0.505305541519944</v>
      </c>
    </row>
    <row r="226" spans="2:29">
      <c r="B226" s="24">
        <v>42110</v>
      </c>
      <c r="C226" s="86">
        <v>0.65857343754719777</v>
      </c>
      <c r="D226" s="86">
        <v>0.70281234322362063</v>
      </c>
      <c r="E226" s="26">
        <f ca="1">VLOOKUP(CurrentMtgRatesDataTable825[[#This Row],[asOfDate]]+1,Bloomberg!B:C,2,0)</f>
        <v>1817</v>
      </c>
      <c r="F226" s="27">
        <f>VLOOKUP(CurrentMtgRatesDataTable825[[#This Row],[asOfDate]],CurrentMtgRatesDataTable8256[#All],2,0)</f>
        <v>0.65789565295070052</v>
      </c>
      <c r="G226" s="27">
        <f>VLOOKUP(CurrentMtgRatesDataTable825[[#This Row],[asOfDate]],CurrentMtgRatesDataTable82562[],2,0)</f>
        <v>0.5369178318662613</v>
      </c>
      <c r="H226" s="27">
        <f>VLOOKUP(CurrentMtgRatesDataTable825[[#This Row],[asOfDate]],S:T,2,0)</f>
        <v>0.5369178318662613</v>
      </c>
      <c r="I226" s="84">
        <f>VLOOKUP(CurrentMtgRatesDataTable825[[#This Row],[asOfDate]],CurrentMtgRatesDataTable825623[#All],2,0)</f>
        <v>0.47260889923644794</v>
      </c>
      <c r="J226" s="84">
        <f>VLOOKUP(CurrentMtgRatesDataTable825[[#This Row],[asOfDate]],AB:AC,2,0)</f>
        <v>0.47885281621922599</v>
      </c>
      <c r="L226" s="24">
        <v>42110</v>
      </c>
      <c r="M226" s="26">
        <v>0.65789565295070052</v>
      </c>
      <c r="N226" s="26">
        <f ca="1">VLOOKUP(CurrentMtgRatesDataTable8256[[#This Row],[asOfDate]]+1,Bloomberg!B:C,2,0)</f>
        <v>1817</v>
      </c>
      <c r="P226" s="24">
        <v>42110</v>
      </c>
      <c r="Q226" s="26">
        <v>0.5369178318662613</v>
      </c>
      <c r="S226" s="24">
        <v>42110</v>
      </c>
      <c r="T226" s="27">
        <v>0.5369178318662613</v>
      </c>
      <c r="V226" s="56">
        <v>42110</v>
      </c>
      <c r="W226" s="57">
        <v>0.47260889923644794</v>
      </c>
      <c r="Y226" s="1">
        <v>42110</v>
      </c>
      <c r="Z226">
        <v>0.47366622365147298</v>
      </c>
      <c r="AB226" s="1">
        <v>42110</v>
      </c>
      <c r="AC226">
        <v>0.47885281621922599</v>
      </c>
    </row>
    <row r="227" spans="2:29">
      <c r="B227" s="24">
        <v>42117</v>
      </c>
      <c r="C227" s="86">
        <v>0.68053352147964996</v>
      </c>
      <c r="D227" s="86">
        <v>0.70281234322362063</v>
      </c>
      <c r="E227" s="26" t="e">
        <f ca="1">VLOOKUP(CurrentMtgRatesDataTable825[[#This Row],[asOfDate]]+1,Bloomberg!B:C,2,0)</f>
        <v>#N/A</v>
      </c>
      <c r="F227" s="27">
        <f>VLOOKUP(CurrentMtgRatesDataTable825[[#This Row],[asOfDate]],CurrentMtgRatesDataTable8256[#All],2,0)</f>
        <v>0.65853359306754533</v>
      </c>
      <c r="G227" s="27">
        <f>VLOOKUP(CurrentMtgRatesDataTable825[[#This Row],[asOfDate]],CurrentMtgRatesDataTable82562[],2,0)</f>
        <v>0.56669393867683882</v>
      </c>
      <c r="H227" s="27">
        <f>VLOOKUP(CurrentMtgRatesDataTable825[[#This Row],[asOfDate]],S:T,2,0)</f>
        <v>0.56669393867683882</v>
      </c>
      <c r="I227" s="84">
        <f>VLOOKUP(CurrentMtgRatesDataTable825[[#This Row],[asOfDate]],CurrentMtgRatesDataTable825623[#All],2,0)</f>
        <v>0.50167016442185053</v>
      </c>
      <c r="J227" s="84">
        <f>VLOOKUP(CurrentMtgRatesDataTable825[[#This Row],[asOfDate]],AB:AC,2,0)</f>
        <v>0.50775672845638498</v>
      </c>
      <c r="L227" s="24">
        <v>42117</v>
      </c>
      <c r="M227" s="26">
        <v>0.65853359306754533</v>
      </c>
      <c r="N227" s="26" t="e">
        <f ca="1">VLOOKUP(CurrentMtgRatesDataTable8256[[#This Row],[asOfDate]]+1,Bloomberg!B:C,2,0)</f>
        <v>#N/A</v>
      </c>
      <c r="P227" s="24">
        <v>42117</v>
      </c>
      <c r="Q227" s="26">
        <v>0.56669393867683882</v>
      </c>
      <c r="S227" s="24">
        <v>42117</v>
      </c>
      <c r="T227" s="27">
        <v>0.56669393867683882</v>
      </c>
      <c r="V227" s="56">
        <v>42117</v>
      </c>
      <c r="W227" s="57">
        <v>0.50167016442185053</v>
      </c>
      <c r="Y227" s="1">
        <v>42117</v>
      </c>
      <c r="Z227">
        <v>0.50262057704354302</v>
      </c>
      <c r="AB227" s="1">
        <v>42117</v>
      </c>
      <c r="AC227">
        <v>0.50775672845638498</v>
      </c>
    </row>
    <row r="228" spans="2:29">
      <c r="B228" s="24">
        <v>42124</v>
      </c>
      <c r="C228" s="86">
        <v>0.66595023399780651</v>
      </c>
      <c r="D228" s="86">
        <v>0.70281234322362063</v>
      </c>
      <c r="E228" s="26" t="e">
        <f ca="1">VLOOKUP(CurrentMtgRatesDataTable825[[#This Row],[asOfDate]]+1,Bloomberg!B:C,2,0)</f>
        <v>#N/A</v>
      </c>
      <c r="F228" s="27" t="e">
        <f>VLOOKUP(CurrentMtgRatesDataTable825[[#This Row],[asOfDate]],CurrentMtgRatesDataTable8256[#All],2,0)</f>
        <v>#N/A</v>
      </c>
      <c r="G228" s="27">
        <f>VLOOKUP(CurrentMtgRatesDataTable825[[#This Row],[asOfDate]],CurrentMtgRatesDataTable82562[],2,0)</f>
        <v>0.53705791563411454</v>
      </c>
      <c r="H228" s="27">
        <f>VLOOKUP(CurrentMtgRatesDataTable825[[#This Row],[asOfDate]],S:T,2,0)</f>
        <v>0.53705791563411454</v>
      </c>
      <c r="I228" s="84">
        <f>VLOOKUP(CurrentMtgRatesDataTable825[[#This Row],[asOfDate]],CurrentMtgRatesDataTable825623[#All],2,0)</f>
        <v>0.4739230654186945</v>
      </c>
      <c r="J228" s="84">
        <f>VLOOKUP(CurrentMtgRatesDataTable825[[#This Row],[asOfDate]],AB:AC,2,0)</f>
        <v>0.48011645770946798</v>
      </c>
      <c r="P228" s="24">
        <v>42124</v>
      </c>
      <c r="Q228" s="26">
        <v>0.53705791563411454</v>
      </c>
      <c r="S228" s="24">
        <v>42124</v>
      </c>
      <c r="T228" s="27">
        <v>0.53705791563411454</v>
      </c>
      <c r="V228" s="56">
        <v>42124</v>
      </c>
      <c r="W228" s="57">
        <v>0.4739230654186945</v>
      </c>
      <c r="Y228" s="1">
        <v>42124</v>
      </c>
      <c r="Z228">
        <v>0.47496804801389803</v>
      </c>
      <c r="AB228" s="1">
        <v>42124</v>
      </c>
      <c r="AC228">
        <v>0.48011645770946798</v>
      </c>
    </row>
    <row r="229" spans="2:29">
      <c r="B229" s="24">
        <v>42131</v>
      </c>
      <c r="C229" s="86">
        <v>0.58634270584319759</v>
      </c>
      <c r="D229" s="86">
        <v>0.60558556657134432</v>
      </c>
      <c r="E229" s="26" t="e">
        <f ca="1">VLOOKUP(CurrentMtgRatesDataTable825[[#This Row],[asOfDate]]+1,Bloomberg!B:C,2,0)</f>
        <v>#N/A</v>
      </c>
      <c r="F229" s="27" t="e">
        <f>VLOOKUP(CurrentMtgRatesDataTable825[[#This Row],[asOfDate]],CurrentMtgRatesDataTable8256[#All],2,0)</f>
        <v>#N/A</v>
      </c>
      <c r="G229" s="27" t="e">
        <f>VLOOKUP(CurrentMtgRatesDataTable825[[#This Row],[asOfDate]],CurrentMtgRatesDataTable82562[],2,0)</f>
        <v>#N/A</v>
      </c>
      <c r="H229" s="27" t="e">
        <f>VLOOKUP(CurrentMtgRatesDataTable825[[#This Row],[asOfDate]],S:T,2,0)</f>
        <v>#N/A</v>
      </c>
      <c r="I229" s="84" t="e">
        <f>VLOOKUP(CurrentMtgRatesDataTable825[[#This Row],[asOfDate]],CurrentMtgRatesDataTable825623[#All],2,0)</f>
        <v>#N/A</v>
      </c>
      <c r="J229" s="84" t="e">
        <f>VLOOKUP(CurrentMtgRatesDataTable825[[#This Row],[asOfDate]],AB:AC,2,0)</f>
        <v>#N/A</v>
      </c>
    </row>
    <row r="230" spans="2:29">
      <c r="B230" s="24">
        <v>42138</v>
      </c>
      <c r="C230" s="86">
        <v>0.54266337834498113</v>
      </c>
      <c r="D230" s="86">
        <v>0.59632826574818509</v>
      </c>
      <c r="E230" s="26" t="e">
        <f ca="1">VLOOKUP(CurrentMtgRatesDataTable825[[#This Row],[asOfDate]]+1,Bloomberg!B:C,2,0)</f>
        <v>#N/A</v>
      </c>
      <c r="F230" s="27" t="e">
        <f>VLOOKUP(CurrentMtgRatesDataTable825[[#This Row],[asOfDate]],CurrentMtgRatesDataTable8256[#All],2,0)</f>
        <v>#N/A</v>
      </c>
      <c r="G230" s="27" t="e">
        <f>VLOOKUP(CurrentMtgRatesDataTable825[[#This Row],[asOfDate]],CurrentMtgRatesDataTable82562[],2,0)</f>
        <v>#N/A</v>
      </c>
      <c r="H230" s="27" t="e">
        <f>VLOOKUP(CurrentMtgRatesDataTable825[[#This Row],[asOfDate]],S:T,2,0)</f>
        <v>#N/A</v>
      </c>
      <c r="I230" s="84" t="e">
        <f>VLOOKUP(CurrentMtgRatesDataTable825[[#This Row],[asOfDate]],CurrentMtgRatesDataTable825623[#All],2,0)</f>
        <v>#N/A</v>
      </c>
      <c r="J230" s="84" t="e">
        <f>VLOOKUP(CurrentMtgRatesDataTable825[[#This Row],[asOfDate]],AB:AC,2,0)</f>
        <v>#N/A</v>
      </c>
    </row>
    <row r="231" spans="2:29">
      <c r="B231" s="24">
        <v>42145</v>
      </c>
      <c r="C231" s="86">
        <v>0.53792660447932683</v>
      </c>
      <c r="D231" s="86">
        <v>0.57692911526349722</v>
      </c>
      <c r="E231" s="26" t="e">
        <f ca="1">VLOOKUP(CurrentMtgRatesDataTable825[[#This Row],[asOfDate]]+1,Bloomberg!B:C,2,0)</f>
        <v>#N/A</v>
      </c>
      <c r="F231" s="27" t="e">
        <f>VLOOKUP(CurrentMtgRatesDataTable825[[#This Row],[asOfDate]],CurrentMtgRatesDataTable8256[#All],2,0)</f>
        <v>#N/A</v>
      </c>
      <c r="G231" s="27" t="e">
        <f>VLOOKUP(CurrentMtgRatesDataTable825[[#This Row],[asOfDate]],CurrentMtgRatesDataTable82562[],2,0)</f>
        <v>#N/A</v>
      </c>
      <c r="H231" s="27" t="e">
        <f>VLOOKUP(CurrentMtgRatesDataTable825[[#This Row],[asOfDate]],S:T,2,0)</f>
        <v>#N/A</v>
      </c>
      <c r="I231" s="84" t="e">
        <f>VLOOKUP(CurrentMtgRatesDataTable825[[#This Row],[asOfDate]],CurrentMtgRatesDataTable825623[#All],2,0)</f>
        <v>#N/A</v>
      </c>
      <c r="J231" s="84" t="e">
        <f>VLOOKUP(CurrentMtgRatesDataTable825[[#This Row],[asOfDate]],AB:AC,2,0)</f>
        <v>#N/A</v>
      </c>
    </row>
    <row r="232" spans="2:29">
      <c r="B232" s="24">
        <v>42152</v>
      </c>
      <c r="C232" s="86">
        <v>0.53726474220872078</v>
      </c>
      <c r="D232" s="86">
        <v>0.57692911526349722</v>
      </c>
      <c r="E232" s="26" t="e">
        <f ca="1">VLOOKUP(CurrentMtgRatesDataTable825[[#This Row],[asOfDate]]+1,Bloomberg!B:C,2,0)</f>
        <v>#N/A</v>
      </c>
      <c r="F232" s="27" t="e">
        <f>VLOOKUP(CurrentMtgRatesDataTable825[[#This Row],[asOfDate]],CurrentMtgRatesDataTable8256[#All],2,0)</f>
        <v>#N/A</v>
      </c>
      <c r="G232" s="27" t="e">
        <f>VLOOKUP(CurrentMtgRatesDataTable825[[#This Row],[asOfDate]],CurrentMtgRatesDataTable82562[],2,0)</f>
        <v>#N/A</v>
      </c>
      <c r="H232" s="27" t="e">
        <f>VLOOKUP(CurrentMtgRatesDataTable825[[#This Row],[asOfDate]],S:T,2,0)</f>
        <v>#N/A</v>
      </c>
      <c r="I232" s="84" t="e">
        <f>VLOOKUP(CurrentMtgRatesDataTable825[[#This Row],[asOfDate]],CurrentMtgRatesDataTable825623[#All],2,0)</f>
        <v>#N/A</v>
      </c>
      <c r="J232" s="84" t="e">
        <f>VLOOKUP(CurrentMtgRatesDataTable825[[#This Row],[asOfDate]],AB:AC,2,0)</f>
        <v>#N/A</v>
      </c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3"/>
  <sheetViews>
    <sheetView workbookViewId="0">
      <selection activeCell="Z17" sqref="Z17:Z18"/>
    </sheetView>
  </sheetViews>
  <sheetFormatPr defaultRowHeight="15"/>
  <cols>
    <col min="2" max="2" width="16.28515625" customWidth="1"/>
  </cols>
  <sheetData>
    <row r="1" spans="2:3">
      <c r="B1" s="1" t="e">
        <f ca="1">_xll.BDH("MBAVCMRS Index","PX LAST","8/10/07",TODAY(),"cols=2;rows=402")</f>
        <v>#NAME?</v>
      </c>
      <c r="C1">
        <v>2104.1</v>
      </c>
    </row>
    <row r="2" spans="2:3">
      <c r="B2" s="1">
        <v>39311</v>
      </c>
      <c r="C2">
        <v>1960.1</v>
      </c>
    </row>
    <row r="3" spans="2:3">
      <c r="B3" s="1">
        <v>39318</v>
      </c>
      <c r="C3">
        <v>1871.4</v>
      </c>
    </row>
    <row r="4" spans="2:3">
      <c r="B4" s="1">
        <v>39325</v>
      </c>
      <c r="C4">
        <v>1892.3</v>
      </c>
    </row>
    <row r="5" spans="2:3">
      <c r="B5" s="1">
        <v>39332</v>
      </c>
      <c r="C5">
        <v>2009.3</v>
      </c>
    </row>
    <row r="6" spans="2:3">
      <c r="B6" s="1">
        <v>39339</v>
      </c>
      <c r="C6">
        <v>2091.1</v>
      </c>
    </row>
    <row r="7" spans="2:3">
      <c r="B7" s="1">
        <v>39346</v>
      </c>
      <c r="C7">
        <v>2172.5</v>
      </c>
    </row>
    <row r="8" spans="2:3">
      <c r="B8" s="1">
        <v>39353</v>
      </c>
      <c r="C8">
        <v>2065.6999999999998</v>
      </c>
    </row>
    <row r="9" spans="2:3">
      <c r="B9" s="1">
        <v>39360</v>
      </c>
      <c r="C9">
        <v>2153.3000000000002</v>
      </c>
    </row>
    <row r="10" spans="2:3">
      <c r="B10" s="1">
        <v>39367</v>
      </c>
      <c r="C10">
        <v>2116.6</v>
      </c>
    </row>
    <row r="11" spans="2:3">
      <c r="B11" s="1">
        <v>39374</v>
      </c>
      <c r="C11">
        <v>2221.1</v>
      </c>
    </row>
    <row r="12" spans="2:3">
      <c r="B12" s="1">
        <v>39381</v>
      </c>
      <c r="C12">
        <v>2433.1999999999998</v>
      </c>
    </row>
    <row r="13" spans="2:3">
      <c r="B13" s="1">
        <v>39388</v>
      </c>
      <c r="C13">
        <v>2336.1999999999998</v>
      </c>
    </row>
    <row r="14" spans="2:3">
      <c r="B14" s="1">
        <v>39395</v>
      </c>
      <c r="C14">
        <v>2503.6</v>
      </c>
    </row>
    <row r="15" spans="2:3">
      <c r="B15" s="1">
        <v>39402</v>
      </c>
      <c r="C15">
        <v>2371.1</v>
      </c>
    </row>
    <row r="16" spans="2:3">
      <c r="B16" s="1">
        <v>39409</v>
      </c>
      <c r="C16">
        <v>2283.3000000000002</v>
      </c>
    </row>
    <row r="17" spans="2:3">
      <c r="B17" s="1">
        <v>39416</v>
      </c>
      <c r="C17">
        <v>3006.1</v>
      </c>
    </row>
    <row r="18" spans="2:3">
      <c r="B18" s="1">
        <v>39423</v>
      </c>
      <c r="C18">
        <v>3158.8</v>
      </c>
    </row>
    <row r="19" spans="2:3">
      <c r="B19" s="1">
        <v>39430</v>
      </c>
      <c r="C19">
        <v>2253.1</v>
      </c>
    </row>
    <row r="20" spans="2:3">
      <c r="B20" s="1">
        <v>39437</v>
      </c>
      <c r="C20">
        <v>2066.3000000000002</v>
      </c>
    </row>
    <row r="21" spans="2:3">
      <c r="B21" s="1">
        <v>39444</v>
      </c>
      <c r="C21">
        <v>1732.7</v>
      </c>
    </row>
    <row r="22" spans="2:3">
      <c r="B22" s="1">
        <v>39451</v>
      </c>
      <c r="C22">
        <v>2729.3</v>
      </c>
    </row>
    <row r="23" spans="2:3">
      <c r="B23" s="1">
        <v>39458</v>
      </c>
      <c r="C23">
        <v>3923.5</v>
      </c>
    </row>
    <row r="24" spans="2:3">
      <c r="B24" s="1">
        <v>39465</v>
      </c>
      <c r="C24">
        <v>4588.3999999999996</v>
      </c>
    </row>
    <row r="25" spans="2:3">
      <c r="B25" s="1">
        <v>39472</v>
      </c>
      <c r="C25">
        <v>5682.2</v>
      </c>
    </row>
    <row r="26" spans="2:3">
      <c r="B26" s="1">
        <v>39479</v>
      </c>
      <c r="C26">
        <v>5523.9</v>
      </c>
    </row>
    <row r="27" spans="2:3">
      <c r="B27" s="1">
        <v>39486</v>
      </c>
      <c r="C27">
        <v>5362.6</v>
      </c>
    </row>
    <row r="28" spans="2:3">
      <c r="B28" s="1">
        <v>39493</v>
      </c>
      <c r="C28">
        <v>3784.1</v>
      </c>
    </row>
    <row r="29" spans="2:3">
      <c r="B29" s="1">
        <v>39500</v>
      </c>
      <c r="C29">
        <v>2571.6</v>
      </c>
    </row>
    <row r="30" spans="2:3">
      <c r="B30" s="1">
        <v>39507</v>
      </c>
      <c r="C30">
        <v>2667.8</v>
      </c>
    </row>
    <row r="31" spans="2:3">
      <c r="B31" s="1">
        <v>39514</v>
      </c>
      <c r="C31">
        <v>2519.4</v>
      </c>
    </row>
    <row r="32" spans="2:3">
      <c r="B32" s="1">
        <v>39521</v>
      </c>
      <c r="C32">
        <v>2338.8000000000002</v>
      </c>
    </row>
    <row r="33" spans="2:3">
      <c r="B33" s="1">
        <v>39528</v>
      </c>
      <c r="C33">
        <v>4468.3999999999996</v>
      </c>
    </row>
    <row r="34" spans="2:3">
      <c r="B34" s="1">
        <v>39535</v>
      </c>
      <c r="C34">
        <v>2653.2</v>
      </c>
    </row>
    <row r="35" spans="2:3">
      <c r="B35" s="1">
        <v>39542</v>
      </c>
      <c r="C35">
        <v>2709.1</v>
      </c>
    </row>
    <row r="36" spans="2:3">
      <c r="B36" s="1">
        <v>39549</v>
      </c>
      <c r="C36">
        <v>2880.7</v>
      </c>
    </row>
    <row r="37" spans="2:3">
      <c r="B37" s="1">
        <v>39556</v>
      </c>
      <c r="C37">
        <v>2215.6999999999998</v>
      </c>
    </row>
    <row r="38" spans="2:3">
      <c r="B38" s="1">
        <v>39563</v>
      </c>
      <c r="C38">
        <v>1809.5</v>
      </c>
    </row>
    <row r="39" spans="2:3">
      <c r="B39" s="1">
        <v>39570</v>
      </c>
      <c r="C39">
        <v>2195</v>
      </c>
    </row>
    <row r="40" spans="2:3">
      <c r="B40" s="1">
        <v>39577</v>
      </c>
      <c r="C40">
        <v>2388.8000000000002</v>
      </c>
    </row>
    <row r="41" spans="2:3">
      <c r="B41" s="1">
        <v>39584</v>
      </c>
      <c r="C41">
        <v>2135.8000000000002</v>
      </c>
    </row>
    <row r="42" spans="2:3">
      <c r="B42" s="1">
        <v>39591</v>
      </c>
      <c r="C42">
        <v>1930.4</v>
      </c>
    </row>
    <row r="43" spans="2:3">
      <c r="B43" s="1">
        <v>39598</v>
      </c>
      <c r="C43">
        <v>1387.8</v>
      </c>
    </row>
    <row r="44" spans="2:3">
      <c r="B44" s="1">
        <v>39605</v>
      </c>
      <c r="C44">
        <v>1477.5</v>
      </c>
    </row>
    <row r="45" spans="2:3">
      <c r="B45" s="1">
        <v>39612</v>
      </c>
      <c r="C45">
        <v>1219.7</v>
      </c>
    </row>
    <row r="46" spans="2:3">
      <c r="B46" s="1">
        <v>39619</v>
      </c>
      <c r="C46">
        <v>1044.5999999999999</v>
      </c>
    </row>
    <row r="47" spans="2:3">
      <c r="B47" s="1">
        <v>39626</v>
      </c>
      <c r="C47">
        <v>1111.3</v>
      </c>
    </row>
    <row r="48" spans="2:3">
      <c r="B48" s="1">
        <v>39633</v>
      </c>
      <c r="C48">
        <v>1166.5</v>
      </c>
    </row>
    <row r="49" spans="2:3">
      <c r="B49" s="1">
        <v>39640</v>
      </c>
      <c r="C49">
        <v>1270.5999999999999</v>
      </c>
    </row>
    <row r="50" spans="2:3">
      <c r="B50" s="1">
        <v>39647</v>
      </c>
      <c r="C50">
        <v>1213.9000000000001</v>
      </c>
    </row>
    <row r="51" spans="2:3">
      <c r="B51" s="1">
        <v>39654</v>
      </c>
      <c r="C51">
        <v>874.1</v>
      </c>
    </row>
    <row r="52" spans="2:3">
      <c r="B52" s="1">
        <v>39661</v>
      </c>
      <c r="C52">
        <v>897.7</v>
      </c>
    </row>
    <row r="53" spans="2:3">
      <c r="B53" s="1">
        <v>39668</v>
      </c>
      <c r="C53">
        <v>853.1</v>
      </c>
    </row>
    <row r="54" spans="2:3">
      <c r="B54" s="1">
        <v>39675</v>
      </c>
      <c r="C54">
        <v>815.2</v>
      </c>
    </row>
    <row r="55" spans="2:3">
      <c r="B55" s="1">
        <v>39682</v>
      </c>
      <c r="C55">
        <v>793.9</v>
      </c>
    </row>
    <row r="56" spans="2:3">
      <c r="B56" s="1">
        <v>39689</v>
      </c>
      <c r="C56">
        <v>825</v>
      </c>
    </row>
    <row r="57" spans="2:3">
      <c r="B57" s="1">
        <v>39696</v>
      </c>
      <c r="C57">
        <v>998.3</v>
      </c>
    </row>
    <row r="58" spans="2:3">
      <c r="B58" s="1">
        <v>39703</v>
      </c>
      <c r="C58">
        <v>2068.5</v>
      </c>
    </row>
    <row r="59" spans="2:3">
      <c r="B59" s="1">
        <v>39710</v>
      </c>
      <c r="C59">
        <v>1756.8</v>
      </c>
    </row>
    <row r="60" spans="2:3">
      <c r="B60" s="1">
        <v>39717</v>
      </c>
      <c r="C60">
        <v>1026</v>
      </c>
    </row>
    <row r="61" spans="2:3">
      <c r="B61" s="1">
        <v>39724</v>
      </c>
      <c r="C61">
        <v>999.6</v>
      </c>
    </row>
    <row r="62" spans="2:3">
      <c r="B62" s="1">
        <v>39731</v>
      </c>
      <c r="C62">
        <v>1190.8</v>
      </c>
    </row>
    <row r="63" spans="2:3">
      <c r="B63" s="1">
        <v>39738</v>
      </c>
      <c r="C63">
        <v>798</v>
      </c>
    </row>
    <row r="64" spans="2:3">
      <c r="B64" s="1">
        <v>39745</v>
      </c>
      <c r="C64">
        <v>1135.5999999999999</v>
      </c>
    </row>
    <row r="65" spans="2:3">
      <c r="B65" s="1">
        <v>39752</v>
      </c>
      <c r="C65">
        <v>688.8</v>
      </c>
    </row>
    <row r="66" spans="2:3">
      <c r="B66" s="1">
        <v>39759</v>
      </c>
      <c r="C66">
        <v>907.7</v>
      </c>
    </row>
    <row r="67" spans="2:3">
      <c r="B67" s="1">
        <v>39766</v>
      </c>
      <c r="C67">
        <v>927.3</v>
      </c>
    </row>
    <row r="68" spans="2:3">
      <c r="B68" s="1">
        <v>39773</v>
      </c>
      <c r="C68">
        <v>896.8</v>
      </c>
    </row>
    <row r="69" spans="2:3">
      <c r="B69" s="1">
        <v>39780</v>
      </c>
      <c r="C69">
        <v>3552.9</v>
      </c>
    </row>
    <row r="70" spans="2:3">
      <c r="B70" s="1">
        <v>39787</v>
      </c>
      <c r="C70">
        <v>3746.9</v>
      </c>
    </row>
    <row r="71" spans="2:3">
      <c r="B71" s="1">
        <v>39794</v>
      </c>
      <c r="C71">
        <v>4013.2</v>
      </c>
    </row>
    <row r="72" spans="2:3">
      <c r="B72" s="1">
        <v>39801</v>
      </c>
      <c r="C72">
        <v>7098.9</v>
      </c>
    </row>
    <row r="73" spans="2:3">
      <c r="B73" s="1">
        <v>39808</v>
      </c>
      <c r="C73">
        <v>7132.7</v>
      </c>
    </row>
    <row r="74" spans="2:3">
      <c r="B74" s="1">
        <v>39815</v>
      </c>
      <c r="C74">
        <v>6060.5</v>
      </c>
    </row>
    <row r="75" spans="2:3">
      <c r="B75" s="1">
        <v>39822</v>
      </c>
      <c r="C75">
        <v>7842.7</v>
      </c>
    </row>
    <row r="76" spans="2:3">
      <c r="B76" s="1">
        <v>39829</v>
      </c>
      <c r="C76">
        <v>6768.6</v>
      </c>
    </row>
    <row r="77" spans="2:3">
      <c r="B77" s="1">
        <v>39836</v>
      </c>
      <c r="C77">
        <v>3300.6</v>
      </c>
    </row>
    <row r="78" spans="2:3">
      <c r="B78" s="1">
        <v>39843</v>
      </c>
      <c r="C78">
        <v>3871.3</v>
      </c>
    </row>
    <row r="79" spans="2:3">
      <c r="B79" s="1">
        <v>39850</v>
      </c>
      <c r="C79">
        <v>2611.1</v>
      </c>
    </row>
    <row r="80" spans="2:3">
      <c r="B80" s="1">
        <v>39857</v>
      </c>
      <c r="C80">
        <v>4564.5</v>
      </c>
    </row>
    <row r="81" spans="2:3">
      <c r="B81" s="1">
        <v>39864</v>
      </c>
      <c r="C81">
        <v>3531.5</v>
      </c>
    </row>
    <row r="82" spans="2:3">
      <c r="B82" s="1">
        <v>39871</v>
      </c>
      <c r="C82">
        <v>2945.5</v>
      </c>
    </row>
    <row r="83" spans="2:3">
      <c r="B83" s="1">
        <v>39878</v>
      </c>
      <c r="C83">
        <v>3352.8</v>
      </c>
    </row>
    <row r="84" spans="2:3">
      <c r="B84" s="1">
        <v>39885</v>
      </c>
      <c r="C84">
        <v>4428.1000000000004</v>
      </c>
    </row>
    <row r="85" spans="2:3">
      <c r="B85" s="1">
        <v>39892</v>
      </c>
      <c r="C85">
        <v>6374.7</v>
      </c>
    </row>
    <row r="86" spans="2:3">
      <c r="B86" s="1">
        <v>39899</v>
      </c>
      <c r="C86">
        <v>6522</v>
      </c>
    </row>
    <row r="87" spans="2:3">
      <c r="B87" s="1">
        <v>39906</v>
      </c>
      <c r="C87">
        <v>6734.2</v>
      </c>
    </row>
    <row r="88" spans="2:3">
      <c r="B88" s="1">
        <v>39913</v>
      </c>
      <c r="C88">
        <v>6127.3</v>
      </c>
    </row>
    <row r="89" spans="2:3">
      <c r="B89" s="1">
        <v>39920</v>
      </c>
      <c r="C89">
        <v>6547.2</v>
      </c>
    </row>
    <row r="90" spans="2:3">
      <c r="B90" s="1">
        <v>39927</v>
      </c>
      <c r="C90">
        <v>4957.8999999999996</v>
      </c>
    </row>
    <row r="91" spans="2:3">
      <c r="B91" s="1">
        <v>39934</v>
      </c>
      <c r="C91">
        <v>5084.2</v>
      </c>
    </row>
    <row r="92" spans="2:3">
      <c r="B92" s="1">
        <v>39941</v>
      </c>
      <c r="C92">
        <v>4353.1000000000004</v>
      </c>
    </row>
    <row r="93" spans="2:3">
      <c r="B93" s="1">
        <v>39948</v>
      </c>
      <c r="C93">
        <v>4586.2</v>
      </c>
    </row>
    <row r="94" spans="2:3">
      <c r="B94" s="1">
        <v>39955</v>
      </c>
      <c r="C94">
        <v>3590.1</v>
      </c>
    </row>
    <row r="95" spans="2:3">
      <c r="B95" s="1">
        <v>39962</v>
      </c>
      <c r="C95">
        <v>2583</v>
      </c>
    </row>
    <row r="96" spans="2:3">
      <c r="B96" s="1">
        <v>39969</v>
      </c>
      <c r="C96">
        <v>2156.5</v>
      </c>
    </row>
    <row r="97" spans="2:3">
      <c r="B97" s="1">
        <v>39976</v>
      </c>
      <c r="C97">
        <v>1482.7</v>
      </c>
    </row>
    <row r="98" spans="2:3">
      <c r="B98" s="1">
        <v>39983</v>
      </c>
      <c r="C98">
        <v>1504.6</v>
      </c>
    </row>
    <row r="99" spans="2:3">
      <c r="B99" s="1">
        <v>39990</v>
      </c>
      <c r="C99">
        <v>1328.1</v>
      </c>
    </row>
    <row r="100" spans="2:3">
      <c r="B100" s="1">
        <v>39997</v>
      </c>
      <c r="C100">
        <v>1583.5</v>
      </c>
    </row>
    <row r="101" spans="2:3">
      <c r="B101" s="1">
        <v>40004</v>
      </c>
      <c r="C101">
        <v>1915.5</v>
      </c>
    </row>
    <row r="102" spans="2:3">
      <c r="B102" s="1">
        <v>40011</v>
      </c>
      <c r="C102">
        <v>1982.8</v>
      </c>
    </row>
    <row r="103" spans="2:3">
      <c r="B103" s="1">
        <v>40018</v>
      </c>
      <c r="C103">
        <v>1702.7</v>
      </c>
    </row>
    <row r="104" spans="2:3">
      <c r="B104" s="1">
        <v>40025</v>
      </c>
      <c r="C104">
        <v>1826</v>
      </c>
    </row>
    <row r="105" spans="2:3">
      <c r="B105" s="1">
        <v>40032</v>
      </c>
      <c r="C105">
        <v>1659.1</v>
      </c>
    </row>
    <row r="106" spans="2:3">
      <c r="B106" s="1">
        <v>40039</v>
      </c>
      <c r="C106">
        <v>1782.2</v>
      </c>
    </row>
    <row r="107" spans="2:3">
      <c r="B107" s="1">
        <v>40046</v>
      </c>
      <c r="C107">
        <v>1983.2</v>
      </c>
    </row>
    <row r="108" spans="2:3">
      <c r="B108" s="1">
        <v>40053</v>
      </c>
      <c r="C108">
        <v>1955.9</v>
      </c>
    </row>
    <row r="109" spans="2:3">
      <c r="B109" s="1">
        <v>40060</v>
      </c>
      <c r="C109">
        <v>2383.6999999999998</v>
      </c>
    </row>
    <row r="110" spans="2:3">
      <c r="B110" s="1">
        <v>40067</v>
      </c>
      <c r="C110">
        <v>2216.3000000000002</v>
      </c>
    </row>
    <row r="111" spans="2:3">
      <c r="B111" s="1">
        <v>40074</v>
      </c>
      <c r="C111">
        <v>2632.2</v>
      </c>
    </row>
    <row r="112" spans="2:3">
      <c r="B112" s="1">
        <v>40081</v>
      </c>
      <c r="C112">
        <v>2655.8</v>
      </c>
    </row>
    <row r="113" spans="2:3">
      <c r="B113" s="1">
        <v>40088</v>
      </c>
      <c r="C113">
        <v>3230.9</v>
      </c>
    </row>
    <row r="114" spans="2:3">
      <c r="B114" s="1">
        <v>40095</v>
      </c>
      <c r="C114">
        <v>3280.3</v>
      </c>
    </row>
    <row r="115" spans="2:3">
      <c r="B115" s="1">
        <v>40102</v>
      </c>
      <c r="C115">
        <v>2774.7</v>
      </c>
    </row>
    <row r="116" spans="2:3">
      <c r="B116" s="1">
        <v>40109</v>
      </c>
      <c r="C116">
        <v>2304</v>
      </c>
    </row>
    <row r="117" spans="2:3">
      <c r="B117" s="1">
        <v>40116</v>
      </c>
      <c r="C117">
        <v>2715.2</v>
      </c>
    </row>
    <row r="118" spans="2:3">
      <c r="B118" s="1">
        <v>40123</v>
      </c>
      <c r="C118">
        <v>2996</v>
      </c>
    </row>
    <row r="119" spans="2:3">
      <c r="B119" s="1">
        <v>40130</v>
      </c>
      <c r="C119">
        <v>3117</v>
      </c>
    </row>
    <row r="120" spans="2:3">
      <c r="B120" s="1">
        <v>40137</v>
      </c>
      <c r="C120">
        <v>2815.1</v>
      </c>
    </row>
    <row r="121" spans="2:3">
      <c r="B121" s="1">
        <v>40144</v>
      </c>
      <c r="C121">
        <v>2958.4</v>
      </c>
    </row>
    <row r="122" spans="2:3">
      <c r="B122" s="1">
        <v>40151</v>
      </c>
      <c r="C122">
        <v>3312.7</v>
      </c>
    </row>
    <row r="123" spans="2:3">
      <c r="B123" s="1">
        <v>40158</v>
      </c>
      <c r="C123">
        <v>3354</v>
      </c>
    </row>
    <row r="124" spans="2:3">
      <c r="B124" s="1">
        <v>40165</v>
      </c>
      <c r="C124">
        <v>2988.7</v>
      </c>
    </row>
    <row r="125" spans="2:3">
      <c r="B125" s="1">
        <v>40172</v>
      </c>
      <c r="C125">
        <v>2038.4</v>
      </c>
    </row>
    <row r="126" spans="2:3">
      <c r="B126" s="1">
        <v>40179</v>
      </c>
      <c r="C126">
        <v>2021.1</v>
      </c>
    </row>
    <row r="127" spans="2:3">
      <c r="B127" s="1">
        <v>40186</v>
      </c>
      <c r="C127">
        <v>2430</v>
      </c>
    </row>
    <row r="128" spans="2:3">
      <c r="B128" s="1">
        <v>40193</v>
      </c>
      <c r="C128">
        <v>2638.2</v>
      </c>
    </row>
    <row r="129" spans="2:3">
      <c r="B129" s="1">
        <v>40200</v>
      </c>
      <c r="C129">
        <v>2192.1</v>
      </c>
    </row>
    <row r="130" spans="2:3">
      <c r="B130" s="1">
        <v>40207</v>
      </c>
      <c r="C130">
        <v>2763.6</v>
      </c>
    </row>
    <row r="131" spans="2:3">
      <c r="B131" s="1">
        <v>40214</v>
      </c>
      <c r="C131">
        <v>2807.8</v>
      </c>
    </row>
    <row r="132" spans="2:3">
      <c r="B132" s="1">
        <v>40221</v>
      </c>
      <c r="C132">
        <v>2781.2</v>
      </c>
    </row>
    <row r="133" spans="2:3">
      <c r="B133" s="1">
        <v>40228</v>
      </c>
      <c r="C133">
        <v>2474.9</v>
      </c>
    </row>
    <row r="134" spans="2:3">
      <c r="B134" s="1">
        <v>40235</v>
      </c>
      <c r="C134">
        <v>2971.5</v>
      </c>
    </row>
    <row r="135" spans="2:3">
      <c r="B135" s="1">
        <v>40242</v>
      </c>
      <c r="C135">
        <v>2937.6</v>
      </c>
    </row>
    <row r="136" spans="2:3">
      <c r="B136" s="1">
        <v>40249</v>
      </c>
      <c r="C136">
        <v>2847.2</v>
      </c>
    </row>
    <row r="137" spans="2:3">
      <c r="B137" s="1">
        <v>40256</v>
      </c>
      <c r="C137">
        <v>2617.6999999999998</v>
      </c>
    </row>
    <row r="138" spans="2:3">
      <c r="B138" s="1">
        <v>40263</v>
      </c>
      <c r="C138">
        <v>2577.1999999999998</v>
      </c>
    </row>
    <row r="139" spans="2:3">
      <c r="B139" s="1">
        <v>40270</v>
      </c>
      <c r="C139">
        <v>2051.3000000000002</v>
      </c>
    </row>
    <row r="140" spans="2:3">
      <c r="B140" s="1">
        <v>40277</v>
      </c>
      <c r="C140">
        <v>1892.5</v>
      </c>
    </row>
    <row r="141" spans="2:3">
      <c r="B141" s="1">
        <v>40284</v>
      </c>
      <c r="C141">
        <v>2217</v>
      </c>
    </row>
    <row r="142" spans="2:3">
      <c r="B142" s="1">
        <v>40291</v>
      </c>
      <c r="C142">
        <v>1984.5</v>
      </c>
    </row>
    <row r="143" spans="2:3">
      <c r="B143" s="1">
        <v>40298</v>
      </c>
      <c r="C143">
        <v>1953.3</v>
      </c>
    </row>
    <row r="144" spans="2:3">
      <c r="B144" s="1">
        <v>40305</v>
      </c>
      <c r="C144">
        <v>2303.6</v>
      </c>
    </row>
    <row r="145" spans="2:3">
      <c r="B145" s="1">
        <v>40312</v>
      </c>
      <c r="C145">
        <v>2668.6</v>
      </c>
    </row>
    <row r="146" spans="2:3">
      <c r="B146" s="1">
        <v>40319</v>
      </c>
      <c r="C146">
        <v>3154.9</v>
      </c>
    </row>
    <row r="147" spans="2:3">
      <c r="B147" s="1">
        <v>40326</v>
      </c>
      <c r="C147">
        <v>3239.2</v>
      </c>
    </row>
    <row r="148" spans="2:3">
      <c r="B148" s="1">
        <v>40333</v>
      </c>
      <c r="C148">
        <v>2781.6</v>
      </c>
    </row>
    <row r="149" spans="2:3">
      <c r="B149" s="1">
        <v>40340</v>
      </c>
      <c r="C149">
        <v>3387.8</v>
      </c>
    </row>
    <row r="150" spans="2:3">
      <c r="B150" s="1">
        <v>40347</v>
      </c>
      <c r="C150">
        <v>3107.1</v>
      </c>
    </row>
    <row r="151" spans="2:3">
      <c r="B151" s="1">
        <v>40354</v>
      </c>
      <c r="C151">
        <v>3546.2</v>
      </c>
    </row>
    <row r="152" spans="2:3">
      <c r="B152" s="1">
        <v>40361</v>
      </c>
      <c r="C152">
        <v>3925.9</v>
      </c>
    </row>
    <row r="153" spans="2:3">
      <c r="B153" s="1">
        <v>40368</v>
      </c>
      <c r="C153">
        <v>3925.8</v>
      </c>
    </row>
    <row r="154" spans="2:3">
      <c r="B154" s="1">
        <v>40375</v>
      </c>
      <c r="C154">
        <v>4345.3999999999996</v>
      </c>
    </row>
    <row r="155" spans="2:3">
      <c r="B155" s="1">
        <v>40382</v>
      </c>
      <c r="C155">
        <v>4097.3</v>
      </c>
    </row>
    <row r="156" spans="2:3">
      <c r="B156" s="1">
        <v>40389</v>
      </c>
      <c r="C156">
        <v>4155.5</v>
      </c>
    </row>
    <row r="157" spans="2:3">
      <c r="B157" s="1">
        <v>40396</v>
      </c>
      <c r="C157">
        <v>4147.1000000000004</v>
      </c>
    </row>
    <row r="158" spans="2:3">
      <c r="B158" s="1">
        <v>40403</v>
      </c>
      <c r="C158">
        <v>4940.8999999999996</v>
      </c>
    </row>
    <row r="159" spans="2:3">
      <c r="B159" s="1">
        <v>40410</v>
      </c>
      <c r="C159">
        <v>5260.7</v>
      </c>
    </row>
    <row r="160" spans="2:3">
      <c r="B160" s="1">
        <v>40417</v>
      </c>
      <c r="C160">
        <v>5431.5</v>
      </c>
    </row>
    <row r="161" spans="2:3">
      <c r="B161" s="1">
        <v>40424</v>
      </c>
      <c r="C161">
        <v>5214.6000000000004</v>
      </c>
    </row>
    <row r="162" spans="2:3">
      <c r="B162" s="1">
        <v>40431</v>
      </c>
      <c r="C162">
        <v>4663.8</v>
      </c>
    </row>
    <row r="163" spans="2:3">
      <c r="B163" s="1">
        <v>40438</v>
      </c>
      <c r="C163">
        <v>4624.6000000000004</v>
      </c>
    </row>
    <row r="164" spans="2:3">
      <c r="B164" s="1">
        <v>40445</v>
      </c>
      <c r="C164">
        <v>4549.3</v>
      </c>
    </row>
    <row r="165" spans="2:3">
      <c r="B165" s="1">
        <v>40452</v>
      </c>
      <c r="C165">
        <v>4395.5</v>
      </c>
    </row>
    <row r="166" spans="2:3">
      <c r="B166" s="1">
        <v>40459</v>
      </c>
      <c r="C166">
        <v>5455.4</v>
      </c>
    </row>
    <row r="167" spans="2:3">
      <c r="B167" s="1">
        <v>40466</v>
      </c>
      <c r="C167">
        <v>4768.6000000000004</v>
      </c>
    </row>
    <row r="168" spans="2:3">
      <c r="B168" s="1">
        <v>40473</v>
      </c>
      <c r="C168">
        <v>4904.2</v>
      </c>
    </row>
    <row r="169" spans="2:3">
      <c r="B169" s="1">
        <v>40480</v>
      </c>
      <c r="C169">
        <v>4568.1000000000004</v>
      </c>
    </row>
    <row r="170" spans="2:3">
      <c r="B170" s="1">
        <v>40487</v>
      </c>
      <c r="C170">
        <v>4836.3999999999996</v>
      </c>
    </row>
    <row r="171" spans="2:3">
      <c r="B171" s="1">
        <v>40494</v>
      </c>
      <c r="C171">
        <v>4015.2</v>
      </c>
    </row>
    <row r="172" spans="2:3">
      <c r="B172" s="1">
        <v>40501</v>
      </c>
      <c r="C172">
        <v>4009.2</v>
      </c>
    </row>
    <row r="173" spans="2:3">
      <c r="B173" s="1">
        <v>40508</v>
      </c>
      <c r="C173">
        <v>3151.8</v>
      </c>
    </row>
    <row r="174" spans="2:3">
      <c r="B174" s="1">
        <v>40515</v>
      </c>
      <c r="C174">
        <v>3066.2</v>
      </c>
    </row>
    <row r="175" spans="2:3">
      <c r="B175" s="1">
        <v>40522</v>
      </c>
      <c r="C175">
        <v>3067.3</v>
      </c>
    </row>
    <row r="176" spans="2:3">
      <c r="B176" s="1">
        <v>40529</v>
      </c>
      <c r="C176">
        <v>2319.9</v>
      </c>
    </row>
    <row r="177" spans="2:3">
      <c r="B177" s="1">
        <v>40536</v>
      </c>
      <c r="C177">
        <v>2185.5</v>
      </c>
    </row>
    <row r="178" spans="2:3">
      <c r="B178" s="1">
        <v>40543</v>
      </c>
      <c r="C178">
        <v>2249.6</v>
      </c>
    </row>
    <row r="179" spans="2:3">
      <c r="B179" s="1">
        <v>40550</v>
      </c>
      <c r="C179">
        <v>2344.3000000000002</v>
      </c>
    </row>
    <row r="180" spans="2:3">
      <c r="B180" s="1">
        <v>40557</v>
      </c>
      <c r="C180">
        <v>2528.6999999999998</v>
      </c>
    </row>
    <row r="181" spans="2:3">
      <c r="B181" s="1">
        <v>40564</v>
      </c>
      <c r="C181">
        <v>2129.6999999999998</v>
      </c>
    </row>
    <row r="182" spans="2:3">
      <c r="B182" s="1">
        <v>40571</v>
      </c>
      <c r="C182">
        <v>2371.1</v>
      </c>
    </row>
    <row r="183" spans="2:3">
      <c r="B183" s="1">
        <v>40578</v>
      </c>
      <c r="C183">
        <v>2190.4</v>
      </c>
    </row>
    <row r="184" spans="2:3">
      <c r="B184" s="1">
        <v>40585</v>
      </c>
      <c r="C184">
        <v>1953.2</v>
      </c>
    </row>
    <row r="185" spans="2:3">
      <c r="B185" s="1">
        <v>40592</v>
      </c>
      <c r="C185">
        <v>2325.3000000000002</v>
      </c>
    </row>
    <row r="186" spans="2:3">
      <c r="B186" s="1">
        <v>40599</v>
      </c>
      <c r="C186">
        <v>2155.5</v>
      </c>
    </row>
    <row r="187" spans="2:3">
      <c r="B187" s="1">
        <v>40606</v>
      </c>
      <c r="C187">
        <v>2539.4</v>
      </c>
    </row>
    <row r="188" spans="2:3">
      <c r="B188" s="1">
        <v>40613</v>
      </c>
      <c r="C188">
        <v>2563.6</v>
      </c>
    </row>
    <row r="189" spans="2:3">
      <c r="B189" s="1">
        <v>40620</v>
      </c>
      <c r="C189">
        <v>2620.8000000000002</v>
      </c>
    </row>
    <row r="190" spans="2:3">
      <c r="B190" s="1">
        <v>40627</v>
      </c>
      <c r="C190">
        <v>2350.6999999999998</v>
      </c>
    </row>
    <row r="191" spans="2:3">
      <c r="B191" s="1">
        <v>40634</v>
      </c>
      <c r="C191">
        <v>2194.4</v>
      </c>
    </row>
    <row r="192" spans="2:3">
      <c r="B192" s="1">
        <v>40641</v>
      </c>
      <c r="C192">
        <v>2010.6</v>
      </c>
    </row>
    <row r="193" spans="2:3">
      <c r="B193" s="1">
        <v>40648</v>
      </c>
      <c r="C193">
        <v>2065.3000000000002</v>
      </c>
    </row>
    <row r="194" spans="2:3">
      <c r="B194" s="1">
        <v>40655</v>
      </c>
      <c r="C194">
        <v>2091.4</v>
      </c>
    </row>
    <row r="195" spans="2:3">
      <c r="B195" s="1">
        <v>40662</v>
      </c>
      <c r="C195">
        <v>2220.1</v>
      </c>
    </row>
    <row r="196" spans="2:3">
      <c r="B196" s="1">
        <v>40669</v>
      </c>
      <c r="C196">
        <v>2414.9</v>
      </c>
    </row>
    <row r="197" spans="2:3">
      <c r="B197" s="1">
        <v>40676</v>
      </c>
      <c r="C197">
        <v>2742.2</v>
      </c>
    </row>
    <row r="198" spans="2:3">
      <c r="B198" s="1">
        <v>40683</v>
      </c>
      <c r="C198">
        <v>2764.6</v>
      </c>
    </row>
    <row r="199" spans="2:3">
      <c r="B199" s="1">
        <v>40690</v>
      </c>
      <c r="C199">
        <v>2619.6999999999998</v>
      </c>
    </row>
    <row r="200" spans="2:3">
      <c r="B200" s="1">
        <v>40697</v>
      </c>
      <c r="C200">
        <v>2648</v>
      </c>
    </row>
    <row r="201" spans="2:3">
      <c r="B201" s="1">
        <v>40704</v>
      </c>
      <c r="C201">
        <v>3101.7</v>
      </c>
    </row>
    <row r="202" spans="2:3">
      <c r="B202" s="1">
        <v>40711</v>
      </c>
      <c r="C202">
        <v>2857.9</v>
      </c>
    </row>
    <row r="203" spans="2:3">
      <c r="B203" s="1">
        <v>40718</v>
      </c>
      <c r="C203">
        <v>2809.5</v>
      </c>
    </row>
    <row r="204" spans="2:3">
      <c r="B204" s="1">
        <v>40725</v>
      </c>
      <c r="C204">
        <v>2527.5</v>
      </c>
    </row>
    <row r="205" spans="2:3">
      <c r="B205" s="1">
        <v>40732</v>
      </c>
      <c r="C205">
        <v>2362.6999999999998</v>
      </c>
    </row>
    <row r="206" spans="2:3">
      <c r="B206" s="1">
        <v>40739</v>
      </c>
      <c r="C206">
        <v>2923.8</v>
      </c>
    </row>
    <row r="207" spans="2:3">
      <c r="B207" s="1">
        <v>40746</v>
      </c>
      <c r="C207">
        <v>2769.6</v>
      </c>
    </row>
    <row r="208" spans="2:3">
      <c r="B208" s="1">
        <v>40753</v>
      </c>
      <c r="C208">
        <v>2974.1</v>
      </c>
    </row>
    <row r="209" spans="2:3">
      <c r="B209" s="1">
        <v>40760</v>
      </c>
      <c r="C209">
        <v>3880.9</v>
      </c>
    </row>
    <row r="210" spans="2:3">
      <c r="B210" s="1">
        <v>40767</v>
      </c>
      <c r="C210">
        <v>4184.3999999999996</v>
      </c>
    </row>
    <row r="211" spans="2:3">
      <c r="B211" s="1">
        <v>40774</v>
      </c>
      <c r="C211">
        <v>4110.8</v>
      </c>
    </row>
    <row r="212" spans="2:3">
      <c r="B212" s="1">
        <v>40781</v>
      </c>
      <c r="C212">
        <v>3601.3</v>
      </c>
    </row>
    <row r="213" spans="2:3">
      <c r="B213" s="1">
        <v>40788</v>
      </c>
      <c r="C213">
        <v>3372</v>
      </c>
    </row>
    <row r="214" spans="2:3">
      <c r="B214" s="1">
        <v>40795</v>
      </c>
      <c r="C214">
        <v>3571.7</v>
      </c>
    </row>
    <row r="215" spans="2:3">
      <c r="B215" s="1">
        <v>40802</v>
      </c>
      <c r="C215">
        <v>4033.8</v>
      </c>
    </row>
    <row r="216" spans="2:3">
      <c r="B216" s="1">
        <v>40809</v>
      </c>
      <c r="C216">
        <v>4512.1000000000004</v>
      </c>
    </row>
    <row r="217" spans="2:3">
      <c r="B217" s="1">
        <v>40816</v>
      </c>
      <c r="C217">
        <v>4241.8</v>
      </c>
    </row>
    <row r="218" spans="2:3">
      <c r="B218" s="1">
        <v>40823</v>
      </c>
      <c r="C218">
        <v>4251.1000000000004</v>
      </c>
    </row>
    <row r="219" spans="2:3">
      <c r="B219" s="1">
        <v>40830</v>
      </c>
      <c r="C219">
        <v>3553.2</v>
      </c>
    </row>
    <row r="220" spans="2:3">
      <c r="B220" s="1">
        <v>40837</v>
      </c>
      <c r="C220">
        <v>3719.3</v>
      </c>
    </row>
    <row r="221" spans="2:3">
      <c r="B221" s="1">
        <v>40844</v>
      </c>
      <c r="C221">
        <v>3695</v>
      </c>
    </row>
    <row r="222" spans="2:3">
      <c r="B222" s="1">
        <v>40851</v>
      </c>
      <c r="C222">
        <v>4137.6000000000004</v>
      </c>
    </row>
    <row r="223" spans="2:3">
      <c r="B223" s="1">
        <v>40858</v>
      </c>
      <c r="C223">
        <v>3664.5</v>
      </c>
    </row>
    <row r="224" spans="2:3">
      <c r="B224" s="1">
        <v>40865</v>
      </c>
      <c r="C224">
        <v>3466.8</v>
      </c>
    </row>
    <row r="225" spans="2:3">
      <c r="B225" s="1">
        <v>40872</v>
      </c>
      <c r="C225">
        <v>2941.3</v>
      </c>
    </row>
    <row r="226" spans="2:3">
      <c r="B226" s="1">
        <v>40879</v>
      </c>
      <c r="C226">
        <v>3394.7</v>
      </c>
    </row>
    <row r="227" spans="2:3">
      <c r="B227" s="1">
        <v>40886</v>
      </c>
      <c r="C227">
        <v>3708.6</v>
      </c>
    </row>
    <row r="228" spans="2:3">
      <c r="B228" s="1">
        <v>40893</v>
      </c>
      <c r="C228">
        <v>3676.1</v>
      </c>
    </row>
    <row r="229" spans="2:3">
      <c r="B229" s="1">
        <v>40900</v>
      </c>
      <c r="C229">
        <v>3684.5</v>
      </c>
    </row>
    <row r="230" spans="2:3">
      <c r="B230" s="1">
        <v>40907</v>
      </c>
      <c r="C230">
        <v>3608.1</v>
      </c>
    </row>
    <row r="231" spans="2:3">
      <c r="B231" s="1">
        <v>40914</v>
      </c>
      <c r="C231">
        <v>3668.3</v>
      </c>
    </row>
    <row r="232" spans="2:3">
      <c r="B232" s="1">
        <v>40921</v>
      </c>
      <c r="C232">
        <v>4626.5</v>
      </c>
    </row>
    <row r="233" spans="2:3">
      <c r="B233" s="1">
        <v>40928</v>
      </c>
      <c r="C233">
        <v>4326.3999999999996</v>
      </c>
    </row>
    <row r="234" spans="2:3">
      <c r="B234" s="1">
        <v>40935</v>
      </c>
      <c r="C234">
        <v>4184.3</v>
      </c>
    </row>
    <row r="235" spans="2:3">
      <c r="B235" s="1">
        <v>40942</v>
      </c>
      <c r="C235">
        <v>4617.1000000000004</v>
      </c>
    </row>
    <row r="236" spans="2:3">
      <c r="B236" s="1">
        <v>40949</v>
      </c>
      <c r="C236">
        <v>4716.1000000000004</v>
      </c>
    </row>
    <row r="237" spans="2:3">
      <c r="B237" s="1">
        <v>40956</v>
      </c>
      <c r="C237">
        <v>4466.8999999999996</v>
      </c>
    </row>
    <row r="238" spans="2:3">
      <c r="B238" s="1">
        <v>40963</v>
      </c>
      <c r="C238">
        <v>4379.1000000000004</v>
      </c>
    </row>
    <row r="239" spans="2:3">
      <c r="B239" s="1">
        <v>40970</v>
      </c>
      <c r="C239">
        <v>4277.6000000000004</v>
      </c>
    </row>
    <row r="240" spans="2:3">
      <c r="B240" s="1">
        <v>40977</v>
      </c>
      <c r="C240">
        <v>4063.4</v>
      </c>
    </row>
    <row r="241" spans="2:3">
      <c r="B241" s="1">
        <v>40984</v>
      </c>
      <c r="C241">
        <v>3715.2</v>
      </c>
    </row>
    <row r="242" spans="2:3">
      <c r="B242" s="1">
        <v>40991</v>
      </c>
      <c r="C242">
        <v>3588.4</v>
      </c>
    </row>
    <row r="243" spans="2:3">
      <c r="B243" s="1">
        <v>40998</v>
      </c>
      <c r="C243">
        <v>3699.5</v>
      </c>
    </row>
    <row r="244" spans="2:3">
      <c r="B244" s="1">
        <v>41005</v>
      </c>
      <c r="C244">
        <v>3549.3</v>
      </c>
    </row>
    <row r="245" spans="2:3">
      <c r="B245" s="1">
        <v>41012</v>
      </c>
      <c r="C245">
        <v>4144.3</v>
      </c>
    </row>
    <row r="246" spans="2:3">
      <c r="B246" s="1">
        <v>41019</v>
      </c>
      <c r="C246">
        <v>3892.2</v>
      </c>
    </row>
    <row r="247" spans="2:3">
      <c r="B247" s="1">
        <v>41026</v>
      </c>
      <c r="C247">
        <v>3856</v>
      </c>
    </row>
    <row r="248" spans="2:3">
      <c r="B248" s="1">
        <v>41033</v>
      </c>
      <c r="C248">
        <v>3924.4</v>
      </c>
    </row>
    <row r="249" spans="2:3">
      <c r="B249" s="1">
        <v>41040</v>
      </c>
      <c r="C249">
        <v>4482</v>
      </c>
    </row>
    <row r="250" spans="2:3">
      <c r="B250" s="1">
        <v>41047</v>
      </c>
      <c r="C250">
        <v>4732</v>
      </c>
    </row>
    <row r="251" spans="2:3">
      <c r="B251" s="1">
        <v>41054</v>
      </c>
      <c r="C251">
        <v>4675.8999999999996</v>
      </c>
    </row>
    <row r="252" spans="2:3">
      <c r="B252" s="1">
        <v>41061</v>
      </c>
      <c r="C252">
        <v>4736</v>
      </c>
    </row>
    <row r="253" spans="2:3">
      <c r="B253" s="1">
        <v>41068</v>
      </c>
      <c r="C253">
        <v>5590</v>
      </c>
    </row>
    <row r="254" spans="2:3">
      <c r="B254" s="1">
        <v>41075</v>
      </c>
      <c r="C254">
        <v>4719.6000000000004</v>
      </c>
    </row>
    <row r="255" spans="2:3">
      <c r="B255" s="1">
        <v>41082</v>
      </c>
      <c r="C255">
        <v>4585.8</v>
      </c>
    </row>
    <row r="256" spans="2:3">
      <c r="B256" s="1">
        <v>41089</v>
      </c>
      <c r="C256">
        <v>4372.2</v>
      </c>
    </row>
    <row r="257" spans="2:3">
      <c r="B257" s="1">
        <v>41096</v>
      </c>
      <c r="C257">
        <v>4267.8999999999996</v>
      </c>
    </row>
    <row r="258" spans="2:3">
      <c r="B258" s="1">
        <v>41103</v>
      </c>
      <c r="C258">
        <v>5246.8</v>
      </c>
    </row>
    <row r="259" spans="2:3">
      <c r="B259" s="1">
        <v>41110</v>
      </c>
      <c r="C259">
        <v>5383.1</v>
      </c>
    </row>
    <row r="260" spans="2:3">
      <c r="B260" s="1">
        <v>41117</v>
      </c>
      <c r="C260">
        <v>5492.1</v>
      </c>
    </row>
    <row r="261" spans="2:3">
      <c r="B261" s="1">
        <v>41124</v>
      </c>
      <c r="C261">
        <v>5444.3</v>
      </c>
    </row>
    <row r="262" spans="2:3">
      <c r="B262" s="1">
        <v>41131</v>
      </c>
      <c r="C262">
        <v>5172.2</v>
      </c>
    </row>
    <row r="263" spans="2:3">
      <c r="B263" s="1">
        <v>41138</v>
      </c>
      <c r="C263">
        <v>4671.1000000000004</v>
      </c>
    </row>
    <row r="264" spans="2:3">
      <c r="B264" s="1">
        <v>41145</v>
      </c>
      <c r="C264">
        <v>4414.6000000000004</v>
      </c>
    </row>
    <row r="265" spans="2:3">
      <c r="B265" s="1">
        <v>41152</v>
      </c>
      <c r="C265">
        <v>4274.8</v>
      </c>
    </row>
    <row r="266" spans="2:3">
      <c r="B266" s="1">
        <v>41159</v>
      </c>
      <c r="C266">
        <v>4779.1000000000004</v>
      </c>
    </row>
    <row r="267" spans="2:3">
      <c r="B267" s="1">
        <v>41166</v>
      </c>
      <c r="C267">
        <v>4823.3</v>
      </c>
    </row>
    <row r="268" spans="2:3">
      <c r="B268" s="1">
        <v>41173</v>
      </c>
      <c r="C268">
        <v>4979</v>
      </c>
    </row>
    <row r="269" spans="2:3">
      <c r="B269" s="1">
        <v>41180</v>
      </c>
      <c r="C269">
        <v>5965.5</v>
      </c>
    </row>
    <row r="270" spans="2:3">
      <c r="B270" s="1">
        <v>41187</v>
      </c>
      <c r="C270">
        <v>5892.5</v>
      </c>
    </row>
    <row r="271" spans="2:3">
      <c r="B271" s="1">
        <v>41194</v>
      </c>
      <c r="C271">
        <v>5572.2</v>
      </c>
    </row>
    <row r="272" spans="2:3">
      <c r="B272" s="1">
        <v>41201</v>
      </c>
      <c r="C272">
        <v>4847.2</v>
      </c>
    </row>
    <row r="273" spans="2:3">
      <c r="B273" s="1">
        <v>41208</v>
      </c>
      <c r="C273">
        <v>4550.7</v>
      </c>
    </row>
    <row r="274" spans="2:3">
      <c r="B274" s="1">
        <v>41215</v>
      </c>
      <c r="C274">
        <v>4297.7</v>
      </c>
    </row>
    <row r="275" spans="2:3">
      <c r="B275" s="1">
        <v>41222</v>
      </c>
      <c r="C275">
        <v>4856.1000000000004</v>
      </c>
    </row>
    <row r="276" spans="2:3">
      <c r="B276" s="1">
        <v>41229</v>
      </c>
      <c r="C276">
        <v>4702.3999999999996</v>
      </c>
    </row>
    <row r="277" spans="2:3">
      <c r="B277" s="1">
        <v>41236</v>
      </c>
      <c r="C277">
        <v>4666.8</v>
      </c>
    </row>
    <row r="278" spans="2:3">
      <c r="B278" s="1">
        <v>41243</v>
      </c>
      <c r="C278">
        <v>4943</v>
      </c>
    </row>
    <row r="279" spans="2:3">
      <c r="B279" s="1">
        <v>41250</v>
      </c>
      <c r="C279">
        <v>5368.1</v>
      </c>
    </row>
    <row r="280" spans="2:3">
      <c r="B280" s="1">
        <v>41257</v>
      </c>
      <c r="C280">
        <v>4564.3999999999996</v>
      </c>
    </row>
    <row r="281" spans="2:3">
      <c r="B281" s="1">
        <v>41264</v>
      </c>
      <c r="C281">
        <v>3983.2</v>
      </c>
    </row>
    <row r="282" spans="2:3">
      <c r="B282" s="1">
        <v>41271</v>
      </c>
      <c r="C282">
        <v>3488.9</v>
      </c>
    </row>
    <row r="283" spans="2:3">
      <c r="B283" s="1">
        <v>41278</v>
      </c>
      <c r="C283">
        <v>3896.4</v>
      </c>
    </row>
    <row r="284" spans="2:3">
      <c r="B284" s="1">
        <v>41285</v>
      </c>
      <c r="C284">
        <v>4554.3999999999996</v>
      </c>
    </row>
    <row r="285" spans="2:3">
      <c r="B285" s="1">
        <v>41292</v>
      </c>
      <c r="C285">
        <v>4937.3999999999996</v>
      </c>
    </row>
    <row r="286" spans="2:3">
      <c r="B286" s="1">
        <v>41299</v>
      </c>
      <c r="C286">
        <v>4433.6000000000004</v>
      </c>
    </row>
    <row r="287" spans="2:3">
      <c r="B287" s="1">
        <v>41306</v>
      </c>
      <c r="C287">
        <v>4579</v>
      </c>
    </row>
    <row r="288" spans="2:3">
      <c r="B288" s="1">
        <v>41313</v>
      </c>
      <c r="C288">
        <v>4284.3</v>
      </c>
    </row>
    <row r="289" spans="2:3">
      <c r="B289" s="1">
        <v>41320</v>
      </c>
      <c r="C289">
        <v>4261.8</v>
      </c>
    </row>
    <row r="290" spans="2:3">
      <c r="B290" s="1">
        <v>41327</v>
      </c>
      <c r="C290">
        <v>4136.3</v>
      </c>
    </row>
    <row r="291" spans="2:3">
      <c r="B291" s="1">
        <v>41334</v>
      </c>
      <c r="C291">
        <v>4724.8999999999996</v>
      </c>
    </row>
    <row r="292" spans="2:3">
      <c r="B292" s="1">
        <v>41341</v>
      </c>
      <c r="C292">
        <v>4485.2</v>
      </c>
    </row>
    <row r="293" spans="2:3">
      <c r="B293" s="1">
        <v>41348</v>
      </c>
      <c r="C293">
        <v>4111.3</v>
      </c>
    </row>
    <row r="294" spans="2:3">
      <c r="B294" s="1">
        <v>41355</v>
      </c>
      <c r="C294">
        <v>4412.8999999999996</v>
      </c>
    </row>
    <row r="295" spans="2:3">
      <c r="B295" s="1">
        <v>41362</v>
      </c>
      <c r="C295">
        <v>4119.2</v>
      </c>
    </row>
    <row r="296" spans="2:3">
      <c r="B296" s="1">
        <v>41369</v>
      </c>
      <c r="C296">
        <v>4528.8999999999996</v>
      </c>
    </row>
    <row r="297" spans="2:3">
      <c r="B297" s="1">
        <v>41376</v>
      </c>
      <c r="C297">
        <v>4726.8999999999996</v>
      </c>
    </row>
    <row r="298" spans="2:3">
      <c r="B298" s="1">
        <v>41383</v>
      </c>
      <c r="C298">
        <v>4672.1000000000004</v>
      </c>
    </row>
    <row r="299" spans="2:3">
      <c r="B299" s="1">
        <v>41390</v>
      </c>
      <c r="C299">
        <v>4854.1000000000004</v>
      </c>
    </row>
    <row r="300" spans="2:3">
      <c r="B300" s="1">
        <v>41397</v>
      </c>
      <c r="C300">
        <v>5279.9</v>
      </c>
    </row>
    <row r="301" spans="2:3">
      <c r="B301" s="1">
        <v>41404</v>
      </c>
      <c r="C301">
        <v>4797.2</v>
      </c>
    </row>
    <row r="302" spans="2:3">
      <c r="B302" s="1">
        <v>41411</v>
      </c>
      <c r="C302">
        <v>4241.5</v>
      </c>
    </row>
    <row r="303" spans="2:3">
      <c r="B303" s="1">
        <v>41418</v>
      </c>
      <c r="C303">
        <v>3709.4</v>
      </c>
    </row>
    <row r="304" spans="2:3">
      <c r="B304" s="1">
        <v>41425</v>
      </c>
      <c r="C304">
        <v>3163.6</v>
      </c>
    </row>
    <row r="305" spans="2:3">
      <c r="B305" s="1">
        <v>41432</v>
      </c>
      <c r="C305">
        <v>3339.8</v>
      </c>
    </row>
    <row r="306" spans="2:3">
      <c r="B306" s="1">
        <v>41439</v>
      </c>
      <c r="C306">
        <v>3214.4</v>
      </c>
    </row>
    <row r="307" spans="2:3">
      <c r="B307" s="1">
        <v>41446</v>
      </c>
      <c r="C307">
        <v>3040.1</v>
      </c>
    </row>
    <row r="308" spans="2:3">
      <c r="B308" s="1">
        <v>41453</v>
      </c>
      <c r="C308">
        <v>2573.4</v>
      </c>
    </row>
    <row r="309" spans="2:3">
      <c r="B309" s="1">
        <v>41460</v>
      </c>
      <c r="C309">
        <v>2417.8000000000002</v>
      </c>
    </row>
    <row r="310" spans="2:3">
      <c r="B310" s="1">
        <v>41467</v>
      </c>
      <c r="C310">
        <v>2242.1999999999998</v>
      </c>
    </row>
    <row r="311" spans="2:3">
      <c r="B311" s="1">
        <v>41474</v>
      </c>
      <c r="C311">
        <v>2288</v>
      </c>
    </row>
    <row r="312" spans="2:3">
      <c r="B312" s="1">
        <v>41481</v>
      </c>
      <c r="C312">
        <v>2218.3000000000002</v>
      </c>
    </row>
    <row r="313" spans="2:3">
      <c r="B313" s="1">
        <v>41488</v>
      </c>
      <c r="C313">
        <v>2228.9</v>
      </c>
    </row>
    <row r="314" spans="2:3">
      <c r="B314" s="1">
        <v>41495</v>
      </c>
      <c r="C314">
        <v>2110.6</v>
      </c>
    </row>
    <row r="315" spans="2:3">
      <c r="B315" s="1">
        <v>41502</v>
      </c>
      <c r="C315">
        <v>1935.1</v>
      </c>
    </row>
    <row r="316" spans="2:3">
      <c r="B316" s="1">
        <v>41509</v>
      </c>
      <c r="C316">
        <v>1842.6</v>
      </c>
    </row>
    <row r="317" spans="2:3">
      <c r="B317" s="1">
        <v>41516</v>
      </c>
      <c r="C317">
        <v>1909</v>
      </c>
    </row>
    <row r="318" spans="2:3">
      <c r="B318" s="1">
        <v>41523</v>
      </c>
      <c r="C318">
        <v>1512.9</v>
      </c>
    </row>
    <row r="319" spans="2:3">
      <c r="B319" s="1">
        <v>41530</v>
      </c>
      <c r="C319">
        <v>1814</v>
      </c>
    </row>
    <row r="320" spans="2:3">
      <c r="B320" s="1">
        <v>41537</v>
      </c>
      <c r="C320">
        <v>1922.9</v>
      </c>
    </row>
    <row r="321" spans="2:3">
      <c r="B321" s="1">
        <v>41544</v>
      </c>
      <c r="C321">
        <v>1956.6</v>
      </c>
    </row>
    <row r="322" spans="2:3">
      <c r="B322" s="1">
        <v>41551</v>
      </c>
      <c r="C322">
        <v>2025.3</v>
      </c>
    </row>
    <row r="323" spans="2:3">
      <c r="B323" s="1">
        <v>41558</v>
      </c>
      <c r="C323">
        <v>2102.6999999999998</v>
      </c>
    </row>
    <row r="324" spans="2:3">
      <c r="B324" s="1">
        <v>41565</v>
      </c>
      <c r="C324">
        <v>2033.7</v>
      </c>
    </row>
    <row r="325" spans="2:3">
      <c r="B325" s="1">
        <v>41572</v>
      </c>
      <c r="C325">
        <v>2211.8000000000002</v>
      </c>
    </row>
    <row r="326" spans="2:3">
      <c r="B326" s="1">
        <v>41579</v>
      </c>
      <c r="C326">
        <v>2105.6</v>
      </c>
    </row>
    <row r="327" spans="2:3">
      <c r="B327" s="1">
        <v>41586</v>
      </c>
      <c r="C327">
        <v>2056.9</v>
      </c>
    </row>
    <row r="328" spans="2:3">
      <c r="B328" s="1">
        <v>41593</v>
      </c>
      <c r="C328">
        <v>1903.5</v>
      </c>
    </row>
    <row r="329" spans="2:3">
      <c r="B329" s="1">
        <v>41600</v>
      </c>
      <c r="C329">
        <v>1917.2</v>
      </c>
    </row>
    <row r="330" spans="2:3">
      <c r="B330" s="1">
        <v>41607</v>
      </c>
      <c r="C330">
        <v>1561.6</v>
      </c>
    </row>
    <row r="331" spans="2:3">
      <c r="B331" s="1">
        <v>41614</v>
      </c>
      <c r="C331">
        <v>1599.4</v>
      </c>
    </row>
    <row r="332" spans="2:3">
      <c r="B332" s="1">
        <v>41621</v>
      </c>
      <c r="C332">
        <v>1529.8</v>
      </c>
    </row>
    <row r="333" spans="2:3">
      <c r="B333" s="1">
        <v>41628</v>
      </c>
      <c r="C333">
        <v>1426.7</v>
      </c>
    </row>
    <row r="334" spans="2:3">
      <c r="B334" s="1">
        <v>41635</v>
      </c>
      <c r="C334">
        <v>1277.8</v>
      </c>
    </row>
    <row r="335" spans="2:3">
      <c r="B335" s="1">
        <v>41642</v>
      </c>
      <c r="C335">
        <v>1352.7</v>
      </c>
    </row>
    <row r="336" spans="2:3">
      <c r="B336" s="1">
        <v>41649</v>
      </c>
      <c r="C336">
        <v>1507</v>
      </c>
    </row>
    <row r="337" spans="2:3">
      <c r="B337" s="1">
        <v>41656</v>
      </c>
      <c r="C337">
        <v>1675.8</v>
      </c>
    </row>
    <row r="338" spans="2:3">
      <c r="B338" s="1">
        <v>41663</v>
      </c>
      <c r="C338">
        <v>1601.2</v>
      </c>
    </row>
    <row r="339" spans="2:3">
      <c r="B339" s="1">
        <v>41670</v>
      </c>
      <c r="C339">
        <v>1667.5</v>
      </c>
    </row>
    <row r="340" spans="2:3">
      <c r="B340" s="1">
        <v>41677</v>
      </c>
      <c r="C340">
        <v>1674.2</v>
      </c>
    </row>
    <row r="341" spans="2:3">
      <c r="B341" s="1">
        <v>41684</v>
      </c>
      <c r="C341">
        <v>1650.6</v>
      </c>
    </row>
    <row r="342" spans="2:3">
      <c r="B342" s="1">
        <v>41691</v>
      </c>
      <c r="C342">
        <v>1442.3</v>
      </c>
    </row>
    <row r="343" spans="2:3">
      <c r="B343" s="1">
        <v>41698</v>
      </c>
      <c r="C343">
        <v>1600.6</v>
      </c>
    </row>
    <row r="344" spans="2:3">
      <c r="B344" s="1">
        <v>41705</v>
      </c>
      <c r="C344">
        <v>1528</v>
      </c>
    </row>
    <row r="345" spans="2:3">
      <c r="B345" s="1">
        <v>41712</v>
      </c>
      <c r="C345">
        <v>1552.1</v>
      </c>
    </row>
    <row r="346" spans="2:3">
      <c r="B346" s="1">
        <v>41719</v>
      </c>
      <c r="C346">
        <v>1426.3</v>
      </c>
    </row>
    <row r="347" spans="2:3">
      <c r="B347" s="1">
        <v>41726</v>
      </c>
      <c r="C347">
        <v>1383.5</v>
      </c>
    </row>
    <row r="348" spans="2:3">
      <c r="B348" s="1">
        <v>41733</v>
      </c>
      <c r="C348">
        <v>1324.7</v>
      </c>
    </row>
    <row r="349" spans="2:3">
      <c r="B349" s="1">
        <v>41740</v>
      </c>
      <c r="C349">
        <v>1429.9</v>
      </c>
    </row>
    <row r="350" spans="2:3">
      <c r="B350" s="1">
        <v>41747</v>
      </c>
      <c r="C350">
        <v>1370.9</v>
      </c>
    </row>
    <row r="351" spans="2:3">
      <c r="B351" s="1">
        <v>41754</v>
      </c>
      <c r="C351">
        <v>1298.0999999999999</v>
      </c>
    </row>
    <row r="352" spans="2:3">
      <c r="B352" s="1">
        <v>41761</v>
      </c>
      <c r="C352">
        <v>1323.9</v>
      </c>
    </row>
    <row r="353" spans="2:3">
      <c r="B353" s="1">
        <v>41768</v>
      </c>
      <c r="C353">
        <v>1400.9</v>
      </c>
    </row>
    <row r="354" spans="2:3">
      <c r="B354" s="1">
        <v>41775</v>
      </c>
      <c r="C354">
        <v>1460.6</v>
      </c>
    </row>
    <row r="355" spans="2:3">
      <c r="B355" s="1">
        <v>41782</v>
      </c>
      <c r="C355">
        <v>1453.4</v>
      </c>
    </row>
    <row r="356" spans="2:3">
      <c r="B356" s="1">
        <v>41789</v>
      </c>
      <c r="C356">
        <v>1382.6</v>
      </c>
    </row>
    <row r="357" spans="2:3">
      <c r="B357" s="1">
        <v>41796</v>
      </c>
      <c r="C357">
        <v>1516.9</v>
      </c>
    </row>
    <row r="358" spans="2:3">
      <c r="B358" s="1">
        <v>41803</v>
      </c>
      <c r="C358">
        <v>1321.3</v>
      </c>
    </row>
    <row r="359" spans="2:3">
      <c r="B359" s="1">
        <v>41810</v>
      </c>
      <c r="C359">
        <v>1333.5</v>
      </c>
    </row>
    <row r="360" spans="2:3">
      <c r="B360" s="1">
        <v>41817</v>
      </c>
      <c r="C360">
        <v>1341.8</v>
      </c>
    </row>
    <row r="361" spans="2:3">
      <c r="B361" s="1">
        <v>41824</v>
      </c>
      <c r="C361">
        <v>1346.8</v>
      </c>
    </row>
    <row r="362" spans="2:3">
      <c r="B362" s="1">
        <v>41831</v>
      </c>
      <c r="C362">
        <v>1329.7</v>
      </c>
    </row>
    <row r="363" spans="2:3">
      <c r="B363" s="1">
        <v>41838</v>
      </c>
      <c r="C363">
        <v>1400.7</v>
      </c>
    </row>
    <row r="364" spans="2:3">
      <c r="B364" s="1">
        <v>41845</v>
      </c>
      <c r="C364">
        <v>1327.5</v>
      </c>
    </row>
    <row r="365" spans="2:3">
      <c r="B365" s="1">
        <v>41852</v>
      </c>
      <c r="C365">
        <v>1373.9</v>
      </c>
    </row>
    <row r="366" spans="2:3">
      <c r="B366" s="1">
        <v>41859</v>
      </c>
      <c r="C366">
        <v>1342.6</v>
      </c>
    </row>
    <row r="367" spans="2:3">
      <c r="B367" s="1">
        <v>41866</v>
      </c>
      <c r="C367">
        <v>1404.9</v>
      </c>
    </row>
    <row r="368" spans="2:3">
      <c r="B368" s="1">
        <v>41873</v>
      </c>
      <c r="C368">
        <v>1439.4</v>
      </c>
    </row>
    <row r="369" spans="2:3">
      <c r="B369" s="1">
        <v>41880</v>
      </c>
      <c r="C369">
        <v>1436</v>
      </c>
    </row>
    <row r="370" spans="2:3">
      <c r="B370" s="1">
        <v>41887</v>
      </c>
      <c r="C370">
        <v>1275.8</v>
      </c>
    </row>
    <row r="371" spans="2:3">
      <c r="B371" s="1">
        <v>41894</v>
      </c>
      <c r="C371">
        <v>1398.4</v>
      </c>
    </row>
    <row r="372" spans="2:3">
      <c r="B372" s="1">
        <v>41901</v>
      </c>
      <c r="C372">
        <v>1335.1</v>
      </c>
    </row>
    <row r="373" spans="2:3">
      <c r="B373" s="1">
        <v>41908</v>
      </c>
      <c r="C373">
        <v>1326.2</v>
      </c>
    </row>
    <row r="374" spans="2:3">
      <c r="B374" s="1">
        <v>41915</v>
      </c>
      <c r="C374">
        <v>1387.1</v>
      </c>
    </row>
    <row r="375" spans="2:3">
      <c r="B375" s="1">
        <v>41922</v>
      </c>
      <c r="C375">
        <v>1560.6</v>
      </c>
    </row>
    <row r="376" spans="2:3">
      <c r="B376" s="1">
        <v>41929</v>
      </c>
      <c r="C376">
        <v>1898.2</v>
      </c>
    </row>
    <row r="377" spans="2:3">
      <c r="B377" s="1">
        <v>41936</v>
      </c>
      <c r="C377">
        <v>1713.6</v>
      </c>
    </row>
    <row r="378" spans="2:3">
      <c r="B378" s="1">
        <v>41943</v>
      </c>
      <c r="C378">
        <v>1604.8</v>
      </c>
    </row>
    <row r="379" spans="2:3">
      <c r="B379" s="1">
        <v>41950</v>
      </c>
      <c r="C379">
        <v>1565.3</v>
      </c>
    </row>
    <row r="380" spans="2:3">
      <c r="B380" s="1">
        <v>41957</v>
      </c>
      <c r="C380">
        <v>1563.2</v>
      </c>
    </row>
    <row r="381" spans="2:3">
      <c r="B381" s="1">
        <v>41964</v>
      </c>
      <c r="C381">
        <v>1547.9</v>
      </c>
    </row>
    <row r="382" spans="2:3">
      <c r="B382" s="1">
        <v>41971</v>
      </c>
      <c r="C382">
        <v>1366.6</v>
      </c>
    </row>
    <row r="383" spans="2:3">
      <c r="B383" s="1">
        <v>41978</v>
      </c>
      <c r="C383">
        <v>1548.6</v>
      </c>
    </row>
    <row r="384" spans="2:3">
      <c r="B384" s="1">
        <v>41985</v>
      </c>
      <c r="C384">
        <v>1518.8</v>
      </c>
    </row>
    <row r="385" spans="2:3">
      <c r="B385" s="1">
        <v>41992</v>
      </c>
      <c r="C385">
        <v>1538.7</v>
      </c>
    </row>
    <row r="386" spans="2:3">
      <c r="B386" s="1">
        <v>41999</v>
      </c>
      <c r="C386">
        <v>1164.2</v>
      </c>
    </row>
    <row r="387" spans="2:3">
      <c r="B387" s="1">
        <v>42006</v>
      </c>
      <c r="C387">
        <v>1347.6</v>
      </c>
    </row>
    <row r="388" spans="2:3">
      <c r="B388" s="1">
        <v>42013</v>
      </c>
      <c r="C388">
        <v>2271.5</v>
      </c>
    </row>
    <row r="389" spans="2:3">
      <c r="B389" s="1">
        <v>42020</v>
      </c>
      <c r="C389">
        <v>2799.3</v>
      </c>
    </row>
    <row r="390" spans="2:3">
      <c r="B390" s="1">
        <v>42027</v>
      </c>
      <c r="C390">
        <v>2572.3000000000002</v>
      </c>
    </row>
    <row r="391" spans="2:3">
      <c r="B391" s="1">
        <v>42034</v>
      </c>
      <c r="C391">
        <v>2584.8000000000002</v>
      </c>
    </row>
    <row r="392" spans="2:3">
      <c r="B392" s="1">
        <v>42041</v>
      </c>
      <c r="C392">
        <v>2291.3000000000002</v>
      </c>
    </row>
    <row r="393" spans="2:3">
      <c r="B393" s="1">
        <v>42048</v>
      </c>
      <c r="C393">
        <v>1904.2</v>
      </c>
    </row>
    <row r="394" spans="2:3">
      <c r="B394" s="1">
        <v>42055</v>
      </c>
      <c r="C394">
        <v>1703.1</v>
      </c>
    </row>
    <row r="395" spans="2:3">
      <c r="B395" s="1">
        <v>42062</v>
      </c>
      <c r="C395">
        <v>1740.3</v>
      </c>
    </row>
    <row r="396" spans="2:3">
      <c r="B396" s="1">
        <v>42069</v>
      </c>
      <c r="C396">
        <v>1685.7</v>
      </c>
    </row>
    <row r="397" spans="2:3">
      <c r="B397" s="1">
        <v>42076</v>
      </c>
      <c r="C397">
        <v>1623.6</v>
      </c>
    </row>
    <row r="398" spans="2:3">
      <c r="B398" s="1">
        <v>42083</v>
      </c>
      <c r="C398">
        <v>1860.8</v>
      </c>
    </row>
    <row r="399" spans="2:3">
      <c r="B399" s="1">
        <v>42090</v>
      </c>
      <c r="C399">
        <v>1941.6</v>
      </c>
    </row>
    <row r="400" spans="2:3">
      <c r="B400" s="1">
        <v>42097</v>
      </c>
      <c r="C400">
        <v>1854.7</v>
      </c>
    </row>
    <row r="401" spans="2:3">
      <c r="B401" s="1">
        <v>42104</v>
      </c>
      <c r="C401">
        <v>1804.6</v>
      </c>
    </row>
    <row r="402" spans="2:3">
      <c r="B402" s="1">
        <v>42111</v>
      </c>
      <c r="C402">
        <v>1817</v>
      </c>
    </row>
    <row r="403" spans="2:3">
      <c r="B403" s="1"/>
    </row>
    <row r="404" spans="2:3">
      <c r="B404" s="1"/>
    </row>
    <row r="405" spans="2:3">
      <c r="B405" s="1"/>
    </row>
    <row r="406" spans="2:3">
      <c r="B406" s="1"/>
    </row>
    <row r="407" spans="2:3">
      <c r="B407" s="1"/>
    </row>
    <row r="408" spans="2:3">
      <c r="B408" s="1"/>
    </row>
    <row r="409" spans="2:3">
      <c r="B409" s="1"/>
    </row>
    <row r="410" spans="2:3">
      <c r="B410" s="1"/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7:AD60"/>
  <sheetViews>
    <sheetView workbookViewId="0">
      <selection activeCell="P55" sqref="P55:P60"/>
    </sheetView>
  </sheetViews>
  <sheetFormatPr defaultRowHeight="15"/>
  <cols>
    <col min="5" max="5" width="9.7109375" bestFit="1" customWidth="1"/>
    <col min="6" max="6" width="10.7109375" style="37" bestFit="1" customWidth="1"/>
    <col min="7" max="7" width="12" bestFit="1" customWidth="1"/>
    <col min="11" max="11" width="9.140625" style="37"/>
    <col min="16" max="16" width="9.7109375" bestFit="1" customWidth="1"/>
    <col min="17" max="17" width="9.140625" style="37"/>
    <col min="22" max="22" width="9.7109375" bestFit="1" customWidth="1"/>
    <col min="25" max="25" width="14.28515625" bestFit="1" customWidth="1"/>
  </cols>
  <sheetData>
    <row r="7" spans="5:30">
      <c r="P7" t="s">
        <v>39</v>
      </c>
      <c r="Q7" s="37" t="s">
        <v>43</v>
      </c>
    </row>
    <row r="8" spans="5:30" ht="15.75" thickBot="1">
      <c r="E8" t="s">
        <v>39</v>
      </c>
      <c r="J8" t="s">
        <v>40</v>
      </c>
      <c r="P8" t="s">
        <v>41</v>
      </c>
      <c r="V8" s="38"/>
      <c r="W8" s="38"/>
      <c r="X8" s="38"/>
      <c r="Y8" s="38"/>
      <c r="Z8" s="38"/>
      <c r="AA8" s="38"/>
      <c r="AB8" s="38"/>
      <c r="AC8" s="38" t="s">
        <v>44</v>
      </c>
      <c r="AD8" s="38"/>
    </row>
    <row r="9" spans="5:30">
      <c r="E9" t="s">
        <v>38</v>
      </c>
      <c r="J9" t="s">
        <v>41</v>
      </c>
      <c r="P9" t="s">
        <v>31</v>
      </c>
      <c r="Q9" s="37" t="s">
        <v>37</v>
      </c>
      <c r="R9" t="s">
        <v>35</v>
      </c>
      <c r="S9" t="s">
        <v>36</v>
      </c>
      <c r="V9" s="42"/>
      <c r="W9" s="43" t="s">
        <v>47</v>
      </c>
      <c r="X9" s="43" t="s">
        <v>48</v>
      </c>
      <c r="Y9" s="43" t="s">
        <v>45</v>
      </c>
      <c r="Z9" s="44" t="s">
        <v>49</v>
      </c>
      <c r="AA9" s="38"/>
      <c r="AB9" s="38" t="s">
        <v>47</v>
      </c>
      <c r="AC9" s="38" t="s">
        <v>48</v>
      </c>
      <c r="AD9" s="38" t="s">
        <v>49</v>
      </c>
    </row>
    <row r="10" spans="5:30">
      <c r="E10" t="s">
        <v>31</v>
      </c>
      <c r="F10" s="37" t="s">
        <v>37</v>
      </c>
      <c r="G10" t="s">
        <v>35</v>
      </c>
      <c r="H10" t="s">
        <v>36</v>
      </c>
      <c r="J10" t="s">
        <v>31</v>
      </c>
      <c r="K10" s="37" t="s">
        <v>32</v>
      </c>
      <c r="L10" t="s">
        <v>35</v>
      </c>
      <c r="M10" t="s">
        <v>36</v>
      </c>
      <c r="P10" s="1">
        <v>42068</v>
      </c>
      <c r="Q10" s="37">
        <v>0.46598988131295799</v>
      </c>
      <c r="R10">
        <v>434198472406.90302</v>
      </c>
      <c r="S10">
        <v>931776611079.02002</v>
      </c>
      <c r="V10" s="45">
        <v>42068</v>
      </c>
      <c r="W10" s="46">
        <v>0.64879793947367004</v>
      </c>
      <c r="X10" s="46">
        <v>0.606774744874231</v>
      </c>
      <c r="Y10" s="47">
        <v>0.50718342258638904</v>
      </c>
      <c r="Z10" s="48">
        <f>W10-Y10</f>
        <v>0.14161451688728099</v>
      </c>
      <c r="AA10" s="40"/>
      <c r="AB10" s="39">
        <v>0.57360546117917699</v>
      </c>
      <c r="AC10" s="37">
        <v>0.45066683790268203</v>
      </c>
      <c r="AD10" s="41">
        <f>AB10-AC10</f>
        <v>0.12293862327649496</v>
      </c>
    </row>
    <row r="11" spans="5:30">
      <c r="E11" s="1">
        <v>42068</v>
      </c>
      <c r="F11" s="37">
        <v>0.52105092230652605</v>
      </c>
      <c r="G11">
        <v>377932173398.698</v>
      </c>
      <c r="H11">
        <v>725326752567.12598</v>
      </c>
      <c r="J11" s="1">
        <v>42068</v>
      </c>
      <c r="K11" s="37">
        <v>0.64879793947367004</v>
      </c>
      <c r="L11">
        <v>652223329097.69995</v>
      </c>
      <c r="M11">
        <v>1005279593869.87</v>
      </c>
      <c r="P11" s="1">
        <v>42075</v>
      </c>
      <c r="Q11" s="37">
        <v>0.391525471788709</v>
      </c>
      <c r="R11">
        <v>364814277254.39801</v>
      </c>
      <c r="S11">
        <v>931776611079.02002</v>
      </c>
      <c r="V11" s="45">
        <v>42075</v>
      </c>
      <c r="W11" s="46">
        <v>0.56709086833409394</v>
      </c>
      <c r="X11" s="46">
        <v>0.52303888200369097</v>
      </c>
      <c r="Y11" s="47">
        <v>0.43124435584172699</v>
      </c>
      <c r="Z11" s="48">
        <f t="shared" ref="Z11:Z17" si="0">W11-Y11</f>
        <v>0.13584651249236696</v>
      </c>
      <c r="AA11" s="40"/>
      <c r="AB11" s="39">
        <v>0.47457516158677099</v>
      </c>
      <c r="AC11" s="37">
        <v>0.36713329834181002</v>
      </c>
      <c r="AD11" s="41">
        <f t="shared" ref="AD11:AD17" si="1">AB11-AC11</f>
        <v>0.10744186324496097</v>
      </c>
    </row>
    <row r="12" spans="5:30">
      <c r="E12" s="1">
        <v>42075</v>
      </c>
      <c r="F12" s="37">
        <v>0.411998658833651</v>
      </c>
      <c r="G12">
        <v>298833649273.82397</v>
      </c>
      <c r="H12">
        <v>725326752567.12598</v>
      </c>
      <c r="J12" s="1">
        <v>42075</v>
      </c>
      <c r="K12" s="37">
        <v>0.56709086833409394</v>
      </c>
      <c r="L12">
        <v>570084877806.20996</v>
      </c>
      <c r="M12">
        <v>1005279593869.87</v>
      </c>
      <c r="P12" s="1">
        <v>42082</v>
      </c>
      <c r="Q12" s="37">
        <v>0.46543670330005099</v>
      </c>
      <c r="R12">
        <v>433683034072.71301</v>
      </c>
      <c r="S12">
        <v>931776611079.02002</v>
      </c>
      <c r="V12" s="45">
        <v>42082</v>
      </c>
      <c r="W12" s="46">
        <v>0.62625017100514602</v>
      </c>
      <c r="X12" s="46">
        <v>0.60648965415006495</v>
      </c>
      <c r="Y12" s="47">
        <v>0.50666988212578501</v>
      </c>
      <c r="Z12" s="48">
        <f t="shared" si="0"/>
        <v>0.11958028887936101</v>
      </c>
      <c r="AA12" s="40"/>
      <c r="AB12" s="39">
        <v>0.54622742214646502</v>
      </c>
      <c r="AC12" s="37">
        <v>0.45009137730986898</v>
      </c>
      <c r="AD12" s="41">
        <f t="shared" si="1"/>
        <v>9.6136044836596046E-2</v>
      </c>
    </row>
    <row r="13" spans="5:30">
      <c r="E13" s="1">
        <v>42082</v>
      </c>
      <c r="F13" s="37">
        <v>0.52057047302173598</v>
      </c>
      <c r="G13">
        <v>377583690679.18799</v>
      </c>
      <c r="H13">
        <v>725326752567.12598</v>
      </c>
      <c r="J13" s="1">
        <v>42082</v>
      </c>
      <c r="K13" s="37">
        <v>0.62625017100514602</v>
      </c>
      <c r="L13">
        <v>629556517568.98999</v>
      </c>
      <c r="M13">
        <v>1005279593869.87</v>
      </c>
      <c r="P13" s="1">
        <v>42089</v>
      </c>
      <c r="Q13" s="37">
        <v>0.515690751309549</v>
      </c>
      <c r="R13">
        <v>480508580620.00598</v>
      </c>
      <c r="S13">
        <v>931776611079.02002</v>
      </c>
      <c r="V13" s="45">
        <v>42089</v>
      </c>
      <c r="W13" s="46">
        <v>0.67177281536533096</v>
      </c>
      <c r="X13" s="46">
        <v>0.66948681688726697</v>
      </c>
      <c r="Y13" s="47">
        <v>0.55138762509375605</v>
      </c>
      <c r="Z13" s="48">
        <f t="shared" si="0"/>
        <v>0.1203851902715749</v>
      </c>
      <c r="AA13" s="40"/>
      <c r="AB13" s="39">
        <v>0.60149374984088799</v>
      </c>
      <c r="AC13" s="37">
        <v>0.50024941273507195</v>
      </c>
      <c r="AD13" s="41">
        <f t="shared" si="1"/>
        <v>0.10124433710581604</v>
      </c>
    </row>
    <row r="14" spans="5:30">
      <c r="E14" s="1">
        <v>42089</v>
      </c>
      <c r="F14" s="37">
        <v>0.59163699347118204</v>
      </c>
      <c r="G14">
        <v>429130139173.03101</v>
      </c>
      <c r="H14">
        <v>725326752567.12598</v>
      </c>
      <c r="J14" s="1">
        <v>42089</v>
      </c>
      <c r="K14" s="37">
        <v>0.67177281536533096</v>
      </c>
      <c r="L14">
        <v>675319503003.28003</v>
      </c>
      <c r="M14">
        <v>1005279593869.87</v>
      </c>
      <c r="P14" s="1">
        <v>42096</v>
      </c>
      <c r="Q14" s="37">
        <v>0.50146616730291105</v>
      </c>
      <c r="R14">
        <v>469425547843.58899</v>
      </c>
      <c r="S14">
        <v>936106119318.77698</v>
      </c>
      <c r="V14" s="45">
        <v>42096</v>
      </c>
      <c r="W14" s="46">
        <v>0.65650951013695402</v>
      </c>
      <c r="X14" s="46">
        <v>0.65757284583633602</v>
      </c>
      <c r="Y14" s="47">
        <v>0.53682243639344696</v>
      </c>
      <c r="Z14" s="48">
        <f t="shared" si="0"/>
        <v>0.11968707374350707</v>
      </c>
      <c r="AA14" s="40"/>
      <c r="AB14" s="39">
        <v>0.58566684694845395</v>
      </c>
      <c r="AC14" s="37">
        <v>0.485896410211898</v>
      </c>
      <c r="AD14" s="41">
        <f t="shared" si="1"/>
        <v>9.9770436736555945E-2</v>
      </c>
    </row>
    <row r="15" spans="5:30">
      <c r="E15" s="1">
        <v>42096</v>
      </c>
      <c r="F15" s="37">
        <v>0.57707055634817594</v>
      </c>
      <c r="G15">
        <v>430002385716.53601</v>
      </c>
      <c r="H15">
        <v>745146985903.56396</v>
      </c>
      <c r="J15" s="1">
        <v>42096</v>
      </c>
      <c r="K15" s="37">
        <v>0.65650951013695402</v>
      </c>
      <c r="L15">
        <v>661720898845.93994</v>
      </c>
      <c r="M15">
        <v>1007938024702.64</v>
      </c>
      <c r="P15" s="1">
        <v>42103</v>
      </c>
      <c r="Q15" s="37">
        <v>0.52791282596991895</v>
      </c>
      <c r="R15">
        <v>494182426857.31</v>
      </c>
      <c r="S15">
        <v>936106119318.77698</v>
      </c>
      <c r="V15" s="45">
        <v>42103</v>
      </c>
      <c r="W15" s="46">
        <v>0.67417257610562098</v>
      </c>
      <c r="X15" s="46">
        <v>0.65811343479434004</v>
      </c>
      <c r="Y15" s="47">
        <v>0.56624534907007396</v>
      </c>
      <c r="Z15" s="48">
        <f t="shared" si="0"/>
        <v>0.10792722703554702</v>
      </c>
      <c r="AA15" s="40"/>
      <c r="AB15" s="39">
        <v>0.60696709220630396</v>
      </c>
      <c r="AC15" s="37">
        <v>0.518480147244884</v>
      </c>
      <c r="AD15" s="41">
        <f t="shared" si="1"/>
        <v>8.8486944961419955E-2</v>
      </c>
    </row>
    <row r="16" spans="5:30">
      <c r="E16" s="1">
        <v>42103</v>
      </c>
      <c r="F16" s="37">
        <v>0.57815778139415497</v>
      </c>
      <c r="G16">
        <v>430812528182.54602</v>
      </c>
      <c r="H16">
        <v>745146985903.56396</v>
      </c>
      <c r="J16" s="1">
        <v>42103</v>
      </c>
      <c r="K16" s="37">
        <v>0.67417257610562098</v>
      </c>
      <c r="L16">
        <v>679524174668.58997</v>
      </c>
      <c r="M16">
        <v>1007938024702.64</v>
      </c>
      <c r="P16" s="1">
        <v>42110</v>
      </c>
      <c r="Q16" s="37">
        <v>0.50155254519477699</v>
      </c>
      <c r="R16">
        <v>469506406716.73901</v>
      </c>
      <c r="S16">
        <v>936106119318.77698</v>
      </c>
      <c r="V16" s="45">
        <v>42110</v>
      </c>
      <c r="W16" s="46">
        <v>0.65857343754719699</v>
      </c>
      <c r="X16" s="46">
        <v>0.65789565295069996</v>
      </c>
      <c r="Y16" s="47">
        <v>0.53691783186626096</v>
      </c>
      <c r="Z16" s="48">
        <f t="shared" si="0"/>
        <v>0.12165560568093603</v>
      </c>
      <c r="AA16" s="40"/>
      <c r="AB16" s="39">
        <v>0.588150363186553</v>
      </c>
      <c r="AC16" s="37">
        <v>0.48600286425468497</v>
      </c>
      <c r="AD16" s="41">
        <f t="shared" si="1"/>
        <v>0.10214749893186803</v>
      </c>
    </row>
    <row r="17" spans="5:30" ht="15.75" thickBot="1">
      <c r="E17" s="1">
        <v>42110</v>
      </c>
      <c r="F17" s="37">
        <v>0.57774381580628398</v>
      </c>
      <c r="G17">
        <v>430504062972.47601</v>
      </c>
      <c r="H17">
        <v>745146985903.56396</v>
      </c>
      <c r="J17" s="1">
        <v>42110</v>
      </c>
      <c r="K17" s="37">
        <v>0.65857343754719699</v>
      </c>
      <c r="L17">
        <v>663801209762.94995</v>
      </c>
      <c r="M17">
        <v>1007938024702.64</v>
      </c>
      <c r="P17" s="1">
        <v>42117</v>
      </c>
      <c r="Q17" s="37">
        <v>0.5282959563281</v>
      </c>
      <c r="R17">
        <v>494541077530.09998</v>
      </c>
      <c r="S17">
        <v>936106119318.77698</v>
      </c>
      <c r="V17" s="49">
        <v>42117</v>
      </c>
      <c r="W17" s="50">
        <v>0.68053352147964896</v>
      </c>
      <c r="X17" s="50">
        <v>0.658533593067545</v>
      </c>
      <c r="Y17" s="51">
        <v>0.56669393867683804</v>
      </c>
      <c r="Z17" s="52">
        <f t="shared" si="0"/>
        <v>0.11383958280281092</v>
      </c>
      <c r="AA17" s="40"/>
      <c r="AB17" s="39">
        <v>0.61464069888629802</v>
      </c>
      <c r="AC17" s="37">
        <v>0.51898248125296498</v>
      </c>
      <c r="AD17" s="41">
        <f t="shared" si="1"/>
        <v>9.5658217633333043E-2</v>
      </c>
    </row>
    <row r="18" spans="5:30">
      <c r="E18" s="1">
        <v>42117</v>
      </c>
      <c r="F18" s="37">
        <v>0.57862292832018003</v>
      </c>
      <c r="G18">
        <v>431159131012.47601</v>
      </c>
      <c r="H18">
        <v>745146985903.56396</v>
      </c>
      <c r="J18" s="1">
        <v>42117</v>
      </c>
      <c r="K18" s="37">
        <v>0.68053352147964896</v>
      </c>
      <c r="L18">
        <v>685935613384.13</v>
      </c>
      <c r="M18">
        <v>1007938024702.64</v>
      </c>
      <c r="V18" s="1"/>
      <c r="W18" s="37"/>
      <c r="X18" s="37"/>
      <c r="Y18" s="37"/>
      <c r="AC18" s="37"/>
    </row>
    <row r="19" spans="5:30">
      <c r="E19" s="1"/>
      <c r="J19" s="1">
        <v>42124</v>
      </c>
      <c r="K19" s="37">
        <v>0.66595023399780595</v>
      </c>
      <c r="L19">
        <v>671236563406.01001</v>
      </c>
      <c r="M19">
        <v>1007938024702.64</v>
      </c>
    </row>
    <row r="20" spans="5:30">
      <c r="E20" s="1" t="s">
        <v>41</v>
      </c>
      <c r="J20" t="s">
        <v>41</v>
      </c>
      <c r="K20" t="s">
        <v>46</v>
      </c>
      <c r="P20" t="s">
        <v>44</v>
      </c>
    </row>
    <row r="21" spans="5:30">
      <c r="E21" s="1" t="s">
        <v>31</v>
      </c>
      <c r="F21" s="37" t="s">
        <v>37</v>
      </c>
      <c r="G21" t="s">
        <v>35</v>
      </c>
      <c r="H21" t="s">
        <v>36</v>
      </c>
      <c r="J21" t="s">
        <v>31</v>
      </c>
      <c r="K21" s="37" t="s">
        <v>32</v>
      </c>
      <c r="L21" t="s">
        <v>35</v>
      </c>
      <c r="M21" t="s">
        <v>36</v>
      </c>
      <c r="P21" t="s">
        <v>31</v>
      </c>
      <c r="Q21" s="37" t="s">
        <v>37</v>
      </c>
      <c r="R21" t="s">
        <v>35</v>
      </c>
      <c r="S21" t="s">
        <v>36</v>
      </c>
    </row>
    <row r="22" spans="5:30">
      <c r="E22" s="1">
        <v>42068</v>
      </c>
      <c r="F22" s="37">
        <v>0.606774744874231</v>
      </c>
      <c r="G22">
        <v>565708496345.25</v>
      </c>
      <c r="H22">
        <v>932320438719.81995</v>
      </c>
      <c r="J22" s="1">
        <v>42068</v>
      </c>
      <c r="K22" s="37">
        <v>0.57360546117917699</v>
      </c>
      <c r="L22">
        <v>474899128635.62</v>
      </c>
      <c r="M22">
        <v>827919468652.46997</v>
      </c>
      <c r="P22" s="1">
        <v>42068</v>
      </c>
      <c r="Q22" s="37">
        <v>0.40842490635126</v>
      </c>
      <c r="R22">
        <v>338173227808.89899</v>
      </c>
      <c r="S22">
        <v>827993647179.92505</v>
      </c>
    </row>
    <row r="23" spans="5:30">
      <c r="E23" s="1">
        <v>42075</v>
      </c>
      <c r="F23" s="37">
        <v>0.52303888200369097</v>
      </c>
      <c r="G23">
        <v>487639839937.20599</v>
      </c>
      <c r="H23">
        <v>932320438719.81995</v>
      </c>
      <c r="J23" s="1">
        <v>42075</v>
      </c>
      <c r="K23" s="37">
        <v>0.47457516158677099</v>
      </c>
      <c r="L23">
        <v>392910015616.58002</v>
      </c>
      <c r="M23">
        <v>827919468652.46997</v>
      </c>
      <c r="P23" s="1">
        <v>42075</v>
      </c>
      <c r="Q23" s="37">
        <v>0.32693479951851701</v>
      </c>
      <c r="R23">
        <v>270699937043.37399</v>
      </c>
      <c r="S23">
        <v>827993647179.92505</v>
      </c>
    </row>
    <row r="24" spans="5:30">
      <c r="E24" s="1">
        <v>42082</v>
      </c>
      <c r="F24" s="37">
        <v>0.60648965415006495</v>
      </c>
      <c r="G24">
        <v>565442700436.21997</v>
      </c>
      <c r="H24">
        <v>932320438719.81995</v>
      </c>
      <c r="J24" s="1">
        <v>42082</v>
      </c>
      <c r="K24" s="37">
        <v>0.54622742214646502</v>
      </c>
      <c r="L24">
        <v>452232317106.90997</v>
      </c>
      <c r="M24">
        <v>827919468652.46997</v>
      </c>
      <c r="P24" s="1">
        <v>42082</v>
      </c>
      <c r="Q24" s="37">
        <v>0.40780569116264598</v>
      </c>
      <c r="R24">
        <v>337660521566.48901</v>
      </c>
      <c r="S24">
        <v>827993647179.92505</v>
      </c>
    </row>
    <row r="25" spans="5:30">
      <c r="E25" s="1">
        <v>42089</v>
      </c>
      <c r="F25" s="37">
        <v>0.66948681688726697</v>
      </c>
      <c r="G25">
        <v>624176242837.47302</v>
      </c>
      <c r="H25">
        <v>932320438719.81995</v>
      </c>
      <c r="J25" s="1">
        <v>42089</v>
      </c>
      <c r="K25" s="37">
        <v>0.60149374984088799</v>
      </c>
      <c r="L25">
        <v>497988385766.04999</v>
      </c>
      <c r="M25">
        <v>827919468652.46997</v>
      </c>
      <c r="P25" s="1">
        <v>42089</v>
      </c>
      <c r="Q25" s="37">
        <v>0.46375640488963898</v>
      </c>
      <c r="R25">
        <v>383987357087.62201</v>
      </c>
      <c r="S25">
        <v>827993647179.92505</v>
      </c>
    </row>
    <row r="26" spans="5:30">
      <c r="E26" s="1">
        <v>42096</v>
      </c>
      <c r="F26" s="37">
        <v>0.65757284583633602</v>
      </c>
      <c r="G26">
        <v>615906378746.16797</v>
      </c>
      <c r="H26">
        <v>936635967628.53796</v>
      </c>
      <c r="J26" s="1">
        <v>42096</v>
      </c>
      <c r="K26" s="37">
        <v>0.58566684694845395</v>
      </c>
      <c r="L26">
        <v>489335361261.45001</v>
      </c>
      <c r="M26">
        <v>835518287932.93005</v>
      </c>
      <c r="P26" s="1">
        <v>42096</v>
      </c>
      <c r="Q26" s="37">
        <v>0.44989571596429401</v>
      </c>
      <c r="R26">
        <v>375866872656.16101</v>
      </c>
      <c r="S26">
        <v>835453326890.51904</v>
      </c>
    </row>
    <row r="27" spans="5:30">
      <c r="E27" s="1">
        <v>42103</v>
      </c>
      <c r="F27" s="37">
        <v>0.65811343479434004</v>
      </c>
      <c r="G27">
        <v>616412713807.93799</v>
      </c>
      <c r="H27">
        <v>936635967628.53796</v>
      </c>
      <c r="J27" s="1">
        <v>42103</v>
      </c>
      <c r="K27" s="37">
        <v>0.60696709220630396</v>
      </c>
      <c r="L27">
        <v>507132105711.84003</v>
      </c>
      <c r="M27">
        <v>835518287932.93005</v>
      </c>
      <c r="P27" s="1">
        <v>42103</v>
      </c>
      <c r="Q27" s="37">
        <v>0.479064639663206</v>
      </c>
      <c r="R27">
        <v>400236147002.23297</v>
      </c>
      <c r="S27">
        <v>835453326890.51904</v>
      </c>
    </row>
    <row r="28" spans="5:30">
      <c r="E28" s="1">
        <v>42110</v>
      </c>
      <c r="F28" s="37">
        <v>0.65789565295069996</v>
      </c>
      <c r="G28">
        <v>616208731500.08801</v>
      </c>
      <c r="H28">
        <v>936635967628.53796</v>
      </c>
      <c r="J28" s="1">
        <v>42110</v>
      </c>
      <c r="K28" s="37">
        <v>0.588150363186553</v>
      </c>
      <c r="L28">
        <v>491410384496.76001</v>
      </c>
      <c r="M28">
        <v>835518287932.93005</v>
      </c>
      <c r="P28" s="1">
        <v>42110</v>
      </c>
      <c r="Q28" s="37">
        <v>0.44999247898058498</v>
      </c>
      <c r="R28">
        <v>375947713640.04102</v>
      </c>
      <c r="S28">
        <v>835453326890.51904</v>
      </c>
    </row>
    <row r="29" spans="5:30">
      <c r="E29" s="1">
        <v>42117</v>
      </c>
      <c r="F29" s="37">
        <v>0.658533593067545</v>
      </c>
      <c r="G29">
        <v>616806249158.71802</v>
      </c>
      <c r="H29">
        <v>936635967628.53796</v>
      </c>
      <c r="J29" s="1">
        <v>42117</v>
      </c>
      <c r="K29" s="37">
        <v>0.61464069888629802</v>
      </c>
      <c r="L29">
        <v>513543544427.38</v>
      </c>
      <c r="M29">
        <v>835518287932.93005</v>
      </c>
      <c r="P29" s="1">
        <v>42117</v>
      </c>
      <c r="Q29" s="37">
        <v>0.47949354334078598</v>
      </c>
      <c r="R29">
        <v>400594476006.58301</v>
      </c>
      <c r="S29">
        <v>835453326890.51904</v>
      </c>
    </row>
    <row r="30" spans="5:30">
      <c r="J30" s="1">
        <v>42124</v>
      </c>
      <c r="K30" s="37">
        <v>0.59704945462529901</v>
      </c>
      <c r="L30">
        <v>498845738139.82001</v>
      </c>
      <c r="M30">
        <v>835518287932.93005</v>
      </c>
    </row>
    <row r="32" spans="5:30">
      <c r="S32" t="s">
        <v>44</v>
      </c>
    </row>
    <row r="33" spans="5:21">
      <c r="P33" t="s">
        <v>31</v>
      </c>
      <c r="Q33" s="37" t="s">
        <v>37</v>
      </c>
      <c r="S33" t="s">
        <v>31</v>
      </c>
      <c r="T33" t="s">
        <v>37</v>
      </c>
    </row>
    <row r="34" spans="5:21">
      <c r="P34" s="1">
        <v>42068</v>
      </c>
      <c r="Q34" s="37">
        <v>0.50718342258638904</v>
      </c>
      <c r="S34" s="1">
        <v>42068</v>
      </c>
      <c r="T34" s="37">
        <v>0.45066683790268203</v>
      </c>
    </row>
    <row r="35" spans="5:21">
      <c r="P35" s="1">
        <v>42075</v>
      </c>
      <c r="Q35" s="37">
        <v>0.43124435584172699</v>
      </c>
      <c r="S35" s="1">
        <v>42075</v>
      </c>
      <c r="T35" s="37">
        <v>0.36713329834181002</v>
      </c>
    </row>
    <row r="36" spans="5:21">
      <c r="P36" s="1">
        <v>42082</v>
      </c>
      <c r="Q36" s="37">
        <v>0.50666988212578501</v>
      </c>
      <c r="S36" s="1">
        <v>42082</v>
      </c>
      <c r="T36" s="37">
        <v>0.45009137730986898</v>
      </c>
    </row>
    <row r="37" spans="5:21">
      <c r="P37" s="1">
        <v>42089</v>
      </c>
      <c r="Q37" s="37">
        <v>0.55138762509375605</v>
      </c>
      <c r="S37" s="1">
        <v>42089</v>
      </c>
      <c r="T37" s="37">
        <v>0.50024941273507195</v>
      </c>
    </row>
    <row r="38" spans="5:21">
      <c r="P38" s="1">
        <v>42096</v>
      </c>
      <c r="Q38" s="37">
        <v>0.53682243639344696</v>
      </c>
      <c r="S38" s="1">
        <v>42096</v>
      </c>
      <c r="T38" s="37">
        <v>0.485896410211898</v>
      </c>
    </row>
    <row r="39" spans="5:21">
      <c r="P39" s="1">
        <v>42103</v>
      </c>
      <c r="Q39" s="37">
        <v>0.56624534907007396</v>
      </c>
      <c r="S39" s="1">
        <v>42103</v>
      </c>
      <c r="T39" s="37">
        <v>0.518480147244884</v>
      </c>
    </row>
    <row r="40" spans="5:21">
      <c r="P40" s="1">
        <v>42110</v>
      </c>
      <c r="Q40" s="37">
        <v>0.53691783186626096</v>
      </c>
      <c r="S40" s="1">
        <v>42110</v>
      </c>
      <c r="T40" s="37">
        <v>0.48600286425468497</v>
      </c>
    </row>
    <row r="41" spans="5:21">
      <c r="F41" s="54"/>
      <c r="P41" s="1">
        <v>42117</v>
      </c>
      <c r="Q41" s="37">
        <v>0.56669393867683804</v>
      </c>
      <c r="S41" s="1">
        <v>42117</v>
      </c>
      <c r="T41" s="37">
        <v>0.51898248125296498</v>
      </c>
    </row>
    <row r="42" spans="5:21">
      <c r="E42" s="55">
        <v>40808</v>
      </c>
      <c r="F42" s="55">
        <v>41592</v>
      </c>
      <c r="G42" s="55">
        <v>41624</v>
      </c>
      <c r="H42" s="55">
        <v>41647</v>
      </c>
      <c r="I42" s="55">
        <v>42011</v>
      </c>
      <c r="J42" s="1"/>
      <c r="K42" s="1"/>
      <c r="P42" s="1">
        <v>42124</v>
      </c>
      <c r="Q42" s="37">
        <v>0.53705791563411398</v>
      </c>
      <c r="S42" s="1">
        <v>42124</v>
      </c>
      <c r="T42" s="37">
        <v>0.48615831819145899</v>
      </c>
    </row>
    <row r="43" spans="5:21">
      <c r="E43" s="55" t="s">
        <v>53</v>
      </c>
      <c r="F43" s="55"/>
      <c r="G43" s="55" t="s">
        <v>53</v>
      </c>
      <c r="H43" s="55" t="s">
        <v>53</v>
      </c>
      <c r="I43" s="55" t="s">
        <v>53</v>
      </c>
      <c r="J43" s="1"/>
      <c r="K43" s="1"/>
    </row>
    <row r="44" spans="5:21">
      <c r="E44" s="55"/>
      <c r="F44" s="55" t="s">
        <v>54</v>
      </c>
      <c r="G44" s="55"/>
      <c r="H44" s="55"/>
      <c r="I44" s="55"/>
      <c r="J44" s="1"/>
      <c r="K44" s="1"/>
    </row>
    <row r="45" spans="5:21">
      <c r="E45" s="55"/>
      <c r="F45" s="55" t="s">
        <v>55</v>
      </c>
      <c r="G45" s="55"/>
      <c r="H45" s="55"/>
      <c r="I45" s="55"/>
      <c r="J45" s="1"/>
      <c r="K45" s="1"/>
      <c r="P45" t="s">
        <v>51</v>
      </c>
    </row>
    <row r="46" spans="5:21">
      <c r="E46" s="55" t="s">
        <v>56</v>
      </c>
      <c r="F46" s="55"/>
      <c r="G46" s="55" t="s">
        <v>56</v>
      </c>
      <c r="H46" s="55"/>
      <c r="I46" s="55"/>
      <c r="J46" s="1"/>
      <c r="K46" s="1"/>
      <c r="P46" t="s">
        <v>31</v>
      </c>
      <c r="Q46" s="37" t="s">
        <v>50</v>
      </c>
      <c r="R46" t="s">
        <v>37</v>
      </c>
      <c r="T46" t="s">
        <v>31</v>
      </c>
      <c r="U46" t="s">
        <v>37</v>
      </c>
    </row>
    <row r="47" spans="5:21">
      <c r="E47" s="55" t="s">
        <v>57</v>
      </c>
      <c r="F47" s="55"/>
      <c r="G47" s="55" t="s">
        <v>57</v>
      </c>
      <c r="H47" s="55" t="s">
        <v>57</v>
      </c>
      <c r="I47" s="55"/>
      <c r="J47" s="1"/>
      <c r="K47" s="1"/>
      <c r="P47" s="1">
        <v>42096</v>
      </c>
      <c r="Q47" s="53">
        <v>42011</v>
      </c>
      <c r="R47" s="54">
        <v>0.53682243639344696</v>
      </c>
      <c r="T47" s="1">
        <v>42096</v>
      </c>
      <c r="U47" s="54">
        <v>0.53682243639344696</v>
      </c>
    </row>
    <row r="48" spans="5:21">
      <c r="E48" s="1"/>
      <c r="F48" s="1"/>
      <c r="G48" s="1"/>
      <c r="H48" s="1"/>
      <c r="I48" s="1"/>
      <c r="J48" s="1"/>
      <c r="K48" s="1"/>
      <c r="P48" s="1">
        <v>42103</v>
      </c>
      <c r="Q48" s="53">
        <v>42011</v>
      </c>
      <c r="R48" s="54">
        <v>0.56624534907007396</v>
      </c>
      <c r="T48" s="1">
        <v>42103</v>
      </c>
      <c r="U48" s="54">
        <v>0.56624534907007396</v>
      </c>
    </row>
    <row r="49" spans="5:21">
      <c r="E49" s="1"/>
      <c r="F49" s="1"/>
      <c r="G49" s="1"/>
      <c r="H49" s="1"/>
      <c r="I49" s="1"/>
      <c r="J49" s="1"/>
      <c r="K49" s="1"/>
      <c r="P49" s="1">
        <v>42110</v>
      </c>
      <c r="Q49" s="53">
        <v>42011</v>
      </c>
      <c r="R49" s="54">
        <v>0.53691783186626096</v>
      </c>
      <c r="T49" s="1">
        <v>42110</v>
      </c>
      <c r="U49" s="54">
        <v>0.53691783186626096</v>
      </c>
    </row>
    <row r="50" spans="5:21">
      <c r="E50" s="1"/>
      <c r="F50" s="1"/>
      <c r="G50" s="1"/>
      <c r="H50" s="1"/>
      <c r="I50" s="1"/>
      <c r="J50" s="1"/>
      <c r="K50" s="1"/>
      <c r="P50" s="1">
        <v>42117</v>
      </c>
      <c r="Q50" s="53">
        <v>42011</v>
      </c>
      <c r="R50" s="54">
        <v>0.56669393867683804</v>
      </c>
      <c r="T50" s="1">
        <v>42117</v>
      </c>
      <c r="U50" s="54">
        <v>0.56669393867683804</v>
      </c>
    </row>
    <row r="51" spans="5:21">
      <c r="P51" s="1">
        <v>42124</v>
      </c>
      <c r="Q51" s="53">
        <v>42011</v>
      </c>
      <c r="R51" s="54">
        <v>0.53705791563411398</v>
      </c>
      <c r="T51" s="1">
        <v>42124</v>
      </c>
      <c r="U51" s="54">
        <v>0.53705791563411398</v>
      </c>
    </row>
    <row r="55" spans="5:21">
      <c r="P55" t="s">
        <v>31</v>
      </c>
      <c r="Q55" s="37" t="s">
        <v>37</v>
      </c>
    </row>
    <row r="56" spans="5:21">
      <c r="P56" s="1">
        <v>42096</v>
      </c>
      <c r="Q56" s="37">
        <v>0.441013240820189</v>
      </c>
    </row>
    <row r="57" spans="5:21">
      <c r="P57" s="1">
        <v>42103</v>
      </c>
      <c r="Q57" s="37">
        <v>0.465818856678612</v>
      </c>
    </row>
    <row r="58" spans="5:21">
      <c r="P58" s="1">
        <v>42110</v>
      </c>
      <c r="Q58" s="37">
        <v>0.44109901487165798</v>
      </c>
    </row>
    <row r="59" spans="5:21">
      <c r="P59" s="1">
        <v>42117</v>
      </c>
      <c r="Q59" s="37">
        <v>0.46615715021286103</v>
      </c>
    </row>
    <row r="60" spans="5:21">
      <c r="P60" s="1">
        <v>42124</v>
      </c>
      <c r="Q60" s="37">
        <v>0.441205739655812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E2:AA36"/>
  <sheetViews>
    <sheetView zoomScaleNormal="100" workbookViewId="0">
      <selection activeCell="Q3" sqref="Q3:AA11"/>
    </sheetView>
  </sheetViews>
  <sheetFormatPr defaultRowHeight="15"/>
  <sheetData>
    <row r="2" spans="5:27">
      <c r="E2" t="s">
        <v>81</v>
      </c>
      <c r="Q2" t="s">
        <v>83</v>
      </c>
    </row>
    <row r="3" spans="5:27">
      <c r="E3" s="63" t="s">
        <v>62</v>
      </c>
      <c r="F3" s="64" t="s">
        <v>63</v>
      </c>
      <c r="G3" s="64" t="s">
        <v>64</v>
      </c>
      <c r="H3" s="64" t="s">
        <v>65</v>
      </c>
      <c r="I3" s="64" t="s">
        <v>66</v>
      </c>
      <c r="J3" s="64" t="s">
        <v>67</v>
      </c>
      <c r="K3" s="64" t="s">
        <v>68</v>
      </c>
      <c r="L3" s="64" t="s">
        <v>69</v>
      </c>
      <c r="M3" s="64" t="s">
        <v>70</v>
      </c>
      <c r="N3" s="64" t="s">
        <v>79</v>
      </c>
      <c r="O3" s="64" t="s">
        <v>80</v>
      </c>
      <c r="Q3" s="63" t="s">
        <v>62</v>
      </c>
      <c r="R3" s="64" t="s">
        <v>63</v>
      </c>
      <c r="S3" s="64" t="s">
        <v>64</v>
      </c>
      <c r="T3" s="64" t="s">
        <v>65</v>
      </c>
      <c r="U3" s="64" t="s">
        <v>66</v>
      </c>
      <c r="V3" s="64" t="s">
        <v>67</v>
      </c>
      <c r="W3" s="64" t="s">
        <v>68</v>
      </c>
      <c r="X3" s="64" t="s">
        <v>69</v>
      </c>
      <c r="Y3" s="64" t="s">
        <v>70</v>
      </c>
      <c r="Z3" s="64" t="s">
        <v>79</v>
      </c>
      <c r="AA3" s="64" t="s">
        <v>80</v>
      </c>
    </row>
    <row r="4" spans="5:27">
      <c r="E4" s="65" t="s">
        <v>71</v>
      </c>
      <c r="F4" s="71">
        <v>0</v>
      </c>
      <c r="G4" s="71">
        <v>0.25</v>
      </c>
      <c r="H4" s="71">
        <v>0.25</v>
      </c>
      <c r="I4" s="71">
        <v>0.25</v>
      </c>
      <c r="J4" s="71">
        <v>0.25</v>
      </c>
      <c r="K4" s="71">
        <v>0.25</v>
      </c>
      <c r="L4" s="71">
        <v>0.25</v>
      </c>
      <c r="M4" s="71">
        <v>0.25</v>
      </c>
      <c r="N4" s="71">
        <v>0.25</v>
      </c>
      <c r="O4" s="71">
        <v>0.25</v>
      </c>
      <c r="Q4" s="65" t="s">
        <v>71</v>
      </c>
      <c r="R4" s="71">
        <f>IF(F4&gt;0.75,0.75,F4)</f>
        <v>0</v>
      </c>
      <c r="S4" s="71">
        <f t="shared" ref="S4:AA4" si="0">IF(G4&gt;0.75,0.75,G4)</f>
        <v>0.25</v>
      </c>
      <c r="T4" s="71">
        <f t="shared" si="0"/>
        <v>0.25</v>
      </c>
      <c r="U4" s="71">
        <f t="shared" si="0"/>
        <v>0.25</v>
      </c>
      <c r="V4" s="71">
        <f t="shared" si="0"/>
        <v>0.25</v>
      </c>
      <c r="W4" s="71">
        <f t="shared" si="0"/>
        <v>0.25</v>
      </c>
      <c r="X4" s="71">
        <f t="shared" si="0"/>
        <v>0.25</v>
      </c>
      <c r="Y4" s="71">
        <f t="shared" si="0"/>
        <v>0.25</v>
      </c>
      <c r="Z4" s="71">
        <f t="shared" si="0"/>
        <v>0.25</v>
      </c>
      <c r="AA4" s="71">
        <f t="shared" si="0"/>
        <v>0.25</v>
      </c>
    </row>
    <row r="5" spans="5:27">
      <c r="E5" s="65" t="s">
        <v>72</v>
      </c>
      <c r="F5" s="71">
        <v>0</v>
      </c>
      <c r="G5" s="71">
        <v>0.25</v>
      </c>
      <c r="H5" s="71">
        <v>0.25</v>
      </c>
      <c r="I5" s="71">
        <v>0.25</v>
      </c>
      <c r="J5" s="71">
        <v>0.25</v>
      </c>
      <c r="K5" s="71">
        <v>0.25</v>
      </c>
      <c r="L5" s="71">
        <v>0.25</v>
      </c>
      <c r="M5" s="71">
        <v>0.25</v>
      </c>
      <c r="N5" s="71">
        <v>0.25</v>
      </c>
      <c r="O5" s="71">
        <v>0.25</v>
      </c>
      <c r="Q5" s="65" t="s">
        <v>72</v>
      </c>
      <c r="R5" s="71">
        <f t="shared" ref="R5:R11" si="1">IF(F5&gt;0.75,0.75,F5)</f>
        <v>0</v>
      </c>
      <c r="S5" s="71">
        <f t="shared" ref="S5:S11" si="2">IF(G5&gt;0.75,0.75,G5)</f>
        <v>0.25</v>
      </c>
      <c r="T5" s="71">
        <f t="shared" ref="T5:T11" si="3">IF(H5&gt;0.75,0.75,H5)</f>
        <v>0.25</v>
      </c>
      <c r="U5" s="71">
        <f t="shared" ref="U5:U11" si="4">IF(I5&gt;0.75,0.75,I5)</f>
        <v>0.25</v>
      </c>
      <c r="V5" s="71">
        <f t="shared" ref="V5:V11" si="5">IF(J5&gt;0.75,0.75,J5)</f>
        <v>0.25</v>
      </c>
      <c r="W5" s="71">
        <f t="shared" ref="W5:W11" si="6">IF(K5&gt;0.75,0.75,K5)</f>
        <v>0.25</v>
      </c>
      <c r="X5" s="71">
        <f t="shared" ref="X5:X11" si="7">IF(L5&gt;0.75,0.75,L5)</f>
        <v>0.25</v>
      </c>
      <c r="Y5" s="71">
        <f t="shared" ref="Y5:Y11" si="8">IF(M5&gt;0.75,0.75,M5)</f>
        <v>0.25</v>
      </c>
      <c r="Z5" s="71">
        <f t="shared" ref="Z5:Z11" si="9">IF(N5&gt;0.75,0.75,N5)</f>
        <v>0.25</v>
      </c>
      <c r="AA5" s="71">
        <f t="shared" ref="AA5:AA11" si="10">IF(O5&gt;0.75,0.75,O5)</f>
        <v>0.25</v>
      </c>
    </row>
    <row r="6" spans="5:27">
      <c r="E6" s="65" t="s">
        <v>73</v>
      </c>
      <c r="F6" s="71">
        <v>0</v>
      </c>
      <c r="G6" s="71">
        <v>0.75</v>
      </c>
      <c r="H6" s="71">
        <v>0.75</v>
      </c>
      <c r="I6" s="71">
        <v>0.75</v>
      </c>
      <c r="J6" s="71">
        <v>0.75</v>
      </c>
      <c r="K6" s="71">
        <v>0.75</v>
      </c>
      <c r="L6" s="71">
        <v>0.75</v>
      </c>
      <c r="M6" s="71">
        <v>0.75</v>
      </c>
      <c r="N6" s="71">
        <v>0.75</v>
      </c>
      <c r="O6" s="71">
        <v>0.75</v>
      </c>
      <c r="Q6" s="65" t="s">
        <v>73</v>
      </c>
      <c r="R6" s="71">
        <f t="shared" si="1"/>
        <v>0</v>
      </c>
      <c r="S6" s="71">
        <f t="shared" si="2"/>
        <v>0.75</v>
      </c>
      <c r="T6" s="71">
        <f t="shared" si="3"/>
        <v>0.75</v>
      </c>
      <c r="U6" s="71">
        <f t="shared" si="4"/>
        <v>0.75</v>
      </c>
      <c r="V6" s="71">
        <f t="shared" si="5"/>
        <v>0.75</v>
      </c>
      <c r="W6" s="71">
        <f t="shared" si="6"/>
        <v>0.75</v>
      </c>
      <c r="X6" s="71">
        <f t="shared" si="7"/>
        <v>0.75</v>
      </c>
      <c r="Y6" s="71">
        <f t="shared" si="8"/>
        <v>0.75</v>
      </c>
      <c r="Z6" s="71">
        <f t="shared" si="9"/>
        <v>0.75</v>
      </c>
      <c r="AA6" s="71">
        <f t="shared" si="10"/>
        <v>0.75</v>
      </c>
    </row>
    <row r="7" spans="5:27">
      <c r="E7" s="65" t="s">
        <v>74</v>
      </c>
      <c r="F7" s="71">
        <v>0.25</v>
      </c>
      <c r="G7" s="71">
        <v>0.75</v>
      </c>
      <c r="H7" s="71">
        <v>1</v>
      </c>
      <c r="I7" s="71">
        <v>1</v>
      </c>
      <c r="J7" s="71">
        <v>1</v>
      </c>
      <c r="K7" s="71">
        <v>1</v>
      </c>
      <c r="L7" s="71">
        <v>1</v>
      </c>
      <c r="M7" s="71">
        <v>0.75</v>
      </c>
      <c r="N7" s="71">
        <v>0.75</v>
      </c>
      <c r="O7" s="71">
        <v>0.75</v>
      </c>
      <c r="Q7" s="65" t="s">
        <v>74</v>
      </c>
      <c r="R7" s="71">
        <f t="shared" si="1"/>
        <v>0.25</v>
      </c>
      <c r="S7" s="71">
        <f t="shared" si="2"/>
        <v>0.75</v>
      </c>
      <c r="T7" s="71">
        <f t="shared" si="3"/>
        <v>0.75</v>
      </c>
      <c r="U7" s="71">
        <f t="shared" si="4"/>
        <v>0.75</v>
      </c>
      <c r="V7" s="71">
        <f t="shared" si="5"/>
        <v>0.75</v>
      </c>
      <c r="W7" s="71">
        <f t="shared" si="6"/>
        <v>0.75</v>
      </c>
      <c r="X7" s="71">
        <f t="shared" si="7"/>
        <v>0.75</v>
      </c>
      <c r="Y7" s="71">
        <f t="shared" si="8"/>
        <v>0.75</v>
      </c>
      <c r="Z7" s="71">
        <f t="shared" si="9"/>
        <v>0.75</v>
      </c>
      <c r="AA7" s="71">
        <f t="shared" si="10"/>
        <v>0.75</v>
      </c>
    </row>
    <row r="8" spans="5:27">
      <c r="E8" s="65" t="s">
        <v>75</v>
      </c>
      <c r="F8" s="71">
        <v>0.25</v>
      </c>
      <c r="G8" s="71">
        <v>1.25</v>
      </c>
      <c r="H8" s="71">
        <v>1.75</v>
      </c>
      <c r="I8" s="71">
        <v>2</v>
      </c>
      <c r="J8" s="71">
        <v>2</v>
      </c>
      <c r="K8" s="71">
        <v>2</v>
      </c>
      <c r="L8" s="71">
        <v>2</v>
      </c>
      <c r="M8" s="71">
        <v>1.5</v>
      </c>
      <c r="N8" s="71">
        <v>1.5</v>
      </c>
      <c r="O8" s="71">
        <v>1.5</v>
      </c>
      <c r="Q8" s="65" t="s">
        <v>75</v>
      </c>
      <c r="R8" s="71">
        <f t="shared" si="1"/>
        <v>0.25</v>
      </c>
      <c r="S8" s="71">
        <f t="shared" si="2"/>
        <v>0.75</v>
      </c>
      <c r="T8" s="71">
        <f t="shared" si="3"/>
        <v>0.75</v>
      </c>
      <c r="U8" s="71">
        <f t="shared" si="4"/>
        <v>0.75</v>
      </c>
      <c r="V8" s="71">
        <f t="shared" si="5"/>
        <v>0.75</v>
      </c>
      <c r="W8" s="71">
        <f t="shared" si="6"/>
        <v>0.75</v>
      </c>
      <c r="X8" s="71">
        <f t="shared" si="7"/>
        <v>0.75</v>
      </c>
      <c r="Y8" s="71">
        <f t="shared" si="8"/>
        <v>0.75</v>
      </c>
      <c r="Z8" s="71">
        <f t="shared" si="9"/>
        <v>0.75</v>
      </c>
      <c r="AA8" s="71">
        <f t="shared" si="10"/>
        <v>0.75</v>
      </c>
    </row>
    <row r="9" spans="5:27">
      <c r="E9" s="65" t="s">
        <v>76</v>
      </c>
      <c r="F9" s="71">
        <v>0.75</v>
      </c>
      <c r="G9" s="71">
        <v>1.5</v>
      </c>
      <c r="H9" s="71">
        <v>2.25</v>
      </c>
      <c r="I9" s="71">
        <v>2.5</v>
      </c>
      <c r="J9" s="71">
        <v>2.5</v>
      </c>
      <c r="K9" s="71">
        <v>2.5</v>
      </c>
      <c r="L9" s="71">
        <v>2.5</v>
      </c>
      <c r="M9" s="71">
        <v>2</v>
      </c>
      <c r="N9" s="71">
        <v>2</v>
      </c>
      <c r="O9" s="71">
        <v>2</v>
      </c>
      <c r="Q9" s="65" t="s">
        <v>76</v>
      </c>
      <c r="R9" s="71">
        <f t="shared" si="1"/>
        <v>0.75</v>
      </c>
      <c r="S9" s="71">
        <f t="shared" si="2"/>
        <v>0.75</v>
      </c>
      <c r="T9" s="71">
        <f t="shared" si="3"/>
        <v>0.75</v>
      </c>
      <c r="U9" s="71">
        <f t="shared" si="4"/>
        <v>0.75</v>
      </c>
      <c r="V9" s="71">
        <f t="shared" si="5"/>
        <v>0.75</v>
      </c>
      <c r="W9" s="71">
        <f t="shared" si="6"/>
        <v>0.75</v>
      </c>
      <c r="X9" s="71">
        <f t="shared" si="7"/>
        <v>0.75</v>
      </c>
      <c r="Y9" s="71">
        <f t="shared" si="8"/>
        <v>0.75</v>
      </c>
      <c r="Z9" s="71">
        <f t="shared" si="9"/>
        <v>0.75</v>
      </c>
      <c r="AA9" s="71">
        <f t="shared" si="10"/>
        <v>0.75</v>
      </c>
    </row>
    <row r="10" spans="5:27">
      <c r="E10" s="65" t="s">
        <v>77</v>
      </c>
      <c r="F10" s="71">
        <v>0.75</v>
      </c>
      <c r="G10" s="71">
        <v>1.75</v>
      </c>
      <c r="H10" s="71">
        <v>2.75</v>
      </c>
      <c r="I10" s="71">
        <v>3</v>
      </c>
      <c r="J10" s="71">
        <v>3</v>
      </c>
      <c r="K10" s="71">
        <v>3</v>
      </c>
      <c r="L10" s="71">
        <v>3</v>
      </c>
      <c r="M10" s="71">
        <v>2.75</v>
      </c>
      <c r="N10" s="71">
        <v>2.75</v>
      </c>
      <c r="O10" s="71">
        <v>2.75</v>
      </c>
      <c r="Q10" s="65" t="s">
        <v>77</v>
      </c>
      <c r="R10" s="71">
        <f t="shared" si="1"/>
        <v>0.75</v>
      </c>
      <c r="S10" s="71">
        <f t="shared" si="2"/>
        <v>0.75</v>
      </c>
      <c r="T10" s="71">
        <f t="shared" si="3"/>
        <v>0.75</v>
      </c>
      <c r="U10" s="71">
        <f t="shared" si="4"/>
        <v>0.75</v>
      </c>
      <c r="V10" s="71">
        <f t="shared" si="5"/>
        <v>0.75</v>
      </c>
      <c r="W10" s="71">
        <f t="shared" si="6"/>
        <v>0.75</v>
      </c>
      <c r="X10" s="71">
        <f t="shared" si="7"/>
        <v>0.75</v>
      </c>
      <c r="Y10" s="71">
        <f t="shared" si="8"/>
        <v>0.75</v>
      </c>
      <c r="Z10" s="71">
        <f t="shared" si="9"/>
        <v>0.75</v>
      </c>
      <c r="AA10" s="71">
        <f t="shared" si="10"/>
        <v>0.75</v>
      </c>
    </row>
    <row r="11" spans="5:27">
      <c r="E11" s="65" t="s">
        <v>78</v>
      </c>
      <c r="F11" s="71">
        <v>0.75</v>
      </c>
      <c r="G11" s="71">
        <v>1.75</v>
      </c>
      <c r="H11" s="71">
        <v>3.25</v>
      </c>
      <c r="I11" s="71">
        <v>3.25</v>
      </c>
      <c r="J11" s="71">
        <v>3.25</v>
      </c>
      <c r="K11" s="71">
        <v>3.25</v>
      </c>
      <c r="L11" s="71">
        <v>3.25</v>
      </c>
      <c r="M11" s="71">
        <v>3.25</v>
      </c>
      <c r="N11" s="71">
        <v>3.25</v>
      </c>
      <c r="O11" s="71">
        <v>3.25</v>
      </c>
      <c r="Q11" s="65" t="s">
        <v>78</v>
      </c>
      <c r="R11" s="71">
        <f t="shared" si="1"/>
        <v>0.75</v>
      </c>
      <c r="S11" s="71">
        <f t="shared" si="2"/>
        <v>0.75</v>
      </c>
      <c r="T11" s="71">
        <f t="shared" si="3"/>
        <v>0.75</v>
      </c>
      <c r="U11" s="71">
        <f t="shared" si="4"/>
        <v>0.75</v>
      </c>
      <c r="V11" s="71">
        <f t="shared" si="5"/>
        <v>0.75</v>
      </c>
      <c r="W11" s="71">
        <f t="shared" si="6"/>
        <v>0.75</v>
      </c>
      <c r="X11" s="71">
        <f t="shared" si="7"/>
        <v>0.75</v>
      </c>
      <c r="Y11" s="71">
        <f t="shared" si="8"/>
        <v>0.75</v>
      </c>
      <c r="Z11" s="71">
        <f t="shared" si="9"/>
        <v>0.75</v>
      </c>
      <c r="AA11" s="71">
        <f t="shared" si="10"/>
        <v>0.75</v>
      </c>
    </row>
    <row r="13" spans="5:27">
      <c r="E13" s="67" t="s">
        <v>43</v>
      </c>
    </row>
    <row r="14" spans="5:27">
      <c r="E14" s="63"/>
      <c r="F14" s="81" t="s">
        <v>61</v>
      </c>
      <c r="G14" s="82"/>
      <c r="H14" s="82"/>
      <c r="I14" s="82"/>
      <c r="J14" s="82"/>
      <c r="K14" s="82"/>
      <c r="L14" s="82"/>
      <c r="M14" s="82"/>
      <c r="N14" s="82"/>
      <c r="O14" s="83"/>
      <c r="Q14" s="63"/>
      <c r="R14" s="81" t="s">
        <v>61</v>
      </c>
      <c r="S14" s="82"/>
      <c r="T14" s="82"/>
      <c r="U14" s="82"/>
      <c r="V14" s="82"/>
      <c r="W14" s="82"/>
      <c r="X14" s="82"/>
      <c r="Y14" s="82"/>
      <c r="Z14" s="82"/>
      <c r="AA14" s="83"/>
    </row>
    <row r="15" spans="5:27">
      <c r="E15" s="63" t="s">
        <v>62</v>
      </c>
      <c r="F15" s="64" t="s">
        <v>63</v>
      </c>
      <c r="G15" s="64" t="s">
        <v>64</v>
      </c>
      <c r="H15" s="64" t="s">
        <v>65</v>
      </c>
      <c r="I15" s="64" t="s">
        <v>66</v>
      </c>
      <c r="J15" s="64" t="s">
        <v>67</v>
      </c>
      <c r="K15" s="64" t="s">
        <v>68</v>
      </c>
      <c r="L15" s="64" t="s">
        <v>69</v>
      </c>
      <c r="M15" s="64" t="s">
        <v>70</v>
      </c>
      <c r="N15" s="64" t="s">
        <v>79</v>
      </c>
      <c r="O15" s="64" t="s">
        <v>80</v>
      </c>
      <c r="Q15" s="63" t="s">
        <v>62</v>
      </c>
      <c r="R15" s="64" t="s">
        <v>63</v>
      </c>
      <c r="S15" s="64" t="s">
        <v>64</v>
      </c>
      <c r="T15" s="64" t="s">
        <v>65</v>
      </c>
      <c r="U15" s="64" t="s">
        <v>66</v>
      </c>
      <c r="V15" s="64" t="s">
        <v>67</v>
      </c>
      <c r="W15" s="64" t="s">
        <v>68</v>
      </c>
      <c r="X15" s="64" t="s">
        <v>69</v>
      </c>
      <c r="Y15" s="64" t="s">
        <v>70</v>
      </c>
      <c r="Z15" s="64" t="s">
        <v>79</v>
      </c>
      <c r="AA15" s="64" t="s">
        <v>80</v>
      </c>
    </row>
    <row r="16" spans="5:27">
      <c r="E16" s="65" t="s">
        <v>71</v>
      </c>
      <c r="F16" s="71">
        <v>0</v>
      </c>
      <c r="G16" s="71">
        <v>0.25</v>
      </c>
      <c r="H16" s="71">
        <v>0.25</v>
      </c>
      <c r="I16" s="71">
        <v>0.5</v>
      </c>
      <c r="J16" s="71">
        <v>0.5</v>
      </c>
      <c r="K16" s="71">
        <v>0.5</v>
      </c>
      <c r="L16" s="71">
        <v>0.5</v>
      </c>
      <c r="M16" s="71">
        <v>1</v>
      </c>
      <c r="N16" s="71" t="s">
        <v>84</v>
      </c>
      <c r="O16" s="71" t="s">
        <v>84</v>
      </c>
      <c r="Q16" s="65" t="s">
        <v>71</v>
      </c>
      <c r="R16" s="71">
        <f>IF(F16&gt;0.75,0.75,F16)</f>
        <v>0</v>
      </c>
      <c r="S16" s="71">
        <f t="shared" ref="S16:Y16" si="11">IF(G16&gt;0.75,0.75,G16)</f>
        <v>0.25</v>
      </c>
      <c r="T16" s="71">
        <f t="shared" si="11"/>
        <v>0.25</v>
      </c>
      <c r="U16" s="71">
        <f t="shared" si="11"/>
        <v>0.5</v>
      </c>
      <c r="V16" s="71">
        <f t="shared" si="11"/>
        <v>0.5</v>
      </c>
      <c r="W16" s="71">
        <f t="shared" si="11"/>
        <v>0.5</v>
      </c>
      <c r="X16" s="71">
        <f t="shared" si="11"/>
        <v>0.5</v>
      </c>
      <c r="Y16" s="71">
        <f t="shared" si="11"/>
        <v>0.75</v>
      </c>
      <c r="Z16" s="71">
        <v>0.75</v>
      </c>
      <c r="AA16" s="71">
        <v>0.75</v>
      </c>
    </row>
    <row r="17" spans="5:27">
      <c r="E17" s="65" t="s">
        <v>72</v>
      </c>
      <c r="F17" s="71">
        <v>0</v>
      </c>
      <c r="G17" s="71">
        <v>0.25</v>
      </c>
      <c r="H17" s="71">
        <v>0.5</v>
      </c>
      <c r="I17" s="71">
        <v>0.75</v>
      </c>
      <c r="J17" s="71">
        <v>0.75</v>
      </c>
      <c r="K17" s="71">
        <v>0.75</v>
      </c>
      <c r="L17" s="71">
        <v>0.75</v>
      </c>
      <c r="M17" s="71">
        <v>1.25</v>
      </c>
      <c r="N17" s="71" t="s">
        <v>84</v>
      </c>
      <c r="O17" s="71" t="s">
        <v>84</v>
      </c>
      <c r="Q17" s="65" t="s">
        <v>72</v>
      </c>
      <c r="R17" s="71">
        <f t="shared" ref="R17:R23" si="12">IF(F17&gt;0.75,0.75,F17)</f>
        <v>0</v>
      </c>
      <c r="S17" s="71">
        <f t="shared" ref="S17:S23" si="13">IF(G17&gt;0.75,0.75,G17)</f>
        <v>0.25</v>
      </c>
      <c r="T17" s="71">
        <f t="shared" ref="T17:T23" si="14">IF(H17&gt;0.75,0.75,H17)</f>
        <v>0.5</v>
      </c>
      <c r="U17" s="71">
        <f t="shared" ref="U17:U23" si="15">IF(I17&gt;0.75,0.75,I17)</f>
        <v>0.75</v>
      </c>
      <c r="V17" s="71">
        <f t="shared" ref="V17:V23" si="16">IF(J17&gt;0.75,0.75,J17)</f>
        <v>0.75</v>
      </c>
      <c r="W17" s="71">
        <f t="shared" ref="W17:W23" si="17">IF(K17&gt;0.75,0.75,K17)</f>
        <v>0.75</v>
      </c>
      <c r="X17" s="71">
        <f t="shared" ref="X17:X23" si="18">IF(L17&gt;0.75,0.75,L17)</f>
        <v>0.75</v>
      </c>
      <c r="Y17" s="71">
        <f t="shared" ref="Y17:Y23" si="19">IF(M17&gt;0.75,0.75,M17)</f>
        <v>0.75</v>
      </c>
      <c r="Z17" s="71">
        <v>0.75</v>
      </c>
      <c r="AA17" s="71">
        <v>0.75</v>
      </c>
    </row>
    <row r="18" spans="5:27">
      <c r="E18" s="65" t="s">
        <v>73</v>
      </c>
      <c r="F18" s="71">
        <v>0</v>
      </c>
      <c r="G18" s="71">
        <v>0.75</v>
      </c>
      <c r="H18" s="71">
        <v>1</v>
      </c>
      <c r="I18" s="71">
        <v>1.25</v>
      </c>
      <c r="J18" s="71">
        <v>1.25</v>
      </c>
      <c r="K18" s="71">
        <v>1.25</v>
      </c>
      <c r="L18" s="71">
        <v>1.25</v>
      </c>
      <c r="M18" s="71">
        <v>1.75</v>
      </c>
      <c r="N18" s="71" t="s">
        <v>84</v>
      </c>
      <c r="O18" s="71" t="s">
        <v>84</v>
      </c>
      <c r="Q18" s="65" t="s">
        <v>73</v>
      </c>
      <c r="R18" s="71">
        <f t="shared" si="12"/>
        <v>0</v>
      </c>
      <c r="S18" s="71">
        <f t="shared" si="13"/>
        <v>0.75</v>
      </c>
      <c r="T18" s="71">
        <f t="shared" si="14"/>
        <v>0.75</v>
      </c>
      <c r="U18" s="71">
        <f t="shared" si="15"/>
        <v>0.75</v>
      </c>
      <c r="V18" s="71">
        <f t="shared" si="16"/>
        <v>0.75</v>
      </c>
      <c r="W18" s="71">
        <f t="shared" si="17"/>
        <v>0.75</v>
      </c>
      <c r="X18" s="71">
        <f t="shared" si="18"/>
        <v>0.75</v>
      </c>
      <c r="Y18" s="71">
        <f t="shared" si="19"/>
        <v>0.75</v>
      </c>
      <c r="Z18" s="71">
        <v>0.75</v>
      </c>
      <c r="AA18" s="71">
        <v>0.75</v>
      </c>
    </row>
    <row r="19" spans="5:27">
      <c r="E19" s="65" t="s">
        <v>74</v>
      </c>
      <c r="F19" s="71">
        <v>0.25</v>
      </c>
      <c r="G19" s="71">
        <v>0.75</v>
      </c>
      <c r="H19" s="71">
        <v>1.5</v>
      </c>
      <c r="I19" s="71">
        <v>2</v>
      </c>
      <c r="J19" s="71">
        <v>1.75</v>
      </c>
      <c r="K19" s="71">
        <v>1.5</v>
      </c>
      <c r="L19" s="71">
        <v>1.5</v>
      </c>
      <c r="M19" s="71">
        <v>1.75</v>
      </c>
      <c r="N19" s="71" t="s">
        <v>84</v>
      </c>
      <c r="O19" s="71" t="s">
        <v>84</v>
      </c>
      <c r="Q19" s="65" t="s">
        <v>74</v>
      </c>
      <c r="R19" s="71">
        <f t="shared" si="12"/>
        <v>0.25</v>
      </c>
      <c r="S19" s="71">
        <f t="shared" si="13"/>
        <v>0.75</v>
      </c>
      <c r="T19" s="71">
        <f t="shared" si="14"/>
        <v>0.75</v>
      </c>
      <c r="U19" s="71">
        <f t="shared" si="15"/>
        <v>0.75</v>
      </c>
      <c r="V19" s="71">
        <f t="shared" si="16"/>
        <v>0.75</v>
      </c>
      <c r="W19" s="71">
        <f t="shared" si="17"/>
        <v>0.75</v>
      </c>
      <c r="X19" s="71">
        <f t="shared" si="18"/>
        <v>0.75</v>
      </c>
      <c r="Y19" s="71">
        <f t="shared" si="19"/>
        <v>0.75</v>
      </c>
      <c r="Z19" s="71">
        <v>0.75</v>
      </c>
      <c r="AA19" s="71">
        <v>0.75</v>
      </c>
    </row>
    <row r="20" spans="5:27">
      <c r="E20" s="65" t="s">
        <v>75</v>
      </c>
      <c r="F20" s="71">
        <v>0.25</v>
      </c>
      <c r="G20" s="71">
        <v>1.25</v>
      </c>
      <c r="H20" s="71">
        <v>2.25</v>
      </c>
      <c r="I20" s="71">
        <v>2.75</v>
      </c>
      <c r="J20" s="71">
        <v>3</v>
      </c>
      <c r="K20" s="71">
        <v>2.5</v>
      </c>
      <c r="L20" s="71">
        <v>2.5</v>
      </c>
      <c r="M20" s="71">
        <v>2.5</v>
      </c>
      <c r="N20" s="71" t="s">
        <v>84</v>
      </c>
      <c r="O20" s="71" t="s">
        <v>84</v>
      </c>
      <c r="Q20" s="65" t="s">
        <v>75</v>
      </c>
      <c r="R20" s="71">
        <f t="shared" si="12"/>
        <v>0.25</v>
      </c>
      <c r="S20" s="71">
        <f t="shared" si="13"/>
        <v>0.75</v>
      </c>
      <c r="T20" s="71">
        <f t="shared" si="14"/>
        <v>0.75</v>
      </c>
      <c r="U20" s="71">
        <f t="shared" si="15"/>
        <v>0.75</v>
      </c>
      <c r="V20" s="71">
        <f t="shared" si="16"/>
        <v>0.75</v>
      </c>
      <c r="W20" s="71">
        <f t="shared" si="17"/>
        <v>0.75</v>
      </c>
      <c r="X20" s="71">
        <f t="shared" si="18"/>
        <v>0.75</v>
      </c>
      <c r="Y20" s="71">
        <f t="shared" si="19"/>
        <v>0.75</v>
      </c>
      <c r="Z20" s="71">
        <v>0.75</v>
      </c>
      <c r="AA20" s="71">
        <v>0.75</v>
      </c>
    </row>
    <row r="21" spans="5:27">
      <c r="E21" s="65" t="s">
        <v>76</v>
      </c>
      <c r="F21" s="71">
        <v>0.75</v>
      </c>
      <c r="G21" s="71">
        <v>1.5</v>
      </c>
      <c r="H21" s="71">
        <v>2.75</v>
      </c>
      <c r="I21" s="71">
        <v>3.25</v>
      </c>
      <c r="J21" s="71">
        <v>3.5</v>
      </c>
      <c r="K21" s="71">
        <v>3</v>
      </c>
      <c r="L21" s="71">
        <v>3</v>
      </c>
      <c r="M21" s="71">
        <v>3</v>
      </c>
      <c r="N21" s="71" t="s">
        <v>84</v>
      </c>
      <c r="O21" s="71" t="s">
        <v>84</v>
      </c>
      <c r="Q21" s="65" t="s">
        <v>76</v>
      </c>
      <c r="R21" s="71">
        <f t="shared" si="12"/>
        <v>0.75</v>
      </c>
      <c r="S21" s="71">
        <f t="shared" si="13"/>
        <v>0.75</v>
      </c>
      <c r="T21" s="71">
        <f t="shared" si="14"/>
        <v>0.75</v>
      </c>
      <c r="U21" s="71">
        <f t="shared" si="15"/>
        <v>0.75</v>
      </c>
      <c r="V21" s="71">
        <f t="shared" si="16"/>
        <v>0.75</v>
      </c>
      <c r="W21" s="71">
        <f t="shared" si="17"/>
        <v>0.75</v>
      </c>
      <c r="X21" s="71">
        <f t="shared" si="18"/>
        <v>0.75</v>
      </c>
      <c r="Y21" s="71">
        <f t="shared" si="19"/>
        <v>0.75</v>
      </c>
      <c r="Z21" s="71">
        <v>0.75</v>
      </c>
      <c r="AA21" s="71">
        <v>0.75</v>
      </c>
    </row>
    <row r="22" spans="5:27">
      <c r="E22" s="65" t="s">
        <v>77</v>
      </c>
      <c r="F22" s="71">
        <v>0.75</v>
      </c>
      <c r="G22" s="71">
        <v>1.75</v>
      </c>
      <c r="H22" s="71">
        <v>3.25</v>
      </c>
      <c r="I22" s="71">
        <v>3.25</v>
      </c>
      <c r="J22" s="71">
        <v>3.5</v>
      </c>
      <c r="K22" s="71">
        <v>3.5</v>
      </c>
      <c r="L22" s="71">
        <v>3.5</v>
      </c>
      <c r="M22" s="71">
        <v>3.75</v>
      </c>
      <c r="N22" s="71" t="s">
        <v>84</v>
      </c>
      <c r="O22" s="71" t="s">
        <v>84</v>
      </c>
      <c r="Q22" s="65" t="s">
        <v>77</v>
      </c>
      <c r="R22" s="71">
        <f t="shared" si="12"/>
        <v>0.75</v>
      </c>
      <c r="S22" s="71">
        <f t="shared" si="13"/>
        <v>0.75</v>
      </c>
      <c r="T22" s="71">
        <f t="shared" si="14"/>
        <v>0.75</v>
      </c>
      <c r="U22" s="71">
        <f t="shared" si="15"/>
        <v>0.75</v>
      </c>
      <c r="V22" s="71">
        <f t="shared" si="16"/>
        <v>0.75</v>
      </c>
      <c r="W22" s="71">
        <f t="shared" si="17"/>
        <v>0.75</v>
      </c>
      <c r="X22" s="71">
        <f t="shared" si="18"/>
        <v>0.75</v>
      </c>
      <c r="Y22" s="71">
        <f t="shared" si="19"/>
        <v>0.75</v>
      </c>
      <c r="Z22" s="71">
        <v>0.75</v>
      </c>
      <c r="AA22" s="71">
        <v>0.75</v>
      </c>
    </row>
    <row r="23" spans="5:27">
      <c r="E23" s="65" t="s">
        <v>78</v>
      </c>
      <c r="F23" s="71">
        <v>0.75</v>
      </c>
      <c r="G23" s="71">
        <v>1.75</v>
      </c>
      <c r="H23" s="71">
        <v>3.25</v>
      </c>
      <c r="I23" s="71">
        <v>3.25</v>
      </c>
      <c r="J23" s="71">
        <v>3.5</v>
      </c>
      <c r="K23" s="71">
        <v>3.5</v>
      </c>
      <c r="L23" s="71">
        <v>3.5</v>
      </c>
      <c r="M23" s="71">
        <v>4</v>
      </c>
      <c r="N23" s="71" t="s">
        <v>84</v>
      </c>
      <c r="O23" s="71" t="s">
        <v>84</v>
      </c>
      <c r="Q23" s="65" t="s">
        <v>78</v>
      </c>
      <c r="R23" s="71">
        <f t="shared" si="12"/>
        <v>0.75</v>
      </c>
      <c r="S23" s="71">
        <f t="shared" si="13"/>
        <v>0.75</v>
      </c>
      <c r="T23" s="71">
        <f t="shared" si="14"/>
        <v>0.75</v>
      </c>
      <c r="U23" s="71">
        <f t="shared" si="15"/>
        <v>0.75</v>
      </c>
      <c r="V23" s="71">
        <f t="shared" si="16"/>
        <v>0.75</v>
      </c>
      <c r="W23" s="71">
        <f t="shared" si="17"/>
        <v>0.75</v>
      </c>
      <c r="X23" s="71">
        <f t="shared" si="18"/>
        <v>0.75</v>
      </c>
      <c r="Y23" s="71">
        <f t="shared" si="19"/>
        <v>0.75</v>
      </c>
      <c r="Z23" s="71">
        <v>0.75</v>
      </c>
      <c r="AA23" s="71">
        <v>0.75</v>
      </c>
    </row>
    <row r="24" spans="5:27">
      <c r="E24" s="69"/>
      <c r="F24" s="70"/>
      <c r="G24" s="70"/>
      <c r="H24" s="70"/>
      <c r="I24" s="70"/>
      <c r="J24" s="70"/>
      <c r="K24" s="70"/>
      <c r="L24" s="70"/>
      <c r="M24" s="70"/>
    </row>
    <row r="25" spans="5:27">
      <c r="E25" s="68" t="s">
        <v>82</v>
      </c>
    </row>
    <row r="26" spans="5:27">
      <c r="E26" s="63"/>
      <c r="F26" s="81" t="s">
        <v>61</v>
      </c>
      <c r="G26" s="82"/>
      <c r="H26" s="82"/>
      <c r="I26" s="82"/>
      <c r="J26" s="82"/>
      <c r="K26" s="82"/>
      <c r="L26" s="82"/>
      <c r="M26" s="82"/>
      <c r="N26" s="82"/>
      <c r="O26" s="83"/>
      <c r="Q26" s="63"/>
      <c r="R26" s="81" t="s">
        <v>61</v>
      </c>
      <c r="S26" s="82"/>
      <c r="T26" s="82"/>
      <c r="U26" s="82"/>
      <c r="V26" s="82"/>
      <c r="W26" s="82"/>
      <c r="X26" s="82"/>
      <c r="Y26" s="82"/>
      <c r="Z26" s="82"/>
      <c r="AA26" s="83"/>
    </row>
    <row r="27" spans="5:27">
      <c r="E27" s="63" t="s">
        <v>62</v>
      </c>
      <c r="F27" s="64" t="s">
        <v>63</v>
      </c>
      <c r="G27" s="64" t="s">
        <v>64</v>
      </c>
      <c r="H27" s="64" t="s">
        <v>65</v>
      </c>
      <c r="I27" s="64" t="s">
        <v>66</v>
      </c>
      <c r="J27" s="64" t="s">
        <v>67</v>
      </c>
      <c r="K27" s="64" t="s">
        <v>68</v>
      </c>
      <c r="L27" s="64" t="s">
        <v>69</v>
      </c>
      <c r="M27" s="64" t="s">
        <v>70</v>
      </c>
      <c r="N27" s="64" t="s">
        <v>79</v>
      </c>
      <c r="O27" s="64" t="s">
        <v>80</v>
      </c>
      <c r="Q27" s="63" t="s">
        <v>62</v>
      </c>
      <c r="R27" s="64" t="s">
        <v>63</v>
      </c>
      <c r="S27" s="64" t="s">
        <v>64</v>
      </c>
      <c r="T27" s="64" t="s">
        <v>65</v>
      </c>
      <c r="U27" s="64" t="s">
        <v>66</v>
      </c>
      <c r="V27" s="64" t="s">
        <v>67</v>
      </c>
      <c r="W27" s="64" t="s">
        <v>68</v>
      </c>
      <c r="X27" s="64" t="s">
        <v>69</v>
      </c>
      <c r="Y27" s="64" t="s">
        <v>70</v>
      </c>
      <c r="Z27" s="64" t="s">
        <v>79</v>
      </c>
      <c r="AA27" s="64" t="s">
        <v>80</v>
      </c>
    </row>
    <row r="28" spans="5:27">
      <c r="E28" s="65" t="s">
        <v>71</v>
      </c>
      <c r="F28" s="71">
        <f>F16-F4</f>
        <v>0</v>
      </c>
      <c r="G28" s="71">
        <f t="shared" ref="G28:M28" si="20">G16-G4</f>
        <v>0</v>
      </c>
      <c r="H28" s="71">
        <f t="shared" si="20"/>
        <v>0</v>
      </c>
      <c r="I28" s="71">
        <f t="shared" si="20"/>
        <v>0.25</v>
      </c>
      <c r="J28" s="71">
        <f t="shared" si="20"/>
        <v>0.25</v>
      </c>
      <c r="K28" s="71">
        <f t="shared" si="20"/>
        <v>0.25</v>
      </c>
      <c r="L28" s="71">
        <f t="shared" si="20"/>
        <v>0.25</v>
      </c>
      <c r="M28" s="71">
        <f t="shared" si="20"/>
        <v>0.75</v>
      </c>
      <c r="N28" s="71" t="s">
        <v>84</v>
      </c>
      <c r="O28" s="71" t="s">
        <v>84</v>
      </c>
      <c r="Q28" s="65" t="s">
        <v>71</v>
      </c>
      <c r="R28" s="71">
        <f>R16-R4</f>
        <v>0</v>
      </c>
      <c r="S28" s="71">
        <f t="shared" ref="S28:Y28" si="21">S16-S4</f>
        <v>0</v>
      </c>
      <c r="T28" s="71">
        <f t="shared" si="21"/>
        <v>0</v>
      </c>
      <c r="U28" s="71">
        <f t="shared" si="21"/>
        <v>0.25</v>
      </c>
      <c r="V28" s="71">
        <f t="shared" si="21"/>
        <v>0.25</v>
      </c>
      <c r="W28" s="71">
        <f t="shared" si="21"/>
        <v>0.25</v>
      </c>
      <c r="X28" s="71">
        <f t="shared" si="21"/>
        <v>0.25</v>
      </c>
      <c r="Y28" s="71">
        <f t="shared" si="21"/>
        <v>0.5</v>
      </c>
      <c r="Z28" s="71">
        <f t="shared" ref="Z28:AA35" si="22">Z16-Z4</f>
        <v>0.5</v>
      </c>
      <c r="AA28" s="71">
        <f t="shared" si="22"/>
        <v>0.5</v>
      </c>
    </row>
    <row r="29" spans="5:27">
      <c r="E29" s="65" t="s">
        <v>72</v>
      </c>
      <c r="F29" s="71">
        <f t="shared" ref="F29:M29" si="23">F17-F5</f>
        <v>0</v>
      </c>
      <c r="G29" s="71">
        <f t="shared" si="23"/>
        <v>0</v>
      </c>
      <c r="H29" s="71">
        <f t="shared" si="23"/>
        <v>0.25</v>
      </c>
      <c r="I29" s="71">
        <f t="shared" si="23"/>
        <v>0.5</v>
      </c>
      <c r="J29" s="71">
        <f t="shared" si="23"/>
        <v>0.5</v>
      </c>
      <c r="K29" s="71">
        <f t="shared" si="23"/>
        <v>0.5</v>
      </c>
      <c r="L29" s="71">
        <f t="shared" si="23"/>
        <v>0.5</v>
      </c>
      <c r="M29" s="71">
        <f t="shared" si="23"/>
        <v>1</v>
      </c>
      <c r="N29" s="71" t="s">
        <v>84</v>
      </c>
      <c r="O29" s="71" t="s">
        <v>84</v>
      </c>
      <c r="Q29" s="65" t="s">
        <v>72</v>
      </c>
      <c r="R29" s="71">
        <f t="shared" ref="R29:Y29" si="24">R17-R5</f>
        <v>0</v>
      </c>
      <c r="S29" s="71">
        <f t="shared" si="24"/>
        <v>0</v>
      </c>
      <c r="T29" s="71">
        <f t="shared" si="24"/>
        <v>0.25</v>
      </c>
      <c r="U29" s="71">
        <f t="shared" si="24"/>
        <v>0.5</v>
      </c>
      <c r="V29" s="71">
        <f t="shared" si="24"/>
        <v>0.5</v>
      </c>
      <c r="W29" s="71">
        <f t="shared" si="24"/>
        <v>0.5</v>
      </c>
      <c r="X29" s="71">
        <f t="shared" si="24"/>
        <v>0.5</v>
      </c>
      <c r="Y29" s="71">
        <f t="shared" si="24"/>
        <v>0.5</v>
      </c>
      <c r="Z29" s="71">
        <f t="shared" si="22"/>
        <v>0.5</v>
      </c>
      <c r="AA29" s="71">
        <f t="shared" si="22"/>
        <v>0.5</v>
      </c>
    </row>
    <row r="30" spans="5:27">
      <c r="E30" s="65" t="s">
        <v>73</v>
      </c>
      <c r="F30" s="71">
        <f t="shared" ref="F30:M30" si="25">F18-F6</f>
        <v>0</v>
      </c>
      <c r="G30" s="71">
        <f t="shared" si="25"/>
        <v>0</v>
      </c>
      <c r="H30" s="71">
        <f t="shared" si="25"/>
        <v>0.25</v>
      </c>
      <c r="I30" s="71">
        <f t="shared" si="25"/>
        <v>0.5</v>
      </c>
      <c r="J30" s="71">
        <f t="shared" si="25"/>
        <v>0.5</v>
      </c>
      <c r="K30" s="71">
        <f t="shared" si="25"/>
        <v>0.5</v>
      </c>
      <c r="L30" s="71">
        <f t="shared" si="25"/>
        <v>0.5</v>
      </c>
      <c r="M30" s="71">
        <f t="shared" si="25"/>
        <v>1</v>
      </c>
      <c r="N30" s="71" t="s">
        <v>84</v>
      </c>
      <c r="O30" s="71" t="s">
        <v>84</v>
      </c>
      <c r="Q30" s="65" t="s">
        <v>73</v>
      </c>
      <c r="R30" s="71">
        <f t="shared" ref="R30:Y30" si="26">R18-R6</f>
        <v>0</v>
      </c>
      <c r="S30" s="71">
        <f t="shared" si="26"/>
        <v>0</v>
      </c>
      <c r="T30" s="71">
        <f t="shared" si="26"/>
        <v>0</v>
      </c>
      <c r="U30" s="71">
        <f t="shared" si="26"/>
        <v>0</v>
      </c>
      <c r="V30" s="71">
        <f t="shared" si="26"/>
        <v>0</v>
      </c>
      <c r="W30" s="71">
        <f t="shared" si="26"/>
        <v>0</v>
      </c>
      <c r="X30" s="71">
        <f t="shared" si="26"/>
        <v>0</v>
      </c>
      <c r="Y30" s="71">
        <f t="shared" si="26"/>
        <v>0</v>
      </c>
      <c r="Z30" s="71">
        <f t="shared" si="22"/>
        <v>0</v>
      </c>
      <c r="AA30" s="71">
        <f t="shared" si="22"/>
        <v>0</v>
      </c>
    </row>
    <row r="31" spans="5:27">
      <c r="E31" s="65" t="s">
        <v>74</v>
      </c>
      <c r="F31" s="71">
        <f t="shared" ref="F31:M31" si="27">F19-F7</f>
        <v>0</v>
      </c>
      <c r="G31" s="71">
        <f t="shared" si="27"/>
        <v>0</v>
      </c>
      <c r="H31" s="71">
        <f t="shared" si="27"/>
        <v>0.5</v>
      </c>
      <c r="I31" s="71">
        <f t="shared" si="27"/>
        <v>1</v>
      </c>
      <c r="J31" s="71">
        <f t="shared" si="27"/>
        <v>0.75</v>
      </c>
      <c r="K31" s="71">
        <f t="shared" si="27"/>
        <v>0.5</v>
      </c>
      <c r="L31" s="71">
        <f t="shared" si="27"/>
        <v>0.5</v>
      </c>
      <c r="M31" s="71">
        <f t="shared" si="27"/>
        <v>1</v>
      </c>
      <c r="N31" s="71" t="s">
        <v>84</v>
      </c>
      <c r="O31" s="71" t="s">
        <v>84</v>
      </c>
      <c r="Q31" s="65" t="s">
        <v>74</v>
      </c>
      <c r="R31" s="71">
        <f t="shared" ref="R31:Y31" si="28">R19-R7</f>
        <v>0</v>
      </c>
      <c r="S31" s="71">
        <f t="shared" si="28"/>
        <v>0</v>
      </c>
      <c r="T31" s="71">
        <f t="shared" si="28"/>
        <v>0</v>
      </c>
      <c r="U31" s="71">
        <f t="shared" si="28"/>
        <v>0</v>
      </c>
      <c r="V31" s="71">
        <f t="shared" si="28"/>
        <v>0</v>
      </c>
      <c r="W31" s="71">
        <f t="shared" si="28"/>
        <v>0</v>
      </c>
      <c r="X31" s="71">
        <f t="shared" si="28"/>
        <v>0</v>
      </c>
      <c r="Y31" s="71">
        <f t="shared" si="28"/>
        <v>0</v>
      </c>
      <c r="Z31" s="71">
        <f t="shared" si="22"/>
        <v>0</v>
      </c>
      <c r="AA31" s="71">
        <f t="shared" si="22"/>
        <v>0</v>
      </c>
    </row>
    <row r="32" spans="5:27">
      <c r="E32" s="65" t="s">
        <v>75</v>
      </c>
      <c r="F32" s="71">
        <f t="shared" ref="F32:M32" si="29">F20-F8</f>
        <v>0</v>
      </c>
      <c r="G32" s="71">
        <f t="shared" si="29"/>
        <v>0</v>
      </c>
      <c r="H32" s="71">
        <f t="shared" si="29"/>
        <v>0.5</v>
      </c>
      <c r="I32" s="71">
        <f t="shared" si="29"/>
        <v>0.75</v>
      </c>
      <c r="J32" s="71">
        <f t="shared" si="29"/>
        <v>1</v>
      </c>
      <c r="K32" s="71">
        <f t="shared" si="29"/>
        <v>0.5</v>
      </c>
      <c r="L32" s="71">
        <f t="shared" si="29"/>
        <v>0.5</v>
      </c>
      <c r="M32" s="71">
        <f t="shared" si="29"/>
        <v>1</v>
      </c>
      <c r="N32" s="71" t="s">
        <v>84</v>
      </c>
      <c r="O32" s="71" t="s">
        <v>84</v>
      </c>
      <c r="Q32" s="65" t="s">
        <v>75</v>
      </c>
      <c r="R32" s="71">
        <f t="shared" ref="R32:Y32" si="30">R20-R8</f>
        <v>0</v>
      </c>
      <c r="S32" s="71">
        <f t="shared" si="30"/>
        <v>0</v>
      </c>
      <c r="T32" s="71">
        <f t="shared" si="30"/>
        <v>0</v>
      </c>
      <c r="U32" s="71">
        <f t="shared" si="30"/>
        <v>0</v>
      </c>
      <c r="V32" s="71">
        <f t="shared" si="30"/>
        <v>0</v>
      </c>
      <c r="W32" s="71">
        <f t="shared" si="30"/>
        <v>0</v>
      </c>
      <c r="X32" s="71">
        <f t="shared" si="30"/>
        <v>0</v>
      </c>
      <c r="Y32" s="71">
        <f t="shared" si="30"/>
        <v>0</v>
      </c>
      <c r="Z32" s="71">
        <f t="shared" si="22"/>
        <v>0</v>
      </c>
      <c r="AA32" s="71">
        <f t="shared" si="22"/>
        <v>0</v>
      </c>
    </row>
    <row r="33" spans="5:27">
      <c r="E33" s="65" t="s">
        <v>76</v>
      </c>
      <c r="F33" s="71">
        <f t="shared" ref="F33:M33" si="31">F21-F9</f>
        <v>0</v>
      </c>
      <c r="G33" s="71">
        <f t="shared" si="31"/>
        <v>0</v>
      </c>
      <c r="H33" s="71">
        <f t="shared" si="31"/>
        <v>0.5</v>
      </c>
      <c r="I33" s="71">
        <f t="shared" si="31"/>
        <v>0.75</v>
      </c>
      <c r="J33" s="71">
        <f t="shared" si="31"/>
        <v>1</v>
      </c>
      <c r="K33" s="71">
        <f t="shared" si="31"/>
        <v>0.5</v>
      </c>
      <c r="L33" s="71">
        <f t="shared" si="31"/>
        <v>0.5</v>
      </c>
      <c r="M33" s="71">
        <f t="shared" si="31"/>
        <v>1</v>
      </c>
      <c r="N33" s="71" t="s">
        <v>84</v>
      </c>
      <c r="O33" s="71" t="s">
        <v>84</v>
      </c>
      <c r="Q33" s="65" t="s">
        <v>76</v>
      </c>
      <c r="R33" s="71">
        <f t="shared" ref="R33:Y33" si="32">R21-R9</f>
        <v>0</v>
      </c>
      <c r="S33" s="71">
        <f t="shared" si="32"/>
        <v>0</v>
      </c>
      <c r="T33" s="71">
        <f t="shared" si="32"/>
        <v>0</v>
      </c>
      <c r="U33" s="71">
        <f t="shared" si="32"/>
        <v>0</v>
      </c>
      <c r="V33" s="71">
        <f t="shared" si="32"/>
        <v>0</v>
      </c>
      <c r="W33" s="71">
        <f t="shared" si="32"/>
        <v>0</v>
      </c>
      <c r="X33" s="71">
        <f t="shared" si="32"/>
        <v>0</v>
      </c>
      <c r="Y33" s="71">
        <f t="shared" si="32"/>
        <v>0</v>
      </c>
      <c r="Z33" s="71">
        <f t="shared" si="22"/>
        <v>0</v>
      </c>
      <c r="AA33" s="71">
        <f t="shared" si="22"/>
        <v>0</v>
      </c>
    </row>
    <row r="34" spans="5:27">
      <c r="E34" s="65" t="s">
        <v>77</v>
      </c>
      <c r="F34" s="71">
        <f t="shared" ref="F34:M34" si="33">F22-F10</f>
        <v>0</v>
      </c>
      <c r="G34" s="71">
        <f t="shared" si="33"/>
        <v>0</v>
      </c>
      <c r="H34" s="71">
        <f t="shared" si="33"/>
        <v>0.5</v>
      </c>
      <c r="I34" s="71">
        <f t="shared" si="33"/>
        <v>0.25</v>
      </c>
      <c r="J34" s="71">
        <f t="shared" si="33"/>
        <v>0.5</v>
      </c>
      <c r="K34" s="71">
        <f t="shared" si="33"/>
        <v>0.5</v>
      </c>
      <c r="L34" s="71">
        <f t="shared" si="33"/>
        <v>0.5</v>
      </c>
      <c r="M34" s="71">
        <f t="shared" si="33"/>
        <v>1</v>
      </c>
      <c r="N34" s="71" t="s">
        <v>84</v>
      </c>
      <c r="O34" s="71" t="s">
        <v>84</v>
      </c>
      <c r="Q34" s="65" t="s">
        <v>77</v>
      </c>
      <c r="R34" s="71">
        <f t="shared" ref="R34:Y34" si="34">R22-R10</f>
        <v>0</v>
      </c>
      <c r="S34" s="71">
        <f t="shared" si="34"/>
        <v>0</v>
      </c>
      <c r="T34" s="71">
        <f t="shared" si="34"/>
        <v>0</v>
      </c>
      <c r="U34" s="71">
        <f t="shared" si="34"/>
        <v>0</v>
      </c>
      <c r="V34" s="71">
        <f t="shared" si="34"/>
        <v>0</v>
      </c>
      <c r="W34" s="71">
        <f t="shared" si="34"/>
        <v>0</v>
      </c>
      <c r="X34" s="71">
        <f t="shared" si="34"/>
        <v>0</v>
      </c>
      <c r="Y34" s="71">
        <f t="shared" si="34"/>
        <v>0</v>
      </c>
      <c r="Z34" s="71">
        <f t="shared" si="22"/>
        <v>0</v>
      </c>
      <c r="AA34" s="71">
        <f t="shared" si="22"/>
        <v>0</v>
      </c>
    </row>
    <row r="35" spans="5:27">
      <c r="E35" s="65" t="s">
        <v>78</v>
      </c>
      <c r="F35" s="71">
        <f t="shared" ref="F35:M35" si="35">F23-F11</f>
        <v>0</v>
      </c>
      <c r="G35" s="71">
        <f t="shared" si="35"/>
        <v>0</v>
      </c>
      <c r="H35" s="71">
        <f t="shared" si="35"/>
        <v>0</v>
      </c>
      <c r="I35" s="71">
        <f t="shared" si="35"/>
        <v>0</v>
      </c>
      <c r="J35" s="71">
        <f t="shared" si="35"/>
        <v>0.25</v>
      </c>
      <c r="K35" s="71">
        <f t="shared" si="35"/>
        <v>0.25</v>
      </c>
      <c r="L35" s="71">
        <f t="shared" si="35"/>
        <v>0.25</v>
      </c>
      <c r="M35" s="71">
        <f t="shared" si="35"/>
        <v>0.75</v>
      </c>
      <c r="N35" s="71" t="s">
        <v>84</v>
      </c>
      <c r="O35" s="71" t="s">
        <v>84</v>
      </c>
      <c r="Q35" s="65" t="s">
        <v>78</v>
      </c>
      <c r="R35" s="71">
        <f t="shared" ref="R35:Y35" si="36">R23-R11</f>
        <v>0</v>
      </c>
      <c r="S35" s="71">
        <f t="shared" si="36"/>
        <v>0</v>
      </c>
      <c r="T35" s="71">
        <f t="shared" si="36"/>
        <v>0</v>
      </c>
      <c r="U35" s="71">
        <f t="shared" si="36"/>
        <v>0</v>
      </c>
      <c r="V35" s="71">
        <f t="shared" si="36"/>
        <v>0</v>
      </c>
      <c r="W35" s="71">
        <f t="shared" si="36"/>
        <v>0</v>
      </c>
      <c r="X35" s="71">
        <f t="shared" si="36"/>
        <v>0</v>
      </c>
      <c r="Y35" s="71">
        <f t="shared" si="36"/>
        <v>0</v>
      </c>
      <c r="Z35" s="71">
        <f t="shared" si="22"/>
        <v>0</v>
      </c>
      <c r="AA35" s="71">
        <f t="shared" si="22"/>
        <v>0</v>
      </c>
    </row>
    <row r="36" spans="5:27">
      <c r="F36" s="66"/>
      <c r="G36" s="66"/>
      <c r="H36" s="66"/>
      <c r="I36" s="66"/>
      <c r="J36" s="66"/>
      <c r="K36" s="66"/>
      <c r="L36" s="66"/>
      <c r="M36" s="66"/>
    </row>
  </sheetData>
  <mergeCells count="4">
    <mergeCell ref="R26:AA26"/>
    <mergeCell ref="R14:AA14"/>
    <mergeCell ref="F14:O14"/>
    <mergeCell ref="F26:O26"/>
  </mergeCells>
  <conditionalFormatting sqref="F4:O11">
    <cfRule type="cellIs" dxfId="12" priority="7" operator="greaterThanOrEqual">
      <formula>0.75</formula>
    </cfRule>
  </conditionalFormatting>
  <conditionalFormatting sqref="F16:O23">
    <cfRule type="cellIs" dxfId="11" priority="6" operator="greaterThanOrEqual">
      <formula>0.75</formula>
    </cfRule>
  </conditionalFormatting>
  <conditionalFormatting sqref="R16:AA23">
    <cfRule type="cellIs" dxfId="10" priority="3" operator="greaterThanOrEqual">
      <formula>0.75</formula>
    </cfRule>
  </conditionalFormatting>
  <conditionalFormatting sqref="R4:AA11">
    <cfRule type="cellIs" dxfId="9" priority="4" operator="greaterThanOrEqual">
      <formula>0.75</formula>
    </cfRule>
  </conditionalFormatting>
  <conditionalFormatting sqref="F28:O35">
    <cfRule type="colorScale" priority="2">
      <colorScale>
        <cfvo type="min"/>
        <cfvo type="max"/>
        <color theme="0"/>
        <color theme="4" tint="0.59999389629810485"/>
      </colorScale>
    </cfRule>
  </conditionalFormatting>
  <conditionalFormatting sqref="R28:AA35">
    <cfRule type="colorScale" priority="1">
      <colorScale>
        <cfvo type="min"/>
        <cfvo type="max"/>
        <color theme="0"/>
        <color theme="4" tint="0.59999389629810485"/>
      </colorScale>
    </cfRule>
  </conditionalFormatting>
  <pageMargins left="0.7" right="0.7" top="0.75" bottom="0.75" header="0.3" footer="0.3"/>
  <pageSetup scale="53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Q228"/>
  <sheetViews>
    <sheetView topLeftCell="K1" zoomScaleNormal="100" workbookViewId="0">
      <selection activeCell="AK36" sqref="AK36"/>
    </sheetView>
  </sheetViews>
  <sheetFormatPr defaultRowHeight="15"/>
  <cols>
    <col min="6" max="6" width="10.7109375" bestFit="1" customWidth="1"/>
    <col min="7" max="7" width="12.85546875" bestFit="1" customWidth="1"/>
    <col min="9" max="9" width="10.7109375" bestFit="1" customWidth="1"/>
    <col min="10" max="10" width="12.85546875" bestFit="1" customWidth="1"/>
    <col min="11" max="11" width="19" bestFit="1" customWidth="1"/>
    <col min="12" max="13" width="19" customWidth="1"/>
    <col min="15" max="15" width="10.7109375" bestFit="1" customWidth="1"/>
    <col min="16" max="16" width="12.85546875" bestFit="1" customWidth="1"/>
    <col min="17" max="17" width="12" bestFit="1" customWidth="1"/>
  </cols>
  <sheetData>
    <row r="1" spans="2:17">
      <c r="F1" t="s">
        <v>85</v>
      </c>
      <c r="I1" t="s">
        <v>86</v>
      </c>
      <c r="O1" t="s">
        <v>88</v>
      </c>
    </row>
    <row r="2" spans="2:17">
      <c r="B2" s="61" t="s">
        <v>31</v>
      </c>
      <c r="C2" t="s">
        <v>85</v>
      </c>
      <c r="D2" t="s">
        <v>87</v>
      </c>
      <c r="F2" t="s">
        <v>31</v>
      </c>
      <c r="G2" t="s">
        <v>37</v>
      </c>
      <c r="I2" t="s">
        <v>31</v>
      </c>
      <c r="J2" t="s">
        <v>37</v>
      </c>
      <c r="K2" t="s">
        <v>89</v>
      </c>
      <c r="L2" t="s">
        <v>90</v>
      </c>
      <c r="M2" t="s">
        <v>91</v>
      </c>
      <c r="O2" t="s">
        <v>31</v>
      </c>
      <c r="P2" t="s">
        <v>37</v>
      </c>
      <c r="Q2" t="s">
        <v>36</v>
      </c>
    </row>
    <row r="3" spans="2:17">
      <c r="B3" s="60">
        <v>40549</v>
      </c>
      <c r="C3" s="37">
        <f>VLOOKUP(B3,F:G,2,0)</f>
        <v>0.68934342154794104</v>
      </c>
      <c r="D3" s="37">
        <f>VLOOKUP(B3,I:J,2,0)</f>
        <v>0.32204130779229101</v>
      </c>
      <c r="F3" s="1">
        <v>40549</v>
      </c>
      <c r="G3">
        <v>0.68934342154794104</v>
      </c>
      <c r="I3" s="1">
        <v>40549</v>
      </c>
      <c r="J3">
        <v>0.32204130779229101</v>
      </c>
      <c r="K3" s="72">
        <v>511152631253.10303</v>
      </c>
      <c r="L3" s="72">
        <f>VLOOKUP(I3,O:Q,3,0)</f>
        <v>895480193330.53601</v>
      </c>
      <c r="M3" s="37">
        <f>K3/L3*100%</f>
        <v>0.57081400019802386</v>
      </c>
      <c r="O3" s="1">
        <v>40549</v>
      </c>
      <c r="P3" s="37">
        <v>0.209513267626425</v>
      </c>
      <c r="Q3">
        <v>895480193330.53601</v>
      </c>
    </row>
    <row r="4" spans="2:17">
      <c r="B4" s="60">
        <v>40556</v>
      </c>
      <c r="C4" s="37">
        <f t="shared" ref="C4:C67" si="0">VLOOKUP(B4,F:G,2,0)</f>
        <v>0.70307643177109502</v>
      </c>
      <c r="D4" s="37">
        <f t="shared" ref="D4:D67" si="1">VLOOKUP(B4,I:J,2,0)</f>
        <v>0.33944259689377898</v>
      </c>
      <c r="F4" s="1">
        <v>40556</v>
      </c>
      <c r="G4">
        <v>0.70307643177109502</v>
      </c>
      <c r="I4" s="1">
        <v>40556</v>
      </c>
      <c r="J4">
        <v>0.33944259689377898</v>
      </c>
      <c r="K4" s="72">
        <v>511152631253.10303</v>
      </c>
      <c r="L4" s="72">
        <f t="shared" ref="L4:L67" si="2">VLOOKUP(I4,O:Q,3,0)</f>
        <v>895480193330.53601</v>
      </c>
      <c r="M4" s="37">
        <f t="shared" ref="M4:M67" si="3">K4/L4*100%</f>
        <v>0.57081400019802386</v>
      </c>
      <c r="O4" s="1">
        <v>40556</v>
      </c>
      <c r="P4" s="37">
        <v>0.228652572402892</v>
      </c>
      <c r="Q4">
        <v>895480193330.53601</v>
      </c>
    </row>
    <row r="5" spans="2:17">
      <c r="B5" s="60">
        <v>40563</v>
      </c>
      <c r="C5" s="37">
        <f t="shared" si="0"/>
        <v>0.68938813329756798</v>
      </c>
      <c r="D5" s="37">
        <f t="shared" si="1"/>
        <v>0.32792342987711598</v>
      </c>
      <c r="F5" s="1">
        <v>40563</v>
      </c>
      <c r="G5">
        <v>0.68938813329756798</v>
      </c>
      <c r="I5" s="1">
        <v>40563</v>
      </c>
      <c r="J5">
        <v>0.32792342987711598</v>
      </c>
      <c r="K5" s="72">
        <v>511152631253.10303</v>
      </c>
      <c r="L5" s="72">
        <f t="shared" si="2"/>
        <v>895480193330.53601</v>
      </c>
      <c r="M5" s="37">
        <f t="shared" si="3"/>
        <v>0.57081400019802386</v>
      </c>
      <c r="O5" s="1">
        <v>40563</v>
      </c>
      <c r="P5" s="37">
        <v>0.21311797232714499</v>
      </c>
      <c r="Q5">
        <v>895480193330.53601</v>
      </c>
    </row>
    <row r="6" spans="2:17">
      <c r="B6" s="60">
        <v>40570</v>
      </c>
      <c r="C6" s="37">
        <f t="shared" si="0"/>
        <v>0.68933878258023296</v>
      </c>
      <c r="D6" s="37">
        <f t="shared" si="1"/>
        <v>0.32039053977925802</v>
      </c>
      <c r="F6" s="1">
        <v>40570</v>
      </c>
      <c r="G6">
        <v>0.68933878258023296</v>
      </c>
      <c r="I6" s="1">
        <v>40570</v>
      </c>
      <c r="J6">
        <v>0.32039053977925802</v>
      </c>
      <c r="K6" s="72">
        <v>511152631253.10303</v>
      </c>
      <c r="L6" s="72">
        <f t="shared" si="2"/>
        <v>895480193330.53601</v>
      </c>
      <c r="M6" s="37">
        <f t="shared" si="3"/>
        <v>0.57081400019802386</v>
      </c>
      <c r="O6" s="1">
        <v>40570</v>
      </c>
      <c r="P6" s="37">
        <v>0.208109326084263</v>
      </c>
      <c r="Q6">
        <v>895480193330.53601</v>
      </c>
    </row>
    <row r="7" spans="2:17">
      <c r="B7" s="60">
        <v>40577</v>
      </c>
      <c r="C7" s="37">
        <f t="shared" si="0"/>
        <v>0.67503887167036103</v>
      </c>
      <c r="D7" s="37">
        <f t="shared" si="1"/>
        <v>0.295596785601205</v>
      </c>
      <c r="F7" s="1">
        <v>40577</v>
      </c>
      <c r="G7">
        <v>0.67503887167036103</v>
      </c>
      <c r="I7" s="1">
        <v>40577</v>
      </c>
      <c r="J7">
        <v>0.295596785601205</v>
      </c>
      <c r="K7" s="72">
        <v>498355321367.67102</v>
      </c>
      <c r="L7" s="72">
        <f t="shared" si="2"/>
        <v>900632902369.08301</v>
      </c>
      <c r="M7" s="37">
        <f t="shared" si="3"/>
        <v>0.55333901310596689</v>
      </c>
      <c r="O7" s="1">
        <v>40577</v>
      </c>
      <c r="P7" s="37">
        <v>0.17891549814152399</v>
      </c>
      <c r="Q7">
        <v>900632902369.08301</v>
      </c>
    </row>
    <row r="8" spans="2:17">
      <c r="B8" s="60">
        <v>40584</v>
      </c>
      <c r="C8" s="37">
        <f t="shared" si="0"/>
        <v>0.62601198303170802</v>
      </c>
      <c r="D8" s="37">
        <f t="shared" si="1"/>
        <v>0.234840435700295</v>
      </c>
      <c r="F8" s="1">
        <v>40584</v>
      </c>
      <c r="G8">
        <v>0.62601198303170802</v>
      </c>
      <c r="I8" s="1">
        <v>40584</v>
      </c>
      <c r="J8">
        <v>0.234840435700295</v>
      </c>
      <c r="K8" s="72">
        <v>498355321367.67102</v>
      </c>
      <c r="L8" s="72">
        <f t="shared" si="2"/>
        <v>900632902369.08301</v>
      </c>
      <c r="M8" s="37">
        <f t="shared" si="3"/>
        <v>0.55333901310596689</v>
      </c>
      <c r="O8" s="1">
        <v>40584</v>
      </c>
      <c r="P8" s="37">
        <v>0.134560222484256</v>
      </c>
      <c r="Q8">
        <v>900632902369.08301</v>
      </c>
    </row>
    <row r="9" spans="2:17">
      <c r="B9" s="60">
        <v>40591</v>
      </c>
      <c r="C9" s="37">
        <f t="shared" si="0"/>
        <v>0.64635810340061295</v>
      </c>
      <c r="D9" s="37">
        <f t="shared" si="1"/>
        <v>0.25513974378513499</v>
      </c>
      <c r="F9" s="1">
        <v>40591</v>
      </c>
      <c r="G9">
        <v>0.64635810340061295</v>
      </c>
      <c r="I9" s="1">
        <v>40591</v>
      </c>
      <c r="J9">
        <v>0.25513974378513499</v>
      </c>
      <c r="K9" s="72">
        <v>498355321367.67102</v>
      </c>
      <c r="L9" s="72">
        <f t="shared" si="2"/>
        <v>900632902369.08301</v>
      </c>
      <c r="M9" s="37">
        <f t="shared" si="3"/>
        <v>0.55333901310596689</v>
      </c>
      <c r="O9" s="1">
        <v>40591</v>
      </c>
      <c r="P9" s="37">
        <v>0.14775234916291499</v>
      </c>
      <c r="Q9">
        <v>900632902369.08301</v>
      </c>
    </row>
    <row r="10" spans="2:17">
      <c r="B10" s="60">
        <v>40598</v>
      </c>
      <c r="C10" s="37">
        <f t="shared" si="0"/>
        <v>0.657316480570869</v>
      </c>
      <c r="D10" s="37">
        <f t="shared" si="1"/>
        <v>0.27027204570239999</v>
      </c>
      <c r="F10" s="1">
        <v>40598</v>
      </c>
      <c r="G10">
        <v>0.657316480570869</v>
      </c>
      <c r="I10" s="1">
        <v>40598</v>
      </c>
      <c r="J10">
        <v>0.27027204570239999</v>
      </c>
      <c r="K10" s="72">
        <v>498355321367.67102</v>
      </c>
      <c r="L10" s="72">
        <f t="shared" si="2"/>
        <v>900632902369.08301</v>
      </c>
      <c r="M10" s="37">
        <f t="shared" si="3"/>
        <v>0.55333901310596689</v>
      </c>
      <c r="O10" s="1">
        <v>40598</v>
      </c>
      <c r="P10" s="37">
        <v>0.160094781437121</v>
      </c>
      <c r="Q10">
        <v>900632902369.08301</v>
      </c>
    </row>
    <row r="11" spans="2:17">
      <c r="B11" s="60">
        <v>40605</v>
      </c>
      <c r="C11" s="37">
        <f t="shared" si="0"/>
        <v>0.67062319372880397</v>
      </c>
      <c r="D11" s="37">
        <f t="shared" si="1"/>
        <v>0.27618659696598702</v>
      </c>
      <c r="F11" s="1">
        <v>40605</v>
      </c>
      <c r="G11">
        <v>0.67062319372880397</v>
      </c>
      <c r="I11" s="1">
        <v>40605</v>
      </c>
      <c r="J11">
        <v>0.27618659696598702</v>
      </c>
      <c r="K11" s="72">
        <v>487217270284.03302</v>
      </c>
      <c r="L11" s="72">
        <f t="shared" si="2"/>
        <v>898485534285.64099</v>
      </c>
      <c r="M11" s="37">
        <f t="shared" si="3"/>
        <v>0.54226501339435018</v>
      </c>
      <c r="O11" s="1">
        <v>40605</v>
      </c>
      <c r="P11" s="37">
        <v>0.16418790753930701</v>
      </c>
      <c r="Q11">
        <v>898485534285.64099</v>
      </c>
    </row>
    <row r="12" spans="2:17">
      <c r="B12" s="60">
        <v>40612</v>
      </c>
      <c r="C12" s="37">
        <f t="shared" si="0"/>
        <v>0.67056643052686704</v>
      </c>
      <c r="D12" s="37">
        <f t="shared" si="1"/>
        <v>0.27593598906514399</v>
      </c>
      <c r="F12" s="1">
        <v>40612</v>
      </c>
      <c r="G12">
        <v>0.67056643052686704</v>
      </c>
      <c r="I12" s="1">
        <v>40612</v>
      </c>
      <c r="J12">
        <v>0.27593598906514399</v>
      </c>
      <c r="K12" s="72">
        <v>487217270284.03302</v>
      </c>
      <c r="L12" s="72">
        <f t="shared" si="2"/>
        <v>898485534285.64099</v>
      </c>
      <c r="M12" s="37">
        <f t="shared" si="3"/>
        <v>0.54226501339435018</v>
      </c>
      <c r="O12" s="1">
        <v>40612</v>
      </c>
      <c r="P12" s="37">
        <v>0.16404066322029201</v>
      </c>
      <c r="Q12">
        <v>898485534285.64099</v>
      </c>
    </row>
    <row r="13" spans="2:17">
      <c r="B13" s="60">
        <v>40619</v>
      </c>
      <c r="C13" s="37">
        <f t="shared" si="0"/>
        <v>0.69499981858565096</v>
      </c>
      <c r="D13" s="37">
        <f t="shared" si="1"/>
        <v>0.30794837748269599</v>
      </c>
      <c r="F13" s="1">
        <v>40619</v>
      </c>
      <c r="G13">
        <v>0.69499981858565096</v>
      </c>
      <c r="I13" s="1">
        <v>40619</v>
      </c>
      <c r="J13">
        <v>0.30794837748269599</v>
      </c>
      <c r="K13" s="72">
        <v>487217270284.03302</v>
      </c>
      <c r="L13" s="72">
        <f t="shared" si="2"/>
        <v>898485534285.64099</v>
      </c>
      <c r="M13" s="37">
        <f t="shared" si="3"/>
        <v>0.54226501339435018</v>
      </c>
      <c r="O13" s="1">
        <v>40619</v>
      </c>
      <c r="P13" s="37">
        <v>0.19779470766972801</v>
      </c>
      <c r="Q13">
        <v>898485534285.64099</v>
      </c>
    </row>
    <row r="14" spans="2:17">
      <c r="B14" s="60">
        <v>40626</v>
      </c>
      <c r="C14" s="37">
        <f t="shared" si="0"/>
        <v>0.68107814802781896</v>
      </c>
      <c r="D14" s="37">
        <f t="shared" si="1"/>
        <v>0.29055412632630701</v>
      </c>
      <c r="F14" s="1">
        <v>40626</v>
      </c>
      <c r="G14">
        <v>0.68107814802781896</v>
      </c>
      <c r="I14" s="1">
        <v>40626</v>
      </c>
      <c r="J14">
        <v>0.29055412632630701</v>
      </c>
      <c r="K14" s="72">
        <v>487217270284.03302</v>
      </c>
      <c r="L14" s="72">
        <f t="shared" si="2"/>
        <v>898485534285.64099</v>
      </c>
      <c r="M14" s="37">
        <f t="shared" si="3"/>
        <v>0.54226501339435018</v>
      </c>
      <c r="O14" s="1">
        <v>40626</v>
      </c>
      <c r="P14" s="37">
        <v>0.17977939874028501</v>
      </c>
      <c r="Q14">
        <v>898485534285.64099</v>
      </c>
    </row>
    <row r="15" spans="2:17">
      <c r="B15" s="60">
        <v>40633</v>
      </c>
      <c r="C15" s="37">
        <f t="shared" si="0"/>
        <v>0.67063539524591398</v>
      </c>
      <c r="D15" s="37">
        <f t="shared" si="1"/>
        <v>0.276215339287747</v>
      </c>
      <c r="F15" s="1">
        <v>40633</v>
      </c>
      <c r="G15">
        <v>0.67063539524591398</v>
      </c>
      <c r="I15" s="1">
        <v>40633</v>
      </c>
      <c r="J15">
        <v>0.276215339287747</v>
      </c>
      <c r="K15" s="72">
        <v>487217270284.03302</v>
      </c>
      <c r="L15" s="72">
        <f t="shared" si="2"/>
        <v>898485534285.64099</v>
      </c>
      <c r="M15" s="37">
        <f t="shared" si="3"/>
        <v>0.54226501339435018</v>
      </c>
      <c r="O15" s="1">
        <v>40633</v>
      </c>
      <c r="P15" s="37">
        <v>0.164213722676429</v>
      </c>
      <c r="Q15">
        <v>898485534285.64099</v>
      </c>
    </row>
    <row r="16" spans="2:17">
      <c r="B16" s="60">
        <v>40640</v>
      </c>
      <c r="C16" s="37">
        <f t="shared" si="0"/>
        <v>0.667098340408248</v>
      </c>
      <c r="D16" s="37">
        <f t="shared" si="1"/>
        <v>0.28032672938051101</v>
      </c>
      <c r="F16" s="1">
        <v>40640</v>
      </c>
      <c r="G16">
        <v>0.667098340408248</v>
      </c>
      <c r="I16" s="1">
        <v>40640</v>
      </c>
      <c r="J16">
        <v>0.28032672938051101</v>
      </c>
      <c r="K16" s="72">
        <v>478049332159.64398</v>
      </c>
      <c r="L16" s="72">
        <f t="shared" si="2"/>
        <v>898010001419.72205</v>
      </c>
      <c r="M16" s="37">
        <f t="shared" si="3"/>
        <v>0.53234299328945656</v>
      </c>
      <c r="O16" s="1">
        <v>40640</v>
      </c>
      <c r="P16" s="37">
        <v>0.164069567843764</v>
      </c>
      <c r="Q16">
        <v>898010001419.72205</v>
      </c>
    </row>
    <row r="17" spans="2:17">
      <c r="B17" s="60">
        <v>40647</v>
      </c>
      <c r="C17" s="37">
        <f t="shared" si="0"/>
        <v>0.66704040155500299</v>
      </c>
      <c r="D17" s="37">
        <f t="shared" si="1"/>
        <v>0.27639565795825799</v>
      </c>
      <c r="F17" s="1">
        <v>40647</v>
      </c>
      <c r="G17">
        <v>0.66704040155500299</v>
      </c>
      <c r="I17" s="1">
        <v>40647</v>
      </c>
      <c r="J17">
        <v>0.27639565795825799</v>
      </c>
      <c r="K17" s="72">
        <v>478049332159.64398</v>
      </c>
      <c r="L17" s="72">
        <f t="shared" si="2"/>
        <v>898010001419.72205</v>
      </c>
      <c r="M17" s="37">
        <f t="shared" si="3"/>
        <v>0.53234299328945656</v>
      </c>
      <c r="O17" s="1">
        <v>40647</v>
      </c>
      <c r="P17" s="37">
        <v>0.16188317261266799</v>
      </c>
      <c r="Q17">
        <v>898010001419.72205</v>
      </c>
    </row>
    <row r="18" spans="2:17">
      <c r="B18" s="60">
        <v>40654</v>
      </c>
      <c r="C18" s="37">
        <f t="shared" si="0"/>
        <v>0.67762590916364096</v>
      </c>
      <c r="D18" s="37">
        <f t="shared" si="1"/>
        <v>0.29489367773778902</v>
      </c>
      <c r="F18" s="1">
        <v>40654</v>
      </c>
      <c r="G18">
        <v>0.67762590916364096</v>
      </c>
      <c r="I18" s="1">
        <v>40654</v>
      </c>
      <c r="J18">
        <v>0.29489367773778902</v>
      </c>
      <c r="K18" s="72">
        <v>478049332159.64398</v>
      </c>
      <c r="L18" s="72">
        <f t="shared" si="2"/>
        <v>898010001419.72205</v>
      </c>
      <c r="M18" s="37">
        <f t="shared" si="3"/>
        <v>0.53234299328945656</v>
      </c>
      <c r="O18" s="1">
        <v>40654</v>
      </c>
      <c r="P18" s="37">
        <v>0.18010388926248599</v>
      </c>
      <c r="Q18">
        <v>898010001419.72205</v>
      </c>
    </row>
    <row r="19" spans="2:17">
      <c r="B19" s="60">
        <v>40661</v>
      </c>
      <c r="C19" s="37">
        <f t="shared" si="0"/>
        <v>0.67764813539017299</v>
      </c>
      <c r="D19" s="37">
        <f t="shared" si="1"/>
        <v>0.30100380523127301</v>
      </c>
      <c r="F19" s="1">
        <v>40661</v>
      </c>
      <c r="G19">
        <v>0.67764813539017299</v>
      </c>
      <c r="I19" s="1">
        <v>40661</v>
      </c>
      <c r="J19">
        <v>0.30100380523127301</v>
      </c>
      <c r="K19" s="72">
        <v>478049332159.64398</v>
      </c>
      <c r="L19" s="72">
        <f t="shared" si="2"/>
        <v>898010001419.72205</v>
      </c>
      <c r="M19" s="37">
        <f t="shared" si="3"/>
        <v>0.53234299328945656</v>
      </c>
      <c r="O19" s="1">
        <v>40661</v>
      </c>
      <c r="P19" s="37">
        <v>0.18382677970033701</v>
      </c>
      <c r="Q19">
        <v>898010001419.72205</v>
      </c>
    </row>
    <row r="20" spans="2:17">
      <c r="B20" s="60">
        <v>40668</v>
      </c>
      <c r="C20" s="37">
        <f t="shared" si="0"/>
        <v>0.68894669316518398</v>
      </c>
      <c r="D20" s="37">
        <f t="shared" si="1"/>
        <v>0.32414763510163902</v>
      </c>
      <c r="F20" s="1">
        <v>40668</v>
      </c>
      <c r="G20">
        <v>0.68894669316518398</v>
      </c>
      <c r="I20" s="1">
        <v>40668</v>
      </c>
      <c r="J20">
        <v>0.32414763510163902</v>
      </c>
      <c r="K20" s="72">
        <v>470003496681.77802</v>
      </c>
      <c r="L20" s="72">
        <f t="shared" si="2"/>
        <v>897679401564.875</v>
      </c>
      <c r="M20" s="37">
        <f t="shared" si="3"/>
        <v>0.52357611844768503</v>
      </c>
      <c r="O20" s="1">
        <v>40668</v>
      </c>
      <c r="P20" s="37">
        <v>0.203871330776419</v>
      </c>
      <c r="Q20">
        <v>897679401564.875</v>
      </c>
    </row>
    <row r="21" spans="2:17">
      <c r="B21" s="60">
        <v>40675</v>
      </c>
      <c r="C21" s="37">
        <f t="shared" si="0"/>
        <v>0.71405065373301202</v>
      </c>
      <c r="D21" s="37">
        <f t="shared" si="1"/>
        <v>0.35120080584396202</v>
      </c>
      <c r="F21" s="1">
        <v>40675</v>
      </c>
      <c r="G21">
        <v>0.71405065373301202</v>
      </c>
      <c r="I21" s="1">
        <v>40675</v>
      </c>
      <c r="J21">
        <v>0.35120080584396202</v>
      </c>
      <c r="K21" s="72">
        <v>470003496681.77802</v>
      </c>
      <c r="L21" s="72">
        <f t="shared" si="2"/>
        <v>897679401564.875</v>
      </c>
      <c r="M21" s="37">
        <f t="shared" si="3"/>
        <v>0.52357611844768503</v>
      </c>
      <c r="O21" s="1">
        <v>40675</v>
      </c>
      <c r="P21" s="37">
        <v>0.24081352175868001</v>
      </c>
      <c r="Q21">
        <v>897679401564.875</v>
      </c>
    </row>
    <row r="22" spans="2:17">
      <c r="B22" s="60">
        <v>40682</v>
      </c>
      <c r="C22" s="37">
        <f t="shared" si="0"/>
        <v>0.71407362852576595</v>
      </c>
      <c r="D22" s="37">
        <f t="shared" si="1"/>
        <v>0.35171549347634701</v>
      </c>
      <c r="F22" s="1">
        <v>40682</v>
      </c>
      <c r="G22">
        <v>0.71407362852576595</v>
      </c>
      <c r="I22" s="1">
        <v>40682</v>
      </c>
      <c r="J22">
        <v>0.35171549347634701</v>
      </c>
      <c r="K22" s="72">
        <v>470003496681.77802</v>
      </c>
      <c r="L22" s="72">
        <f t="shared" si="2"/>
        <v>897679401564.875</v>
      </c>
      <c r="M22" s="37">
        <f t="shared" si="3"/>
        <v>0.52357611844768503</v>
      </c>
      <c r="O22" s="1">
        <v>40682</v>
      </c>
      <c r="P22" s="37">
        <v>0.24117986251785001</v>
      </c>
      <c r="Q22">
        <v>897679401564.875</v>
      </c>
    </row>
    <row r="23" spans="2:17">
      <c r="B23" s="60">
        <v>40689</v>
      </c>
      <c r="C23" s="37">
        <f t="shared" si="0"/>
        <v>0.71409882525790402</v>
      </c>
      <c r="D23" s="37">
        <f t="shared" si="1"/>
        <v>0.35587573298129699</v>
      </c>
      <c r="F23" s="1">
        <v>40689</v>
      </c>
      <c r="G23">
        <v>0.71409882525790402</v>
      </c>
      <c r="I23" s="1">
        <v>40689</v>
      </c>
      <c r="J23">
        <v>0.35587573298129699</v>
      </c>
      <c r="K23" s="72">
        <v>470003496681.77802</v>
      </c>
      <c r="L23" s="72">
        <f t="shared" si="2"/>
        <v>897679401564.875</v>
      </c>
      <c r="M23" s="37">
        <f t="shared" si="3"/>
        <v>0.52357611844768503</v>
      </c>
      <c r="O23" s="1">
        <v>40689</v>
      </c>
      <c r="P23" s="37">
        <v>0.243553615533253</v>
      </c>
      <c r="Q23">
        <v>897679401564.875</v>
      </c>
    </row>
    <row r="24" spans="2:17">
      <c r="B24" s="60">
        <v>40696</v>
      </c>
      <c r="C24" s="37">
        <f t="shared" si="0"/>
        <v>0.72824875176082904</v>
      </c>
      <c r="D24" s="37">
        <f t="shared" si="1"/>
        <v>0.384751810944437</v>
      </c>
      <c r="F24" s="1">
        <v>40696</v>
      </c>
      <c r="G24">
        <v>0.72824875176082904</v>
      </c>
      <c r="I24" s="1">
        <v>40696</v>
      </c>
      <c r="J24">
        <v>0.384751810944437</v>
      </c>
      <c r="K24" s="72">
        <v>462480304706.05603</v>
      </c>
      <c r="L24" s="72">
        <f t="shared" si="2"/>
        <v>898925930940.14294</v>
      </c>
      <c r="M24" s="37">
        <f t="shared" si="3"/>
        <v>0.51448099202385933</v>
      </c>
      <c r="O24" s="1">
        <v>40696</v>
      </c>
      <c r="P24" s="37">
        <v>0.27670038879120401</v>
      </c>
      <c r="Q24">
        <v>898925930940.14294</v>
      </c>
    </row>
    <row r="25" spans="2:17">
      <c r="B25" s="60">
        <v>40703</v>
      </c>
      <c r="C25" s="37">
        <f t="shared" si="0"/>
        <v>0.74506714039606803</v>
      </c>
      <c r="D25" s="37">
        <f t="shared" si="1"/>
        <v>0.40107831488719298</v>
      </c>
      <c r="F25" s="1">
        <v>40703</v>
      </c>
      <c r="G25">
        <v>0.74506714039606803</v>
      </c>
      <c r="I25" s="1">
        <v>40703</v>
      </c>
      <c r="J25">
        <v>0.40107831488719298</v>
      </c>
      <c r="K25" s="72">
        <v>462480304706.05603</v>
      </c>
      <c r="L25" s="72">
        <f t="shared" si="2"/>
        <v>898925930940.14294</v>
      </c>
      <c r="M25" s="37">
        <f t="shared" si="3"/>
        <v>0.51448099202385933</v>
      </c>
      <c r="O25" s="1">
        <v>40703</v>
      </c>
      <c r="P25" s="37">
        <v>0.29931986389681697</v>
      </c>
      <c r="Q25">
        <v>898925930940.14294</v>
      </c>
    </row>
    <row r="26" spans="2:17">
      <c r="B26" s="60">
        <v>40710</v>
      </c>
      <c r="C26" s="37">
        <f t="shared" si="0"/>
        <v>0.74505340929157504</v>
      </c>
      <c r="D26" s="37">
        <f t="shared" si="1"/>
        <v>0.401048271232536</v>
      </c>
      <c r="F26" s="1">
        <v>40710</v>
      </c>
      <c r="G26">
        <v>0.74505340929157504</v>
      </c>
      <c r="I26" s="1">
        <v>40710</v>
      </c>
      <c r="J26">
        <v>0.401048271232536</v>
      </c>
      <c r="K26" s="72">
        <v>462480304706.05603</v>
      </c>
      <c r="L26" s="72">
        <f t="shared" si="2"/>
        <v>898925930940.14294</v>
      </c>
      <c r="M26" s="37">
        <f t="shared" si="3"/>
        <v>0.51448099202385933</v>
      </c>
      <c r="O26" s="1">
        <v>40710</v>
      </c>
      <c r="P26" s="37">
        <v>0.29927890586033901</v>
      </c>
      <c r="Q26">
        <v>898925930940.14294</v>
      </c>
    </row>
    <row r="27" spans="2:17">
      <c r="B27" s="60">
        <v>40717</v>
      </c>
      <c r="C27" s="37">
        <f t="shared" si="0"/>
        <v>0.72824875176082904</v>
      </c>
      <c r="D27" s="37">
        <f t="shared" si="1"/>
        <v>0.384751810944437</v>
      </c>
      <c r="F27" s="1">
        <v>40717</v>
      </c>
      <c r="G27">
        <v>0.72824875176082904</v>
      </c>
      <c r="I27" s="1">
        <v>40717</v>
      </c>
      <c r="J27">
        <v>0.384751810944437</v>
      </c>
      <c r="K27" s="72">
        <v>462480304706.05603</v>
      </c>
      <c r="L27" s="72">
        <f t="shared" si="2"/>
        <v>898925930940.14294</v>
      </c>
      <c r="M27" s="37">
        <f t="shared" si="3"/>
        <v>0.51448099202385933</v>
      </c>
      <c r="O27" s="1">
        <v>40717</v>
      </c>
      <c r="P27" s="37">
        <v>0.27670038879120401</v>
      </c>
      <c r="Q27">
        <v>898925930940.14294</v>
      </c>
    </row>
    <row r="28" spans="2:17">
      <c r="B28" s="60">
        <v>40724</v>
      </c>
      <c r="C28" s="37">
        <f t="shared" si="0"/>
        <v>0.74479550295308605</v>
      </c>
      <c r="D28" s="37">
        <f t="shared" si="1"/>
        <v>0.40017737051204799</v>
      </c>
      <c r="F28" s="1">
        <v>40724</v>
      </c>
      <c r="G28">
        <v>0.74479550295308605</v>
      </c>
      <c r="I28" s="1">
        <v>40724</v>
      </c>
      <c r="J28">
        <v>0.40017737051204799</v>
      </c>
      <c r="K28" s="72">
        <v>462480304706.05603</v>
      </c>
      <c r="L28" s="72">
        <f t="shared" si="2"/>
        <v>898925930940.14294</v>
      </c>
      <c r="M28" s="37">
        <f t="shared" si="3"/>
        <v>0.51448099202385933</v>
      </c>
      <c r="O28" s="1">
        <v>40724</v>
      </c>
      <c r="P28" s="37">
        <v>0.29803164102095803</v>
      </c>
      <c r="Q28">
        <v>898925930940.14294</v>
      </c>
    </row>
    <row r="29" spans="2:17">
      <c r="B29" s="60">
        <v>40731</v>
      </c>
      <c r="C29" s="37">
        <f t="shared" si="0"/>
        <v>0.70952144486954205</v>
      </c>
      <c r="D29" s="37">
        <f t="shared" si="1"/>
        <v>0.36468183111139002</v>
      </c>
      <c r="F29" s="1">
        <v>40731</v>
      </c>
      <c r="G29">
        <v>0.70952144486954205</v>
      </c>
      <c r="I29" s="1">
        <v>40731</v>
      </c>
      <c r="J29">
        <v>0.36468183111139002</v>
      </c>
      <c r="K29" s="72">
        <v>454274419000.159</v>
      </c>
      <c r="L29" s="72">
        <f t="shared" si="2"/>
        <v>896187746439.72998</v>
      </c>
      <c r="M29" s="37">
        <f t="shared" si="3"/>
        <v>0.50689648547957433</v>
      </c>
      <c r="O29" s="1">
        <v>40731</v>
      </c>
      <c r="P29" s="37">
        <v>0.246359751409859</v>
      </c>
      <c r="Q29">
        <v>896187746439.72998</v>
      </c>
    </row>
    <row r="30" spans="2:17">
      <c r="B30" s="60">
        <v>40738</v>
      </c>
      <c r="C30" s="37">
        <f t="shared" si="0"/>
        <v>0.74275012081458902</v>
      </c>
      <c r="D30" s="37">
        <f t="shared" si="1"/>
        <v>0.40333930019983799</v>
      </c>
      <c r="F30" s="1">
        <v>40738</v>
      </c>
      <c r="G30">
        <v>0.74275012081458902</v>
      </c>
      <c r="I30" s="1">
        <v>40738</v>
      </c>
      <c r="J30">
        <v>0.40333930019983799</v>
      </c>
      <c r="K30" s="72">
        <v>454274419000.159</v>
      </c>
      <c r="L30" s="72">
        <f t="shared" si="2"/>
        <v>896187746439.72998</v>
      </c>
      <c r="M30" s="37">
        <f t="shared" si="3"/>
        <v>0.50689648547957433</v>
      </c>
      <c r="O30" s="1">
        <v>40738</v>
      </c>
      <c r="P30" s="37">
        <v>0.29801285071746703</v>
      </c>
      <c r="Q30">
        <v>896187746439.72998</v>
      </c>
    </row>
    <row r="31" spans="2:17">
      <c r="B31" s="60">
        <v>40745</v>
      </c>
      <c r="C31" s="37">
        <f t="shared" si="0"/>
        <v>0.72609841989856705</v>
      </c>
      <c r="D31" s="37">
        <f t="shared" si="1"/>
        <v>0.38775372661303198</v>
      </c>
      <c r="F31" s="1">
        <v>40745</v>
      </c>
      <c r="G31">
        <v>0.72609841989856705</v>
      </c>
      <c r="I31" s="1">
        <v>40745</v>
      </c>
      <c r="J31">
        <v>0.38775372661303198</v>
      </c>
      <c r="K31" s="72">
        <v>454274419000.159</v>
      </c>
      <c r="L31" s="72">
        <f t="shared" si="2"/>
        <v>896187746439.72998</v>
      </c>
      <c r="M31" s="37">
        <f t="shared" si="3"/>
        <v>0.50689648547957433</v>
      </c>
      <c r="O31" s="1">
        <v>40745</v>
      </c>
      <c r="P31" s="37">
        <v>0.27647176144055702</v>
      </c>
      <c r="Q31">
        <v>896187746439.72998</v>
      </c>
    </row>
    <row r="32" spans="2:17">
      <c r="B32" s="60">
        <v>40752</v>
      </c>
      <c r="C32" s="37">
        <f t="shared" si="0"/>
        <v>0.72572799430629997</v>
      </c>
      <c r="D32" s="37">
        <f t="shared" si="1"/>
        <v>0.38003243735001302</v>
      </c>
      <c r="F32" s="1">
        <v>40752</v>
      </c>
      <c r="G32">
        <v>0.72572799430629997</v>
      </c>
      <c r="I32" s="1">
        <v>40752</v>
      </c>
      <c r="J32">
        <v>0.38003243735001302</v>
      </c>
      <c r="K32" s="72">
        <v>454274419000.159</v>
      </c>
      <c r="L32" s="72">
        <f t="shared" si="2"/>
        <v>896187746439.72998</v>
      </c>
      <c r="M32" s="37">
        <f t="shared" si="3"/>
        <v>0.50689648547957433</v>
      </c>
      <c r="O32" s="1">
        <v>40752</v>
      </c>
      <c r="P32" s="37">
        <v>0.26886674922653497</v>
      </c>
      <c r="Q32">
        <v>896187746439.72998</v>
      </c>
    </row>
    <row r="33" spans="2:17">
      <c r="B33" s="60">
        <v>40759</v>
      </c>
      <c r="C33" s="37">
        <f t="shared" si="0"/>
        <v>0.77903375194828495</v>
      </c>
      <c r="D33" s="37">
        <f t="shared" si="1"/>
        <v>0.44778093064805002</v>
      </c>
      <c r="F33" s="1">
        <v>40759</v>
      </c>
      <c r="G33">
        <v>0.77903375194828495</v>
      </c>
      <c r="I33" s="1">
        <v>40759</v>
      </c>
      <c r="J33">
        <v>0.44778093064805002</v>
      </c>
      <c r="K33" s="72">
        <v>446036314532.50897</v>
      </c>
      <c r="L33" s="72">
        <f t="shared" si="2"/>
        <v>896440206380.84204</v>
      </c>
      <c r="M33" s="37">
        <f t="shared" si="3"/>
        <v>0.49756393271702015</v>
      </c>
      <c r="O33" s="1">
        <v>40759</v>
      </c>
      <c r="P33" s="37">
        <v>0.35055994389214301</v>
      </c>
      <c r="Q33">
        <v>896440206380.84204</v>
      </c>
    </row>
    <row r="34" spans="2:17">
      <c r="B34" s="60">
        <v>40766</v>
      </c>
      <c r="C34" s="37">
        <f t="shared" si="0"/>
        <v>0.86382425683094299</v>
      </c>
      <c r="D34" s="37">
        <f t="shared" si="1"/>
        <v>0.52006535712284097</v>
      </c>
      <c r="F34" s="1">
        <v>40766</v>
      </c>
      <c r="G34">
        <v>0.86382425683094299</v>
      </c>
      <c r="I34" s="1">
        <v>40766</v>
      </c>
      <c r="J34">
        <v>0.52006535712284097</v>
      </c>
      <c r="K34" s="72">
        <v>446036314532.50897</v>
      </c>
      <c r="L34" s="72">
        <f t="shared" si="2"/>
        <v>896440206380.84204</v>
      </c>
      <c r="M34" s="37">
        <f t="shared" si="3"/>
        <v>0.49756393271702015</v>
      </c>
      <c r="O34" s="1">
        <v>40766</v>
      </c>
      <c r="P34" s="37">
        <v>0.44640823318837303</v>
      </c>
      <c r="Q34">
        <v>896440206380.84204</v>
      </c>
    </row>
    <row r="35" spans="2:17">
      <c r="B35" s="60">
        <v>40773</v>
      </c>
      <c r="C35" s="37">
        <f t="shared" si="0"/>
        <v>0.93211944193435403</v>
      </c>
      <c r="D35" s="37">
        <f t="shared" si="1"/>
        <v>0.58768687513124296</v>
      </c>
      <c r="F35" s="1">
        <v>40773</v>
      </c>
      <c r="G35">
        <v>0.93211944193435403</v>
      </c>
      <c r="I35" s="1">
        <v>40773</v>
      </c>
      <c r="J35">
        <v>0.58768687513124296</v>
      </c>
      <c r="K35" s="72">
        <v>446036314532.50897</v>
      </c>
      <c r="L35" s="72">
        <f t="shared" si="2"/>
        <v>896440206380.84204</v>
      </c>
      <c r="M35" s="37">
        <f t="shared" si="3"/>
        <v>0.49756393271702015</v>
      </c>
      <c r="O35" s="1">
        <v>40773</v>
      </c>
      <c r="P35" s="37">
        <v>0.53965388848865703</v>
      </c>
      <c r="Q35">
        <v>896440206380.84204</v>
      </c>
    </row>
    <row r="36" spans="2:17">
      <c r="B36" s="60">
        <v>40780</v>
      </c>
      <c r="C36" s="37">
        <f t="shared" si="0"/>
        <v>0.89991044673128795</v>
      </c>
      <c r="D36" s="37">
        <f t="shared" si="1"/>
        <v>0.55816631773039305</v>
      </c>
      <c r="F36" s="1">
        <v>40780</v>
      </c>
      <c r="G36">
        <v>0.89991044673128795</v>
      </c>
      <c r="I36" s="1">
        <v>40780</v>
      </c>
      <c r="J36">
        <v>0.55816631773039305</v>
      </c>
      <c r="K36" s="72">
        <v>446036314532.50897</v>
      </c>
      <c r="L36" s="72">
        <f t="shared" si="2"/>
        <v>896440206380.84204</v>
      </c>
      <c r="M36" s="37">
        <f t="shared" si="3"/>
        <v>0.49756393271702015</v>
      </c>
      <c r="O36" s="1">
        <v>40780</v>
      </c>
      <c r="P36" s="37">
        <v>0.49732012063845799</v>
      </c>
      <c r="Q36">
        <v>896440206380.84204</v>
      </c>
    </row>
    <row r="37" spans="2:17">
      <c r="B37" s="60">
        <v>40787</v>
      </c>
      <c r="C37" s="37">
        <f t="shared" si="0"/>
        <v>0.89921029459495505</v>
      </c>
      <c r="D37" s="37">
        <f t="shared" si="1"/>
        <v>0.56195750140436296</v>
      </c>
      <c r="F37" s="1">
        <v>40787</v>
      </c>
      <c r="G37">
        <v>0.89921029459495505</v>
      </c>
      <c r="I37" s="1">
        <v>40787</v>
      </c>
      <c r="J37">
        <v>0.56195750140436296</v>
      </c>
      <c r="K37" s="72">
        <v>436967852620.36298</v>
      </c>
      <c r="L37" s="72">
        <f t="shared" si="2"/>
        <v>895897744776.50806</v>
      </c>
      <c r="M37" s="37">
        <f t="shared" si="3"/>
        <v>0.48774299876083471</v>
      </c>
      <c r="O37" s="1">
        <v>40787</v>
      </c>
      <c r="P37" s="37">
        <v>0.49621049424249603</v>
      </c>
      <c r="Q37">
        <v>895897744776.50806</v>
      </c>
    </row>
    <row r="38" spans="2:17">
      <c r="B38" s="60">
        <v>40794</v>
      </c>
      <c r="C38" s="37">
        <f t="shared" si="0"/>
        <v>0.94885867876400498</v>
      </c>
      <c r="D38" s="37">
        <f t="shared" si="1"/>
        <v>0.60700793412000198</v>
      </c>
      <c r="F38" s="1">
        <v>40794</v>
      </c>
      <c r="G38">
        <v>0.94885867876400498</v>
      </c>
      <c r="I38" s="1">
        <v>40794</v>
      </c>
      <c r="J38">
        <v>0.60700793412000198</v>
      </c>
      <c r="K38" s="72">
        <v>436967852620.36298</v>
      </c>
      <c r="L38" s="72">
        <f t="shared" si="2"/>
        <v>895897744776.50806</v>
      </c>
      <c r="M38" s="37">
        <f t="shared" si="3"/>
        <v>0.48774299876083471</v>
      </c>
      <c r="O38" s="1">
        <v>40794</v>
      </c>
      <c r="P38" s="37">
        <v>0.56188763696413602</v>
      </c>
      <c r="Q38">
        <v>895897744776.50806</v>
      </c>
    </row>
    <row r="39" spans="2:17">
      <c r="B39" s="60">
        <v>40801</v>
      </c>
      <c r="C39" s="37">
        <f t="shared" si="0"/>
        <v>0.948919698883541</v>
      </c>
      <c r="D39" s="37">
        <f t="shared" si="1"/>
        <v>0.61032822604557502</v>
      </c>
      <c r="F39" s="1">
        <v>40801</v>
      </c>
      <c r="G39">
        <v>0.948919698883541</v>
      </c>
      <c r="I39" s="1">
        <v>40801</v>
      </c>
      <c r="J39">
        <v>0.61032822604557502</v>
      </c>
      <c r="K39" s="72">
        <v>436967852620.36298</v>
      </c>
      <c r="L39" s="72">
        <f t="shared" si="2"/>
        <v>895897744776.50806</v>
      </c>
      <c r="M39" s="37">
        <f t="shared" si="3"/>
        <v>0.48774299876083471</v>
      </c>
      <c r="O39" s="1">
        <v>40801</v>
      </c>
      <c r="P39" s="37">
        <v>0.56666393386789504</v>
      </c>
      <c r="Q39">
        <v>895897744776.50806</v>
      </c>
    </row>
    <row r="40" spans="2:17">
      <c r="B40" s="60">
        <v>40808</v>
      </c>
      <c r="C40" s="37">
        <f t="shared" si="0"/>
        <v>0.948919698883541</v>
      </c>
      <c r="D40" s="37">
        <f t="shared" si="1"/>
        <v>0.61032822604557502</v>
      </c>
      <c r="F40" s="1">
        <v>40808</v>
      </c>
      <c r="G40">
        <v>0.948919698883541</v>
      </c>
      <c r="I40" s="1">
        <v>40808</v>
      </c>
      <c r="J40">
        <v>0.61032822604557502</v>
      </c>
      <c r="K40" s="72">
        <v>436967852620.36298</v>
      </c>
      <c r="L40" s="72">
        <f t="shared" si="2"/>
        <v>895897744776.50806</v>
      </c>
      <c r="M40" s="37">
        <f t="shared" si="3"/>
        <v>0.48774299876083471</v>
      </c>
      <c r="O40" s="1">
        <v>40808</v>
      </c>
      <c r="P40" s="37">
        <v>0.56666393386789504</v>
      </c>
      <c r="Q40">
        <v>895897744776.50806</v>
      </c>
    </row>
    <row r="41" spans="2:17">
      <c r="B41" s="60">
        <v>40815</v>
      </c>
      <c r="C41" s="37">
        <f t="shared" si="0"/>
        <v>0.974512005363524</v>
      </c>
      <c r="D41" s="37">
        <f t="shared" si="1"/>
        <v>0.64853433410786498</v>
      </c>
      <c r="F41" s="1">
        <v>40815</v>
      </c>
      <c r="G41">
        <v>0.974512005363524</v>
      </c>
      <c r="I41" s="1">
        <v>40815</v>
      </c>
      <c r="J41">
        <v>0.64853433410786498</v>
      </c>
      <c r="K41" s="72">
        <v>436967852620.36298</v>
      </c>
      <c r="L41" s="72">
        <f t="shared" si="2"/>
        <v>895897744776.50806</v>
      </c>
      <c r="M41" s="37">
        <f t="shared" si="3"/>
        <v>0.48774299876083471</v>
      </c>
      <c r="O41" s="1">
        <v>40815</v>
      </c>
      <c r="P41" s="37">
        <v>0.62638177310671095</v>
      </c>
      <c r="Q41">
        <v>895897744776.50806</v>
      </c>
    </row>
    <row r="42" spans="2:17">
      <c r="B42" s="60">
        <v>40822</v>
      </c>
      <c r="C42" s="37">
        <f t="shared" si="0"/>
        <v>0.97415183550259199</v>
      </c>
      <c r="D42" s="37">
        <f t="shared" si="1"/>
        <v>0.645956259094282</v>
      </c>
      <c r="F42" s="1">
        <v>40822</v>
      </c>
      <c r="G42">
        <v>0.97415183550259199</v>
      </c>
      <c r="I42" s="1">
        <v>40822</v>
      </c>
      <c r="J42">
        <v>0.645956259094282</v>
      </c>
      <c r="K42" s="72">
        <v>426018974879.43103</v>
      </c>
      <c r="L42" s="72">
        <f t="shared" si="2"/>
        <v>890903153887.02795</v>
      </c>
      <c r="M42" s="37">
        <f t="shared" si="3"/>
        <v>0.47818775028542876</v>
      </c>
      <c r="O42" s="1">
        <v>40822</v>
      </c>
      <c r="P42" s="37">
        <v>0.61506978972280701</v>
      </c>
      <c r="Q42">
        <v>890903153887.02795</v>
      </c>
    </row>
    <row r="43" spans="2:17">
      <c r="B43" s="60">
        <v>40829</v>
      </c>
      <c r="C43" s="37">
        <f t="shared" si="0"/>
        <v>0.930833872341434</v>
      </c>
      <c r="D43" s="37">
        <f t="shared" si="1"/>
        <v>0.58447873508666104</v>
      </c>
      <c r="F43" s="1">
        <v>40829</v>
      </c>
      <c r="G43">
        <v>0.930833872341434</v>
      </c>
      <c r="I43" s="1">
        <v>40829</v>
      </c>
      <c r="J43">
        <v>0.58447873508666104</v>
      </c>
      <c r="K43" s="72">
        <v>426018974879.43103</v>
      </c>
      <c r="L43" s="72">
        <f t="shared" si="2"/>
        <v>890903153887.02795</v>
      </c>
      <c r="M43" s="37">
        <f t="shared" si="3"/>
        <v>0.47818775028542876</v>
      </c>
      <c r="O43" s="1">
        <v>40829</v>
      </c>
      <c r="P43" s="37">
        <v>0.52200302676770705</v>
      </c>
      <c r="Q43">
        <v>890903153887.02795</v>
      </c>
    </row>
    <row r="44" spans="2:17">
      <c r="B44" s="60">
        <v>40836</v>
      </c>
      <c r="C44" s="37">
        <f t="shared" si="0"/>
        <v>0.948221735508743</v>
      </c>
      <c r="D44" s="37">
        <f t="shared" si="1"/>
        <v>0.59657753136731795</v>
      </c>
      <c r="F44" s="1">
        <v>40836</v>
      </c>
      <c r="G44">
        <v>0.948221735508743</v>
      </c>
      <c r="I44" s="1">
        <v>40836</v>
      </c>
      <c r="J44">
        <v>0.59657753136731795</v>
      </c>
      <c r="K44" s="72">
        <v>426018974879.43103</v>
      </c>
      <c r="L44" s="72">
        <f t="shared" si="2"/>
        <v>890903153887.02795</v>
      </c>
      <c r="M44" s="37">
        <f t="shared" si="3"/>
        <v>0.47818775028542876</v>
      </c>
      <c r="O44" s="1">
        <v>40836</v>
      </c>
      <c r="P44" s="37">
        <v>0.54092116244187705</v>
      </c>
      <c r="Q44">
        <v>890903153887.02795</v>
      </c>
    </row>
    <row r="45" spans="2:17">
      <c r="B45" s="60">
        <v>40843</v>
      </c>
      <c r="C45" s="37">
        <f t="shared" si="0"/>
        <v>0.94825133674425999</v>
      </c>
      <c r="D45" s="37">
        <f t="shared" si="1"/>
        <v>0.59967366222938401</v>
      </c>
      <c r="F45" s="1">
        <v>40843</v>
      </c>
      <c r="G45">
        <v>0.94825133674425999</v>
      </c>
      <c r="I45" s="1">
        <v>40843</v>
      </c>
      <c r="J45">
        <v>0.59967366222938401</v>
      </c>
      <c r="K45" s="72">
        <v>426018974879.43103</v>
      </c>
      <c r="L45" s="72">
        <f t="shared" si="2"/>
        <v>890903153887.02795</v>
      </c>
      <c r="M45" s="37">
        <f t="shared" si="3"/>
        <v>0.47818775028542876</v>
      </c>
      <c r="O45" s="1">
        <v>40843</v>
      </c>
      <c r="P45" s="37">
        <v>0.54427813909906098</v>
      </c>
      <c r="Q45">
        <v>890903153887.02795</v>
      </c>
    </row>
    <row r="46" spans="2:17">
      <c r="B46" s="60">
        <v>40850</v>
      </c>
      <c r="C46" s="37">
        <f t="shared" si="0"/>
        <v>0.97363330958432404</v>
      </c>
      <c r="D46" s="37">
        <f t="shared" si="1"/>
        <v>0.63426200382067699</v>
      </c>
      <c r="F46" s="1">
        <v>40850</v>
      </c>
      <c r="G46">
        <v>0.97363330958432404</v>
      </c>
      <c r="I46" s="1">
        <v>40850</v>
      </c>
      <c r="J46">
        <v>0.63426200382067699</v>
      </c>
      <c r="K46" s="72">
        <v>412851613521.01099</v>
      </c>
      <c r="L46" s="72">
        <f t="shared" si="2"/>
        <v>880795609040.20496</v>
      </c>
      <c r="M46" s="37">
        <f t="shared" si="3"/>
        <v>0.46872578528279868</v>
      </c>
      <c r="O46" s="1">
        <v>40850</v>
      </c>
      <c r="P46" s="37">
        <v>0.59305856788240296</v>
      </c>
      <c r="Q46">
        <v>880795609040.20496</v>
      </c>
    </row>
    <row r="47" spans="2:17">
      <c r="B47" s="60">
        <v>40857</v>
      </c>
      <c r="C47" s="37">
        <f t="shared" si="0"/>
        <v>0.97363631849321397</v>
      </c>
      <c r="D47" s="37">
        <f t="shared" si="1"/>
        <v>0.63427711234699902</v>
      </c>
      <c r="F47" s="1">
        <v>40857</v>
      </c>
      <c r="G47">
        <v>0.97363631849321397</v>
      </c>
      <c r="I47" s="1">
        <v>40857</v>
      </c>
      <c r="J47">
        <v>0.63427711234699902</v>
      </c>
      <c r="K47" s="72">
        <v>412851613521.01099</v>
      </c>
      <c r="L47" s="72">
        <f t="shared" si="2"/>
        <v>880795609040.20496</v>
      </c>
      <c r="M47" s="37">
        <f t="shared" si="3"/>
        <v>0.46872578528279868</v>
      </c>
      <c r="O47" s="1">
        <v>40857</v>
      </c>
      <c r="P47" s="37">
        <v>0.59308702713551797</v>
      </c>
      <c r="Q47">
        <v>880795609040.20496</v>
      </c>
    </row>
    <row r="48" spans="2:17">
      <c r="B48" s="60">
        <v>40864</v>
      </c>
      <c r="C48" s="37">
        <f t="shared" si="0"/>
        <v>0.97363330958432404</v>
      </c>
      <c r="D48" s="37">
        <f t="shared" si="1"/>
        <v>0.63426200382067699</v>
      </c>
      <c r="F48" s="1">
        <v>40864</v>
      </c>
      <c r="G48">
        <v>0.97363330958432404</v>
      </c>
      <c r="I48" s="1">
        <v>40864</v>
      </c>
      <c r="J48">
        <v>0.63426200382067699</v>
      </c>
      <c r="K48" s="72">
        <v>412851613521.01099</v>
      </c>
      <c r="L48" s="72">
        <f t="shared" si="2"/>
        <v>880795609040.20496</v>
      </c>
      <c r="M48" s="37">
        <f t="shared" si="3"/>
        <v>0.46872578528279868</v>
      </c>
      <c r="O48" s="1">
        <v>40864</v>
      </c>
      <c r="P48" s="37">
        <v>0.59305856788240296</v>
      </c>
      <c r="Q48">
        <v>880795609040.20496</v>
      </c>
    </row>
    <row r="49" spans="2:17">
      <c r="B49" s="60">
        <v>40870</v>
      </c>
      <c r="C49" s="37">
        <f t="shared" si="0"/>
        <v>0.97364489082606698</v>
      </c>
      <c r="D49" s="37">
        <f t="shared" si="1"/>
        <v>0.635648130355292</v>
      </c>
      <c r="F49" s="1">
        <v>40870</v>
      </c>
      <c r="G49">
        <v>0.97364489082606698</v>
      </c>
      <c r="I49" s="1">
        <v>40870</v>
      </c>
      <c r="J49">
        <v>0.635648130355292</v>
      </c>
      <c r="K49" s="72">
        <v>412851613521.01099</v>
      </c>
      <c r="L49" s="72">
        <f t="shared" si="2"/>
        <v>880795609040.20496</v>
      </c>
      <c r="M49" s="37">
        <f t="shared" si="3"/>
        <v>0.46872578528279868</v>
      </c>
      <c r="O49" s="1">
        <v>40870</v>
      </c>
      <c r="P49" s="37">
        <v>0.59609102497578104</v>
      </c>
      <c r="Q49">
        <v>880795609040.20496</v>
      </c>
    </row>
    <row r="50" spans="2:17">
      <c r="B50" s="60">
        <v>40878</v>
      </c>
      <c r="C50" s="37">
        <f t="shared" si="0"/>
        <v>0.97319978848678002</v>
      </c>
      <c r="D50" s="37">
        <f t="shared" si="1"/>
        <v>0.62458539335419805</v>
      </c>
      <c r="F50" s="1">
        <v>40878</v>
      </c>
      <c r="G50">
        <v>0.97319978848678002</v>
      </c>
      <c r="I50" s="1">
        <v>40878</v>
      </c>
      <c r="J50">
        <v>0.62458539335419805</v>
      </c>
      <c r="K50" s="72">
        <v>399942599684.46997</v>
      </c>
      <c r="L50" s="72">
        <f t="shared" si="2"/>
        <v>867951071508.93604</v>
      </c>
      <c r="M50" s="37">
        <f t="shared" si="3"/>
        <v>0.46078933803165695</v>
      </c>
      <c r="O50" s="1">
        <v>40878</v>
      </c>
      <c r="P50" s="37">
        <v>0.57637470870076801</v>
      </c>
      <c r="Q50">
        <v>867951071508.93604</v>
      </c>
    </row>
    <row r="51" spans="2:17">
      <c r="B51" s="60">
        <v>40885</v>
      </c>
      <c r="C51" s="37">
        <f t="shared" si="0"/>
        <v>0.973202121427309</v>
      </c>
      <c r="D51" s="37">
        <f t="shared" si="1"/>
        <v>0.62459894340621602</v>
      </c>
      <c r="F51" s="1">
        <v>40885</v>
      </c>
      <c r="G51">
        <v>0.973202121427309</v>
      </c>
      <c r="I51" s="1">
        <v>40885</v>
      </c>
      <c r="J51">
        <v>0.62459894340621602</v>
      </c>
      <c r="K51" s="72">
        <v>399942599684.46997</v>
      </c>
      <c r="L51" s="72">
        <f t="shared" si="2"/>
        <v>867951071508.93604</v>
      </c>
      <c r="M51" s="37">
        <f t="shared" si="3"/>
        <v>0.46078933803165695</v>
      </c>
      <c r="O51" s="1">
        <v>40885</v>
      </c>
      <c r="P51" s="37">
        <v>0.576401990986944</v>
      </c>
      <c r="Q51">
        <v>867951071508.93604</v>
      </c>
    </row>
    <row r="52" spans="2:17">
      <c r="B52" s="60">
        <v>40892</v>
      </c>
      <c r="C52" s="37">
        <f t="shared" si="0"/>
        <v>0.97322297014224102</v>
      </c>
      <c r="D52" s="37">
        <f t="shared" si="1"/>
        <v>0.62737303113999399</v>
      </c>
      <c r="F52" s="1">
        <v>40892</v>
      </c>
      <c r="G52">
        <v>0.97322297014224102</v>
      </c>
      <c r="I52" s="1">
        <v>40892</v>
      </c>
      <c r="J52">
        <v>0.62737303113999399</v>
      </c>
      <c r="K52" s="72">
        <v>399942599684.46997</v>
      </c>
      <c r="L52" s="72">
        <f t="shared" si="2"/>
        <v>867951071508.93604</v>
      </c>
      <c r="M52" s="37">
        <f t="shared" si="3"/>
        <v>0.46078933803165695</v>
      </c>
      <c r="O52" s="1">
        <v>40892</v>
      </c>
      <c r="P52" s="37">
        <v>0.58069452065626503</v>
      </c>
      <c r="Q52">
        <v>867951071508.93604</v>
      </c>
    </row>
    <row r="53" spans="2:17">
      <c r="B53" s="60">
        <v>40899</v>
      </c>
      <c r="C53" s="37">
        <f t="shared" si="0"/>
        <v>0.98378393141539</v>
      </c>
      <c r="D53" s="37">
        <f t="shared" si="1"/>
        <v>0.64767108993784595</v>
      </c>
      <c r="F53" s="1">
        <v>40899</v>
      </c>
      <c r="G53">
        <v>0.98378393141539</v>
      </c>
      <c r="I53" s="1">
        <v>40899</v>
      </c>
      <c r="J53">
        <v>0.64767108993784595</v>
      </c>
      <c r="K53" s="72">
        <v>399942599684.46997</v>
      </c>
      <c r="L53" s="72">
        <f t="shared" si="2"/>
        <v>867951071508.93604</v>
      </c>
      <c r="M53" s="37">
        <f t="shared" si="3"/>
        <v>0.46078933803165695</v>
      </c>
      <c r="O53" s="1">
        <v>40899</v>
      </c>
      <c r="P53" s="37">
        <v>0.61774760876460899</v>
      </c>
      <c r="Q53">
        <v>867951071508.93604</v>
      </c>
    </row>
    <row r="54" spans="2:17">
      <c r="B54" s="60">
        <v>40906</v>
      </c>
      <c r="C54" s="37">
        <f t="shared" si="0"/>
        <v>0.98374645848449505</v>
      </c>
      <c r="D54" s="37">
        <f t="shared" si="1"/>
        <v>0.63728428479421295</v>
      </c>
      <c r="F54" s="1">
        <v>40906</v>
      </c>
      <c r="G54">
        <v>0.98374645848449505</v>
      </c>
      <c r="I54" s="1">
        <v>40906</v>
      </c>
      <c r="J54">
        <v>0.63728428479421295</v>
      </c>
      <c r="K54" s="72">
        <v>399942599684.46997</v>
      </c>
      <c r="L54" s="72">
        <f t="shared" si="2"/>
        <v>867951071508.93604</v>
      </c>
      <c r="M54" s="37">
        <f t="shared" si="3"/>
        <v>0.46078933803165695</v>
      </c>
      <c r="O54" s="1">
        <v>40906</v>
      </c>
      <c r="P54" s="37">
        <v>0.60388415088067304</v>
      </c>
      <c r="Q54">
        <v>867951071508.93604</v>
      </c>
    </row>
    <row r="55" spans="2:17">
      <c r="B55" s="60">
        <v>40913</v>
      </c>
      <c r="C55" s="37">
        <f t="shared" si="0"/>
        <v>0.98350298040027295</v>
      </c>
      <c r="D55" s="37">
        <f t="shared" si="1"/>
        <v>0.63473367433484096</v>
      </c>
      <c r="F55" s="1">
        <v>40913</v>
      </c>
      <c r="G55">
        <v>0.98350298040027295</v>
      </c>
      <c r="I55" s="1">
        <v>40913</v>
      </c>
      <c r="J55">
        <v>0.63473367433484096</v>
      </c>
      <c r="K55" s="72">
        <v>388008884102.70697</v>
      </c>
      <c r="L55" s="72">
        <f t="shared" si="2"/>
        <v>862642562832.45898</v>
      </c>
      <c r="M55" s="37">
        <f t="shared" si="3"/>
        <v>0.44979102680569383</v>
      </c>
      <c r="O55" s="1">
        <v>40913</v>
      </c>
      <c r="P55" s="37">
        <v>0.593301159685788</v>
      </c>
      <c r="Q55">
        <v>862642562832.45898</v>
      </c>
    </row>
    <row r="56" spans="2:17">
      <c r="B56" s="60">
        <v>40920</v>
      </c>
      <c r="C56" s="37">
        <f t="shared" si="0"/>
        <v>0.983519920596025</v>
      </c>
      <c r="D56" s="37">
        <f t="shared" si="1"/>
        <v>0.64586810672947803</v>
      </c>
      <c r="F56" s="1">
        <v>40920</v>
      </c>
      <c r="G56">
        <v>0.983519920596025</v>
      </c>
      <c r="I56" s="1">
        <v>40920</v>
      </c>
      <c r="J56">
        <v>0.64586810672947803</v>
      </c>
      <c r="K56" s="72">
        <v>388008884102.70697</v>
      </c>
      <c r="L56" s="72">
        <f t="shared" si="2"/>
        <v>862642562832.45898</v>
      </c>
      <c r="M56" s="37">
        <f t="shared" si="3"/>
        <v>0.44979102680569383</v>
      </c>
      <c r="O56" s="1">
        <v>40920</v>
      </c>
      <c r="P56" s="37">
        <v>0.61007610137748602</v>
      </c>
      <c r="Q56">
        <v>862642562832.45898</v>
      </c>
    </row>
    <row r="57" spans="2:17">
      <c r="B57" s="60">
        <v>40927</v>
      </c>
      <c r="C57" s="37">
        <f t="shared" si="0"/>
        <v>0.98351461374668603</v>
      </c>
      <c r="D57" s="37">
        <f t="shared" si="1"/>
        <v>0.64423993013390601</v>
      </c>
      <c r="F57" s="1">
        <v>40927</v>
      </c>
      <c r="G57">
        <v>0.98351461374668603</v>
      </c>
      <c r="I57" s="1">
        <v>40927</v>
      </c>
      <c r="J57">
        <v>0.64423993013390601</v>
      </c>
      <c r="K57" s="72">
        <v>388008884102.70697</v>
      </c>
      <c r="L57" s="72">
        <f t="shared" si="2"/>
        <v>862642562832.45898</v>
      </c>
      <c r="M57" s="37">
        <f t="shared" si="3"/>
        <v>0.44979102680569383</v>
      </c>
      <c r="O57" s="1">
        <v>40927</v>
      </c>
      <c r="P57" s="37">
        <v>0.60754881711583097</v>
      </c>
      <c r="Q57">
        <v>862642562832.45898</v>
      </c>
    </row>
    <row r="58" spans="2:17">
      <c r="B58" s="60">
        <v>40934</v>
      </c>
      <c r="C58" s="37">
        <f t="shared" si="0"/>
        <v>0.97286189980816695</v>
      </c>
      <c r="D58" s="37">
        <f t="shared" si="1"/>
        <v>0.62201051152227504</v>
      </c>
      <c r="F58" s="1">
        <v>40934</v>
      </c>
      <c r="G58">
        <v>0.97286189980816695</v>
      </c>
      <c r="I58" s="1">
        <v>40934</v>
      </c>
      <c r="J58">
        <v>0.62201051152227504</v>
      </c>
      <c r="K58" s="72">
        <v>388008884102.70697</v>
      </c>
      <c r="L58" s="72">
        <f t="shared" si="2"/>
        <v>862642562832.45898</v>
      </c>
      <c r="M58" s="37">
        <f t="shared" si="3"/>
        <v>0.44979102680569383</v>
      </c>
      <c r="O58" s="1">
        <v>40934</v>
      </c>
      <c r="P58" s="37">
        <v>0.56757815274844003</v>
      </c>
      <c r="Q58">
        <v>862642562832.45898</v>
      </c>
    </row>
    <row r="59" spans="2:17">
      <c r="B59" s="60">
        <v>40941</v>
      </c>
      <c r="C59" s="37">
        <f t="shared" si="0"/>
        <v>0.98329981748947404</v>
      </c>
      <c r="D59" s="37">
        <f t="shared" si="1"/>
        <v>0.64005936276544695</v>
      </c>
      <c r="F59" s="1">
        <v>40941</v>
      </c>
      <c r="G59">
        <v>0.98329981748947404</v>
      </c>
      <c r="I59" s="1">
        <v>40941</v>
      </c>
      <c r="J59">
        <v>0.64005936276544695</v>
      </c>
      <c r="K59" s="72">
        <v>377010024939.07202</v>
      </c>
      <c r="L59" s="72">
        <f t="shared" si="2"/>
        <v>865283651280.50305</v>
      </c>
      <c r="M59" s="37">
        <f t="shared" si="3"/>
        <v>0.43570686257754676</v>
      </c>
      <c r="O59" s="1">
        <v>40941</v>
      </c>
      <c r="P59" s="37">
        <v>0.59021628278930105</v>
      </c>
      <c r="Q59">
        <v>865283651280.50305</v>
      </c>
    </row>
    <row r="60" spans="2:17">
      <c r="B60" s="60">
        <v>40948</v>
      </c>
      <c r="C60" s="37">
        <f t="shared" si="0"/>
        <v>0.98329981748947404</v>
      </c>
      <c r="D60" s="37">
        <f t="shared" si="1"/>
        <v>0.64005936276544695</v>
      </c>
      <c r="F60" s="1">
        <v>40948</v>
      </c>
      <c r="G60">
        <v>0.98329981748947404</v>
      </c>
      <c r="I60" s="1">
        <v>40948</v>
      </c>
      <c r="J60">
        <v>0.64005936276544695</v>
      </c>
      <c r="K60" s="72">
        <v>377010024939.07202</v>
      </c>
      <c r="L60" s="72">
        <f t="shared" si="2"/>
        <v>865283651280.50305</v>
      </c>
      <c r="M60" s="37">
        <f t="shared" si="3"/>
        <v>0.43570686257754676</v>
      </c>
      <c r="O60" s="1">
        <v>40948</v>
      </c>
      <c r="P60" s="37">
        <v>0.59021628278930105</v>
      </c>
      <c r="Q60">
        <v>865283651280.50305</v>
      </c>
    </row>
    <row r="61" spans="2:17">
      <c r="B61" s="60">
        <v>40955</v>
      </c>
      <c r="C61" s="37">
        <f t="shared" si="0"/>
        <v>0.98329981748947404</v>
      </c>
      <c r="D61" s="37">
        <f t="shared" si="1"/>
        <v>0.64005936276544695</v>
      </c>
      <c r="F61" s="1">
        <v>40955</v>
      </c>
      <c r="G61">
        <v>0.98329981748947404</v>
      </c>
      <c r="I61" s="1">
        <v>40955</v>
      </c>
      <c r="J61">
        <v>0.64005936276544695</v>
      </c>
      <c r="K61" s="72">
        <v>377010024939.07202</v>
      </c>
      <c r="L61" s="72">
        <f t="shared" si="2"/>
        <v>865283651280.50305</v>
      </c>
      <c r="M61" s="37">
        <f t="shared" si="3"/>
        <v>0.43570686257754676</v>
      </c>
      <c r="O61" s="1">
        <v>40955</v>
      </c>
      <c r="P61" s="37">
        <v>0.59021628278930105</v>
      </c>
      <c r="Q61">
        <v>865283651280.50305</v>
      </c>
    </row>
    <row r="62" spans="2:17">
      <c r="B62" s="60">
        <v>40962</v>
      </c>
      <c r="C62" s="37">
        <f t="shared" si="0"/>
        <v>0.97253147097901604</v>
      </c>
      <c r="D62" s="37">
        <f t="shared" si="1"/>
        <v>0.61808643863248902</v>
      </c>
      <c r="F62" s="1">
        <v>40962</v>
      </c>
      <c r="G62">
        <v>0.97253147097901604</v>
      </c>
      <c r="I62" s="1">
        <v>40962</v>
      </c>
      <c r="J62">
        <v>0.61808643863248902</v>
      </c>
      <c r="K62" s="72">
        <v>377010024939.07202</v>
      </c>
      <c r="L62" s="72">
        <f t="shared" si="2"/>
        <v>865283651280.50305</v>
      </c>
      <c r="M62" s="37">
        <f t="shared" si="3"/>
        <v>0.43570686257754676</v>
      </c>
      <c r="O62" s="1">
        <v>40962</v>
      </c>
      <c r="P62" s="37">
        <v>0.55038966954359303</v>
      </c>
      <c r="Q62">
        <v>865283651280.50305</v>
      </c>
    </row>
    <row r="63" spans="2:17">
      <c r="B63" s="60">
        <v>40969</v>
      </c>
      <c r="C63" s="37">
        <f t="shared" si="0"/>
        <v>0.98307098130391601</v>
      </c>
      <c r="D63" s="37">
        <f t="shared" si="1"/>
        <v>0.62796244692019199</v>
      </c>
      <c r="F63" s="1">
        <v>40969</v>
      </c>
      <c r="G63">
        <v>0.98307098130391601</v>
      </c>
      <c r="I63" s="1">
        <v>40969</v>
      </c>
      <c r="J63">
        <v>0.62796244692019199</v>
      </c>
      <c r="K63" s="72">
        <v>364462334224.22998</v>
      </c>
      <c r="L63" s="72">
        <f t="shared" si="2"/>
        <v>861190703554.85706</v>
      </c>
      <c r="M63" s="37">
        <f t="shared" si="3"/>
        <v>0.42320746464144116</v>
      </c>
      <c r="O63" s="1">
        <v>40969</v>
      </c>
      <c r="P63" s="37">
        <v>0.56168586846910595</v>
      </c>
      <c r="Q63">
        <v>861190703554.85706</v>
      </c>
    </row>
    <row r="64" spans="2:17">
      <c r="B64" s="60">
        <v>40976</v>
      </c>
      <c r="C64" s="37">
        <f t="shared" si="0"/>
        <v>0.98308116533178702</v>
      </c>
      <c r="D64" s="37">
        <f t="shared" si="1"/>
        <v>0.63624058874854394</v>
      </c>
      <c r="F64" s="1">
        <v>40976</v>
      </c>
      <c r="G64">
        <v>0.98308116533178702</v>
      </c>
      <c r="I64" s="1">
        <v>40976</v>
      </c>
      <c r="J64">
        <v>0.63624058874854394</v>
      </c>
      <c r="K64" s="72">
        <v>364462334224.22998</v>
      </c>
      <c r="L64" s="72">
        <f t="shared" si="2"/>
        <v>861190703554.85706</v>
      </c>
      <c r="M64" s="37">
        <f t="shared" si="3"/>
        <v>0.42320746464144116</v>
      </c>
      <c r="O64" s="1">
        <v>40976</v>
      </c>
      <c r="P64" s="37">
        <v>0.57507010563023897</v>
      </c>
      <c r="Q64">
        <v>861190703554.85706</v>
      </c>
    </row>
    <row r="65" spans="2:17">
      <c r="B65" s="60">
        <v>40983</v>
      </c>
      <c r="C65" s="37">
        <f t="shared" si="0"/>
        <v>0.98304412035651201</v>
      </c>
      <c r="D65" s="37">
        <f t="shared" si="1"/>
        <v>0.62572384062849695</v>
      </c>
      <c r="F65" s="1">
        <v>40983</v>
      </c>
      <c r="G65">
        <v>0.98304412035651201</v>
      </c>
      <c r="I65" s="1">
        <v>40983</v>
      </c>
      <c r="J65">
        <v>0.62572384062849695</v>
      </c>
      <c r="K65" s="72">
        <v>364462334224.22998</v>
      </c>
      <c r="L65" s="72">
        <f t="shared" si="2"/>
        <v>861190703554.85706</v>
      </c>
      <c r="M65" s="37">
        <f t="shared" si="3"/>
        <v>0.42320746464144116</v>
      </c>
      <c r="O65" s="1">
        <v>40983</v>
      </c>
      <c r="P65" s="37">
        <v>0.56062904678556602</v>
      </c>
      <c r="Q65">
        <v>861190703554.85706</v>
      </c>
    </row>
    <row r="66" spans="2:17">
      <c r="B66" s="60">
        <v>40990</v>
      </c>
      <c r="C66" s="37">
        <f t="shared" si="0"/>
        <v>0.94621671624645198</v>
      </c>
      <c r="D66" s="37">
        <f t="shared" si="1"/>
        <v>0.57002458854182303</v>
      </c>
      <c r="F66" s="1">
        <v>40990</v>
      </c>
      <c r="G66">
        <v>0.94621671624645198</v>
      </c>
      <c r="I66" s="1">
        <v>40990</v>
      </c>
      <c r="J66">
        <v>0.57002458854182303</v>
      </c>
      <c r="K66" s="72">
        <v>364462334224.22998</v>
      </c>
      <c r="L66" s="72">
        <f t="shared" si="2"/>
        <v>861190703554.85706</v>
      </c>
      <c r="M66" s="37">
        <f t="shared" si="3"/>
        <v>0.42320746464144116</v>
      </c>
      <c r="O66" s="1">
        <v>40990</v>
      </c>
      <c r="P66" s="37">
        <v>0.47083078789486099</v>
      </c>
      <c r="Q66">
        <v>861190703554.85706</v>
      </c>
    </row>
    <row r="67" spans="2:17">
      <c r="B67" s="60">
        <v>40997</v>
      </c>
      <c r="C67" s="37">
        <f t="shared" si="0"/>
        <v>0.97221317553099895</v>
      </c>
      <c r="D67" s="37">
        <f t="shared" si="1"/>
        <v>0.613026013245069</v>
      </c>
      <c r="F67" s="1">
        <v>40997</v>
      </c>
      <c r="G67">
        <v>0.97221317553099895</v>
      </c>
      <c r="I67" s="1">
        <v>40997</v>
      </c>
      <c r="J67">
        <v>0.613026013245069</v>
      </c>
      <c r="K67" s="72">
        <v>364462334224.22998</v>
      </c>
      <c r="L67" s="72">
        <f t="shared" si="2"/>
        <v>861190703554.85706</v>
      </c>
      <c r="M67" s="37">
        <f t="shared" si="3"/>
        <v>0.42320746464144116</v>
      </c>
      <c r="O67" s="1">
        <v>40997</v>
      </c>
      <c r="P67" s="37">
        <v>0.53275480546964904</v>
      </c>
      <c r="Q67">
        <v>861190703554.85706</v>
      </c>
    </row>
    <row r="68" spans="2:17">
      <c r="B68" s="60">
        <v>41004</v>
      </c>
      <c r="C68" s="37">
        <f t="shared" ref="C68:C131" si="4">VLOOKUP(B68,F:G,2,0)</f>
        <v>0.972659113561122</v>
      </c>
      <c r="D68" s="37">
        <f t="shared" ref="D68:D131" si="5">VLOOKUP(B68,I:J,2,0)</f>
        <v>0.64462607137328098</v>
      </c>
      <c r="F68" s="1">
        <v>41004</v>
      </c>
      <c r="G68">
        <v>0.972659113561122</v>
      </c>
      <c r="I68" s="1">
        <v>41004</v>
      </c>
      <c r="J68">
        <v>0.64462607137328098</v>
      </c>
      <c r="K68" s="72">
        <v>350890768985.05603</v>
      </c>
      <c r="L68" s="72">
        <f t="shared" ref="L68:L131" si="6">VLOOKUP(I68,O:Q,3,0)</f>
        <v>852751932022.53503</v>
      </c>
      <c r="M68" s="37">
        <f t="shared" ref="M68:M131" si="7">K68/L68*100%</f>
        <v>0.41148047375609265</v>
      </c>
      <c r="O68" s="1">
        <v>41004</v>
      </c>
      <c r="P68" s="37">
        <v>0.55204144089130602</v>
      </c>
      <c r="Q68">
        <v>852751932022.53503</v>
      </c>
    </row>
    <row r="69" spans="2:17">
      <c r="B69" s="60">
        <v>41011</v>
      </c>
      <c r="C69" s="37">
        <f t="shared" si="4"/>
        <v>0.98910284855503505</v>
      </c>
      <c r="D69" s="37">
        <f t="shared" si="5"/>
        <v>0.67706909583525099</v>
      </c>
      <c r="F69" s="1">
        <v>41011</v>
      </c>
      <c r="G69">
        <v>0.98910284855503505</v>
      </c>
      <c r="I69" s="1">
        <v>41011</v>
      </c>
      <c r="J69">
        <v>0.67706909583525099</v>
      </c>
      <c r="K69" s="72">
        <v>350890768985.05603</v>
      </c>
      <c r="L69" s="72">
        <f t="shared" si="6"/>
        <v>852751932022.53503</v>
      </c>
      <c r="M69" s="37">
        <f t="shared" si="7"/>
        <v>0.41148047375609265</v>
      </c>
      <c r="O69" s="1">
        <v>41011</v>
      </c>
      <c r="P69" s="37">
        <v>0.61520517788323903</v>
      </c>
      <c r="Q69">
        <v>852751932022.53503</v>
      </c>
    </row>
    <row r="70" spans="2:17">
      <c r="B70" s="60">
        <v>41018</v>
      </c>
      <c r="C70" s="37">
        <f t="shared" si="4"/>
        <v>0.98328533943875196</v>
      </c>
      <c r="D70" s="37">
        <f t="shared" si="5"/>
        <v>0.65838549683501602</v>
      </c>
      <c r="F70" s="1">
        <v>41018</v>
      </c>
      <c r="G70">
        <v>0.98328533943875196</v>
      </c>
      <c r="I70" s="1">
        <v>41018</v>
      </c>
      <c r="J70">
        <v>0.65838549683501602</v>
      </c>
      <c r="K70" s="72">
        <v>350890768985.05603</v>
      </c>
      <c r="L70" s="72">
        <f t="shared" si="6"/>
        <v>852751932022.53503</v>
      </c>
      <c r="M70" s="37">
        <f t="shared" si="7"/>
        <v>0.41148047375609265</v>
      </c>
      <c r="O70" s="1">
        <v>41018</v>
      </c>
      <c r="P70" s="37">
        <v>0.57950169097067294</v>
      </c>
      <c r="Q70">
        <v>852751932022.53503</v>
      </c>
    </row>
    <row r="71" spans="2:17">
      <c r="B71" s="60">
        <v>41025</v>
      </c>
      <c r="C71" s="37">
        <f t="shared" si="4"/>
        <v>0.98910284855503505</v>
      </c>
      <c r="D71" s="37">
        <f t="shared" si="5"/>
        <v>0.67706909583525099</v>
      </c>
      <c r="F71" s="1">
        <v>41025</v>
      </c>
      <c r="G71">
        <v>0.98910284855503505</v>
      </c>
      <c r="I71" s="1">
        <v>41025</v>
      </c>
      <c r="J71">
        <v>0.67706909583525099</v>
      </c>
      <c r="K71" s="72">
        <v>350890768985.05603</v>
      </c>
      <c r="L71" s="72">
        <f t="shared" si="6"/>
        <v>852751932022.53503</v>
      </c>
      <c r="M71" s="37">
        <f t="shared" si="7"/>
        <v>0.41148047375609265</v>
      </c>
      <c r="O71" s="1">
        <v>41025</v>
      </c>
      <c r="P71" s="37">
        <v>0.61520517788323903</v>
      </c>
      <c r="Q71">
        <v>852751932022.53503</v>
      </c>
    </row>
    <row r="72" spans="2:17">
      <c r="B72" s="60">
        <v>41032</v>
      </c>
      <c r="C72" s="37">
        <f t="shared" si="4"/>
        <v>0.98918794291197698</v>
      </c>
      <c r="D72" s="37">
        <f t="shared" si="5"/>
        <v>0.70759479979039797</v>
      </c>
      <c r="F72" s="1">
        <v>41032</v>
      </c>
      <c r="G72">
        <v>0.98918794291197698</v>
      </c>
      <c r="I72" s="1">
        <v>41032</v>
      </c>
      <c r="J72">
        <v>0.70759479979039797</v>
      </c>
      <c r="K72" s="72">
        <v>338046228672.72302</v>
      </c>
      <c r="L72" s="72">
        <f t="shared" si="6"/>
        <v>843407158052.96497</v>
      </c>
      <c r="M72" s="37">
        <f t="shared" si="7"/>
        <v>0.40081024383657665</v>
      </c>
      <c r="O72" s="1">
        <v>41032</v>
      </c>
      <c r="P72" s="37">
        <v>0.63172398565884802</v>
      </c>
      <c r="Q72">
        <v>843407158052.96497</v>
      </c>
    </row>
    <row r="73" spans="2:17">
      <c r="B73" s="60">
        <v>41039</v>
      </c>
      <c r="C73" s="37">
        <f t="shared" si="4"/>
        <v>0.98919709187808802</v>
      </c>
      <c r="D73" s="37">
        <f t="shared" si="5"/>
        <v>0.71147773162473305</v>
      </c>
      <c r="F73" s="1">
        <v>41039</v>
      </c>
      <c r="G73">
        <v>0.98919709187808802</v>
      </c>
      <c r="I73" s="1">
        <v>41039</v>
      </c>
      <c r="J73">
        <v>0.71147773162473305</v>
      </c>
      <c r="K73" s="72">
        <v>338046228672.72302</v>
      </c>
      <c r="L73" s="72">
        <f t="shared" si="6"/>
        <v>843407158052.96497</v>
      </c>
      <c r="M73" s="37">
        <f t="shared" si="7"/>
        <v>0.40081024383657665</v>
      </c>
      <c r="O73" s="1">
        <v>41039</v>
      </c>
      <c r="P73" s="37">
        <v>0.63749716402095902</v>
      </c>
      <c r="Q73">
        <v>843407158052.96497</v>
      </c>
    </row>
    <row r="74" spans="2:17">
      <c r="B74" s="60">
        <v>41046</v>
      </c>
      <c r="C74" s="37">
        <f t="shared" si="4"/>
        <v>0.99452879876186695</v>
      </c>
      <c r="D74" s="37">
        <f t="shared" si="5"/>
        <v>0.72048705417655701</v>
      </c>
      <c r="F74" s="1">
        <v>41046</v>
      </c>
      <c r="G74">
        <v>0.99452879876186695</v>
      </c>
      <c r="I74" s="1">
        <v>41046</v>
      </c>
      <c r="J74">
        <v>0.72048705417655701</v>
      </c>
      <c r="K74" s="72">
        <v>338046228672.72302</v>
      </c>
      <c r="L74" s="72">
        <f t="shared" si="6"/>
        <v>843407158052.96497</v>
      </c>
      <c r="M74" s="37">
        <f t="shared" si="7"/>
        <v>0.40081024383657665</v>
      </c>
      <c r="O74" s="1">
        <v>41046</v>
      </c>
      <c r="P74" s="37">
        <v>0.66549419163978096</v>
      </c>
      <c r="Q74">
        <v>843407158052.96497</v>
      </c>
    </row>
    <row r="75" spans="2:17">
      <c r="B75" s="60">
        <v>41053</v>
      </c>
      <c r="C75" s="37">
        <f t="shared" si="4"/>
        <v>0.994528175384642</v>
      </c>
      <c r="D75" s="37">
        <f t="shared" si="5"/>
        <v>0.71747083126455002</v>
      </c>
      <c r="F75" s="1">
        <v>41053</v>
      </c>
      <c r="G75">
        <v>0.994528175384642</v>
      </c>
      <c r="I75" s="1">
        <v>41053</v>
      </c>
      <c r="J75">
        <v>0.71747083126455002</v>
      </c>
      <c r="K75" s="72">
        <v>338046228672.72302</v>
      </c>
      <c r="L75" s="72">
        <f t="shared" si="6"/>
        <v>843407158052.96497</v>
      </c>
      <c r="M75" s="37">
        <f t="shared" si="7"/>
        <v>0.40081024383657665</v>
      </c>
      <c r="O75" s="1">
        <v>41053</v>
      </c>
      <c r="P75" s="37">
        <v>0.66148107330138095</v>
      </c>
      <c r="Q75">
        <v>843407158052.96497</v>
      </c>
    </row>
    <row r="76" spans="2:17">
      <c r="B76" s="60">
        <v>41060</v>
      </c>
      <c r="C76" s="37">
        <f t="shared" si="4"/>
        <v>0.99453076174602095</v>
      </c>
      <c r="D76" s="37">
        <f t="shared" si="5"/>
        <v>0.72251040855348803</v>
      </c>
      <c r="F76" s="1">
        <v>41060</v>
      </c>
      <c r="G76">
        <v>0.99453076174602095</v>
      </c>
      <c r="I76" s="1">
        <v>41060</v>
      </c>
      <c r="J76">
        <v>0.72251040855348803</v>
      </c>
      <c r="K76" s="72">
        <v>338046228672.72302</v>
      </c>
      <c r="L76" s="72">
        <f t="shared" si="6"/>
        <v>843407158052.96497</v>
      </c>
      <c r="M76" s="37">
        <f t="shared" si="7"/>
        <v>0.40081024383657665</v>
      </c>
      <c r="O76" s="1">
        <v>41060</v>
      </c>
      <c r="P76" s="37">
        <v>0.66816368917970903</v>
      </c>
      <c r="Q76">
        <v>843407158052.96497</v>
      </c>
    </row>
    <row r="77" spans="2:17">
      <c r="B77" s="60">
        <v>41067</v>
      </c>
      <c r="C77" s="37">
        <f t="shared" si="4"/>
        <v>0.99920990822137301</v>
      </c>
      <c r="D77" s="37">
        <f t="shared" si="5"/>
        <v>0.76469548566159196</v>
      </c>
      <c r="F77" s="1">
        <v>41067</v>
      </c>
      <c r="G77">
        <v>0.99920990822137301</v>
      </c>
      <c r="I77" s="1">
        <v>41067</v>
      </c>
      <c r="J77">
        <v>0.76469548566159196</v>
      </c>
      <c r="K77" s="72">
        <v>324611094201.94598</v>
      </c>
      <c r="L77" s="72">
        <f t="shared" si="6"/>
        <v>842987221871.99902</v>
      </c>
      <c r="M77" s="37">
        <f t="shared" si="7"/>
        <v>0.38507237806178235</v>
      </c>
      <c r="O77" s="1">
        <v>41067</v>
      </c>
      <c r="P77" s="37">
        <v>0.72131165820460796</v>
      </c>
      <c r="Q77">
        <v>842987221871.99902</v>
      </c>
    </row>
    <row r="78" spans="2:17">
      <c r="B78" s="60">
        <v>41074</v>
      </c>
      <c r="C78" s="37">
        <f t="shared" si="4"/>
        <v>0.99750984999361303</v>
      </c>
      <c r="D78" s="37">
        <f t="shared" si="5"/>
        <v>0.75970865346687</v>
      </c>
      <c r="F78" s="1">
        <v>41074</v>
      </c>
      <c r="G78">
        <v>0.99750984999361303</v>
      </c>
      <c r="I78" s="1">
        <v>41074</v>
      </c>
      <c r="J78">
        <v>0.75970865346687</v>
      </c>
      <c r="K78" s="72">
        <v>324611094201.94598</v>
      </c>
      <c r="L78" s="72">
        <f t="shared" si="6"/>
        <v>842987221871.99902</v>
      </c>
      <c r="M78" s="37">
        <f t="shared" si="7"/>
        <v>0.38507237806178235</v>
      </c>
      <c r="O78" s="1">
        <v>41074</v>
      </c>
      <c r="P78" s="37">
        <v>0.70163931577382499</v>
      </c>
      <c r="Q78">
        <v>842987221871.99902</v>
      </c>
    </row>
    <row r="79" spans="2:17">
      <c r="B79" s="60">
        <v>41081</v>
      </c>
      <c r="C79" s="37">
        <f t="shared" si="4"/>
        <v>0.99920990822137301</v>
      </c>
      <c r="D79" s="37">
        <f t="shared" si="5"/>
        <v>0.76601871584032599</v>
      </c>
      <c r="F79" s="1">
        <v>41081</v>
      </c>
      <c r="G79">
        <v>0.99920990822137301</v>
      </c>
      <c r="I79" s="1">
        <v>41081</v>
      </c>
      <c r="J79">
        <v>0.76601871584032599</v>
      </c>
      <c r="K79" s="72">
        <v>324611094201.94598</v>
      </c>
      <c r="L79" s="72">
        <f t="shared" si="6"/>
        <v>842987221871.99902</v>
      </c>
      <c r="M79" s="37">
        <f t="shared" si="7"/>
        <v>0.38507237806178235</v>
      </c>
      <c r="O79" s="1">
        <v>41081</v>
      </c>
      <c r="P79" s="37">
        <v>0.72329670850826999</v>
      </c>
      <c r="Q79">
        <v>842987221871.99902</v>
      </c>
    </row>
    <row r="80" spans="2:17">
      <c r="B80" s="60">
        <v>41088</v>
      </c>
      <c r="C80" s="37">
        <f t="shared" si="4"/>
        <v>0.99920990822137301</v>
      </c>
      <c r="D80" s="37">
        <f t="shared" si="5"/>
        <v>0.76601871584032599</v>
      </c>
      <c r="F80" s="1">
        <v>41088</v>
      </c>
      <c r="G80">
        <v>0.99920990822137301</v>
      </c>
      <c r="I80" s="1">
        <v>41088</v>
      </c>
      <c r="J80">
        <v>0.76601871584032599</v>
      </c>
      <c r="K80" s="72">
        <v>324611094201.94598</v>
      </c>
      <c r="L80" s="72">
        <f t="shared" si="6"/>
        <v>842987221871.99902</v>
      </c>
      <c r="M80" s="37">
        <f t="shared" si="7"/>
        <v>0.38507237806178235</v>
      </c>
      <c r="O80" s="1">
        <v>41088</v>
      </c>
      <c r="P80" s="37">
        <v>0.72329670850826999</v>
      </c>
      <c r="Q80">
        <v>842987221871.99902</v>
      </c>
    </row>
    <row r="81" spans="2:17">
      <c r="B81" s="60">
        <v>41095</v>
      </c>
      <c r="C81" s="37">
        <f t="shared" si="4"/>
        <v>0.99921052750741601</v>
      </c>
      <c r="D81" s="37">
        <f t="shared" si="5"/>
        <v>0.77656524470940902</v>
      </c>
      <c r="F81" s="1">
        <v>41095</v>
      </c>
      <c r="G81">
        <v>0.99921052750741601</v>
      </c>
      <c r="I81" s="1">
        <v>41095</v>
      </c>
      <c r="J81">
        <v>0.77656524470940902</v>
      </c>
      <c r="K81" s="72">
        <v>311798813958.06299</v>
      </c>
      <c r="L81" s="72">
        <f t="shared" si="6"/>
        <v>836042456950.479</v>
      </c>
      <c r="M81" s="37">
        <f t="shared" si="7"/>
        <v>0.37294614808842375</v>
      </c>
      <c r="O81" s="1">
        <v>41095</v>
      </c>
      <c r="P81" s="37">
        <v>0.72001119292013904</v>
      </c>
      <c r="Q81">
        <v>836042456950.479</v>
      </c>
    </row>
    <row r="82" spans="2:17">
      <c r="B82" s="60">
        <v>41102</v>
      </c>
      <c r="C82" s="37">
        <f t="shared" si="4"/>
        <v>0.99993082487965101</v>
      </c>
      <c r="D82" s="37">
        <f t="shared" si="5"/>
        <v>0.78357818362172504</v>
      </c>
      <c r="F82" s="1">
        <v>41102</v>
      </c>
      <c r="G82">
        <v>0.99993082487965101</v>
      </c>
      <c r="I82" s="1">
        <v>41102</v>
      </c>
      <c r="J82">
        <v>0.78357818362172504</v>
      </c>
      <c r="K82" s="72">
        <v>311798813958.06299</v>
      </c>
      <c r="L82" s="72">
        <f t="shared" si="6"/>
        <v>836042456950.479</v>
      </c>
      <c r="M82" s="37">
        <f t="shared" si="7"/>
        <v>0.37294614808842375</v>
      </c>
      <c r="O82" s="1">
        <v>41102</v>
      </c>
      <c r="P82" s="37">
        <v>0.75407044900012998</v>
      </c>
      <c r="Q82">
        <v>836042456950.479</v>
      </c>
    </row>
    <row r="83" spans="2:17">
      <c r="B83" s="60">
        <v>41109</v>
      </c>
      <c r="C83" s="37">
        <f t="shared" si="4"/>
        <v>0.99993082487965101</v>
      </c>
      <c r="D83" s="37">
        <f t="shared" si="5"/>
        <v>0.78680943760229805</v>
      </c>
      <c r="F83" s="1">
        <v>41109</v>
      </c>
      <c r="G83">
        <v>0.99993082487965101</v>
      </c>
      <c r="I83" s="1">
        <v>41109</v>
      </c>
      <c r="J83">
        <v>0.78680943760229805</v>
      </c>
      <c r="K83" s="72">
        <v>311798813958.06299</v>
      </c>
      <c r="L83" s="72">
        <f t="shared" si="6"/>
        <v>836042456950.479</v>
      </c>
      <c r="M83" s="37">
        <f t="shared" si="7"/>
        <v>0.37294614808842375</v>
      </c>
      <c r="O83" s="1">
        <v>41109</v>
      </c>
      <c r="P83" s="37">
        <v>0.75979626670465406</v>
      </c>
      <c r="Q83">
        <v>836042456950.479</v>
      </c>
    </row>
    <row r="84" spans="2:17">
      <c r="B84" s="60">
        <v>41116</v>
      </c>
      <c r="C84" s="37">
        <f t="shared" si="4"/>
        <v>0.99994356235953297</v>
      </c>
      <c r="D84" s="37">
        <f t="shared" si="5"/>
        <v>0.78926724871332199</v>
      </c>
      <c r="F84" s="1">
        <v>41116</v>
      </c>
      <c r="G84">
        <v>0.99994356235953297</v>
      </c>
      <c r="I84" s="1">
        <v>41116</v>
      </c>
      <c r="J84">
        <v>0.78926724871332199</v>
      </c>
      <c r="K84" s="72">
        <v>311798813958.06299</v>
      </c>
      <c r="L84" s="72">
        <f t="shared" si="6"/>
        <v>836042456950.479</v>
      </c>
      <c r="M84" s="37">
        <f t="shared" si="7"/>
        <v>0.37294614808842375</v>
      </c>
      <c r="O84" s="1">
        <v>41116</v>
      </c>
      <c r="P84" s="37">
        <v>0.77726594215798495</v>
      </c>
      <c r="Q84">
        <v>836042456950.479</v>
      </c>
    </row>
    <row r="85" spans="2:17">
      <c r="B85" s="60">
        <v>41123</v>
      </c>
      <c r="C85" s="37">
        <f t="shared" si="4"/>
        <v>0.99992850979514003</v>
      </c>
      <c r="D85" s="37">
        <f t="shared" si="5"/>
        <v>0.79167204155684201</v>
      </c>
      <c r="F85" s="1">
        <v>41123</v>
      </c>
      <c r="G85">
        <v>0.99992850979514003</v>
      </c>
      <c r="I85" s="1">
        <v>41123</v>
      </c>
      <c r="J85">
        <v>0.79167204155684201</v>
      </c>
      <c r="K85" s="72">
        <v>299045132715.31299</v>
      </c>
      <c r="L85" s="72">
        <f t="shared" si="6"/>
        <v>833663605862.28699</v>
      </c>
      <c r="M85" s="37">
        <f t="shared" si="7"/>
        <v>0.35871199199825965</v>
      </c>
      <c r="O85" s="1">
        <v>41123</v>
      </c>
      <c r="P85" s="37">
        <v>0.74202188782112199</v>
      </c>
      <c r="Q85">
        <v>833663605862.28699</v>
      </c>
    </row>
    <row r="86" spans="2:17">
      <c r="B86" s="60">
        <v>41130</v>
      </c>
      <c r="C86" s="37">
        <f t="shared" si="4"/>
        <v>0.99992850979514003</v>
      </c>
      <c r="D86" s="37">
        <f t="shared" si="5"/>
        <v>0.79119157211259705</v>
      </c>
      <c r="F86" s="1">
        <v>41130</v>
      </c>
      <c r="G86">
        <v>0.99992850979514003</v>
      </c>
      <c r="I86" s="1">
        <v>41130</v>
      </c>
      <c r="J86">
        <v>0.79119157211259705</v>
      </c>
      <c r="K86" s="72">
        <v>299045132715.31299</v>
      </c>
      <c r="L86" s="72">
        <f t="shared" si="6"/>
        <v>833663605862.28699</v>
      </c>
      <c r="M86" s="37">
        <f t="shared" si="7"/>
        <v>0.35871199199825965</v>
      </c>
      <c r="O86" s="1">
        <v>41130</v>
      </c>
      <c r="P86" s="37">
        <v>0.74172452642125197</v>
      </c>
      <c r="Q86">
        <v>833663605862.28699</v>
      </c>
    </row>
    <row r="87" spans="2:17">
      <c r="B87" s="60">
        <v>41137</v>
      </c>
      <c r="C87" s="37">
        <f t="shared" si="4"/>
        <v>0.99991808103115498</v>
      </c>
      <c r="D87" s="37">
        <f t="shared" si="5"/>
        <v>0.78981685075272301</v>
      </c>
      <c r="F87" s="1">
        <v>41137</v>
      </c>
      <c r="G87">
        <v>0.99991808103115498</v>
      </c>
      <c r="I87" s="1">
        <v>41137</v>
      </c>
      <c r="J87">
        <v>0.78981685075272301</v>
      </c>
      <c r="K87" s="72">
        <v>299045132715.31299</v>
      </c>
      <c r="L87" s="72">
        <f t="shared" si="6"/>
        <v>833663605862.28699</v>
      </c>
      <c r="M87" s="37">
        <f t="shared" si="7"/>
        <v>0.35871199199825965</v>
      </c>
      <c r="O87" s="1">
        <v>41137</v>
      </c>
      <c r="P87" s="37">
        <v>0.72502948633550401</v>
      </c>
      <c r="Q87">
        <v>833663605862.28699</v>
      </c>
    </row>
    <row r="88" spans="2:17">
      <c r="B88" s="60">
        <v>41144</v>
      </c>
      <c r="C88" s="37">
        <f t="shared" si="4"/>
        <v>0.99920283129912302</v>
      </c>
      <c r="D88" s="37">
        <f t="shared" si="5"/>
        <v>0.78342241627971398</v>
      </c>
      <c r="F88" s="1">
        <v>41144</v>
      </c>
      <c r="G88">
        <v>0.99920283129912302</v>
      </c>
      <c r="I88" s="1">
        <v>41144</v>
      </c>
      <c r="J88">
        <v>0.78342241627971398</v>
      </c>
      <c r="K88" s="72">
        <v>299045132715.31299</v>
      </c>
      <c r="L88" s="72">
        <f t="shared" si="6"/>
        <v>833663605862.28699</v>
      </c>
      <c r="M88" s="37">
        <f t="shared" si="7"/>
        <v>0.35871199199825965</v>
      </c>
      <c r="O88" s="1">
        <v>41144</v>
      </c>
      <c r="P88" s="37">
        <v>0.70545980617085702</v>
      </c>
      <c r="Q88">
        <v>833663605862.28699</v>
      </c>
    </row>
    <row r="89" spans="2:17">
      <c r="B89" s="60">
        <v>41151</v>
      </c>
      <c r="C89" s="37">
        <f t="shared" si="4"/>
        <v>0.99992850979514003</v>
      </c>
      <c r="D89" s="37">
        <f t="shared" si="5"/>
        <v>0.79119157211259705</v>
      </c>
      <c r="F89" s="1">
        <v>41151</v>
      </c>
      <c r="G89">
        <v>0.99992850979514003</v>
      </c>
      <c r="I89" s="1">
        <v>41151</v>
      </c>
      <c r="J89">
        <v>0.79119157211259705</v>
      </c>
      <c r="K89" s="72">
        <v>299045132715.31299</v>
      </c>
      <c r="L89" s="72">
        <f t="shared" si="6"/>
        <v>833663605862.28699</v>
      </c>
      <c r="M89" s="37">
        <f t="shared" si="7"/>
        <v>0.35871199199825965</v>
      </c>
      <c r="O89" s="1">
        <v>41151</v>
      </c>
      <c r="P89" s="37">
        <v>0.74172452642125197</v>
      </c>
      <c r="Q89">
        <v>833663605862.28699</v>
      </c>
    </row>
    <row r="90" spans="2:17">
      <c r="B90" s="60">
        <v>41158</v>
      </c>
      <c r="C90" s="37">
        <f t="shared" si="4"/>
        <v>0.999925926572371</v>
      </c>
      <c r="D90" s="37">
        <f t="shared" si="5"/>
        <v>0.79869244722997501</v>
      </c>
      <c r="F90" s="1">
        <v>41158</v>
      </c>
      <c r="G90">
        <v>0.999925926572371</v>
      </c>
      <c r="I90" s="1">
        <v>41158</v>
      </c>
      <c r="J90">
        <v>0.79869244722997501</v>
      </c>
      <c r="K90" s="72">
        <v>285566306127.30701</v>
      </c>
      <c r="L90" s="72">
        <f t="shared" si="6"/>
        <v>824158873560.92102</v>
      </c>
      <c r="M90" s="37">
        <f t="shared" si="7"/>
        <v>0.34649424436027532</v>
      </c>
      <c r="O90" s="1">
        <v>41158</v>
      </c>
      <c r="P90" s="37">
        <v>0.73031006659475095</v>
      </c>
      <c r="Q90">
        <v>824158873560.92102</v>
      </c>
    </row>
    <row r="91" spans="2:17">
      <c r="B91" s="60">
        <v>41165</v>
      </c>
      <c r="C91" s="37">
        <f t="shared" si="4"/>
        <v>0.999925926572371</v>
      </c>
      <c r="D91" s="37">
        <f t="shared" si="5"/>
        <v>0.80125181967528103</v>
      </c>
      <c r="F91" s="1">
        <v>41165</v>
      </c>
      <c r="G91">
        <v>0.999925926572371</v>
      </c>
      <c r="I91" s="1">
        <v>41165</v>
      </c>
      <c r="J91">
        <v>0.80125181967528103</v>
      </c>
      <c r="K91" s="72">
        <v>285566306127.30701</v>
      </c>
      <c r="L91" s="72">
        <f t="shared" si="6"/>
        <v>824158873560.92102</v>
      </c>
      <c r="M91" s="37">
        <f t="shared" si="7"/>
        <v>0.34649424436027532</v>
      </c>
      <c r="O91" s="1">
        <v>41165</v>
      </c>
      <c r="P91" s="37">
        <v>0.73633520756526005</v>
      </c>
      <c r="Q91">
        <v>824158873560.92102</v>
      </c>
    </row>
    <row r="92" spans="2:17">
      <c r="B92" s="60">
        <v>41172</v>
      </c>
      <c r="C92" s="37">
        <f t="shared" si="4"/>
        <v>0.99993925458967703</v>
      </c>
      <c r="D92" s="37">
        <f t="shared" si="5"/>
        <v>0.80486189051620305</v>
      </c>
      <c r="F92" s="1">
        <v>41172</v>
      </c>
      <c r="G92">
        <v>0.99993925458967703</v>
      </c>
      <c r="I92" s="1">
        <v>41172</v>
      </c>
      <c r="J92">
        <v>0.80486189051620305</v>
      </c>
      <c r="K92" s="72">
        <v>285566306127.30701</v>
      </c>
      <c r="L92" s="72">
        <f t="shared" si="6"/>
        <v>824158873560.92102</v>
      </c>
      <c r="M92" s="37">
        <f t="shared" si="7"/>
        <v>0.34649424436027532</v>
      </c>
      <c r="O92" s="1">
        <v>41172</v>
      </c>
      <c r="P92" s="37">
        <v>0.75820018205964501</v>
      </c>
      <c r="Q92">
        <v>824158873560.92102</v>
      </c>
    </row>
    <row r="93" spans="2:17">
      <c r="B93" s="60">
        <v>41179</v>
      </c>
      <c r="C93" s="37">
        <f t="shared" si="4"/>
        <v>0.999963330930556</v>
      </c>
      <c r="D93" s="37">
        <f t="shared" si="5"/>
        <v>0.80926691142062801</v>
      </c>
      <c r="F93" s="1">
        <v>41179</v>
      </c>
      <c r="G93">
        <v>0.999963330930556</v>
      </c>
      <c r="I93" s="1">
        <v>41179</v>
      </c>
      <c r="J93">
        <v>0.80926691142062801</v>
      </c>
      <c r="K93" s="72">
        <v>285566306127.30701</v>
      </c>
      <c r="L93" s="72">
        <f t="shared" si="6"/>
        <v>824158873560.92102</v>
      </c>
      <c r="M93" s="37">
        <f t="shared" si="7"/>
        <v>0.34649424436027532</v>
      </c>
      <c r="O93" s="1">
        <v>41179</v>
      </c>
      <c r="P93" s="37">
        <v>0.80745235876438504</v>
      </c>
      <c r="Q93">
        <v>824158873560.92102</v>
      </c>
    </row>
    <row r="94" spans="2:17">
      <c r="B94" s="60">
        <v>41186</v>
      </c>
      <c r="C94" s="37">
        <f t="shared" si="4"/>
        <v>0.99996184565451895</v>
      </c>
      <c r="D94" s="37">
        <f t="shared" si="5"/>
        <v>0.81286201159837101</v>
      </c>
      <c r="F94" s="1">
        <v>41186</v>
      </c>
      <c r="G94">
        <v>0.99996184565451895</v>
      </c>
      <c r="I94" s="1">
        <v>41186</v>
      </c>
      <c r="J94">
        <v>0.81286201159837101</v>
      </c>
      <c r="K94" s="72">
        <v>273811402301.38901</v>
      </c>
      <c r="L94" s="72">
        <f t="shared" si="6"/>
        <v>825116182205.41797</v>
      </c>
      <c r="M94" s="37">
        <f t="shared" si="7"/>
        <v>0.33184587601897486</v>
      </c>
      <c r="O94" s="1">
        <v>41186</v>
      </c>
      <c r="P94" s="37">
        <v>0.79075164893065797</v>
      </c>
      <c r="Q94">
        <v>825116182205.41797</v>
      </c>
    </row>
    <row r="95" spans="2:17">
      <c r="B95" s="60">
        <v>41193</v>
      </c>
      <c r="C95" s="37">
        <f t="shared" si="4"/>
        <v>0.99994149110272401</v>
      </c>
      <c r="D95" s="37">
        <f t="shared" si="5"/>
        <v>0.81023413562504598</v>
      </c>
      <c r="F95" s="1">
        <v>41193</v>
      </c>
      <c r="G95">
        <v>0.99994149110272401</v>
      </c>
      <c r="I95" s="1">
        <v>41193</v>
      </c>
      <c r="J95">
        <v>0.81023413562504598</v>
      </c>
      <c r="K95" s="72">
        <v>273811402301.38901</v>
      </c>
      <c r="L95" s="72">
        <f t="shared" si="6"/>
        <v>825116182205.41797</v>
      </c>
      <c r="M95" s="37">
        <f t="shared" si="7"/>
        <v>0.33184587601897486</v>
      </c>
      <c r="O95" s="1">
        <v>41193</v>
      </c>
      <c r="P95" s="37">
        <v>0.76684892805557403</v>
      </c>
      <c r="Q95">
        <v>825116182205.41797</v>
      </c>
    </row>
    <row r="96" spans="2:17">
      <c r="B96" s="60">
        <v>41200</v>
      </c>
      <c r="C96" s="37">
        <f t="shared" si="4"/>
        <v>0.99996184565451895</v>
      </c>
      <c r="D96" s="37">
        <f t="shared" si="5"/>
        <v>0.81175268314445304</v>
      </c>
      <c r="F96" s="1">
        <v>41200</v>
      </c>
      <c r="G96">
        <v>0.99996184565451895</v>
      </c>
      <c r="I96" s="1">
        <v>41200</v>
      </c>
      <c r="J96">
        <v>0.81175268314445304</v>
      </c>
      <c r="K96" s="72">
        <v>273811402301.38901</v>
      </c>
      <c r="L96" s="72">
        <f t="shared" si="6"/>
        <v>825116182205.41797</v>
      </c>
      <c r="M96" s="37">
        <f t="shared" si="7"/>
        <v>0.33184587601897486</v>
      </c>
      <c r="O96" s="1">
        <v>41200</v>
      </c>
      <c r="P96" s="37">
        <v>0.78750763693586801</v>
      </c>
      <c r="Q96">
        <v>825116182205.41797</v>
      </c>
    </row>
    <row r="97" spans="2:17">
      <c r="B97" s="60">
        <v>41207</v>
      </c>
      <c r="C97" s="37">
        <f t="shared" si="4"/>
        <v>0.99994149110272401</v>
      </c>
      <c r="D97" s="37">
        <f t="shared" si="5"/>
        <v>0.809839941502147</v>
      </c>
      <c r="F97" s="1">
        <v>41207</v>
      </c>
      <c r="G97">
        <v>0.99994149110272401</v>
      </c>
      <c r="I97" s="1">
        <v>41207</v>
      </c>
      <c r="J97">
        <v>0.809839941502147</v>
      </c>
      <c r="K97" s="72">
        <v>273811402301.38901</v>
      </c>
      <c r="L97" s="72">
        <f t="shared" si="6"/>
        <v>825116182205.41797</v>
      </c>
      <c r="M97" s="37">
        <f t="shared" si="7"/>
        <v>0.33184587601897486</v>
      </c>
      <c r="O97" s="1">
        <v>41207</v>
      </c>
      <c r="P97" s="37">
        <v>0.76516434563272695</v>
      </c>
      <c r="Q97">
        <v>825116182205.41797</v>
      </c>
    </row>
    <row r="98" spans="2:17">
      <c r="B98" s="60">
        <v>41214</v>
      </c>
      <c r="C98" s="37">
        <f t="shared" si="4"/>
        <v>0.99993955387432398</v>
      </c>
      <c r="D98" s="37">
        <f t="shared" si="5"/>
        <v>0.81305878798935505</v>
      </c>
      <c r="F98" s="1">
        <v>41214</v>
      </c>
      <c r="G98">
        <v>0.99993955387432398</v>
      </c>
      <c r="I98" s="1">
        <v>41214</v>
      </c>
      <c r="J98">
        <v>0.81305878798935505</v>
      </c>
      <c r="K98" s="72">
        <v>261291167855.54599</v>
      </c>
      <c r="L98" s="72">
        <f t="shared" si="6"/>
        <v>830648730002.45105</v>
      </c>
      <c r="M98" s="37">
        <f t="shared" si="7"/>
        <v>0.31456277294828944</v>
      </c>
      <c r="O98" s="1">
        <v>41214</v>
      </c>
      <c r="P98" s="37">
        <v>0.74037235734233797</v>
      </c>
      <c r="Q98">
        <v>830648730002.45105</v>
      </c>
    </row>
    <row r="99" spans="2:17">
      <c r="B99" s="60">
        <v>41221</v>
      </c>
      <c r="C99" s="37">
        <f t="shared" si="4"/>
        <v>0.99993955387432398</v>
      </c>
      <c r="D99" s="37">
        <f t="shared" si="5"/>
        <v>0.812945122249775</v>
      </c>
      <c r="F99" s="1">
        <v>41221</v>
      </c>
      <c r="G99">
        <v>0.99993955387432398</v>
      </c>
      <c r="I99" s="1">
        <v>41221</v>
      </c>
      <c r="J99">
        <v>0.812945122249775</v>
      </c>
      <c r="K99" s="72">
        <v>261291167855.54599</v>
      </c>
      <c r="L99" s="72">
        <f t="shared" si="6"/>
        <v>830648730002.45105</v>
      </c>
      <c r="M99" s="37">
        <f t="shared" si="7"/>
        <v>0.31456277294828944</v>
      </c>
      <c r="O99" s="1">
        <v>41221</v>
      </c>
      <c r="P99" s="37">
        <v>0.73991276487142799</v>
      </c>
      <c r="Q99">
        <v>830648730002.45105</v>
      </c>
    </row>
    <row r="100" spans="2:17">
      <c r="B100" s="60">
        <v>41228</v>
      </c>
      <c r="C100" s="37">
        <f t="shared" si="4"/>
        <v>0.999960116591327</v>
      </c>
      <c r="D100" s="37">
        <f t="shared" si="5"/>
        <v>0.81568730147186896</v>
      </c>
      <c r="F100" s="1">
        <v>41228</v>
      </c>
      <c r="G100">
        <v>0.999960116591327</v>
      </c>
      <c r="I100" s="1">
        <v>41228</v>
      </c>
      <c r="J100">
        <v>0.81568730147186896</v>
      </c>
      <c r="K100" s="72">
        <v>261291167855.54599</v>
      </c>
      <c r="L100" s="72">
        <f t="shared" si="6"/>
        <v>830648730002.45105</v>
      </c>
      <c r="M100" s="37">
        <f t="shared" si="7"/>
        <v>0.31456277294828944</v>
      </c>
      <c r="O100" s="1">
        <v>41228</v>
      </c>
      <c r="P100" s="37">
        <v>0.76480419869010197</v>
      </c>
      <c r="Q100">
        <v>830648730002.45105</v>
      </c>
    </row>
    <row r="101" spans="2:17">
      <c r="B101" s="60">
        <v>41234</v>
      </c>
      <c r="C101" s="37">
        <f t="shared" si="4"/>
        <v>0.99997526938915204</v>
      </c>
      <c r="D101" s="37">
        <f t="shared" si="5"/>
        <v>0.81619201070139402</v>
      </c>
      <c r="F101" s="1">
        <v>41234</v>
      </c>
      <c r="G101">
        <v>0.99997526938915204</v>
      </c>
      <c r="I101" s="1">
        <v>41234</v>
      </c>
      <c r="J101">
        <v>0.81619201070139402</v>
      </c>
      <c r="K101" s="72">
        <v>261291167855.54599</v>
      </c>
      <c r="L101" s="72">
        <f t="shared" si="6"/>
        <v>830648730002.45105</v>
      </c>
      <c r="M101" s="37">
        <f t="shared" si="7"/>
        <v>0.31456277294828944</v>
      </c>
      <c r="O101" s="1">
        <v>41234</v>
      </c>
      <c r="P101" s="37">
        <v>0.78285539257517101</v>
      </c>
      <c r="Q101">
        <v>830648730002.45105</v>
      </c>
    </row>
    <row r="102" spans="2:17">
      <c r="B102" s="60">
        <v>41242</v>
      </c>
      <c r="C102" s="37">
        <f t="shared" si="4"/>
        <v>0.999960116591327</v>
      </c>
      <c r="D102" s="37">
        <f t="shared" si="5"/>
        <v>0.81567965422119304</v>
      </c>
      <c r="F102" s="1">
        <v>41242</v>
      </c>
      <c r="G102">
        <v>0.999960116591327</v>
      </c>
      <c r="I102" s="1">
        <v>41242</v>
      </c>
      <c r="J102">
        <v>0.81567965422119304</v>
      </c>
      <c r="K102" s="72">
        <v>261291167855.54599</v>
      </c>
      <c r="L102" s="72">
        <f t="shared" si="6"/>
        <v>830648730002.45105</v>
      </c>
      <c r="M102" s="37">
        <f t="shared" si="7"/>
        <v>0.31456277294828944</v>
      </c>
      <c r="O102" s="1">
        <v>41242</v>
      </c>
      <c r="P102" s="37">
        <v>0.76478774162966601</v>
      </c>
      <c r="Q102">
        <v>830648730002.45105</v>
      </c>
    </row>
    <row r="103" spans="2:17">
      <c r="B103" s="60">
        <v>41249</v>
      </c>
      <c r="C103" s="37">
        <f t="shared" si="4"/>
        <v>0.99995840571303796</v>
      </c>
      <c r="D103" s="37">
        <f t="shared" si="5"/>
        <v>0.81785115811029996</v>
      </c>
      <c r="F103" s="1">
        <v>41249</v>
      </c>
      <c r="G103">
        <v>0.99995840571303796</v>
      </c>
      <c r="I103" s="1">
        <v>41249</v>
      </c>
      <c r="J103">
        <v>0.81785115811029996</v>
      </c>
      <c r="K103" s="72">
        <v>249957281866.888</v>
      </c>
      <c r="L103" s="72">
        <f t="shared" si="6"/>
        <v>820270598245.922</v>
      </c>
      <c r="M103" s="37">
        <f t="shared" si="7"/>
        <v>0.30472539476777555</v>
      </c>
      <c r="O103" s="1">
        <v>41249</v>
      </c>
      <c r="P103" s="37">
        <v>0.75100707648100695</v>
      </c>
      <c r="Q103">
        <v>820270598245.922</v>
      </c>
    </row>
    <row r="104" spans="2:17">
      <c r="B104" s="60">
        <v>41256</v>
      </c>
      <c r="C104" s="37">
        <f t="shared" si="4"/>
        <v>0.99997421417518995</v>
      </c>
      <c r="D104" s="37">
        <f t="shared" si="5"/>
        <v>0.81814457584000999</v>
      </c>
      <c r="F104" s="1">
        <v>41256</v>
      </c>
      <c r="G104">
        <v>0.99997421417518995</v>
      </c>
      <c r="I104" s="1">
        <v>41256</v>
      </c>
      <c r="J104">
        <v>0.81814457584000999</v>
      </c>
      <c r="K104" s="72">
        <v>249957281866.888</v>
      </c>
      <c r="L104" s="72">
        <f t="shared" si="6"/>
        <v>820270598245.922</v>
      </c>
      <c r="M104" s="37">
        <f t="shared" si="7"/>
        <v>0.30472539476777555</v>
      </c>
      <c r="O104" s="1">
        <v>41256</v>
      </c>
      <c r="P104" s="37">
        <v>0.76878180463249601</v>
      </c>
      <c r="Q104">
        <v>820270598245.922</v>
      </c>
    </row>
    <row r="105" spans="2:17">
      <c r="B105" s="60">
        <v>41263</v>
      </c>
      <c r="C105" s="37">
        <f t="shared" si="4"/>
        <v>0.99995840571303796</v>
      </c>
      <c r="D105" s="37">
        <f t="shared" si="5"/>
        <v>0.81674451148550797</v>
      </c>
      <c r="F105" s="1">
        <v>41263</v>
      </c>
      <c r="G105">
        <v>0.99995840571303796</v>
      </c>
      <c r="I105" s="1">
        <v>41263</v>
      </c>
      <c r="J105">
        <v>0.81674451148550797</v>
      </c>
      <c r="K105" s="72">
        <v>249957281866.888</v>
      </c>
      <c r="L105" s="72">
        <f t="shared" si="6"/>
        <v>820270598245.922</v>
      </c>
      <c r="M105" s="37">
        <f t="shared" si="7"/>
        <v>0.30472539476777555</v>
      </c>
      <c r="O105" s="1">
        <v>41263</v>
      </c>
      <c r="P105" s="37">
        <v>0.74807230422736604</v>
      </c>
      <c r="Q105">
        <v>820270598245.922</v>
      </c>
    </row>
    <row r="106" spans="2:17">
      <c r="B106" s="60">
        <v>41270</v>
      </c>
      <c r="C106" s="37">
        <f t="shared" si="4"/>
        <v>0.99995840571303796</v>
      </c>
      <c r="D106" s="37">
        <f t="shared" si="5"/>
        <v>0.81764309369800603</v>
      </c>
      <c r="F106" s="1">
        <v>41270</v>
      </c>
      <c r="G106">
        <v>0.99995840571303796</v>
      </c>
      <c r="I106" s="1">
        <v>41270</v>
      </c>
      <c r="J106">
        <v>0.81764309369800603</v>
      </c>
      <c r="K106" s="72">
        <v>249957281866.888</v>
      </c>
      <c r="L106" s="72">
        <f t="shared" si="6"/>
        <v>820270598245.922</v>
      </c>
      <c r="M106" s="37">
        <f t="shared" si="7"/>
        <v>0.30472539476777555</v>
      </c>
      <c r="O106" s="1">
        <v>41270</v>
      </c>
      <c r="P106" s="37">
        <v>0.75035821746947096</v>
      </c>
      <c r="Q106">
        <v>820270598245.922</v>
      </c>
    </row>
    <row r="107" spans="2:17">
      <c r="B107" s="60">
        <v>41277</v>
      </c>
      <c r="C107" s="37">
        <f t="shared" si="4"/>
        <v>0.99995690344517796</v>
      </c>
      <c r="D107" s="37">
        <f t="shared" si="5"/>
        <v>0.82341532975696197</v>
      </c>
      <c r="F107" s="1">
        <v>41277</v>
      </c>
      <c r="G107">
        <v>0.99995690344517796</v>
      </c>
      <c r="I107" s="1">
        <v>41277</v>
      </c>
      <c r="J107">
        <v>0.82341532975696197</v>
      </c>
      <c r="K107" s="72">
        <v>238607531217.349</v>
      </c>
      <c r="L107" s="72">
        <f t="shared" si="6"/>
        <v>819156247294.42395</v>
      </c>
      <c r="M107" s="37">
        <f t="shared" si="7"/>
        <v>0.29128451623904644</v>
      </c>
      <c r="O107" s="1">
        <v>41277</v>
      </c>
      <c r="P107" s="37">
        <v>0.73297781488807101</v>
      </c>
      <c r="Q107">
        <v>819156247294.42395</v>
      </c>
    </row>
    <row r="108" spans="2:17">
      <c r="B108" s="60">
        <v>41284</v>
      </c>
      <c r="C108" s="37">
        <f t="shared" si="4"/>
        <v>0.99993449558008296</v>
      </c>
      <c r="D108" s="37">
        <f t="shared" si="5"/>
        <v>0.82080020350731497</v>
      </c>
      <c r="F108" s="1">
        <v>41284</v>
      </c>
      <c r="G108">
        <v>0.99993449558008296</v>
      </c>
      <c r="I108" s="1">
        <v>41284</v>
      </c>
      <c r="J108">
        <v>0.82080020350731497</v>
      </c>
      <c r="K108" s="72">
        <v>238607531217.349</v>
      </c>
      <c r="L108" s="72">
        <f t="shared" si="6"/>
        <v>819156247294.42395</v>
      </c>
      <c r="M108" s="37">
        <f t="shared" si="7"/>
        <v>0.29128451623904644</v>
      </c>
      <c r="O108" s="1">
        <v>41284</v>
      </c>
      <c r="P108" s="37">
        <v>0.70742761689353795</v>
      </c>
      <c r="Q108">
        <v>819156247294.42395</v>
      </c>
    </row>
    <row r="109" spans="2:17">
      <c r="B109" s="60">
        <v>41291</v>
      </c>
      <c r="C109" s="37">
        <f t="shared" si="4"/>
        <v>0.99995690344517796</v>
      </c>
      <c r="D109" s="37">
        <f t="shared" si="5"/>
        <v>0.82149229359926401</v>
      </c>
      <c r="F109" s="1">
        <v>41291</v>
      </c>
      <c r="G109">
        <v>0.99995690344517796</v>
      </c>
      <c r="I109" s="1">
        <v>41291</v>
      </c>
      <c r="J109">
        <v>0.82149229359926401</v>
      </c>
      <c r="K109" s="72">
        <v>238607531217.349</v>
      </c>
      <c r="L109" s="72">
        <f t="shared" si="6"/>
        <v>819156247294.42395</v>
      </c>
      <c r="M109" s="37">
        <f t="shared" si="7"/>
        <v>0.29128451623904644</v>
      </c>
      <c r="O109" s="1">
        <v>41291</v>
      </c>
      <c r="P109" s="37">
        <v>0.72944046146990305</v>
      </c>
      <c r="Q109">
        <v>819156247294.42395</v>
      </c>
    </row>
    <row r="110" spans="2:17">
      <c r="B110" s="60">
        <v>41298</v>
      </c>
      <c r="C110" s="37">
        <f t="shared" si="4"/>
        <v>0.99993449558008296</v>
      </c>
      <c r="D110" s="37">
        <f t="shared" si="5"/>
        <v>0.81986111028491404</v>
      </c>
      <c r="F110" s="1">
        <v>41298</v>
      </c>
      <c r="G110">
        <v>0.99993449558008296</v>
      </c>
      <c r="I110" s="1">
        <v>41298</v>
      </c>
      <c r="J110">
        <v>0.81986111028491404</v>
      </c>
      <c r="K110" s="72">
        <v>238607531217.349</v>
      </c>
      <c r="L110" s="72">
        <f t="shared" si="6"/>
        <v>819156247294.42395</v>
      </c>
      <c r="M110" s="37">
        <f t="shared" si="7"/>
        <v>0.29128451623904644</v>
      </c>
      <c r="O110" s="1">
        <v>41298</v>
      </c>
      <c r="P110" s="37">
        <v>0.70454946765433302</v>
      </c>
      <c r="Q110">
        <v>819156247294.42395</v>
      </c>
    </row>
    <row r="111" spans="2:17">
      <c r="B111" s="60">
        <v>41305</v>
      </c>
      <c r="C111" s="37">
        <f t="shared" si="4"/>
        <v>0.99991411771788796</v>
      </c>
      <c r="D111" s="37">
        <f t="shared" si="5"/>
        <v>0.81478312271985798</v>
      </c>
      <c r="F111" s="1">
        <v>41305</v>
      </c>
      <c r="G111">
        <v>0.99991411771788796</v>
      </c>
      <c r="I111" s="1">
        <v>41305</v>
      </c>
      <c r="J111">
        <v>0.81478312271985798</v>
      </c>
      <c r="K111" s="72">
        <v>238607531217.349</v>
      </c>
      <c r="L111" s="72">
        <f t="shared" si="6"/>
        <v>819156247294.42395</v>
      </c>
      <c r="M111" s="37">
        <f t="shared" si="7"/>
        <v>0.29128451623904644</v>
      </c>
      <c r="O111" s="1">
        <v>41305</v>
      </c>
      <c r="P111" s="37">
        <v>0.65383764183083704</v>
      </c>
      <c r="Q111">
        <v>819156247294.42395</v>
      </c>
    </row>
    <row r="112" spans="2:17">
      <c r="B112" s="60">
        <v>41312</v>
      </c>
      <c r="C112" s="37">
        <f t="shared" si="4"/>
        <v>0.99991089237320696</v>
      </c>
      <c r="D112" s="37">
        <f t="shared" si="5"/>
        <v>0.81882809099579801</v>
      </c>
      <c r="F112" s="1">
        <v>41312</v>
      </c>
      <c r="G112">
        <v>0.99991089237320696</v>
      </c>
      <c r="I112" s="1">
        <v>41312</v>
      </c>
      <c r="J112">
        <v>0.81882809099579801</v>
      </c>
      <c r="K112" s="72">
        <v>227504189704.84799</v>
      </c>
      <c r="L112" s="72">
        <f t="shared" si="6"/>
        <v>818129385045.38</v>
      </c>
      <c r="M112" s="37">
        <f t="shared" si="7"/>
        <v>0.27807849695097897</v>
      </c>
      <c r="O112" s="1">
        <v>41312</v>
      </c>
      <c r="P112" s="37">
        <v>0.63114301374580195</v>
      </c>
      <c r="Q112">
        <v>818129385045.38</v>
      </c>
    </row>
    <row r="113" spans="2:17">
      <c r="B113" s="60">
        <v>41319</v>
      </c>
      <c r="C113" s="37">
        <f t="shared" si="4"/>
        <v>0.99991089237320696</v>
      </c>
      <c r="D113" s="37">
        <f t="shared" si="5"/>
        <v>0.81882809099579801</v>
      </c>
      <c r="F113" s="1">
        <v>41319</v>
      </c>
      <c r="G113">
        <v>0.99991089237320696</v>
      </c>
      <c r="I113" s="1">
        <v>41319</v>
      </c>
      <c r="J113">
        <v>0.81882809099579801</v>
      </c>
      <c r="K113" s="72">
        <v>227504189704.84799</v>
      </c>
      <c r="L113" s="72">
        <f t="shared" si="6"/>
        <v>818129385045.38</v>
      </c>
      <c r="M113" s="37">
        <f t="shared" si="7"/>
        <v>0.27807849695097897</v>
      </c>
      <c r="O113" s="1">
        <v>41319</v>
      </c>
      <c r="P113" s="37">
        <v>0.63114301374580195</v>
      </c>
      <c r="Q113">
        <v>818129385045.38</v>
      </c>
    </row>
    <row r="114" spans="2:17">
      <c r="B114" s="60">
        <v>41326</v>
      </c>
      <c r="C114" s="37">
        <f t="shared" si="4"/>
        <v>0.99989953187824898</v>
      </c>
      <c r="D114" s="37">
        <f t="shared" si="5"/>
        <v>0.81745206005968196</v>
      </c>
      <c r="F114" s="1">
        <v>41326</v>
      </c>
      <c r="G114">
        <v>0.99989953187824898</v>
      </c>
      <c r="I114" s="1">
        <v>41326</v>
      </c>
      <c r="J114">
        <v>0.81745206005968196</v>
      </c>
      <c r="K114" s="72">
        <v>227504189704.84799</v>
      </c>
      <c r="L114" s="72">
        <f t="shared" si="6"/>
        <v>818129385045.38</v>
      </c>
      <c r="M114" s="37">
        <f t="shared" si="7"/>
        <v>0.27807849695097897</v>
      </c>
      <c r="O114" s="1">
        <v>41326</v>
      </c>
      <c r="P114" s="37">
        <v>0.61369684310791495</v>
      </c>
      <c r="Q114">
        <v>818129385045.38</v>
      </c>
    </row>
    <row r="115" spans="2:17">
      <c r="B115" s="60">
        <v>41333</v>
      </c>
      <c r="C115" s="37">
        <f t="shared" si="4"/>
        <v>0.99991089237320696</v>
      </c>
      <c r="D115" s="37">
        <f t="shared" si="5"/>
        <v>0.82073842590296597</v>
      </c>
      <c r="F115" s="1">
        <v>41333</v>
      </c>
      <c r="G115">
        <v>0.99991089237320696</v>
      </c>
      <c r="I115" s="1">
        <v>41333</v>
      </c>
      <c r="J115">
        <v>0.82073842590296597</v>
      </c>
      <c r="K115" s="72">
        <v>227504189704.84799</v>
      </c>
      <c r="L115" s="72">
        <f t="shared" si="6"/>
        <v>818129385045.38</v>
      </c>
      <c r="M115" s="37">
        <f t="shared" si="7"/>
        <v>0.27807849695097897</v>
      </c>
      <c r="O115" s="1">
        <v>41333</v>
      </c>
      <c r="P115" s="37">
        <v>0.63491676312975598</v>
      </c>
      <c r="Q115">
        <v>818129385045.38</v>
      </c>
    </row>
    <row r="116" spans="2:17">
      <c r="B116" s="60">
        <v>41340</v>
      </c>
      <c r="C116" s="37">
        <f t="shared" si="4"/>
        <v>0.99990931344518297</v>
      </c>
      <c r="D116" s="37">
        <f t="shared" si="5"/>
        <v>0.82850307416378899</v>
      </c>
      <c r="F116" s="1">
        <v>41340</v>
      </c>
      <c r="G116">
        <v>0.99990931344518297</v>
      </c>
      <c r="I116" s="1">
        <v>41340</v>
      </c>
      <c r="J116">
        <v>0.82850307416378899</v>
      </c>
      <c r="K116" s="72">
        <v>216694156147.63699</v>
      </c>
      <c r="L116" s="72">
        <f t="shared" si="6"/>
        <v>824157902540.86401</v>
      </c>
      <c r="M116" s="37">
        <f t="shared" si="7"/>
        <v>0.26292796013915876</v>
      </c>
      <c r="O116" s="1">
        <v>41340</v>
      </c>
      <c r="P116" s="37">
        <v>0.614585918181075</v>
      </c>
      <c r="Q116">
        <v>824157902540.86401</v>
      </c>
    </row>
    <row r="117" spans="2:17">
      <c r="B117" s="60">
        <v>41347</v>
      </c>
      <c r="C117" s="37">
        <f t="shared" si="4"/>
        <v>0.99915802709531398</v>
      </c>
      <c r="D117" s="37">
        <f t="shared" si="5"/>
        <v>0.82003372097846405</v>
      </c>
      <c r="F117" s="1">
        <v>41347</v>
      </c>
      <c r="G117">
        <v>0.99915802709531398</v>
      </c>
      <c r="I117" s="1">
        <v>41347</v>
      </c>
      <c r="J117">
        <v>0.82003372097846405</v>
      </c>
      <c r="K117" s="72">
        <v>216694156147.63699</v>
      </c>
      <c r="L117" s="72">
        <f t="shared" si="6"/>
        <v>824157902540.86401</v>
      </c>
      <c r="M117" s="37">
        <f t="shared" si="7"/>
        <v>0.26292796013915876</v>
      </c>
      <c r="O117" s="1">
        <v>41347</v>
      </c>
      <c r="P117" s="37">
        <v>0.57544552260540704</v>
      </c>
      <c r="Q117">
        <v>824157902540.86401</v>
      </c>
    </row>
    <row r="118" spans="2:17">
      <c r="B118" s="60">
        <v>41354</v>
      </c>
      <c r="C118" s="37">
        <f t="shared" si="4"/>
        <v>0.99990931344518297</v>
      </c>
      <c r="D118" s="37">
        <f t="shared" si="5"/>
        <v>0.82553780316113101</v>
      </c>
      <c r="F118" s="1">
        <v>41354</v>
      </c>
      <c r="G118">
        <v>0.99990931344518297</v>
      </c>
      <c r="I118" s="1">
        <v>41354</v>
      </c>
      <c r="J118">
        <v>0.82553780316113101</v>
      </c>
      <c r="K118" s="72">
        <v>216694156147.63699</v>
      </c>
      <c r="L118" s="72">
        <f t="shared" si="6"/>
        <v>824157902540.86401</v>
      </c>
      <c r="M118" s="37">
        <f t="shared" si="7"/>
        <v>0.26292796013915876</v>
      </c>
      <c r="O118" s="1">
        <v>41354</v>
      </c>
      <c r="P118" s="37">
        <v>0.60905555004469203</v>
      </c>
      <c r="Q118">
        <v>824157902540.86401</v>
      </c>
    </row>
    <row r="119" spans="2:17">
      <c r="B119" s="60">
        <v>41361</v>
      </c>
      <c r="C119" s="37">
        <f t="shared" si="4"/>
        <v>0.999897251404256</v>
      </c>
      <c r="D119" s="37">
        <f t="shared" si="5"/>
        <v>0.82472458395839399</v>
      </c>
      <c r="F119" s="1">
        <v>41361</v>
      </c>
      <c r="G119">
        <v>0.999897251404256</v>
      </c>
      <c r="I119" s="1">
        <v>41361</v>
      </c>
      <c r="J119">
        <v>0.82472458395839399</v>
      </c>
      <c r="K119" s="72">
        <v>216694156147.63699</v>
      </c>
      <c r="L119" s="72">
        <f t="shared" si="6"/>
        <v>824157902540.86401</v>
      </c>
      <c r="M119" s="37">
        <f t="shared" si="7"/>
        <v>0.26292796013915876</v>
      </c>
      <c r="O119" s="1">
        <v>41361</v>
      </c>
      <c r="P119" s="37">
        <v>0.59208663893880398</v>
      </c>
      <c r="Q119">
        <v>824157902540.86401</v>
      </c>
    </row>
    <row r="120" spans="2:17">
      <c r="B120" s="60">
        <v>41368</v>
      </c>
      <c r="C120" s="37">
        <f t="shared" si="4"/>
        <v>0.99990366179078405</v>
      </c>
      <c r="D120" s="37">
        <f t="shared" si="5"/>
        <v>0.84328555765855695</v>
      </c>
      <c r="F120" s="1">
        <v>41368</v>
      </c>
      <c r="G120">
        <v>0.99990366179078405</v>
      </c>
      <c r="I120" s="1">
        <v>41368</v>
      </c>
      <c r="J120">
        <v>0.84328555765855695</v>
      </c>
      <c r="K120" s="72">
        <v>205810683336.68799</v>
      </c>
      <c r="L120" s="72">
        <f t="shared" si="6"/>
        <v>828249997663.94495</v>
      </c>
      <c r="M120" s="37">
        <f t="shared" si="7"/>
        <v>0.24848860116772839</v>
      </c>
      <c r="O120" s="1">
        <v>41368</v>
      </c>
      <c r="P120" s="37">
        <v>0.59809945210751803</v>
      </c>
      <c r="Q120">
        <v>828249997663.94495</v>
      </c>
    </row>
    <row r="121" spans="2:17">
      <c r="B121" s="60">
        <v>41375</v>
      </c>
      <c r="C121" s="37">
        <f t="shared" si="4"/>
        <v>0.99991982126825196</v>
      </c>
      <c r="D121" s="37">
        <f t="shared" si="5"/>
        <v>0.84878046306266597</v>
      </c>
      <c r="F121" s="1">
        <v>41375</v>
      </c>
      <c r="G121">
        <v>0.99991982126825196</v>
      </c>
      <c r="I121" s="1">
        <v>41375</v>
      </c>
      <c r="J121">
        <v>0.84878046306266597</v>
      </c>
      <c r="K121" s="72">
        <v>205810683336.68799</v>
      </c>
      <c r="L121" s="72">
        <f t="shared" si="6"/>
        <v>828249997663.94495</v>
      </c>
      <c r="M121" s="37">
        <f t="shared" si="7"/>
        <v>0.24848860116772839</v>
      </c>
      <c r="O121" s="1">
        <v>41375</v>
      </c>
      <c r="P121" s="37">
        <v>0.627166081933069</v>
      </c>
      <c r="Q121">
        <v>828249997663.94495</v>
      </c>
    </row>
    <row r="122" spans="2:17">
      <c r="B122" s="60">
        <v>41382</v>
      </c>
      <c r="C122" s="37">
        <f t="shared" si="4"/>
        <v>0.99992797902387898</v>
      </c>
      <c r="D122" s="37">
        <f t="shared" si="5"/>
        <v>0.85066430465365805</v>
      </c>
      <c r="F122" s="1">
        <v>41382</v>
      </c>
      <c r="G122">
        <v>0.99992797902387898</v>
      </c>
      <c r="I122" s="1">
        <v>41382</v>
      </c>
      <c r="J122">
        <v>0.85066430465365805</v>
      </c>
      <c r="K122" s="72">
        <v>205810683336.68799</v>
      </c>
      <c r="L122" s="72">
        <f t="shared" si="6"/>
        <v>828249997663.94495</v>
      </c>
      <c r="M122" s="37">
        <f t="shared" si="7"/>
        <v>0.24848860116772839</v>
      </c>
      <c r="O122" s="1">
        <v>41382</v>
      </c>
      <c r="P122" s="37">
        <v>0.65452696598777105</v>
      </c>
      <c r="Q122">
        <v>828249997663.94495</v>
      </c>
    </row>
    <row r="123" spans="2:17">
      <c r="B123" s="60">
        <v>41389</v>
      </c>
      <c r="C123" s="37">
        <f t="shared" si="4"/>
        <v>0.99992797902387898</v>
      </c>
      <c r="D123" s="37">
        <f t="shared" si="5"/>
        <v>0.84953189700775</v>
      </c>
      <c r="F123" s="1">
        <v>41389</v>
      </c>
      <c r="G123">
        <v>0.99992797902387898</v>
      </c>
      <c r="I123" s="1">
        <v>41389</v>
      </c>
      <c r="J123">
        <v>0.84953189700775</v>
      </c>
      <c r="K123" s="72">
        <v>205810683336.68799</v>
      </c>
      <c r="L123" s="72">
        <f t="shared" si="6"/>
        <v>828249997663.94495</v>
      </c>
      <c r="M123" s="37">
        <f t="shared" si="7"/>
        <v>0.24848860116772839</v>
      </c>
      <c r="O123" s="1">
        <v>41389</v>
      </c>
      <c r="P123" s="37">
        <v>0.65157246412580705</v>
      </c>
      <c r="Q123">
        <v>828249997663.94495</v>
      </c>
    </row>
    <row r="124" spans="2:17">
      <c r="B124" s="60">
        <v>41396</v>
      </c>
      <c r="C124" s="37">
        <f t="shared" si="4"/>
        <v>0.9999571303068</v>
      </c>
      <c r="D124" s="37">
        <f t="shared" si="5"/>
        <v>0.86809283690983496</v>
      </c>
      <c r="F124" s="1">
        <v>41396</v>
      </c>
      <c r="G124">
        <v>0.9999571303068</v>
      </c>
      <c r="I124" s="1">
        <v>41396</v>
      </c>
      <c r="J124">
        <v>0.86809283690983496</v>
      </c>
      <c r="K124" s="72">
        <v>195225890723.888</v>
      </c>
      <c r="L124" s="72">
        <f t="shared" si="6"/>
        <v>828002980341.57397</v>
      </c>
      <c r="M124" s="37">
        <f t="shared" si="7"/>
        <v>0.23577921258610923</v>
      </c>
      <c r="O124" s="1">
        <v>41396</v>
      </c>
      <c r="P124" s="37">
        <v>0.67537337584507495</v>
      </c>
      <c r="Q124">
        <v>828002980341.57397</v>
      </c>
    </row>
    <row r="125" spans="2:17">
      <c r="B125" s="60">
        <v>41403</v>
      </c>
      <c r="C125" s="37">
        <f t="shared" si="4"/>
        <v>0.999926355664575</v>
      </c>
      <c r="D125" s="37">
        <f t="shared" si="5"/>
        <v>0.86549923979029997</v>
      </c>
      <c r="F125" s="1">
        <v>41403</v>
      </c>
      <c r="G125">
        <v>0.999926355664575</v>
      </c>
      <c r="I125" s="1">
        <v>41403</v>
      </c>
      <c r="J125">
        <v>0.86549923979029997</v>
      </c>
      <c r="K125" s="72">
        <v>195225890723.888</v>
      </c>
      <c r="L125" s="72">
        <f t="shared" si="6"/>
        <v>828002980341.57397</v>
      </c>
      <c r="M125" s="37">
        <f t="shared" si="7"/>
        <v>0.23577921258610923</v>
      </c>
      <c r="O125" s="1">
        <v>41403</v>
      </c>
      <c r="P125" s="37">
        <v>0.64540614198338597</v>
      </c>
      <c r="Q125">
        <v>828002980341.57397</v>
      </c>
    </row>
    <row r="126" spans="2:17">
      <c r="B126" s="60">
        <v>41410</v>
      </c>
      <c r="C126" s="37">
        <f t="shared" si="4"/>
        <v>0.99991596688144602</v>
      </c>
      <c r="D126" s="37">
        <f t="shared" si="5"/>
        <v>0.86263586497337696</v>
      </c>
      <c r="F126" s="1">
        <v>41410</v>
      </c>
      <c r="G126">
        <v>0.99991596688144602</v>
      </c>
      <c r="I126" s="1">
        <v>41410</v>
      </c>
      <c r="J126">
        <v>0.86263586497337696</v>
      </c>
      <c r="K126" s="72">
        <v>195225890723.888</v>
      </c>
      <c r="L126" s="72">
        <f t="shared" si="6"/>
        <v>828002980341.57397</v>
      </c>
      <c r="M126" s="37">
        <f t="shared" si="7"/>
        <v>0.23577921258610923</v>
      </c>
      <c r="O126" s="1">
        <v>41410</v>
      </c>
      <c r="P126" s="37">
        <v>0.613716446261377</v>
      </c>
      <c r="Q126">
        <v>828002980341.57397</v>
      </c>
    </row>
    <row r="127" spans="2:17">
      <c r="B127" s="60">
        <v>41417</v>
      </c>
      <c r="C127" s="37">
        <f t="shared" si="4"/>
        <v>0.999891003765222</v>
      </c>
      <c r="D127" s="37">
        <f t="shared" si="5"/>
        <v>0.85860250393135296</v>
      </c>
      <c r="F127" s="1">
        <v>41417</v>
      </c>
      <c r="G127">
        <v>0.999891003765222</v>
      </c>
      <c r="I127" s="1">
        <v>41417</v>
      </c>
      <c r="J127">
        <v>0.85860250393135296</v>
      </c>
      <c r="K127" s="72">
        <v>195225890723.888</v>
      </c>
      <c r="L127" s="72">
        <f t="shared" si="6"/>
        <v>828002980341.57397</v>
      </c>
      <c r="M127" s="37">
        <f t="shared" si="7"/>
        <v>0.23577921258610923</v>
      </c>
      <c r="O127" s="1">
        <v>41417</v>
      </c>
      <c r="P127" s="37">
        <v>0.57161053072002299</v>
      </c>
      <c r="Q127">
        <v>828002980341.57397</v>
      </c>
    </row>
    <row r="128" spans="2:17">
      <c r="B128" s="60">
        <v>41424</v>
      </c>
      <c r="C128" s="37">
        <f t="shared" si="4"/>
        <v>0.98959937329126002</v>
      </c>
      <c r="D128" s="37">
        <f t="shared" si="5"/>
        <v>0.83247184789062301</v>
      </c>
      <c r="F128" s="1">
        <v>41424</v>
      </c>
      <c r="G128">
        <v>0.98959937329126002</v>
      </c>
      <c r="I128" s="1">
        <v>41424</v>
      </c>
      <c r="J128">
        <v>0.83247184789062301</v>
      </c>
      <c r="K128" s="72">
        <v>195225890723.888</v>
      </c>
      <c r="L128" s="72">
        <f t="shared" si="6"/>
        <v>828002980341.57397</v>
      </c>
      <c r="M128" s="37">
        <f t="shared" si="7"/>
        <v>0.23577921258610923</v>
      </c>
      <c r="O128" s="1">
        <v>41424</v>
      </c>
      <c r="P128" s="37">
        <v>0.49281389771726503</v>
      </c>
      <c r="Q128">
        <v>828002980341.57397</v>
      </c>
    </row>
    <row r="129" spans="2:17">
      <c r="B129" s="60">
        <v>41431</v>
      </c>
      <c r="C129" s="37">
        <f t="shared" si="4"/>
        <v>0.98319620204482405</v>
      </c>
      <c r="D129" s="37">
        <f t="shared" si="5"/>
        <v>0.83759474015632596</v>
      </c>
      <c r="F129" s="1">
        <v>41431</v>
      </c>
      <c r="G129">
        <v>0.98319620204482405</v>
      </c>
      <c r="I129" s="1">
        <v>41431</v>
      </c>
      <c r="J129">
        <v>0.83759474015632596</v>
      </c>
      <c r="K129" s="72">
        <v>185053119902.13599</v>
      </c>
      <c r="L129" s="72">
        <f t="shared" si="6"/>
        <v>832667072231.375</v>
      </c>
      <c r="M129" s="37">
        <f t="shared" si="7"/>
        <v>0.22224142886571943</v>
      </c>
      <c r="O129" s="1">
        <v>41431</v>
      </c>
      <c r="P129" s="37">
        <v>0.45700453068812003</v>
      </c>
      <c r="Q129">
        <v>832667072231.375</v>
      </c>
    </row>
    <row r="130" spans="2:17">
      <c r="B130" s="60">
        <v>41438</v>
      </c>
      <c r="C130" s="37">
        <f t="shared" si="4"/>
        <v>0.97483509520421197</v>
      </c>
      <c r="D130" s="37">
        <f t="shared" si="5"/>
        <v>0.823700334554193</v>
      </c>
      <c r="F130" s="1">
        <v>41438</v>
      </c>
      <c r="G130">
        <v>0.97483509520421197</v>
      </c>
      <c r="I130" s="1">
        <v>41438</v>
      </c>
      <c r="J130">
        <v>0.823700334554193</v>
      </c>
      <c r="K130" s="72">
        <v>185053119902.13599</v>
      </c>
      <c r="L130" s="72">
        <f t="shared" si="6"/>
        <v>832667072231.375</v>
      </c>
      <c r="M130" s="37">
        <f t="shared" si="7"/>
        <v>0.22224142886571943</v>
      </c>
      <c r="O130" s="1">
        <v>41438</v>
      </c>
      <c r="P130" s="37">
        <v>0.43444871521773998</v>
      </c>
      <c r="Q130">
        <v>832667072231.375</v>
      </c>
    </row>
    <row r="131" spans="2:17">
      <c r="B131" s="60">
        <v>41445</v>
      </c>
      <c r="C131" s="37">
        <f t="shared" si="4"/>
        <v>0.974845105001512</v>
      </c>
      <c r="D131" s="37">
        <f t="shared" si="5"/>
        <v>0.82432391546961303</v>
      </c>
      <c r="F131" s="1">
        <v>41445</v>
      </c>
      <c r="G131">
        <v>0.974845105001512</v>
      </c>
      <c r="I131" s="1">
        <v>41445</v>
      </c>
      <c r="J131">
        <v>0.82432391546961303</v>
      </c>
      <c r="K131" s="72">
        <v>185053119902.13599</v>
      </c>
      <c r="L131" s="72">
        <f t="shared" si="6"/>
        <v>832667072231.375</v>
      </c>
      <c r="M131" s="37">
        <f t="shared" si="7"/>
        <v>0.22224142886571943</v>
      </c>
      <c r="O131" s="1">
        <v>41445</v>
      </c>
      <c r="P131" s="37">
        <v>0.43496628993259601</v>
      </c>
      <c r="Q131">
        <v>832667072231.375</v>
      </c>
    </row>
    <row r="132" spans="2:17">
      <c r="B132" s="60">
        <v>41452</v>
      </c>
      <c r="C132" s="37">
        <f t="shared" ref="C132:C195" si="8">VLOOKUP(B132,F:G,2,0)</f>
        <v>0.75861637191260001</v>
      </c>
      <c r="D132" s="37">
        <f t="shared" ref="D132:D195" si="9">VLOOKUP(B132,I:J,2,0)</f>
        <v>0.58169167101166497</v>
      </c>
      <c r="F132" s="1">
        <v>41452</v>
      </c>
      <c r="G132">
        <v>0.75861637191260001</v>
      </c>
      <c r="I132" s="1">
        <v>41452</v>
      </c>
      <c r="J132">
        <v>0.58169167101166497</v>
      </c>
      <c r="K132" s="72">
        <v>185053119902.13599</v>
      </c>
      <c r="L132" s="72">
        <f t="shared" ref="L132:L195" si="10">VLOOKUP(I132,O:Q,3,0)</f>
        <v>832667072231.375</v>
      </c>
      <c r="M132" s="37">
        <f t="shared" ref="M132:M195" si="11">K132/L132*100%</f>
        <v>0.22224142886571943</v>
      </c>
      <c r="O132" s="1">
        <v>41452</v>
      </c>
      <c r="P132" s="37">
        <v>0.219987264889585</v>
      </c>
      <c r="Q132">
        <v>832667072231.375</v>
      </c>
    </row>
    <row r="133" spans="2:17">
      <c r="B133" s="60">
        <v>41458</v>
      </c>
      <c r="C133" s="37">
        <f t="shared" si="8"/>
        <v>0.87464281994842097</v>
      </c>
      <c r="D133" s="37">
        <f t="shared" si="9"/>
        <v>0.71619679638174105</v>
      </c>
      <c r="F133" s="1">
        <v>41458</v>
      </c>
      <c r="G133">
        <v>0.87464281994842097</v>
      </c>
      <c r="I133" s="1">
        <v>41458</v>
      </c>
      <c r="J133">
        <v>0.71619679638174105</v>
      </c>
      <c r="K133" s="72">
        <v>176083452320.259</v>
      </c>
      <c r="L133" s="72">
        <f t="shared" si="10"/>
        <v>835315019877.84595</v>
      </c>
      <c r="M133" s="37">
        <f t="shared" si="11"/>
        <v>0.210798858071544</v>
      </c>
      <c r="O133" s="1">
        <v>41458</v>
      </c>
      <c r="P133" s="37">
        <v>0.31059723114058102</v>
      </c>
      <c r="Q133">
        <v>835315019877.84595</v>
      </c>
    </row>
    <row r="134" spans="2:17">
      <c r="B134" s="60">
        <v>41466</v>
      </c>
      <c r="C134" s="37">
        <f t="shared" si="8"/>
        <v>0.73939644380791003</v>
      </c>
      <c r="D134" s="37">
        <f t="shared" si="9"/>
        <v>0.56754957680996199</v>
      </c>
      <c r="F134" s="1">
        <v>41466</v>
      </c>
      <c r="G134">
        <v>0.73939644380791003</v>
      </c>
      <c r="I134" s="1">
        <v>41466</v>
      </c>
      <c r="J134">
        <v>0.56754957680996199</v>
      </c>
      <c r="K134" s="72">
        <v>176083452320.259</v>
      </c>
      <c r="L134" s="72">
        <f t="shared" si="10"/>
        <v>835315019877.84595</v>
      </c>
      <c r="M134" s="37">
        <f t="shared" si="11"/>
        <v>0.210798858071544</v>
      </c>
      <c r="O134" s="1">
        <v>41466</v>
      </c>
      <c r="P134" s="37">
        <v>0.19429609707083301</v>
      </c>
      <c r="Q134">
        <v>835315019877.84595</v>
      </c>
    </row>
    <row r="135" spans="2:17">
      <c r="B135" s="60">
        <v>41473</v>
      </c>
      <c r="C135" s="37">
        <f t="shared" si="8"/>
        <v>0.83595927197837805</v>
      </c>
      <c r="D135" s="37">
        <f t="shared" si="9"/>
        <v>0.674456067653048</v>
      </c>
      <c r="F135" s="1">
        <v>41473</v>
      </c>
      <c r="G135">
        <v>0.83595927197837805</v>
      </c>
      <c r="I135" s="1">
        <v>41473</v>
      </c>
      <c r="J135">
        <v>0.674456067653048</v>
      </c>
      <c r="K135" s="72">
        <v>176083452320.259</v>
      </c>
      <c r="L135" s="72">
        <f t="shared" si="10"/>
        <v>835315019877.84595</v>
      </c>
      <c r="M135" s="37">
        <f t="shared" si="11"/>
        <v>0.210798858071544</v>
      </c>
      <c r="O135" s="1">
        <v>41473</v>
      </c>
      <c r="P135" s="37">
        <v>0.27948424706025699</v>
      </c>
      <c r="Q135">
        <v>835315019877.84595</v>
      </c>
    </row>
    <row r="136" spans="2:17">
      <c r="B136" s="60">
        <v>41480</v>
      </c>
      <c r="C136" s="37">
        <f t="shared" si="8"/>
        <v>0.83620473842721499</v>
      </c>
      <c r="D136" s="37">
        <f t="shared" si="9"/>
        <v>0.67655434294099503</v>
      </c>
      <c r="F136" s="1">
        <v>41480</v>
      </c>
      <c r="G136">
        <v>0.83620473842721499</v>
      </c>
      <c r="I136" s="1">
        <v>41480</v>
      </c>
      <c r="J136">
        <v>0.67655434294099503</v>
      </c>
      <c r="K136" s="72">
        <v>176083452320.259</v>
      </c>
      <c r="L136" s="72">
        <f t="shared" si="10"/>
        <v>835315019877.84595</v>
      </c>
      <c r="M136" s="37">
        <f t="shared" si="11"/>
        <v>0.210798858071544</v>
      </c>
      <c r="O136" s="1">
        <v>41480</v>
      </c>
      <c r="P136" s="37">
        <v>0.280451442557901</v>
      </c>
      <c r="Q136">
        <v>835315019877.84595</v>
      </c>
    </row>
    <row r="137" spans="2:17">
      <c r="B137" s="60">
        <v>41487</v>
      </c>
      <c r="C137" s="37">
        <f t="shared" si="8"/>
        <v>0.79246254673167404</v>
      </c>
      <c r="D137" s="37">
        <f t="shared" si="9"/>
        <v>0.64055597334900805</v>
      </c>
      <c r="F137" s="1">
        <v>41487</v>
      </c>
      <c r="G137">
        <v>0.79246254673167404</v>
      </c>
      <c r="I137" s="1">
        <v>41487</v>
      </c>
      <c r="J137">
        <v>0.64055597334900805</v>
      </c>
      <c r="K137" s="72">
        <v>167577702279.88699</v>
      </c>
      <c r="L137" s="72">
        <f t="shared" si="10"/>
        <v>839371166981.099</v>
      </c>
      <c r="M137" s="37">
        <f t="shared" si="11"/>
        <v>0.19964672229879027</v>
      </c>
      <c r="O137" s="1">
        <v>41487</v>
      </c>
      <c r="P137" s="37">
        <v>0.238389456742365</v>
      </c>
      <c r="Q137">
        <v>839371166981.099</v>
      </c>
    </row>
    <row r="138" spans="2:17">
      <c r="B138" s="60">
        <v>41494</v>
      </c>
      <c r="C138" s="37">
        <f t="shared" si="8"/>
        <v>0.792438207756055</v>
      </c>
      <c r="D138" s="37">
        <f t="shared" si="9"/>
        <v>0.64029309309363502</v>
      </c>
      <c r="F138" s="1">
        <v>41494</v>
      </c>
      <c r="G138">
        <v>0.792438207756055</v>
      </c>
      <c r="I138" s="1">
        <v>41494</v>
      </c>
      <c r="J138">
        <v>0.64029309309363502</v>
      </c>
      <c r="K138" s="72">
        <v>167577702279.88699</v>
      </c>
      <c r="L138" s="72">
        <f t="shared" si="10"/>
        <v>839371166981.099</v>
      </c>
      <c r="M138" s="37">
        <f t="shared" si="11"/>
        <v>0.19964672229879027</v>
      </c>
      <c r="O138" s="1">
        <v>41494</v>
      </c>
      <c r="P138" s="37">
        <v>0.23805160399751801</v>
      </c>
      <c r="Q138">
        <v>839371166981.099</v>
      </c>
    </row>
    <row r="139" spans="2:17">
      <c r="B139" s="60">
        <v>41501</v>
      </c>
      <c r="C139" s="37">
        <f t="shared" si="8"/>
        <v>0.792438207756055</v>
      </c>
      <c r="D139" s="37">
        <f t="shared" si="9"/>
        <v>0.64029309309363502</v>
      </c>
      <c r="F139" s="1">
        <v>41501</v>
      </c>
      <c r="G139">
        <v>0.792438207756055</v>
      </c>
      <c r="I139" s="1">
        <v>41501</v>
      </c>
      <c r="J139">
        <v>0.64029309309363502</v>
      </c>
      <c r="K139" s="72">
        <v>167577702279.88699</v>
      </c>
      <c r="L139" s="72">
        <f t="shared" si="10"/>
        <v>839371166981.099</v>
      </c>
      <c r="M139" s="37">
        <f t="shared" si="11"/>
        <v>0.19964672229879027</v>
      </c>
      <c r="O139" s="1">
        <v>41501</v>
      </c>
      <c r="P139" s="37">
        <v>0.23805160399751801</v>
      </c>
      <c r="Q139">
        <v>839371166981.099</v>
      </c>
    </row>
    <row r="140" spans="2:17">
      <c r="B140" s="60">
        <v>41508</v>
      </c>
      <c r="C140" s="37">
        <f t="shared" si="8"/>
        <v>0.72293605511047399</v>
      </c>
      <c r="D140" s="37">
        <f t="shared" si="9"/>
        <v>0.55236674392539098</v>
      </c>
      <c r="F140" s="1">
        <v>41508</v>
      </c>
      <c r="G140">
        <v>0.72293605511047399</v>
      </c>
      <c r="I140" s="1">
        <v>41508</v>
      </c>
      <c r="J140">
        <v>0.55236674392539098</v>
      </c>
      <c r="K140" s="72">
        <v>167577702279.88699</v>
      </c>
      <c r="L140" s="72">
        <f t="shared" si="10"/>
        <v>839371166981.099</v>
      </c>
      <c r="M140" s="37">
        <f t="shared" si="11"/>
        <v>0.19964672229879027</v>
      </c>
      <c r="O140" s="1">
        <v>41508</v>
      </c>
      <c r="P140" s="37">
        <v>0.171398372783203</v>
      </c>
      <c r="Q140">
        <v>839371166981.099</v>
      </c>
    </row>
    <row r="141" spans="2:17">
      <c r="B141" s="60">
        <v>41515</v>
      </c>
      <c r="C141" s="37">
        <f t="shared" si="8"/>
        <v>0.75618136859207497</v>
      </c>
      <c r="D141" s="37">
        <f t="shared" si="9"/>
        <v>0.59640056248304896</v>
      </c>
      <c r="F141" s="1">
        <v>41515</v>
      </c>
      <c r="G141">
        <v>0.75618136859207497</v>
      </c>
      <c r="I141" s="1">
        <v>41515</v>
      </c>
      <c r="J141">
        <v>0.59640056248304896</v>
      </c>
      <c r="K141" s="72">
        <v>167577702279.88699</v>
      </c>
      <c r="L141" s="72">
        <f t="shared" si="10"/>
        <v>839371166981.099</v>
      </c>
      <c r="M141" s="37">
        <f t="shared" si="11"/>
        <v>0.19964672229879027</v>
      </c>
      <c r="O141" s="1">
        <v>41515</v>
      </c>
      <c r="P141" s="37">
        <v>0.205737732240382</v>
      </c>
      <c r="Q141">
        <v>839371166981.099</v>
      </c>
    </row>
    <row r="142" spans="2:17">
      <c r="B142" s="60">
        <v>41522</v>
      </c>
      <c r="C142" s="37">
        <f t="shared" si="8"/>
        <v>0.73241928482112195</v>
      </c>
      <c r="D142" s="37">
        <f t="shared" si="9"/>
        <v>0.57522237437054402</v>
      </c>
      <c r="F142" s="1">
        <v>41522</v>
      </c>
      <c r="G142">
        <v>0.73241928482112195</v>
      </c>
      <c r="I142" s="1">
        <v>41522</v>
      </c>
      <c r="J142">
        <v>0.57522237437054402</v>
      </c>
      <c r="K142" s="72">
        <v>160787339683.77899</v>
      </c>
      <c r="L142" s="72">
        <f t="shared" si="10"/>
        <v>840680455152.82996</v>
      </c>
      <c r="M142" s="37">
        <f t="shared" si="11"/>
        <v>0.19125856762608923</v>
      </c>
      <c r="O142" s="1">
        <v>41522</v>
      </c>
      <c r="P142" s="37">
        <v>0.18142824317266501</v>
      </c>
      <c r="Q142">
        <v>840680455152.82996</v>
      </c>
    </row>
    <row r="143" spans="2:17">
      <c r="B143" s="60">
        <v>41529</v>
      </c>
      <c r="C143" s="37">
        <f t="shared" si="8"/>
        <v>0.71851650648965204</v>
      </c>
      <c r="D143" s="37">
        <f t="shared" si="9"/>
        <v>0.55927995080584203</v>
      </c>
      <c r="F143" s="1">
        <v>41529</v>
      </c>
      <c r="G143">
        <v>0.71851650648965204</v>
      </c>
      <c r="I143" s="1">
        <v>41529</v>
      </c>
      <c r="J143">
        <v>0.55927995080584203</v>
      </c>
      <c r="K143" s="72">
        <v>160787339683.77899</v>
      </c>
      <c r="L143" s="72">
        <f t="shared" si="10"/>
        <v>840680455152.82996</v>
      </c>
      <c r="M143" s="37">
        <f t="shared" si="11"/>
        <v>0.19125856762608923</v>
      </c>
      <c r="O143" s="1">
        <v>41529</v>
      </c>
      <c r="P143" s="37">
        <v>0.16781950534512599</v>
      </c>
      <c r="Q143">
        <v>840680455152.82996</v>
      </c>
    </row>
    <row r="144" spans="2:17">
      <c r="B144" s="60">
        <v>41536</v>
      </c>
      <c r="C144" s="37">
        <f t="shared" si="8"/>
        <v>0.75283799652968897</v>
      </c>
      <c r="D144" s="37">
        <f t="shared" si="9"/>
        <v>0.60260582931028095</v>
      </c>
      <c r="F144" s="1">
        <v>41536</v>
      </c>
      <c r="G144">
        <v>0.75283799652968897</v>
      </c>
      <c r="I144" s="1">
        <v>41536</v>
      </c>
      <c r="J144">
        <v>0.60260582931028095</v>
      </c>
      <c r="K144" s="72">
        <v>160787339683.77899</v>
      </c>
      <c r="L144" s="72">
        <f t="shared" si="10"/>
        <v>840680455152.82996</v>
      </c>
      <c r="M144" s="37">
        <f t="shared" si="11"/>
        <v>0.19125856762608923</v>
      </c>
      <c r="O144" s="1">
        <v>41536</v>
      </c>
      <c r="P144" s="37">
        <v>0.202248860839815</v>
      </c>
      <c r="Q144">
        <v>840680455152.82996</v>
      </c>
    </row>
    <row r="145" spans="2:17">
      <c r="B145" s="60">
        <v>41543</v>
      </c>
      <c r="C145" s="37">
        <f t="shared" si="8"/>
        <v>0.87216740152542305</v>
      </c>
      <c r="D145" s="37">
        <f t="shared" si="9"/>
        <v>0.72850837742778696</v>
      </c>
      <c r="F145" s="1">
        <v>41543</v>
      </c>
      <c r="G145">
        <v>0.87216740152542305</v>
      </c>
      <c r="I145" s="1">
        <v>41543</v>
      </c>
      <c r="J145">
        <v>0.72850837742778696</v>
      </c>
      <c r="K145" s="72">
        <v>160787339683.77899</v>
      </c>
      <c r="L145" s="72">
        <f t="shared" si="10"/>
        <v>840680455152.82996</v>
      </c>
      <c r="M145" s="37">
        <f t="shared" si="11"/>
        <v>0.19125856762608923</v>
      </c>
      <c r="O145" s="1">
        <v>41543</v>
      </c>
      <c r="P145" s="37">
        <v>0.29383325353474399</v>
      </c>
      <c r="Q145">
        <v>840680455152.82996</v>
      </c>
    </row>
    <row r="146" spans="2:17">
      <c r="B146" s="60">
        <v>41550</v>
      </c>
      <c r="C146" s="37">
        <f t="shared" si="8"/>
        <v>0.91006704896642798</v>
      </c>
      <c r="D146" s="37">
        <f t="shared" si="9"/>
        <v>0.769426288466591</v>
      </c>
      <c r="F146" s="1">
        <v>41550</v>
      </c>
      <c r="G146">
        <v>0.91006704896642798</v>
      </c>
      <c r="I146" s="1">
        <v>41550</v>
      </c>
      <c r="J146">
        <v>0.769426288466591</v>
      </c>
      <c r="K146" s="72">
        <v>155649461575.04901</v>
      </c>
      <c r="L146" s="72">
        <f t="shared" si="10"/>
        <v>842920617157.08203</v>
      </c>
      <c r="M146" s="37">
        <f t="shared" si="11"/>
        <v>0.18465494663068971</v>
      </c>
      <c r="O146" s="1">
        <v>41550</v>
      </c>
      <c r="P146" s="37">
        <v>0.31777500213957699</v>
      </c>
      <c r="Q146">
        <v>842920617157.08203</v>
      </c>
    </row>
    <row r="147" spans="2:17">
      <c r="B147" s="60">
        <v>41557</v>
      </c>
      <c r="C147" s="37">
        <f t="shared" si="8"/>
        <v>0.91000379323017</v>
      </c>
      <c r="D147" s="37">
        <f t="shared" si="9"/>
        <v>0.76833211087653297</v>
      </c>
      <c r="F147" s="1">
        <v>41557</v>
      </c>
      <c r="G147">
        <v>0.91000379323017</v>
      </c>
      <c r="I147" s="1">
        <v>41557</v>
      </c>
      <c r="J147">
        <v>0.76833211087653297</v>
      </c>
      <c r="K147" s="72">
        <v>155649461575.04901</v>
      </c>
      <c r="L147" s="72">
        <f t="shared" si="10"/>
        <v>842920617157.08203</v>
      </c>
      <c r="M147" s="37">
        <f t="shared" si="11"/>
        <v>0.18465494663068971</v>
      </c>
      <c r="O147" s="1">
        <v>41557</v>
      </c>
      <c r="P147" s="37">
        <v>0.31720208476376399</v>
      </c>
      <c r="Q147">
        <v>842920617157.08203</v>
      </c>
    </row>
    <row r="148" spans="2:17">
      <c r="B148" s="60">
        <v>41564</v>
      </c>
      <c r="C148" s="37">
        <f t="shared" si="8"/>
        <v>0.87030379941598801</v>
      </c>
      <c r="D148" s="37">
        <f t="shared" si="9"/>
        <v>0.732195057450439</v>
      </c>
      <c r="F148" s="1">
        <v>41564</v>
      </c>
      <c r="G148">
        <v>0.87030379941598801</v>
      </c>
      <c r="I148" s="1">
        <v>41564</v>
      </c>
      <c r="J148">
        <v>0.732195057450439</v>
      </c>
      <c r="K148" s="72">
        <v>155649461575.04901</v>
      </c>
      <c r="L148" s="72">
        <f t="shared" si="10"/>
        <v>842920617157.08203</v>
      </c>
      <c r="M148" s="37">
        <f t="shared" si="11"/>
        <v>0.18465494663068971</v>
      </c>
      <c r="O148" s="1">
        <v>41564</v>
      </c>
      <c r="P148" s="37">
        <v>0.28885302300705201</v>
      </c>
      <c r="Q148">
        <v>842920617157.08203</v>
      </c>
    </row>
    <row r="149" spans="2:17">
      <c r="B149" s="60">
        <v>41571</v>
      </c>
      <c r="C149" s="37">
        <f t="shared" si="8"/>
        <v>0.92948151561270798</v>
      </c>
      <c r="D149" s="37">
        <f t="shared" si="9"/>
        <v>0.79336710567798696</v>
      </c>
      <c r="F149" s="1">
        <v>41571</v>
      </c>
      <c r="G149">
        <v>0.92948151561270798</v>
      </c>
      <c r="I149" s="1">
        <v>41571</v>
      </c>
      <c r="J149">
        <v>0.79336710567798696</v>
      </c>
      <c r="K149" s="72">
        <v>155649461575.04901</v>
      </c>
      <c r="L149" s="72">
        <f t="shared" si="10"/>
        <v>842920617157.08203</v>
      </c>
      <c r="M149" s="37">
        <f t="shared" si="11"/>
        <v>0.18465494663068971</v>
      </c>
      <c r="O149" s="1">
        <v>41571</v>
      </c>
      <c r="P149" s="37">
        <v>0.33766312973364498</v>
      </c>
      <c r="Q149">
        <v>842920617157.08203</v>
      </c>
    </row>
    <row r="150" spans="2:17">
      <c r="B150" s="60">
        <v>41578</v>
      </c>
      <c r="C150" s="37">
        <f t="shared" si="8"/>
        <v>0.946371224192602</v>
      </c>
      <c r="D150" s="37">
        <f t="shared" si="9"/>
        <v>0.81149174558591197</v>
      </c>
      <c r="F150" s="1">
        <v>41578</v>
      </c>
      <c r="G150">
        <v>0.946371224192602</v>
      </c>
      <c r="I150" s="1">
        <v>41578</v>
      </c>
      <c r="J150">
        <v>0.81149174558591197</v>
      </c>
      <c r="K150" s="72">
        <v>155649461575.04901</v>
      </c>
      <c r="L150" s="72">
        <f t="shared" si="10"/>
        <v>842920617157.08203</v>
      </c>
      <c r="M150" s="37">
        <f t="shared" si="11"/>
        <v>0.18465494663068971</v>
      </c>
      <c r="O150" s="1">
        <v>41578</v>
      </c>
      <c r="P150" s="37">
        <v>0.35586088249893599</v>
      </c>
      <c r="Q150">
        <v>842920617157.08203</v>
      </c>
    </row>
    <row r="151" spans="2:17">
      <c r="B151" s="60">
        <v>41585</v>
      </c>
      <c r="C151" s="37">
        <f t="shared" si="8"/>
        <v>0.92862600348226998</v>
      </c>
      <c r="D151" s="37">
        <f t="shared" si="9"/>
        <v>0.79173406072518504</v>
      </c>
      <c r="F151" s="1">
        <v>41585</v>
      </c>
      <c r="G151">
        <v>0.92862600348226998</v>
      </c>
      <c r="I151" s="1">
        <v>41585</v>
      </c>
      <c r="J151">
        <v>0.79173406072518504</v>
      </c>
      <c r="K151" s="72">
        <v>151540990492.15701</v>
      </c>
      <c r="L151" s="72">
        <f t="shared" si="10"/>
        <v>847381000644.36804</v>
      </c>
      <c r="M151" s="37">
        <f t="shared" si="11"/>
        <v>0.17883453886377174</v>
      </c>
      <c r="O151" s="1">
        <v>41585</v>
      </c>
      <c r="P151" s="37">
        <v>0.32955790309451799</v>
      </c>
      <c r="Q151">
        <v>847381000644.36804</v>
      </c>
    </row>
    <row r="152" spans="2:17">
      <c r="B152" s="60">
        <v>41592</v>
      </c>
      <c r="C152" s="37">
        <f t="shared" si="8"/>
        <v>0.82764760393529802</v>
      </c>
      <c r="D152" s="37">
        <f t="shared" si="9"/>
        <v>0.68857017211934701</v>
      </c>
      <c r="F152" s="1">
        <v>41592</v>
      </c>
      <c r="G152">
        <v>0.82764760393529802</v>
      </c>
      <c r="I152" s="1">
        <v>41592</v>
      </c>
      <c r="J152">
        <v>0.68857017211934701</v>
      </c>
      <c r="K152" s="72">
        <v>151540990492.15701</v>
      </c>
      <c r="L152" s="72">
        <f t="shared" si="10"/>
        <v>847381000644.36804</v>
      </c>
      <c r="M152" s="37">
        <f t="shared" si="11"/>
        <v>0.17883453886377174</v>
      </c>
      <c r="O152" s="1">
        <v>41592</v>
      </c>
      <c r="P152" s="37">
        <v>0.252778485912803</v>
      </c>
      <c r="Q152">
        <v>847381000644.36804</v>
      </c>
    </row>
    <row r="153" spans="2:17">
      <c r="B153" s="60">
        <v>41599</v>
      </c>
      <c r="C153" s="37">
        <f t="shared" si="8"/>
        <v>0.90867076242729805</v>
      </c>
      <c r="D153" s="37">
        <f t="shared" si="9"/>
        <v>0.76948544283018205</v>
      </c>
      <c r="F153" s="1">
        <v>41599</v>
      </c>
      <c r="G153">
        <v>0.90867076242729805</v>
      </c>
      <c r="I153" s="1">
        <v>41599</v>
      </c>
      <c r="J153">
        <v>0.76948544283018205</v>
      </c>
      <c r="K153" s="72">
        <v>151540990492.15701</v>
      </c>
      <c r="L153" s="72">
        <f t="shared" si="10"/>
        <v>847381000644.36804</v>
      </c>
      <c r="M153" s="37">
        <f t="shared" si="11"/>
        <v>0.17883453886377174</v>
      </c>
      <c r="O153" s="1">
        <v>41599</v>
      </c>
      <c r="P153" s="37">
        <v>0.31131333173074599</v>
      </c>
      <c r="Q153">
        <v>847381000644.36804</v>
      </c>
    </row>
    <row r="154" spans="2:17">
      <c r="B154" s="60">
        <v>41605</v>
      </c>
      <c r="C154" s="37">
        <f t="shared" si="8"/>
        <v>0.868879336155854</v>
      </c>
      <c r="D154" s="37">
        <f t="shared" si="9"/>
        <v>0.73153515943713499</v>
      </c>
      <c r="F154" s="1">
        <v>41605</v>
      </c>
      <c r="G154">
        <v>0.868879336155854</v>
      </c>
      <c r="I154" s="1">
        <v>41605</v>
      </c>
      <c r="J154">
        <v>0.73153515943713499</v>
      </c>
      <c r="K154" s="72">
        <v>151540990492.15701</v>
      </c>
      <c r="L154" s="72">
        <f t="shared" si="10"/>
        <v>847381000644.36804</v>
      </c>
      <c r="M154" s="37">
        <f t="shared" si="11"/>
        <v>0.17883453886377174</v>
      </c>
      <c r="O154" s="1">
        <v>41605</v>
      </c>
      <c r="P154" s="37">
        <v>0.28206150012278902</v>
      </c>
      <c r="Q154">
        <v>847381000644.36804</v>
      </c>
    </row>
    <row r="155" spans="2:17">
      <c r="B155" s="60">
        <v>41613</v>
      </c>
      <c r="C155" s="37">
        <f t="shared" si="8"/>
        <v>0.78150994044042599</v>
      </c>
      <c r="D155" s="37">
        <f t="shared" si="9"/>
        <v>0.64271311842684598</v>
      </c>
      <c r="F155" s="1">
        <v>41613</v>
      </c>
      <c r="G155">
        <v>0.78150994044042599</v>
      </c>
      <c r="I155" s="1">
        <v>41613</v>
      </c>
      <c r="J155">
        <v>0.64271311842684598</v>
      </c>
      <c r="K155" s="72">
        <v>147596217220.30301</v>
      </c>
      <c r="L155" s="72">
        <f t="shared" si="10"/>
        <v>852925884546.91199</v>
      </c>
      <c r="M155" s="37">
        <f t="shared" si="11"/>
        <v>0.17304694334456563</v>
      </c>
      <c r="O155" s="1">
        <v>41613</v>
      </c>
      <c r="P155" s="37">
        <v>0.21485389589079101</v>
      </c>
      <c r="Q155">
        <v>852925884546.91199</v>
      </c>
    </row>
    <row r="156" spans="2:17">
      <c r="B156" s="60">
        <v>41620</v>
      </c>
      <c r="C156" s="37">
        <f t="shared" si="8"/>
        <v>0.78142626283674099</v>
      </c>
      <c r="D156" s="37">
        <f t="shared" si="9"/>
        <v>0.64127080834763694</v>
      </c>
      <c r="F156" s="1">
        <v>41620</v>
      </c>
      <c r="G156">
        <v>0.78142626283674099</v>
      </c>
      <c r="I156" s="1">
        <v>41620</v>
      </c>
      <c r="J156">
        <v>0.64127080834763694</v>
      </c>
      <c r="K156" s="72">
        <v>147596217220.30301</v>
      </c>
      <c r="L156" s="72">
        <f t="shared" si="10"/>
        <v>852925884546.91199</v>
      </c>
      <c r="M156" s="37">
        <f t="shared" si="11"/>
        <v>0.17304694334456563</v>
      </c>
      <c r="O156" s="1">
        <v>41620</v>
      </c>
      <c r="P156" s="37">
        <v>0.21443883052881299</v>
      </c>
      <c r="Q156">
        <v>852925884546.91199</v>
      </c>
    </row>
    <row r="157" spans="2:17">
      <c r="B157" s="60">
        <v>41627</v>
      </c>
      <c r="C157" s="37">
        <f t="shared" si="8"/>
        <v>0.74080880570196705</v>
      </c>
      <c r="D157" s="37">
        <f t="shared" si="9"/>
        <v>0.58358220441457098</v>
      </c>
      <c r="F157" s="1">
        <v>41627</v>
      </c>
      <c r="G157">
        <v>0.74080880570196705</v>
      </c>
      <c r="I157" s="1">
        <v>41627</v>
      </c>
      <c r="J157">
        <v>0.58358220441457098</v>
      </c>
      <c r="K157" s="72">
        <v>147596217220.30301</v>
      </c>
      <c r="L157" s="72">
        <f t="shared" si="10"/>
        <v>852925884546.91199</v>
      </c>
      <c r="M157" s="37">
        <f t="shared" si="11"/>
        <v>0.17304694334456563</v>
      </c>
      <c r="O157" s="1">
        <v>41627</v>
      </c>
      <c r="P157" s="37">
        <v>0.17874887754348101</v>
      </c>
      <c r="Q157">
        <v>852925884546.91199</v>
      </c>
    </row>
    <row r="158" spans="2:17">
      <c r="B158" s="60">
        <v>41634</v>
      </c>
      <c r="C158" s="37">
        <f t="shared" si="8"/>
        <v>0.74072304288786295</v>
      </c>
      <c r="D158" s="37">
        <f t="shared" si="9"/>
        <v>0.57997892806395601</v>
      </c>
      <c r="F158" s="1">
        <v>41634</v>
      </c>
      <c r="G158">
        <v>0.74072304288786295</v>
      </c>
      <c r="I158" s="1">
        <v>41634</v>
      </c>
      <c r="J158">
        <v>0.57997892806395601</v>
      </c>
      <c r="K158" s="72">
        <v>147596217220.30301</v>
      </c>
      <c r="L158" s="72">
        <f t="shared" si="10"/>
        <v>852925884546.91199</v>
      </c>
      <c r="M158" s="37">
        <f t="shared" si="11"/>
        <v>0.17304694334456563</v>
      </c>
      <c r="O158" s="1">
        <v>41634</v>
      </c>
      <c r="P158" s="37">
        <v>0.178068943109321</v>
      </c>
      <c r="Q158">
        <v>852925884546.91199</v>
      </c>
    </row>
    <row r="159" spans="2:17">
      <c r="B159" s="60">
        <v>41641</v>
      </c>
      <c r="C159" s="37">
        <f t="shared" si="8"/>
        <v>0.71573440369395702</v>
      </c>
      <c r="D159" s="37">
        <f t="shared" si="9"/>
        <v>0.555096534677191</v>
      </c>
      <c r="F159" s="1">
        <v>41641</v>
      </c>
      <c r="G159">
        <v>0.71573440369395702</v>
      </c>
      <c r="I159" s="1">
        <v>41641</v>
      </c>
      <c r="J159">
        <v>0.555096534677191</v>
      </c>
      <c r="K159" s="72">
        <v>143491329926.00299</v>
      </c>
      <c r="L159" s="72">
        <f t="shared" si="10"/>
        <v>856169152140.41296</v>
      </c>
      <c r="M159" s="37">
        <f t="shared" si="11"/>
        <v>0.16759693988889501</v>
      </c>
      <c r="O159" s="1">
        <v>41641</v>
      </c>
      <c r="P159" s="37">
        <v>0.155777998451884</v>
      </c>
      <c r="Q159">
        <v>856169152140.41296</v>
      </c>
    </row>
    <row r="160" spans="2:17">
      <c r="B160" s="60">
        <v>41648</v>
      </c>
      <c r="C160" s="37">
        <f t="shared" si="8"/>
        <v>0.737862180577046</v>
      </c>
      <c r="D160" s="37">
        <f t="shared" si="9"/>
        <v>0.59351739235175405</v>
      </c>
      <c r="F160" s="1">
        <v>41648</v>
      </c>
      <c r="G160">
        <v>0.737862180577046</v>
      </c>
      <c r="I160" s="1">
        <v>41648</v>
      </c>
      <c r="J160">
        <v>0.59351739235175405</v>
      </c>
      <c r="K160" s="72">
        <v>143491329926.00299</v>
      </c>
      <c r="L160" s="72">
        <f t="shared" si="10"/>
        <v>856169152140.41296</v>
      </c>
      <c r="M160" s="37">
        <f t="shared" si="11"/>
        <v>0.16759693988889501</v>
      </c>
      <c r="O160" s="1">
        <v>41648</v>
      </c>
      <c r="P160" s="37">
        <v>0.179305765216212</v>
      </c>
      <c r="Q160">
        <v>856169152140.41296</v>
      </c>
    </row>
    <row r="161" spans="2:17">
      <c r="B161" s="60">
        <v>41655</v>
      </c>
      <c r="C161" s="37">
        <f t="shared" si="8"/>
        <v>0.77881660913151596</v>
      </c>
      <c r="D161" s="37">
        <f t="shared" si="9"/>
        <v>0.640010525508934</v>
      </c>
      <c r="F161" s="1">
        <v>41655</v>
      </c>
      <c r="G161">
        <v>0.77881660913151596</v>
      </c>
      <c r="I161" s="1">
        <v>41655</v>
      </c>
      <c r="J161">
        <v>0.640010525508934</v>
      </c>
      <c r="K161" s="72">
        <v>143491329926.00299</v>
      </c>
      <c r="L161" s="72">
        <f t="shared" si="10"/>
        <v>856169152140.41296</v>
      </c>
      <c r="M161" s="37">
        <f t="shared" si="11"/>
        <v>0.16759693988889501</v>
      </c>
      <c r="O161" s="1">
        <v>41655</v>
      </c>
      <c r="P161" s="37">
        <v>0.209593005344444</v>
      </c>
      <c r="Q161">
        <v>856169152140.41296</v>
      </c>
    </row>
    <row r="162" spans="2:17">
      <c r="B162" s="60">
        <v>41662</v>
      </c>
      <c r="C162" s="37">
        <f t="shared" si="8"/>
        <v>0.77893724315267199</v>
      </c>
      <c r="D162" s="37">
        <f t="shared" si="9"/>
        <v>0.641007859456873</v>
      </c>
      <c r="F162" s="1">
        <v>41662</v>
      </c>
      <c r="G162">
        <v>0.77893724315267199</v>
      </c>
      <c r="I162" s="1">
        <v>41662</v>
      </c>
      <c r="J162">
        <v>0.641007859456873</v>
      </c>
      <c r="K162" s="72">
        <v>143491329926.00299</v>
      </c>
      <c r="L162" s="72">
        <f t="shared" si="10"/>
        <v>856169152140.41296</v>
      </c>
      <c r="M162" s="37">
        <f t="shared" si="11"/>
        <v>0.16759693988889501</v>
      </c>
      <c r="O162" s="1">
        <v>41662</v>
      </c>
      <c r="P162" s="37">
        <v>0.21019143531749199</v>
      </c>
      <c r="Q162">
        <v>856169152140.41296</v>
      </c>
    </row>
    <row r="163" spans="2:17">
      <c r="B163" s="60">
        <v>41669</v>
      </c>
      <c r="C163" s="37">
        <f t="shared" si="8"/>
        <v>0.86531452225895999</v>
      </c>
      <c r="D163" s="37">
        <f t="shared" si="9"/>
        <v>0.72590930220267003</v>
      </c>
      <c r="F163" s="1">
        <v>41669</v>
      </c>
      <c r="G163">
        <v>0.86531452225895999</v>
      </c>
      <c r="I163" s="1">
        <v>41669</v>
      </c>
      <c r="J163">
        <v>0.72590930220267003</v>
      </c>
      <c r="K163" s="72">
        <v>143491329926.00299</v>
      </c>
      <c r="L163" s="72">
        <f t="shared" si="10"/>
        <v>856169152140.41296</v>
      </c>
      <c r="M163" s="37">
        <f t="shared" si="11"/>
        <v>0.16759693988889501</v>
      </c>
      <c r="O163" s="1">
        <v>41669</v>
      </c>
      <c r="P163" s="37">
        <v>0.26753407065163798</v>
      </c>
      <c r="Q163">
        <v>856169152140.41296</v>
      </c>
    </row>
    <row r="164" spans="2:17">
      <c r="B164" s="60">
        <v>41676</v>
      </c>
      <c r="C164" s="37">
        <f t="shared" si="8"/>
        <v>0.904840601248314</v>
      </c>
      <c r="D164" s="37">
        <f t="shared" si="9"/>
        <v>0.76715832931317196</v>
      </c>
      <c r="F164" s="1">
        <v>41676</v>
      </c>
      <c r="G164">
        <v>0.904840601248314</v>
      </c>
      <c r="I164" s="1">
        <v>41676</v>
      </c>
      <c r="J164">
        <v>0.76715832931317196</v>
      </c>
      <c r="K164" s="72">
        <v>140177207664.35901</v>
      </c>
      <c r="L164" s="72">
        <f t="shared" si="10"/>
        <v>860549250444.104</v>
      </c>
      <c r="M164" s="37">
        <f t="shared" si="11"/>
        <v>0.16289271949515696</v>
      </c>
      <c r="O164" s="1">
        <v>41676</v>
      </c>
      <c r="P164" s="37">
        <v>0.29181927799860802</v>
      </c>
      <c r="Q164">
        <v>860549250444.104</v>
      </c>
    </row>
    <row r="165" spans="2:17">
      <c r="B165" s="60">
        <v>41683</v>
      </c>
      <c r="C165" s="37">
        <f t="shared" si="8"/>
        <v>0.86420449138465305</v>
      </c>
      <c r="D165" s="37">
        <f t="shared" si="9"/>
        <v>0.73079513071076196</v>
      </c>
      <c r="F165" s="1">
        <v>41683</v>
      </c>
      <c r="G165">
        <v>0.86420449138465305</v>
      </c>
      <c r="I165" s="1">
        <v>41683</v>
      </c>
      <c r="J165">
        <v>0.73079513071076196</v>
      </c>
      <c r="K165" s="72">
        <v>140177207664.35901</v>
      </c>
      <c r="L165" s="72">
        <f t="shared" si="10"/>
        <v>860549250444.104</v>
      </c>
      <c r="M165" s="37">
        <f t="shared" si="11"/>
        <v>0.16289271949515696</v>
      </c>
      <c r="O165" s="1">
        <v>41683</v>
      </c>
      <c r="P165" s="37">
        <v>0.26481047273119801</v>
      </c>
      <c r="Q165">
        <v>860549250444.104</v>
      </c>
    </row>
    <row r="166" spans="2:17">
      <c r="B166" s="60">
        <v>41690</v>
      </c>
      <c r="C166" s="37">
        <f t="shared" si="8"/>
        <v>0.82103225324176798</v>
      </c>
      <c r="D166" s="37">
        <f t="shared" si="9"/>
        <v>0.68632933440003197</v>
      </c>
      <c r="F166" s="1">
        <v>41690</v>
      </c>
      <c r="G166">
        <v>0.82103225324176798</v>
      </c>
      <c r="I166" s="1">
        <v>41690</v>
      </c>
      <c r="J166">
        <v>0.68632933440003197</v>
      </c>
      <c r="K166" s="72">
        <v>140177207664.35901</v>
      </c>
      <c r="L166" s="72">
        <f t="shared" si="10"/>
        <v>860549250444.104</v>
      </c>
      <c r="M166" s="37">
        <f t="shared" si="11"/>
        <v>0.16289271949515696</v>
      </c>
      <c r="O166" s="1">
        <v>41690</v>
      </c>
      <c r="P166" s="37">
        <v>0.23629264624582699</v>
      </c>
      <c r="Q166">
        <v>860549250444.104</v>
      </c>
    </row>
    <row r="167" spans="2:17">
      <c r="B167" s="60">
        <v>41697</v>
      </c>
      <c r="C167" s="37">
        <f t="shared" si="8"/>
        <v>0.82077124571501203</v>
      </c>
      <c r="D167" s="37">
        <f t="shared" si="9"/>
        <v>0.684442361485053</v>
      </c>
      <c r="F167" s="1">
        <v>41697</v>
      </c>
      <c r="G167">
        <v>0.82077124571501203</v>
      </c>
      <c r="I167" s="1">
        <v>41697</v>
      </c>
      <c r="J167">
        <v>0.684442361485053</v>
      </c>
      <c r="K167" s="72">
        <v>140177207664.35901</v>
      </c>
      <c r="L167" s="72">
        <f t="shared" si="10"/>
        <v>860549250444.104</v>
      </c>
      <c r="M167" s="37">
        <f t="shared" si="11"/>
        <v>0.16289271949515696</v>
      </c>
      <c r="O167" s="1">
        <v>41697</v>
      </c>
      <c r="P167" s="37">
        <v>0.23523336613531601</v>
      </c>
      <c r="Q167">
        <v>860549250444.104</v>
      </c>
    </row>
    <row r="168" spans="2:17">
      <c r="B168" s="60">
        <v>41704</v>
      </c>
      <c r="C168" s="37">
        <f t="shared" si="8"/>
        <v>0.86296973588403203</v>
      </c>
      <c r="D168" s="37">
        <f t="shared" si="9"/>
        <v>0.73198493777118001</v>
      </c>
      <c r="F168" s="1">
        <v>41704</v>
      </c>
      <c r="G168">
        <v>0.86296973588403203</v>
      </c>
      <c r="I168" s="1">
        <v>41704</v>
      </c>
      <c r="J168">
        <v>0.73198493777118001</v>
      </c>
      <c r="K168" s="72">
        <v>137302780283.616</v>
      </c>
      <c r="L168" s="72">
        <f t="shared" si="10"/>
        <v>862646925748.92102</v>
      </c>
      <c r="M168" s="37">
        <f t="shared" si="11"/>
        <v>0.15916451584686789</v>
      </c>
      <c r="O168" s="1">
        <v>41704</v>
      </c>
      <c r="P168" s="37">
        <v>0.26131289645907702</v>
      </c>
      <c r="Q168">
        <v>862646925748.92102</v>
      </c>
    </row>
    <row r="169" spans="2:17">
      <c r="B169" s="60">
        <v>41711</v>
      </c>
      <c r="C169" s="37">
        <f t="shared" si="8"/>
        <v>0.81906765211778298</v>
      </c>
      <c r="D169" s="37">
        <f t="shared" si="9"/>
        <v>0.68652732115680604</v>
      </c>
      <c r="F169" s="1">
        <v>41711</v>
      </c>
      <c r="G169">
        <v>0.81906765211778298</v>
      </c>
      <c r="I169" s="1">
        <v>41711</v>
      </c>
      <c r="J169">
        <v>0.68652732115680604</v>
      </c>
      <c r="K169" s="72">
        <v>137302780283.616</v>
      </c>
      <c r="L169" s="72">
        <f t="shared" si="10"/>
        <v>862646925748.92102</v>
      </c>
      <c r="M169" s="37">
        <f t="shared" si="11"/>
        <v>0.15916451584686789</v>
      </c>
      <c r="O169" s="1">
        <v>41711</v>
      </c>
      <c r="P169" s="37">
        <v>0.23229463907320799</v>
      </c>
      <c r="Q169">
        <v>862646925748.92102</v>
      </c>
    </row>
    <row r="170" spans="2:17">
      <c r="B170" s="60">
        <v>41718</v>
      </c>
      <c r="C170" s="37">
        <f t="shared" si="8"/>
        <v>0.86286183686691498</v>
      </c>
      <c r="D170" s="37">
        <f t="shared" si="9"/>
        <v>0.73018796633644001</v>
      </c>
      <c r="F170" s="1">
        <v>41718</v>
      </c>
      <c r="G170">
        <v>0.86286183686691498</v>
      </c>
      <c r="I170" s="1">
        <v>41718</v>
      </c>
      <c r="J170">
        <v>0.73018796633644001</v>
      </c>
      <c r="K170" s="72">
        <v>137302780283.616</v>
      </c>
      <c r="L170" s="72">
        <f t="shared" si="10"/>
        <v>862646925748.92102</v>
      </c>
      <c r="M170" s="37">
        <f t="shared" si="11"/>
        <v>0.15916451584686789</v>
      </c>
      <c r="O170" s="1">
        <v>41718</v>
      </c>
      <c r="P170" s="37">
        <v>0.259911217598574</v>
      </c>
      <c r="Q170">
        <v>862646925748.92102</v>
      </c>
    </row>
    <row r="171" spans="2:17">
      <c r="B171" s="60">
        <v>41725</v>
      </c>
      <c r="C171" s="37">
        <f t="shared" si="8"/>
        <v>0.81889916283087805</v>
      </c>
      <c r="D171" s="37">
        <f t="shared" si="9"/>
        <v>0.68450438143886005</v>
      </c>
      <c r="F171" s="1">
        <v>41725</v>
      </c>
      <c r="G171">
        <v>0.81889916283087805</v>
      </c>
      <c r="I171" s="1">
        <v>41725</v>
      </c>
      <c r="J171">
        <v>0.68450438143886005</v>
      </c>
      <c r="K171" s="72">
        <v>137302780283.616</v>
      </c>
      <c r="L171" s="72">
        <f t="shared" si="10"/>
        <v>862646925748.92102</v>
      </c>
      <c r="M171" s="37">
        <f t="shared" si="11"/>
        <v>0.15916451584686789</v>
      </c>
      <c r="O171" s="1">
        <v>41725</v>
      </c>
      <c r="P171" s="37">
        <v>0.23160663701689099</v>
      </c>
      <c r="Q171">
        <v>862646925748.92102</v>
      </c>
    </row>
    <row r="172" spans="2:17">
      <c r="B172" s="60">
        <v>41732</v>
      </c>
      <c r="C172" s="37">
        <f t="shared" si="8"/>
        <v>0.77382163087992895</v>
      </c>
      <c r="D172" s="37">
        <f t="shared" si="9"/>
        <v>0.65157328022433403</v>
      </c>
      <c r="F172" s="1">
        <v>41732</v>
      </c>
      <c r="G172">
        <v>0.77382163087992895</v>
      </c>
      <c r="I172" s="1">
        <v>41732</v>
      </c>
      <c r="J172">
        <v>0.65157328022433403</v>
      </c>
      <c r="K172" s="72">
        <v>134084311974.908</v>
      </c>
      <c r="L172" s="72">
        <f t="shared" si="10"/>
        <v>865912452541.08801</v>
      </c>
      <c r="M172" s="37">
        <f t="shared" si="11"/>
        <v>0.15484742317936076</v>
      </c>
      <c r="O172" s="1">
        <v>41732</v>
      </c>
      <c r="P172" s="37">
        <v>0.20321387799468099</v>
      </c>
      <c r="Q172">
        <v>865912452541.08801</v>
      </c>
    </row>
    <row r="173" spans="2:17">
      <c r="B173" s="60">
        <v>41739</v>
      </c>
      <c r="C173" s="37">
        <f t="shared" si="8"/>
        <v>0.81929535733400805</v>
      </c>
      <c r="D173" s="37">
        <f t="shared" si="9"/>
        <v>0.69782122652957301</v>
      </c>
      <c r="F173" s="1">
        <v>41739</v>
      </c>
      <c r="G173">
        <v>0.81929535733400805</v>
      </c>
      <c r="I173" s="1">
        <v>41739</v>
      </c>
      <c r="J173">
        <v>0.69782122652957301</v>
      </c>
      <c r="K173" s="72">
        <v>134084311974.908</v>
      </c>
      <c r="L173" s="72">
        <f t="shared" si="10"/>
        <v>865912452541.08801</v>
      </c>
      <c r="M173" s="37">
        <f t="shared" si="11"/>
        <v>0.15484742317936076</v>
      </c>
      <c r="O173" s="1">
        <v>41739</v>
      </c>
      <c r="P173" s="37">
        <v>0.23288461809893199</v>
      </c>
      <c r="Q173">
        <v>865912452541.08801</v>
      </c>
    </row>
    <row r="174" spans="2:17">
      <c r="B174" s="60">
        <v>41746</v>
      </c>
      <c r="C174" s="37">
        <f t="shared" si="8"/>
        <v>0.86307390731589495</v>
      </c>
      <c r="D174" s="37">
        <f t="shared" si="9"/>
        <v>0.74322583937257003</v>
      </c>
      <c r="F174" s="1">
        <v>41746</v>
      </c>
      <c r="G174">
        <v>0.86307390731589495</v>
      </c>
      <c r="I174" s="1">
        <v>41746</v>
      </c>
      <c r="J174">
        <v>0.74322583937257003</v>
      </c>
      <c r="K174" s="72">
        <v>134084311974.908</v>
      </c>
      <c r="L174" s="72">
        <f t="shared" si="10"/>
        <v>865912452541.08801</v>
      </c>
      <c r="M174" s="37">
        <f t="shared" si="11"/>
        <v>0.15484742317936076</v>
      </c>
      <c r="O174" s="1">
        <v>41746</v>
      </c>
      <c r="P174" s="37">
        <v>0.26202204782205302</v>
      </c>
      <c r="Q174">
        <v>865912452541.08801</v>
      </c>
    </row>
    <row r="175" spans="2:17">
      <c r="B175" s="60">
        <v>41753</v>
      </c>
      <c r="C175" s="37">
        <f t="shared" si="8"/>
        <v>0.862883144079441</v>
      </c>
      <c r="D175" s="37">
        <f t="shared" si="9"/>
        <v>0.741465269880487</v>
      </c>
      <c r="F175" s="1">
        <v>41753</v>
      </c>
      <c r="G175">
        <v>0.862883144079441</v>
      </c>
      <c r="I175" s="1">
        <v>41753</v>
      </c>
      <c r="J175">
        <v>0.741465269880487</v>
      </c>
      <c r="K175" s="72">
        <v>134084311974.908</v>
      </c>
      <c r="L175" s="72">
        <f t="shared" si="10"/>
        <v>865912452541.08801</v>
      </c>
      <c r="M175" s="37">
        <f t="shared" si="11"/>
        <v>0.15484742317936076</v>
      </c>
      <c r="O175" s="1">
        <v>41753</v>
      </c>
      <c r="P175" s="37">
        <v>0.26064759544975202</v>
      </c>
      <c r="Q175">
        <v>865912452541.08801</v>
      </c>
    </row>
    <row r="176" spans="2:17">
      <c r="B176" s="60">
        <v>41760</v>
      </c>
      <c r="C176" s="37">
        <f t="shared" si="8"/>
        <v>0.86338218182302096</v>
      </c>
      <c r="D176" s="37">
        <f t="shared" si="9"/>
        <v>0.75311294857435296</v>
      </c>
      <c r="F176" s="1">
        <v>41760</v>
      </c>
      <c r="G176">
        <v>0.86338218182302096</v>
      </c>
      <c r="I176" s="1">
        <v>41760</v>
      </c>
      <c r="J176">
        <v>0.75311294857435296</v>
      </c>
      <c r="K176" s="72">
        <v>131022110576.76801</v>
      </c>
      <c r="L176" s="72">
        <f t="shared" si="10"/>
        <v>869491021687.79004</v>
      </c>
      <c r="M176" s="37">
        <f t="shared" si="11"/>
        <v>0.15068828465006784</v>
      </c>
      <c r="O176" s="1">
        <v>41760</v>
      </c>
      <c r="P176" s="37">
        <v>0.26096797184396903</v>
      </c>
      <c r="Q176">
        <v>869491021687.79004</v>
      </c>
    </row>
    <row r="177" spans="2:17">
      <c r="B177" s="60">
        <v>41767</v>
      </c>
      <c r="C177" s="37">
        <f t="shared" si="8"/>
        <v>0.92469964057410103</v>
      </c>
      <c r="D177" s="37">
        <f t="shared" si="9"/>
        <v>0.81447465128368302</v>
      </c>
      <c r="F177" s="1">
        <v>41767</v>
      </c>
      <c r="G177">
        <v>0.92469964057410103</v>
      </c>
      <c r="I177" s="1">
        <v>41767</v>
      </c>
      <c r="J177">
        <v>0.81447465128368302</v>
      </c>
      <c r="K177" s="72">
        <v>131022110576.76801</v>
      </c>
      <c r="L177" s="72">
        <f t="shared" si="10"/>
        <v>869491021687.79004</v>
      </c>
      <c r="M177" s="37">
        <f t="shared" si="11"/>
        <v>0.15068828465006784</v>
      </c>
      <c r="O177" s="1">
        <v>41767</v>
      </c>
      <c r="P177" s="37">
        <v>0.30889383306981899</v>
      </c>
      <c r="Q177">
        <v>869491021687.79004</v>
      </c>
    </row>
    <row r="178" spans="2:17">
      <c r="B178" s="60">
        <v>41774</v>
      </c>
      <c r="C178" s="37">
        <f t="shared" si="8"/>
        <v>0.92471213874485103</v>
      </c>
      <c r="D178" s="37">
        <f t="shared" si="9"/>
        <v>0.81448915279691303</v>
      </c>
      <c r="F178" s="1">
        <v>41774</v>
      </c>
      <c r="G178">
        <v>0.92471213874485103</v>
      </c>
      <c r="I178" s="1">
        <v>41774</v>
      </c>
      <c r="J178">
        <v>0.81448915279691303</v>
      </c>
      <c r="K178" s="72">
        <v>131022110576.76801</v>
      </c>
      <c r="L178" s="72">
        <f t="shared" si="10"/>
        <v>869491021687.79004</v>
      </c>
      <c r="M178" s="37">
        <f t="shared" si="11"/>
        <v>0.15068828465006784</v>
      </c>
      <c r="O178" s="1">
        <v>41774</v>
      </c>
      <c r="P178" s="37">
        <v>0.30891479778446901</v>
      </c>
      <c r="Q178">
        <v>869491021687.79004</v>
      </c>
    </row>
    <row r="179" spans="2:17">
      <c r="B179" s="60">
        <v>41781</v>
      </c>
      <c r="C179" s="37">
        <f t="shared" si="8"/>
        <v>0.942170788335981</v>
      </c>
      <c r="D179" s="37">
        <f t="shared" si="9"/>
        <v>0.83369685729657195</v>
      </c>
      <c r="F179" s="1">
        <v>41781</v>
      </c>
      <c r="G179">
        <v>0.942170788335981</v>
      </c>
      <c r="I179" s="1">
        <v>41781</v>
      </c>
      <c r="J179">
        <v>0.83369685729657195</v>
      </c>
      <c r="K179" s="72">
        <v>131022110576.76801</v>
      </c>
      <c r="L179" s="72">
        <f t="shared" si="10"/>
        <v>869491021687.79004</v>
      </c>
      <c r="M179" s="37">
        <f t="shared" si="11"/>
        <v>0.15068828465006784</v>
      </c>
      <c r="O179" s="1">
        <v>41781</v>
      </c>
      <c r="P179" s="37">
        <v>0.33114270527414602</v>
      </c>
      <c r="Q179">
        <v>869491021687.79004</v>
      </c>
    </row>
    <row r="180" spans="2:17">
      <c r="B180" s="60">
        <v>41788</v>
      </c>
      <c r="C180" s="37">
        <f t="shared" si="8"/>
        <v>0.94220364207853702</v>
      </c>
      <c r="D180" s="37">
        <f t="shared" si="9"/>
        <v>0.83441070814585505</v>
      </c>
      <c r="F180" s="1">
        <v>41788</v>
      </c>
      <c r="G180">
        <v>0.94220364207853702</v>
      </c>
      <c r="I180" s="1">
        <v>41788</v>
      </c>
      <c r="J180">
        <v>0.83441070814585505</v>
      </c>
      <c r="K180" s="72">
        <v>131022110576.76801</v>
      </c>
      <c r="L180" s="72">
        <f t="shared" si="10"/>
        <v>869491021687.79004</v>
      </c>
      <c r="M180" s="37">
        <f t="shared" si="11"/>
        <v>0.15068828465006784</v>
      </c>
      <c r="O180" s="1">
        <v>41788</v>
      </c>
      <c r="P180" s="37">
        <v>0.33194076989098698</v>
      </c>
      <c r="Q180">
        <v>869491021687.79004</v>
      </c>
    </row>
    <row r="181" spans="2:17">
      <c r="B181" s="60">
        <v>41795</v>
      </c>
      <c r="C181" s="37">
        <f t="shared" si="8"/>
        <v>0.94191255638832705</v>
      </c>
      <c r="D181" s="37">
        <f t="shared" si="9"/>
        <v>0.84407077334338998</v>
      </c>
      <c r="F181" s="1">
        <v>41795</v>
      </c>
      <c r="G181">
        <v>0.94191255638832705</v>
      </c>
      <c r="I181" s="1">
        <v>41795</v>
      </c>
      <c r="J181">
        <v>0.84407077334338998</v>
      </c>
      <c r="K181" s="72">
        <v>127996673162.017</v>
      </c>
      <c r="L181" s="72">
        <f t="shared" si="10"/>
        <v>874676225982.203</v>
      </c>
      <c r="M181" s="37">
        <f t="shared" si="11"/>
        <v>0.14633606054432916</v>
      </c>
      <c r="O181" s="1">
        <v>41795</v>
      </c>
      <c r="P181" s="37">
        <v>0.33192034731196002</v>
      </c>
      <c r="Q181">
        <v>874676225982.203</v>
      </c>
    </row>
    <row r="182" spans="2:17">
      <c r="B182" s="60">
        <v>41802</v>
      </c>
      <c r="C182" s="37">
        <f t="shared" si="8"/>
        <v>0.924708662683428</v>
      </c>
      <c r="D182" s="37">
        <f t="shared" si="9"/>
        <v>0.824454253938531</v>
      </c>
      <c r="F182" s="1">
        <v>41802</v>
      </c>
      <c r="G182">
        <v>0.924708662683428</v>
      </c>
      <c r="I182" s="1">
        <v>41802</v>
      </c>
      <c r="J182">
        <v>0.824454253938531</v>
      </c>
      <c r="K182" s="72">
        <v>127996673162.017</v>
      </c>
      <c r="L182" s="72">
        <f t="shared" si="10"/>
        <v>874676225982.203</v>
      </c>
      <c r="M182" s="37">
        <f t="shared" si="11"/>
        <v>0.14633606054432916</v>
      </c>
      <c r="O182" s="1">
        <v>41802</v>
      </c>
      <c r="P182" s="37">
        <v>0.30807676123988798</v>
      </c>
      <c r="Q182">
        <v>874676225982.203</v>
      </c>
    </row>
    <row r="183" spans="2:17">
      <c r="B183" s="60">
        <v>41809</v>
      </c>
      <c r="C183" s="37">
        <f t="shared" si="8"/>
        <v>0.92478797041361505</v>
      </c>
      <c r="D183" s="37">
        <f t="shared" si="9"/>
        <v>0.82589246523279602</v>
      </c>
      <c r="F183" s="1">
        <v>41809</v>
      </c>
      <c r="G183">
        <v>0.92478797041361505</v>
      </c>
      <c r="I183" s="1">
        <v>41809</v>
      </c>
      <c r="J183">
        <v>0.82589246523279602</v>
      </c>
      <c r="K183" s="72">
        <v>127996673162.017</v>
      </c>
      <c r="L183" s="72">
        <f t="shared" si="10"/>
        <v>874676225982.203</v>
      </c>
      <c r="M183" s="37">
        <f t="shared" si="11"/>
        <v>0.14633606054432916</v>
      </c>
      <c r="O183" s="1">
        <v>41809</v>
      </c>
      <c r="P183" s="37">
        <v>0.30971242843576302</v>
      </c>
      <c r="Q183">
        <v>874676225982.203</v>
      </c>
    </row>
    <row r="184" spans="2:17">
      <c r="B184" s="60">
        <v>41816</v>
      </c>
      <c r="C184" s="37">
        <f t="shared" si="8"/>
        <v>0.94191255638832705</v>
      </c>
      <c r="D184" s="37">
        <f t="shared" si="9"/>
        <v>0.84407077334338998</v>
      </c>
      <c r="F184" s="1">
        <v>41816</v>
      </c>
      <c r="G184">
        <v>0.94191255638832705</v>
      </c>
      <c r="I184" s="1">
        <v>41816</v>
      </c>
      <c r="J184">
        <v>0.84407077334338998</v>
      </c>
      <c r="K184" s="72">
        <v>127996673162.017</v>
      </c>
      <c r="L184" s="72">
        <f t="shared" si="10"/>
        <v>874676225982.203</v>
      </c>
      <c r="M184" s="37">
        <f t="shared" si="11"/>
        <v>0.14633606054432916</v>
      </c>
      <c r="O184" s="1">
        <v>41816</v>
      </c>
      <c r="P184" s="37">
        <v>0.33192034731196002</v>
      </c>
      <c r="Q184">
        <v>874676225982.203</v>
      </c>
    </row>
    <row r="185" spans="2:17">
      <c r="B185" s="60">
        <v>41823</v>
      </c>
      <c r="C185" s="37">
        <f t="shared" si="8"/>
        <v>0.95933486163638704</v>
      </c>
      <c r="D185" s="37">
        <f t="shared" si="9"/>
        <v>0.86674293264243896</v>
      </c>
      <c r="F185" s="1">
        <v>41823</v>
      </c>
      <c r="G185">
        <v>0.95933486163638704</v>
      </c>
      <c r="I185" s="1">
        <v>41823</v>
      </c>
      <c r="J185">
        <v>0.86674293264243896</v>
      </c>
      <c r="K185" s="72">
        <v>124999566160.547</v>
      </c>
      <c r="L185" s="72">
        <f t="shared" si="10"/>
        <v>879218074297.77698</v>
      </c>
      <c r="M185" s="37">
        <f t="shared" si="11"/>
        <v>0.14217128811914262</v>
      </c>
      <c r="O185" s="1">
        <v>41823</v>
      </c>
      <c r="P185" s="37">
        <v>0.35262516495052798</v>
      </c>
      <c r="Q185">
        <v>879218074297.77698</v>
      </c>
    </row>
    <row r="186" spans="2:17">
      <c r="B186" s="60">
        <v>41830</v>
      </c>
      <c r="C186" s="37">
        <f t="shared" si="8"/>
        <v>0.92435732512698199</v>
      </c>
      <c r="D186" s="37">
        <f t="shared" si="9"/>
        <v>0.82890227253426596</v>
      </c>
      <c r="F186" s="1">
        <v>41830</v>
      </c>
      <c r="G186">
        <v>0.92435732512698199</v>
      </c>
      <c r="I186" s="1">
        <v>41830</v>
      </c>
      <c r="J186">
        <v>0.82890227253426596</v>
      </c>
      <c r="K186" s="72">
        <v>124999566160.547</v>
      </c>
      <c r="L186" s="72">
        <f t="shared" si="10"/>
        <v>879218074297.77698</v>
      </c>
      <c r="M186" s="37">
        <f t="shared" si="11"/>
        <v>0.14217128811914262</v>
      </c>
      <c r="O186" s="1">
        <v>41830</v>
      </c>
      <c r="P186" s="37">
        <v>0.30448503707734098</v>
      </c>
      <c r="Q186">
        <v>879218074297.77698</v>
      </c>
    </row>
    <row r="187" spans="2:17">
      <c r="B187" s="60">
        <v>41837</v>
      </c>
      <c r="C187" s="37">
        <f t="shared" si="8"/>
        <v>0.94140193159732499</v>
      </c>
      <c r="D187" s="37">
        <f t="shared" si="9"/>
        <v>0.84648587198714098</v>
      </c>
      <c r="F187" s="1">
        <v>41837</v>
      </c>
      <c r="G187">
        <v>0.94140193159732499</v>
      </c>
      <c r="I187" s="1">
        <v>41837</v>
      </c>
      <c r="J187">
        <v>0.84648587198714098</v>
      </c>
      <c r="K187" s="72">
        <v>124999566160.547</v>
      </c>
      <c r="L187" s="72">
        <f t="shared" si="10"/>
        <v>879218074297.77698</v>
      </c>
      <c r="M187" s="37">
        <f t="shared" si="11"/>
        <v>0.14217128811914262</v>
      </c>
      <c r="O187" s="1">
        <v>41837</v>
      </c>
      <c r="P187" s="37">
        <v>0.32660064596161198</v>
      </c>
      <c r="Q187">
        <v>879218074297.77698</v>
      </c>
    </row>
    <row r="188" spans="2:17">
      <c r="B188" s="60">
        <v>41844</v>
      </c>
      <c r="C188" s="37">
        <f t="shared" si="8"/>
        <v>0.94140193159732499</v>
      </c>
      <c r="D188" s="37">
        <f t="shared" si="9"/>
        <v>0.84648587198714098</v>
      </c>
      <c r="F188" s="1">
        <v>41844</v>
      </c>
      <c r="G188">
        <v>0.94140193159732499</v>
      </c>
      <c r="I188" s="1">
        <v>41844</v>
      </c>
      <c r="J188">
        <v>0.84648587198714098</v>
      </c>
      <c r="K188" s="72">
        <v>124999566160.547</v>
      </c>
      <c r="L188" s="72">
        <f t="shared" si="10"/>
        <v>879218074297.77698</v>
      </c>
      <c r="M188" s="37">
        <f t="shared" si="11"/>
        <v>0.14217128811914262</v>
      </c>
      <c r="O188" s="1">
        <v>41844</v>
      </c>
      <c r="P188" s="37">
        <v>0.32660064596161198</v>
      </c>
      <c r="Q188">
        <v>879218074297.77698</v>
      </c>
    </row>
    <row r="189" spans="2:17">
      <c r="B189" s="60">
        <v>41851</v>
      </c>
      <c r="C189" s="37">
        <f t="shared" si="8"/>
        <v>0.94141649683931705</v>
      </c>
      <c r="D189" s="37">
        <f t="shared" si="9"/>
        <v>0.84693805880599304</v>
      </c>
      <c r="F189" s="1">
        <v>41851</v>
      </c>
      <c r="G189">
        <v>0.94141649683931705</v>
      </c>
      <c r="I189" s="1">
        <v>41851</v>
      </c>
      <c r="J189">
        <v>0.84693805880599304</v>
      </c>
      <c r="K189" s="72">
        <v>124999566160.547</v>
      </c>
      <c r="L189" s="72">
        <f t="shared" si="10"/>
        <v>879218074297.77698</v>
      </c>
      <c r="M189" s="37">
        <f t="shared" si="11"/>
        <v>0.14217128811914262</v>
      </c>
      <c r="O189" s="1">
        <v>41851</v>
      </c>
      <c r="P189" s="37">
        <v>0.32699157373577598</v>
      </c>
      <c r="Q189">
        <v>879218074297.77698</v>
      </c>
    </row>
    <row r="190" spans="2:17">
      <c r="B190" s="60">
        <v>41858</v>
      </c>
      <c r="C190" s="37">
        <f t="shared" si="8"/>
        <v>0.92406873351741203</v>
      </c>
      <c r="D190" s="37">
        <f t="shared" si="9"/>
        <v>0.83214930029007805</v>
      </c>
      <c r="F190" s="1">
        <v>41858</v>
      </c>
      <c r="G190">
        <v>0.92406873351741203</v>
      </c>
      <c r="I190" s="1">
        <v>41858</v>
      </c>
      <c r="J190">
        <v>0.83214930029007805</v>
      </c>
      <c r="K190" s="72">
        <v>122034558755.91701</v>
      </c>
      <c r="L190" s="72">
        <f t="shared" si="10"/>
        <v>889016211164.04895</v>
      </c>
      <c r="M190" s="37">
        <f t="shared" si="11"/>
        <v>0.13726921649283416</v>
      </c>
      <c r="O190" s="1">
        <v>41858</v>
      </c>
      <c r="P190" s="37">
        <v>0.29774290507115803</v>
      </c>
      <c r="Q190">
        <v>889016211164.04895</v>
      </c>
    </row>
    <row r="191" spans="2:17">
      <c r="B191" s="60">
        <v>41865</v>
      </c>
      <c r="C191" s="37">
        <f t="shared" si="8"/>
        <v>0.94091871934431903</v>
      </c>
      <c r="D191" s="37">
        <f t="shared" si="9"/>
        <v>0.84983360370315197</v>
      </c>
      <c r="F191" s="1">
        <v>41865</v>
      </c>
      <c r="G191">
        <v>0.94091871934431903</v>
      </c>
      <c r="I191" s="1">
        <v>41865</v>
      </c>
      <c r="J191">
        <v>0.84983360370315197</v>
      </c>
      <c r="K191" s="72">
        <v>122034558755.91701</v>
      </c>
      <c r="L191" s="72">
        <f t="shared" si="10"/>
        <v>889016211164.04895</v>
      </c>
      <c r="M191" s="37">
        <f t="shared" si="11"/>
        <v>0.13726921649283416</v>
      </c>
      <c r="O191" s="1">
        <v>41865</v>
      </c>
      <c r="P191" s="37">
        <v>0.320132361922567</v>
      </c>
      <c r="Q191">
        <v>889016211164.04895</v>
      </c>
    </row>
    <row r="192" spans="2:17">
      <c r="B192" s="60">
        <v>41872</v>
      </c>
      <c r="C192" s="37">
        <f t="shared" si="8"/>
        <v>0.95930523734958395</v>
      </c>
      <c r="D192" s="37">
        <f t="shared" si="9"/>
        <v>0.87098339925649604</v>
      </c>
      <c r="F192" s="1">
        <v>41872</v>
      </c>
      <c r="G192">
        <v>0.95930523734958395</v>
      </c>
      <c r="I192" s="1">
        <v>41872</v>
      </c>
      <c r="J192">
        <v>0.87098339925649604</v>
      </c>
      <c r="K192" s="72">
        <v>122034558755.91701</v>
      </c>
      <c r="L192" s="72">
        <f t="shared" si="10"/>
        <v>889016211164.04895</v>
      </c>
      <c r="M192" s="37">
        <f t="shared" si="11"/>
        <v>0.13726921649283416</v>
      </c>
      <c r="O192" s="1">
        <v>41872</v>
      </c>
      <c r="P192" s="37">
        <v>0.34626375886905603</v>
      </c>
      <c r="Q192">
        <v>889016211164.04895</v>
      </c>
    </row>
    <row r="193" spans="2:17">
      <c r="B193" s="60">
        <v>41879</v>
      </c>
      <c r="C193" s="37">
        <f t="shared" si="8"/>
        <v>0.95930523734958395</v>
      </c>
      <c r="D193" s="37">
        <f t="shared" si="9"/>
        <v>0.87098339925649604</v>
      </c>
      <c r="F193" s="1">
        <v>41879</v>
      </c>
      <c r="G193">
        <v>0.95930523734958395</v>
      </c>
      <c r="I193" s="1">
        <v>41879</v>
      </c>
      <c r="J193">
        <v>0.87098339925649604</v>
      </c>
      <c r="K193" s="72">
        <v>122034558755.91701</v>
      </c>
      <c r="L193" s="72">
        <f t="shared" si="10"/>
        <v>889016211164.04895</v>
      </c>
      <c r="M193" s="37">
        <f t="shared" si="11"/>
        <v>0.13726921649283416</v>
      </c>
      <c r="O193" s="1">
        <v>41879</v>
      </c>
      <c r="P193" s="37">
        <v>0.34626375886905603</v>
      </c>
      <c r="Q193">
        <v>889016211164.04895</v>
      </c>
    </row>
    <row r="194" spans="2:17">
      <c r="B194" s="60">
        <v>41886</v>
      </c>
      <c r="C194" s="37">
        <f t="shared" si="8"/>
        <v>0.959184322523427</v>
      </c>
      <c r="D194" s="37">
        <f t="shared" si="9"/>
        <v>0.87380583264278999</v>
      </c>
      <c r="F194" s="1">
        <v>41886</v>
      </c>
      <c r="G194">
        <v>0.959184322523427</v>
      </c>
      <c r="I194" s="1">
        <v>41886</v>
      </c>
      <c r="J194">
        <v>0.87380583264278999</v>
      </c>
      <c r="K194" s="72">
        <v>119186886371.356</v>
      </c>
      <c r="L194" s="72">
        <f t="shared" si="10"/>
        <v>896796715582.33606</v>
      </c>
      <c r="M194" s="37">
        <f t="shared" si="11"/>
        <v>0.13290290240855962</v>
      </c>
      <c r="O194" s="1">
        <v>41886</v>
      </c>
      <c r="P194" s="37">
        <v>0.339896907197697</v>
      </c>
      <c r="Q194">
        <v>896796715582.33606</v>
      </c>
    </row>
    <row r="195" spans="2:17">
      <c r="B195" s="60">
        <v>41893</v>
      </c>
      <c r="C195" s="37">
        <f t="shared" si="8"/>
        <v>0.95904395158926303</v>
      </c>
      <c r="D195" s="37">
        <f t="shared" si="9"/>
        <v>0.87282316645630098</v>
      </c>
      <c r="F195" s="1">
        <v>41893</v>
      </c>
      <c r="G195">
        <v>0.95904395158926303</v>
      </c>
      <c r="I195" s="1">
        <v>41893</v>
      </c>
      <c r="J195">
        <v>0.87282316645630098</v>
      </c>
      <c r="K195" s="72">
        <v>119186886371.356</v>
      </c>
      <c r="L195" s="72">
        <f t="shared" si="10"/>
        <v>896796715582.33606</v>
      </c>
      <c r="M195" s="37">
        <f t="shared" si="11"/>
        <v>0.13290290240855962</v>
      </c>
      <c r="O195" s="1">
        <v>41893</v>
      </c>
      <c r="P195" s="37">
        <v>0.33936239503709098</v>
      </c>
      <c r="Q195">
        <v>896796715582.33606</v>
      </c>
    </row>
    <row r="196" spans="2:17">
      <c r="B196" s="60">
        <v>41900</v>
      </c>
      <c r="C196" s="37">
        <f t="shared" ref="C196:C227" si="12">VLOOKUP(B196,F:G,2,0)</f>
        <v>0.92367592231458095</v>
      </c>
      <c r="D196" s="37">
        <f t="shared" ref="D196:D227" si="13">VLOOKUP(B196,I:J,2,0)</f>
        <v>0.83339683915826901</v>
      </c>
      <c r="F196" s="1">
        <v>41900</v>
      </c>
      <c r="G196">
        <v>0.92367592231458095</v>
      </c>
      <c r="I196" s="1">
        <v>41900</v>
      </c>
      <c r="J196">
        <v>0.83339683915826901</v>
      </c>
      <c r="K196" s="72">
        <v>119186886371.356</v>
      </c>
      <c r="L196" s="72">
        <f t="shared" ref="L196:L228" si="14">VLOOKUP(I196,O:Q,3,0)</f>
        <v>896796715582.33606</v>
      </c>
      <c r="M196" s="37">
        <f t="shared" ref="M196:M228" si="15">K196/L196*100%</f>
        <v>0.13290290240855962</v>
      </c>
      <c r="O196" s="1">
        <v>41900</v>
      </c>
      <c r="P196" s="37">
        <v>0.28985985896912098</v>
      </c>
      <c r="Q196">
        <v>896796715582.33606</v>
      </c>
    </row>
    <row r="197" spans="2:17">
      <c r="B197" s="60">
        <v>41907</v>
      </c>
      <c r="C197" s="37">
        <f t="shared" si="12"/>
        <v>0.92375754000891097</v>
      </c>
      <c r="D197" s="37">
        <f t="shared" si="13"/>
        <v>0.83469677777951401</v>
      </c>
      <c r="F197" s="1">
        <v>41907</v>
      </c>
      <c r="G197">
        <v>0.92375754000891097</v>
      </c>
      <c r="I197" s="1">
        <v>41907</v>
      </c>
      <c r="J197">
        <v>0.83469677777951401</v>
      </c>
      <c r="K197" s="72">
        <v>119186886371.356</v>
      </c>
      <c r="L197" s="72">
        <f t="shared" si="14"/>
        <v>896796715582.33606</v>
      </c>
      <c r="M197" s="37">
        <f t="shared" si="15"/>
        <v>0.13290290240855962</v>
      </c>
      <c r="O197" s="1">
        <v>41907</v>
      </c>
      <c r="P197" s="37">
        <v>0.29129845378289898</v>
      </c>
      <c r="Q197">
        <v>896796715582.33606</v>
      </c>
    </row>
    <row r="198" spans="2:17">
      <c r="B198" s="60">
        <v>41914</v>
      </c>
      <c r="C198" s="37">
        <f t="shared" si="12"/>
        <v>0.939877910552257</v>
      </c>
      <c r="D198" s="37">
        <f t="shared" si="13"/>
        <v>0.85275490992422898</v>
      </c>
      <c r="F198" s="1">
        <v>41914</v>
      </c>
      <c r="G198">
        <v>0.939877910552257</v>
      </c>
      <c r="I198" s="1">
        <v>41914</v>
      </c>
      <c r="J198">
        <v>0.85275490992422898</v>
      </c>
      <c r="K198" s="72">
        <v>116367013129.366</v>
      </c>
      <c r="L198" s="72">
        <f t="shared" si="14"/>
        <v>904868755203.72498</v>
      </c>
      <c r="M198" s="37">
        <f t="shared" si="15"/>
        <v>0.12860098490544827</v>
      </c>
      <c r="O198" s="1">
        <v>41914</v>
      </c>
      <c r="P198" s="37">
        <v>0.305477469640837</v>
      </c>
      <c r="Q198">
        <v>904868755203.72498</v>
      </c>
    </row>
    <row r="199" spans="2:17">
      <c r="B199" s="60">
        <v>41921</v>
      </c>
      <c r="C199" s="37">
        <f t="shared" si="12"/>
        <v>0.95870597013426595</v>
      </c>
      <c r="D199" s="37">
        <f t="shared" si="13"/>
        <v>0.87407306805923601</v>
      </c>
      <c r="F199" s="1">
        <v>41921</v>
      </c>
      <c r="G199">
        <v>0.95870597013426595</v>
      </c>
      <c r="I199" s="1">
        <v>41921</v>
      </c>
      <c r="J199">
        <v>0.87407306805923601</v>
      </c>
      <c r="K199" s="72">
        <v>116367013129.366</v>
      </c>
      <c r="L199" s="72">
        <f t="shared" si="14"/>
        <v>904868755203.72498</v>
      </c>
      <c r="M199" s="37">
        <f t="shared" si="15"/>
        <v>0.12860098490544827</v>
      </c>
      <c r="O199" s="1">
        <v>41921</v>
      </c>
      <c r="P199" s="37">
        <v>0.331441643373315</v>
      </c>
      <c r="Q199">
        <v>904868755203.72498</v>
      </c>
    </row>
    <row r="200" spans="2:17">
      <c r="B200" s="60">
        <v>41928</v>
      </c>
      <c r="C200" s="37">
        <f t="shared" si="12"/>
        <v>0.98146689029705902</v>
      </c>
      <c r="D200" s="37">
        <f t="shared" si="13"/>
        <v>0.90427695834799704</v>
      </c>
      <c r="F200" s="1">
        <v>41928</v>
      </c>
      <c r="G200">
        <v>0.98146689029705902</v>
      </c>
      <c r="I200" s="1">
        <v>41928</v>
      </c>
      <c r="J200">
        <v>0.90427695834799704</v>
      </c>
      <c r="K200" s="72">
        <v>116367013129.366</v>
      </c>
      <c r="L200" s="72">
        <f t="shared" si="14"/>
        <v>904868755203.72498</v>
      </c>
      <c r="M200" s="37">
        <f t="shared" si="15"/>
        <v>0.12860098490544827</v>
      </c>
      <c r="O200" s="1">
        <v>41928</v>
      </c>
      <c r="P200" s="37">
        <v>0.392928030601567</v>
      </c>
      <c r="Q200">
        <v>904868755203.72498</v>
      </c>
    </row>
    <row r="201" spans="2:17">
      <c r="B201" s="60">
        <v>41935</v>
      </c>
      <c r="C201" s="37">
        <f t="shared" si="12"/>
        <v>0.98818151288594802</v>
      </c>
      <c r="D201" s="37">
        <f t="shared" si="13"/>
        <v>0.91415871688142003</v>
      </c>
      <c r="F201" s="1">
        <v>41935</v>
      </c>
      <c r="G201">
        <v>0.98818151288594802</v>
      </c>
      <c r="I201" s="1">
        <v>41935</v>
      </c>
      <c r="J201">
        <v>0.91415871688142003</v>
      </c>
      <c r="K201" s="72">
        <v>116367013129.366</v>
      </c>
      <c r="L201" s="72">
        <f t="shared" si="14"/>
        <v>904868755203.72498</v>
      </c>
      <c r="M201" s="37">
        <f t="shared" si="15"/>
        <v>0.12860098490544827</v>
      </c>
      <c r="O201" s="1">
        <v>41935</v>
      </c>
      <c r="P201" s="37">
        <v>0.42272700072756098</v>
      </c>
      <c r="Q201">
        <v>904868755203.72498</v>
      </c>
    </row>
    <row r="202" spans="2:17">
      <c r="B202" s="60">
        <v>41942</v>
      </c>
      <c r="C202" s="37">
        <f t="shared" si="12"/>
        <v>0.98146296312210002</v>
      </c>
      <c r="D202" s="37">
        <f t="shared" si="13"/>
        <v>0.90425801000292305</v>
      </c>
      <c r="F202" s="1">
        <v>41942</v>
      </c>
      <c r="G202">
        <v>0.98146296312210002</v>
      </c>
      <c r="I202" s="1">
        <v>41942</v>
      </c>
      <c r="J202">
        <v>0.90425801000292305</v>
      </c>
      <c r="K202" s="72">
        <v>116367013129.366</v>
      </c>
      <c r="L202" s="72">
        <f t="shared" si="14"/>
        <v>904868755203.72498</v>
      </c>
      <c r="M202" s="37">
        <f t="shared" si="15"/>
        <v>0.12860098490544827</v>
      </c>
      <c r="O202" s="1">
        <v>41942</v>
      </c>
      <c r="P202" s="37">
        <v>0.39286667249963197</v>
      </c>
      <c r="Q202">
        <v>904868755203.72498</v>
      </c>
    </row>
    <row r="203" spans="2:17">
      <c r="B203" s="60">
        <v>41949</v>
      </c>
      <c r="C203" s="37">
        <f t="shared" si="12"/>
        <v>0.97081970689119501</v>
      </c>
      <c r="D203" s="37">
        <f t="shared" si="13"/>
        <v>0.89330807391308997</v>
      </c>
      <c r="F203" s="1">
        <v>41949</v>
      </c>
      <c r="G203">
        <v>0.97081970689119501</v>
      </c>
      <c r="I203" s="1">
        <v>41949</v>
      </c>
      <c r="J203">
        <v>0.89330807391308997</v>
      </c>
      <c r="K203" s="72">
        <v>113578619016.686</v>
      </c>
      <c r="L203" s="72">
        <f t="shared" si="14"/>
        <v>911144707396.39795</v>
      </c>
      <c r="M203" s="37">
        <f t="shared" si="15"/>
        <v>0.12465486337646373</v>
      </c>
      <c r="O203" s="1">
        <v>41949</v>
      </c>
      <c r="P203" s="37">
        <v>0.354143081837822</v>
      </c>
      <c r="Q203">
        <v>911144707396.39795</v>
      </c>
    </row>
    <row r="204" spans="2:17">
      <c r="B204" s="60">
        <v>41956</v>
      </c>
      <c r="C204" s="37">
        <f t="shared" si="12"/>
        <v>0.97082427955975303</v>
      </c>
      <c r="D204" s="37">
        <f t="shared" si="13"/>
        <v>0.89333391711787102</v>
      </c>
      <c r="F204" s="1">
        <v>41956</v>
      </c>
      <c r="G204">
        <v>0.97082427955975303</v>
      </c>
      <c r="I204" s="1">
        <v>41956</v>
      </c>
      <c r="J204">
        <v>0.89333391711787102</v>
      </c>
      <c r="K204" s="72">
        <v>113578619016.686</v>
      </c>
      <c r="L204" s="72">
        <f t="shared" si="14"/>
        <v>911144707396.39795</v>
      </c>
      <c r="M204" s="37">
        <f t="shared" si="15"/>
        <v>0.12465486337646373</v>
      </c>
      <c r="O204" s="1">
        <v>41956</v>
      </c>
      <c r="P204" s="37">
        <v>0.354271281217999</v>
      </c>
      <c r="Q204">
        <v>911144707396.39795</v>
      </c>
    </row>
    <row r="205" spans="2:17">
      <c r="B205" s="60">
        <v>41963</v>
      </c>
      <c r="C205" s="37">
        <f t="shared" si="12"/>
        <v>0.98114317383489702</v>
      </c>
      <c r="D205" s="37">
        <f t="shared" si="13"/>
        <v>0.905011241503064</v>
      </c>
      <c r="F205" s="1">
        <v>41963</v>
      </c>
      <c r="G205">
        <v>0.98114317383489702</v>
      </c>
      <c r="I205" s="1">
        <v>41963</v>
      </c>
      <c r="J205">
        <v>0.905011241503064</v>
      </c>
      <c r="K205" s="72">
        <v>113578619016.686</v>
      </c>
      <c r="L205" s="72">
        <f t="shared" si="14"/>
        <v>911144707396.39795</v>
      </c>
      <c r="M205" s="37">
        <f t="shared" si="15"/>
        <v>0.12465486337646373</v>
      </c>
      <c r="O205" s="1">
        <v>41963</v>
      </c>
      <c r="P205" s="37">
        <v>0.38515221599308302</v>
      </c>
      <c r="Q205">
        <v>911144707396.39795</v>
      </c>
    </row>
    <row r="206" spans="2:17">
      <c r="B206" s="60">
        <v>41969</v>
      </c>
      <c r="C206" s="37">
        <f t="shared" si="12"/>
        <v>0.98115309471965295</v>
      </c>
      <c r="D206" s="37">
        <f t="shared" si="13"/>
        <v>0.90562471296629599</v>
      </c>
      <c r="F206" s="1">
        <v>41969</v>
      </c>
      <c r="G206">
        <v>0.98115309471965295</v>
      </c>
      <c r="I206" s="1">
        <v>41969</v>
      </c>
      <c r="J206">
        <v>0.90562471296629599</v>
      </c>
      <c r="K206" s="72">
        <v>113578619016.686</v>
      </c>
      <c r="L206" s="72">
        <f t="shared" si="14"/>
        <v>911144707396.39795</v>
      </c>
      <c r="M206" s="37">
        <f t="shared" si="15"/>
        <v>0.12465486337646373</v>
      </c>
      <c r="O206" s="1">
        <v>41969</v>
      </c>
      <c r="P206" s="37">
        <v>0.38537159802743798</v>
      </c>
      <c r="Q206">
        <v>911144707396.39795</v>
      </c>
    </row>
    <row r="207" spans="2:17">
      <c r="B207" s="60">
        <v>41977</v>
      </c>
      <c r="C207" s="37">
        <f t="shared" si="12"/>
        <v>0.98784281177175604</v>
      </c>
      <c r="D207" s="37">
        <f t="shared" si="13"/>
        <v>0.91738283856560698</v>
      </c>
      <c r="F207" s="1">
        <v>41977</v>
      </c>
      <c r="G207">
        <v>0.98784281177175604</v>
      </c>
      <c r="I207" s="1">
        <v>41977</v>
      </c>
      <c r="J207">
        <v>0.91738283856560698</v>
      </c>
      <c r="K207" s="72">
        <v>111141034606.26401</v>
      </c>
      <c r="L207" s="72">
        <f t="shared" si="14"/>
        <v>915537820187.26404</v>
      </c>
      <c r="M207" s="37">
        <f t="shared" si="15"/>
        <v>0.12139425827709796</v>
      </c>
      <c r="O207" s="1">
        <v>41977</v>
      </c>
      <c r="P207" s="37">
        <v>0.40924051329753303</v>
      </c>
      <c r="Q207">
        <v>915537820187.26404</v>
      </c>
    </row>
    <row r="208" spans="2:17">
      <c r="B208" s="60">
        <v>41984</v>
      </c>
      <c r="C208" s="37">
        <f t="shared" si="12"/>
        <v>0.98783408332259803</v>
      </c>
      <c r="D208" s="37">
        <f t="shared" si="13"/>
        <v>0.91630211530110295</v>
      </c>
      <c r="F208" s="1">
        <v>41984</v>
      </c>
      <c r="G208">
        <v>0.98783408332259803</v>
      </c>
      <c r="I208" s="1">
        <v>41984</v>
      </c>
      <c r="J208">
        <v>0.91630211530110295</v>
      </c>
      <c r="K208" s="72">
        <v>111141034606.26401</v>
      </c>
      <c r="L208" s="72">
        <f t="shared" si="14"/>
        <v>915537820187.26404</v>
      </c>
      <c r="M208" s="37">
        <f t="shared" si="15"/>
        <v>0.12139425827709796</v>
      </c>
      <c r="O208" s="1">
        <v>41984</v>
      </c>
      <c r="P208" s="37">
        <v>0.40805805717169102</v>
      </c>
      <c r="Q208">
        <v>915537820187.26404</v>
      </c>
    </row>
    <row r="209" spans="2:17">
      <c r="B209" s="60">
        <v>41991</v>
      </c>
      <c r="C209" s="37">
        <f t="shared" si="12"/>
        <v>0.99479182701672098</v>
      </c>
      <c r="D209" s="37">
        <f t="shared" si="13"/>
        <v>0.92646419287507198</v>
      </c>
      <c r="F209" s="1">
        <v>41991</v>
      </c>
      <c r="G209">
        <v>0.99479182701672098</v>
      </c>
      <c r="I209" s="1">
        <v>41991</v>
      </c>
      <c r="J209">
        <v>0.92646419287507198</v>
      </c>
      <c r="K209" s="72">
        <v>111141034606.26401</v>
      </c>
      <c r="L209" s="72">
        <f t="shared" si="14"/>
        <v>915537820187.26404</v>
      </c>
      <c r="M209" s="37">
        <f t="shared" si="15"/>
        <v>0.12139425827709796</v>
      </c>
      <c r="O209" s="1">
        <v>41991</v>
      </c>
      <c r="P209" s="37">
        <v>0.44444312661220597</v>
      </c>
      <c r="Q209">
        <v>915537820187.26404</v>
      </c>
    </row>
    <row r="210" spans="2:17">
      <c r="B210" s="60">
        <v>41997</v>
      </c>
      <c r="C210" s="37">
        <f t="shared" si="12"/>
        <v>0.99479023677626099</v>
      </c>
      <c r="D210" s="37">
        <f t="shared" si="13"/>
        <v>0.92571360320613905</v>
      </c>
      <c r="F210" s="1">
        <v>41997</v>
      </c>
      <c r="G210">
        <v>0.99479023677626099</v>
      </c>
      <c r="I210" s="1">
        <v>41997</v>
      </c>
      <c r="J210">
        <v>0.92571360320613905</v>
      </c>
      <c r="K210" s="72">
        <v>111141034606.26401</v>
      </c>
      <c r="L210" s="72">
        <f t="shared" si="14"/>
        <v>915537820187.26404</v>
      </c>
      <c r="M210" s="37">
        <f t="shared" si="15"/>
        <v>0.12139425827709796</v>
      </c>
      <c r="O210" s="1">
        <v>41997</v>
      </c>
      <c r="P210" s="37">
        <v>0.44157633126364998</v>
      </c>
      <c r="Q210">
        <v>915537820187.26404</v>
      </c>
    </row>
    <row r="211" spans="2:17">
      <c r="B211" s="60">
        <v>42004</v>
      </c>
      <c r="C211" s="37">
        <f t="shared" si="12"/>
        <v>0.98784159692108897</v>
      </c>
      <c r="D211" s="37">
        <f t="shared" si="13"/>
        <v>0.91736458306846103</v>
      </c>
      <c r="F211" s="1">
        <v>42004</v>
      </c>
      <c r="G211">
        <v>0.98784159692108897</v>
      </c>
      <c r="I211" s="1">
        <v>42004</v>
      </c>
      <c r="J211">
        <v>0.91736458306846103</v>
      </c>
      <c r="K211" s="72">
        <v>111141034606.26401</v>
      </c>
      <c r="L211" s="72">
        <f t="shared" si="14"/>
        <v>915537820187.26404</v>
      </c>
      <c r="M211" s="37">
        <f t="shared" si="15"/>
        <v>0.12139425827709796</v>
      </c>
      <c r="O211" s="1">
        <v>42004</v>
      </c>
      <c r="P211" s="37">
        <v>0.40919489925904201</v>
      </c>
      <c r="Q211">
        <v>915537820187.26404</v>
      </c>
    </row>
    <row r="212" spans="2:17">
      <c r="B212" s="60">
        <v>42012</v>
      </c>
      <c r="C212" s="37">
        <f t="shared" si="12"/>
        <v>0.99863696366528298</v>
      </c>
      <c r="D212" s="37">
        <f t="shared" si="13"/>
        <v>0.93802679486435903</v>
      </c>
      <c r="F212" s="1">
        <v>42012</v>
      </c>
      <c r="G212">
        <v>0.99863696366528298</v>
      </c>
      <c r="I212" s="1">
        <v>42012</v>
      </c>
      <c r="J212">
        <v>0.93802679486435903</v>
      </c>
      <c r="K212" s="72">
        <v>108459729439.83501</v>
      </c>
      <c r="L212" s="72">
        <f t="shared" si="14"/>
        <v>919051298499.69104</v>
      </c>
      <c r="M212" s="37">
        <f t="shared" si="15"/>
        <v>0.11801270464106903</v>
      </c>
      <c r="O212" s="1">
        <v>42012</v>
      </c>
      <c r="P212" s="37">
        <v>0.46998057061549697</v>
      </c>
      <c r="Q212">
        <v>919051298499.69104</v>
      </c>
    </row>
    <row r="213" spans="2:17">
      <c r="B213" s="60">
        <v>42019</v>
      </c>
      <c r="C213" s="37">
        <f t="shared" si="12"/>
        <v>0.99972875942488504</v>
      </c>
      <c r="D213" s="37">
        <f t="shared" si="13"/>
        <v>0.94118254536371704</v>
      </c>
      <c r="F213" s="1">
        <v>42019</v>
      </c>
      <c r="G213">
        <v>0.99972875942488504</v>
      </c>
      <c r="I213" s="1">
        <v>42019</v>
      </c>
      <c r="J213">
        <v>0.94118254536371704</v>
      </c>
      <c r="K213" s="72">
        <v>108459729439.83501</v>
      </c>
      <c r="L213" s="72">
        <f t="shared" si="14"/>
        <v>919051298499.69104</v>
      </c>
      <c r="M213" s="37">
        <f t="shared" si="15"/>
        <v>0.11801270464106903</v>
      </c>
      <c r="O213" s="1">
        <v>42019</v>
      </c>
      <c r="P213" s="37">
        <v>0.52605134754242699</v>
      </c>
      <c r="Q213">
        <v>919051298499.69104</v>
      </c>
    </row>
    <row r="214" spans="2:17">
      <c r="B214" s="60">
        <v>42026</v>
      </c>
      <c r="C214" s="37">
        <f t="shared" si="12"/>
        <v>0.99972875942488504</v>
      </c>
      <c r="D214" s="37">
        <f t="shared" si="13"/>
        <v>0.94123508910533804</v>
      </c>
      <c r="F214" s="1">
        <v>42026</v>
      </c>
      <c r="G214">
        <v>0.99972875942488504</v>
      </c>
      <c r="I214" s="1">
        <v>42026</v>
      </c>
      <c r="J214">
        <v>0.94123508910533804</v>
      </c>
      <c r="K214" s="72">
        <v>108459729439.83501</v>
      </c>
      <c r="L214" s="72">
        <f t="shared" si="14"/>
        <v>919051298499.69104</v>
      </c>
      <c r="M214" s="37">
        <f t="shared" si="15"/>
        <v>0.11801270464106903</v>
      </c>
      <c r="O214" s="1">
        <v>42026</v>
      </c>
      <c r="P214" s="37">
        <v>0.52835609079609303</v>
      </c>
      <c r="Q214">
        <v>919051298499.69104</v>
      </c>
    </row>
    <row r="215" spans="2:17">
      <c r="B215" s="60">
        <v>42033</v>
      </c>
      <c r="C215" s="37">
        <f t="shared" si="12"/>
        <v>0.99972875942488504</v>
      </c>
      <c r="D215" s="37">
        <f t="shared" si="13"/>
        <v>0.94118254536371704</v>
      </c>
      <c r="F215" s="1">
        <v>42033</v>
      </c>
      <c r="G215">
        <v>0.99972875942488504</v>
      </c>
      <c r="I215" s="1">
        <v>42033</v>
      </c>
      <c r="J215">
        <v>0.94118254536371704</v>
      </c>
      <c r="K215" s="72">
        <v>108459729439.83501</v>
      </c>
      <c r="L215" s="72">
        <f t="shared" si="14"/>
        <v>919051298499.69104</v>
      </c>
      <c r="M215" s="37">
        <f t="shared" si="15"/>
        <v>0.11801270464106903</v>
      </c>
      <c r="O215" s="1">
        <v>42033</v>
      </c>
      <c r="P215" s="37">
        <v>0.52605134754242699</v>
      </c>
      <c r="Q215">
        <v>919051298499.69104</v>
      </c>
    </row>
    <row r="216" spans="2:17">
      <c r="B216" s="60">
        <v>42040</v>
      </c>
      <c r="C216" s="37">
        <f t="shared" si="12"/>
        <v>0.99972493862629996</v>
      </c>
      <c r="D216" s="37">
        <f t="shared" si="13"/>
        <v>0.94276245790638102</v>
      </c>
      <c r="F216" s="1">
        <v>42040</v>
      </c>
      <c r="G216">
        <v>0.99972493862629996</v>
      </c>
      <c r="I216" s="1">
        <v>42040</v>
      </c>
      <c r="J216">
        <v>0.94276245790638102</v>
      </c>
      <c r="K216" s="72">
        <v>106176807405.543</v>
      </c>
      <c r="L216" s="72">
        <f t="shared" si="14"/>
        <v>929906802060.74402</v>
      </c>
      <c r="M216" s="37">
        <f t="shared" si="15"/>
        <v>0.11418005242057283</v>
      </c>
      <c r="O216" s="1">
        <v>42040</v>
      </c>
      <c r="P216" s="37">
        <v>0.52546022650124202</v>
      </c>
      <c r="Q216">
        <v>929906802060.74402</v>
      </c>
    </row>
    <row r="217" spans="2:17">
      <c r="B217" s="60">
        <v>42047</v>
      </c>
      <c r="C217" s="37">
        <f t="shared" si="12"/>
        <v>0.99902094218210002</v>
      </c>
      <c r="D217" s="37">
        <f t="shared" si="13"/>
        <v>0.94029174019523298</v>
      </c>
      <c r="F217" s="1">
        <v>42047</v>
      </c>
      <c r="G217">
        <v>0.99902094218210002</v>
      </c>
      <c r="I217" s="1">
        <v>42047</v>
      </c>
      <c r="J217">
        <v>0.94029174019523298</v>
      </c>
      <c r="K217" s="72">
        <v>106176807405.543</v>
      </c>
      <c r="L217" s="72">
        <f t="shared" si="14"/>
        <v>929906802060.74402</v>
      </c>
      <c r="M217" s="37">
        <f t="shared" si="15"/>
        <v>0.11418005242057283</v>
      </c>
      <c r="O217" s="1">
        <v>42047</v>
      </c>
      <c r="P217" s="37">
        <v>0.49442366816029598</v>
      </c>
      <c r="Q217">
        <v>929906802060.74402</v>
      </c>
    </row>
    <row r="218" spans="2:17">
      <c r="B218" s="60">
        <v>42054</v>
      </c>
      <c r="C218" s="37">
        <f t="shared" si="12"/>
        <v>0.99863084569716998</v>
      </c>
      <c r="D218" s="37">
        <f t="shared" si="13"/>
        <v>0.93829546422584498</v>
      </c>
      <c r="F218" s="1">
        <v>42054</v>
      </c>
      <c r="G218">
        <v>0.99863084569716998</v>
      </c>
      <c r="I218" s="1">
        <v>42054</v>
      </c>
      <c r="J218">
        <v>0.93829546422584498</v>
      </c>
      <c r="K218" s="72">
        <v>106176807405.543</v>
      </c>
      <c r="L218" s="72">
        <f t="shared" si="14"/>
        <v>929906802060.74402</v>
      </c>
      <c r="M218" s="37">
        <f t="shared" si="15"/>
        <v>0.11418005242057283</v>
      </c>
      <c r="O218" s="1">
        <v>42054</v>
      </c>
      <c r="P218" s="37">
        <v>0.46098343440077399</v>
      </c>
      <c r="Q218">
        <v>929906802060.74402</v>
      </c>
    </row>
    <row r="219" spans="2:17">
      <c r="B219" s="60">
        <v>42061</v>
      </c>
      <c r="C219" s="37">
        <f t="shared" si="12"/>
        <v>0.99472881095047105</v>
      </c>
      <c r="D219" s="37">
        <f t="shared" si="13"/>
        <v>0.93258058102369301</v>
      </c>
      <c r="F219" s="1">
        <v>42061</v>
      </c>
      <c r="G219">
        <v>0.99472881095047105</v>
      </c>
      <c r="I219" s="1">
        <v>42061</v>
      </c>
      <c r="J219">
        <v>0.93258058102369301</v>
      </c>
      <c r="K219" s="72">
        <v>106176807405.543</v>
      </c>
      <c r="L219" s="72">
        <f t="shared" si="14"/>
        <v>929906802060.74402</v>
      </c>
      <c r="M219" s="37">
        <f t="shared" si="15"/>
        <v>0.11418005242057283</v>
      </c>
      <c r="O219" s="1">
        <v>42061</v>
      </c>
      <c r="P219" s="37">
        <v>0.43010921248141898</v>
      </c>
      <c r="Q219">
        <v>929906802060.74402</v>
      </c>
    </row>
    <row r="220" spans="2:17">
      <c r="B220" s="60">
        <v>42068</v>
      </c>
      <c r="C220" s="37">
        <f t="shared" si="12"/>
        <v>0.99843910380784895</v>
      </c>
      <c r="D220" s="37">
        <f t="shared" si="13"/>
        <v>0.93870362974987798</v>
      </c>
      <c r="F220" s="1">
        <v>42068</v>
      </c>
      <c r="G220">
        <v>0.99843910380784895</v>
      </c>
      <c r="I220" s="1">
        <v>42068</v>
      </c>
      <c r="J220">
        <v>0.93870362974987798</v>
      </c>
      <c r="K220" s="72">
        <v>103782963597.884</v>
      </c>
      <c r="L220" s="72">
        <f t="shared" si="14"/>
        <v>931776684212.27002</v>
      </c>
      <c r="M220" s="37">
        <f t="shared" si="15"/>
        <v>0.11138179926193666</v>
      </c>
      <c r="O220" s="1">
        <v>42068</v>
      </c>
      <c r="P220" s="37">
        <v>0.452940630341364</v>
      </c>
      <c r="Q220">
        <v>931776684212.27002</v>
      </c>
    </row>
    <row r="221" spans="2:17">
      <c r="B221" s="60">
        <v>42075</v>
      </c>
      <c r="C221" s="37">
        <f t="shared" si="12"/>
        <v>0.98728276128744996</v>
      </c>
      <c r="D221" s="37">
        <f t="shared" si="13"/>
        <v>0.92338991003179305</v>
      </c>
      <c r="F221" s="1">
        <v>42075</v>
      </c>
      <c r="G221">
        <v>0.98728276128744996</v>
      </c>
      <c r="I221" s="1">
        <v>42075</v>
      </c>
      <c r="J221">
        <v>0.92338991003179305</v>
      </c>
      <c r="K221" s="72">
        <v>103782963597.884</v>
      </c>
      <c r="L221" s="72">
        <f t="shared" si="14"/>
        <v>931776684212.27002</v>
      </c>
      <c r="M221" s="37">
        <f t="shared" si="15"/>
        <v>0.11138179926193666</v>
      </c>
      <c r="O221" s="1">
        <v>42075</v>
      </c>
      <c r="P221" s="37">
        <v>0.38705290362762201</v>
      </c>
      <c r="Q221">
        <v>931776684212.27002</v>
      </c>
    </row>
    <row r="222" spans="2:17">
      <c r="B222" s="60">
        <v>42082</v>
      </c>
      <c r="C222" s="37">
        <f t="shared" si="12"/>
        <v>0.99843910380784895</v>
      </c>
      <c r="D222" s="37">
        <f t="shared" si="13"/>
        <v>0.93778619299504695</v>
      </c>
      <c r="F222" s="1">
        <v>42082</v>
      </c>
      <c r="G222">
        <v>0.99843910380784895</v>
      </c>
      <c r="I222" s="1">
        <v>42082</v>
      </c>
      <c r="J222">
        <v>0.93778619299504695</v>
      </c>
      <c r="K222" s="72">
        <v>103782963597.884</v>
      </c>
      <c r="L222" s="72">
        <f t="shared" si="14"/>
        <v>931776684212.27002</v>
      </c>
      <c r="M222" s="37">
        <f t="shared" si="15"/>
        <v>0.11138179926193666</v>
      </c>
      <c r="O222" s="1">
        <v>42082</v>
      </c>
      <c r="P222" s="37">
        <v>0.45175307267929898</v>
      </c>
      <c r="Q222">
        <v>931776684212.27002</v>
      </c>
    </row>
    <row r="223" spans="2:17">
      <c r="B223" s="60">
        <v>42089</v>
      </c>
      <c r="C223" s="37">
        <f t="shared" si="12"/>
        <v>0.99887607034173698</v>
      </c>
      <c r="D223" s="37">
        <f t="shared" si="13"/>
        <v>0.94062134279207998</v>
      </c>
      <c r="F223" s="1">
        <v>42089</v>
      </c>
      <c r="G223">
        <v>0.99887607034173698</v>
      </c>
      <c r="I223" s="1">
        <v>42089</v>
      </c>
      <c r="J223">
        <v>0.94062134279207998</v>
      </c>
      <c r="K223" s="72">
        <v>103782963597.884</v>
      </c>
      <c r="L223" s="72">
        <f t="shared" si="14"/>
        <v>931776684212.27002</v>
      </c>
      <c r="M223" s="37">
        <f t="shared" si="15"/>
        <v>0.11138179926193666</v>
      </c>
      <c r="O223" s="1">
        <v>42089</v>
      </c>
      <c r="P223" s="37">
        <v>0.48615161590543599</v>
      </c>
      <c r="Q223">
        <v>931776684212.27002</v>
      </c>
    </row>
    <row r="224" spans="2:17">
      <c r="B224" s="60">
        <v>42096</v>
      </c>
      <c r="C224" s="37">
        <f t="shared" si="12"/>
        <v>0.99885910901552399</v>
      </c>
      <c r="D224" s="37">
        <f t="shared" si="13"/>
        <v>0.94047446142896596</v>
      </c>
      <c r="F224" s="1">
        <v>42096</v>
      </c>
      <c r="G224">
        <v>0.99885910901552399</v>
      </c>
      <c r="I224" s="1">
        <v>42096</v>
      </c>
      <c r="J224">
        <v>0.94047446142896596</v>
      </c>
      <c r="K224" s="72">
        <v>100652792127.048</v>
      </c>
      <c r="L224" s="72">
        <f t="shared" si="14"/>
        <v>936106192313.56702</v>
      </c>
      <c r="M224" s="37">
        <f t="shared" si="15"/>
        <v>0.10752283550041125</v>
      </c>
      <c r="O224" s="1">
        <v>42096</v>
      </c>
      <c r="P224" s="37">
        <v>0.470728843596744</v>
      </c>
      <c r="Q224">
        <v>936106192313.56702</v>
      </c>
    </row>
    <row r="225" spans="2:17">
      <c r="B225" s="60">
        <v>42103</v>
      </c>
      <c r="C225" s="37">
        <f t="shared" si="12"/>
        <v>0.99960994368004696</v>
      </c>
      <c r="D225" s="37">
        <f t="shared" si="13"/>
        <v>0.94241786802401695</v>
      </c>
      <c r="F225" s="1">
        <v>42103</v>
      </c>
      <c r="G225">
        <v>0.99960994368004696</v>
      </c>
      <c r="I225" s="1">
        <v>42103</v>
      </c>
      <c r="J225">
        <v>0.94241786802401695</v>
      </c>
      <c r="K225" s="72">
        <v>100652792127.048</v>
      </c>
      <c r="L225" s="72">
        <f t="shared" si="14"/>
        <v>936106192313.56702</v>
      </c>
      <c r="M225" s="37">
        <f t="shared" si="15"/>
        <v>0.10752283550041125</v>
      </c>
      <c r="O225" s="1">
        <v>42103</v>
      </c>
      <c r="P225" s="37">
        <v>0.49915608737725298</v>
      </c>
      <c r="Q225">
        <v>936106192313.56702</v>
      </c>
    </row>
    <row r="226" spans="2:17">
      <c r="B226" s="60">
        <v>42110</v>
      </c>
      <c r="C226" s="37">
        <f t="shared" si="12"/>
        <v>0.99885981007337399</v>
      </c>
      <c r="D226" s="37">
        <f t="shared" si="13"/>
        <v>0.94078919694529395</v>
      </c>
      <c r="F226" s="1">
        <v>42110</v>
      </c>
      <c r="G226">
        <v>0.99885981007337399</v>
      </c>
      <c r="I226" s="1">
        <v>42110</v>
      </c>
      <c r="J226">
        <v>0.94078919694529395</v>
      </c>
      <c r="K226" s="72">
        <v>100652792127.048</v>
      </c>
      <c r="L226" s="72">
        <f t="shared" si="14"/>
        <v>936106192313.56702</v>
      </c>
      <c r="M226" s="37">
        <f t="shared" si="15"/>
        <v>0.10752283550041125</v>
      </c>
      <c r="O226" s="1">
        <v>42110</v>
      </c>
      <c r="P226" s="37">
        <v>0.472608899236447</v>
      </c>
      <c r="Q226">
        <v>936106192313.56702</v>
      </c>
    </row>
    <row r="227" spans="2:17">
      <c r="B227" s="62">
        <v>42117</v>
      </c>
      <c r="C227" s="37">
        <f t="shared" si="12"/>
        <v>0.99960994368004696</v>
      </c>
      <c r="D227" s="37">
        <f t="shared" si="13"/>
        <v>0.94300276803956395</v>
      </c>
      <c r="F227" s="1">
        <v>42117</v>
      </c>
      <c r="G227">
        <v>0.99960994368004696</v>
      </c>
      <c r="I227" s="1">
        <v>42117</v>
      </c>
      <c r="J227">
        <v>0.94300276803956395</v>
      </c>
      <c r="K227" s="72">
        <v>100652792127.048</v>
      </c>
      <c r="L227" s="72">
        <f t="shared" si="14"/>
        <v>936106192313.56702</v>
      </c>
      <c r="M227" s="37">
        <f t="shared" si="15"/>
        <v>0.10752283550041125</v>
      </c>
      <c r="O227" s="1">
        <v>42117</v>
      </c>
      <c r="P227" s="37">
        <v>0.50167016442184997</v>
      </c>
      <c r="Q227">
        <v>936106192313.56702</v>
      </c>
    </row>
    <row r="228" spans="2:17">
      <c r="F228" s="1">
        <v>42124</v>
      </c>
      <c r="G228">
        <v>0.99885981007337399</v>
      </c>
      <c r="I228" s="1">
        <v>42124</v>
      </c>
      <c r="J228">
        <v>0.94125909426309795</v>
      </c>
      <c r="K228" s="72">
        <v>100652792127.048</v>
      </c>
      <c r="L228" s="72">
        <f t="shared" si="14"/>
        <v>936106192313.56702</v>
      </c>
      <c r="M228" s="37">
        <f t="shared" si="15"/>
        <v>0.10752283550041125</v>
      </c>
      <c r="O228" s="1">
        <v>42124</v>
      </c>
      <c r="P228" s="37">
        <v>0.473923065418694</v>
      </c>
      <c r="Q228">
        <v>936106192313.56702</v>
      </c>
    </row>
  </sheetData>
  <pageMargins left="0.7" right="0.7" top="0.75" bottom="0.75" header="0.3" footer="0.3"/>
  <pageSetup scale="78" orientation="landscape" r:id="rId1"/>
  <colBreaks count="1" manualBreakCount="1">
    <brk id="6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E226"/>
  <sheetViews>
    <sheetView workbookViewId="0">
      <selection activeCell="G58" sqref="G58"/>
    </sheetView>
  </sheetViews>
  <sheetFormatPr defaultRowHeight="15"/>
  <cols>
    <col min="2" max="2" width="10.7109375" bestFit="1" customWidth="1"/>
  </cols>
  <sheetData>
    <row r="1" spans="2:5">
      <c r="B1" t="s">
        <v>31</v>
      </c>
      <c r="C1" t="s">
        <v>47</v>
      </c>
      <c r="D1" t="s">
        <v>34</v>
      </c>
      <c r="E1" t="s">
        <v>60</v>
      </c>
    </row>
    <row r="2" spans="2:5">
      <c r="B2" s="1">
        <v>40549</v>
      </c>
      <c r="C2">
        <v>0.62402170072443153</v>
      </c>
      <c r="D2">
        <v>2344.3000000000002</v>
      </c>
      <c r="E2">
        <v>0.41917445646047702</v>
      </c>
    </row>
    <row r="3" spans="2:5">
      <c r="B3" s="1">
        <v>40556</v>
      </c>
      <c r="C3">
        <v>0.62817294477626939</v>
      </c>
      <c r="D3">
        <v>2528.6999999999998</v>
      </c>
      <c r="E3">
        <v>0.43621985629656101</v>
      </c>
    </row>
    <row r="4" spans="2:5">
      <c r="B4" s="1">
        <v>40563</v>
      </c>
      <c r="C4">
        <v>0.62597730951219899</v>
      </c>
      <c r="D4">
        <v>2129.6999999999998</v>
      </c>
      <c r="E4">
        <v>0.41944708561696598</v>
      </c>
    </row>
    <row r="5" spans="2:5">
      <c r="B5" s="1">
        <v>40570</v>
      </c>
      <c r="C5">
        <v>0.62392159162868732</v>
      </c>
      <c r="D5">
        <v>2371.1</v>
      </c>
      <c r="E5">
        <v>0.418710148423519</v>
      </c>
    </row>
    <row r="6" spans="2:5">
      <c r="B6" s="1">
        <v>40577</v>
      </c>
      <c r="C6">
        <v>0.60653142223595213</v>
      </c>
      <c r="D6">
        <v>2190.4</v>
      </c>
      <c r="E6">
        <v>0.38887560757790002</v>
      </c>
    </row>
    <row r="7" spans="2:5">
      <c r="B7" s="1">
        <v>40584</v>
      </c>
      <c r="C7">
        <v>0.50868797673712363</v>
      </c>
      <c r="D7">
        <v>1953.2</v>
      </c>
      <c r="E7">
        <v>0.35101070043975402</v>
      </c>
    </row>
    <row r="8" spans="2:5">
      <c r="B8" s="1">
        <v>40591</v>
      </c>
      <c r="C8">
        <v>0.52965901814335548</v>
      </c>
      <c r="D8">
        <v>2325.3000000000002</v>
      </c>
      <c r="E8">
        <v>0.36422873018148</v>
      </c>
    </row>
    <row r="9" spans="2:5">
      <c r="B9" s="1">
        <v>40598</v>
      </c>
      <c r="C9">
        <v>0.57709503787578109</v>
      </c>
      <c r="D9">
        <v>2155.5</v>
      </c>
      <c r="E9">
        <v>0.37426156705539698</v>
      </c>
    </row>
    <row r="10" spans="2:5">
      <c r="B10" s="1">
        <v>40605</v>
      </c>
      <c r="C10">
        <v>0.59224775585706535</v>
      </c>
      <c r="D10">
        <v>2539.4</v>
      </c>
      <c r="E10">
        <v>0.378077073966118</v>
      </c>
    </row>
    <row r="11" spans="2:5">
      <c r="B11" s="1">
        <v>40612</v>
      </c>
      <c r="C11">
        <v>0.59090570789662444</v>
      </c>
      <c r="D11">
        <v>2563.6</v>
      </c>
      <c r="E11">
        <v>0.37803494484535199</v>
      </c>
    </row>
    <row r="12" spans="2:5">
      <c r="B12" s="1">
        <v>40619</v>
      </c>
      <c r="C12">
        <v>0.60261779474869925</v>
      </c>
      <c r="D12">
        <v>2620.8000000000002</v>
      </c>
      <c r="E12">
        <v>0.407679162563724</v>
      </c>
    </row>
    <row r="13" spans="2:5">
      <c r="B13" s="1">
        <v>40626</v>
      </c>
      <c r="C13">
        <v>0.59950595681897523</v>
      </c>
      <c r="D13">
        <v>2350.6999999999998</v>
      </c>
      <c r="E13">
        <v>0.39154691259907098</v>
      </c>
    </row>
    <row r="14" spans="2:5">
      <c r="B14" s="1">
        <v>40633</v>
      </c>
      <c r="C14">
        <v>0.593225708201635</v>
      </c>
      <c r="D14">
        <v>2194.4</v>
      </c>
      <c r="E14">
        <v>0.37809391960358502</v>
      </c>
    </row>
    <row r="15" spans="2:5">
      <c r="B15" s="1">
        <v>40640</v>
      </c>
      <c r="C15">
        <v>0.58542144661011908</v>
      </c>
      <c r="D15">
        <v>2010.6</v>
      </c>
      <c r="E15">
        <v>0.36996472497765398</v>
      </c>
    </row>
    <row r="16" spans="2:5">
      <c r="B16" s="1">
        <v>40647</v>
      </c>
      <c r="C16">
        <v>0.58155199492979581</v>
      </c>
      <c r="D16">
        <v>2065.3000000000002</v>
      </c>
      <c r="E16">
        <v>0.36984016473175102</v>
      </c>
    </row>
    <row r="17" spans="2:5">
      <c r="B17" s="1">
        <v>40654</v>
      </c>
      <c r="C17">
        <v>0.59356262313394537</v>
      </c>
      <c r="D17">
        <v>2091.4</v>
      </c>
      <c r="E17">
        <v>0.38384871096807699</v>
      </c>
    </row>
    <row r="18" spans="2:5">
      <c r="B18" s="1">
        <v>40661</v>
      </c>
      <c r="C18">
        <v>0.59445921362542997</v>
      </c>
      <c r="D18">
        <v>2220.1</v>
      </c>
      <c r="E18">
        <v>0.38433074982262799</v>
      </c>
    </row>
    <row r="19" spans="2:5">
      <c r="B19" s="1">
        <v>40668</v>
      </c>
      <c r="C19">
        <v>0.59391131067456038</v>
      </c>
      <c r="D19">
        <v>2414.9</v>
      </c>
      <c r="E19">
        <v>0.394871405610702</v>
      </c>
    </row>
    <row r="20" spans="2:5">
      <c r="B20" s="1">
        <v>40675</v>
      </c>
      <c r="C20">
        <v>0.60662155942020002</v>
      </c>
      <c r="D20">
        <v>2742.2</v>
      </c>
      <c r="E20">
        <v>0.43079303669576202</v>
      </c>
    </row>
    <row r="21" spans="2:5">
      <c r="B21" s="1">
        <v>40682</v>
      </c>
      <c r="C21">
        <v>0.61264076908113763</v>
      </c>
      <c r="D21">
        <v>2764.6</v>
      </c>
      <c r="E21">
        <v>0.43090192835496699</v>
      </c>
    </row>
    <row r="22" spans="2:5">
      <c r="B22" s="1">
        <v>40689</v>
      </c>
      <c r="C22">
        <v>0.61599363608099678</v>
      </c>
      <c r="D22">
        <v>2619.6999999999998</v>
      </c>
      <c r="E22">
        <v>0.431110671725766</v>
      </c>
    </row>
    <row r="23" spans="2:5">
      <c r="B23" s="1">
        <v>40696</v>
      </c>
      <c r="C23">
        <v>0.66311590107349083</v>
      </c>
      <c r="D23">
        <v>2648</v>
      </c>
      <c r="E23">
        <v>0.45342303565958197</v>
      </c>
    </row>
    <row r="24" spans="2:5">
      <c r="B24" s="1">
        <v>40703</v>
      </c>
      <c r="C24">
        <v>0.74517189360077984</v>
      </c>
      <c r="D24">
        <v>3101.7</v>
      </c>
      <c r="E24">
        <v>0.47629557608974499</v>
      </c>
    </row>
    <row r="25" spans="2:5">
      <c r="B25" s="1">
        <v>40710</v>
      </c>
      <c r="C25">
        <v>0.72397022872334449</v>
      </c>
      <c r="D25">
        <v>2857.9</v>
      </c>
      <c r="E25">
        <v>0.47626301055025799</v>
      </c>
    </row>
    <row r="26" spans="2:5">
      <c r="B26" s="1">
        <v>40717</v>
      </c>
      <c r="C26">
        <v>0.66311590107349083</v>
      </c>
      <c r="D26">
        <v>2809.5</v>
      </c>
      <c r="E26">
        <v>0.45342303565958197</v>
      </c>
    </row>
    <row r="27" spans="2:5">
      <c r="B27" s="1">
        <v>40724</v>
      </c>
      <c r="C27">
        <v>0.69050447134038251</v>
      </c>
      <c r="D27">
        <v>2527.5</v>
      </c>
      <c r="E27">
        <v>0.47533111966863201</v>
      </c>
    </row>
    <row r="28" spans="2:5">
      <c r="B28" s="1">
        <v>40731</v>
      </c>
      <c r="C28">
        <v>0.60410549631050647</v>
      </c>
      <c r="D28">
        <v>2362.6999999999998</v>
      </c>
      <c r="E28">
        <v>0.42115773967800002</v>
      </c>
    </row>
    <row r="29" spans="2:5">
      <c r="B29" s="1">
        <v>40738</v>
      </c>
      <c r="C29">
        <v>0.684475421712615</v>
      </c>
      <c r="D29">
        <v>2923.8</v>
      </c>
      <c r="E29">
        <v>0.47005900282082203</v>
      </c>
    </row>
    <row r="30" spans="2:5">
      <c r="B30" s="1">
        <v>40745</v>
      </c>
      <c r="C30">
        <v>0.66675683999516944</v>
      </c>
      <c r="D30">
        <v>2769.6</v>
      </c>
      <c r="E30">
        <v>0.44797749734765901</v>
      </c>
    </row>
    <row r="31" spans="2:5">
      <c r="B31" s="1">
        <v>40752</v>
      </c>
      <c r="C31">
        <v>0.61660059317974736</v>
      </c>
      <c r="D31">
        <v>2974.1</v>
      </c>
      <c r="E31">
        <v>0.44409861209358098</v>
      </c>
    </row>
    <row r="32" spans="2:5">
      <c r="B32" s="1">
        <v>40759</v>
      </c>
      <c r="C32">
        <v>0.81803711941746404</v>
      </c>
      <c r="D32">
        <v>3880.9</v>
      </c>
      <c r="E32">
        <v>0.515379400381896</v>
      </c>
    </row>
    <row r="33" spans="2:5">
      <c r="B33" s="1">
        <v>40766</v>
      </c>
      <c r="C33">
        <v>0.83404184296119399</v>
      </c>
      <c r="D33">
        <v>4184.3999999999996</v>
      </c>
      <c r="E33">
        <v>0.61745026323361196</v>
      </c>
    </row>
    <row r="34" spans="2:5">
      <c r="B34" s="1">
        <v>40773</v>
      </c>
      <c r="C34">
        <v>0.86117434904403212</v>
      </c>
      <c r="D34">
        <v>4110.8</v>
      </c>
      <c r="E34">
        <v>0.71103111098302996</v>
      </c>
    </row>
    <row r="35" spans="2:5">
      <c r="B35" s="1">
        <v>40780</v>
      </c>
      <c r="C35">
        <v>0.84714025108084823</v>
      </c>
      <c r="D35">
        <v>3601.3</v>
      </c>
      <c r="E35">
        <v>0.66735967344709601</v>
      </c>
    </row>
    <row r="36" spans="2:5">
      <c r="B36" s="1">
        <v>40787</v>
      </c>
      <c r="C36">
        <v>0.84129278814437181</v>
      </c>
      <c r="D36">
        <v>3372</v>
      </c>
      <c r="E36">
        <v>0.66070318293374397</v>
      </c>
    </row>
    <row r="37" spans="2:5">
      <c r="B37" s="1">
        <v>40794</v>
      </c>
      <c r="C37">
        <v>0.87859103936280614</v>
      </c>
      <c r="D37">
        <v>3571.7</v>
      </c>
      <c r="E37">
        <v>0.72862294428542695</v>
      </c>
    </row>
    <row r="38" spans="2:5">
      <c r="B38" s="1">
        <v>40801</v>
      </c>
      <c r="C38">
        <v>0.90242289630359074</v>
      </c>
      <c r="D38">
        <v>4033.8</v>
      </c>
      <c r="E38">
        <v>0.73180955418473204</v>
      </c>
    </row>
    <row r="39" spans="2:5">
      <c r="B39" s="1">
        <v>40808</v>
      </c>
      <c r="C39">
        <v>0.90242289630359074</v>
      </c>
      <c r="D39">
        <v>4512.1000000000004</v>
      </c>
      <c r="E39">
        <v>0.73180955418473204</v>
      </c>
    </row>
    <row r="40" spans="2:5">
      <c r="B40" s="1">
        <v>40815</v>
      </c>
      <c r="C40">
        <v>0.94644262124543443</v>
      </c>
      <c r="D40">
        <v>4241.8</v>
      </c>
      <c r="E40">
        <v>0.78537510001402</v>
      </c>
    </row>
    <row r="41" spans="2:5">
      <c r="B41" s="1">
        <v>40822</v>
      </c>
      <c r="C41">
        <v>0.96725200604215567</v>
      </c>
      <c r="D41">
        <v>4251.1000000000004</v>
      </c>
      <c r="E41">
        <v>0.77200889405912698</v>
      </c>
    </row>
    <row r="42" spans="2:5">
      <c r="B42" s="1">
        <v>40829</v>
      </c>
      <c r="C42">
        <v>0.84917694017596268</v>
      </c>
      <c r="D42">
        <v>3553.2</v>
      </c>
      <c r="E42">
        <v>0.68762581065136796</v>
      </c>
    </row>
    <row r="43" spans="2:5">
      <c r="B43" s="1">
        <v>40836</v>
      </c>
      <c r="C43">
        <v>0.85635864773186432</v>
      </c>
      <c r="D43">
        <v>3719.3</v>
      </c>
      <c r="E43">
        <v>0.70907311332117495</v>
      </c>
    </row>
    <row r="44" spans="2:5">
      <c r="B44" s="1">
        <v>40843</v>
      </c>
      <c r="C44">
        <v>0.86512672485653175</v>
      </c>
      <c r="D44">
        <v>3695</v>
      </c>
      <c r="E44">
        <v>0.71096371307505601</v>
      </c>
    </row>
    <row r="45" spans="2:5">
      <c r="B45" s="1">
        <v>40850</v>
      </c>
      <c r="C45">
        <v>0.93485323798856346</v>
      </c>
      <c r="D45">
        <v>4137.6000000000004</v>
      </c>
      <c r="E45">
        <v>0.75213064967891696</v>
      </c>
    </row>
    <row r="46" spans="2:5">
      <c r="B46" s="1">
        <v>40857</v>
      </c>
      <c r="C46">
        <v>0.94404770550683115</v>
      </c>
      <c r="D46">
        <v>3664.5</v>
      </c>
      <c r="E46">
        <v>0.75215343752934904</v>
      </c>
    </row>
    <row r="47" spans="2:5">
      <c r="B47" s="1">
        <v>40864</v>
      </c>
      <c r="C47">
        <v>0.93485323798856346</v>
      </c>
      <c r="D47">
        <v>3466.8</v>
      </c>
      <c r="E47">
        <v>0.75213064967891696</v>
      </c>
    </row>
    <row r="48" spans="2:5">
      <c r="B48" s="1">
        <v>40870</v>
      </c>
      <c r="C48">
        <v>0.94997170807452469</v>
      </c>
      <c r="D48" t="e">
        <v>#N/A</v>
      </c>
      <c r="E48">
        <v>0.75451882195048703</v>
      </c>
    </row>
    <row r="49" spans="2:5">
      <c r="B49" s="1">
        <v>40878</v>
      </c>
      <c r="C49">
        <v>0.91542628506626045</v>
      </c>
      <c r="D49">
        <v>3394.7</v>
      </c>
      <c r="E49">
        <v>0.73701250506221705</v>
      </c>
    </row>
    <row r="50" spans="2:5">
      <c r="B50" s="1">
        <v>40885</v>
      </c>
      <c r="C50">
        <v>0.9248746068169833</v>
      </c>
      <c r="D50">
        <v>3708.6</v>
      </c>
      <c r="E50">
        <v>0.737034618623016</v>
      </c>
    </row>
    <row r="51" spans="2:5">
      <c r="B51" s="1">
        <v>40892</v>
      </c>
      <c r="C51">
        <v>0.93969161247928745</v>
      </c>
      <c r="D51">
        <v>3676.1</v>
      </c>
      <c r="E51">
        <v>0.74005848510739902</v>
      </c>
    </row>
    <row r="52" spans="2:5">
      <c r="B52" s="1">
        <v>40899</v>
      </c>
      <c r="C52">
        <v>0.9601958662364245</v>
      </c>
      <c r="D52">
        <v>3684.5</v>
      </c>
      <c r="E52">
        <v>0.77262482249298603</v>
      </c>
    </row>
    <row r="53" spans="2:5">
      <c r="B53" s="1">
        <v>40906</v>
      </c>
      <c r="C53">
        <v>0.94762260030460288</v>
      </c>
      <c r="D53">
        <v>3608.1</v>
      </c>
      <c r="E53">
        <v>0.76353022654842795</v>
      </c>
    </row>
    <row r="54" spans="2:5">
      <c r="B54" s="1">
        <v>40913</v>
      </c>
      <c r="C54">
        <v>0.94481773750585774</v>
      </c>
      <c r="D54">
        <v>3668.3</v>
      </c>
      <c r="E54">
        <v>0.75017446397926801</v>
      </c>
    </row>
    <row r="55" spans="2:5">
      <c r="B55" s="1">
        <v>40920</v>
      </c>
      <c r="C55">
        <v>0.95320351892281485</v>
      </c>
      <c r="D55">
        <v>4626.5</v>
      </c>
      <c r="E55">
        <v>0.76194885743932395</v>
      </c>
    </row>
    <row r="56" spans="2:5">
      <c r="B56" s="1">
        <v>40927</v>
      </c>
      <c r="C56">
        <v>0.95182771809710431</v>
      </c>
      <c r="D56">
        <v>4326.3999999999996</v>
      </c>
      <c r="E56">
        <v>0.76015152542719999</v>
      </c>
    </row>
    <row r="57" spans="2:5">
      <c r="B57" s="1">
        <v>40934</v>
      </c>
      <c r="C57">
        <v>0.91861521434498927</v>
      </c>
      <c r="D57">
        <v>4184.3</v>
      </c>
      <c r="E57">
        <v>0.72538795894175401</v>
      </c>
    </row>
    <row r="58" spans="2:5">
      <c r="B58" s="1">
        <v>40941</v>
      </c>
      <c r="C58">
        <v>0.94107838104995334</v>
      </c>
      <c r="D58">
        <v>4617.1000000000004</v>
      </c>
      <c r="E58">
        <v>0.73976850442679698</v>
      </c>
    </row>
    <row r="59" spans="2:5">
      <c r="B59" s="1">
        <v>40948</v>
      </c>
      <c r="C59">
        <v>0.94107838104995334</v>
      </c>
      <c r="D59">
        <v>4716.1000000000004</v>
      </c>
      <c r="E59">
        <v>0.73976850442679698</v>
      </c>
    </row>
    <row r="60" spans="2:5">
      <c r="B60" s="1">
        <v>40955</v>
      </c>
      <c r="C60">
        <v>0.94107838104995334</v>
      </c>
      <c r="D60">
        <v>4466.8999999999996</v>
      </c>
      <c r="E60">
        <v>0.73976850442679698</v>
      </c>
    </row>
    <row r="61" spans="2:5">
      <c r="B61" s="1">
        <v>40962</v>
      </c>
      <c r="C61">
        <v>0.90921329115869776</v>
      </c>
      <c r="D61">
        <v>4379.1000000000004</v>
      </c>
      <c r="E61">
        <v>0.70482380254349597</v>
      </c>
    </row>
    <row r="62" spans="2:5">
      <c r="B62" s="1">
        <v>40969</v>
      </c>
      <c r="C62">
        <v>0.91584710240533518</v>
      </c>
      <c r="D62">
        <v>4277.6000000000004</v>
      </c>
      <c r="E62">
        <v>0.71197045097818001</v>
      </c>
    </row>
    <row r="63" spans="2:5">
      <c r="B63" s="1">
        <v>40976</v>
      </c>
      <c r="C63">
        <v>0.91902765125865959</v>
      </c>
      <c r="D63">
        <v>4063.4</v>
      </c>
      <c r="E63">
        <v>0.72185562668080905</v>
      </c>
    </row>
    <row r="64" spans="2:5">
      <c r="B64" s="1">
        <v>40983</v>
      </c>
      <c r="C64">
        <v>0.90514599034862198</v>
      </c>
      <c r="D64">
        <v>3715.2</v>
      </c>
      <c r="E64">
        <v>0.71184965643423004</v>
      </c>
    </row>
    <row r="65" spans="2:5">
      <c r="B65" s="1">
        <v>40990</v>
      </c>
      <c r="C65">
        <v>0.78959380464288376</v>
      </c>
      <c r="D65">
        <v>3588.4</v>
      </c>
      <c r="E65">
        <v>0.63003810447880604</v>
      </c>
    </row>
    <row r="66" spans="2:5">
      <c r="B66" s="1">
        <v>40997</v>
      </c>
      <c r="C66">
        <v>0.87490910290764468</v>
      </c>
      <c r="D66">
        <v>3699.5</v>
      </c>
      <c r="E66">
        <v>0.68476549375243201</v>
      </c>
    </row>
    <row r="67" spans="2:5">
      <c r="B67" s="1">
        <v>41004</v>
      </c>
      <c r="C67">
        <v>0.86928745494692716</v>
      </c>
      <c r="D67">
        <v>3549.3</v>
      </c>
      <c r="E67">
        <v>0.68702063249841105</v>
      </c>
    </row>
    <row r="68" spans="2:5">
      <c r="B68" s="1">
        <v>41011</v>
      </c>
      <c r="C68">
        <v>0.90849340717481886</v>
      </c>
      <c r="D68">
        <v>4144.3</v>
      </c>
      <c r="E68">
        <v>0.74360097428026795</v>
      </c>
    </row>
    <row r="69" spans="2:5">
      <c r="B69" s="1">
        <v>41018</v>
      </c>
      <c r="C69">
        <v>0.9034983903169389</v>
      </c>
      <c r="D69">
        <v>3892.2</v>
      </c>
      <c r="E69">
        <v>0.71319163212853798</v>
      </c>
    </row>
    <row r="70" spans="2:5">
      <c r="B70" s="1">
        <v>41025</v>
      </c>
      <c r="C70">
        <v>0.90849340717481886</v>
      </c>
      <c r="D70">
        <v>3856</v>
      </c>
      <c r="E70">
        <v>0.74360097428026795</v>
      </c>
    </row>
    <row r="71" spans="2:5">
      <c r="B71" s="1">
        <v>41032</v>
      </c>
      <c r="C71">
        <v>0.89225108632442729</v>
      </c>
      <c r="D71">
        <v>3924.4</v>
      </c>
      <c r="E71">
        <v>0.74458940201611601</v>
      </c>
    </row>
    <row r="72" spans="2:5">
      <c r="B72" s="1">
        <v>41039</v>
      </c>
      <c r="C72">
        <v>0.89337268606647302</v>
      </c>
      <c r="D72">
        <v>4482</v>
      </c>
      <c r="E72">
        <v>0.74880992852224404</v>
      </c>
    </row>
    <row r="73" spans="2:5">
      <c r="B73" s="1">
        <v>41046</v>
      </c>
      <c r="C73">
        <v>0.8948997967143093</v>
      </c>
      <c r="D73">
        <v>4732</v>
      </c>
      <c r="E73">
        <v>0.77533293010841997</v>
      </c>
    </row>
    <row r="74" spans="2:5">
      <c r="B74" s="1">
        <v>41053</v>
      </c>
      <c r="C74">
        <v>0.89443957907281746</v>
      </c>
      <c r="D74">
        <v>4675.8999999999996</v>
      </c>
      <c r="E74">
        <v>0.77252849495486897</v>
      </c>
    </row>
    <row r="75" spans="2:5">
      <c r="B75" s="1">
        <v>41060</v>
      </c>
      <c r="C75">
        <v>0.89512122084695944</v>
      </c>
      <c r="D75">
        <v>4736</v>
      </c>
      <c r="E75">
        <v>0.77719223327132003</v>
      </c>
    </row>
    <row r="76" spans="2:5">
      <c r="B76" s="1">
        <v>41067</v>
      </c>
      <c r="C76">
        <v>0.8920195449585564</v>
      </c>
      <c r="D76">
        <v>5590</v>
      </c>
      <c r="E76">
        <v>0.81161668458948799</v>
      </c>
    </row>
    <row r="77" spans="2:5">
      <c r="B77" s="1">
        <v>41074</v>
      </c>
      <c r="C77">
        <v>0.88667449797815956</v>
      </c>
      <c r="D77">
        <v>4719.6000000000004</v>
      </c>
      <c r="E77">
        <v>0.79320998802631504</v>
      </c>
    </row>
    <row r="78" spans="2:5">
      <c r="B78" s="1">
        <v>41081</v>
      </c>
      <c r="C78">
        <v>0.89407594990163874</v>
      </c>
      <c r="D78">
        <v>4585.8</v>
      </c>
      <c r="E78">
        <v>0.81309219550150202</v>
      </c>
    </row>
    <row r="79" spans="2:5">
      <c r="B79" s="1">
        <v>41088</v>
      </c>
      <c r="C79">
        <v>0.89407594990163874</v>
      </c>
      <c r="D79">
        <v>4372.2</v>
      </c>
      <c r="E79">
        <v>0.81309219550150202</v>
      </c>
    </row>
    <row r="80" spans="2:5">
      <c r="B80" s="1">
        <v>41095</v>
      </c>
      <c r="C80">
        <v>0.8819114104860859</v>
      </c>
      <c r="D80">
        <v>4267.8999999999996</v>
      </c>
      <c r="E80">
        <v>0.80304589352971401</v>
      </c>
    </row>
    <row r="81" spans="2:5">
      <c r="B81" s="1">
        <v>41102</v>
      </c>
      <c r="C81">
        <v>0.94551237246929465</v>
      </c>
      <c r="D81">
        <v>5246.8</v>
      </c>
      <c r="E81">
        <v>0.83475833318603099</v>
      </c>
    </row>
    <row r="82" spans="2:5">
      <c r="B82" s="1">
        <v>41109</v>
      </c>
      <c r="C82">
        <v>0.97186924857158052</v>
      </c>
      <c r="D82">
        <v>5383.1</v>
      </c>
      <c r="E82">
        <v>0.839279067165004</v>
      </c>
    </row>
    <row r="83" spans="2:5">
      <c r="B83" s="1">
        <v>41116</v>
      </c>
      <c r="C83">
        <v>0.98451993370244106</v>
      </c>
      <c r="D83">
        <v>5492.1</v>
      </c>
      <c r="E83">
        <v>0.85583686182580798</v>
      </c>
    </row>
    <row r="84" spans="2:5">
      <c r="B84" s="1">
        <v>41123</v>
      </c>
      <c r="C84">
        <v>0.9385222539497815</v>
      </c>
      <c r="D84">
        <v>5444.3</v>
      </c>
      <c r="E84">
        <v>0.81672598038940503</v>
      </c>
    </row>
    <row r="85" spans="2:5">
      <c r="B85" s="1">
        <v>41130</v>
      </c>
      <c r="C85">
        <v>0.92408794393225557</v>
      </c>
      <c r="D85">
        <v>5172.2</v>
      </c>
      <c r="E85">
        <v>0.81660096914097402</v>
      </c>
    </row>
    <row r="86" spans="2:5">
      <c r="B86" s="1">
        <v>41137</v>
      </c>
      <c r="C86">
        <v>0.88445471641937157</v>
      </c>
      <c r="D86">
        <v>4671.1000000000004</v>
      </c>
      <c r="E86">
        <v>0.80039531716996504</v>
      </c>
    </row>
    <row r="87" spans="2:5">
      <c r="B87" s="1">
        <v>41144</v>
      </c>
      <c r="C87">
        <v>0.85694996797233836</v>
      </c>
      <c r="D87">
        <v>4414.6000000000004</v>
      </c>
      <c r="E87">
        <v>0.78286282867668</v>
      </c>
    </row>
    <row r="88" spans="2:5">
      <c r="B88" s="1">
        <v>41151</v>
      </c>
      <c r="C88">
        <v>0.92408794393225557</v>
      </c>
      <c r="D88">
        <v>4274.8</v>
      </c>
      <c r="E88">
        <v>0.81660096914097402</v>
      </c>
    </row>
    <row r="89" spans="2:5">
      <c r="B89" s="1">
        <v>41158</v>
      </c>
      <c r="C89">
        <v>0.91761037893987563</v>
      </c>
      <c r="D89">
        <v>4779.1000000000004</v>
      </c>
      <c r="E89">
        <v>0.80003630895948397</v>
      </c>
    </row>
    <row r="90" spans="2:5">
      <c r="B90" s="1">
        <v>41165</v>
      </c>
      <c r="C90">
        <v>0.94047646256577366</v>
      </c>
      <c r="D90">
        <v>4823.3</v>
      </c>
      <c r="E90">
        <v>0.80517464210851997</v>
      </c>
    </row>
    <row r="91" spans="2:5">
      <c r="B91" s="1">
        <v>41172</v>
      </c>
      <c r="C91">
        <v>0.95891425076544745</v>
      </c>
      <c r="D91">
        <v>4979</v>
      </c>
      <c r="E91">
        <v>0.82579336591607799</v>
      </c>
    </row>
    <row r="92" spans="2:5">
      <c r="B92" s="1">
        <v>41179</v>
      </c>
      <c r="C92">
        <v>0.96459917415866681</v>
      </c>
      <c r="D92">
        <v>5965.5</v>
      </c>
      <c r="E92">
        <v>0.87352757054468799</v>
      </c>
    </row>
    <row r="93" spans="2:5">
      <c r="B93" s="1">
        <v>41186</v>
      </c>
      <c r="C93">
        <v>0.95362908529618629</v>
      </c>
      <c r="D93">
        <v>5892.5</v>
      </c>
      <c r="E93">
        <v>0.85283995726602502</v>
      </c>
    </row>
    <row r="94" spans="2:5">
      <c r="B94" s="1">
        <v>41193</v>
      </c>
      <c r="C94">
        <v>0.95159604304738465</v>
      </c>
      <c r="D94">
        <v>5572.2</v>
      </c>
      <c r="E94">
        <v>0.82980253162130702</v>
      </c>
    </row>
    <row r="95" spans="2:5">
      <c r="B95" s="1">
        <v>41200</v>
      </c>
      <c r="C95">
        <v>0.95277295236812309</v>
      </c>
      <c r="D95">
        <v>4847.2</v>
      </c>
      <c r="E95">
        <v>0.84996407134381802</v>
      </c>
    </row>
    <row r="96" spans="2:5">
      <c r="B96" s="1">
        <v>41207</v>
      </c>
      <c r="C96">
        <v>0.95079229345734595</v>
      </c>
      <c r="D96">
        <v>4550.7</v>
      </c>
      <c r="E96">
        <v>0.828248760892495</v>
      </c>
    </row>
    <row r="97" spans="2:5">
      <c r="B97" s="1">
        <v>41214</v>
      </c>
      <c r="C97">
        <v>0.92571311512973709</v>
      </c>
      <c r="D97">
        <v>4297.7</v>
      </c>
      <c r="E97">
        <v>0.79915808926981402</v>
      </c>
    </row>
    <row r="98" spans="2:5">
      <c r="B98" s="1">
        <v>41221</v>
      </c>
      <c r="C98">
        <v>0.9252942527060104</v>
      </c>
      <c r="D98">
        <v>4856.1000000000004</v>
      </c>
      <c r="E98">
        <v>0.79873425180913604</v>
      </c>
    </row>
    <row r="99" spans="2:5">
      <c r="B99" s="1">
        <v>41228</v>
      </c>
      <c r="C99">
        <v>0.92772026190850965</v>
      </c>
      <c r="D99">
        <v>4702.3999999999996</v>
      </c>
      <c r="E99">
        <v>0.82276956639306598</v>
      </c>
    </row>
    <row r="100" spans="2:5">
      <c r="B100" s="1">
        <v>41234</v>
      </c>
      <c r="C100">
        <v>0.9299301195282087</v>
      </c>
      <c r="D100" t="e">
        <v>#N/A</v>
      </c>
      <c r="E100">
        <v>0.84066676404946505</v>
      </c>
    </row>
    <row r="101" spans="2:5">
      <c r="B101" s="1">
        <v>41242</v>
      </c>
      <c r="C101">
        <v>0.92756020040727527</v>
      </c>
      <c r="D101">
        <v>4943</v>
      </c>
      <c r="E101">
        <v>0.82275551487300902</v>
      </c>
    </row>
    <row r="102" spans="2:5">
      <c r="B102" s="1">
        <v>41249</v>
      </c>
      <c r="C102">
        <v>0.9105479087849232</v>
      </c>
      <c r="D102">
        <v>5368.1</v>
      </c>
      <c r="E102">
        <v>0.80649977939682505</v>
      </c>
    </row>
    <row r="103" spans="2:5">
      <c r="B103" s="1">
        <v>41256</v>
      </c>
      <c r="C103">
        <v>0.9126136851792267</v>
      </c>
      <c r="D103">
        <v>4564.3999999999996</v>
      </c>
      <c r="E103">
        <v>0.82418991295466604</v>
      </c>
    </row>
    <row r="104" spans="2:5">
      <c r="B104" s="1">
        <v>41263</v>
      </c>
      <c r="C104">
        <v>0.90965157918840345</v>
      </c>
      <c r="D104">
        <v>3983.2</v>
      </c>
      <c r="E104">
        <v>0.80390223047279097</v>
      </c>
    </row>
    <row r="105" spans="2:5">
      <c r="B105" s="1">
        <v>41270</v>
      </c>
      <c r="C105">
        <v>0.91018597538933266</v>
      </c>
      <c r="D105">
        <v>3488.9</v>
      </c>
      <c r="E105">
        <v>0.80591432289546205</v>
      </c>
    </row>
    <row r="106" spans="2:5">
      <c r="B106" s="1">
        <v>41277</v>
      </c>
      <c r="C106">
        <v>0.88829814088555981</v>
      </c>
      <c r="D106">
        <v>3896.4</v>
      </c>
      <c r="E106">
        <v>0.78440164177592298</v>
      </c>
    </row>
    <row r="107" spans="2:5">
      <c r="B107" s="1">
        <v>41284</v>
      </c>
      <c r="C107">
        <v>0.88507237465236011</v>
      </c>
      <c r="D107">
        <v>4554.3999999999996</v>
      </c>
      <c r="E107">
        <v>0.759606662501778</v>
      </c>
    </row>
    <row r="108" spans="2:5">
      <c r="B108" s="1">
        <v>41291</v>
      </c>
      <c r="C108">
        <v>0.88631407683414742</v>
      </c>
      <c r="D108">
        <v>4937.3999999999996</v>
      </c>
      <c r="E108">
        <v>0.78142443901466097</v>
      </c>
    </row>
    <row r="109" spans="2:5">
      <c r="B109" s="1">
        <v>41298</v>
      </c>
      <c r="C109">
        <v>0.88379536104531342</v>
      </c>
      <c r="D109">
        <v>4433.6000000000004</v>
      </c>
      <c r="E109">
        <v>0.75700205657756403</v>
      </c>
    </row>
    <row r="110" spans="2:5">
      <c r="B110" s="1">
        <v>41305</v>
      </c>
      <c r="C110">
        <v>0.84748759806752005</v>
      </c>
      <c r="D110">
        <v>4579</v>
      </c>
      <c r="E110">
        <v>0.70776343414969201</v>
      </c>
    </row>
    <row r="111" spans="2:5">
      <c r="B111" s="1">
        <v>41312</v>
      </c>
      <c r="C111">
        <v>0.79744674672768578</v>
      </c>
      <c r="D111">
        <v>4284.3</v>
      </c>
      <c r="E111">
        <v>0.68149824697650396</v>
      </c>
    </row>
    <row r="112" spans="2:5">
      <c r="B112" s="1">
        <v>41319</v>
      </c>
      <c r="C112">
        <v>0.79744674672768578</v>
      </c>
      <c r="D112">
        <v>4261.8</v>
      </c>
      <c r="E112">
        <v>0.68149824697650396</v>
      </c>
    </row>
    <row r="113" spans="2:5">
      <c r="B113" s="1">
        <v>41326</v>
      </c>
      <c r="C113">
        <v>0.75767121274967097</v>
      </c>
      <c r="D113">
        <v>4136.3</v>
      </c>
      <c r="E113">
        <v>0.66443156184372798</v>
      </c>
    </row>
    <row r="114" spans="2:5">
      <c r="B114" s="1">
        <v>41333</v>
      </c>
      <c r="C114">
        <v>0.81599621049204552</v>
      </c>
      <c r="D114">
        <v>4724.8999999999996</v>
      </c>
      <c r="E114">
        <v>0.68474077330080096</v>
      </c>
    </row>
    <row r="115" spans="2:5">
      <c r="B115" s="1">
        <v>41340</v>
      </c>
      <c r="C115">
        <v>0.81254588826988361</v>
      </c>
      <c r="D115">
        <v>4485.2</v>
      </c>
      <c r="E115">
        <v>0.65965341103045605</v>
      </c>
    </row>
    <row r="116" spans="2:5">
      <c r="B116" s="1">
        <v>41347</v>
      </c>
      <c r="C116">
        <v>0.70260073761186825</v>
      </c>
      <c r="D116">
        <v>4111.3</v>
      </c>
      <c r="E116">
        <v>0.622542311024053</v>
      </c>
    </row>
    <row r="117" spans="2:5">
      <c r="B117" s="1">
        <v>41354</v>
      </c>
      <c r="C117">
        <v>0.76832708554350626</v>
      </c>
      <c r="D117">
        <v>4412.8999999999996</v>
      </c>
      <c r="E117">
        <v>0.65490269555006198</v>
      </c>
    </row>
    <row r="118" spans="2:5">
      <c r="B118" s="1">
        <v>41361</v>
      </c>
      <c r="C118">
        <v>0.73085022058809757</v>
      </c>
      <c r="D118">
        <v>4119.2</v>
      </c>
      <c r="E118">
        <v>0.63814443106247998</v>
      </c>
    </row>
    <row r="119" spans="2:5">
      <c r="B119" s="1">
        <v>41368</v>
      </c>
      <c r="C119">
        <v>0.74812714109915845</v>
      </c>
      <c r="D119">
        <v>4528.8999999999996</v>
      </c>
      <c r="E119">
        <v>0.63701726572087702</v>
      </c>
    </row>
    <row r="120" spans="2:5">
      <c r="B120" s="1">
        <v>41375</v>
      </c>
      <c r="C120">
        <v>0.81951890925716175</v>
      </c>
      <c r="D120">
        <v>4726.8999999999996</v>
      </c>
      <c r="E120">
        <v>0.66472248963496305</v>
      </c>
    </row>
    <row r="121" spans="2:5">
      <c r="B121" s="1">
        <v>41382</v>
      </c>
      <c r="C121">
        <v>0.8263799320049966</v>
      </c>
      <c r="D121">
        <v>4672.1000000000004</v>
      </c>
      <c r="E121">
        <v>0.691617287637183</v>
      </c>
    </row>
    <row r="122" spans="2:5">
      <c r="B122" s="1">
        <v>41389</v>
      </c>
      <c r="C122">
        <v>0.82478602429419701</v>
      </c>
      <c r="D122">
        <v>4854.1000000000004</v>
      </c>
      <c r="E122">
        <v>0.68894417616710202</v>
      </c>
    </row>
    <row r="123" spans="2:5">
      <c r="B123" s="1">
        <v>41396</v>
      </c>
      <c r="C123">
        <v>0.81686282095814366</v>
      </c>
      <c r="D123">
        <v>5279.9</v>
      </c>
      <c r="E123">
        <v>0.70646423511043499</v>
      </c>
    </row>
    <row r="124" spans="2:5">
      <c r="B124" s="1">
        <v>41403</v>
      </c>
      <c r="C124">
        <v>0.80807149473903783</v>
      </c>
      <c r="D124">
        <v>4797.2</v>
      </c>
      <c r="E124">
        <v>0.67710126151444505</v>
      </c>
    </row>
    <row r="125" spans="2:5">
      <c r="B125" s="1">
        <v>41410</v>
      </c>
      <c r="C125">
        <v>0.77783403735744605</v>
      </c>
      <c r="D125">
        <v>4241.5</v>
      </c>
      <c r="E125">
        <v>0.64608424059300296</v>
      </c>
    </row>
    <row r="126" spans="2:5">
      <c r="B126" s="1">
        <v>41417</v>
      </c>
      <c r="C126">
        <v>0.69528028144531095</v>
      </c>
      <c r="D126">
        <v>3709.4</v>
      </c>
      <c r="E126">
        <v>0.60492342195832605</v>
      </c>
    </row>
    <row r="127" spans="2:5">
      <c r="B127" s="1">
        <v>41424</v>
      </c>
      <c r="C127">
        <v>0.63267241864898449</v>
      </c>
      <c r="D127">
        <v>3163.6</v>
      </c>
      <c r="E127">
        <v>0.52986130193183101</v>
      </c>
    </row>
    <row r="128" spans="2:5">
      <c r="B128" s="1">
        <v>41431</v>
      </c>
      <c r="C128">
        <v>0.60569175356282723</v>
      </c>
      <c r="D128">
        <v>3339.8</v>
      </c>
      <c r="E128">
        <v>0.48936320762315699</v>
      </c>
    </row>
    <row r="129" spans="2:5">
      <c r="B129" s="1">
        <v>41438</v>
      </c>
      <c r="C129">
        <v>0.57343184072471942</v>
      </c>
      <c r="D129">
        <v>3214.4</v>
      </c>
      <c r="E129">
        <v>0.46803712037587902</v>
      </c>
    </row>
    <row r="130" spans="2:5">
      <c r="B130" s="1">
        <v>41445</v>
      </c>
      <c r="C130">
        <v>0.58795254732817659</v>
      </c>
      <c r="D130">
        <v>3040.1</v>
      </c>
      <c r="E130">
        <v>0.46841833416873302</v>
      </c>
    </row>
    <row r="131" spans="2:5">
      <c r="B131" s="1">
        <v>41452</v>
      </c>
      <c r="C131">
        <v>0.39082116641682313</v>
      </c>
      <c r="D131">
        <v>2573.4</v>
      </c>
      <c r="E131">
        <v>0.25930726321944902</v>
      </c>
    </row>
    <row r="132" spans="2:5">
      <c r="B132" s="1">
        <v>41458</v>
      </c>
      <c r="C132">
        <v>0.4330864642120939</v>
      </c>
      <c r="D132" t="e">
        <v>#N/A</v>
      </c>
      <c r="E132">
        <v>0.34399747197441399</v>
      </c>
    </row>
    <row r="133" spans="2:5">
      <c r="B133" s="1">
        <v>41466</v>
      </c>
      <c r="C133">
        <v>0.31856955774356621</v>
      </c>
      <c r="D133">
        <v>2242.1999999999998</v>
      </c>
      <c r="E133">
        <v>0.23052122039717299</v>
      </c>
    </row>
    <row r="134" spans="2:5">
      <c r="B134" s="1">
        <v>41473</v>
      </c>
      <c r="C134">
        <v>0.42624975952077765</v>
      </c>
      <c r="D134">
        <v>2288</v>
      </c>
      <c r="E134">
        <v>0.313528938106932</v>
      </c>
    </row>
    <row r="135" spans="2:5">
      <c r="B135" s="1">
        <v>41480</v>
      </c>
      <c r="C135">
        <v>0.42922629610906576</v>
      </c>
      <c r="D135">
        <v>2218.3000000000002</v>
      </c>
      <c r="E135">
        <v>0.31410556361706699</v>
      </c>
    </row>
    <row r="136" spans="2:5">
      <c r="B136" s="1">
        <v>41487</v>
      </c>
      <c r="C136">
        <v>0.40917398895537016</v>
      </c>
      <c r="D136">
        <v>2228.9</v>
      </c>
      <c r="E136">
        <v>0.26871710621385497</v>
      </c>
    </row>
    <row r="137" spans="2:5">
      <c r="B137" s="1">
        <v>41494</v>
      </c>
      <c r="C137">
        <v>0.40797811985401045</v>
      </c>
      <c r="D137">
        <v>2110.6</v>
      </c>
      <c r="E137">
        <v>0.26842687745364402</v>
      </c>
    </row>
    <row r="138" spans="2:5">
      <c r="B138" s="1">
        <v>41501</v>
      </c>
      <c r="C138">
        <v>0.40797811985401045</v>
      </c>
      <c r="D138">
        <v>1935.1</v>
      </c>
      <c r="E138">
        <v>0.26842687745364402</v>
      </c>
    </row>
    <row r="139" spans="2:5">
      <c r="B139" s="1">
        <v>41508</v>
      </c>
      <c r="C139">
        <v>0.28211495793674252</v>
      </c>
      <c r="D139">
        <v>1842.6</v>
      </c>
      <c r="E139">
        <v>0.20545197668606799</v>
      </c>
    </row>
    <row r="140" spans="2:5">
      <c r="B140" s="1">
        <v>41515</v>
      </c>
      <c r="C140">
        <v>0.32707732602530493</v>
      </c>
      <c r="D140">
        <v>1909</v>
      </c>
      <c r="E140">
        <v>0.23763744646630799</v>
      </c>
    </row>
    <row r="141" spans="2:5">
      <c r="B141" s="1">
        <v>41522</v>
      </c>
      <c r="C141">
        <v>0.2818649256036454</v>
      </c>
      <c r="D141">
        <v>1512.9</v>
      </c>
      <c r="E141">
        <v>0.21149349910069001</v>
      </c>
    </row>
    <row r="142" spans="2:5">
      <c r="B142" s="1">
        <v>41529</v>
      </c>
      <c r="C142">
        <v>0.27463010199382165</v>
      </c>
      <c r="D142">
        <v>1814</v>
      </c>
      <c r="E142">
        <v>0.19827486089892299</v>
      </c>
    </row>
    <row r="143" spans="2:5">
      <c r="B143" s="1">
        <v>41536</v>
      </c>
      <c r="C143">
        <v>0.33277831045649614</v>
      </c>
      <c r="D143">
        <v>1922.9</v>
      </c>
      <c r="E143">
        <v>0.230982049953562</v>
      </c>
    </row>
    <row r="144" spans="2:5">
      <c r="B144" s="1">
        <v>41543</v>
      </c>
      <c r="C144">
        <v>0.40445747526612724</v>
      </c>
      <c r="D144">
        <v>1956.6</v>
      </c>
      <c r="E144">
        <v>0.32130927271021897</v>
      </c>
    </row>
    <row r="145" spans="2:5">
      <c r="B145" s="1">
        <v>41550</v>
      </c>
      <c r="C145">
        <v>0.41528178559290679</v>
      </c>
      <c r="D145">
        <v>2025.3</v>
      </c>
      <c r="E145">
        <v>0.34374501426377402</v>
      </c>
    </row>
    <row r="146" spans="2:5">
      <c r="B146" s="1">
        <v>41557</v>
      </c>
      <c r="C146">
        <v>0.41314719259777027</v>
      </c>
      <c r="D146">
        <v>2102.6999999999998</v>
      </c>
      <c r="E146">
        <v>0.343362461707855</v>
      </c>
    </row>
    <row r="147" spans="2:5">
      <c r="B147" s="1">
        <v>41564</v>
      </c>
      <c r="C147">
        <v>0.40232481590336117</v>
      </c>
      <c r="D147">
        <v>2033.7</v>
      </c>
      <c r="E147">
        <v>0.31435548538393299</v>
      </c>
    </row>
    <row r="148" spans="2:5">
      <c r="B148" s="1">
        <v>41571</v>
      </c>
      <c r="C148">
        <v>0.43156912924668556</v>
      </c>
      <c r="D148">
        <v>2211.8000000000002</v>
      </c>
      <c r="E148">
        <v>0.36279732883580901</v>
      </c>
    </row>
    <row r="149" spans="2:5">
      <c r="B149" s="1">
        <v>41578</v>
      </c>
      <c r="C149">
        <v>0.4605405147219428</v>
      </c>
      <c r="D149">
        <v>2105.6</v>
      </c>
      <c r="E149">
        <v>0.38076704542262901</v>
      </c>
    </row>
    <row r="150" spans="2:5">
      <c r="B150" s="1">
        <v>41585</v>
      </c>
      <c r="C150">
        <v>0.42159370418067171</v>
      </c>
      <c r="D150">
        <v>2056.9</v>
      </c>
      <c r="E150">
        <v>0.35403891055164699</v>
      </c>
    </row>
    <row r="151" spans="2:5">
      <c r="B151" s="1">
        <v>41592</v>
      </c>
      <c r="C151">
        <v>0.38756459325455095</v>
      </c>
      <c r="D151">
        <v>1903.5</v>
      </c>
      <c r="E151">
        <v>0.27765033429796598</v>
      </c>
    </row>
    <row r="152" spans="2:5">
      <c r="B152" s="1">
        <v>41599</v>
      </c>
      <c r="C152">
        <v>0.41410653536495057</v>
      </c>
      <c r="D152">
        <v>1917.2</v>
      </c>
      <c r="E152">
        <v>0.33620447417750299</v>
      </c>
    </row>
    <row r="153" spans="2:5">
      <c r="B153" s="1">
        <v>41605</v>
      </c>
      <c r="C153">
        <v>0.3969981593322805</v>
      </c>
      <c r="D153" t="e">
        <v>#N/A</v>
      </c>
      <c r="E153">
        <v>0.30662338263190497</v>
      </c>
    </row>
    <row r="154" spans="2:5">
      <c r="B154" s="1">
        <v>41613</v>
      </c>
      <c r="C154">
        <v>0.37338021104571051</v>
      </c>
      <c r="D154">
        <v>1599.4</v>
      </c>
      <c r="E154">
        <v>0.238872261686181</v>
      </c>
    </row>
    <row r="155" spans="2:5">
      <c r="B155" s="1">
        <v>41620</v>
      </c>
      <c r="C155">
        <v>0.3707206267478419</v>
      </c>
      <c r="D155">
        <v>1529.8</v>
      </c>
      <c r="E155">
        <v>0.23869230352122101</v>
      </c>
    </row>
    <row r="156" spans="2:5">
      <c r="B156" s="1">
        <v>41627</v>
      </c>
      <c r="C156">
        <v>0.33974567777608206</v>
      </c>
      <c r="D156">
        <v>1426.7</v>
      </c>
      <c r="E156">
        <v>0.20595646030872</v>
      </c>
    </row>
    <row r="157" spans="2:5">
      <c r="B157" s="1">
        <v>41634</v>
      </c>
      <c r="C157">
        <v>0.33029809597210952</v>
      </c>
      <c r="D157">
        <v>1277.8</v>
      </c>
      <c r="E157">
        <v>0.20588522084022601</v>
      </c>
    </row>
    <row r="158" spans="2:5">
      <c r="B158" s="1">
        <v>41641</v>
      </c>
      <c r="C158">
        <v>0.26212623729092371</v>
      </c>
      <c r="D158">
        <v>1352.7</v>
      </c>
      <c r="E158">
        <v>0.18270041372936699</v>
      </c>
    </row>
    <row r="159" spans="2:5">
      <c r="B159" s="1">
        <v>41648</v>
      </c>
      <c r="C159">
        <v>0.2902260049252946</v>
      </c>
      <c r="D159">
        <v>1507</v>
      </c>
      <c r="E159">
        <v>0.20349751001168101</v>
      </c>
    </row>
    <row r="160" spans="2:5">
      <c r="B160" s="1">
        <v>41655</v>
      </c>
      <c r="C160">
        <v>0.36774882579493112</v>
      </c>
      <c r="D160">
        <v>1675.8</v>
      </c>
      <c r="E160">
        <v>0.23285648019755101</v>
      </c>
    </row>
    <row r="161" spans="2:5">
      <c r="B161" s="1">
        <v>41662</v>
      </c>
      <c r="C161">
        <v>0.37084428304329614</v>
      </c>
      <c r="D161">
        <v>1601.2</v>
      </c>
      <c r="E161">
        <v>0.23330797794566899</v>
      </c>
    </row>
    <row r="162" spans="2:5">
      <c r="B162" s="1">
        <v>41669</v>
      </c>
      <c r="C162">
        <v>0.38160196936392621</v>
      </c>
      <c r="D162">
        <v>1667.5</v>
      </c>
      <c r="E162">
        <v>0.29089795893761</v>
      </c>
    </row>
    <row r="163" spans="2:5">
      <c r="B163" s="1">
        <v>41676</v>
      </c>
      <c r="C163">
        <v>0.40068103493110224</v>
      </c>
      <c r="D163">
        <v>1674.2</v>
      </c>
      <c r="E163">
        <v>0.31424671770039497</v>
      </c>
    </row>
    <row r="164" spans="2:5">
      <c r="B164" s="1">
        <v>41683</v>
      </c>
      <c r="C164">
        <v>0.38532630107916044</v>
      </c>
      <c r="D164">
        <v>1650.6</v>
      </c>
      <c r="E164">
        <v>0.28654188629747801</v>
      </c>
    </row>
    <row r="165" spans="2:5">
      <c r="B165" s="1">
        <v>41690</v>
      </c>
      <c r="C165">
        <v>0.3755719775185945</v>
      </c>
      <c r="D165">
        <v>1442.3</v>
      </c>
      <c r="E165">
        <v>0.25823477101989301</v>
      </c>
    </row>
    <row r="166" spans="2:5">
      <c r="B166" s="1">
        <v>41697</v>
      </c>
      <c r="C166">
        <v>0.36967404481869215</v>
      </c>
      <c r="D166">
        <v>1600.6</v>
      </c>
      <c r="E166">
        <v>0.25744034883327499</v>
      </c>
    </row>
    <row r="167" spans="2:5">
      <c r="B167" s="1">
        <v>41704</v>
      </c>
      <c r="C167">
        <v>0.38316963725836589</v>
      </c>
      <c r="D167">
        <v>1528</v>
      </c>
      <c r="E167">
        <v>0.28216102843400898</v>
      </c>
    </row>
    <row r="168" spans="2:5">
      <c r="B168" s="1">
        <v>41711</v>
      </c>
      <c r="C168">
        <v>0.36933430427665681</v>
      </c>
      <c r="D168">
        <v>1552.1</v>
      </c>
      <c r="E168">
        <v>0.25339035668079501</v>
      </c>
    </row>
    <row r="169" spans="2:5">
      <c r="B169" s="1">
        <v>41718</v>
      </c>
      <c r="C169">
        <v>0.38030249532079374</v>
      </c>
      <c r="D169">
        <v>1426.3</v>
      </c>
      <c r="E169">
        <v>0.28102818996708701</v>
      </c>
    </row>
    <row r="170" spans="2:5">
      <c r="B170" s="1">
        <v>41725</v>
      </c>
      <c r="C170">
        <v>0.36565400061256043</v>
      </c>
      <c r="D170">
        <v>1383.5</v>
      </c>
      <c r="E170">
        <v>0.25299751732949799</v>
      </c>
    </row>
    <row r="171" spans="2:5">
      <c r="B171" s="1">
        <v>41732</v>
      </c>
      <c r="C171">
        <v>0.35521926568999218</v>
      </c>
      <c r="D171">
        <v>1324.7</v>
      </c>
      <c r="E171">
        <v>0.222143720081627</v>
      </c>
    </row>
    <row r="172" spans="2:5">
      <c r="B172" s="1">
        <v>41739</v>
      </c>
      <c r="C172">
        <v>0.36683376695248865</v>
      </c>
      <c r="D172">
        <v>1429.9</v>
      </c>
      <c r="E172">
        <v>0.25169457423695202</v>
      </c>
    </row>
    <row r="173" spans="2:5">
      <c r="B173" s="1">
        <v>41746</v>
      </c>
      <c r="C173">
        <v>0.38166972699665563</v>
      </c>
      <c r="D173">
        <v>1370.9</v>
      </c>
      <c r="E173">
        <v>0.28058021231610197</v>
      </c>
    </row>
    <row r="174" spans="2:5">
      <c r="B174" s="1">
        <v>41753</v>
      </c>
      <c r="C174">
        <v>0.37393962817107157</v>
      </c>
      <c r="D174">
        <v>1298.0999999999999</v>
      </c>
      <c r="E174">
        <v>0.279448840397376</v>
      </c>
    </row>
    <row r="175" spans="2:5">
      <c r="B175" s="1">
        <v>41760</v>
      </c>
      <c r="C175">
        <v>0.37360583835556432</v>
      </c>
      <c r="D175">
        <v>1323.9</v>
      </c>
      <c r="E175">
        <v>0.27758425345188897</v>
      </c>
    </row>
    <row r="176" spans="2:5">
      <c r="B176" s="1">
        <v>41767</v>
      </c>
      <c r="C176">
        <v>0.40975674753773905</v>
      </c>
      <c r="D176">
        <v>1400.9</v>
      </c>
      <c r="E176">
        <v>0.32550344763156402</v>
      </c>
    </row>
    <row r="177" spans="2:5">
      <c r="B177" s="1">
        <v>41774</v>
      </c>
      <c r="C177">
        <v>0.4132153406951769</v>
      </c>
      <c r="D177">
        <v>1460.6</v>
      </c>
      <c r="E177">
        <v>0.32552411046597202</v>
      </c>
    </row>
    <row r="178" spans="2:5">
      <c r="B178" s="1">
        <v>41781</v>
      </c>
      <c r="C178">
        <v>0.44799454346559853</v>
      </c>
      <c r="D178">
        <v>1453.4</v>
      </c>
      <c r="E178">
        <v>0.347488455871724</v>
      </c>
    </row>
    <row r="179" spans="2:5">
      <c r="B179" s="1">
        <v>41788</v>
      </c>
      <c r="C179">
        <v>0.46362020494951672</v>
      </c>
      <c r="D179">
        <v>1382.6</v>
      </c>
      <c r="E179">
        <v>0.34818390220270101</v>
      </c>
    </row>
    <row r="180" spans="2:5">
      <c r="B180" s="1">
        <v>41795</v>
      </c>
      <c r="C180">
        <v>0.46847875373528863</v>
      </c>
      <c r="D180">
        <v>1516.9</v>
      </c>
      <c r="E180">
        <v>0.346238128399389</v>
      </c>
    </row>
    <row r="181" spans="2:5">
      <c r="B181" s="1">
        <v>41802</v>
      </c>
      <c r="C181">
        <v>0.41096738430920449</v>
      </c>
      <c r="D181">
        <v>1321.3</v>
      </c>
      <c r="E181">
        <v>0.32274759646781798</v>
      </c>
    </row>
    <row r="182" spans="2:5">
      <c r="B182" s="1">
        <v>41809</v>
      </c>
      <c r="C182">
        <v>0.42635938692148717</v>
      </c>
      <c r="D182">
        <v>1333.5</v>
      </c>
      <c r="E182">
        <v>0.324184407069465</v>
      </c>
    </row>
    <row r="183" spans="2:5">
      <c r="B183" s="1">
        <v>41816</v>
      </c>
      <c r="C183">
        <v>0.46847875373528863</v>
      </c>
      <c r="D183">
        <v>1341.8</v>
      </c>
      <c r="E183">
        <v>0.346238128399389</v>
      </c>
    </row>
    <row r="184" spans="2:5">
      <c r="B184" s="1">
        <v>41823</v>
      </c>
      <c r="C184">
        <v>0.48178321750260522</v>
      </c>
      <c r="D184">
        <v>1346.8</v>
      </c>
      <c r="E184">
        <v>0.36578907876503403</v>
      </c>
    </row>
    <row r="185" spans="2:5">
      <c r="B185" s="1">
        <v>41830</v>
      </c>
      <c r="C185">
        <v>0.42147742037560049</v>
      </c>
      <c r="D185">
        <v>1329.7</v>
      </c>
      <c r="E185">
        <v>0.31805600486192798</v>
      </c>
    </row>
    <row r="186" spans="2:5">
      <c r="B186" s="1">
        <v>41837</v>
      </c>
      <c r="C186">
        <v>0.45155296827836544</v>
      </c>
      <c r="D186">
        <v>1400.7</v>
      </c>
      <c r="E186">
        <v>0.34009498441958502</v>
      </c>
    </row>
    <row r="187" spans="2:5">
      <c r="B187" s="1">
        <v>41844</v>
      </c>
      <c r="C187">
        <v>0.45155296827836544</v>
      </c>
      <c r="D187">
        <v>1327.5</v>
      </c>
      <c r="E187">
        <v>0.34009498441958502</v>
      </c>
    </row>
    <row r="188" spans="2:5">
      <c r="B188" s="1">
        <v>41851</v>
      </c>
      <c r="C188">
        <v>0.45923072088835232</v>
      </c>
      <c r="D188">
        <v>1373.9</v>
      </c>
      <c r="E188">
        <v>0.34042369497045799</v>
      </c>
    </row>
    <row r="189" spans="2:5">
      <c r="B189" s="1">
        <v>41858</v>
      </c>
      <c r="C189">
        <v>0.42413376349642812</v>
      </c>
      <c r="D189">
        <v>1342.6</v>
      </c>
      <c r="E189">
        <v>0.31036061365073903</v>
      </c>
    </row>
    <row r="190" spans="2:5">
      <c r="B190" s="1">
        <v>41865</v>
      </c>
      <c r="C190">
        <v>0.45575254137027688</v>
      </c>
      <c r="D190">
        <v>1404.9</v>
      </c>
      <c r="E190">
        <v>0.33263554438079002</v>
      </c>
    </row>
    <row r="191" spans="2:5">
      <c r="B191" s="1">
        <v>41872</v>
      </c>
      <c r="C191">
        <v>0.49084413664233395</v>
      </c>
      <c r="D191">
        <v>1439.4</v>
      </c>
      <c r="E191">
        <v>0.35838762838330102</v>
      </c>
    </row>
    <row r="192" spans="2:5">
      <c r="B192" s="1">
        <v>41879</v>
      </c>
      <c r="C192">
        <v>0.49084413664233395</v>
      </c>
      <c r="D192">
        <v>1436</v>
      </c>
      <c r="E192">
        <v>0.35838762838330102</v>
      </c>
    </row>
    <row r="193" spans="2:5">
      <c r="B193" s="1">
        <v>41886</v>
      </c>
      <c r="C193">
        <v>0.4873264191007175</v>
      </c>
      <c r="D193">
        <v>1275.8</v>
      </c>
      <c r="E193">
        <v>0.35124395630609401</v>
      </c>
    </row>
    <row r="194" spans="2:5">
      <c r="B194" s="1">
        <v>41893</v>
      </c>
      <c r="C194">
        <v>0.4741591952243816</v>
      </c>
      <c r="D194">
        <v>1398.4</v>
      </c>
      <c r="E194">
        <v>0.350821387629207</v>
      </c>
    </row>
    <row r="195" spans="2:5">
      <c r="B195" s="1">
        <v>41900</v>
      </c>
      <c r="C195">
        <v>0.3981672862675662</v>
      </c>
      <c r="D195">
        <v>1335.1</v>
      </c>
      <c r="E195">
        <v>0.30185821114737799</v>
      </c>
    </row>
    <row r="196" spans="2:5">
      <c r="B196" s="1">
        <v>41907</v>
      </c>
      <c r="C196">
        <v>0.41373230170663788</v>
      </c>
      <c r="D196">
        <v>1326.2</v>
      </c>
      <c r="E196">
        <v>0.303134887573904</v>
      </c>
    </row>
    <row r="197" spans="2:5">
      <c r="B197" s="1">
        <v>41914</v>
      </c>
      <c r="C197">
        <v>0.43232059685066798</v>
      </c>
      <c r="D197">
        <v>1387.1</v>
      </c>
      <c r="E197">
        <v>0.31668157332951902</v>
      </c>
    </row>
    <row r="198" spans="2:5">
      <c r="B198" s="1">
        <v>41921</v>
      </c>
      <c r="C198">
        <v>0.47165449273347226</v>
      </c>
      <c r="D198">
        <v>1560.6</v>
      </c>
      <c r="E198">
        <v>0.34232551793557098</v>
      </c>
    </row>
    <row r="199" spans="2:5">
      <c r="B199" s="1">
        <v>41928</v>
      </c>
      <c r="C199">
        <v>0.57517284737260799</v>
      </c>
      <c r="D199">
        <v>1898.2</v>
      </c>
      <c r="E199">
        <v>0.40285473187500098</v>
      </c>
    </row>
    <row r="200" spans="2:5">
      <c r="B200" s="1">
        <v>41935</v>
      </c>
      <c r="C200">
        <v>0.58745733896979668</v>
      </c>
      <c r="D200">
        <v>1713.6</v>
      </c>
      <c r="E200">
        <v>0.43224640519919799</v>
      </c>
    </row>
    <row r="201" spans="2:5">
      <c r="B201" s="1">
        <v>41942</v>
      </c>
      <c r="C201">
        <v>0.57181297396619646</v>
      </c>
      <c r="D201">
        <v>1604.8</v>
      </c>
      <c r="E201">
        <v>0.40279530551033699</v>
      </c>
    </row>
    <row r="202" spans="2:5">
      <c r="B202" s="1">
        <v>41949</v>
      </c>
      <c r="C202">
        <v>0.54857982917990311</v>
      </c>
      <c r="D202">
        <v>1565.3</v>
      </c>
      <c r="E202">
        <v>0.363805283856794</v>
      </c>
    </row>
    <row r="203" spans="2:5">
      <c r="B203" s="1">
        <v>41956</v>
      </c>
      <c r="C203">
        <v>0.55497671209744126</v>
      </c>
      <c r="D203">
        <v>1563.2</v>
      </c>
      <c r="E203">
        <v>0.36393083176118401</v>
      </c>
    </row>
    <row r="204" spans="2:5">
      <c r="B204" s="1">
        <v>41963</v>
      </c>
      <c r="C204">
        <v>0.56606721089043732</v>
      </c>
      <c r="D204">
        <v>1547.9</v>
      </c>
      <c r="E204">
        <v>0.39464243161649398</v>
      </c>
    </row>
    <row r="205" spans="2:5">
      <c r="B205" s="1">
        <v>41969</v>
      </c>
      <c r="C205">
        <v>0.57290983086857539</v>
      </c>
      <c r="D205" t="e">
        <v>#N/A</v>
      </c>
      <c r="E205">
        <v>0.39478657813594797</v>
      </c>
    </row>
    <row r="206" spans="2:5">
      <c r="B206" s="1">
        <v>41977</v>
      </c>
      <c r="C206">
        <v>0.59279776197128353</v>
      </c>
      <c r="D206">
        <v>1548.6</v>
      </c>
      <c r="E206">
        <v>0.41779394948311799</v>
      </c>
    </row>
    <row r="207" spans="2:5">
      <c r="B207" s="1">
        <v>41984</v>
      </c>
      <c r="C207">
        <v>0.5786710507683992</v>
      </c>
      <c r="D207">
        <v>1518.8</v>
      </c>
      <c r="E207">
        <v>0.41674162737276199</v>
      </c>
    </row>
    <row r="208" spans="2:5">
      <c r="B208" s="1">
        <v>41991</v>
      </c>
      <c r="C208">
        <v>0.6155496963810797</v>
      </c>
      <c r="D208">
        <v>1538.7</v>
      </c>
      <c r="E208">
        <v>0.45273770907866101</v>
      </c>
    </row>
    <row r="209" spans="2:5">
      <c r="B209" s="1">
        <v>41997</v>
      </c>
      <c r="C209">
        <v>0.60574636223541978</v>
      </c>
      <c r="D209" t="e">
        <v>#N/A</v>
      </c>
      <c r="E209">
        <v>0.44996183796017403</v>
      </c>
    </row>
    <row r="210" spans="2:5">
      <c r="B210" s="1">
        <v>42004</v>
      </c>
      <c r="C210">
        <v>0.59072795930158906</v>
      </c>
      <c r="D210" t="e">
        <v>#N/A</v>
      </c>
      <c r="E210">
        <v>0.41775040408126601</v>
      </c>
    </row>
    <row r="211" spans="2:5">
      <c r="B211" s="1">
        <v>42012</v>
      </c>
      <c r="C211">
        <v>0.63580141506138355</v>
      </c>
      <c r="D211">
        <v>2271.5</v>
      </c>
      <c r="E211">
        <v>0.47713334056444601</v>
      </c>
    </row>
    <row r="212" spans="2:5">
      <c r="B212" s="1">
        <v>42019</v>
      </c>
      <c r="C212">
        <v>0.66264885680249008</v>
      </c>
      <c r="D212">
        <v>2799.3</v>
      </c>
      <c r="E212">
        <v>0.53296054461027997</v>
      </c>
    </row>
    <row r="213" spans="2:5">
      <c r="B213" s="1">
        <v>42026</v>
      </c>
      <c r="C213">
        <v>0.66474126748702123</v>
      </c>
      <c r="D213">
        <v>2572.3000000000002</v>
      </c>
      <c r="E213">
        <v>0.53525908703488601</v>
      </c>
    </row>
    <row r="214" spans="2:5">
      <c r="B214" s="1">
        <v>42033</v>
      </c>
      <c r="C214">
        <v>0.66264885680249008</v>
      </c>
      <c r="D214">
        <v>2584.8000000000002</v>
      </c>
      <c r="E214">
        <v>0.53296054461027997</v>
      </c>
    </row>
    <row r="215" spans="2:5">
      <c r="B215" s="1">
        <v>42040</v>
      </c>
      <c r="C215">
        <v>0.68438167594716182</v>
      </c>
      <c r="D215">
        <v>2291.3000000000002</v>
      </c>
      <c r="E215">
        <v>0.531964205535849</v>
      </c>
    </row>
    <row r="216" spans="2:5">
      <c r="B216" s="1">
        <v>42047</v>
      </c>
      <c r="C216">
        <v>0.64890841265420796</v>
      </c>
      <c r="D216">
        <v>1904.2</v>
      </c>
      <c r="E216">
        <v>0.50112937152177495</v>
      </c>
    </row>
    <row r="217" spans="2:5">
      <c r="B217" s="1">
        <v>42054</v>
      </c>
      <c r="C217">
        <v>0.62651628119673453</v>
      </c>
      <c r="D217">
        <v>1703.1</v>
      </c>
      <c r="E217">
        <v>0.46787253141998503</v>
      </c>
    </row>
    <row r="218" spans="2:5">
      <c r="B218" s="1">
        <v>42061</v>
      </c>
      <c r="C218">
        <v>0.61098575112407738</v>
      </c>
      <c r="D218">
        <v>1740.3</v>
      </c>
      <c r="E218">
        <v>0.43720530063230401</v>
      </c>
    </row>
    <row r="219" spans="2:5">
      <c r="B219" s="1">
        <v>42068</v>
      </c>
      <c r="C219">
        <v>0.61966926616186646</v>
      </c>
      <c r="D219">
        <v>1685.7</v>
      </c>
      <c r="E219">
        <v>0.45959407492170601</v>
      </c>
    </row>
    <row r="220" spans="2:5">
      <c r="B220" s="1">
        <v>42075</v>
      </c>
      <c r="C220">
        <v>0.57559445438514367</v>
      </c>
      <c r="D220">
        <v>1623.6</v>
      </c>
      <c r="E220">
        <v>0.394169404360453</v>
      </c>
    </row>
    <row r="221" spans="2:5">
      <c r="B221" s="1">
        <v>42082</v>
      </c>
      <c r="C221">
        <v>0.60937196228640689</v>
      </c>
      <c r="D221">
        <v>1860.8</v>
      </c>
      <c r="E221">
        <v>0.45850870301610303</v>
      </c>
    </row>
    <row r="222" spans="2:5">
      <c r="B222" s="1">
        <v>42089</v>
      </c>
      <c r="C222">
        <v>0.64195316325793905</v>
      </c>
      <c r="D222">
        <v>1941.6</v>
      </c>
      <c r="E222">
        <v>0.49264013227543102</v>
      </c>
    </row>
    <row r="223" spans="2:5">
      <c r="B223" s="1">
        <v>42096</v>
      </c>
      <c r="C223">
        <v>0.62778439660000751</v>
      </c>
      <c r="D223">
        <v>1854.7</v>
      </c>
      <c r="E223">
        <v>0.47700652645494301</v>
      </c>
    </row>
    <row r="224" spans="2:5">
      <c r="B224" s="1">
        <v>42103</v>
      </c>
      <c r="C224">
        <v>0.64459292642165245</v>
      </c>
      <c r="D224">
        <v>1804.6</v>
      </c>
      <c r="E224">
        <v>0.505305541519944</v>
      </c>
    </row>
    <row r="225" spans="2:5">
      <c r="B225" s="1">
        <v>42110</v>
      </c>
      <c r="C225">
        <v>0.63055503904182508</v>
      </c>
      <c r="D225">
        <v>1817</v>
      </c>
      <c r="E225">
        <v>0.47885281621922599</v>
      </c>
    </row>
    <row r="226" spans="2:5">
      <c r="B226" s="1">
        <v>42117</v>
      </c>
      <c r="C226">
        <v>0.64951370522505292</v>
      </c>
      <c r="D226" t="e">
        <v>#N/A</v>
      </c>
      <c r="E226">
        <v>0.50775672845638498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topLeftCell="A22" workbookViewId="0">
      <selection activeCell="H90" sqref="H90"/>
    </sheetView>
  </sheetViews>
  <sheetFormatPr defaultRowHeight="1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O230"/>
  <sheetViews>
    <sheetView topLeftCell="A171" workbookViewId="0">
      <selection activeCell="K2" sqref="K2:N227"/>
    </sheetView>
  </sheetViews>
  <sheetFormatPr defaultRowHeight="15"/>
  <cols>
    <col min="8" max="8" width="10.7109375" hidden="1" customWidth="1"/>
    <col min="9" max="9" width="12.85546875" hidden="1" customWidth="1"/>
  </cols>
  <sheetData>
    <row r="1" spans="2:15">
      <c r="B1" t="s">
        <v>103</v>
      </c>
      <c r="K1" t="s">
        <v>104</v>
      </c>
    </row>
    <row r="2" spans="2:15">
      <c r="B2" s="61" t="s">
        <v>31</v>
      </c>
      <c r="C2" s="73" t="s">
        <v>92</v>
      </c>
      <c r="D2" s="73" t="s">
        <v>60</v>
      </c>
      <c r="E2" s="74" t="s">
        <v>93</v>
      </c>
      <c r="F2" s="75" t="s">
        <v>94</v>
      </c>
      <c r="H2" t="s">
        <v>31</v>
      </c>
      <c r="I2" t="s">
        <v>37</v>
      </c>
      <c r="K2" s="61" t="s">
        <v>31</v>
      </c>
      <c r="L2" s="73" t="s">
        <v>92</v>
      </c>
      <c r="M2" s="73" t="s">
        <v>60</v>
      </c>
      <c r="N2" s="74" t="s">
        <v>93</v>
      </c>
      <c r="O2" s="75" t="s">
        <v>94</v>
      </c>
    </row>
    <row r="3" spans="2:15">
      <c r="B3" s="76">
        <v>40549</v>
      </c>
      <c r="C3" s="77">
        <v>0.62402170072443153</v>
      </c>
      <c r="D3" s="77">
        <v>0.41917445646047702</v>
      </c>
      <c r="E3" s="77">
        <v>0.46885641253034299</v>
      </c>
      <c r="F3" s="78">
        <f>E3-D3</f>
        <v>4.9681956069865973E-2</v>
      </c>
      <c r="H3" s="1">
        <v>40549</v>
      </c>
      <c r="I3">
        <v>0.42852398059902003</v>
      </c>
      <c r="K3" s="76">
        <v>40549</v>
      </c>
      <c r="L3" s="77">
        <v>0.62402170072443153</v>
      </c>
      <c r="M3" s="77">
        <v>0.41917445646047702</v>
      </c>
      <c r="N3" s="77">
        <f>VLOOKUP(K3,H3:I230,2,0)</f>
        <v>0.42852398059902003</v>
      </c>
      <c r="O3" s="78">
        <f>N3-M3</f>
        <v>9.3495241385430083E-3</v>
      </c>
    </row>
    <row r="4" spans="2:15">
      <c r="B4" s="76">
        <v>40556</v>
      </c>
      <c r="C4" s="77">
        <v>0.62817294477626939</v>
      </c>
      <c r="D4" s="77">
        <v>0.43621985629656101</v>
      </c>
      <c r="E4" s="77">
        <v>0.484880705000166</v>
      </c>
      <c r="F4" s="78">
        <f t="shared" ref="F4:F67" si="0">E4-D4</f>
        <v>4.8660848703604986E-2</v>
      </c>
      <c r="H4" s="1">
        <v>40556</v>
      </c>
      <c r="I4">
        <v>0.44599635168013801</v>
      </c>
      <c r="K4" s="76">
        <v>40556</v>
      </c>
      <c r="L4" s="77">
        <v>0.62817294477626939</v>
      </c>
      <c r="M4" s="77">
        <v>0.43621985629656101</v>
      </c>
      <c r="N4" s="77">
        <f t="shared" ref="N4:N67" si="1">VLOOKUP(K4,H4:I231,2,0)</f>
        <v>0.44599635168013801</v>
      </c>
      <c r="O4" s="78">
        <f t="shared" ref="O4:O67" si="2">N4-M4</f>
        <v>9.7764953835769997E-3</v>
      </c>
    </row>
    <row r="5" spans="2:15">
      <c r="B5" s="76">
        <v>40563</v>
      </c>
      <c r="C5" s="77">
        <v>0.62597730951219899</v>
      </c>
      <c r="D5" s="77">
        <v>0.41944708561696598</v>
      </c>
      <c r="E5" s="77">
        <v>0.46911247375695397</v>
      </c>
      <c r="F5" s="78">
        <f t="shared" si="0"/>
        <v>4.9665388139987998E-2</v>
      </c>
      <c r="H5" s="1">
        <v>40563</v>
      </c>
      <c r="I5">
        <v>0.42976523862424298</v>
      </c>
      <c r="K5" s="76">
        <v>40563</v>
      </c>
      <c r="L5" s="77">
        <v>0.62597730951219899</v>
      </c>
      <c r="M5" s="77">
        <v>0.41944708561696598</v>
      </c>
      <c r="N5" s="77">
        <f t="shared" si="1"/>
        <v>0.42976523862424298</v>
      </c>
      <c r="O5" s="78">
        <f t="shared" si="2"/>
        <v>1.0318153007277009E-2</v>
      </c>
    </row>
    <row r="6" spans="2:15">
      <c r="B6" s="76">
        <v>40570</v>
      </c>
      <c r="C6" s="77">
        <v>0.62392159162868732</v>
      </c>
      <c r="D6" s="77">
        <v>0.418710148423519</v>
      </c>
      <c r="E6" s="77">
        <v>0.46839804028281901</v>
      </c>
      <c r="F6" s="78">
        <f t="shared" si="0"/>
        <v>4.9687891859300004E-2</v>
      </c>
      <c r="H6" s="1">
        <v>40570</v>
      </c>
      <c r="I6">
        <v>0.42804406226545899</v>
      </c>
      <c r="K6" s="76">
        <v>40570</v>
      </c>
      <c r="L6" s="77">
        <v>0.62392159162868732</v>
      </c>
      <c r="M6" s="77">
        <v>0.418710148423519</v>
      </c>
      <c r="N6" s="77">
        <f t="shared" si="1"/>
        <v>0.42804406226545899</v>
      </c>
      <c r="O6" s="78">
        <f t="shared" si="2"/>
        <v>9.3339138419399892E-3</v>
      </c>
    </row>
    <row r="7" spans="2:15">
      <c r="B7" s="76">
        <v>40577</v>
      </c>
      <c r="C7" s="77">
        <v>0.60653142223595213</v>
      </c>
      <c r="D7" s="77">
        <v>0.38887560757790002</v>
      </c>
      <c r="E7" s="77">
        <v>0.440398387253014</v>
      </c>
      <c r="F7" s="78">
        <f t="shared" si="0"/>
        <v>5.1522779675113983E-2</v>
      </c>
      <c r="H7" s="1">
        <v>40577</v>
      </c>
      <c r="I7">
        <v>0.39735095404405901</v>
      </c>
      <c r="K7" s="76">
        <v>40577</v>
      </c>
      <c r="L7" s="77">
        <v>0.60653142223595213</v>
      </c>
      <c r="M7" s="77">
        <v>0.38887560757790002</v>
      </c>
      <c r="N7" s="77">
        <f t="shared" si="1"/>
        <v>0.39735095404405901</v>
      </c>
      <c r="O7" s="78">
        <f t="shared" si="2"/>
        <v>8.475346466158995E-3</v>
      </c>
    </row>
    <row r="8" spans="2:15">
      <c r="B8" s="76">
        <v>40584</v>
      </c>
      <c r="C8" s="77">
        <v>0.50868797673712363</v>
      </c>
      <c r="D8" s="77">
        <v>0.35101070043975402</v>
      </c>
      <c r="E8" s="77">
        <v>0.40695271820136403</v>
      </c>
      <c r="F8" s="78">
        <f t="shared" si="0"/>
        <v>5.5942017761610008E-2</v>
      </c>
      <c r="H8" s="1">
        <v>40584</v>
      </c>
      <c r="I8">
        <v>0.36026372477374102</v>
      </c>
      <c r="K8" s="76">
        <v>40584</v>
      </c>
      <c r="L8" s="77">
        <v>0.50868797673712363</v>
      </c>
      <c r="M8" s="77">
        <v>0.35101070043975402</v>
      </c>
      <c r="N8" s="77">
        <f t="shared" si="1"/>
        <v>0.36026372477374102</v>
      </c>
      <c r="O8" s="78">
        <f t="shared" si="2"/>
        <v>9.2530243339870033E-3</v>
      </c>
    </row>
    <row r="9" spans="2:15">
      <c r="B9" s="76">
        <v>40591</v>
      </c>
      <c r="C9" s="77">
        <v>0.52965901814335548</v>
      </c>
      <c r="D9" s="77">
        <v>0.36422873018148</v>
      </c>
      <c r="E9" s="77">
        <v>0.41797156185356299</v>
      </c>
      <c r="F9" s="78">
        <f t="shared" si="0"/>
        <v>5.3742831672082991E-2</v>
      </c>
      <c r="H9" s="1">
        <v>40591</v>
      </c>
      <c r="I9">
        <v>0.37174112183007801</v>
      </c>
      <c r="K9" s="76">
        <v>40591</v>
      </c>
      <c r="L9" s="77">
        <v>0.52965901814335548</v>
      </c>
      <c r="M9" s="77">
        <v>0.36422873018148</v>
      </c>
      <c r="N9" s="77">
        <f t="shared" si="1"/>
        <v>0.37174112183007801</v>
      </c>
      <c r="O9" s="78">
        <f t="shared" si="2"/>
        <v>7.5123916485980158E-3</v>
      </c>
    </row>
    <row r="10" spans="2:15">
      <c r="B10" s="76">
        <v>40598</v>
      </c>
      <c r="C10" s="77">
        <v>0.57709503787578109</v>
      </c>
      <c r="D10" s="77">
        <v>0.37426156705539698</v>
      </c>
      <c r="E10" s="77">
        <v>0.42749088486683401</v>
      </c>
      <c r="F10" s="78">
        <f t="shared" si="0"/>
        <v>5.3229317811437027E-2</v>
      </c>
      <c r="H10" s="1">
        <v>40598</v>
      </c>
      <c r="I10">
        <v>0.38268704676703003</v>
      </c>
      <c r="K10" s="76">
        <v>40598</v>
      </c>
      <c r="L10" s="77">
        <v>0.57709503787578109</v>
      </c>
      <c r="M10" s="77">
        <v>0.37426156705539698</v>
      </c>
      <c r="N10" s="77">
        <f t="shared" si="1"/>
        <v>0.38268704676703003</v>
      </c>
      <c r="O10" s="78">
        <f t="shared" si="2"/>
        <v>8.4254797116330438E-3</v>
      </c>
    </row>
    <row r="11" spans="2:15">
      <c r="B11" s="76">
        <v>40605</v>
      </c>
      <c r="C11" s="77">
        <v>0.59224775585706535</v>
      </c>
      <c r="D11" s="77">
        <v>0.378077073966118</v>
      </c>
      <c r="E11" s="77">
        <v>0.43033160357153799</v>
      </c>
      <c r="F11" s="78">
        <f t="shared" si="0"/>
        <v>5.2254529605419986E-2</v>
      </c>
      <c r="H11" s="1">
        <v>40605</v>
      </c>
      <c r="I11">
        <v>0.38534073201873098</v>
      </c>
      <c r="K11" s="76">
        <v>40605</v>
      </c>
      <c r="L11" s="77">
        <v>0.59224775585706535</v>
      </c>
      <c r="M11" s="77">
        <v>0.378077073966118</v>
      </c>
      <c r="N11" s="77">
        <f t="shared" si="1"/>
        <v>0.38534073201873098</v>
      </c>
      <c r="O11" s="78">
        <f t="shared" si="2"/>
        <v>7.2636580526129757E-3</v>
      </c>
    </row>
    <row r="12" spans="2:15">
      <c r="B12" s="76">
        <v>40612</v>
      </c>
      <c r="C12" s="77">
        <v>0.59090570789662444</v>
      </c>
      <c r="D12" s="77">
        <v>0.37803494484535199</v>
      </c>
      <c r="E12" s="77">
        <v>0.43030110657149201</v>
      </c>
      <c r="F12" s="78">
        <f t="shared" si="0"/>
        <v>5.2266161726140015E-2</v>
      </c>
      <c r="H12" s="1">
        <v>40612</v>
      </c>
      <c r="I12">
        <v>0.38530209930722298</v>
      </c>
      <c r="K12" s="76">
        <v>40612</v>
      </c>
      <c r="L12" s="77">
        <v>0.59090570789662444</v>
      </c>
      <c r="M12" s="77">
        <v>0.37803494484535199</v>
      </c>
      <c r="N12" s="77">
        <f t="shared" si="1"/>
        <v>0.38530209930722298</v>
      </c>
      <c r="O12" s="78">
        <f t="shared" si="2"/>
        <v>7.2671544618709838E-3</v>
      </c>
    </row>
    <row r="13" spans="2:15">
      <c r="B13" s="76">
        <v>40619</v>
      </c>
      <c r="C13" s="77">
        <v>0.60261779474869925</v>
      </c>
      <c r="D13" s="77">
        <v>0.407679162563724</v>
      </c>
      <c r="E13" s="77">
        <v>0.45843967337938502</v>
      </c>
      <c r="F13" s="78">
        <f t="shared" si="0"/>
        <v>5.076051081566102E-2</v>
      </c>
      <c r="H13" s="1">
        <v>40619</v>
      </c>
      <c r="I13">
        <v>0.41625559569387699</v>
      </c>
      <c r="K13" s="76">
        <v>40619</v>
      </c>
      <c r="L13" s="77">
        <v>0.60261779474869925</v>
      </c>
      <c r="M13" s="77">
        <v>0.407679162563724</v>
      </c>
      <c r="N13" s="77">
        <f t="shared" si="1"/>
        <v>0.41625559569387699</v>
      </c>
      <c r="O13" s="78">
        <f t="shared" si="2"/>
        <v>8.5764331301529939E-3</v>
      </c>
    </row>
    <row r="14" spans="2:15">
      <c r="B14" s="76">
        <v>40626</v>
      </c>
      <c r="C14" s="77">
        <v>0.59950595681897523</v>
      </c>
      <c r="D14" s="77">
        <v>0.39154691259907098</v>
      </c>
      <c r="E14" s="77">
        <v>0.44338718423978701</v>
      </c>
      <c r="F14" s="78">
        <f t="shared" si="0"/>
        <v>5.1840271640716029E-2</v>
      </c>
      <c r="H14" s="1">
        <v>40626</v>
      </c>
      <c r="I14">
        <v>0.39986849956992299</v>
      </c>
      <c r="K14" s="76">
        <v>40626</v>
      </c>
      <c r="L14" s="77">
        <v>0.59950595681897523</v>
      </c>
      <c r="M14" s="77">
        <v>0.39154691259907098</v>
      </c>
      <c r="N14" s="77">
        <f t="shared" si="1"/>
        <v>0.39986849956992299</v>
      </c>
      <c r="O14" s="78">
        <f t="shared" si="2"/>
        <v>8.3215869708520018E-3</v>
      </c>
    </row>
    <row r="15" spans="2:15">
      <c r="B15" s="76">
        <v>40633</v>
      </c>
      <c r="C15" s="77">
        <v>0.593225708201635</v>
      </c>
      <c r="D15" s="77">
        <v>0.37809391960358502</v>
      </c>
      <c r="E15" s="77">
        <v>0.43034776102532601</v>
      </c>
      <c r="F15" s="78">
        <f t="shared" si="0"/>
        <v>5.2253841421740999E-2</v>
      </c>
      <c r="H15" s="1">
        <v>40633</v>
      </c>
      <c r="I15">
        <v>0.38561724765369598</v>
      </c>
      <c r="K15" s="76">
        <v>40633</v>
      </c>
      <c r="L15" s="77">
        <v>0.593225708201635</v>
      </c>
      <c r="M15" s="77">
        <v>0.37809391960358502</v>
      </c>
      <c r="N15" s="77">
        <f t="shared" si="1"/>
        <v>0.38561724765369598</v>
      </c>
      <c r="O15" s="78">
        <f t="shared" si="2"/>
        <v>7.5233280501109667E-3</v>
      </c>
    </row>
    <row r="16" spans="2:15">
      <c r="B16" s="76">
        <v>40640</v>
      </c>
      <c r="C16" s="77">
        <v>0.58542144661011908</v>
      </c>
      <c r="D16" s="77">
        <v>0.36996472497765398</v>
      </c>
      <c r="E16" s="77">
        <v>0.42302014893146</v>
      </c>
      <c r="F16" s="78">
        <f t="shared" si="0"/>
        <v>5.3055423953806025E-2</v>
      </c>
      <c r="H16" s="1">
        <v>40640</v>
      </c>
      <c r="I16">
        <v>0.377336561198648</v>
      </c>
      <c r="K16" s="76">
        <v>40640</v>
      </c>
      <c r="L16" s="77">
        <v>0.58542144661011908</v>
      </c>
      <c r="M16" s="77">
        <v>0.36996472497765398</v>
      </c>
      <c r="N16" s="77">
        <f t="shared" si="1"/>
        <v>0.377336561198648</v>
      </c>
      <c r="O16" s="78">
        <f t="shared" si="2"/>
        <v>7.3718362209940214E-3</v>
      </c>
    </row>
    <row r="17" spans="2:15">
      <c r="B17" s="76">
        <v>40647</v>
      </c>
      <c r="C17" s="77">
        <v>0.58155199492979581</v>
      </c>
      <c r="D17" s="77">
        <v>0.36984016473175102</v>
      </c>
      <c r="E17" s="77">
        <v>0.422913696043141</v>
      </c>
      <c r="F17" s="78">
        <f t="shared" si="0"/>
        <v>5.3073531311389976E-2</v>
      </c>
      <c r="H17" s="1">
        <v>40647</v>
      </c>
      <c r="I17">
        <v>0.37716378157473002</v>
      </c>
      <c r="K17" s="76">
        <v>40647</v>
      </c>
      <c r="L17" s="77">
        <v>0.58155199492979581</v>
      </c>
      <c r="M17" s="77">
        <v>0.36984016473175102</v>
      </c>
      <c r="N17" s="77">
        <f t="shared" si="1"/>
        <v>0.37716378157473002</v>
      </c>
      <c r="O17" s="78">
        <f t="shared" si="2"/>
        <v>7.3236168429789972E-3</v>
      </c>
    </row>
    <row r="18" spans="2:15">
      <c r="B18" s="76">
        <v>40654</v>
      </c>
      <c r="C18" s="77">
        <v>0.59356262313394537</v>
      </c>
      <c r="D18" s="77">
        <v>0.38384871096807699</v>
      </c>
      <c r="E18" s="77">
        <v>0.43647525585997698</v>
      </c>
      <c r="F18" s="78">
        <f t="shared" si="0"/>
        <v>5.2626544891899996E-2</v>
      </c>
      <c r="H18" s="1">
        <v>40654</v>
      </c>
      <c r="I18">
        <v>0.39280861828637997</v>
      </c>
      <c r="K18" s="76">
        <v>40654</v>
      </c>
      <c r="L18" s="77">
        <v>0.59356262313394537</v>
      </c>
      <c r="M18" s="77">
        <v>0.38384871096807699</v>
      </c>
      <c r="N18" s="77">
        <f t="shared" si="1"/>
        <v>0.39280861828637997</v>
      </c>
      <c r="O18" s="78">
        <f t="shared" si="2"/>
        <v>8.9599073183029843E-3</v>
      </c>
    </row>
    <row r="19" spans="2:15">
      <c r="B19" s="76">
        <v>40661</v>
      </c>
      <c r="C19" s="77">
        <v>0.59445921362542997</v>
      </c>
      <c r="D19" s="77">
        <v>0.38433074982262799</v>
      </c>
      <c r="E19" s="77">
        <v>0.43694753509709</v>
      </c>
      <c r="F19" s="78">
        <f t="shared" si="0"/>
        <v>5.2616785274462008E-2</v>
      </c>
      <c r="H19" s="1">
        <v>40661</v>
      </c>
      <c r="I19">
        <v>0.39347477869207098</v>
      </c>
      <c r="K19" s="76">
        <v>40661</v>
      </c>
      <c r="L19" s="77">
        <v>0.59445921362542997</v>
      </c>
      <c r="M19" s="77">
        <v>0.38433074982262799</v>
      </c>
      <c r="N19" s="77">
        <f t="shared" si="1"/>
        <v>0.39347477869207098</v>
      </c>
      <c r="O19" s="78">
        <f t="shared" si="2"/>
        <v>9.1440288694429883E-3</v>
      </c>
    </row>
    <row r="20" spans="2:15">
      <c r="B20" s="76">
        <v>40668</v>
      </c>
      <c r="C20" s="77">
        <v>0.59391131067456038</v>
      </c>
      <c r="D20" s="77">
        <v>0.394871405610702</v>
      </c>
      <c r="E20" s="77">
        <v>0.447281712887248</v>
      </c>
      <c r="F20" s="78">
        <f t="shared" si="0"/>
        <v>5.2410307276545998E-2</v>
      </c>
      <c r="H20" s="1">
        <v>40668</v>
      </c>
      <c r="I20">
        <v>0.404960459321071</v>
      </c>
      <c r="K20" s="76">
        <v>40668</v>
      </c>
      <c r="L20" s="77">
        <v>0.59391131067456038</v>
      </c>
      <c r="M20" s="77">
        <v>0.394871405610702</v>
      </c>
      <c r="N20" s="77">
        <f t="shared" si="1"/>
        <v>0.404960459321071</v>
      </c>
      <c r="O20" s="78">
        <f t="shared" si="2"/>
        <v>1.0089053710369E-2</v>
      </c>
    </row>
    <row r="21" spans="2:15">
      <c r="B21" s="76">
        <v>40675</v>
      </c>
      <c r="C21" s="77">
        <v>0.60662155942020002</v>
      </c>
      <c r="D21" s="77">
        <v>0.43079303669576202</v>
      </c>
      <c r="E21" s="77">
        <v>0.48169103338999603</v>
      </c>
      <c r="F21" s="78">
        <f t="shared" si="0"/>
        <v>5.0897996694234005E-2</v>
      </c>
      <c r="H21" s="1">
        <v>40675</v>
      </c>
      <c r="I21">
        <v>0.44239757779940198</v>
      </c>
      <c r="K21" s="76">
        <v>40675</v>
      </c>
      <c r="L21" s="77">
        <v>0.60662155942020002</v>
      </c>
      <c r="M21" s="77">
        <v>0.43079303669576202</v>
      </c>
      <c r="N21" s="77">
        <f t="shared" si="1"/>
        <v>0.44239757779940198</v>
      </c>
      <c r="O21" s="78">
        <f t="shared" si="2"/>
        <v>1.1604541103639954E-2</v>
      </c>
    </row>
    <row r="22" spans="2:15">
      <c r="B22" s="76">
        <v>40682</v>
      </c>
      <c r="C22" s="77">
        <v>0.61264076908113763</v>
      </c>
      <c r="D22" s="77">
        <v>0.43090192835496699</v>
      </c>
      <c r="E22" s="77">
        <v>0.48179766411393099</v>
      </c>
      <c r="F22" s="78">
        <f t="shared" si="0"/>
        <v>5.0895735758964E-2</v>
      </c>
      <c r="H22" s="1">
        <v>40682</v>
      </c>
      <c r="I22">
        <v>0.44263839982775999</v>
      </c>
      <c r="K22" s="76">
        <v>40682</v>
      </c>
      <c r="L22" s="77">
        <v>0.61264076908113763</v>
      </c>
      <c r="M22" s="77">
        <v>0.43090192835496699</v>
      </c>
      <c r="N22" s="77">
        <f t="shared" si="1"/>
        <v>0.44263839982775999</v>
      </c>
      <c r="O22" s="78">
        <f t="shared" si="2"/>
        <v>1.1736471472792998E-2</v>
      </c>
    </row>
    <row r="23" spans="2:15">
      <c r="B23" s="76">
        <v>40689</v>
      </c>
      <c r="C23" s="77">
        <v>0.61599363608099678</v>
      </c>
      <c r="D23" s="77">
        <v>0.431110671725766</v>
      </c>
      <c r="E23" s="77">
        <v>0.48194723053828598</v>
      </c>
      <c r="F23" s="78">
        <f t="shared" si="0"/>
        <v>5.0836558812519972E-2</v>
      </c>
      <c r="H23" s="1">
        <v>40689</v>
      </c>
      <c r="I23">
        <v>0.443305158673787</v>
      </c>
      <c r="K23" s="76">
        <v>40689</v>
      </c>
      <c r="L23" s="77">
        <v>0.61599363608099678</v>
      </c>
      <c r="M23" s="77">
        <v>0.431110671725766</v>
      </c>
      <c r="N23" s="77">
        <f t="shared" si="1"/>
        <v>0.443305158673787</v>
      </c>
      <c r="O23" s="78">
        <f t="shared" si="2"/>
        <v>1.2194486948020999E-2</v>
      </c>
    </row>
    <row r="24" spans="2:15">
      <c r="B24" s="76">
        <v>40696</v>
      </c>
      <c r="C24" s="77">
        <v>0.66311590107349083</v>
      </c>
      <c r="D24" s="77">
        <v>0.45342303565958197</v>
      </c>
      <c r="E24" s="77">
        <v>0.50487266986540702</v>
      </c>
      <c r="F24" s="78">
        <f t="shared" si="0"/>
        <v>5.1449634205825046E-2</v>
      </c>
      <c r="H24" s="1">
        <v>40696</v>
      </c>
      <c r="I24">
        <v>0.46808927773665898</v>
      </c>
      <c r="K24" s="76">
        <v>40696</v>
      </c>
      <c r="L24" s="77">
        <v>0.66311590107349083</v>
      </c>
      <c r="M24" s="77">
        <v>0.45342303565958197</v>
      </c>
      <c r="N24" s="77">
        <f t="shared" si="1"/>
        <v>0.46808927773665898</v>
      </c>
      <c r="O24" s="78">
        <f t="shared" si="2"/>
        <v>1.4666242077077007E-2</v>
      </c>
    </row>
    <row r="25" spans="2:15">
      <c r="B25" s="76">
        <v>40703</v>
      </c>
      <c r="C25" s="77">
        <v>0.74517189360077984</v>
      </c>
      <c r="D25" s="77">
        <v>0.47629557608974499</v>
      </c>
      <c r="E25" s="77">
        <v>0.52689216322250598</v>
      </c>
      <c r="F25" s="78">
        <f t="shared" si="0"/>
        <v>5.0596587132760995E-2</v>
      </c>
      <c r="H25" s="1">
        <v>40703</v>
      </c>
      <c r="I25">
        <v>0.49109730679799701</v>
      </c>
      <c r="K25" s="76">
        <v>40703</v>
      </c>
      <c r="L25" s="77">
        <v>0.74517189360077984</v>
      </c>
      <c r="M25" s="77">
        <v>0.47629557608974499</v>
      </c>
      <c r="N25" s="77">
        <f t="shared" si="1"/>
        <v>0.49109730679799701</v>
      </c>
      <c r="O25" s="78">
        <f t="shared" si="2"/>
        <v>1.4801730708252026E-2</v>
      </c>
    </row>
    <row r="26" spans="2:15">
      <c r="B26" s="76">
        <v>40710</v>
      </c>
      <c r="C26" s="77">
        <v>0.72397022872334449</v>
      </c>
      <c r="D26" s="77">
        <v>0.47626301055025799</v>
      </c>
      <c r="E26" s="77">
        <v>0.52686022379811903</v>
      </c>
      <c r="F26" s="78">
        <f t="shared" si="0"/>
        <v>5.0597213247861039E-2</v>
      </c>
      <c r="H26" s="1">
        <v>40710</v>
      </c>
      <c r="I26">
        <v>0.49098227335116801</v>
      </c>
      <c r="K26" s="76">
        <v>40710</v>
      </c>
      <c r="L26" s="77">
        <v>0.72397022872334449</v>
      </c>
      <c r="M26" s="77">
        <v>0.47626301055025799</v>
      </c>
      <c r="N26" s="77">
        <f t="shared" si="1"/>
        <v>0.49098227335116801</v>
      </c>
      <c r="O26" s="78">
        <f t="shared" si="2"/>
        <v>1.4719262800910016E-2</v>
      </c>
    </row>
    <row r="27" spans="2:15">
      <c r="B27" s="76">
        <v>40717</v>
      </c>
      <c r="C27" s="77">
        <v>0.66311590107349083</v>
      </c>
      <c r="D27" s="77">
        <v>0.45342303565958197</v>
      </c>
      <c r="E27" s="77">
        <v>0.50487266986540702</v>
      </c>
      <c r="F27" s="78">
        <f t="shared" si="0"/>
        <v>5.1449634205825046E-2</v>
      </c>
      <c r="H27" s="1">
        <v>40717</v>
      </c>
      <c r="I27">
        <v>0.46808927773665898</v>
      </c>
      <c r="K27" s="76">
        <v>40717</v>
      </c>
      <c r="L27" s="77">
        <v>0.66311590107349083</v>
      </c>
      <c r="M27" s="77">
        <v>0.45342303565958197</v>
      </c>
      <c r="N27" s="77">
        <f t="shared" si="1"/>
        <v>0.46808927773665898</v>
      </c>
      <c r="O27" s="78">
        <f t="shared" si="2"/>
        <v>1.4666242077077007E-2</v>
      </c>
    </row>
    <row r="28" spans="2:15">
      <c r="B28" s="76">
        <v>40724</v>
      </c>
      <c r="C28" s="77">
        <v>0.69050447134038251</v>
      </c>
      <c r="D28" s="77">
        <v>0.47533111966863201</v>
      </c>
      <c r="E28" s="77">
        <v>0.52593041582120903</v>
      </c>
      <c r="F28" s="78">
        <f t="shared" si="0"/>
        <v>5.0599296152577022E-2</v>
      </c>
      <c r="H28" s="1">
        <v>40724</v>
      </c>
      <c r="I28">
        <v>0.489935821452404</v>
      </c>
      <c r="K28" s="76">
        <v>40724</v>
      </c>
      <c r="L28" s="77">
        <v>0.69050447134038251</v>
      </c>
      <c r="M28" s="77">
        <v>0.47533111966863201</v>
      </c>
      <c r="N28" s="77">
        <f t="shared" si="1"/>
        <v>0.489935821452404</v>
      </c>
      <c r="O28" s="78">
        <f t="shared" si="2"/>
        <v>1.4604701783771989E-2</v>
      </c>
    </row>
    <row r="29" spans="2:15">
      <c r="B29" s="76">
        <v>40731</v>
      </c>
      <c r="C29" s="77">
        <v>0.60410549631050647</v>
      </c>
      <c r="D29" s="77">
        <v>0.42115773967800002</v>
      </c>
      <c r="E29" s="77">
        <v>0.47454621524908303</v>
      </c>
      <c r="F29" s="78">
        <f t="shared" si="0"/>
        <v>5.3388475571083005E-2</v>
      </c>
      <c r="H29" s="1">
        <v>40731</v>
      </c>
      <c r="I29">
        <v>0.43458744050497899</v>
      </c>
      <c r="K29" s="76">
        <v>40731</v>
      </c>
      <c r="L29" s="77">
        <v>0.60410549631050647</v>
      </c>
      <c r="M29" s="77">
        <v>0.42115773967800002</v>
      </c>
      <c r="N29" s="77">
        <f t="shared" si="1"/>
        <v>0.43458744050497899</v>
      </c>
      <c r="O29" s="78">
        <f t="shared" si="2"/>
        <v>1.3429700826978974E-2</v>
      </c>
    </row>
    <row r="30" spans="2:15">
      <c r="B30" s="76">
        <v>40738</v>
      </c>
      <c r="C30" s="77">
        <v>0.684475421712615</v>
      </c>
      <c r="D30" s="77">
        <v>0.47005900282082203</v>
      </c>
      <c r="E30" s="77">
        <v>0.52190457919731803</v>
      </c>
      <c r="F30" s="78">
        <f t="shared" si="0"/>
        <v>5.1845576376496005E-2</v>
      </c>
      <c r="H30" s="1">
        <v>40738</v>
      </c>
      <c r="I30">
        <v>0.485108874378754</v>
      </c>
      <c r="K30" s="76">
        <v>40738</v>
      </c>
      <c r="L30" s="77">
        <v>0.684475421712615</v>
      </c>
      <c r="M30" s="77">
        <v>0.47005900282082203</v>
      </c>
      <c r="N30" s="77">
        <f t="shared" si="1"/>
        <v>0.485108874378754</v>
      </c>
      <c r="O30" s="78">
        <f t="shared" si="2"/>
        <v>1.5049871557931971E-2</v>
      </c>
    </row>
    <row r="31" spans="2:15">
      <c r="B31" s="76">
        <v>40745</v>
      </c>
      <c r="C31" s="77">
        <v>0.66675683999516944</v>
      </c>
      <c r="D31" s="77">
        <v>0.44797749734765901</v>
      </c>
      <c r="E31" s="77">
        <v>0.50065707260663195</v>
      </c>
      <c r="F31" s="78">
        <f t="shared" si="0"/>
        <v>5.2679575258972933E-2</v>
      </c>
      <c r="H31" s="1">
        <v>40745</v>
      </c>
      <c r="I31">
        <v>0.46318279756695502</v>
      </c>
      <c r="K31" s="76">
        <v>40745</v>
      </c>
      <c r="L31" s="77">
        <v>0.66675683999516944</v>
      </c>
      <c r="M31" s="77">
        <v>0.44797749734765901</v>
      </c>
      <c r="N31" s="77">
        <f t="shared" si="1"/>
        <v>0.46318279756695502</v>
      </c>
      <c r="O31" s="78">
        <f t="shared" si="2"/>
        <v>1.5205300219296003E-2</v>
      </c>
    </row>
    <row r="32" spans="2:15">
      <c r="B32" s="76">
        <v>40752</v>
      </c>
      <c r="C32" s="77">
        <v>0.61660059317974736</v>
      </c>
      <c r="D32" s="77">
        <v>0.44409861209358098</v>
      </c>
      <c r="E32" s="77">
        <v>0.49688453784682102</v>
      </c>
      <c r="F32" s="78">
        <f t="shared" si="0"/>
        <v>5.2785925753240037E-2</v>
      </c>
      <c r="H32" s="1">
        <v>40752</v>
      </c>
      <c r="I32">
        <v>0.45789854868906799</v>
      </c>
      <c r="K32" s="76">
        <v>40752</v>
      </c>
      <c r="L32" s="77">
        <v>0.61660059317974736</v>
      </c>
      <c r="M32" s="77">
        <v>0.44409861209358098</v>
      </c>
      <c r="N32" s="77">
        <f t="shared" si="1"/>
        <v>0.45789854868906799</v>
      </c>
      <c r="O32" s="78">
        <f t="shared" si="2"/>
        <v>1.3799936595487006E-2</v>
      </c>
    </row>
    <row r="33" spans="2:15">
      <c r="B33" s="76">
        <v>40759</v>
      </c>
      <c r="C33" s="77">
        <v>0.81803711941746404</v>
      </c>
      <c r="D33" s="77">
        <v>0.515379400381896</v>
      </c>
      <c r="E33" s="77">
        <v>0.56742832753757799</v>
      </c>
      <c r="F33" s="78">
        <f t="shared" si="0"/>
        <v>5.204892715568199E-2</v>
      </c>
      <c r="H33" s="1">
        <v>40759</v>
      </c>
      <c r="I33">
        <v>0.53278765965471897</v>
      </c>
      <c r="K33" s="76">
        <v>40759</v>
      </c>
      <c r="L33" s="77">
        <v>0.81803711941746404</v>
      </c>
      <c r="M33" s="77">
        <v>0.515379400381896</v>
      </c>
      <c r="N33" s="77">
        <f t="shared" si="1"/>
        <v>0.53278765965471897</v>
      </c>
      <c r="O33" s="78">
        <f t="shared" si="2"/>
        <v>1.7408259272822968E-2</v>
      </c>
    </row>
    <row r="34" spans="2:15">
      <c r="B34" s="76">
        <v>40766</v>
      </c>
      <c r="C34" s="77">
        <v>0.83404184296119399</v>
      </c>
      <c r="D34" s="77">
        <v>0.61745026323361196</v>
      </c>
      <c r="E34" s="77">
        <v>0.66600802275198501</v>
      </c>
      <c r="F34" s="78">
        <f t="shared" si="0"/>
        <v>4.8557759518373045E-2</v>
      </c>
      <c r="H34" s="1">
        <v>40766</v>
      </c>
      <c r="I34">
        <v>0.63586839821177099</v>
      </c>
      <c r="K34" s="76">
        <v>40766</v>
      </c>
      <c r="L34" s="77">
        <v>0.83404184296119399</v>
      </c>
      <c r="M34" s="77">
        <v>0.61745026323361196</v>
      </c>
      <c r="N34" s="77">
        <f t="shared" si="1"/>
        <v>0.63586839821177099</v>
      </c>
      <c r="O34" s="78">
        <f t="shared" si="2"/>
        <v>1.8418134978159029E-2</v>
      </c>
    </row>
    <row r="35" spans="2:15">
      <c r="B35" s="76">
        <v>40773</v>
      </c>
      <c r="C35" s="77">
        <v>0.86117434904403212</v>
      </c>
      <c r="D35" s="77">
        <v>0.71103111098302996</v>
      </c>
      <c r="E35" s="77">
        <v>0.75450188553023501</v>
      </c>
      <c r="F35" s="78">
        <f t="shared" si="0"/>
        <v>4.3470774547205049E-2</v>
      </c>
      <c r="H35" s="1">
        <v>40773</v>
      </c>
      <c r="I35">
        <v>0.730678857237261</v>
      </c>
      <c r="K35" s="76">
        <v>40773</v>
      </c>
      <c r="L35" s="77">
        <v>0.86117434904403212</v>
      </c>
      <c r="M35" s="77">
        <v>0.71103111098302996</v>
      </c>
      <c r="N35" s="77">
        <f t="shared" si="1"/>
        <v>0.730678857237261</v>
      </c>
      <c r="O35" s="78">
        <f t="shared" si="2"/>
        <v>1.9647746254231047E-2</v>
      </c>
    </row>
    <row r="36" spans="2:15">
      <c r="B36" s="76">
        <v>40780</v>
      </c>
      <c r="C36" s="77">
        <v>0.84714025108084823</v>
      </c>
      <c r="D36" s="77">
        <v>0.66735967344709601</v>
      </c>
      <c r="E36" s="77">
        <v>0.71265891972781104</v>
      </c>
      <c r="F36" s="78">
        <f t="shared" si="0"/>
        <v>4.5299246280715022E-2</v>
      </c>
      <c r="H36" s="1">
        <v>40780</v>
      </c>
      <c r="I36">
        <v>0.68478976915726397</v>
      </c>
      <c r="K36" s="76">
        <v>40780</v>
      </c>
      <c r="L36" s="77">
        <v>0.84714025108084823</v>
      </c>
      <c r="M36" s="77">
        <v>0.66735967344709601</v>
      </c>
      <c r="N36" s="77">
        <f t="shared" si="1"/>
        <v>0.68478976915726397</v>
      </c>
      <c r="O36" s="78">
        <f t="shared" si="2"/>
        <v>1.7430095710167959E-2</v>
      </c>
    </row>
    <row r="37" spans="2:15">
      <c r="B37" s="76">
        <v>40787</v>
      </c>
      <c r="C37" s="77">
        <v>0.84129278814437181</v>
      </c>
      <c r="D37" s="77">
        <v>0.66070318293374397</v>
      </c>
      <c r="E37" s="77">
        <v>0.70758341766817601</v>
      </c>
      <c r="F37" s="78">
        <f t="shared" si="0"/>
        <v>4.6880234734432036E-2</v>
      </c>
      <c r="H37" s="1">
        <v>40787</v>
      </c>
      <c r="I37">
        <v>0.67891821943498099</v>
      </c>
      <c r="K37" s="76">
        <v>40787</v>
      </c>
      <c r="L37" s="77">
        <v>0.84129278814437181</v>
      </c>
      <c r="M37" s="77">
        <v>0.66070318293374397</v>
      </c>
      <c r="N37" s="77">
        <f t="shared" si="1"/>
        <v>0.67891821943498099</v>
      </c>
      <c r="O37" s="78">
        <f t="shared" si="2"/>
        <v>1.8215036501237014E-2</v>
      </c>
    </row>
    <row r="38" spans="2:15">
      <c r="B38" s="76">
        <v>40794</v>
      </c>
      <c r="C38" s="77">
        <v>0.87859103936280614</v>
      </c>
      <c r="D38" s="77">
        <v>0.72862294428542695</v>
      </c>
      <c r="E38" s="77">
        <v>0.77195870739625605</v>
      </c>
      <c r="F38" s="78">
        <f t="shared" si="0"/>
        <v>4.3335763110829095E-2</v>
      </c>
      <c r="H38" s="1">
        <v>40794</v>
      </c>
      <c r="I38">
        <v>0.74882938585751302</v>
      </c>
      <c r="K38" s="76">
        <v>40794</v>
      </c>
      <c r="L38" s="77">
        <v>0.87859103936280614</v>
      </c>
      <c r="M38" s="77">
        <v>0.72862294428542695</v>
      </c>
      <c r="N38" s="77">
        <f t="shared" si="1"/>
        <v>0.74882938585751302</v>
      </c>
      <c r="O38" s="78">
        <f t="shared" si="2"/>
        <v>2.0206441572086065E-2</v>
      </c>
    </row>
    <row r="39" spans="2:15">
      <c r="B39" s="76">
        <v>40801</v>
      </c>
      <c r="C39" s="77">
        <v>0.90242289630359074</v>
      </c>
      <c r="D39" s="77">
        <v>0.73180955418473204</v>
      </c>
      <c r="E39" s="77">
        <v>0.77393677940889705</v>
      </c>
      <c r="F39" s="78">
        <f t="shared" si="0"/>
        <v>4.212722522416501E-2</v>
      </c>
      <c r="H39" s="1">
        <v>40801</v>
      </c>
      <c r="I39">
        <v>0.75105682006900099</v>
      </c>
      <c r="K39" s="76">
        <v>40801</v>
      </c>
      <c r="L39" s="77">
        <v>0.90242289630359074</v>
      </c>
      <c r="M39" s="77">
        <v>0.73180955418473204</v>
      </c>
      <c r="N39" s="77">
        <f t="shared" si="1"/>
        <v>0.75105682006900099</v>
      </c>
      <c r="O39" s="78">
        <f t="shared" si="2"/>
        <v>1.9247265884268949E-2</v>
      </c>
    </row>
    <row r="40" spans="2:15">
      <c r="B40" s="76">
        <v>40808</v>
      </c>
      <c r="C40" s="77">
        <v>0.90242289630359074</v>
      </c>
      <c r="D40" s="77">
        <v>0.73180955418473204</v>
      </c>
      <c r="E40" s="77">
        <v>0.77393677940889705</v>
      </c>
      <c r="F40" s="78">
        <f t="shared" si="0"/>
        <v>4.212722522416501E-2</v>
      </c>
      <c r="H40" s="1">
        <v>40808</v>
      </c>
      <c r="I40">
        <v>0.75105682006900099</v>
      </c>
      <c r="K40" s="76">
        <v>40808</v>
      </c>
      <c r="L40" s="77">
        <v>0.90242289630359074</v>
      </c>
      <c r="M40" s="77">
        <v>0.73180955418473204</v>
      </c>
      <c r="N40" s="77">
        <f t="shared" si="1"/>
        <v>0.75105682006900099</v>
      </c>
      <c r="O40" s="78">
        <f t="shared" si="2"/>
        <v>1.9247265884268949E-2</v>
      </c>
    </row>
    <row r="41" spans="2:15">
      <c r="B41" s="76">
        <v>40815</v>
      </c>
      <c r="C41" s="77">
        <v>0.94644262124543443</v>
      </c>
      <c r="D41" s="77">
        <v>0.78537510001402</v>
      </c>
      <c r="E41" s="77">
        <v>0.82508471199231004</v>
      </c>
      <c r="F41" s="78">
        <f t="shared" si="0"/>
        <v>3.9709611978290038E-2</v>
      </c>
      <c r="H41" s="1">
        <v>40815</v>
      </c>
      <c r="I41">
        <v>0.80540404717700897</v>
      </c>
      <c r="K41" s="76">
        <v>40815</v>
      </c>
      <c r="L41" s="77">
        <v>0.94644262124543443</v>
      </c>
      <c r="M41" s="77">
        <v>0.78537510001402</v>
      </c>
      <c r="N41" s="77">
        <f t="shared" si="1"/>
        <v>0.80540404717700897</v>
      </c>
      <c r="O41" s="78">
        <f t="shared" si="2"/>
        <v>2.0028947162988975E-2</v>
      </c>
    </row>
    <row r="42" spans="2:15">
      <c r="B42" s="76">
        <v>40822</v>
      </c>
      <c r="C42" s="77">
        <v>0.96725200604215567</v>
      </c>
      <c r="D42" s="77">
        <v>0.77200889405912698</v>
      </c>
      <c r="E42" s="77">
        <v>0.81259352846128097</v>
      </c>
      <c r="F42" s="78">
        <f t="shared" si="0"/>
        <v>4.0584634402153985E-2</v>
      </c>
      <c r="H42" s="1">
        <v>40822</v>
      </c>
      <c r="I42">
        <v>0.790582670298423</v>
      </c>
      <c r="K42" s="76">
        <v>40822</v>
      </c>
      <c r="L42" s="77">
        <v>0.96725200604215567</v>
      </c>
      <c r="M42" s="77">
        <v>0.77200889405912698</v>
      </c>
      <c r="N42" s="77">
        <f t="shared" si="1"/>
        <v>0.790582670298423</v>
      </c>
      <c r="O42" s="78">
        <f t="shared" si="2"/>
        <v>1.8573776239296014E-2</v>
      </c>
    </row>
    <row r="43" spans="2:15">
      <c r="B43" s="76">
        <v>40829</v>
      </c>
      <c r="C43" s="77">
        <v>0.84917694017596268</v>
      </c>
      <c r="D43" s="77">
        <v>0.68762581065136796</v>
      </c>
      <c r="E43" s="77">
        <v>0.73459198246487301</v>
      </c>
      <c r="F43" s="78">
        <f t="shared" si="0"/>
        <v>4.6966171813505042E-2</v>
      </c>
      <c r="H43" s="1">
        <v>40829</v>
      </c>
      <c r="I43">
        <v>0.707335305309861</v>
      </c>
      <c r="K43" s="76">
        <v>40829</v>
      </c>
      <c r="L43" s="77">
        <v>0.84917694017596268</v>
      </c>
      <c r="M43" s="77">
        <v>0.68762581065136796</v>
      </c>
      <c r="N43" s="77">
        <f t="shared" si="1"/>
        <v>0.707335305309861</v>
      </c>
      <c r="O43" s="78">
        <f t="shared" si="2"/>
        <v>1.9709494658493032E-2</v>
      </c>
    </row>
    <row r="44" spans="2:15">
      <c r="B44" s="76">
        <v>40836</v>
      </c>
      <c r="C44" s="77">
        <v>0.85635864773186432</v>
      </c>
      <c r="D44" s="77">
        <v>0.70907311332117495</v>
      </c>
      <c r="E44" s="77">
        <v>0.75489065999645399</v>
      </c>
      <c r="F44" s="78">
        <f t="shared" si="0"/>
        <v>4.5817546675279042E-2</v>
      </c>
      <c r="H44" s="1">
        <v>40836</v>
      </c>
      <c r="I44">
        <v>0.72872079834060799</v>
      </c>
      <c r="K44" s="76">
        <v>40836</v>
      </c>
      <c r="L44" s="77">
        <v>0.85635864773186432</v>
      </c>
      <c r="M44" s="77">
        <v>0.70907311332117495</v>
      </c>
      <c r="N44" s="77">
        <f t="shared" si="1"/>
        <v>0.72872079834060799</v>
      </c>
      <c r="O44" s="78">
        <f t="shared" si="2"/>
        <v>1.9647685019433037E-2</v>
      </c>
    </row>
    <row r="45" spans="2:15">
      <c r="B45" s="76">
        <v>40843</v>
      </c>
      <c r="C45" s="77">
        <v>0.86512672485653175</v>
      </c>
      <c r="D45" s="77">
        <v>0.71096371307505601</v>
      </c>
      <c r="E45" s="77">
        <v>0.75632978245354299</v>
      </c>
      <c r="F45" s="78">
        <f t="shared" si="0"/>
        <v>4.5366069378486973E-2</v>
      </c>
      <c r="H45" s="1">
        <v>40843</v>
      </c>
      <c r="I45">
        <v>0.73025745423770105</v>
      </c>
      <c r="K45" s="76">
        <v>40843</v>
      </c>
      <c r="L45" s="77">
        <v>0.86512672485653175</v>
      </c>
      <c r="M45" s="77">
        <v>0.71096371307505601</v>
      </c>
      <c r="N45" s="77">
        <f t="shared" si="1"/>
        <v>0.73025745423770105</v>
      </c>
      <c r="O45" s="78">
        <f t="shared" si="2"/>
        <v>1.9293741162645039E-2</v>
      </c>
    </row>
    <row r="46" spans="2:15">
      <c r="B46" s="76">
        <v>40850</v>
      </c>
      <c r="C46" s="77">
        <v>0.93485323798856346</v>
      </c>
      <c r="D46" s="77">
        <v>0.75213064967891696</v>
      </c>
      <c r="E46" s="77">
        <v>0.79566700230121001</v>
      </c>
      <c r="F46" s="78">
        <f t="shared" si="0"/>
        <v>4.3536352622293051E-2</v>
      </c>
      <c r="H46" s="1">
        <v>40850</v>
      </c>
      <c r="I46">
        <v>0.77103501437728905</v>
      </c>
      <c r="K46" s="76">
        <v>40850</v>
      </c>
      <c r="L46" s="77">
        <v>0.93485323798856346</v>
      </c>
      <c r="M46" s="77">
        <v>0.75213064967891696</v>
      </c>
      <c r="N46" s="77">
        <f t="shared" si="1"/>
        <v>0.77103501437728905</v>
      </c>
      <c r="O46" s="78">
        <f t="shared" si="2"/>
        <v>1.8904364698372089E-2</v>
      </c>
    </row>
    <row r="47" spans="2:15">
      <c r="B47" s="76">
        <v>40857</v>
      </c>
      <c r="C47" s="77">
        <v>0.94404770550683115</v>
      </c>
      <c r="D47" s="77">
        <v>0.75215343752934904</v>
      </c>
      <c r="E47" s="77">
        <v>0.79568702054103702</v>
      </c>
      <c r="F47" s="78">
        <f t="shared" si="0"/>
        <v>4.3533583011687971E-2</v>
      </c>
      <c r="H47" s="1">
        <v>40857</v>
      </c>
      <c r="I47">
        <v>0.77108265099835005</v>
      </c>
      <c r="K47" s="76">
        <v>40857</v>
      </c>
      <c r="L47" s="77">
        <v>0.94404770550683115</v>
      </c>
      <c r="M47" s="77">
        <v>0.75215343752934904</v>
      </c>
      <c r="N47" s="77">
        <f t="shared" si="1"/>
        <v>0.77108265099835005</v>
      </c>
      <c r="O47" s="78">
        <f t="shared" si="2"/>
        <v>1.8929213469001005E-2</v>
      </c>
    </row>
    <row r="48" spans="2:15">
      <c r="B48" s="76">
        <v>40864</v>
      </c>
      <c r="C48" s="77">
        <v>0.93485323798856346</v>
      </c>
      <c r="D48" s="77">
        <v>0.75213064967891696</v>
      </c>
      <c r="E48" s="77">
        <v>0.79566700230121001</v>
      </c>
      <c r="F48" s="78">
        <f t="shared" si="0"/>
        <v>4.3536352622293051E-2</v>
      </c>
      <c r="H48" s="1">
        <v>40864</v>
      </c>
      <c r="I48">
        <v>0.77103501437728905</v>
      </c>
      <c r="K48" s="76">
        <v>40864</v>
      </c>
      <c r="L48" s="77">
        <v>0.93485323798856346</v>
      </c>
      <c r="M48" s="77">
        <v>0.75213064967891696</v>
      </c>
      <c r="N48" s="77">
        <f t="shared" si="1"/>
        <v>0.77103501437728905</v>
      </c>
      <c r="O48" s="78">
        <f t="shared" si="2"/>
        <v>1.8904364698372089E-2</v>
      </c>
    </row>
    <row r="49" spans="2:15">
      <c r="B49" s="76">
        <v>40870</v>
      </c>
      <c r="C49" s="77">
        <v>0.94997170807452469</v>
      </c>
      <c r="D49" s="77">
        <v>0.75451882195048703</v>
      </c>
      <c r="E49" s="77">
        <v>0.79700998806971202</v>
      </c>
      <c r="F49" s="78">
        <f t="shared" si="0"/>
        <v>4.2491166119224988E-2</v>
      </c>
      <c r="H49" s="1">
        <v>40870</v>
      </c>
      <c r="I49">
        <v>0.77245486812915198</v>
      </c>
      <c r="K49" s="76">
        <v>40870</v>
      </c>
      <c r="L49" s="77">
        <v>0.94997170807452469</v>
      </c>
      <c r="M49" s="77">
        <v>0.75451882195048703</v>
      </c>
      <c r="N49" s="77">
        <f t="shared" si="1"/>
        <v>0.77245486812915198</v>
      </c>
      <c r="O49" s="78">
        <f t="shared" si="2"/>
        <v>1.7936046178664955E-2</v>
      </c>
    </row>
    <row r="50" spans="2:15">
      <c r="B50" s="76">
        <v>40878</v>
      </c>
      <c r="C50" s="77">
        <v>0.91542628506626045</v>
      </c>
      <c r="D50" s="77">
        <v>0.73701250506221705</v>
      </c>
      <c r="E50" s="77">
        <v>0.78198517813851298</v>
      </c>
      <c r="F50" s="78">
        <f t="shared" si="0"/>
        <v>4.4972673076295933E-2</v>
      </c>
      <c r="H50" s="1">
        <v>40878</v>
      </c>
      <c r="I50">
        <v>0.75539515722260098</v>
      </c>
      <c r="K50" s="76">
        <v>40878</v>
      </c>
      <c r="L50" s="77">
        <v>0.91542628506626045</v>
      </c>
      <c r="M50" s="77">
        <v>0.73701250506221705</v>
      </c>
      <c r="N50" s="77">
        <f t="shared" si="1"/>
        <v>0.75539515722260098</v>
      </c>
      <c r="O50" s="78">
        <f t="shared" si="2"/>
        <v>1.8382652160383928E-2</v>
      </c>
    </row>
    <row r="51" spans="2:15">
      <c r="B51" s="76">
        <v>40885</v>
      </c>
      <c r="C51" s="77">
        <v>0.9248746068169833</v>
      </c>
      <c r="D51" s="77">
        <v>0.737034618623016</v>
      </c>
      <c r="E51" s="77">
        <v>0.78200436831299003</v>
      </c>
      <c r="F51" s="78">
        <f t="shared" si="0"/>
        <v>4.4969749689974026E-2</v>
      </c>
      <c r="H51" s="1">
        <v>40885</v>
      </c>
      <c r="I51">
        <v>0.75544279443301199</v>
      </c>
      <c r="K51" s="76">
        <v>40885</v>
      </c>
      <c r="L51" s="77">
        <v>0.9248746068169833</v>
      </c>
      <c r="M51" s="77">
        <v>0.737034618623016</v>
      </c>
      <c r="N51" s="77">
        <f t="shared" si="1"/>
        <v>0.75544279443301199</v>
      </c>
      <c r="O51" s="78">
        <f t="shared" si="2"/>
        <v>1.8408175809995986E-2</v>
      </c>
    </row>
    <row r="52" spans="2:15">
      <c r="B52" s="76">
        <v>40892</v>
      </c>
      <c r="C52" s="77">
        <v>0.93969161247928745</v>
      </c>
      <c r="D52" s="77">
        <v>0.74005848510739902</v>
      </c>
      <c r="E52" s="77">
        <v>0.78386700001619203</v>
      </c>
      <c r="F52" s="78">
        <f t="shared" si="0"/>
        <v>4.3808514908793006E-2</v>
      </c>
      <c r="H52" s="1">
        <v>40892</v>
      </c>
      <c r="I52">
        <v>0.757642248754546</v>
      </c>
      <c r="K52" s="76">
        <v>40892</v>
      </c>
      <c r="L52" s="77">
        <v>0.93969161247928745</v>
      </c>
      <c r="M52" s="77">
        <v>0.74005848510739902</v>
      </c>
      <c r="N52" s="77">
        <f t="shared" si="1"/>
        <v>0.757642248754546</v>
      </c>
      <c r="O52" s="78">
        <f t="shared" si="2"/>
        <v>1.7583763647146977E-2</v>
      </c>
    </row>
    <row r="53" spans="2:15">
      <c r="B53" s="76">
        <v>40899</v>
      </c>
      <c r="C53" s="77">
        <v>0.9601958662364245</v>
      </c>
      <c r="D53" s="77">
        <v>0.77262482249298603</v>
      </c>
      <c r="E53" s="77">
        <v>0.81520432036593904</v>
      </c>
      <c r="F53" s="78">
        <f t="shared" si="0"/>
        <v>4.2579497872953009E-2</v>
      </c>
      <c r="H53" s="1">
        <v>40899</v>
      </c>
      <c r="I53">
        <v>0.79118415521131102</v>
      </c>
      <c r="K53" s="76">
        <v>40899</v>
      </c>
      <c r="L53" s="77">
        <v>0.9601958662364245</v>
      </c>
      <c r="M53" s="77">
        <v>0.77262482249298603</v>
      </c>
      <c r="N53" s="77">
        <f t="shared" si="1"/>
        <v>0.79118415521131102</v>
      </c>
      <c r="O53" s="78">
        <f t="shared" si="2"/>
        <v>1.8559332718324995E-2</v>
      </c>
    </row>
    <row r="54" spans="2:15">
      <c r="B54" s="76">
        <v>40906</v>
      </c>
      <c r="C54" s="77">
        <v>0.94762260030460288</v>
      </c>
      <c r="D54" s="77">
        <v>0.76353022654842795</v>
      </c>
      <c r="E54" s="77">
        <v>0.80688676728488795</v>
      </c>
      <c r="F54" s="78">
        <f t="shared" si="0"/>
        <v>4.3356540736460003E-2</v>
      </c>
      <c r="H54" s="1">
        <v>40906</v>
      </c>
      <c r="I54">
        <v>0.78151191934601505</v>
      </c>
      <c r="K54" s="76">
        <v>40906</v>
      </c>
      <c r="L54" s="77">
        <v>0.94762260030460288</v>
      </c>
      <c r="M54" s="77">
        <v>0.76353022654842795</v>
      </c>
      <c r="N54" s="77">
        <f t="shared" si="1"/>
        <v>0.78151191934601505</v>
      </c>
      <c r="O54" s="78">
        <f t="shared" si="2"/>
        <v>1.7981692797587101E-2</v>
      </c>
    </row>
    <row r="55" spans="2:15">
      <c r="B55" s="76">
        <v>40913</v>
      </c>
      <c r="C55" s="77">
        <v>0.94481773750585774</v>
      </c>
      <c r="D55" s="77">
        <v>0.75017446397926801</v>
      </c>
      <c r="E55" s="77">
        <v>0.79520781124912299</v>
      </c>
      <c r="F55" s="78">
        <f t="shared" si="0"/>
        <v>4.5033347269854973E-2</v>
      </c>
      <c r="H55" s="1">
        <v>40913</v>
      </c>
      <c r="I55">
        <v>0.76877472295611105</v>
      </c>
      <c r="K55" s="76">
        <v>40913</v>
      </c>
      <c r="L55" s="77">
        <v>0.94481773750585774</v>
      </c>
      <c r="M55" s="77">
        <v>0.75017446397926801</v>
      </c>
      <c r="N55" s="77">
        <f t="shared" si="1"/>
        <v>0.76877472295611105</v>
      </c>
      <c r="O55" s="78">
        <f t="shared" si="2"/>
        <v>1.8600258976843032E-2</v>
      </c>
    </row>
    <row r="56" spans="2:15">
      <c r="B56" s="76">
        <v>40920</v>
      </c>
      <c r="C56" s="77">
        <v>0.95320351892281485</v>
      </c>
      <c r="D56" s="77">
        <v>0.76194885743932395</v>
      </c>
      <c r="E56" s="77">
        <v>0.80606898228656498</v>
      </c>
      <c r="F56" s="78">
        <f t="shared" si="0"/>
        <v>4.4120124847241038E-2</v>
      </c>
      <c r="H56" s="1">
        <v>40920</v>
      </c>
      <c r="I56">
        <v>0.78061484194895703</v>
      </c>
      <c r="K56" s="76">
        <v>40920</v>
      </c>
      <c r="L56" s="77">
        <v>0.95320351892281485</v>
      </c>
      <c r="M56" s="77">
        <v>0.76194885743932395</v>
      </c>
      <c r="N56" s="77">
        <f t="shared" si="1"/>
        <v>0.78061484194895703</v>
      </c>
      <c r="O56" s="78">
        <f t="shared" si="2"/>
        <v>1.8665984509633082E-2</v>
      </c>
    </row>
    <row r="57" spans="2:15">
      <c r="B57" s="76">
        <v>40927</v>
      </c>
      <c r="C57" s="77">
        <v>0.95182771809710431</v>
      </c>
      <c r="D57" s="77">
        <v>0.76015152542719999</v>
      </c>
      <c r="E57" s="77">
        <v>0.80437633407850995</v>
      </c>
      <c r="F57" s="78">
        <f t="shared" si="0"/>
        <v>4.4224808651309955E-2</v>
      </c>
      <c r="H57" s="1">
        <v>40927</v>
      </c>
      <c r="I57">
        <v>0.77869870375179695</v>
      </c>
      <c r="K57" s="76">
        <v>40927</v>
      </c>
      <c r="L57" s="77">
        <v>0.95182771809710431</v>
      </c>
      <c r="M57" s="77">
        <v>0.76015152542719999</v>
      </c>
      <c r="N57" s="77">
        <f t="shared" si="1"/>
        <v>0.77869870375179695</v>
      </c>
      <c r="O57" s="78">
        <f t="shared" si="2"/>
        <v>1.8547178324596958E-2</v>
      </c>
    </row>
    <row r="58" spans="2:15">
      <c r="B58" s="76">
        <v>40934</v>
      </c>
      <c r="C58" s="77">
        <v>0.91861521434498927</v>
      </c>
      <c r="D58" s="77">
        <v>0.72538795894175401</v>
      </c>
      <c r="E58" s="77">
        <v>0.77101655382029799</v>
      </c>
      <c r="F58" s="78">
        <f t="shared" si="0"/>
        <v>4.5628594878543982E-2</v>
      </c>
      <c r="H58" s="1">
        <v>40934</v>
      </c>
      <c r="I58">
        <v>0.74269630829851996</v>
      </c>
      <c r="K58" s="76">
        <v>40934</v>
      </c>
      <c r="L58" s="77">
        <v>0.91861521434498927</v>
      </c>
      <c r="M58" s="77">
        <v>0.72538795894175401</v>
      </c>
      <c r="N58" s="77">
        <f t="shared" si="1"/>
        <v>0.74269630829851996</v>
      </c>
      <c r="O58" s="78">
        <f t="shared" si="2"/>
        <v>1.7308349356765951E-2</v>
      </c>
    </row>
    <row r="59" spans="2:15">
      <c r="B59" s="76">
        <v>40941</v>
      </c>
      <c r="C59" s="77">
        <v>0.94107838104995334</v>
      </c>
      <c r="D59" s="77">
        <v>0.73976850442679698</v>
      </c>
      <c r="E59" s="77">
        <v>0.78569858522023195</v>
      </c>
      <c r="F59" s="78">
        <f t="shared" si="0"/>
        <v>4.5930080793434969E-2</v>
      </c>
      <c r="H59" s="1">
        <v>40941</v>
      </c>
      <c r="I59">
        <v>0.75801228690967404</v>
      </c>
      <c r="K59" s="76">
        <v>40941</v>
      </c>
      <c r="L59" s="77">
        <v>0.94107838104995334</v>
      </c>
      <c r="M59" s="77">
        <v>0.73976850442679698</v>
      </c>
      <c r="N59" s="77">
        <f t="shared" si="1"/>
        <v>0.75801228690967404</v>
      </c>
      <c r="O59" s="78">
        <f t="shared" si="2"/>
        <v>1.8243782482877058E-2</v>
      </c>
    </row>
    <row r="60" spans="2:15">
      <c r="B60" s="76">
        <v>40948</v>
      </c>
      <c r="C60" s="77">
        <v>0.94107838104995334</v>
      </c>
      <c r="D60" s="77">
        <v>0.73976850442679698</v>
      </c>
      <c r="E60" s="77">
        <v>0.78569858522023195</v>
      </c>
      <c r="F60" s="78">
        <f t="shared" si="0"/>
        <v>4.5930080793434969E-2</v>
      </c>
      <c r="H60" s="1">
        <v>40948</v>
      </c>
      <c r="I60">
        <v>0.75801228690967404</v>
      </c>
      <c r="K60" s="76">
        <v>40948</v>
      </c>
      <c r="L60" s="77">
        <v>0.94107838104995334</v>
      </c>
      <c r="M60" s="77">
        <v>0.73976850442679698</v>
      </c>
      <c r="N60" s="77">
        <f t="shared" si="1"/>
        <v>0.75801228690967404</v>
      </c>
      <c r="O60" s="78">
        <f t="shared" si="2"/>
        <v>1.8243782482877058E-2</v>
      </c>
    </row>
    <row r="61" spans="2:15">
      <c r="B61" s="76">
        <v>40955</v>
      </c>
      <c r="C61" s="77">
        <v>0.94107838104995334</v>
      </c>
      <c r="D61" s="77">
        <v>0.73976850442679698</v>
      </c>
      <c r="E61" s="77">
        <v>0.78569858522023195</v>
      </c>
      <c r="F61" s="78">
        <f t="shared" si="0"/>
        <v>4.5930080793434969E-2</v>
      </c>
      <c r="H61" s="1">
        <v>40955</v>
      </c>
      <c r="I61">
        <v>0.75801228690967404</v>
      </c>
      <c r="K61" s="76">
        <v>40955</v>
      </c>
      <c r="L61" s="77">
        <v>0.94107838104995334</v>
      </c>
      <c r="M61" s="77">
        <v>0.73976850442679698</v>
      </c>
      <c r="N61" s="77">
        <f t="shared" si="1"/>
        <v>0.75801228690967404</v>
      </c>
      <c r="O61" s="78">
        <f t="shared" si="2"/>
        <v>1.8243782482877058E-2</v>
      </c>
    </row>
    <row r="62" spans="2:15">
      <c r="B62" s="76">
        <v>40962</v>
      </c>
      <c r="C62" s="77">
        <v>0.90921329115869776</v>
      </c>
      <c r="D62" s="77">
        <v>0.70482380254349597</v>
      </c>
      <c r="E62" s="77">
        <v>0.75212890691069101</v>
      </c>
      <c r="F62" s="78">
        <f t="shared" si="0"/>
        <v>4.7305104367195039E-2</v>
      </c>
      <c r="H62" s="1">
        <v>40962</v>
      </c>
      <c r="I62">
        <v>0.72175870157936195</v>
      </c>
      <c r="K62" s="76">
        <v>40962</v>
      </c>
      <c r="L62" s="77">
        <v>0.90921329115869776</v>
      </c>
      <c r="M62" s="77">
        <v>0.70482380254349597</v>
      </c>
      <c r="N62" s="77">
        <f t="shared" si="1"/>
        <v>0.72175870157936195</v>
      </c>
      <c r="O62" s="78">
        <f t="shared" si="2"/>
        <v>1.693489903586598E-2</v>
      </c>
    </row>
    <row r="63" spans="2:15">
      <c r="B63" s="76">
        <v>40969</v>
      </c>
      <c r="C63" s="77">
        <v>0.91584710240533518</v>
      </c>
      <c r="D63" s="77">
        <v>0.71197045097818001</v>
      </c>
      <c r="E63" s="77">
        <v>0.76046432171719602</v>
      </c>
      <c r="F63" s="78">
        <f t="shared" si="0"/>
        <v>4.849387073901601E-2</v>
      </c>
      <c r="H63" s="1">
        <v>40969</v>
      </c>
      <c r="I63">
        <v>0.73029656495304496</v>
      </c>
      <c r="K63" s="76">
        <v>40969</v>
      </c>
      <c r="L63" s="77">
        <v>0.91584710240533518</v>
      </c>
      <c r="M63" s="77">
        <v>0.71197045097818001</v>
      </c>
      <c r="N63" s="77">
        <f t="shared" si="1"/>
        <v>0.73029656495304496</v>
      </c>
      <c r="O63" s="78">
        <f t="shared" si="2"/>
        <v>1.8326113974864944E-2</v>
      </c>
    </row>
    <row r="64" spans="2:15">
      <c r="B64" s="76">
        <v>40976</v>
      </c>
      <c r="C64" s="77">
        <v>0.91902765125865959</v>
      </c>
      <c r="D64" s="77">
        <v>0.72185562668080905</v>
      </c>
      <c r="E64" s="77">
        <v>0.769583122656471</v>
      </c>
      <c r="F64" s="78">
        <f t="shared" si="0"/>
        <v>4.7727495975661949E-2</v>
      </c>
      <c r="H64" s="1">
        <v>40976</v>
      </c>
      <c r="I64">
        <v>0.73979044413136397</v>
      </c>
      <c r="K64" s="76">
        <v>40976</v>
      </c>
      <c r="L64" s="77">
        <v>0.91902765125865959</v>
      </c>
      <c r="M64" s="77">
        <v>0.72185562668080905</v>
      </c>
      <c r="N64" s="77">
        <f t="shared" si="1"/>
        <v>0.73979044413136397</v>
      </c>
      <c r="O64" s="78">
        <f t="shared" si="2"/>
        <v>1.7934817450554918E-2</v>
      </c>
    </row>
    <row r="65" spans="2:15">
      <c r="B65" s="76">
        <v>40983</v>
      </c>
      <c r="C65" s="77">
        <v>0.90514599034862198</v>
      </c>
      <c r="D65" s="77">
        <v>0.71184965643423004</v>
      </c>
      <c r="E65" s="77">
        <v>0.760354139396616</v>
      </c>
      <c r="F65" s="78">
        <f t="shared" si="0"/>
        <v>4.8504482962385964E-2</v>
      </c>
      <c r="H65" s="1">
        <v>40983</v>
      </c>
      <c r="I65">
        <v>0.72964736165354105</v>
      </c>
      <c r="K65" s="76">
        <v>40983</v>
      </c>
      <c r="L65" s="77">
        <v>0.90514599034862198</v>
      </c>
      <c r="M65" s="77">
        <v>0.71184965643423004</v>
      </c>
      <c r="N65" s="77">
        <f t="shared" si="1"/>
        <v>0.72964736165354105</v>
      </c>
      <c r="O65" s="78">
        <f t="shared" si="2"/>
        <v>1.7797705219311011E-2</v>
      </c>
    </row>
    <row r="66" spans="2:15">
      <c r="B66" s="76">
        <v>40990</v>
      </c>
      <c r="C66" s="77">
        <v>0.78959380464288376</v>
      </c>
      <c r="D66" s="77">
        <v>0.63003810447880604</v>
      </c>
      <c r="E66" s="77">
        <v>0.68235415299983104</v>
      </c>
      <c r="F66" s="78">
        <f t="shared" si="0"/>
        <v>5.2316048521025005E-2</v>
      </c>
      <c r="H66" s="1">
        <v>40990</v>
      </c>
      <c r="I66">
        <v>0.64602889454414902</v>
      </c>
      <c r="K66" s="76">
        <v>40990</v>
      </c>
      <c r="L66" s="77">
        <v>0.78959380464288376</v>
      </c>
      <c r="M66" s="77">
        <v>0.63003810447880604</v>
      </c>
      <c r="N66" s="77">
        <f t="shared" si="1"/>
        <v>0.64602889454414902</v>
      </c>
      <c r="O66" s="78">
        <f t="shared" si="2"/>
        <v>1.5990790065342986E-2</v>
      </c>
    </row>
    <row r="67" spans="2:15">
      <c r="B67" s="76">
        <v>40997</v>
      </c>
      <c r="C67" s="77">
        <v>0.87490910290764468</v>
      </c>
      <c r="D67" s="77">
        <v>0.68476549375243201</v>
      </c>
      <c r="E67" s="77">
        <v>0.73476761977876004</v>
      </c>
      <c r="F67" s="78">
        <f t="shared" si="0"/>
        <v>5.0002126026328031E-2</v>
      </c>
      <c r="H67" s="1">
        <v>40997</v>
      </c>
      <c r="I67">
        <v>0.70222983991940502</v>
      </c>
      <c r="K67" s="76">
        <v>40997</v>
      </c>
      <c r="L67" s="77">
        <v>0.87490910290764468</v>
      </c>
      <c r="M67" s="77">
        <v>0.68476549375243201</v>
      </c>
      <c r="N67" s="77">
        <f t="shared" si="1"/>
        <v>0.70222983991940502</v>
      </c>
      <c r="O67" s="78">
        <f t="shared" si="2"/>
        <v>1.746434616697301E-2</v>
      </c>
    </row>
    <row r="68" spans="2:15">
      <c r="B68" s="76">
        <v>41004</v>
      </c>
      <c r="C68" s="77">
        <v>0.86928745494692716</v>
      </c>
      <c r="D68" s="77">
        <v>0.68702063249841105</v>
      </c>
      <c r="E68" s="77">
        <v>0.73755756512459603</v>
      </c>
      <c r="F68" s="78">
        <f t="shared" ref="F68:F131" si="3">E68-D68</f>
        <v>5.0536932626184972E-2</v>
      </c>
      <c r="H68" s="1">
        <v>41004</v>
      </c>
      <c r="I68">
        <v>0.70658526279350897</v>
      </c>
      <c r="K68" s="76">
        <v>41004</v>
      </c>
      <c r="L68" s="77">
        <v>0.86928745494692716</v>
      </c>
      <c r="M68" s="77">
        <v>0.68702063249841105</v>
      </c>
      <c r="N68" s="77">
        <f t="shared" ref="N68:N131" si="4">VLOOKUP(K68,H68:I295,2,0)</f>
        <v>0.70658526279350897</v>
      </c>
      <c r="O68" s="78">
        <f t="shared" ref="O68:O131" si="5">N68-M68</f>
        <v>1.9564630295097918E-2</v>
      </c>
    </row>
    <row r="69" spans="2:15">
      <c r="B69" s="76">
        <v>41011</v>
      </c>
      <c r="C69" s="77">
        <v>0.90849340717481886</v>
      </c>
      <c r="D69" s="77">
        <v>0.74360097428026795</v>
      </c>
      <c r="E69" s="77">
        <v>0.79074299766476497</v>
      </c>
      <c r="F69" s="78">
        <f t="shared" si="3"/>
        <v>4.7142023384497023E-2</v>
      </c>
      <c r="H69" s="1">
        <v>41011</v>
      </c>
      <c r="I69">
        <v>0.76351833890642296</v>
      </c>
      <c r="K69" s="76">
        <v>41011</v>
      </c>
      <c r="L69" s="77">
        <v>0.90849340717481886</v>
      </c>
      <c r="M69" s="77">
        <v>0.74360097428026795</v>
      </c>
      <c r="N69" s="77">
        <f t="shared" si="4"/>
        <v>0.76351833890642296</v>
      </c>
      <c r="O69" s="78">
        <f t="shared" si="5"/>
        <v>1.991736462615501E-2</v>
      </c>
    </row>
    <row r="70" spans="2:15">
      <c r="B70" s="76">
        <v>41018</v>
      </c>
      <c r="C70" s="77">
        <v>0.9034983903169389</v>
      </c>
      <c r="D70" s="77">
        <v>0.71319163212853798</v>
      </c>
      <c r="E70" s="77">
        <v>0.76301875675410702</v>
      </c>
      <c r="F70" s="78">
        <f t="shared" si="3"/>
        <v>4.9827124625569041E-2</v>
      </c>
      <c r="H70" s="1">
        <v>41018</v>
      </c>
      <c r="I70">
        <v>0.73479366879535601</v>
      </c>
      <c r="K70" s="76">
        <v>41018</v>
      </c>
      <c r="L70" s="77">
        <v>0.9034983903169389</v>
      </c>
      <c r="M70" s="77">
        <v>0.71319163212853798</v>
      </c>
      <c r="N70" s="77">
        <f t="shared" si="4"/>
        <v>0.73479366879535601</v>
      </c>
      <c r="O70" s="78">
        <f t="shared" si="5"/>
        <v>2.1602036666818036E-2</v>
      </c>
    </row>
    <row r="71" spans="2:15">
      <c r="B71" s="76">
        <v>41025</v>
      </c>
      <c r="C71" s="77">
        <v>0.90849340717481886</v>
      </c>
      <c r="D71" s="77">
        <v>0.74360097428026795</v>
      </c>
      <c r="E71" s="77">
        <v>0.79074299766476497</v>
      </c>
      <c r="F71" s="78">
        <f t="shared" si="3"/>
        <v>4.7142023384497023E-2</v>
      </c>
      <c r="H71" s="1">
        <v>41025</v>
      </c>
      <c r="I71">
        <v>0.76351833890642296</v>
      </c>
      <c r="K71" s="76">
        <v>41025</v>
      </c>
      <c r="L71" s="77">
        <v>0.90849340717481886</v>
      </c>
      <c r="M71" s="77">
        <v>0.74360097428026795</v>
      </c>
      <c r="N71" s="77">
        <f t="shared" si="4"/>
        <v>0.76351833890642296</v>
      </c>
      <c r="O71" s="78">
        <f t="shared" si="5"/>
        <v>1.991736462615501E-2</v>
      </c>
    </row>
    <row r="72" spans="2:15">
      <c r="B72" s="76">
        <v>41032</v>
      </c>
      <c r="C72" s="77">
        <v>0.89225108632442729</v>
      </c>
      <c r="D72" s="77">
        <v>0.74458940201611601</v>
      </c>
      <c r="E72" s="77">
        <v>0.79110304591011105</v>
      </c>
      <c r="F72" s="78">
        <f t="shared" si="3"/>
        <v>4.6513643893995038E-2</v>
      </c>
      <c r="H72" s="1">
        <v>41032</v>
      </c>
      <c r="I72">
        <v>0.76630418933940703</v>
      </c>
      <c r="K72" s="76">
        <v>41032</v>
      </c>
      <c r="L72" s="77">
        <v>0.89225108632442729</v>
      </c>
      <c r="M72" s="77">
        <v>0.74458940201611601</v>
      </c>
      <c r="N72" s="77">
        <f t="shared" si="4"/>
        <v>0.76630418933940703</v>
      </c>
      <c r="O72" s="78">
        <f t="shared" si="5"/>
        <v>2.1714787323291018E-2</v>
      </c>
    </row>
    <row r="73" spans="2:15">
      <c r="B73" s="76">
        <v>41039</v>
      </c>
      <c r="C73" s="77">
        <v>0.89337268606647302</v>
      </c>
      <c r="D73" s="77">
        <v>0.74880992852224404</v>
      </c>
      <c r="E73" s="77">
        <v>0.79377197751957995</v>
      </c>
      <c r="F73" s="78">
        <f t="shared" si="3"/>
        <v>4.4962048997335913E-2</v>
      </c>
      <c r="H73" s="1">
        <v>41039</v>
      </c>
      <c r="I73">
        <v>0.76953827651336104</v>
      </c>
      <c r="K73" s="76">
        <v>41039</v>
      </c>
      <c r="L73" s="77">
        <v>0.89337268606647302</v>
      </c>
      <c r="M73" s="77">
        <v>0.74880992852224404</v>
      </c>
      <c r="N73" s="77">
        <f t="shared" si="4"/>
        <v>0.76953827651336104</v>
      </c>
      <c r="O73" s="78">
        <f t="shared" si="5"/>
        <v>2.0728347991117002E-2</v>
      </c>
    </row>
    <row r="74" spans="2:15">
      <c r="B74" s="76">
        <v>41046</v>
      </c>
      <c r="C74" s="77">
        <v>0.8948997967143093</v>
      </c>
      <c r="D74" s="77">
        <v>0.77533293010841997</v>
      </c>
      <c r="E74" s="77">
        <v>0.819382348373077</v>
      </c>
      <c r="F74" s="78">
        <f t="shared" si="3"/>
        <v>4.4049418264657025E-2</v>
      </c>
      <c r="H74" s="1">
        <v>41046</v>
      </c>
      <c r="I74">
        <v>0.79807316092952996</v>
      </c>
      <c r="K74" s="76">
        <v>41046</v>
      </c>
      <c r="L74" s="77">
        <v>0.8948997967143093</v>
      </c>
      <c r="M74" s="77">
        <v>0.77533293010841997</v>
      </c>
      <c r="N74" s="77">
        <f t="shared" si="4"/>
        <v>0.79807316092952996</v>
      </c>
      <c r="O74" s="78">
        <f t="shared" si="5"/>
        <v>2.2740230821109986E-2</v>
      </c>
    </row>
    <row r="75" spans="2:15">
      <c r="B75" s="76">
        <v>41053</v>
      </c>
      <c r="C75" s="77">
        <v>0.89443957907281746</v>
      </c>
      <c r="D75" s="77">
        <v>0.77252849495486897</v>
      </c>
      <c r="E75" s="77">
        <v>0.81716837750375204</v>
      </c>
      <c r="F75" s="78">
        <f t="shared" si="3"/>
        <v>4.463988254888307E-2</v>
      </c>
      <c r="H75" s="1">
        <v>41053</v>
      </c>
      <c r="I75">
        <v>0.79563096421455903</v>
      </c>
      <c r="K75" s="76">
        <v>41053</v>
      </c>
      <c r="L75" s="77">
        <v>0.89443957907281746</v>
      </c>
      <c r="M75" s="77">
        <v>0.77252849495486897</v>
      </c>
      <c r="N75" s="77">
        <f t="shared" si="4"/>
        <v>0.79563096421455903</v>
      </c>
      <c r="O75" s="78">
        <f t="shared" si="5"/>
        <v>2.3102469259690062E-2</v>
      </c>
    </row>
    <row r="76" spans="2:15">
      <c r="B76" s="76">
        <v>41060</v>
      </c>
      <c r="C76" s="77">
        <v>0.89512122084695944</v>
      </c>
      <c r="D76" s="77">
        <v>0.77719223327132003</v>
      </c>
      <c r="E76" s="77">
        <v>0.82067742647539199</v>
      </c>
      <c r="F76" s="78">
        <f t="shared" si="3"/>
        <v>4.3485193204071959E-2</v>
      </c>
      <c r="H76" s="1">
        <v>41060</v>
      </c>
      <c r="I76">
        <v>0.79942305429412797</v>
      </c>
      <c r="K76" s="76">
        <v>41060</v>
      </c>
      <c r="L76" s="77">
        <v>0.89512122084695944</v>
      </c>
      <c r="M76" s="77">
        <v>0.77719223327132003</v>
      </c>
      <c r="N76" s="77">
        <f t="shared" si="4"/>
        <v>0.79942305429412797</v>
      </c>
      <c r="O76" s="78">
        <f t="shared" si="5"/>
        <v>2.2230821022807934E-2</v>
      </c>
    </row>
    <row r="77" spans="2:15">
      <c r="B77" s="76">
        <v>41067</v>
      </c>
      <c r="C77" s="77">
        <v>0.8920195449585564</v>
      </c>
      <c r="D77" s="77">
        <v>0.81161668458948799</v>
      </c>
      <c r="E77" s="77">
        <v>0.851826871264451</v>
      </c>
      <c r="F77" s="78">
        <f t="shared" si="3"/>
        <v>4.0210186674963011E-2</v>
      </c>
      <c r="H77" s="1">
        <v>41067</v>
      </c>
      <c r="I77">
        <v>0.83446023873339104</v>
      </c>
      <c r="K77" s="76">
        <v>41067</v>
      </c>
      <c r="L77" s="77">
        <v>0.8920195449585564</v>
      </c>
      <c r="M77" s="77">
        <v>0.81161668458948799</v>
      </c>
      <c r="N77" s="77">
        <f t="shared" si="4"/>
        <v>0.83446023873339104</v>
      </c>
      <c r="O77" s="78">
        <f t="shared" si="5"/>
        <v>2.2843554143903044E-2</v>
      </c>
    </row>
    <row r="78" spans="2:15">
      <c r="B78" s="76">
        <v>41074</v>
      </c>
      <c r="C78" s="77">
        <v>0.88667449797815956</v>
      </c>
      <c r="D78" s="77">
        <v>0.79320998802631504</v>
      </c>
      <c r="E78" s="77">
        <v>0.83440082254211201</v>
      </c>
      <c r="F78" s="78">
        <f t="shared" si="3"/>
        <v>4.119083451579697E-2</v>
      </c>
      <c r="H78" s="1">
        <v>41074</v>
      </c>
      <c r="I78">
        <v>0.81451926267734698</v>
      </c>
      <c r="K78" s="76">
        <v>41074</v>
      </c>
      <c r="L78" s="77">
        <v>0.88667449797815956</v>
      </c>
      <c r="M78" s="77">
        <v>0.79320998802631504</v>
      </c>
      <c r="N78" s="77">
        <f t="shared" si="4"/>
        <v>0.81451926267734698</v>
      </c>
      <c r="O78" s="78">
        <f t="shared" si="5"/>
        <v>2.130927465103194E-2</v>
      </c>
    </row>
    <row r="79" spans="2:15">
      <c r="B79" s="76">
        <v>41081</v>
      </c>
      <c r="C79" s="77">
        <v>0.89407594990163874</v>
      </c>
      <c r="D79" s="77">
        <v>0.81309219550150202</v>
      </c>
      <c r="E79" s="77">
        <v>0.852507202125939</v>
      </c>
      <c r="F79" s="78">
        <f t="shared" si="3"/>
        <v>3.9415006624436977E-2</v>
      </c>
      <c r="H79" s="1">
        <v>41081</v>
      </c>
      <c r="I79">
        <v>0.83520811127149397</v>
      </c>
      <c r="K79" s="76">
        <v>41081</v>
      </c>
      <c r="L79" s="77">
        <v>0.89407594990163874</v>
      </c>
      <c r="M79" s="77">
        <v>0.81309219550150202</v>
      </c>
      <c r="N79" s="77">
        <f t="shared" si="4"/>
        <v>0.83520811127149397</v>
      </c>
      <c r="O79" s="78">
        <f t="shared" si="5"/>
        <v>2.2115915769991945E-2</v>
      </c>
    </row>
    <row r="80" spans="2:15">
      <c r="B80" s="76">
        <v>41088</v>
      </c>
      <c r="C80" s="77">
        <v>0.89407594990163874</v>
      </c>
      <c r="D80" s="77">
        <v>0.81309219550150202</v>
      </c>
      <c r="E80" s="77">
        <v>0.852507202125939</v>
      </c>
      <c r="F80" s="78">
        <f t="shared" si="3"/>
        <v>3.9415006624436977E-2</v>
      </c>
      <c r="H80" s="1">
        <v>41088</v>
      </c>
      <c r="I80">
        <v>0.83520811127149397</v>
      </c>
      <c r="K80" s="76">
        <v>41088</v>
      </c>
      <c r="L80" s="77">
        <v>0.89407594990163874</v>
      </c>
      <c r="M80" s="77">
        <v>0.81309219550150202</v>
      </c>
      <c r="N80" s="77">
        <f t="shared" si="4"/>
        <v>0.83520811127149397</v>
      </c>
      <c r="O80" s="78">
        <f t="shared" si="5"/>
        <v>2.2115915769991945E-2</v>
      </c>
    </row>
    <row r="81" spans="2:15">
      <c r="B81" s="76">
        <v>41095</v>
      </c>
      <c r="C81" s="77">
        <v>0.8819114104860859</v>
      </c>
      <c r="D81" s="77">
        <v>0.80304589352971401</v>
      </c>
      <c r="E81" s="77">
        <v>0.84443285130548495</v>
      </c>
      <c r="F81" s="78">
        <f t="shared" si="3"/>
        <v>4.1386957775770949E-2</v>
      </c>
      <c r="H81" s="1">
        <v>41095</v>
      </c>
      <c r="I81">
        <v>0.82572377371151395</v>
      </c>
      <c r="K81" s="76">
        <v>41095</v>
      </c>
      <c r="L81" s="77">
        <v>0.8819114104860859</v>
      </c>
      <c r="M81" s="77">
        <v>0.80304589352971401</v>
      </c>
      <c r="N81" s="77">
        <f t="shared" si="4"/>
        <v>0.82572377371151395</v>
      </c>
      <c r="O81" s="78">
        <f t="shared" si="5"/>
        <v>2.2677880181799948E-2</v>
      </c>
    </row>
    <row r="82" spans="2:15">
      <c r="B82" s="76">
        <v>41102</v>
      </c>
      <c r="C82" s="77">
        <v>0.94551237246929465</v>
      </c>
      <c r="D82" s="77">
        <v>0.83475833318603099</v>
      </c>
      <c r="E82" s="77">
        <v>0.87307230305311201</v>
      </c>
      <c r="F82" s="78">
        <f t="shared" si="3"/>
        <v>3.8313969867081021E-2</v>
      </c>
      <c r="H82" s="1">
        <v>41102</v>
      </c>
      <c r="I82">
        <v>0.85783899509521899</v>
      </c>
      <c r="K82" s="76">
        <v>41102</v>
      </c>
      <c r="L82" s="77">
        <v>0.94551237246929465</v>
      </c>
      <c r="M82" s="77">
        <v>0.83475833318603099</v>
      </c>
      <c r="N82" s="77">
        <f t="shared" si="4"/>
        <v>0.85783899509521899</v>
      </c>
      <c r="O82" s="78">
        <f t="shared" si="5"/>
        <v>2.3080661909188005E-2</v>
      </c>
    </row>
    <row r="83" spans="2:15">
      <c r="B83" s="76">
        <v>41109</v>
      </c>
      <c r="C83" s="77">
        <v>0.97186924857158052</v>
      </c>
      <c r="D83" s="77">
        <v>0.839279067165004</v>
      </c>
      <c r="E83" s="77">
        <v>0.87588131701956295</v>
      </c>
      <c r="F83" s="78">
        <f t="shared" si="3"/>
        <v>3.6602249854558955E-2</v>
      </c>
      <c r="H83" s="1">
        <v>41109</v>
      </c>
      <c r="I83">
        <v>0.86087360527541701</v>
      </c>
      <c r="K83" s="76">
        <v>41109</v>
      </c>
      <c r="L83" s="77">
        <v>0.97186924857158052</v>
      </c>
      <c r="M83" s="77">
        <v>0.839279067165004</v>
      </c>
      <c r="N83" s="77">
        <f t="shared" si="4"/>
        <v>0.86087360527541701</v>
      </c>
      <c r="O83" s="78">
        <f t="shared" si="5"/>
        <v>2.1594538110413009E-2</v>
      </c>
    </row>
    <row r="84" spans="2:15">
      <c r="B84" s="76">
        <v>41116</v>
      </c>
      <c r="C84" s="77">
        <v>0.98451993370244106</v>
      </c>
      <c r="D84" s="77">
        <v>0.85583686182580798</v>
      </c>
      <c r="E84" s="77">
        <v>0.89130274249393204</v>
      </c>
      <c r="F84" s="78">
        <f t="shared" si="3"/>
        <v>3.5465880668124061E-2</v>
      </c>
      <c r="H84" s="1">
        <v>41116</v>
      </c>
      <c r="I84">
        <v>0.87708074343545095</v>
      </c>
      <c r="K84" s="76">
        <v>41116</v>
      </c>
      <c r="L84" s="77">
        <v>0.98451993370244106</v>
      </c>
      <c r="M84" s="77">
        <v>0.85583686182580798</v>
      </c>
      <c r="N84" s="77">
        <f t="shared" si="4"/>
        <v>0.87708074343545095</v>
      </c>
      <c r="O84" s="78">
        <f t="shared" si="5"/>
        <v>2.1243881609642967E-2</v>
      </c>
    </row>
    <row r="85" spans="2:15">
      <c r="B85" s="76">
        <v>41123</v>
      </c>
      <c r="C85" s="77">
        <v>0.9385222539497815</v>
      </c>
      <c r="D85" s="77">
        <v>0.81672598038940503</v>
      </c>
      <c r="E85" s="77">
        <v>0.85861085726029096</v>
      </c>
      <c r="F85" s="78">
        <f t="shared" si="3"/>
        <v>4.1884876870885934E-2</v>
      </c>
      <c r="H85" s="1">
        <v>41123</v>
      </c>
      <c r="I85">
        <v>0.84037294476980395</v>
      </c>
      <c r="K85" s="76">
        <v>41123</v>
      </c>
      <c r="L85" s="77">
        <v>0.9385222539497815</v>
      </c>
      <c r="M85" s="77">
        <v>0.81672598038940503</v>
      </c>
      <c r="N85" s="77">
        <f t="shared" si="4"/>
        <v>0.84037294476980395</v>
      </c>
      <c r="O85" s="78">
        <f t="shared" si="5"/>
        <v>2.3646964380398927E-2</v>
      </c>
    </row>
    <row r="86" spans="2:15">
      <c r="B86" s="76">
        <v>41130</v>
      </c>
      <c r="C86" s="77">
        <v>0.92408794393225557</v>
      </c>
      <c r="D86" s="77">
        <v>0.81660096914097402</v>
      </c>
      <c r="E86" s="77">
        <v>0.85851356171529003</v>
      </c>
      <c r="F86" s="78">
        <f t="shared" si="3"/>
        <v>4.191259257431601E-2</v>
      </c>
      <c r="H86" s="1">
        <v>41130</v>
      </c>
      <c r="I86">
        <v>0.840112046562973</v>
      </c>
      <c r="K86" s="76">
        <v>41130</v>
      </c>
      <c r="L86" s="77">
        <v>0.92408794393225557</v>
      </c>
      <c r="M86" s="77">
        <v>0.81660096914097402</v>
      </c>
      <c r="N86" s="77">
        <f t="shared" si="4"/>
        <v>0.840112046562973</v>
      </c>
      <c r="O86" s="78">
        <f t="shared" si="5"/>
        <v>2.3511077421998983E-2</v>
      </c>
    </row>
    <row r="87" spans="2:15">
      <c r="B87" s="76">
        <v>41137</v>
      </c>
      <c r="C87" s="77">
        <v>0.88445471641937157</v>
      </c>
      <c r="D87" s="77">
        <v>0.80039531716996504</v>
      </c>
      <c r="E87" s="77">
        <v>0.84263939707257096</v>
      </c>
      <c r="F87" s="78">
        <f t="shared" si="3"/>
        <v>4.2244079902605924E-2</v>
      </c>
      <c r="H87" s="1">
        <v>41137</v>
      </c>
      <c r="I87">
        <v>0.82226069643838895</v>
      </c>
      <c r="K87" s="76">
        <v>41137</v>
      </c>
      <c r="L87" s="77">
        <v>0.88445471641937157</v>
      </c>
      <c r="M87" s="77">
        <v>0.80039531716996504</v>
      </c>
      <c r="N87" s="77">
        <f t="shared" si="4"/>
        <v>0.82226069643838895</v>
      </c>
      <c r="O87" s="78">
        <f t="shared" si="5"/>
        <v>2.1865379268423912E-2</v>
      </c>
    </row>
    <row r="88" spans="2:15">
      <c r="B88" s="76">
        <v>41144</v>
      </c>
      <c r="C88" s="77">
        <v>0.85694996797233836</v>
      </c>
      <c r="D88" s="77">
        <v>0.78286282867668</v>
      </c>
      <c r="E88" s="77">
        <v>0.82803482113362603</v>
      </c>
      <c r="F88" s="78">
        <f t="shared" si="3"/>
        <v>4.5171992456946031E-2</v>
      </c>
      <c r="H88" s="1">
        <v>41144</v>
      </c>
      <c r="I88">
        <v>0.80587399760802503</v>
      </c>
      <c r="K88" s="76">
        <v>41144</v>
      </c>
      <c r="L88" s="77">
        <v>0.85694996797233836</v>
      </c>
      <c r="M88" s="77">
        <v>0.78286282867668</v>
      </c>
      <c r="N88" s="77">
        <f t="shared" si="4"/>
        <v>0.80587399760802503</v>
      </c>
      <c r="O88" s="78">
        <f t="shared" si="5"/>
        <v>2.3011168931345027E-2</v>
      </c>
    </row>
    <row r="89" spans="2:15">
      <c r="B89" s="76">
        <v>41151</v>
      </c>
      <c r="C89" s="77">
        <v>0.92408794393225557</v>
      </c>
      <c r="D89" s="77">
        <v>0.81660096914097402</v>
      </c>
      <c r="E89" s="77">
        <v>0.85851356171529003</v>
      </c>
      <c r="F89" s="78">
        <f t="shared" si="3"/>
        <v>4.191259257431601E-2</v>
      </c>
      <c r="H89" s="1">
        <v>41151</v>
      </c>
      <c r="I89">
        <v>0.840112046562973</v>
      </c>
      <c r="K89" s="76">
        <v>41151</v>
      </c>
      <c r="L89" s="77">
        <v>0.92408794393225557</v>
      </c>
      <c r="M89" s="77">
        <v>0.81660096914097402</v>
      </c>
      <c r="N89" s="77">
        <f t="shared" si="4"/>
        <v>0.840112046562973</v>
      </c>
      <c r="O89" s="78">
        <f t="shared" si="5"/>
        <v>2.3511077421998983E-2</v>
      </c>
    </row>
    <row r="90" spans="2:15">
      <c r="B90" s="76">
        <v>41158</v>
      </c>
      <c r="C90" s="77">
        <v>0.91761037893987563</v>
      </c>
      <c r="D90" s="77">
        <v>0.80003630895948397</v>
      </c>
      <c r="E90" s="77">
        <v>0.84451763496073995</v>
      </c>
      <c r="F90" s="78">
        <f t="shared" si="3"/>
        <v>4.4481326001255983E-2</v>
      </c>
      <c r="H90" s="1">
        <v>41158</v>
      </c>
      <c r="I90">
        <v>0.82391595701949605</v>
      </c>
      <c r="K90" s="76">
        <v>41158</v>
      </c>
      <c r="L90" s="77">
        <v>0.91761037893987563</v>
      </c>
      <c r="M90" s="77">
        <v>0.80003630895948397</v>
      </c>
      <c r="N90" s="77">
        <f t="shared" si="4"/>
        <v>0.82391595701949605</v>
      </c>
      <c r="O90" s="78">
        <f t="shared" si="5"/>
        <v>2.3879648060012082E-2</v>
      </c>
    </row>
    <row r="91" spans="2:15">
      <c r="B91" s="76">
        <v>41165</v>
      </c>
      <c r="C91" s="77">
        <v>0.94047646256577366</v>
      </c>
      <c r="D91" s="77">
        <v>0.80517464210851997</v>
      </c>
      <c r="E91" s="77">
        <v>0.84790364930397299</v>
      </c>
      <c r="F91" s="78">
        <f t="shared" si="3"/>
        <v>4.2729007195453028E-2</v>
      </c>
      <c r="H91" s="1">
        <v>41165</v>
      </c>
      <c r="I91">
        <v>0.82736042337984095</v>
      </c>
      <c r="K91" s="76">
        <v>41165</v>
      </c>
      <c r="L91" s="77">
        <v>0.94047646256577366</v>
      </c>
      <c r="M91" s="77">
        <v>0.80517464210851997</v>
      </c>
      <c r="N91" s="77">
        <f t="shared" si="4"/>
        <v>0.82736042337984095</v>
      </c>
      <c r="O91" s="78">
        <f t="shared" si="5"/>
        <v>2.2185781271320981E-2</v>
      </c>
    </row>
    <row r="92" spans="2:15">
      <c r="B92" s="76">
        <v>41172</v>
      </c>
      <c r="C92" s="77">
        <v>0.95891425076544745</v>
      </c>
      <c r="D92" s="77">
        <v>0.82579336591607799</v>
      </c>
      <c r="E92" s="77">
        <v>0.86619119046951298</v>
      </c>
      <c r="F92" s="78">
        <f t="shared" si="3"/>
        <v>4.0397824553434991E-2</v>
      </c>
      <c r="H92" s="1">
        <v>41172</v>
      </c>
      <c r="I92">
        <v>0.84729321867928498</v>
      </c>
      <c r="K92" s="76">
        <v>41172</v>
      </c>
      <c r="L92" s="77">
        <v>0.95891425076544745</v>
      </c>
      <c r="M92" s="77">
        <v>0.82579336591607799</v>
      </c>
      <c r="N92" s="77">
        <f t="shared" si="4"/>
        <v>0.84729321867928498</v>
      </c>
      <c r="O92" s="78">
        <f t="shared" si="5"/>
        <v>2.1499852763206984E-2</v>
      </c>
    </row>
    <row r="93" spans="2:15">
      <c r="B93" s="76">
        <v>41179</v>
      </c>
      <c r="C93" s="77">
        <v>0.96459917415866681</v>
      </c>
      <c r="D93" s="77">
        <v>0.87352757054468799</v>
      </c>
      <c r="E93" s="77">
        <v>0.910245503690152</v>
      </c>
      <c r="F93" s="78">
        <f t="shared" si="3"/>
        <v>3.671793314546401E-2</v>
      </c>
      <c r="H93" s="1">
        <v>41179</v>
      </c>
      <c r="I93">
        <v>0.89615078381030699</v>
      </c>
      <c r="K93" s="76">
        <v>41179</v>
      </c>
      <c r="L93" s="77">
        <v>0.96459917415866681</v>
      </c>
      <c r="M93" s="77">
        <v>0.87352757054468799</v>
      </c>
      <c r="N93" s="77">
        <f t="shared" si="4"/>
        <v>0.89615078381030699</v>
      </c>
      <c r="O93" s="78">
        <f t="shared" si="5"/>
        <v>2.2623213265619002E-2</v>
      </c>
    </row>
    <row r="94" spans="2:15">
      <c r="B94" s="76">
        <v>41186</v>
      </c>
      <c r="C94" s="77">
        <v>0.95362908529618629</v>
      </c>
      <c r="D94" s="77">
        <v>0.85283995726602502</v>
      </c>
      <c r="E94" s="77">
        <v>0.89290914695732604</v>
      </c>
      <c r="F94" s="78">
        <f t="shared" si="3"/>
        <v>4.0069189691301021E-2</v>
      </c>
      <c r="H94" s="1">
        <v>41186</v>
      </c>
      <c r="I94">
        <v>0.87486861740066002</v>
      </c>
      <c r="K94" s="76">
        <v>41186</v>
      </c>
      <c r="L94" s="77">
        <v>0.95362908529618629</v>
      </c>
      <c r="M94" s="77">
        <v>0.85283995726602502</v>
      </c>
      <c r="N94" s="77">
        <f t="shared" si="4"/>
        <v>0.87486861740066002</v>
      </c>
      <c r="O94" s="78">
        <f t="shared" si="5"/>
        <v>2.2028660134635003E-2</v>
      </c>
    </row>
    <row r="95" spans="2:15">
      <c r="B95" s="76">
        <v>41193</v>
      </c>
      <c r="C95" s="77">
        <v>0.95159604304738465</v>
      </c>
      <c r="D95" s="77">
        <v>0.82980253162130702</v>
      </c>
      <c r="E95" s="77">
        <v>0.87226850902259401</v>
      </c>
      <c r="F95" s="78">
        <f t="shared" si="3"/>
        <v>4.2465977401286992E-2</v>
      </c>
      <c r="H95" s="1">
        <v>41193</v>
      </c>
      <c r="I95">
        <v>0.85304113167718099</v>
      </c>
      <c r="K95" s="76">
        <v>41193</v>
      </c>
      <c r="L95" s="77">
        <v>0.95159604304738465</v>
      </c>
      <c r="M95" s="77">
        <v>0.82980253162130702</v>
      </c>
      <c r="N95" s="77">
        <f t="shared" si="4"/>
        <v>0.85304113167718099</v>
      </c>
      <c r="O95" s="78">
        <f t="shared" si="5"/>
        <v>2.323860005587397E-2</v>
      </c>
    </row>
    <row r="96" spans="2:15">
      <c r="B96" s="76">
        <v>41200</v>
      </c>
      <c r="C96" s="77">
        <v>0.95277295236812309</v>
      </c>
      <c r="D96" s="77">
        <v>0.84996407134381802</v>
      </c>
      <c r="E96" s="77">
        <v>0.89128952685596297</v>
      </c>
      <c r="F96" s="78">
        <f t="shared" si="3"/>
        <v>4.1325455512144949E-2</v>
      </c>
      <c r="H96" s="1">
        <v>41200</v>
      </c>
      <c r="I96">
        <v>0.87300917575702497</v>
      </c>
      <c r="K96" s="76">
        <v>41200</v>
      </c>
      <c r="L96" s="77">
        <v>0.95277295236812309</v>
      </c>
      <c r="M96" s="77">
        <v>0.84996407134381802</v>
      </c>
      <c r="N96" s="77">
        <f t="shared" si="4"/>
        <v>0.87300917575702497</v>
      </c>
      <c r="O96" s="78">
        <f t="shared" si="5"/>
        <v>2.3045104413206952E-2</v>
      </c>
    </row>
    <row r="97" spans="2:15">
      <c r="B97" s="76">
        <v>41207</v>
      </c>
      <c r="C97" s="77">
        <v>0.95079229345734595</v>
      </c>
      <c r="D97" s="77">
        <v>0.828248760892495</v>
      </c>
      <c r="E97" s="77">
        <v>0.87104733311356397</v>
      </c>
      <c r="F97" s="78">
        <f t="shared" si="3"/>
        <v>4.2798572221068976E-2</v>
      </c>
      <c r="H97" s="1">
        <v>41207</v>
      </c>
      <c r="I97">
        <v>0.85152995637800399</v>
      </c>
      <c r="K97" s="76">
        <v>41207</v>
      </c>
      <c r="L97" s="77">
        <v>0.95079229345734595</v>
      </c>
      <c r="M97" s="77">
        <v>0.828248760892495</v>
      </c>
      <c r="N97" s="77">
        <f t="shared" si="4"/>
        <v>0.85152995637800399</v>
      </c>
      <c r="O97" s="78">
        <f t="shared" si="5"/>
        <v>2.3281195485508999E-2</v>
      </c>
    </row>
    <row r="98" spans="2:15">
      <c r="B98" s="76">
        <v>41214</v>
      </c>
      <c r="C98" s="77">
        <v>0.92571311512973709</v>
      </c>
      <c r="D98" s="77">
        <v>0.79915808926981402</v>
      </c>
      <c r="E98" s="77">
        <v>0.84701078060636004</v>
      </c>
      <c r="F98" s="78">
        <f t="shared" si="3"/>
        <v>4.7852691336546016E-2</v>
      </c>
      <c r="H98" s="1">
        <v>41214</v>
      </c>
      <c r="I98">
        <v>0.82220398378432702</v>
      </c>
      <c r="K98" s="76">
        <v>41214</v>
      </c>
      <c r="L98" s="77">
        <v>0.92571311512973709</v>
      </c>
      <c r="M98" s="77">
        <v>0.79915808926981402</v>
      </c>
      <c r="N98" s="77">
        <f t="shared" si="4"/>
        <v>0.82220398378432702</v>
      </c>
      <c r="O98" s="78">
        <f t="shared" si="5"/>
        <v>2.3045894514512999E-2</v>
      </c>
    </row>
    <row r="99" spans="2:15">
      <c r="B99" s="76">
        <v>41221</v>
      </c>
      <c r="C99" s="77">
        <v>0.9252942527060104</v>
      </c>
      <c r="D99" s="77">
        <v>0.79873425180913604</v>
      </c>
      <c r="E99" s="77">
        <v>0.84675644186934695</v>
      </c>
      <c r="F99" s="78">
        <f t="shared" si="3"/>
        <v>4.8022190060210912E-2</v>
      </c>
      <c r="H99" s="1">
        <v>41221</v>
      </c>
      <c r="I99">
        <v>0.82185068481131995</v>
      </c>
      <c r="K99" s="76">
        <v>41221</v>
      </c>
      <c r="L99" s="77">
        <v>0.9252942527060104</v>
      </c>
      <c r="M99" s="77">
        <v>0.79873425180913604</v>
      </c>
      <c r="N99" s="77">
        <f t="shared" si="4"/>
        <v>0.82185068481131995</v>
      </c>
      <c r="O99" s="78">
        <f t="shared" si="5"/>
        <v>2.3116433002183912E-2</v>
      </c>
    </row>
    <row r="100" spans="2:15">
      <c r="B100" s="76">
        <v>41228</v>
      </c>
      <c r="C100" s="77">
        <v>0.92772026190850965</v>
      </c>
      <c r="D100" s="77">
        <v>0.82276956639306598</v>
      </c>
      <c r="E100" s="77">
        <v>0.86832868961091403</v>
      </c>
      <c r="F100" s="78">
        <f t="shared" si="3"/>
        <v>4.5559123217848052E-2</v>
      </c>
      <c r="H100" s="1">
        <v>41228</v>
      </c>
      <c r="I100">
        <v>0.84470977412850301</v>
      </c>
      <c r="K100" s="76">
        <v>41228</v>
      </c>
      <c r="L100" s="77">
        <v>0.92772026190850965</v>
      </c>
      <c r="M100" s="77">
        <v>0.82276956639306598</v>
      </c>
      <c r="N100" s="77">
        <f t="shared" si="4"/>
        <v>0.84470977412850301</v>
      </c>
      <c r="O100" s="78">
        <f t="shared" si="5"/>
        <v>2.1940207735437034E-2</v>
      </c>
    </row>
    <row r="101" spans="2:15">
      <c r="B101" s="76">
        <v>41234</v>
      </c>
      <c r="C101" s="77">
        <v>0.9299301195282087</v>
      </c>
      <c r="D101" s="77">
        <v>0.84066676404946505</v>
      </c>
      <c r="E101" s="77">
        <v>0.885671898426593</v>
      </c>
      <c r="F101" s="78">
        <f t="shared" si="3"/>
        <v>4.5005134377127942E-2</v>
      </c>
      <c r="H101" s="1">
        <v>41234</v>
      </c>
      <c r="I101">
        <v>0.86614098528866201</v>
      </c>
      <c r="K101" s="76">
        <v>41234</v>
      </c>
      <c r="L101" s="77">
        <v>0.9299301195282087</v>
      </c>
      <c r="M101" s="77">
        <v>0.84066676404946505</v>
      </c>
      <c r="N101" s="77">
        <f t="shared" si="4"/>
        <v>0.86614098528866201</v>
      </c>
      <c r="O101" s="78">
        <f t="shared" si="5"/>
        <v>2.5474221239196959E-2</v>
      </c>
    </row>
    <row r="102" spans="2:15">
      <c r="B102" s="76">
        <v>41242</v>
      </c>
      <c r="C102" s="77">
        <v>0.92756020040727527</v>
      </c>
      <c r="D102" s="77">
        <v>0.82275551487300902</v>
      </c>
      <c r="E102" s="77">
        <v>0.86831848418102098</v>
      </c>
      <c r="F102" s="78">
        <f t="shared" si="3"/>
        <v>4.5562969308011958E-2</v>
      </c>
      <c r="H102" s="1">
        <v>41242</v>
      </c>
      <c r="I102">
        <v>0.84467796841209597</v>
      </c>
      <c r="K102" s="76">
        <v>41242</v>
      </c>
      <c r="L102" s="77">
        <v>0.92756020040727527</v>
      </c>
      <c r="M102" s="77">
        <v>0.82275551487300902</v>
      </c>
      <c r="N102" s="77">
        <f t="shared" si="4"/>
        <v>0.84467796841209597</v>
      </c>
      <c r="O102" s="78">
        <f t="shared" si="5"/>
        <v>2.192245353908695E-2</v>
      </c>
    </row>
    <row r="103" spans="2:15">
      <c r="B103" s="76">
        <v>41249</v>
      </c>
      <c r="C103" s="77">
        <v>0.9105479087849232</v>
      </c>
      <c r="D103" s="77">
        <v>0.80649977939682505</v>
      </c>
      <c r="E103" s="77">
        <v>0.85498076945371704</v>
      </c>
      <c r="F103" s="78">
        <f t="shared" si="3"/>
        <v>4.8480990056891993E-2</v>
      </c>
      <c r="H103" s="1">
        <v>41249</v>
      </c>
      <c r="I103">
        <v>0.82850582146884499</v>
      </c>
      <c r="K103" s="76">
        <v>41249</v>
      </c>
      <c r="L103" s="77">
        <v>0.9105479087849232</v>
      </c>
      <c r="M103" s="77">
        <v>0.80649977939682505</v>
      </c>
      <c r="N103" s="77">
        <f t="shared" si="4"/>
        <v>0.82850582146884499</v>
      </c>
      <c r="O103" s="78">
        <f t="shared" si="5"/>
        <v>2.2006042072019949E-2</v>
      </c>
    </row>
    <row r="104" spans="2:15">
      <c r="B104" s="76">
        <v>41256</v>
      </c>
      <c r="C104" s="77">
        <v>0.9126136851792267</v>
      </c>
      <c r="D104" s="77">
        <v>0.82418991295466604</v>
      </c>
      <c r="E104" s="77">
        <v>0.87213995657492904</v>
      </c>
      <c r="F104" s="78">
        <f t="shared" si="3"/>
        <v>4.7950043620263005E-2</v>
      </c>
      <c r="H104" s="1">
        <v>41256</v>
      </c>
      <c r="I104">
        <v>0.84959064095614001</v>
      </c>
      <c r="K104" s="76">
        <v>41256</v>
      </c>
      <c r="L104" s="77">
        <v>0.9126136851792267</v>
      </c>
      <c r="M104" s="77">
        <v>0.82418991295466604</v>
      </c>
      <c r="N104" s="77">
        <f t="shared" si="4"/>
        <v>0.84959064095614001</v>
      </c>
      <c r="O104" s="78">
        <f t="shared" si="5"/>
        <v>2.5400728001473971E-2</v>
      </c>
    </row>
    <row r="105" spans="2:15">
      <c r="B105" s="76">
        <v>41263</v>
      </c>
      <c r="C105" s="77">
        <v>0.90965157918840345</v>
      </c>
      <c r="D105" s="77">
        <v>0.80390223047279097</v>
      </c>
      <c r="E105" s="77">
        <v>0.85356056091635002</v>
      </c>
      <c r="F105" s="78">
        <f t="shared" si="3"/>
        <v>4.9658330443559051E-2</v>
      </c>
      <c r="H105" s="1">
        <v>41263</v>
      </c>
      <c r="I105">
        <v>0.82683597281031795</v>
      </c>
      <c r="K105" s="76">
        <v>41263</v>
      </c>
      <c r="L105" s="77">
        <v>0.90965157918840345</v>
      </c>
      <c r="M105" s="77">
        <v>0.80390223047279097</v>
      </c>
      <c r="N105" s="77">
        <f t="shared" si="4"/>
        <v>0.82683597281031795</v>
      </c>
      <c r="O105" s="78">
        <f t="shared" si="5"/>
        <v>2.2933742337526986E-2</v>
      </c>
    </row>
    <row r="106" spans="2:15">
      <c r="B106" s="76">
        <v>41270</v>
      </c>
      <c r="C106" s="77">
        <v>0.91018597538933266</v>
      </c>
      <c r="D106" s="77">
        <v>0.80591432289546205</v>
      </c>
      <c r="E106" s="77">
        <v>0.85467378378497705</v>
      </c>
      <c r="F106" s="78">
        <f t="shared" si="3"/>
        <v>4.8759460889514994E-2</v>
      </c>
      <c r="H106" s="1">
        <v>41270</v>
      </c>
      <c r="I106">
        <v>0.82807405180361804</v>
      </c>
      <c r="K106" s="76">
        <v>41270</v>
      </c>
      <c r="L106" s="77">
        <v>0.91018597538933266</v>
      </c>
      <c r="M106" s="77">
        <v>0.80591432289546205</v>
      </c>
      <c r="N106" s="77">
        <f t="shared" si="4"/>
        <v>0.82807405180361804</v>
      </c>
      <c r="O106" s="78">
        <f t="shared" si="5"/>
        <v>2.2159728908155985E-2</v>
      </c>
    </row>
    <row r="107" spans="2:15">
      <c r="B107" s="76">
        <v>41277</v>
      </c>
      <c r="C107" s="77">
        <v>0.88829814088555981</v>
      </c>
      <c r="D107" s="77">
        <v>0.78440164177592298</v>
      </c>
      <c r="E107" s="77">
        <v>0.836074004884102</v>
      </c>
      <c r="F107" s="78">
        <f t="shared" si="3"/>
        <v>5.167236310817902E-2</v>
      </c>
      <c r="H107" s="1">
        <v>41277</v>
      </c>
      <c r="I107">
        <v>0.80673651039812899</v>
      </c>
      <c r="K107" s="76">
        <v>41277</v>
      </c>
      <c r="L107" s="77">
        <v>0.88829814088555981</v>
      </c>
      <c r="M107" s="77">
        <v>0.78440164177592298</v>
      </c>
      <c r="N107" s="77">
        <f t="shared" si="4"/>
        <v>0.80673651039812899</v>
      </c>
      <c r="O107" s="78">
        <f t="shared" si="5"/>
        <v>2.2334868622206017E-2</v>
      </c>
    </row>
    <row r="108" spans="2:15">
      <c r="B108" s="76">
        <v>41284</v>
      </c>
      <c r="C108" s="77">
        <v>0.88507237465236011</v>
      </c>
      <c r="D108" s="77">
        <v>0.759606662501778</v>
      </c>
      <c r="E108" s="77">
        <v>0.81363065108031496</v>
      </c>
      <c r="F108" s="78">
        <f t="shared" si="3"/>
        <v>5.4023988578536963E-2</v>
      </c>
      <c r="H108" s="1">
        <v>41284</v>
      </c>
      <c r="I108">
        <v>0.78289243382516405</v>
      </c>
      <c r="K108" s="76">
        <v>41284</v>
      </c>
      <c r="L108" s="77">
        <v>0.88507237465236011</v>
      </c>
      <c r="M108" s="77">
        <v>0.759606662501778</v>
      </c>
      <c r="N108" s="77">
        <f t="shared" si="4"/>
        <v>0.78289243382516405</v>
      </c>
      <c r="O108" s="78">
        <f t="shared" si="5"/>
        <v>2.3285771323386051E-2</v>
      </c>
    </row>
    <row r="109" spans="2:15">
      <c r="B109" s="76">
        <v>41291</v>
      </c>
      <c r="C109" s="77">
        <v>0.88631407683414742</v>
      </c>
      <c r="D109" s="77">
        <v>0.78142443901466097</v>
      </c>
      <c r="E109" s="77">
        <v>0.83425064960633499</v>
      </c>
      <c r="F109" s="78">
        <f t="shared" si="3"/>
        <v>5.2826210591674028E-2</v>
      </c>
      <c r="H109" s="1">
        <v>41291</v>
      </c>
      <c r="I109">
        <v>0.80443705009709199</v>
      </c>
      <c r="K109" s="76">
        <v>41291</v>
      </c>
      <c r="L109" s="77">
        <v>0.88631407683414742</v>
      </c>
      <c r="M109" s="77">
        <v>0.78142443901466097</v>
      </c>
      <c r="N109" s="77">
        <f t="shared" si="4"/>
        <v>0.80443705009709199</v>
      </c>
      <c r="O109" s="78">
        <f t="shared" si="5"/>
        <v>2.3012611082431023E-2</v>
      </c>
    </row>
    <row r="110" spans="2:15">
      <c r="B110" s="76">
        <v>41298</v>
      </c>
      <c r="C110" s="77">
        <v>0.88379536104531342</v>
      </c>
      <c r="D110" s="77">
        <v>0.75700205657756403</v>
      </c>
      <c r="E110" s="77">
        <v>0.81192425274368896</v>
      </c>
      <c r="F110" s="78">
        <f t="shared" si="3"/>
        <v>5.4922196166124926E-2</v>
      </c>
      <c r="H110" s="1">
        <v>41298</v>
      </c>
      <c r="I110">
        <v>0.78096114426466201</v>
      </c>
      <c r="K110" s="76">
        <v>41298</v>
      </c>
      <c r="L110" s="77">
        <v>0.88379536104531342</v>
      </c>
      <c r="M110" s="77">
        <v>0.75700205657756403</v>
      </c>
      <c r="N110" s="77">
        <f t="shared" si="4"/>
        <v>0.78096114426466201</v>
      </c>
      <c r="O110" s="78">
        <f t="shared" si="5"/>
        <v>2.395908768709798E-2</v>
      </c>
    </row>
    <row r="111" spans="2:15">
      <c r="B111" s="76">
        <v>41305</v>
      </c>
      <c r="C111" s="77">
        <v>0.84748759806752005</v>
      </c>
      <c r="D111" s="77">
        <v>0.70776343414969201</v>
      </c>
      <c r="E111" s="77">
        <v>0.76624395820115998</v>
      </c>
      <c r="F111" s="78">
        <f t="shared" si="3"/>
        <v>5.8480524051467975E-2</v>
      </c>
      <c r="H111" s="1">
        <v>41305</v>
      </c>
      <c r="I111">
        <v>0.72958928267474799</v>
      </c>
      <c r="K111" s="76">
        <v>41305</v>
      </c>
      <c r="L111" s="77">
        <v>0.84748759806752005</v>
      </c>
      <c r="M111" s="77">
        <v>0.70776343414969201</v>
      </c>
      <c r="N111" s="77">
        <f t="shared" si="4"/>
        <v>0.72958928267474799</v>
      </c>
      <c r="O111" s="78">
        <f t="shared" si="5"/>
        <v>2.182584852505598E-2</v>
      </c>
    </row>
    <row r="112" spans="2:15">
      <c r="B112" s="76">
        <v>41312</v>
      </c>
      <c r="C112" s="77">
        <v>0.79744674672768578</v>
      </c>
      <c r="D112" s="77">
        <v>0.68149824697650396</v>
      </c>
      <c r="E112" s="77">
        <v>0.74556803951524098</v>
      </c>
      <c r="F112" s="78">
        <f t="shared" si="3"/>
        <v>6.4069792538737014E-2</v>
      </c>
      <c r="H112" s="1">
        <v>41312</v>
      </c>
      <c r="I112">
        <v>0.70463630866607596</v>
      </c>
      <c r="K112" s="76">
        <v>41312</v>
      </c>
      <c r="L112" s="77">
        <v>0.79744674672768578</v>
      </c>
      <c r="M112" s="77">
        <v>0.68149824697650396</v>
      </c>
      <c r="N112" s="77">
        <f t="shared" si="4"/>
        <v>0.70463630866607596</v>
      </c>
      <c r="O112" s="78">
        <f t="shared" si="5"/>
        <v>2.3138061689571998E-2</v>
      </c>
    </row>
    <row r="113" spans="2:15">
      <c r="B113" s="76">
        <v>41319</v>
      </c>
      <c r="C113" s="77">
        <v>0.79744674672768578</v>
      </c>
      <c r="D113" s="77">
        <v>0.68149824697650396</v>
      </c>
      <c r="E113" s="77">
        <v>0.74556803951524098</v>
      </c>
      <c r="F113" s="78">
        <f t="shared" si="3"/>
        <v>6.4069792538737014E-2</v>
      </c>
      <c r="H113" s="1">
        <v>41319</v>
      </c>
      <c r="I113">
        <v>0.70463630866607596</v>
      </c>
      <c r="K113" s="76">
        <v>41319</v>
      </c>
      <c r="L113" s="77">
        <v>0.79744674672768578</v>
      </c>
      <c r="M113" s="77">
        <v>0.68149824697650396</v>
      </c>
      <c r="N113" s="77">
        <f t="shared" si="4"/>
        <v>0.70463630866607596</v>
      </c>
      <c r="O113" s="78">
        <f t="shared" si="5"/>
        <v>2.3138061689571998E-2</v>
      </c>
    </row>
    <row r="114" spans="2:15">
      <c r="B114" s="76">
        <v>41326</v>
      </c>
      <c r="C114" s="77">
        <v>0.75767121274967097</v>
      </c>
      <c r="D114" s="77">
        <v>0.66443156184372798</v>
      </c>
      <c r="E114" s="77">
        <v>0.72902118949627903</v>
      </c>
      <c r="F114" s="78">
        <f t="shared" si="3"/>
        <v>6.4589627652551052E-2</v>
      </c>
      <c r="H114" s="1">
        <v>41326</v>
      </c>
      <c r="I114">
        <v>0.68600596152600102</v>
      </c>
      <c r="K114" s="76">
        <v>41326</v>
      </c>
      <c r="L114" s="77">
        <v>0.75767121274967097</v>
      </c>
      <c r="M114" s="77">
        <v>0.66443156184372798</v>
      </c>
      <c r="N114" s="77">
        <f t="shared" si="4"/>
        <v>0.68600596152600102</v>
      </c>
      <c r="O114" s="78">
        <f t="shared" si="5"/>
        <v>2.1574399682273038E-2</v>
      </c>
    </row>
    <row r="115" spans="2:15">
      <c r="B115" s="76">
        <v>41333</v>
      </c>
      <c r="C115" s="77">
        <v>0.81599621049204552</v>
      </c>
      <c r="D115" s="77">
        <v>0.68474077330080096</v>
      </c>
      <c r="E115" s="77">
        <v>0.74754949703860096</v>
      </c>
      <c r="F115" s="78">
        <f t="shared" si="3"/>
        <v>6.2808723737799999E-2</v>
      </c>
      <c r="H115" s="1">
        <v>41333</v>
      </c>
      <c r="I115">
        <v>0.70679030246685104</v>
      </c>
      <c r="K115" s="76">
        <v>41333</v>
      </c>
      <c r="L115" s="77">
        <v>0.81599621049204552</v>
      </c>
      <c r="M115" s="77">
        <v>0.68474077330080096</v>
      </c>
      <c r="N115" s="77">
        <f t="shared" si="4"/>
        <v>0.70679030246685104</v>
      </c>
      <c r="O115" s="78">
        <f t="shared" si="5"/>
        <v>2.2049529166050075E-2</v>
      </c>
    </row>
    <row r="116" spans="2:15">
      <c r="B116" s="76">
        <v>41340</v>
      </c>
      <c r="C116" s="77">
        <v>0.81254588826988361</v>
      </c>
      <c r="D116" s="77">
        <v>0.65965341103045605</v>
      </c>
      <c r="E116" s="77">
        <v>0.72577244794763196</v>
      </c>
      <c r="F116" s="78">
        <f t="shared" si="3"/>
        <v>6.6119036917175911E-2</v>
      </c>
      <c r="H116" s="1">
        <v>41340</v>
      </c>
      <c r="I116">
        <v>0.68136636277891505</v>
      </c>
      <c r="K116" s="76">
        <v>41340</v>
      </c>
      <c r="L116" s="77">
        <v>0.81254588826988361</v>
      </c>
      <c r="M116" s="77">
        <v>0.65965341103045605</v>
      </c>
      <c r="N116" s="77">
        <f t="shared" si="4"/>
        <v>0.68136636277891505</v>
      </c>
      <c r="O116" s="78">
        <f t="shared" si="5"/>
        <v>2.1712951748458997E-2</v>
      </c>
    </row>
    <row r="117" spans="2:15">
      <c r="B117" s="76">
        <v>41347</v>
      </c>
      <c r="C117" s="77">
        <v>0.70260073761186825</v>
      </c>
      <c r="D117" s="77">
        <v>0.622542311024053</v>
      </c>
      <c r="E117" s="77">
        <v>0.69274472587634806</v>
      </c>
      <c r="F117" s="78">
        <f t="shared" si="3"/>
        <v>7.0202414852295059E-2</v>
      </c>
      <c r="H117" s="1">
        <v>41347</v>
      </c>
      <c r="I117">
        <v>0.643549022861998</v>
      </c>
      <c r="K117" s="76">
        <v>41347</v>
      </c>
      <c r="L117" s="77">
        <v>0.70260073761186825</v>
      </c>
      <c r="M117" s="77">
        <v>0.622542311024053</v>
      </c>
      <c r="N117" s="77">
        <f t="shared" si="4"/>
        <v>0.643549022861998</v>
      </c>
      <c r="O117" s="78">
        <f t="shared" si="5"/>
        <v>2.1006711837945002E-2</v>
      </c>
    </row>
    <row r="118" spans="2:15">
      <c r="B118" s="76">
        <v>41354</v>
      </c>
      <c r="C118" s="77">
        <v>0.76832708554350626</v>
      </c>
      <c r="D118" s="77">
        <v>0.65490269555006198</v>
      </c>
      <c r="E118" s="77">
        <v>0.72250975757212299</v>
      </c>
      <c r="F118" s="78">
        <f t="shared" si="3"/>
        <v>6.7607062022061015E-2</v>
      </c>
      <c r="H118" s="1">
        <v>41354</v>
      </c>
      <c r="I118">
        <v>0.67762091879307995</v>
      </c>
      <c r="K118" s="76">
        <v>41354</v>
      </c>
      <c r="L118" s="77">
        <v>0.76832708554350626</v>
      </c>
      <c r="M118" s="77">
        <v>0.65490269555006198</v>
      </c>
      <c r="N118" s="77">
        <f t="shared" si="4"/>
        <v>0.67762091879307995</v>
      </c>
      <c r="O118" s="78">
        <f t="shared" si="5"/>
        <v>2.2718223243017976E-2</v>
      </c>
    </row>
    <row r="119" spans="2:15">
      <c r="B119" s="76">
        <v>41361</v>
      </c>
      <c r="C119" s="77">
        <v>0.73085022058809757</v>
      </c>
      <c r="D119" s="77">
        <v>0.63814443106247998</v>
      </c>
      <c r="E119" s="77">
        <v>0.70629186250718001</v>
      </c>
      <c r="F119" s="78">
        <f t="shared" si="3"/>
        <v>6.8147431444700035E-2</v>
      </c>
      <c r="H119" s="1">
        <v>41361</v>
      </c>
      <c r="I119">
        <v>0.65948110445833896</v>
      </c>
      <c r="K119" s="76">
        <v>41361</v>
      </c>
      <c r="L119" s="77">
        <v>0.73085022058809757</v>
      </c>
      <c r="M119" s="77">
        <v>0.63814443106247998</v>
      </c>
      <c r="N119" s="77">
        <f t="shared" si="4"/>
        <v>0.65948110445833896</v>
      </c>
      <c r="O119" s="78">
        <f t="shared" si="5"/>
        <v>2.1336673395858985E-2</v>
      </c>
    </row>
    <row r="120" spans="2:15">
      <c r="B120" s="76">
        <v>41368</v>
      </c>
      <c r="C120" s="77">
        <v>0.74812714109915845</v>
      </c>
      <c r="D120" s="77">
        <v>0.63701726572087702</v>
      </c>
      <c r="E120" s="77">
        <v>0.70738390160501996</v>
      </c>
      <c r="F120" s="78">
        <f t="shared" si="3"/>
        <v>7.0366635884142936E-2</v>
      </c>
      <c r="H120" s="1">
        <v>41368</v>
      </c>
      <c r="I120">
        <v>0.66095197338656198</v>
      </c>
      <c r="K120" s="76">
        <v>41368</v>
      </c>
      <c r="L120" s="77">
        <v>0.74812714109915845</v>
      </c>
      <c r="M120" s="77">
        <v>0.63701726572087702</v>
      </c>
      <c r="N120" s="77">
        <f t="shared" si="4"/>
        <v>0.66095197338656198</v>
      </c>
      <c r="O120" s="78">
        <f t="shared" si="5"/>
        <v>2.3934707665684951E-2</v>
      </c>
    </row>
    <row r="121" spans="2:15">
      <c r="B121" s="76">
        <v>41375</v>
      </c>
      <c r="C121" s="77">
        <v>0.81951890925716175</v>
      </c>
      <c r="D121" s="77">
        <v>0.66472248963496305</v>
      </c>
      <c r="E121" s="77">
        <v>0.73166189405675097</v>
      </c>
      <c r="F121" s="78">
        <f t="shared" si="3"/>
        <v>6.6939404421787918E-2</v>
      </c>
      <c r="H121" s="1">
        <v>41375</v>
      </c>
      <c r="I121">
        <v>0.68860823620008205</v>
      </c>
      <c r="K121" s="76">
        <v>41375</v>
      </c>
      <c r="L121" s="77">
        <v>0.81951890925716175</v>
      </c>
      <c r="M121" s="77">
        <v>0.66472248963496305</v>
      </c>
      <c r="N121" s="77">
        <f t="shared" si="4"/>
        <v>0.68860823620008205</v>
      </c>
      <c r="O121" s="78">
        <f t="shared" si="5"/>
        <v>2.3885746565118993E-2</v>
      </c>
    </row>
    <row r="122" spans="2:15">
      <c r="B122" s="76">
        <v>41382</v>
      </c>
      <c r="C122" s="77">
        <v>0.8263799320049966</v>
      </c>
      <c r="D122" s="77">
        <v>0.691617287637183</v>
      </c>
      <c r="E122" s="77">
        <v>0.75618746001711701</v>
      </c>
      <c r="F122" s="78">
        <f t="shared" si="3"/>
        <v>6.457017237993401E-2</v>
      </c>
      <c r="H122" s="1">
        <v>41382</v>
      </c>
      <c r="I122">
        <v>0.716254173818763</v>
      </c>
      <c r="K122" s="76">
        <v>41382</v>
      </c>
      <c r="L122" s="77">
        <v>0.8263799320049966</v>
      </c>
      <c r="M122" s="77">
        <v>0.691617287637183</v>
      </c>
      <c r="N122" s="77">
        <f t="shared" si="4"/>
        <v>0.716254173818763</v>
      </c>
      <c r="O122" s="78">
        <f t="shared" si="5"/>
        <v>2.4636886181579998E-2</v>
      </c>
    </row>
    <row r="123" spans="2:15">
      <c r="B123" s="76">
        <v>41389</v>
      </c>
      <c r="C123" s="77">
        <v>0.82478602429419701</v>
      </c>
      <c r="D123" s="77">
        <v>0.68894417616710202</v>
      </c>
      <c r="E123" s="77">
        <v>0.75486678604069102</v>
      </c>
      <c r="F123" s="78">
        <f t="shared" si="3"/>
        <v>6.5922609873589E-2</v>
      </c>
      <c r="H123" s="1">
        <v>41389</v>
      </c>
      <c r="I123">
        <v>0.71489894663224296</v>
      </c>
      <c r="K123" s="76">
        <v>41389</v>
      </c>
      <c r="L123" s="77">
        <v>0.82478602429419701</v>
      </c>
      <c r="M123" s="77">
        <v>0.68894417616710202</v>
      </c>
      <c r="N123" s="77">
        <f t="shared" si="4"/>
        <v>0.71489894663224296</v>
      </c>
      <c r="O123" s="78">
        <f t="shared" si="5"/>
        <v>2.5954770465140942E-2</v>
      </c>
    </row>
    <row r="124" spans="2:15">
      <c r="B124" s="76">
        <v>41396</v>
      </c>
      <c r="C124" s="77">
        <v>0.81686282095814366</v>
      </c>
      <c r="D124" s="77">
        <v>0.70646423511043499</v>
      </c>
      <c r="E124" s="77">
        <v>0.771484788579061</v>
      </c>
      <c r="F124" s="78">
        <f t="shared" si="3"/>
        <v>6.5020553468626008E-2</v>
      </c>
      <c r="H124" s="1">
        <v>41396</v>
      </c>
      <c r="I124">
        <v>0.73385185995662305</v>
      </c>
      <c r="K124" s="76">
        <v>41396</v>
      </c>
      <c r="L124" s="77">
        <v>0.81686282095814366</v>
      </c>
      <c r="M124" s="77">
        <v>0.70646423511043499</v>
      </c>
      <c r="N124" s="77">
        <f t="shared" si="4"/>
        <v>0.73385185995662305</v>
      </c>
      <c r="O124" s="78">
        <f t="shared" si="5"/>
        <v>2.7387624846188063E-2</v>
      </c>
    </row>
    <row r="125" spans="2:15">
      <c r="B125" s="76">
        <v>41403</v>
      </c>
      <c r="C125" s="77">
        <v>0.80807149473903783</v>
      </c>
      <c r="D125" s="77">
        <v>0.67710126151444505</v>
      </c>
      <c r="E125" s="77">
        <v>0.74464419012176697</v>
      </c>
      <c r="F125" s="78">
        <f t="shared" si="3"/>
        <v>6.7542928607321917E-2</v>
      </c>
      <c r="H125" s="1">
        <v>41403</v>
      </c>
      <c r="I125">
        <v>0.70449810822234304</v>
      </c>
      <c r="K125" s="76">
        <v>41403</v>
      </c>
      <c r="L125" s="77">
        <v>0.80807149473903783</v>
      </c>
      <c r="M125" s="77">
        <v>0.67710126151444505</v>
      </c>
      <c r="N125" s="77">
        <f t="shared" si="4"/>
        <v>0.70449810822234304</v>
      </c>
      <c r="O125" s="78">
        <f t="shared" si="5"/>
        <v>2.7396846707897993E-2</v>
      </c>
    </row>
    <row r="126" spans="2:15">
      <c r="B126" s="76">
        <v>41410</v>
      </c>
      <c r="C126" s="77">
        <v>0.77783403735744605</v>
      </c>
      <c r="D126" s="77">
        <v>0.64608424059300296</v>
      </c>
      <c r="E126" s="77">
        <v>0.71633590828579896</v>
      </c>
      <c r="F126" s="78">
        <f t="shared" si="3"/>
        <v>7.0251667692796005E-2</v>
      </c>
      <c r="H126" s="1">
        <v>41410</v>
      </c>
      <c r="I126">
        <v>0.670440489942566</v>
      </c>
      <c r="K126" s="76">
        <v>41410</v>
      </c>
      <c r="L126" s="77">
        <v>0.77783403735744605</v>
      </c>
      <c r="M126" s="77">
        <v>0.64608424059300296</v>
      </c>
      <c r="N126" s="77">
        <f t="shared" si="4"/>
        <v>0.670440489942566</v>
      </c>
      <c r="O126" s="78">
        <f t="shared" si="5"/>
        <v>2.4356249349563042E-2</v>
      </c>
    </row>
    <row r="127" spans="2:15">
      <c r="B127" s="76">
        <v>41417</v>
      </c>
      <c r="C127" s="77">
        <v>0.69528028144531095</v>
      </c>
      <c r="D127" s="77">
        <v>0.60492342195832605</v>
      </c>
      <c r="E127" s="77">
        <v>0.67870748269177705</v>
      </c>
      <c r="F127" s="78">
        <f t="shared" si="3"/>
        <v>7.3784060733451007E-2</v>
      </c>
      <c r="H127" s="1">
        <v>41417</v>
      </c>
      <c r="I127">
        <v>0.62967212939531803</v>
      </c>
      <c r="K127" s="76">
        <v>41417</v>
      </c>
      <c r="L127" s="77">
        <v>0.69528028144531095</v>
      </c>
      <c r="M127" s="77">
        <v>0.60492342195832605</v>
      </c>
      <c r="N127" s="77">
        <f t="shared" si="4"/>
        <v>0.62967212939531803</v>
      </c>
      <c r="O127" s="78">
        <f t="shared" si="5"/>
        <v>2.4748707436991979E-2</v>
      </c>
    </row>
    <row r="128" spans="2:15">
      <c r="B128" s="76">
        <v>41424</v>
      </c>
      <c r="C128" s="77">
        <v>0.63267241864898449</v>
      </c>
      <c r="D128" s="77">
        <v>0.52986130193183101</v>
      </c>
      <c r="E128" s="77">
        <v>0.61251731306242996</v>
      </c>
      <c r="F128" s="78">
        <f t="shared" si="3"/>
        <v>8.265601113059895E-2</v>
      </c>
      <c r="H128" s="1">
        <v>41424</v>
      </c>
      <c r="I128">
        <v>0.55358328589825201</v>
      </c>
      <c r="K128" s="76">
        <v>41424</v>
      </c>
      <c r="L128" s="77">
        <v>0.63267241864898449</v>
      </c>
      <c r="M128" s="77">
        <v>0.52986130193183101</v>
      </c>
      <c r="N128" s="77">
        <f t="shared" si="4"/>
        <v>0.55358328589825201</v>
      </c>
      <c r="O128" s="78">
        <f t="shared" si="5"/>
        <v>2.3721983966421001E-2</v>
      </c>
    </row>
    <row r="129" spans="2:15">
      <c r="B129" s="76">
        <v>41431</v>
      </c>
      <c r="C129" s="77">
        <v>0.60569175356282723</v>
      </c>
      <c r="D129" s="77">
        <v>0.48936320762315699</v>
      </c>
      <c r="E129" s="77">
        <v>0.57822132602668297</v>
      </c>
      <c r="F129" s="78">
        <f t="shared" si="3"/>
        <v>8.8858118403525976E-2</v>
      </c>
      <c r="H129" s="1">
        <v>41431</v>
      </c>
      <c r="I129">
        <v>0.513378243304075</v>
      </c>
      <c r="K129" s="76">
        <v>41431</v>
      </c>
      <c r="L129" s="77">
        <v>0.60569175356282723</v>
      </c>
      <c r="M129" s="77">
        <v>0.48936320762315699</v>
      </c>
      <c r="N129" s="77">
        <f t="shared" si="4"/>
        <v>0.513378243304075</v>
      </c>
      <c r="O129" s="78">
        <f t="shared" si="5"/>
        <v>2.4015035680918007E-2</v>
      </c>
    </row>
    <row r="130" spans="2:15">
      <c r="B130" s="76">
        <v>41438</v>
      </c>
      <c r="C130" s="77">
        <v>0.57343184072471942</v>
      </c>
      <c r="D130" s="77">
        <v>0.46803712037587902</v>
      </c>
      <c r="E130" s="77">
        <v>0.559460433785407</v>
      </c>
      <c r="F130" s="78">
        <f t="shared" si="3"/>
        <v>9.1423313409527973E-2</v>
      </c>
      <c r="H130" s="1">
        <v>41438</v>
      </c>
      <c r="I130">
        <v>0.49262377778590499</v>
      </c>
      <c r="K130" s="76">
        <v>41438</v>
      </c>
      <c r="L130" s="77">
        <v>0.57343184072471942</v>
      </c>
      <c r="M130" s="77">
        <v>0.46803712037587902</v>
      </c>
      <c r="N130" s="77">
        <f t="shared" si="4"/>
        <v>0.49262377778590499</v>
      </c>
      <c r="O130" s="78">
        <f t="shared" si="5"/>
        <v>2.4586657410025969E-2</v>
      </c>
    </row>
    <row r="131" spans="2:15">
      <c r="B131" s="76">
        <v>41445</v>
      </c>
      <c r="C131" s="77">
        <v>0.58795254732817659</v>
      </c>
      <c r="D131" s="77">
        <v>0.46841833416873302</v>
      </c>
      <c r="E131" s="77">
        <v>0.55969090716589698</v>
      </c>
      <c r="F131" s="78">
        <f t="shared" si="3"/>
        <v>9.1272572997163959E-2</v>
      </c>
      <c r="H131" s="1">
        <v>41445</v>
      </c>
      <c r="I131">
        <v>0.493438474284569</v>
      </c>
      <c r="K131" s="76">
        <v>41445</v>
      </c>
      <c r="L131" s="77">
        <v>0.58795254732817659</v>
      </c>
      <c r="M131" s="77">
        <v>0.46841833416873302</v>
      </c>
      <c r="N131" s="77">
        <f t="shared" si="4"/>
        <v>0.493438474284569</v>
      </c>
      <c r="O131" s="78">
        <f t="shared" si="5"/>
        <v>2.5020140115835976E-2</v>
      </c>
    </row>
    <row r="132" spans="2:15">
      <c r="B132" s="76">
        <v>41452</v>
      </c>
      <c r="C132" s="77">
        <v>0.39082116641682313</v>
      </c>
      <c r="D132" s="77">
        <v>0.25930726321944902</v>
      </c>
      <c r="E132" s="77">
        <v>0.367888732312324</v>
      </c>
      <c r="F132" s="78">
        <f t="shared" ref="F132:F195" si="6">E132-D132</f>
        <v>0.10858146909287497</v>
      </c>
      <c r="H132" s="1">
        <v>41452</v>
      </c>
      <c r="I132">
        <v>0.283795068214441</v>
      </c>
      <c r="K132" s="76">
        <v>41452</v>
      </c>
      <c r="L132" s="77">
        <v>0.39082116641682313</v>
      </c>
      <c r="M132" s="77">
        <v>0.25930726321944902</v>
      </c>
      <c r="N132" s="77">
        <f t="shared" ref="N132:N195" si="7">VLOOKUP(K132,H132:I359,2,0)</f>
        <v>0.283795068214441</v>
      </c>
      <c r="O132" s="78">
        <f t="shared" ref="O132:O195" si="8">N132-M132</f>
        <v>2.448780499499198E-2</v>
      </c>
    </row>
    <row r="133" spans="2:15">
      <c r="B133" s="76">
        <v>41458</v>
      </c>
      <c r="C133" s="77">
        <v>0.4330864642120939</v>
      </c>
      <c r="D133" s="77">
        <v>0.34399747197441399</v>
      </c>
      <c r="E133" s="77">
        <v>0.44991679314134703</v>
      </c>
      <c r="F133" s="78">
        <f t="shared" si="6"/>
        <v>0.10591932116693303</v>
      </c>
      <c r="H133" s="1">
        <v>41458</v>
      </c>
      <c r="I133">
        <v>0.36923191611788803</v>
      </c>
      <c r="K133" s="76">
        <v>41458</v>
      </c>
      <c r="L133" s="77">
        <v>0.4330864642120939</v>
      </c>
      <c r="M133" s="77">
        <v>0.34399747197441399</v>
      </c>
      <c r="N133" s="77">
        <f t="shared" si="7"/>
        <v>0.36923191611788803</v>
      </c>
      <c r="O133" s="78">
        <f t="shared" si="8"/>
        <v>2.5234444143474033E-2</v>
      </c>
    </row>
    <row r="134" spans="2:15">
      <c r="B134" s="76">
        <v>41466</v>
      </c>
      <c r="C134" s="77">
        <v>0.31856955774356621</v>
      </c>
      <c r="D134" s="77">
        <v>0.23052122039717299</v>
      </c>
      <c r="E134" s="77">
        <v>0.343565932630295</v>
      </c>
      <c r="F134" s="78">
        <f t="shared" si="6"/>
        <v>0.11304471223312201</v>
      </c>
      <c r="H134" s="1">
        <v>41466</v>
      </c>
      <c r="I134">
        <v>0.253957802145788</v>
      </c>
      <c r="K134" s="76">
        <v>41466</v>
      </c>
      <c r="L134" s="77">
        <v>0.31856955774356621</v>
      </c>
      <c r="M134" s="77">
        <v>0.23052122039717299</v>
      </c>
      <c r="N134" s="77">
        <f t="shared" si="7"/>
        <v>0.253957802145788</v>
      </c>
      <c r="O134" s="78">
        <f t="shared" si="8"/>
        <v>2.3436581748615015E-2</v>
      </c>
    </row>
    <row r="135" spans="2:15">
      <c r="B135" s="76">
        <v>41473</v>
      </c>
      <c r="C135" s="77">
        <v>0.42624975952077765</v>
      </c>
      <c r="D135" s="77">
        <v>0.313528938106932</v>
      </c>
      <c r="E135" s="77">
        <v>0.42213456893363699</v>
      </c>
      <c r="F135" s="78">
        <f t="shared" si="6"/>
        <v>0.10860563082670499</v>
      </c>
      <c r="H135" s="1">
        <v>41473</v>
      </c>
      <c r="I135">
        <v>0.338227154884298</v>
      </c>
      <c r="K135" s="76">
        <v>41473</v>
      </c>
      <c r="L135" s="77">
        <v>0.42624975952077765</v>
      </c>
      <c r="M135" s="77">
        <v>0.313528938106932</v>
      </c>
      <c r="N135" s="77">
        <f t="shared" si="7"/>
        <v>0.338227154884298</v>
      </c>
      <c r="O135" s="78">
        <f t="shared" si="8"/>
        <v>2.4698216777366E-2</v>
      </c>
    </row>
    <row r="136" spans="2:15">
      <c r="B136" s="76">
        <v>41480</v>
      </c>
      <c r="C136" s="77">
        <v>0.42922629610906576</v>
      </c>
      <c r="D136" s="77">
        <v>0.31410556361706699</v>
      </c>
      <c r="E136" s="77">
        <v>0.42257495599278999</v>
      </c>
      <c r="F136" s="78">
        <f t="shared" si="6"/>
        <v>0.10846939237572301</v>
      </c>
      <c r="H136" s="1">
        <v>41480</v>
      </c>
      <c r="I136">
        <v>0.34002935370481002</v>
      </c>
      <c r="K136" s="76">
        <v>41480</v>
      </c>
      <c r="L136" s="77">
        <v>0.42922629610906576</v>
      </c>
      <c r="M136" s="77">
        <v>0.31410556361706699</v>
      </c>
      <c r="N136" s="77">
        <f t="shared" si="7"/>
        <v>0.34002935370481002</v>
      </c>
      <c r="O136" s="78">
        <f t="shared" si="8"/>
        <v>2.5923790087743037E-2</v>
      </c>
    </row>
    <row r="137" spans="2:15">
      <c r="B137" s="76">
        <v>41487</v>
      </c>
      <c r="C137" s="77">
        <v>0.40917398895537016</v>
      </c>
      <c r="D137" s="77">
        <v>0.26871710621385497</v>
      </c>
      <c r="E137" s="77">
        <v>0.383004460274534</v>
      </c>
      <c r="F137" s="78">
        <f t="shared" si="6"/>
        <v>0.11428735406067903</v>
      </c>
      <c r="H137" s="1">
        <v>41487</v>
      </c>
      <c r="I137">
        <v>0.29429658935164799</v>
      </c>
      <c r="K137" s="76">
        <v>41487</v>
      </c>
      <c r="L137" s="77">
        <v>0.40917398895537016</v>
      </c>
      <c r="M137" s="77">
        <v>0.26871710621385497</v>
      </c>
      <c r="N137" s="77">
        <f t="shared" si="7"/>
        <v>0.29429658935164799</v>
      </c>
      <c r="O137" s="78">
        <f t="shared" si="8"/>
        <v>2.5579483137793013E-2</v>
      </c>
    </row>
    <row r="138" spans="2:15">
      <c r="B138" s="76">
        <v>41494</v>
      </c>
      <c r="C138" s="77">
        <v>0.40797811985401045</v>
      </c>
      <c r="D138" s="77">
        <v>0.26842687745364402</v>
      </c>
      <c r="E138" s="77">
        <v>0.38279147275356301</v>
      </c>
      <c r="F138" s="78">
        <f t="shared" si="6"/>
        <v>0.11436459529991899</v>
      </c>
      <c r="H138" s="1">
        <v>41494</v>
      </c>
      <c r="I138">
        <v>0.29368072164202702</v>
      </c>
      <c r="K138" s="76">
        <v>41494</v>
      </c>
      <c r="L138" s="77">
        <v>0.40797811985401045</v>
      </c>
      <c r="M138" s="77">
        <v>0.26842687745364402</v>
      </c>
      <c r="N138" s="77">
        <f t="shared" si="7"/>
        <v>0.29368072164202702</v>
      </c>
      <c r="O138" s="78">
        <f t="shared" si="8"/>
        <v>2.5253844188383001E-2</v>
      </c>
    </row>
    <row r="139" spans="2:15">
      <c r="B139" s="76">
        <v>41501</v>
      </c>
      <c r="C139" s="77">
        <v>0.40797811985401045</v>
      </c>
      <c r="D139" s="77">
        <v>0.26842687745364402</v>
      </c>
      <c r="E139" s="77">
        <v>0.38279147275356301</v>
      </c>
      <c r="F139" s="78">
        <f t="shared" si="6"/>
        <v>0.11436459529991899</v>
      </c>
      <c r="H139" s="1">
        <v>41501</v>
      </c>
      <c r="I139">
        <v>0.29368072164202702</v>
      </c>
      <c r="K139" s="76">
        <v>41501</v>
      </c>
      <c r="L139" s="77">
        <v>0.40797811985401045</v>
      </c>
      <c r="M139" s="77">
        <v>0.26842687745364402</v>
      </c>
      <c r="N139" s="77">
        <f t="shared" si="7"/>
        <v>0.29368072164202702</v>
      </c>
      <c r="O139" s="78">
        <f t="shared" si="8"/>
        <v>2.5253844188383001E-2</v>
      </c>
    </row>
    <row r="140" spans="2:15">
      <c r="B140" s="76">
        <v>41508</v>
      </c>
      <c r="C140" s="77">
        <v>0.28211495793674252</v>
      </c>
      <c r="D140" s="77">
        <v>0.20545197668606799</v>
      </c>
      <c r="E140" s="77">
        <v>0.32338711550858601</v>
      </c>
      <c r="F140" s="78">
        <f t="shared" si="6"/>
        <v>0.11793513882251802</v>
      </c>
      <c r="H140" s="1">
        <v>41508</v>
      </c>
      <c r="I140">
        <v>0.22780665760041099</v>
      </c>
      <c r="K140" s="76">
        <v>41508</v>
      </c>
      <c r="L140" s="77">
        <v>0.28211495793674252</v>
      </c>
      <c r="M140" s="77">
        <v>0.20545197668606799</v>
      </c>
      <c r="N140" s="77">
        <f t="shared" si="7"/>
        <v>0.22780665760041099</v>
      </c>
      <c r="O140" s="78">
        <f t="shared" si="8"/>
        <v>2.2354680914343006E-2</v>
      </c>
    </row>
    <row r="141" spans="2:15">
      <c r="B141" s="76">
        <v>41515</v>
      </c>
      <c r="C141" s="77">
        <v>0.32707732602530493</v>
      </c>
      <c r="D141" s="77">
        <v>0.23763744646630799</v>
      </c>
      <c r="E141" s="77">
        <v>0.35369890645833102</v>
      </c>
      <c r="F141" s="78">
        <f t="shared" si="6"/>
        <v>0.11606145999202302</v>
      </c>
      <c r="H141" s="1">
        <v>41515</v>
      </c>
      <c r="I141">
        <v>0.26087468607729303</v>
      </c>
      <c r="K141" s="76">
        <v>41515</v>
      </c>
      <c r="L141" s="77">
        <v>0.32707732602530493</v>
      </c>
      <c r="M141" s="77">
        <v>0.23763744646630799</v>
      </c>
      <c r="N141" s="77">
        <f t="shared" si="7"/>
        <v>0.26087468607729303</v>
      </c>
      <c r="O141" s="78">
        <f t="shared" si="8"/>
        <v>2.3237239610985033E-2</v>
      </c>
    </row>
    <row r="142" spans="2:15">
      <c r="B142" s="76">
        <v>41522</v>
      </c>
      <c r="C142" s="77">
        <v>0.2818649256036454</v>
      </c>
      <c r="D142" s="77">
        <v>0.21149349910069001</v>
      </c>
      <c r="E142" s="77">
        <v>0.33186163023723098</v>
      </c>
      <c r="F142" s="78">
        <f t="shared" si="6"/>
        <v>0.12036813113654096</v>
      </c>
      <c r="H142" s="1">
        <v>41522</v>
      </c>
      <c r="I142">
        <v>0.234327007260555</v>
      </c>
      <c r="K142" s="76">
        <v>41522</v>
      </c>
      <c r="L142" s="77">
        <v>0.2818649256036454</v>
      </c>
      <c r="M142" s="77">
        <v>0.21149349910069001</v>
      </c>
      <c r="N142" s="77">
        <f t="shared" si="7"/>
        <v>0.234327007260555</v>
      </c>
      <c r="O142" s="78">
        <f t="shared" si="8"/>
        <v>2.2833508159864985E-2</v>
      </c>
    </row>
    <row r="143" spans="2:15">
      <c r="B143" s="76">
        <v>41529</v>
      </c>
      <c r="C143" s="77">
        <v>0.27463010199382165</v>
      </c>
      <c r="D143" s="77">
        <v>0.19827486089892299</v>
      </c>
      <c r="E143" s="77">
        <v>0.31934207014088301</v>
      </c>
      <c r="F143" s="78">
        <f t="shared" si="6"/>
        <v>0.12106720924196002</v>
      </c>
      <c r="H143" s="1">
        <v>41529</v>
      </c>
      <c r="I143">
        <v>0.221101303306941</v>
      </c>
      <c r="K143" s="76">
        <v>41529</v>
      </c>
      <c r="L143" s="77">
        <v>0.27463010199382165</v>
      </c>
      <c r="M143" s="77">
        <v>0.19827486089892299</v>
      </c>
      <c r="N143" s="77">
        <f t="shared" si="7"/>
        <v>0.221101303306941</v>
      </c>
      <c r="O143" s="78">
        <f t="shared" si="8"/>
        <v>2.2826442408018011E-2</v>
      </c>
    </row>
    <row r="144" spans="2:15">
      <c r="B144" s="76">
        <v>41536</v>
      </c>
      <c r="C144" s="77">
        <v>0.33277831045649614</v>
      </c>
      <c r="D144" s="77">
        <v>0.230982049953562</v>
      </c>
      <c r="E144" s="77">
        <v>0.35010450976329799</v>
      </c>
      <c r="F144" s="78">
        <f t="shared" si="6"/>
        <v>0.11912245980973599</v>
      </c>
      <c r="H144" s="1">
        <v>41536</v>
      </c>
      <c r="I144">
        <v>0.25463965057747101</v>
      </c>
      <c r="K144" s="76">
        <v>41536</v>
      </c>
      <c r="L144" s="77">
        <v>0.33277831045649614</v>
      </c>
      <c r="M144" s="77">
        <v>0.230982049953562</v>
      </c>
      <c r="N144" s="77">
        <f t="shared" si="7"/>
        <v>0.25463965057747101</v>
      </c>
      <c r="O144" s="78">
        <f t="shared" si="8"/>
        <v>2.3657600623909009E-2</v>
      </c>
    </row>
    <row r="145" spans="2:15">
      <c r="B145" s="76">
        <v>41543</v>
      </c>
      <c r="C145" s="77">
        <v>0.40445747526612724</v>
      </c>
      <c r="D145" s="77">
        <v>0.32130927271021897</v>
      </c>
      <c r="E145" s="77">
        <v>0.43462730705216701</v>
      </c>
      <c r="F145" s="78">
        <f t="shared" si="6"/>
        <v>0.11331803434194804</v>
      </c>
      <c r="H145" s="1">
        <v>41543</v>
      </c>
      <c r="I145">
        <v>0.34572071513934099</v>
      </c>
      <c r="K145" s="76">
        <v>41543</v>
      </c>
      <c r="L145" s="77">
        <v>0.40445747526612724</v>
      </c>
      <c r="M145" s="77">
        <v>0.32130927271021897</v>
      </c>
      <c r="N145" s="77">
        <f t="shared" si="7"/>
        <v>0.34572071513934099</v>
      </c>
      <c r="O145" s="78">
        <f t="shared" si="8"/>
        <v>2.4411442429122021E-2</v>
      </c>
    </row>
    <row r="146" spans="2:15">
      <c r="B146" s="76">
        <v>41550</v>
      </c>
      <c r="C146" s="77">
        <v>0.41528178559290679</v>
      </c>
      <c r="D146" s="77">
        <v>0.34374501426377402</v>
      </c>
      <c r="E146" s="77">
        <v>0.45701419816167999</v>
      </c>
      <c r="F146" s="78">
        <f t="shared" si="6"/>
        <v>0.11326918389790597</v>
      </c>
      <c r="H146" s="1">
        <v>41550</v>
      </c>
      <c r="I146">
        <v>0.36826613493452298</v>
      </c>
      <c r="K146" s="76">
        <v>41550</v>
      </c>
      <c r="L146" s="77">
        <v>0.41528178559290679</v>
      </c>
      <c r="M146" s="77">
        <v>0.34374501426377402</v>
      </c>
      <c r="N146" s="77">
        <f t="shared" si="7"/>
        <v>0.36826613493452298</v>
      </c>
      <c r="O146" s="78">
        <f t="shared" si="8"/>
        <v>2.4521120670748964E-2</v>
      </c>
    </row>
    <row r="147" spans="2:15">
      <c r="B147" s="76">
        <v>41557</v>
      </c>
      <c r="C147" s="77">
        <v>0.41314719259777027</v>
      </c>
      <c r="D147" s="77">
        <v>0.343362461707855</v>
      </c>
      <c r="E147" s="77">
        <v>0.45674725476883798</v>
      </c>
      <c r="F147" s="78">
        <f t="shared" si="6"/>
        <v>0.11338479306098298</v>
      </c>
      <c r="H147" s="1">
        <v>41557</v>
      </c>
      <c r="I147">
        <v>0.36772676288515499</v>
      </c>
      <c r="K147" s="76">
        <v>41557</v>
      </c>
      <c r="L147" s="77">
        <v>0.41314719259777027</v>
      </c>
      <c r="M147" s="77">
        <v>0.343362461707855</v>
      </c>
      <c r="N147" s="77">
        <f t="shared" si="7"/>
        <v>0.36772676288515499</v>
      </c>
      <c r="O147" s="78">
        <f t="shared" si="8"/>
        <v>2.4364301177299985E-2</v>
      </c>
    </row>
    <row r="148" spans="2:15">
      <c r="B148" s="76">
        <v>41564</v>
      </c>
      <c r="C148" s="77">
        <v>0.40232481590336117</v>
      </c>
      <c r="D148" s="77">
        <v>0.31435548538393299</v>
      </c>
      <c r="E148" s="77">
        <v>0.43002867204072798</v>
      </c>
      <c r="F148" s="78">
        <f t="shared" si="6"/>
        <v>0.11567318665679499</v>
      </c>
      <c r="H148" s="1">
        <v>41564</v>
      </c>
      <c r="I148">
        <v>0.33908242712021103</v>
      </c>
      <c r="K148" s="76">
        <v>41564</v>
      </c>
      <c r="L148" s="77">
        <v>0.40232481590336117</v>
      </c>
      <c r="M148" s="77">
        <v>0.31435548538393299</v>
      </c>
      <c r="N148" s="77">
        <f t="shared" si="7"/>
        <v>0.33908242712021103</v>
      </c>
      <c r="O148" s="78">
        <f t="shared" si="8"/>
        <v>2.4726941736278041E-2</v>
      </c>
    </row>
    <row r="149" spans="2:15">
      <c r="B149" s="76">
        <v>41571</v>
      </c>
      <c r="C149" s="77">
        <v>0.43156912924668556</v>
      </c>
      <c r="D149" s="77">
        <v>0.36279732883580901</v>
      </c>
      <c r="E149" s="77">
        <v>0.473627443383146</v>
      </c>
      <c r="F149" s="78">
        <f t="shared" si="6"/>
        <v>0.11083011454733699</v>
      </c>
      <c r="H149" s="1">
        <v>41571</v>
      </c>
      <c r="I149">
        <v>0.387225653389144</v>
      </c>
      <c r="K149" s="76">
        <v>41571</v>
      </c>
      <c r="L149" s="77">
        <v>0.43156912924668556</v>
      </c>
      <c r="M149" s="77">
        <v>0.36279732883580901</v>
      </c>
      <c r="N149" s="77">
        <f t="shared" si="7"/>
        <v>0.387225653389144</v>
      </c>
      <c r="O149" s="78">
        <f t="shared" si="8"/>
        <v>2.442832455333499E-2</v>
      </c>
    </row>
    <row r="150" spans="2:15">
      <c r="B150" s="76">
        <v>41578</v>
      </c>
      <c r="C150" s="77">
        <v>0.4605405147219428</v>
      </c>
      <c r="D150" s="77">
        <v>0.38076704542262901</v>
      </c>
      <c r="E150" s="77">
        <v>0.48999705577596903</v>
      </c>
      <c r="F150" s="78">
        <f t="shared" si="6"/>
        <v>0.10923001035334001</v>
      </c>
      <c r="H150" s="1">
        <v>41578</v>
      </c>
      <c r="I150">
        <v>0.40621263933441498</v>
      </c>
      <c r="K150" s="76">
        <v>41578</v>
      </c>
      <c r="L150" s="77">
        <v>0.4605405147219428</v>
      </c>
      <c r="M150" s="77">
        <v>0.38076704542262901</v>
      </c>
      <c r="N150" s="77">
        <f t="shared" si="7"/>
        <v>0.40621263933441498</v>
      </c>
      <c r="O150" s="78">
        <f t="shared" si="8"/>
        <v>2.5445593911785969E-2</v>
      </c>
    </row>
    <row r="151" spans="2:15">
      <c r="B151" s="76">
        <v>41585</v>
      </c>
      <c r="C151" s="77">
        <v>0.42159370418067171</v>
      </c>
      <c r="D151" s="77">
        <v>0.35403891055164699</v>
      </c>
      <c r="E151" s="77">
        <v>0.46893100954315098</v>
      </c>
      <c r="F151" s="78">
        <f t="shared" si="6"/>
        <v>0.11489209899150399</v>
      </c>
      <c r="H151" s="1">
        <v>41585</v>
      </c>
      <c r="I151">
        <v>0.37858348879144199</v>
      </c>
      <c r="K151" s="76">
        <v>41585</v>
      </c>
      <c r="L151" s="77">
        <v>0.42159370418067171</v>
      </c>
      <c r="M151" s="77">
        <v>0.35403891055164699</v>
      </c>
      <c r="N151" s="77">
        <f t="shared" si="7"/>
        <v>0.37858348879144199</v>
      </c>
      <c r="O151" s="78">
        <f t="shared" si="8"/>
        <v>2.4544578239795001E-2</v>
      </c>
    </row>
    <row r="152" spans="2:15">
      <c r="B152" s="76">
        <v>41592</v>
      </c>
      <c r="C152" s="77">
        <v>0.38756459325455095</v>
      </c>
      <c r="D152" s="77">
        <v>0.27765033429796598</v>
      </c>
      <c r="E152" s="77">
        <v>0.39912661021989099</v>
      </c>
      <c r="F152" s="78">
        <f t="shared" si="6"/>
        <v>0.121476275921925</v>
      </c>
      <c r="H152" s="1">
        <v>41592</v>
      </c>
      <c r="I152">
        <v>0.30261309490806398</v>
      </c>
      <c r="K152" s="76">
        <v>41592</v>
      </c>
      <c r="L152" s="77">
        <v>0.38756459325455095</v>
      </c>
      <c r="M152" s="77">
        <v>0.27765033429796598</v>
      </c>
      <c r="N152" s="77">
        <f t="shared" si="7"/>
        <v>0.30261309490806398</v>
      </c>
      <c r="O152" s="78">
        <f t="shared" si="8"/>
        <v>2.4962760610098E-2</v>
      </c>
    </row>
    <row r="153" spans="2:15">
      <c r="B153" s="76">
        <v>41599</v>
      </c>
      <c r="C153" s="77">
        <v>0.41410653536495057</v>
      </c>
      <c r="D153" s="77">
        <v>0.33620447417750299</v>
      </c>
      <c r="E153" s="77">
        <v>0.45277671098188799</v>
      </c>
      <c r="F153" s="78">
        <f t="shared" si="6"/>
        <v>0.116572236804385</v>
      </c>
      <c r="H153" s="1">
        <v>41599</v>
      </c>
      <c r="I153">
        <v>0.36064781933831103</v>
      </c>
      <c r="K153" s="76">
        <v>41599</v>
      </c>
      <c r="L153" s="77">
        <v>0.41410653536495057</v>
      </c>
      <c r="M153" s="77">
        <v>0.33620447417750299</v>
      </c>
      <c r="N153" s="77">
        <f t="shared" si="7"/>
        <v>0.36064781933831103</v>
      </c>
      <c r="O153" s="78">
        <f t="shared" si="8"/>
        <v>2.4443345160808039E-2</v>
      </c>
    </row>
    <row r="154" spans="2:15">
      <c r="B154" s="76">
        <v>41605</v>
      </c>
      <c r="C154" s="77">
        <v>0.3969981593322805</v>
      </c>
      <c r="D154" s="77">
        <v>0.30662338263190497</v>
      </c>
      <c r="E154" s="77">
        <v>0.42570300756113</v>
      </c>
      <c r="F154" s="78">
        <f t="shared" si="6"/>
        <v>0.11907962492922503</v>
      </c>
      <c r="H154" s="1">
        <v>41605</v>
      </c>
      <c r="I154">
        <v>0.33133815164288799</v>
      </c>
      <c r="K154" s="76">
        <v>41605</v>
      </c>
      <c r="L154" s="77">
        <v>0.3969981593322805</v>
      </c>
      <c r="M154" s="77">
        <v>0.30662338263190497</v>
      </c>
      <c r="N154" s="77">
        <f t="shared" si="7"/>
        <v>0.33133815164288799</v>
      </c>
      <c r="O154" s="78">
        <f t="shared" si="8"/>
        <v>2.4714769010983018E-2</v>
      </c>
    </row>
    <row r="155" spans="2:15">
      <c r="B155" s="76">
        <v>41613</v>
      </c>
      <c r="C155" s="77">
        <v>0.37338021104571051</v>
      </c>
      <c r="D155" s="77">
        <v>0.238872261686181</v>
      </c>
      <c r="E155" s="77">
        <v>0.36552450667219999</v>
      </c>
      <c r="F155" s="78">
        <f t="shared" si="6"/>
        <v>0.12665224498601899</v>
      </c>
      <c r="H155" s="1">
        <v>41613</v>
      </c>
      <c r="I155">
        <v>0.26300483944839198</v>
      </c>
      <c r="K155" s="76">
        <v>41613</v>
      </c>
      <c r="L155" s="77">
        <v>0.37338021104571051</v>
      </c>
      <c r="M155" s="77">
        <v>0.238872261686181</v>
      </c>
      <c r="N155" s="77">
        <f t="shared" si="7"/>
        <v>0.26300483944839198</v>
      </c>
      <c r="O155" s="78">
        <f t="shared" si="8"/>
        <v>2.4132577762210977E-2</v>
      </c>
    </row>
    <row r="156" spans="2:15">
      <c r="B156" s="76">
        <v>41620</v>
      </c>
      <c r="C156" s="77">
        <v>0.3707206267478419</v>
      </c>
      <c r="D156" s="77">
        <v>0.23869230352122101</v>
      </c>
      <c r="E156" s="77">
        <v>0.36539692843229499</v>
      </c>
      <c r="F156" s="78">
        <f t="shared" si="6"/>
        <v>0.12670462491107398</v>
      </c>
      <c r="H156" s="1">
        <v>41620</v>
      </c>
      <c r="I156">
        <v>0.26260248571262501</v>
      </c>
      <c r="K156" s="76">
        <v>41620</v>
      </c>
      <c r="L156" s="77">
        <v>0.3707206267478419</v>
      </c>
      <c r="M156" s="77">
        <v>0.23869230352122101</v>
      </c>
      <c r="N156" s="77">
        <f t="shared" si="7"/>
        <v>0.26260248571262501</v>
      </c>
      <c r="O156" s="78">
        <f t="shared" si="8"/>
        <v>2.3910182191404006E-2</v>
      </c>
    </row>
    <row r="157" spans="2:15">
      <c r="B157" s="76">
        <v>41627</v>
      </c>
      <c r="C157" s="77">
        <v>0.33974567777608206</v>
      </c>
      <c r="D157" s="77">
        <v>0.20595646030872</v>
      </c>
      <c r="E157" s="77">
        <v>0.33464433537542498</v>
      </c>
      <c r="F157" s="78">
        <f t="shared" si="6"/>
        <v>0.12868787506670498</v>
      </c>
      <c r="H157" s="1">
        <v>41627</v>
      </c>
      <c r="I157">
        <v>0.22663439683454101</v>
      </c>
      <c r="K157" s="76">
        <v>41627</v>
      </c>
      <c r="L157" s="77">
        <v>0.33974567777608206</v>
      </c>
      <c r="M157" s="77">
        <v>0.20595646030872</v>
      </c>
      <c r="N157" s="77">
        <f t="shared" si="7"/>
        <v>0.22663439683454101</v>
      </c>
      <c r="O157" s="78">
        <f t="shared" si="8"/>
        <v>2.0677936525821006E-2</v>
      </c>
    </row>
    <row r="158" spans="2:15">
      <c r="B158" s="76">
        <v>41634</v>
      </c>
      <c r="C158" s="77">
        <v>0.33029809597210952</v>
      </c>
      <c r="D158" s="77">
        <v>0.20588522084022601</v>
      </c>
      <c r="E158" s="77">
        <v>0.33458344922379002</v>
      </c>
      <c r="F158" s="78">
        <f t="shared" si="6"/>
        <v>0.12869822838356401</v>
      </c>
      <c r="H158" s="1">
        <v>41634</v>
      </c>
      <c r="I158">
        <v>0.22629116015596901</v>
      </c>
      <c r="K158" s="76">
        <v>41634</v>
      </c>
      <c r="L158" s="77">
        <v>0.33029809597210952</v>
      </c>
      <c r="M158" s="77">
        <v>0.20588522084022601</v>
      </c>
      <c r="N158" s="77">
        <f t="shared" si="7"/>
        <v>0.22629116015596901</v>
      </c>
      <c r="O158" s="78">
        <f t="shared" si="8"/>
        <v>2.0405939315742999E-2</v>
      </c>
    </row>
    <row r="159" spans="2:15">
      <c r="B159" s="76">
        <v>41641</v>
      </c>
      <c r="C159" s="77">
        <v>0.26212623729092371</v>
      </c>
      <c r="D159" s="77">
        <v>0.18270041372936699</v>
      </c>
      <c r="E159" s="77">
        <v>0.31505205634612699</v>
      </c>
      <c r="F159" s="78">
        <f t="shared" si="6"/>
        <v>0.13235164261676</v>
      </c>
      <c r="H159" s="1">
        <v>41641</v>
      </c>
      <c r="I159">
        <v>0.20171259537917</v>
      </c>
      <c r="K159" s="76">
        <v>41641</v>
      </c>
      <c r="L159" s="77">
        <v>0.26212623729092371</v>
      </c>
      <c r="M159" s="77">
        <v>0.18270041372936699</v>
      </c>
      <c r="N159" s="77">
        <f t="shared" si="7"/>
        <v>0.20171259537917</v>
      </c>
      <c r="O159" s="78">
        <f t="shared" si="8"/>
        <v>1.9012181649803006E-2</v>
      </c>
    </row>
    <row r="160" spans="2:15">
      <c r="B160" s="76">
        <v>41648</v>
      </c>
      <c r="C160" s="77">
        <v>0.2902260049252946</v>
      </c>
      <c r="D160" s="77">
        <v>0.20349751001168101</v>
      </c>
      <c r="E160" s="77">
        <v>0.334027493112526</v>
      </c>
      <c r="F160" s="78">
        <f t="shared" si="6"/>
        <v>0.13052998310084499</v>
      </c>
      <c r="H160" s="1">
        <v>41648</v>
      </c>
      <c r="I160">
        <v>0.225222551391554</v>
      </c>
      <c r="K160" s="76">
        <v>41648</v>
      </c>
      <c r="L160" s="77">
        <v>0.2902260049252946</v>
      </c>
      <c r="M160" s="77">
        <v>0.20349751001168101</v>
      </c>
      <c r="N160" s="77">
        <f t="shared" si="7"/>
        <v>0.225222551391554</v>
      </c>
      <c r="O160" s="78">
        <f t="shared" si="8"/>
        <v>2.1725041379872995E-2</v>
      </c>
    </row>
    <row r="161" spans="2:15">
      <c r="B161" s="76">
        <v>41655</v>
      </c>
      <c r="C161" s="77">
        <v>0.36774882579493112</v>
      </c>
      <c r="D161" s="77">
        <v>0.23285648019755101</v>
      </c>
      <c r="E161" s="77">
        <v>0.36192371081112201</v>
      </c>
      <c r="F161" s="78">
        <f t="shared" si="6"/>
        <v>0.129067230613571</v>
      </c>
      <c r="H161" s="1">
        <v>41655</v>
      </c>
      <c r="I161">
        <v>0.256712796608494</v>
      </c>
      <c r="K161" s="76">
        <v>41655</v>
      </c>
      <c r="L161" s="77">
        <v>0.36774882579493112</v>
      </c>
      <c r="M161" s="77">
        <v>0.23285648019755101</v>
      </c>
      <c r="N161" s="77">
        <f t="shared" si="7"/>
        <v>0.256712796608494</v>
      </c>
      <c r="O161" s="78">
        <f t="shared" si="8"/>
        <v>2.385631641094299E-2</v>
      </c>
    </row>
    <row r="162" spans="2:15">
      <c r="B162" s="76">
        <v>41662</v>
      </c>
      <c r="C162" s="77">
        <v>0.37084428304329614</v>
      </c>
      <c r="D162" s="77">
        <v>0.23330797794566899</v>
      </c>
      <c r="E162" s="77">
        <v>0.36226743615738599</v>
      </c>
      <c r="F162" s="78">
        <f t="shared" si="6"/>
        <v>0.128959458211717</v>
      </c>
      <c r="H162" s="1">
        <v>41662</v>
      </c>
      <c r="I162">
        <v>0.25744135481017799</v>
      </c>
      <c r="K162" s="76">
        <v>41662</v>
      </c>
      <c r="L162" s="77">
        <v>0.37084428304329614</v>
      </c>
      <c r="M162" s="77">
        <v>0.23330797794566899</v>
      </c>
      <c r="N162" s="77">
        <f t="shared" si="7"/>
        <v>0.25744135481017799</v>
      </c>
      <c r="O162" s="78">
        <f t="shared" si="8"/>
        <v>2.4133376864509004E-2</v>
      </c>
    </row>
    <row r="163" spans="2:15">
      <c r="B163" s="76">
        <v>41669</v>
      </c>
      <c r="C163" s="77">
        <v>0.38160196936392621</v>
      </c>
      <c r="D163" s="77">
        <v>0.29089795893761</v>
      </c>
      <c r="E163" s="77">
        <v>0.41605972221627302</v>
      </c>
      <c r="F163" s="78">
        <f t="shared" si="6"/>
        <v>0.12516176327866302</v>
      </c>
      <c r="H163" s="1">
        <v>41669</v>
      </c>
      <c r="I163">
        <v>0.31438854181645098</v>
      </c>
      <c r="K163" s="76">
        <v>41669</v>
      </c>
      <c r="L163" s="77">
        <v>0.38160196936392621</v>
      </c>
      <c r="M163" s="77">
        <v>0.29089795893761</v>
      </c>
      <c r="N163" s="77">
        <f t="shared" si="7"/>
        <v>0.31438854181645098</v>
      </c>
      <c r="O163" s="78">
        <f t="shared" si="8"/>
        <v>2.3490582878840982E-2</v>
      </c>
    </row>
    <row r="164" spans="2:15">
      <c r="B164" s="76">
        <v>41676</v>
      </c>
      <c r="C164" s="77">
        <v>0.40068103493110224</v>
      </c>
      <c r="D164" s="77">
        <v>0.31424671770039497</v>
      </c>
      <c r="E164" s="77">
        <v>0.439234845957858</v>
      </c>
      <c r="F164" s="78">
        <f t="shared" si="6"/>
        <v>0.12498812825746303</v>
      </c>
      <c r="H164" s="1">
        <v>41676</v>
      </c>
      <c r="I164">
        <v>0.33798112173000799</v>
      </c>
      <c r="K164" s="76">
        <v>41676</v>
      </c>
      <c r="L164" s="77">
        <v>0.40068103493110224</v>
      </c>
      <c r="M164" s="77">
        <v>0.31424671770039497</v>
      </c>
      <c r="N164" s="77">
        <f t="shared" si="7"/>
        <v>0.33798112173000799</v>
      </c>
      <c r="O164" s="78">
        <f t="shared" si="8"/>
        <v>2.3734404029613021E-2</v>
      </c>
    </row>
    <row r="165" spans="2:15">
      <c r="B165" s="76">
        <v>41683</v>
      </c>
      <c r="C165" s="77">
        <v>0.38532630107916044</v>
      </c>
      <c r="D165" s="77">
        <v>0.28654188629747801</v>
      </c>
      <c r="E165" s="77">
        <v>0.41377930466343998</v>
      </c>
      <c r="F165" s="78">
        <f t="shared" si="6"/>
        <v>0.12723741836596197</v>
      </c>
      <c r="H165" s="1">
        <v>41683</v>
      </c>
      <c r="I165">
        <v>0.31055726404016398</v>
      </c>
      <c r="K165" s="76">
        <v>41683</v>
      </c>
      <c r="L165" s="77">
        <v>0.38532630107916044</v>
      </c>
      <c r="M165" s="77">
        <v>0.28654188629747801</v>
      </c>
      <c r="N165" s="77">
        <f t="shared" si="7"/>
        <v>0.31055726404016398</v>
      </c>
      <c r="O165" s="78">
        <f t="shared" si="8"/>
        <v>2.4015377742685973E-2</v>
      </c>
    </row>
    <row r="166" spans="2:15">
      <c r="B166" s="76">
        <v>41690</v>
      </c>
      <c r="C166" s="77">
        <v>0.3755719775185945</v>
      </c>
      <c r="D166" s="77">
        <v>0.25823477101989301</v>
      </c>
      <c r="E166" s="77">
        <v>0.38763738178583501</v>
      </c>
      <c r="F166" s="78">
        <f t="shared" si="6"/>
        <v>0.12940261076594201</v>
      </c>
      <c r="H166" s="1">
        <v>41690</v>
      </c>
      <c r="I166">
        <v>0.28224141067613401</v>
      </c>
      <c r="K166" s="76">
        <v>41690</v>
      </c>
      <c r="L166" s="77">
        <v>0.3755719775185945</v>
      </c>
      <c r="M166" s="77">
        <v>0.25823477101989301</v>
      </c>
      <c r="N166" s="77">
        <f t="shared" si="7"/>
        <v>0.28224141067613401</v>
      </c>
      <c r="O166" s="78">
        <f t="shared" si="8"/>
        <v>2.4006639656241002E-2</v>
      </c>
    </row>
    <row r="167" spans="2:15">
      <c r="B167" s="76">
        <v>41697</v>
      </c>
      <c r="C167" s="77">
        <v>0.36967404481869215</v>
      </c>
      <c r="D167" s="77">
        <v>0.25744034883327499</v>
      </c>
      <c r="E167" s="77">
        <v>0.38707778665425802</v>
      </c>
      <c r="F167" s="78">
        <f t="shared" si="6"/>
        <v>0.12963743782098303</v>
      </c>
      <c r="H167" s="1">
        <v>41697</v>
      </c>
      <c r="I167">
        <v>0.28030510938432601</v>
      </c>
      <c r="K167" s="76">
        <v>41697</v>
      </c>
      <c r="L167" s="77">
        <v>0.36967404481869215</v>
      </c>
      <c r="M167" s="77">
        <v>0.25744034883327499</v>
      </c>
      <c r="N167" s="77">
        <f t="shared" si="7"/>
        <v>0.28030510938432601</v>
      </c>
      <c r="O167" s="78">
        <f t="shared" si="8"/>
        <v>2.2864760551051022E-2</v>
      </c>
    </row>
    <row r="168" spans="2:15">
      <c r="B168" s="76">
        <v>41704</v>
      </c>
      <c r="C168" s="77">
        <v>0.38316963725836589</v>
      </c>
      <c r="D168" s="77">
        <v>0.28216102843400898</v>
      </c>
      <c r="E168" s="77">
        <v>0.41131556149818799</v>
      </c>
      <c r="F168" s="78">
        <f t="shared" si="6"/>
        <v>0.12915453306417901</v>
      </c>
      <c r="H168" s="1">
        <v>41704</v>
      </c>
      <c r="I168">
        <v>0.30632423581387003</v>
      </c>
      <c r="K168" s="76">
        <v>41704</v>
      </c>
      <c r="L168" s="77">
        <v>0.38316963725836589</v>
      </c>
      <c r="M168" s="77">
        <v>0.28216102843400898</v>
      </c>
      <c r="N168" s="77">
        <f t="shared" si="7"/>
        <v>0.30632423581387003</v>
      </c>
      <c r="O168" s="78">
        <f t="shared" si="8"/>
        <v>2.4163207379861051E-2</v>
      </c>
    </row>
    <row r="169" spans="2:15">
      <c r="B169" s="76">
        <v>41711</v>
      </c>
      <c r="C169" s="77">
        <v>0.36933430427665681</v>
      </c>
      <c r="D169" s="77">
        <v>0.25339035668079501</v>
      </c>
      <c r="E169" s="77">
        <v>0.38478710266298899</v>
      </c>
      <c r="F169" s="78">
        <f t="shared" si="6"/>
        <v>0.13139674598219397</v>
      </c>
      <c r="H169" s="1">
        <v>41711</v>
      </c>
      <c r="I169">
        <v>0.27739231314429902</v>
      </c>
      <c r="K169" s="76">
        <v>41711</v>
      </c>
      <c r="L169" s="77">
        <v>0.36933430427665681</v>
      </c>
      <c r="M169" s="77">
        <v>0.25339035668079501</v>
      </c>
      <c r="N169" s="77">
        <f t="shared" si="7"/>
        <v>0.27739231314429902</v>
      </c>
      <c r="O169" s="78">
        <f t="shared" si="8"/>
        <v>2.4001956463504004E-2</v>
      </c>
    </row>
    <row r="170" spans="2:15">
      <c r="B170" s="76">
        <v>41718</v>
      </c>
      <c r="C170" s="77">
        <v>0.38030249532079374</v>
      </c>
      <c r="D170" s="77">
        <v>0.28102818996708701</v>
      </c>
      <c r="E170" s="77">
        <v>0.410587950533847</v>
      </c>
      <c r="F170" s="78">
        <f t="shared" si="6"/>
        <v>0.12955976056676</v>
      </c>
      <c r="H170" s="1">
        <v>41718</v>
      </c>
      <c r="I170">
        <v>0.305158136960197</v>
      </c>
      <c r="K170" s="76">
        <v>41718</v>
      </c>
      <c r="L170" s="77">
        <v>0.38030249532079374</v>
      </c>
      <c r="M170" s="77">
        <v>0.28102818996708701</v>
      </c>
      <c r="N170" s="77">
        <f t="shared" si="7"/>
        <v>0.305158136960197</v>
      </c>
      <c r="O170" s="78">
        <f t="shared" si="8"/>
        <v>2.4129946993109996E-2</v>
      </c>
    </row>
    <row r="171" spans="2:15">
      <c r="B171" s="76">
        <v>41725</v>
      </c>
      <c r="C171" s="77">
        <v>0.36565400061256043</v>
      </c>
      <c r="D171" s="77">
        <v>0.25299751732949799</v>
      </c>
      <c r="E171" s="77">
        <v>0.38449666572835101</v>
      </c>
      <c r="F171" s="78">
        <f t="shared" si="6"/>
        <v>0.13149914839885302</v>
      </c>
      <c r="H171" s="1">
        <v>41725</v>
      </c>
      <c r="I171">
        <v>0.27571464318613598</v>
      </c>
      <c r="K171" s="76">
        <v>41725</v>
      </c>
      <c r="L171" s="77">
        <v>0.36565400061256043</v>
      </c>
      <c r="M171" s="77">
        <v>0.25299751732949799</v>
      </c>
      <c r="N171" s="77">
        <f t="shared" si="7"/>
        <v>0.27571464318613598</v>
      </c>
      <c r="O171" s="78">
        <f t="shared" si="8"/>
        <v>2.2717125856637987E-2</v>
      </c>
    </row>
    <row r="172" spans="2:15">
      <c r="B172" s="76">
        <v>41732</v>
      </c>
      <c r="C172" s="77">
        <v>0.35521926568999218</v>
      </c>
      <c r="D172" s="77">
        <v>0.222143720081627</v>
      </c>
      <c r="E172" s="77">
        <v>0.35767470629269998</v>
      </c>
      <c r="F172" s="78">
        <f t="shared" si="6"/>
        <v>0.13553098621107298</v>
      </c>
      <c r="H172" s="1">
        <v>41732</v>
      </c>
      <c r="I172">
        <v>0.24706631517703201</v>
      </c>
      <c r="K172" s="76">
        <v>41732</v>
      </c>
      <c r="L172" s="77">
        <v>0.35521926568999218</v>
      </c>
      <c r="M172" s="77">
        <v>0.222143720081627</v>
      </c>
      <c r="N172" s="77">
        <f t="shared" si="7"/>
        <v>0.24706631517703201</v>
      </c>
      <c r="O172" s="78">
        <f t="shared" si="8"/>
        <v>2.4922595095405009E-2</v>
      </c>
    </row>
    <row r="173" spans="2:15">
      <c r="B173" s="76">
        <v>41739</v>
      </c>
      <c r="C173" s="77">
        <v>0.36683376695248865</v>
      </c>
      <c r="D173" s="77">
        <v>0.25169457423695202</v>
      </c>
      <c r="E173" s="77">
        <v>0.38504831317119298</v>
      </c>
      <c r="F173" s="78">
        <f t="shared" si="6"/>
        <v>0.13335373893424096</v>
      </c>
      <c r="H173" s="1">
        <v>41739</v>
      </c>
      <c r="I173">
        <v>0.27695663394785902</v>
      </c>
      <c r="K173" s="76">
        <v>41739</v>
      </c>
      <c r="L173" s="77">
        <v>0.36683376695248865</v>
      </c>
      <c r="M173" s="77">
        <v>0.25169457423695202</v>
      </c>
      <c r="N173" s="77">
        <f t="shared" si="7"/>
        <v>0.27695663394785902</v>
      </c>
      <c r="O173" s="78">
        <f t="shared" si="8"/>
        <v>2.5262059710907003E-2</v>
      </c>
    </row>
    <row r="174" spans="2:15">
      <c r="B174" s="76">
        <v>41746</v>
      </c>
      <c r="C174" s="77">
        <v>0.38166972699665563</v>
      </c>
      <c r="D174" s="77">
        <v>0.28058021231610197</v>
      </c>
      <c r="E174" s="77">
        <v>0.41164243172086001</v>
      </c>
      <c r="F174" s="78">
        <f t="shared" si="6"/>
        <v>0.13106221940475804</v>
      </c>
      <c r="H174" s="1">
        <v>41746</v>
      </c>
      <c r="I174">
        <v>0.30636975607074801</v>
      </c>
      <c r="K174" s="76">
        <v>41746</v>
      </c>
      <c r="L174" s="77">
        <v>0.38166972699665563</v>
      </c>
      <c r="M174" s="77">
        <v>0.28058021231610197</v>
      </c>
      <c r="N174" s="77">
        <f t="shared" si="7"/>
        <v>0.30636975607074801</v>
      </c>
      <c r="O174" s="78">
        <f t="shared" si="8"/>
        <v>2.5789543754646038E-2</v>
      </c>
    </row>
    <row r="175" spans="2:15">
      <c r="B175" s="76">
        <v>41753</v>
      </c>
      <c r="C175" s="77">
        <v>0.37393962817107157</v>
      </c>
      <c r="D175" s="77">
        <v>0.279448840397376</v>
      </c>
      <c r="E175" s="77">
        <v>0.41092385739423598</v>
      </c>
      <c r="F175" s="78">
        <f t="shared" si="6"/>
        <v>0.13147501699685998</v>
      </c>
      <c r="H175" s="1">
        <v>41753</v>
      </c>
      <c r="I175">
        <v>0.30473155820130099</v>
      </c>
      <c r="K175" s="76">
        <v>41753</v>
      </c>
      <c r="L175" s="77">
        <v>0.37393962817107157</v>
      </c>
      <c r="M175" s="77">
        <v>0.279448840397376</v>
      </c>
      <c r="N175" s="77">
        <f t="shared" si="7"/>
        <v>0.30473155820130099</v>
      </c>
      <c r="O175" s="78">
        <f t="shared" si="8"/>
        <v>2.5282717803924992E-2</v>
      </c>
    </row>
    <row r="176" spans="2:15">
      <c r="B176" s="76">
        <v>41760</v>
      </c>
      <c r="C176" s="77">
        <v>0.37360583835556432</v>
      </c>
      <c r="D176" s="77">
        <v>0.27758425345188897</v>
      </c>
      <c r="E176" s="77">
        <v>0.41100158272746001</v>
      </c>
      <c r="F176" s="78">
        <f t="shared" si="6"/>
        <v>0.13341732927557104</v>
      </c>
      <c r="H176" s="1">
        <v>41760</v>
      </c>
      <c r="I176">
        <v>0.30466547690103202</v>
      </c>
      <c r="K176" s="76">
        <v>41760</v>
      </c>
      <c r="L176" s="77">
        <v>0.37360583835556432</v>
      </c>
      <c r="M176" s="77">
        <v>0.27758425345188897</v>
      </c>
      <c r="N176" s="77">
        <f t="shared" si="7"/>
        <v>0.30466547690103202</v>
      </c>
      <c r="O176" s="78">
        <f t="shared" si="8"/>
        <v>2.7081223449143044E-2</v>
      </c>
    </row>
    <row r="177" spans="2:15">
      <c r="B177" s="76">
        <v>41767</v>
      </c>
      <c r="C177" s="77">
        <v>0.40975674753773905</v>
      </c>
      <c r="D177" s="77">
        <v>0.32550344763156402</v>
      </c>
      <c r="E177" s="77">
        <v>0.45457812646171702</v>
      </c>
      <c r="F177" s="78">
        <f t="shared" si="6"/>
        <v>0.129074678830153</v>
      </c>
      <c r="H177" s="1">
        <v>41767</v>
      </c>
      <c r="I177">
        <v>0.35473146099265701</v>
      </c>
      <c r="K177" s="76">
        <v>41767</v>
      </c>
      <c r="L177" s="77">
        <v>0.40975674753773905</v>
      </c>
      <c r="M177" s="77">
        <v>0.32550344763156402</v>
      </c>
      <c r="N177" s="77">
        <f t="shared" si="7"/>
        <v>0.35473146099265701</v>
      </c>
      <c r="O177" s="78">
        <f t="shared" si="8"/>
        <v>2.9228013361092986E-2</v>
      </c>
    </row>
    <row r="178" spans="2:15">
      <c r="B178" s="76">
        <v>41774</v>
      </c>
      <c r="C178" s="77">
        <v>0.4132153406951769</v>
      </c>
      <c r="D178" s="77">
        <v>0.32552411046597202</v>
      </c>
      <c r="E178" s="77">
        <v>0.45459535037724502</v>
      </c>
      <c r="F178" s="78">
        <f t="shared" si="6"/>
        <v>0.12907123991127301</v>
      </c>
      <c r="H178" s="1">
        <v>41774</v>
      </c>
      <c r="I178">
        <v>0.35510750939955799</v>
      </c>
      <c r="K178" s="76">
        <v>41774</v>
      </c>
      <c r="L178" s="77">
        <v>0.4132153406951769</v>
      </c>
      <c r="M178" s="77">
        <v>0.32552411046597202</v>
      </c>
      <c r="N178" s="77">
        <f t="shared" si="7"/>
        <v>0.35510750939955799</v>
      </c>
      <c r="O178" s="78">
        <f t="shared" si="8"/>
        <v>2.9583398933585969E-2</v>
      </c>
    </row>
    <row r="179" spans="2:15">
      <c r="B179" s="76">
        <v>41781</v>
      </c>
      <c r="C179" s="77">
        <v>0.44799454346559853</v>
      </c>
      <c r="D179" s="77">
        <v>0.347488455871724</v>
      </c>
      <c r="E179" s="77">
        <v>0.47441483161345099</v>
      </c>
      <c r="F179" s="78">
        <f t="shared" si="6"/>
        <v>0.12692637574172699</v>
      </c>
      <c r="H179" s="1">
        <v>41781</v>
      </c>
      <c r="I179">
        <v>0.37813915561231398</v>
      </c>
      <c r="K179" s="76">
        <v>41781</v>
      </c>
      <c r="L179" s="77">
        <v>0.44799454346559853</v>
      </c>
      <c r="M179" s="77">
        <v>0.347488455871724</v>
      </c>
      <c r="N179" s="77">
        <f t="shared" si="7"/>
        <v>0.37813915561231398</v>
      </c>
      <c r="O179" s="78">
        <f t="shared" si="8"/>
        <v>3.0650699740589982E-2</v>
      </c>
    </row>
    <row r="180" spans="2:15">
      <c r="B180" s="76">
        <v>41788</v>
      </c>
      <c r="C180" s="77">
        <v>0.46362020494951672</v>
      </c>
      <c r="D180" s="77">
        <v>0.34818390220270101</v>
      </c>
      <c r="E180" s="77">
        <v>0.47487286011146401</v>
      </c>
      <c r="F180" s="78">
        <f t="shared" si="6"/>
        <v>0.126688957908763</v>
      </c>
      <c r="H180" s="1">
        <v>41788</v>
      </c>
      <c r="I180">
        <v>0.38007735837086398</v>
      </c>
      <c r="K180" s="76">
        <v>41788</v>
      </c>
      <c r="L180" s="77">
        <v>0.46362020494951672</v>
      </c>
      <c r="M180" s="77">
        <v>0.34818390220270101</v>
      </c>
      <c r="N180" s="77">
        <f t="shared" si="7"/>
        <v>0.38007735837086398</v>
      </c>
      <c r="O180" s="78">
        <f t="shared" si="8"/>
        <v>3.189345616816297E-2</v>
      </c>
    </row>
    <row r="181" spans="2:15">
      <c r="B181" s="76">
        <v>41795</v>
      </c>
      <c r="C181" s="77">
        <v>0.46847875373528863</v>
      </c>
      <c r="D181" s="77">
        <v>0.346238128399389</v>
      </c>
      <c r="E181" s="77">
        <v>0.475595859590284</v>
      </c>
      <c r="F181" s="78">
        <f t="shared" si="6"/>
        <v>0.129357731190895</v>
      </c>
      <c r="H181" s="1">
        <v>41795</v>
      </c>
      <c r="I181">
        <v>0.38136274564707001</v>
      </c>
      <c r="K181" s="76">
        <v>41795</v>
      </c>
      <c r="L181" s="77">
        <v>0.46847875373528863</v>
      </c>
      <c r="M181" s="77">
        <v>0.346238128399389</v>
      </c>
      <c r="N181" s="77">
        <f t="shared" si="7"/>
        <v>0.38136274564707001</v>
      </c>
      <c r="O181" s="78">
        <f t="shared" si="8"/>
        <v>3.5124617247681011E-2</v>
      </c>
    </row>
    <row r="182" spans="2:15">
      <c r="B182" s="76">
        <v>41802</v>
      </c>
      <c r="C182" s="77">
        <v>0.41096738430920449</v>
      </c>
      <c r="D182" s="77">
        <v>0.32274759646781798</v>
      </c>
      <c r="E182" s="77">
        <v>0.45449098513744102</v>
      </c>
      <c r="F182" s="78">
        <f t="shared" si="6"/>
        <v>0.13174338866962304</v>
      </c>
      <c r="H182" s="1">
        <v>41802</v>
      </c>
      <c r="I182">
        <v>0.354558274605281</v>
      </c>
      <c r="K182" s="76">
        <v>41802</v>
      </c>
      <c r="L182" s="77">
        <v>0.41096738430920449</v>
      </c>
      <c r="M182" s="77">
        <v>0.32274759646781798</v>
      </c>
      <c r="N182" s="77">
        <f t="shared" si="7"/>
        <v>0.354558274605281</v>
      </c>
      <c r="O182" s="78">
        <f t="shared" si="8"/>
        <v>3.1810678137463022E-2</v>
      </c>
    </row>
    <row r="183" spans="2:15">
      <c r="B183" s="76">
        <v>41809</v>
      </c>
      <c r="C183" s="77">
        <v>0.42635938692148717</v>
      </c>
      <c r="D183" s="77">
        <v>0.324184407069465</v>
      </c>
      <c r="E183" s="77">
        <v>0.45535981677361198</v>
      </c>
      <c r="F183" s="78">
        <f t="shared" si="6"/>
        <v>0.13117540970414698</v>
      </c>
      <c r="H183" s="1">
        <v>41809</v>
      </c>
      <c r="I183">
        <v>0.35638375297164099</v>
      </c>
      <c r="K183" s="76">
        <v>41809</v>
      </c>
      <c r="L183" s="77">
        <v>0.42635938692148717</v>
      </c>
      <c r="M183" s="77">
        <v>0.324184407069465</v>
      </c>
      <c r="N183" s="77">
        <f t="shared" si="7"/>
        <v>0.35638375297164099</v>
      </c>
      <c r="O183" s="78">
        <f t="shared" si="8"/>
        <v>3.2199345902175991E-2</v>
      </c>
    </row>
    <row r="184" spans="2:15">
      <c r="B184" s="76">
        <v>41816</v>
      </c>
      <c r="C184" s="77">
        <v>0.46847875373528863</v>
      </c>
      <c r="D184" s="77">
        <v>0.346238128399389</v>
      </c>
      <c r="E184" s="77">
        <v>0.475595859590284</v>
      </c>
      <c r="F184" s="78">
        <f t="shared" si="6"/>
        <v>0.129357731190895</v>
      </c>
      <c r="H184" s="1">
        <v>41816</v>
      </c>
      <c r="I184">
        <v>0.38136274564707001</v>
      </c>
      <c r="K184" s="76">
        <v>41816</v>
      </c>
      <c r="L184" s="77">
        <v>0.46847875373528863</v>
      </c>
      <c r="M184" s="77">
        <v>0.346238128399389</v>
      </c>
      <c r="N184" s="77">
        <f t="shared" si="7"/>
        <v>0.38136274564707001</v>
      </c>
      <c r="O184" s="78">
        <f t="shared" si="8"/>
        <v>3.5124617247681011E-2</v>
      </c>
    </row>
    <row r="185" spans="2:15">
      <c r="B185" s="76">
        <v>41823</v>
      </c>
      <c r="C185" s="77">
        <v>0.48178321750260522</v>
      </c>
      <c r="D185" s="77">
        <v>0.36578907876503403</v>
      </c>
      <c r="E185" s="77">
        <v>0.49785164828491202</v>
      </c>
      <c r="F185" s="78">
        <f t="shared" si="6"/>
        <v>0.13206256951987799</v>
      </c>
      <c r="H185" s="1">
        <v>41823</v>
      </c>
      <c r="I185">
        <v>0.40668349695613898</v>
      </c>
      <c r="K185" s="76">
        <v>41823</v>
      </c>
      <c r="L185" s="77">
        <v>0.48178321750260522</v>
      </c>
      <c r="M185" s="77">
        <v>0.36578907876503403</v>
      </c>
      <c r="N185" s="77">
        <f t="shared" si="7"/>
        <v>0.40668349695613898</v>
      </c>
      <c r="O185" s="78">
        <f t="shared" si="8"/>
        <v>4.0894418191104953E-2</v>
      </c>
    </row>
    <row r="186" spans="2:15">
      <c r="B186" s="76">
        <v>41830</v>
      </c>
      <c r="C186" s="77">
        <v>0.42147742037560049</v>
      </c>
      <c r="D186" s="77">
        <v>0.31805600486192798</v>
      </c>
      <c r="E186" s="77">
        <v>0.45313476995693502</v>
      </c>
      <c r="F186" s="78">
        <f t="shared" si="6"/>
        <v>0.13507876509500705</v>
      </c>
      <c r="H186" s="1">
        <v>41830</v>
      </c>
      <c r="I186">
        <v>0.35127441371780599</v>
      </c>
      <c r="K186" s="76">
        <v>41830</v>
      </c>
      <c r="L186" s="77">
        <v>0.42147742037560049</v>
      </c>
      <c r="M186" s="77">
        <v>0.31805600486192798</v>
      </c>
      <c r="N186" s="77">
        <f t="shared" si="7"/>
        <v>0.35127441371780599</v>
      </c>
      <c r="O186" s="78">
        <f t="shared" si="8"/>
        <v>3.3218408855878012E-2</v>
      </c>
    </row>
    <row r="187" spans="2:15">
      <c r="B187" s="76">
        <v>41837</v>
      </c>
      <c r="C187" s="77">
        <v>0.45155296827836544</v>
      </c>
      <c r="D187" s="77">
        <v>0.34009498441958502</v>
      </c>
      <c r="E187" s="77">
        <v>0.47345524330482502</v>
      </c>
      <c r="F187" s="78">
        <f t="shared" si="6"/>
        <v>0.13336025888524</v>
      </c>
      <c r="H187" s="1">
        <v>41837</v>
      </c>
      <c r="I187">
        <v>0.37569546518688601</v>
      </c>
      <c r="K187" s="76">
        <v>41837</v>
      </c>
      <c r="L187" s="77">
        <v>0.45155296827836544</v>
      </c>
      <c r="M187" s="77">
        <v>0.34009498441958502</v>
      </c>
      <c r="N187" s="77">
        <f t="shared" si="7"/>
        <v>0.37569546518688601</v>
      </c>
      <c r="O187" s="78">
        <f t="shared" si="8"/>
        <v>3.560048076730099E-2</v>
      </c>
    </row>
    <row r="188" spans="2:15">
      <c r="B188" s="76">
        <v>41844</v>
      </c>
      <c r="C188" s="77">
        <v>0.45155296827836544</v>
      </c>
      <c r="D188" s="77">
        <v>0.34009498441958502</v>
      </c>
      <c r="E188" s="77">
        <v>0.47345524330482502</v>
      </c>
      <c r="F188" s="78">
        <f t="shared" si="6"/>
        <v>0.13336025888524</v>
      </c>
      <c r="H188" s="1">
        <v>41844</v>
      </c>
      <c r="I188">
        <v>0.37569546518688601</v>
      </c>
      <c r="K188" s="76">
        <v>41844</v>
      </c>
      <c r="L188" s="77">
        <v>0.45155296827836544</v>
      </c>
      <c r="M188" s="77">
        <v>0.34009498441958502</v>
      </c>
      <c r="N188" s="77">
        <f t="shared" si="7"/>
        <v>0.37569546518688601</v>
      </c>
      <c r="O188" s="78">
        <f t="shared" si="8"/>
        <v>3.560048076730099E-2</v>
      </c>
    </row>
    <row r="189" spans="2:15">
      <c r="B189" s="76">
        <v>41851</v>
      </c>
      <c r="C189" s="77">
        <v>0.45923072088835232</v>
      </c>
      <c r="D189" s="77">
        <v>0.34042369497045799</v>
      </c>
      <c r="E189" s="77">
        <v>0.47367267081046699</v>
      </c>
      <c r="F189" s="78">
        <f t="shared" si="6"/>
        <v>0.133248975840009</v>
      </c>
      <c r="H189" s="1">
        <v>41851</v>
      </c>
      <c r="I189">
        <v>0.37710616064306202</v>
      </c>
      <c r="K189" s="76">
        <v>41851</v>
      </c>
      <c r="L189" s="77">
        <v>0.45923072088835232</v>
      </c>
      <c r="M189" s="77">
        <v>0.34042369497045799</v>
      </c>
      <c r="N189" s="77">
        <f t="shared" si="7"/>
        <v>0.37710616064306202</v>
      </c>
      <c r="O189" s="78">
        <f t="shared" si="8"/>
        <v>3.6682465672604025E-2</v>
      </c>
    </row>
    <row r="190" spans="2:15">
      <c r="B190" s="76">
        <v>41858</v>
      </c>
      <c r="C190" s="77">
        <v>0.42413376349642812</v>
      </c>
      <c r="D190" s="77">
        <v>0.31036061365073903</v>
      </c>
      <c r="E190" s="77">
        <v>0.44905662805025698</v>
      </c>
      <c r="F190" s="78">
        <f t="shared" si="6"/>
        <v>0.13869601439951795</v>
      </c>
      <c r="H190" s="1">
        <v>41858</v>
      </c>
      <c r="I190">
        <v>0.34489863565206802</v>
      </c>
      <c r="K190" s="76">
        <v>41858</v>
      </c>
      <c r="L190" s="77">
        <v>0.42413376349642812</v>
      </c>
      <c r="M190" s="77">
        <v>0.31036061365073903</v>
      </c>
      <c r="N190" s="77">
        <f t="shared" si="7"/>
        <v>0.34489863565206802</v>
      </c>
      <c r="O190" s="78">
        <f t="shared" si="8"/>
        <v>3.4538022001328994E-2</v>
      </c>
    </row>
    <row r="191" spans="2:15">
      <c r="B191" s="76">
        <v>41865</v>
      </c>
      <c r="C191" s="77">
        <v>0.45575254137027688</v>
      </c>
      <c r="D191" s="77">
        <v>0.33263554438079002</v>
      </c>
      <c r="E191" s="77">
        <v>0.46961383574146598</v>
      </c>
      <c r="F191" s="78">
        <f t="shared" si="6"/>
        <v>0.13697829136067596</v>
      </c>
      <c r="H191" s="1">
        <v>41865</v>
      </c>
      <c r="I191">
        <v>0.37048359025229799</v>
      </c>
      <c r="K191" s="76">
        <v>41865</v>
      </c>
      <c r="L191" s="77">
        <v>0.45575254137027688</v>
      </c>
      <c r="M191" s="77">
        <v>0.33263554438079002</v>
      </c>
      <c r="N191" s="77">
        <f t="shared" si="7"/>
        <v>0.37048359025229799</v>
      </c>
      <c r="O191" s="78">
        <f t="shared" si="8"/>
        <v>3.7848045871507974E-2</v>
      </c>
    </row>
    <row r="192" spans="2:15">
      <c r="B192" s="76">
        <v>41872</v>
      </c>
      <c r="C192" s="77">
        <v>0.49084413664233395</v>
      </c>
      <c r="D192" s="77">
        <v>0.35838762838330102</v>
      </c>
      <c r="E192" s="77">
        <v>0.49412020813719998</v>
      </c>
      <c r="F192" s="78">
        <f t="shared" si="6"/>
        <v>0.13573257975389896</v>
      </c>
      <c r="H192" s="1">
        <v>41872</v>
      </c>
      <c r="I192">
        <v>0.40150628228700203</v>
      </c>
      <c r="K192" s="76">
        <v>41872</v>
      </c>
      <c r="L192" s="77">
        <v>0.49084413664233395</v>
      </c>
      <c r="M192" s="77">
        <v>0.35838762838330102</v>
      </c>
      <c r="N192" s="77">
        <f t="shared" si="7"/>
        <v>0.40150628228700203</v>
      </c>
      <c r="O192" s="78">
        <f t="shared" si="8"/>
        <v>4.311865390370101E-2</v>
      </c>
    </row>
    <row r="193" spans="2:15">
      <c r="B193" s="76">
        <v>41879</v>
      </c>
      <c r="C193" s="77">
        <v>0.49084413664233395</v>
      </c>
      <c r="D193" s="77">
        <v>0.35838762838330102</v>
      </c>
      <c r="E193" s="77">
        <v>0.49412020813719998</v>
      </c>
      <c r="F193" s="78">
        <f t="shared" si="6"/>
        <v>0.13573257975389896</v>
      </c>
      <c r="H193" s="1">
        <v>41879</v>
      </c>
      <c r="I193">
        <v>0.40150628228700203</v>
      </c>
      <c r="K193" s="76">
        <v>41879</v>
      </c>
      <c r="L193" s="77">
        <v>0.49084413664233395</v>
      </c>
      <c r="M193" s="77">
        <v>0.35838762838330102</v>
      </c>
      <c r="N193" s="77">
        <f t="shared" si="7"/>
        <v>0.40150628228700203</v>
      </c>
      <c r="O193" s="78">
        <f t="shared" si="8"/>
        <v>4.311865390370101E-2</v>
      </c>
    </row>
    <row r="194" spans="2:15">
      <c r="B194" s="76">
        <v>41886</v>
      </c>
      <c r="C194" s="77">
        <v>0.4873264191007175</v>
      </c>
      <c r="D194" s="77">
        <v>0.35124395630609401</v>
      </c>
      <c r="E194" s="77">
        <v>0.490645181334884</v>
      </c>
      <c r="F194" s="78">
        <f t="shared" si="6"/>
        <v>0.13940122502878999</v>
      </c>
      <c r="H194" s="1">
        <v>41886</v>
      </c>
      <c r="I194">
        <v>0.39564048824252901</v>
      </c>
      <c r="K194" s="76">
        <v>41886</v>
      </c>
      <c r="L194" s="77">
        <v>0.4873264191007175</v>
      </c>
      <c r="M194" s="77">
        <v>0.35124395630609401</v>
      </c>
      <c r="N194" s="77">
        <f t="shared" si="7"/>
        <v>0.39564048824252901</v>
      </c>
      <c r="O194" s="78">
        <f t="shared" si="8"/>
        <v>4.4396531936435002E-2</v>
      </c>
    </row>
    <row r="195" spans="2:15">
      <c r="B195" s="76">
        <v>41893</v>
      </c>
      <c r="C195" s="77">
        <v>0.4741591952243816</v>
      </c>
      <c r="D195" s="77">
        <v>0.350821387629207</v>
      </c>
      <c r="E195" s="77">
        <v>0.490245807372506</v>
      </c>
      <c r="F195" s="78">
        <f t="shared" si="6"/>
        <v>0.139424419743299</v>
      </c>
      <c r="H195" s="1">
        <v>41893</v>
      </c>
      <c r="I195">
        <v>0.39402430051755699</v>
      </c>
      <c r="K195" s="76">
        <v>41893</v>
      </c>
      <c r="L195" s="77">
        <v>0.4741591952243816</v>
      </c>
      <c r="M195" s="77">
        <v>0.350821387629207</v>
      </c>
      <c r="N195" s="77">
        <f t="shared" si="7"/>
        <v>0.39402430051755699</v>
      </c>
      <c r="O195" s="78">
        <f t="shared" si="8"/>
        <v>4.3202912888349987E-2</v>
      </c>
    </row>
    <row r="196" spans="2:15">
      <c r="B196" s="76">
        <v>41900</v>
      </c>
      <c r="C196" s="77">
        <v>0.3981672862675662</v>
      </c>
      <c r="D196" s="77">
        <v>0.30185821114737799</v>
      </c>
      <c r="E196" s="77">
        <v>0.44485844381328299</v>
      </c>
      <c r="F196" s="78">
        <f t="shared" ref="F196:F227" si="9">E196-D196</f>
        <v>0.143000232665905</v>
      </c>
      <c r="H196" s="1">
        <v>41900</v>
      </c>
      <c r="I196">
        <v>0.335786197250867</v>
      </c>
      <c r="K196" s="76">
        <v>41900</v>
      </c>
      <c r="L196" s="77">
        <v>0.3981672862675662</v>
      </c>
      <c r="M196" s="77">
        <v>0.30185821114737799</v>
      </c>
      <c r="N196" s="77">
        <f t="shared" ref="N196:N227" si="10">VLOOKUP(K196,H196:I423,2,0)</f>
        <v>0.335786197250867</v>
      </c>
      <c r="O196" s="78">
        <f t="shared" ref="O196:O227" si="11">N196-M196</f>
        <v>3.3927986103489016E-2</v>
      </c>
    </row>
    <row r="197" spans="2:15">
      <c r="B197" s="76">
        <v>41907</v>
      </c>
      <c r="C197" s="77">
        <v>0.41373230170663788</v>
      </c>
      <c r="D197" s="77">
        <v>0.303134887573904</v>
      </c>
      <c r="E197" s="77">
        <v>0.44562992385305</v>
      </c>
      <c r="F197" s="78">
        <f t="shared" si="9"/>
        <v>0.142495036279146</v>
      </c>
      <c r="H197" s="1">
        <v>41907</v>
      </c>
      <c r="I197">
        <v>0.33779900726217199</v>
      </c>
      <c r="K197" s="76">
        <v>41907</v>
      </c>
      <c r="L197" s="77">
        <v>0.41373230170663788</v>
      </c>
      <c r="M197" s="77">
        <v>0.303134887573904</v>
      </c>
      <c r="N197" s="77">
        <f t="shared" si="10"/>
        <v>0.33779900726217199</v>
      </c>
      <c r="O197" s="78">
        <f t="shared" si="11"/>
        <v>3.4664119688267991E-2</v>
      </c>
    </row>
    <row r="198" spans="2:15">
      <c r="B198" s="76">
        <v>41914</v>
      </c>
      <c r="C198" s="77">
        <v>0.43232059685066798</v>
      </c>
      <c r="D198" s="77">
        <v>0.31668157332951902</v>
      </c>
      <c r="E198" s="77">
        <v>0.461630793166039</v>
      </c>
      <c r="F198" s="78">
        <f t="shared" si="9"/>
        <v>0.14494921983651998</v>
      </c>
      <c r="H198" s="1">
        <v>41914</v>
      </c>
      <c r="I198">
        <v>0.35298059221452499</v>
      </c>
      <c r="K198" s="76">
        <v>41914</v>
      </c>
      <c r="L198" s="77">
        <v>0.43232059685066798</v>
      </c>
      <c r="M198" s="77">
        <v>0.31668157332951902</v>
      </c>
      <c r="N198" s="77">
        <f t="shared" si="10"/>
        <v>0.35298059221452499</v>
      </c>
      <c r="O198" s="78">
        <f t="shared" si="11"/>
        <v>3.6299018885005974E-2</v>
      </c>
    </row>
    <row r="199" spans="2:15">
      <c r="B199" s="76">
        <v>41921</v>
      </c>
      <c r="C199" s="77">
        <v>0.47165449273347226</v>
      </c>
      <c r="D199" s="77">
        <v>0.34232551793557098</v>
      </c>
      <c r="E199" s="77">
        <v>0.48583856044097401</v>
      </c>
      <c r="F199" s="78">
        <f t="shared" si="9"/>
        <v>0.14351304250540303</v>
      </c>
      <c r="H199" s="1">
        <v>41921</v>
      </c>
      <c r="I199">
        <v>0.38553330142435899</v>
      </c>
      <c r="K199" s="76">
        <v>41921</v>
      </c>
      <c r="L199" s="77">
        <v>0.47165449273347226</v>
      </c>
      <c r="M199" s="77">
        <v>0.34232551793557098</v>
      </c>
      <c r="N199" s="77">
        <f t="shared" si="10"/>
        <v>0.38553330142435899</v>
      </c>
      <c r="O199" s="78">
        <f t="shared" si="11"/>
        <v>4.320778348878801E-2</v>
      </c>
    </row>
    <row r="200" spans="2:15">
      <c r="B200" s="76">
        <v>41928</v>
      </c>
      <c r="C200" s="77">
        <v>0.57517284737260799</v>
      </c>
      <c r="D200" s="77">
        <v>0.40285473187500098</v>
      </c>
      <c r="E200" s="77">
        <v>0.54189899626716298</v>
      </c>
      <c r="F200" s="78">
        <f t="shared" si="9"/>
        <v>0.139044264392162</v>
      </c>
      <c r="H200" s="1">
        <v>41928</v>
      </c>
      <c r="I200">
        <v>0.45862210331192299</v>
      </c>
      <c r="K200" s="76">
        <v>41928</v>
      </c>
      <c r="L200" s="77">
        <v>0.57517284737260799</v>
      </c>
      <c r="M200" s="77">
        <v>0.40285473187500098</v>
      </c>
      <c r="N200" s="77">
        <f t="shared" si="10"/>
        <v>0.45862210331192299</v>
      </c>
      <c r="O200" s="78">
        <f t="shared" si="11"/>
        <v>5.5767371436922009E-2</v>
      </c>
    </row>
    <row r="201" spans="2:15">
      <c r="B201" s="76">
        <v>41935</v>
      </c>
      <c r="C201" s="77">
        <v>0.58745733896979668</v>
      </c>
      <c r="D201" s="77">
        <v>0.43224640519919799</v>
      </c>
      <c r="E201" s="77">
        <v>0.56780927639171197</v>
      </c>
      <c r="F201" s="78">
        <f t="shared" si="9"/>
        <v>0.13556287119251398</v>
      </c>
      <c r="H201" s="1">
        <v>41935</v>
      </c>
      <c r="I201">
        <v>0.49010064863363401</v>
      </c>
      <c r="K201" s="76">
        <v>41935</v>
      </c>
      <c r="L201" s="77">
        <v>0.58745733896979668</v>
      </c>
      <c r="M201" s="77">
        <v>0.43224640519919799</v>
      </c>
      <c r="N201" s="77">
        <f t="shared" si="10"/>
        <v>0.49010064863363401</v>
      </c>
      <c r="O201" s="78">
        <f t="shared" si="11"/>
        <v>5.7854243434436015E-2</v>
      </c>
    </row>
    <row r="202" spans="2:15">
      <c r="B202" s="76">
        <v>41942</v>
      </c>
      <c r="C202" s="77">
        <v>0.57181297396619646</v>
      </c>
      <c r="D202" s="77">
        <v>0.40279530551033699</v>
      </c>
      <c r="E202" s="77">
        <v>0.541842357237176</v>
      </c>
      <c r="F202" s="78">
        <f t="shared" si="9"/>
        <v>0.13904705172683901</v>
      </c>
      <c r="H202" s="1">
        <v>41942</v>
      </c>
      <c r="I202">
        <v>0.45791499093723897</v>
      </c>
      <c r="K202" s="76">
        <v>41942</v>
      </c>
      <c r="L202" s="77">
        <v>0.57181297396619646</v>
      </c>
      <c r="M202" s="77">
        <v>0.40279530551033699</v>
      </c>
      <c r="N202" s="77">
        <f t="shared" si="10"/>
        <v>0.45791499093723897</v>
      </c>
      <c r="O202" s="78">
        <f t="shared" si="11"/>
        <v>5.5119685426901988E-2</v>
      </c>
    </row>
    <row r="203" spans="2:15">
      <c r="B203" s="76">
        <v>41949</v>
      </c>
      <c r="C203" s="77">
        <v>0.54857982917990311</v>
      </c>
      <c r="D203" s="77">
        <v>0.363805283856794</v>
      </c>
      <c r="E203" s="77">
        <v>0.508409072340408</v>
      </c>
      <c r="F203" s="78">
        <f t="shared" si="9"/>
        <v>0.14460378848361399</v>
      </c>
      <c r="H203" s="1">
        <v>41949</v>
      </c>
      <c r="I203">
        <v>0.41298189638604699</v>
      </c>
      <c r="K203" s="76">
        <v>41949</v>
      </c>
      <c r="L203" s="77">
        <v>0.54857982917990311</v>
      </c>
      <c r="M203" s="77">
        <v>0.363805283856794</v>
      </c>
      <c r="N203" s="77">
        <f t="shared" si="10"/>
        <v>0.41298189638604699</v>
      </c>
      <c r="O203" s="78">
        <f t="shared" si="11"/>
        <v>4.9176612529252983E-2</v>
      </c>
    </row>
    <row r="204" spans="2:15">
      <c r="B204" s="76">
        <v>41956</v>
      </c>
      <c r="C204" s="77">
        <v>0.55497671209744126</v>
      </c>
      <c r="D204" s="77">
        <v>0.36393083176118401</v>
      </c>
      <c r="E204" s="77">
        <v>0.50851555140808302</v>
      </c>
      <c r="F204" s="78">
        <f t="shared" si="9"/>
        <v>0.14458471964689901</v>
      </c>
      <c r="H204" s="1">
        <v>41956</v>
      </c>
      <c r="I204">
        <v>0.413158972870934</v>
      </c>
      <c r="K204" s="76">
        <v>41956</v>
      </c>
      <c r="L204" s="77">
        <v>0.55497671209744126</v>
      </c>
      <c r="M204" s="77">
        <v>0.36393083176118401</v>
      </c>
      <c r="N204" s="77">
        <f t="shared" si="10"/>
        <v>0.413158972870934</v>
      </c>
      <c r="O204" s="78">
        <f t="shared" si="11"/>
        <v>4.922814110974999E-2</v>
      </c>
    </row>
    <row r="205" spans="2:15">
      <c r="B205" s="76">
        <v>41963</v>
      </c>
      <c r="C205" s="77">
        <v>0.56606721089043732</v>
      </c>
      <c r="D205" s="77">
        <v>0.39464243161649398</v>
      </c>
      <c r="E205" s="77">
        <v>0.53761514525020104</v>
      </c>
      <c r="F205" s="78">
        <f t="shared" si="9"/>
        <v>0.14297271363370706</v>
      </c>
      <c r="H205" s="1">
        <v>41963</v>
      </c>
      <c r="I205">
        <v>0.44955259080167498</v>
      </c>
      <c r="K205" s="76">
        <v>41963</v>
      </c>
      <c r="L205" s="77">
        <v>0.56606721089043732</v>
      </c>
      <c r="M205" s="77">
        <v>0.39464243161649398</v>
      </c>
      <c r="N205" s="77">
        <f t="shared" si="10"/>
        <v>0.44955259080167498</v>
      </c>
      <c r="O205" s="78">
        <f t="shared" si="11"/>
        <v>5.4910159185180996E-2</v>
      </c>
    </row>
    <row r="206" spans="2:15">
      <c r="B206" s="76">
        <v>41969</v>
      </c>
      <c r="C206" s="77">
        <v>0.57290983086857539</v>
      </c>
      <c r="D206" s="77">
        <v>0.39478657813594797</v>
      </c>
      <c r="E206" s="77">
        <v>0.53775096220647101</v>
      </c>
      <c r="F206" s="78">
        <f t="shared" si="9"/>
        <v>0.14296438407052303</v>
      </c>
      <c r="H206" s="1">
        <v>41969</v>
      </c>
      <c r="I206">
        <v>0.45066656472309602</v>
      </c>
      <c r="K206" s="76">
        <v>41969</v>
      </c>
      <c r="L206" s="77">
        <v>0.57290983086857539</v>
      </c>
      <c r="M206" s="77">
        <v>0.39478657813594797</v>
      </c>
      <c r="N206" s="77">
        <f t="shared" si="10"/>
        <v>0.45066656472309602</v>
      </c>
      <c r="O206" s="78">
        <f t="shared" si="11"/>
        <v>5.5879986587148045E-2</v>
      </c>
    </row>
    <row r="207" spans="2:15">
      <c r="B207" s="76">
        <v>41977</v>
      </c>
      <c r="C207" s="77">
        <v>0.59279776197128353</v>
      </c>
      <c r="D207" s="77">
        <v>0.41779394948311799</v>
      </c>
      <c r="E207" s="77">
        <v>0.55994808522013495</v>
      </c>
      <c r="F207" s="78">
        <f t="shared" si="9"/>
        <v>0.14215413573701696</v>
      </c>
      <c r="H207" s="1">
        <v>41977</v>
      </c>
      <c r="I207">
        <v>0.47792725629958699</v>
      </c>
      <c r="K207" s="76">
        <v>41977</v>
      </c>
      <c r="L207" s="77">
        <v>0.59279776197128353</v>
      </c>
      <c r="M207" s="77">
        <v>0.41779394948311799</v>
      </c>
      <c r="N207" s="77">
        <f t="shared" si="10"/>
        <v>0.47792725629958699</v>
      </c>
      <c r="O207" s="78">
        <f t="shared" si="11"/>
        <v>6.0133306816469001E-2</v>
      </c>
    </row>
    <row r="208" spans="2:15">
      <c r="B208" s="76">
        <v>41984</v>
      </c>
      <c r="C208" s="77">
        <v>0.5786710507683992</v>
      </c>
      <c r="D208" s="77">
        <v>0.41674162737276199</v>
      </c>
      <c r="E208" s="77">
        <v>0.55923798077262399</v>
      </c>
      <c r="F208" s="78">
        <f t="shared" si="9"/>
        <v>0.142496353399862</v>
      </c>
      <c r="H208" s="1">
        <v>41984</v>
      </c>
      <c r="I208">
        <v>0.47411357431497397</v>
      </c>
      <c r="K208" s="76">
        <v>41984</v>
      </c>
      <c r="L208" s="77">
        <v>0.5786710507683992</v>
      </c>
      <c r="M208" s="77">
        <v>0.41674162737276199</v>
      </c>
      <c r="N208" s="77">
        <f t="shared" si="10"/>
        <v>0.47411357431497397</v>
      </c>
      <c r="O208" s="78">
        <f t="shared" si="11"/>
        <v>5.7371946942211982E-2</v>
      </c>
    </row>
    <row r="209" spans="2:15">
      <c r="B209" s="76">
        <v>41991</v>
      </c>
      <c r="C209" s="77">
        <v>0.6155496963810797</v>
      </c>
      <c r="D209" s="77">
        <v>0.45273770907866101</v>
      </c>
      <c r="E209" s="77">
        <v>0.59158262628997005</v>
      </c>
      <c r="F209" s="78">
        <f t="shared" si="9"/>
        <v>0.13884491721130904</v>
      </c>
      <c r="H209" s="1">
        <v>41991</v>
      </c>
      <c r="I209">
        <v>0.51872843856357098</v>
      </c>
      <c r="K209" s="76">
        <v>41991</v>
      </c>
      <c r="L209" s="77">
        <v>0.6155496963810797</v>
      </c>
      <c r="M209" s="77">
        <v>0.45273770907866101</v>
      </c>
      <c r="N209" s="77">
        <f t="shared" si="10"/>
        <v>0.51872843856357098</v>
      </c>
      <c r="O209" s="78">
        <f t="shared" si="11"/>
        <v>6.5990729484909971E-2</v>
      </c>
    </row>
    <row r="210" spans="2:15">
      <c r="B210" s="76">
        <v>41997</v>
      </c>
      <c r="C210" s="77">
        <v>0.60574636223541978</v>
      </c>
      <c r="D210" s="77">
        <v>0.44996183796017403</v>
      </c>
      <c r="E210" s="77">
        <v>0.59042721040695001</v>
      </c>
      <c r="F210" s="78">
        <f t="shared" si="9"/>
        <v>0.14046537244677598</v>
      </c>
      <c r="H210" s="1">
        <v>41997</v>
      </c>
      <c r="I210">
        <v>0.515529212075723</v>
      </c>
      <c r="K210" s="76">
        <v>41997</v>
      </c>
      <c r="L210" s="77">
        <v>0.60574636223541978</v>
      </c>
      <c r="M210" s="77">
        <v>0.44996183796017403</v>
      </c>
      <c r="N210" s="77">
        <f t="shared" si="10"/>
        <v>0.515529212075723</v>
      </c>
      <c r="O210" s="78">
        <f t="shared" si="11"/>
        <v>6.5567374115548971E-2</v>
      </c>
    </row>
    <row r="211" spans="2:15">
      <c r="B211" s="76">
        <v>42004</v>
      </c>
      <c r="C211" s="77">
        <v>0.59072795930158906</v>
      </c>
      <c r="D211" s="77">
        <v>0.41775040408126601</v>
      </c>
      <c r="E211" s="77">
        <v>0.55990527677423996</v>
      </c>
      <c r="F211" s="78">
        <f t="shared" si="9"/>
        <v>0.14215487269297394</v>
      </c>
      <c r="H211" s="1">
        <v>42004</v>
      </c>
      <c r="I211">
        <v>0.47786309276619199</v>
      </c>
      <c r="K211" s="76">
        <v>42004</v>
      </c>
      <c r="L211" s="77">
        <v>0.59072795930158906</v>
      </c>
      <c r="M211" s="77">
        <v>0.41775040408126601</v>
      </c>
      <c r="N211" s="77">
        <f t="shared" si="10"/>
        <v>0.47786309276619199</v>
      </c>
      <c r="O211" s="78">
        <f t="shared" si="11"/>
        <v>6.0112688684925975E-2</v>
      </c>
    </row>
    <row r="212" spans="2:15">
      <c r="B212" s="76">
        <v>42012</v>
      </c>
      <c r="C212" s="77">
        <v>0.63580141506138355</v>
      </c>
      <c r="D212" s="77">
        <v>0.47713334056444601</v>
      </c>
      <c r="E212" s="77">
        <v>0.614335309691869</v>
      </c>
      <c r="F212" s="78">
        <f t="shared" si="9"/>
        <v>0.137201969127423</v>
      </c>
      <c r="H212" s="1">
        <v>42012</v>
      </c>
      <c r="I212">
        <v>0.54657009543334001</v>
      </c>
      <c r="K212" s="76">
        <v>42012</v>
      </c>
      <c r="L212" s="77">
        <v>0.63580141506138355</v>
      </c>
      <c r="M212" s="77">
        <v>0.47713334056444601</v>
      </c>
      <c r="N212" s="77">
        <f t="shared" si="10"/>
        <v>0.54657009543334001</v>
      </c>
      <c r="O212" s="78">
        <f t="shared" si="11"/>
        <v>6.9436754868894002E-2</v>
      </c>
    </row>
    <row r="213" spans="2:15">
      <c r="B213" s="76">
        <v>42019</v>
      </c>
      <c r="C213" s="77">
        <v>0.66264885680249008</v>
      </c>
      <c r="D213" s="77">
        <v>0.53296054461027997</v>
      </c>
      <c r="E213" s="77">
        <v>0.66457945448095002</v>
      </c>
      <c r="F213" s="78">
        <f t="shared" si="9"/>
        <v>0.13161890987067004</v>
      </c>
      <c r="H213" s="1">
        <v>42019</v>
      </c>
      <c r="I213">
        <v>0.61065980094002503</v>
      </c>
      <c r="K213" s="76">
        <v>42019</v>
      </c>
      <c r="L213" s="77">
        <v>0.66264885680249008</v>
      </c>
      <c r="M213" s="77">
        <v>0.53296054461027997</v>
      </c>
      <c r="N213" s="77">
        <f t="shared" si="10"/>
        <v>0.61065980094002503</v>
      </c>
      <c r="O213" s="78">
        <f t="shared" si="11"/>
        <v>7.7699256329745059E-2</v>
      </c>
    </row>
    <row r="214" spans="2:15">
      <c r="B214" s="76">
        <v>42026</v>
      </c>
      <c r="C214" s="77">
        <v>0.66474126748702123</v>
      </c>
      <c r="D214" s="77">
        <v>0.53525908703488601</v>
      </c>
      <c r="E214" s="77">
        <v>0.66484227327937295</v>
      </c>
      <c r="F214" s="78">
        <f t="shared" si="9"/>
        <v>0.12958318624448695</v>
      </c>
      <c r="H214" s="1">
        <v>42026</v>
      </c>
      <c r="I214">
        <v>0.61221176462929705</v>
      </c>
      <c r="K214" s="76">
        <v>42026</v>
      </c>
      <c r="L214" s="77">
        <v>0.66474126748702123</v>
      </c>
      <c r="M214" s="77">
        <v>0.53525908703488601</v>
      </c>
      <c r="N214" s="77">
        <f t="shared" si="10"/>
        <v>0.61221176462929705</v>
      </c>
      <c r="O214" s="78">
        <f t="shared" si="11"/>
        <v>7.6952677594411045E-2</v>
      </c>
    </row>
    <row r="215" spans="2:15">
      <c r="B215" s="76">
        <v>42033</v>
      </c>
      <c r="C215" s="77">
        <v>0.66264885680249008</v>
      </c>
      <c r="D215" s="77">
        <v>0.53296054461027997</v>
      </c>
      <c r="E215" s="77">
        <v>0.66457945448095002</v>
      </c>
      <c r="F215" s="78">
        <f t="shared" si="9"/>
        <v>0.13161890987067004</v>
      </c>
      <c r="H215" s="1">
        <v>42033</v>
      </c>
      <c r="I215">
        <v>0.61065980094002503</v>
      </c>
      <c r="K215" s="76">
        <v>42033</v>
      </c>
      <c r="L215" s="77">
        <v>0.66264885680249008</v>
      </c>
      <c r="M215" s="77">
        <v>0.53296054461027997</v>
      </c>
      <c r="N215" s="77">
        <f t="shared" si="10"/>
        <v>0.61065980094002503</v>
      </c>
      <c r="O215" s="78">
        <f t="shared" si="11"/>
        <v>7.7699256329745059E-2</v>
      </c>
    </row>
    <row r="216" spans="2:15">
      <c r="B216" s="76">
        <v>42040</v>
      </c>
      <c r="C216" s="77">
        <v>0.68438167594716182</v>
      </c>
      <c r="D216" s="77">
        <v>0.531964205535849</v>
      </c>
      <c r="E216" s="77">
        <v>0.66194922130079104</v>
      </c>
      <c r="F216" s="78">
        <f t="shared" si="9"/>
        <v>0.12998501576494204</v>
      </c>
      <c r="H216" s="1">
        <v>42040</v>
      </c>
      <c r="I216">
        <v>0.61088327202867398</v>
      </c>
      <c r="K216" s="76">
        <v>42040</v>
      </c>
      <c r="L216" s="77">
        <v>0.68438167594716182</v>
      </c>
      <c r="M216" s="77">
        <v>0.531964205535849</v>
      </c>
      <c r="N216" s="77">
        <f t="shared" si="10"/>
        <v>0.61088327202867398</v>
      </c>
      <c r="O216" s="78">
        <f t="shared" si="11"/>
        <v>7.8919066492824985E-2</v>
      </c>
    </row>
    <row r="217" spans="2:15">
      <c r="B217" s="76">
        <v>42047</v>
      </c>
      <c r="C217" s="77">
        <v>0.64890841265420796</v>
      </c>
      <c r="D217" s="77">
        <v>0.50112937152177495</v>
      </c>
      <c r="E217" s="77">
        <v>0.63758870497027298</v>
      </c>
      <c r="F217" s="78">
        <f t="shared" si="9"/>
        <v>0.13645933344849803</v>
      </c>
      <c r="H217" s="1">
        <v>42047</v>
      </c>
      <c r="I217">
        <v>0.57963018238461905</v>
      </c>
      <c r="K217" s="76">
        <v>42047</v>
      </c>
      <c r="L217" s="77">
        <v>0.64890841265420796</v>
      </c>
      <c r="M217" s="77">
        <v>0.50112937152177495</v>
      </c>
      <c r="N217" s="77">
        <f t="shared" si="10"/>
        <v>0.57963018238461905</v>
      </c>
      <c r="O217" s="78">
        <f t="shared" si="11"/>
        <v>7.8500810862844106E-2</v>
      </c>
    </row>
    <row r="218" spans="2:15">
      <c r="B218" s="76">
        <v>42054</v>
      </c>
      <c r="C218" s="77">
        <v>0.62651628119673453</v>
      </c>
      <c r="D218" s="77">
        <v>0.46787253141998503</v>
      </c>
      <c r="E218" s="77">
        <v>0.60813217145599097</v>
      </c>
      <c r="F218" s="78">
        <f t="shared" si="9"/>
        <v>0.14025964003600594</v>
      </c>
      <c r="H218" s="1">
        <v>42054</v>
      </c>
      <c r="I218">
        <v>0.53686246920525704</v>
      </c>
      <c r="K218" s="76">
        <v>42054</v>
      </c>
      <c r="L218" s="77">
        <v>0.62651628119673453</v>
      </c>
      <c r="M218" s="77">
        <v>0.46787253141998503</v>
      </c>
      <c r="N218" s="77">
        <f t="shared" si="10"/>
        <v>0.53686246920525704</v>
      </c>
      <c r="O218" s="78">
        <f t="shared" si="11"/>
        <v>6.8989937785272015E-2</v>
      </c>
    </row>
    <row r="219" spans="2:15">
      <c r="B219" s="76">
        <v>42061</v>
      </c>
      <c r="C219" s="77">
        <v>0.61098575112407738</v>
      </c>
      <c r="D219" s="77">
        <v>0.43720530063230401</v>
      </c>
      <c r="E219" s="77">
        <v>0.58092112302735699</v>
      </c>
      <c r="F219" s="78">
        <f t="shared" si="9"/>
        <v>0.14371582239505298</v>
      </c>
      <c r="H219" s="1">
        <v>42061</v>
      </c>
      <c r="I219">
        <v>0.50427101713461098</v>
      </c>
      <c r="K219" s="76">
        <v>42061</v>
      </c>
      <c r="L219" s="77">
        <v>0.61098575112407738</v>
      </c>
      <c r="M219" s="77">
        <v>0.43720530063230401</v>
      </c>
      <c r="N219" s="77">
        <f t="shared" si="10"/>
        <v>0.50427101713461098</v>
      </c>
      <c r="O219" s="78">
        <f t="shared" si="11"/>
        <v>6.7065716502306971E-2</v>
      </c>
    </row>
    <row r="220" spans="2:15">
      <c r="B220" s="76">
        <v>42068</v>
      </c>
      <c r="C220" s="77">
        <v>0.61966926616186646</v>
      </c>
      <c r="D220" s="77">
        <v>0.45959407492170601</v>
      </c>
      <c r="E220" s="77">
        <v>0.60172096268720499</v>
      </c>
      <c r="F220" s="78">
        <f t="shared" si="9"/>
        <v>0.14212688776549898</v>
      </c>
      <c r="H220" s="1">
        <v>42068</v>
      </c>
      <c r="I220">
        <v>0.52923216774975401</v>
      </c>
      <c r="K220" s="76">
        <v>42068</v>
      </c>
      <c r="L220" s="77">
        <v>0.61966926616186646</v>
      </c>
      <c r="M220" s="77">
        <v>0.45959407492170601</v>
      </c>
      <c r="N220" s="77">
        <f t="shared" si="10"/>
        <v>0.52923216774975401</v>
      </c>
      <c r="O220" s="78">
        <f t="shared" si="11"/>
        <v>6.9638092828048004E-2</v>
      </c>
    </row>
    <row r="221" spans="2:15">
      <c r="B221" s="76">
        <v>42075</v>
      </c>
      <c r="C221" s="77">
        <v>0.57559445438514367</v>
      </c>
      <c r="D221" s="77">
        <v>0.394169404360453</v>
      </c>
      <c r="E221" s="77">
        <v>0.54300415809967995</v>
      </c>
      <c r="F221" s="78">
        <f t="shared" si="9"/>
        <v>0.14883475373922694</v>
      </c>
      <c r="H221" s="1">
        <v>42075</v>
      </c>
      <c r="I221">
        <v>0.45475870152619202</v>
      </c>
      <c r="K221" s="76">
        <v>42075</v>
      </c>
      <c r="L221" s="77">
        <v>0.57559445438514367</v>
      </c>
      <c r="M221" s="77">
        <v>0.394169404360453</v>
      </c>
      <c r="N221" s="77">
        <f t="shared" si="10"/>
        <v>0.45475870152619202</v>
      </c>
      <c r="O221" s="78">
        <f t="shared" si="11"/>
        <v>6.058929716573902E-2</v>
      </c>
    </row>
    <row r="222" spans="2:15">
      <c r="B222" s="76">
        <v>42082</v>
      </c>
      <c r="C222" s="77">
        <v>0.60937196228640689</v>
      </c>
      <c r="D222" s="77">
        <v>0.45850870301610303</v>
      </c>
      <c r="E222" s="77">
        <v>0.601158744048226</v>
      </c>
      <c r="F222" s="78">
        <f t="shared" si="9"/>
        <v>0.14265004103212298</v>
      </c>
      <c r="H222" s="1">
        <v>42082</v>
      </c>
      <c r="I222">
        <v>0.52662977972920499</v>
      </c>
      <c r="K222" s="76">
        <v>42082</v>
      </c>
      <c r="L222" s="77">
        <v>0.60937196228640689</v>
      </c>
      <c r="M222" s="77">
        <v>0.45850870301610303</v>
      </c>
      <c r="N222" s="77">
        <f t="shared" si="10"/>
        <v>0.52662977972920499</v>
      </c>
      <c r="O222" s="78">
        <f t="shared" si="11"/>
        <v>6.8121076713101969E-2</v>
      </c>
    </row>
    <row r="223" spans="2:15">
      <c r="B223" s="76">
        <v>42089</v>
      </c>
      <c r="C223" s="77">
        <v>0.64195316325793905</v>
      </c>
      <c r="D223" s="77">
        <v>0.49264013227543102</v>
      </c>
      <c r="E223" s="77">
        <v>0.63113120835468395</v>
      </c>
      <c r="F223" s="78">
        <f t="shared" si="9"/>
        <v>0.13849107607925293</v>
      </c>
      <c r="H223" s="1">
        <v>42089</v>
      </c>
      <c r="I223">
        <v>0.57162965928380105</v>
      </c>
      <c r="K223" s="76">
        <v>42089</v>
      </c>
      <c r="L223" s="77">
        <v>0.64195316325793905</v>
      </c>
      <c r="M223" s="77">
        <v>0.49264013227543102</v>
      </c>
      <c r="N223" s="77">
        <f t="shared" si="10"/>
        <v>0.57162965928380105</v>
      </c>
      <c r="O223" s="78">
        <f t="shared" si="11"/>
        <v>7.8989527008370031E-2</v>
      </c>
    </row>
    <row r="224" spans="2:15">
      <c r="B224" s="76">
        <v>42096</v>
      </c>
      <c r="C224" s="77">
        <v>0.62778439660000751</v>
      </c>
      <c r="D224" s="77">
        <v>0.47700652645494301</v>
      </c>
      <c r="E224" s="77">
        <v>0.62050008500155596</v>
      </c>
      <c r="F224" s="78">
        <f t="shared" si="9"/>
        <v>0.14349355854661294</v>
      </c>
      <c r="H224" s="1">
        <v>42096</v>
      </c>
      <c r="I224">
        <v>0.55578836979509405</v>
      </c>
      <c r="K224" s="76">
        <v>42096</v>
      </c>
      <c r="L224" s="77">
        <v>0.62778439660000751</v>
      </c>
      <c r="M224" s="77">
        <v>0.47700652645494301</v>
      </c>
      <c r="N224" s="77">
        <f t="shared" si="10"/>
        <v>0.55578836979509405</v>
      </c>
      <c r="O224" s="78">
        <f t="shared" si="11"/>
        <v>7.8781843340151037E-2</v>
      </c>
    </row>
    <row r="225" spans="2:15">
      <c r="B225" s="76">
        <v>42103</v>
      </c>
      <c r="C225" s="77">
        <v>0.64459292642165245</v>
      </c>
      <c r="D225" s="77">
        <v>0.505305541519944</v>
      </c>
      <c r="E225" s="77">
        <v>0.644780928204296</v>
      </c>
      <c r="F225" s="78">
        <f t="shared" si="9"/>
        <v>0.139475386684352</v>
      </c>
      <c r="H225" s="1">
        <v>42103</v>
      </c>
      <c r="I225">
        <v>0.58517099495605296</v>
      </c>
      <c r="K225" s="76">
        <v>42103</v>
      </c>
      <c r="L225" s="77">
        <v>0.64459292642165245</v>
      </c>
      <c r="M225" s="77">
        <v>0.505305541519944</v>
      </c>
      <c r="N225" s="77">
        <f t="shared" si="10"/>
        <v>0.58517099495605296</v>
      </c>
      <c r="O225" s="78">
        <f t="shared" si="11"/>
        <v>7.9865453436108957E-2</v>
      </c>
    </row>
    <row r="226" spans="2:15">
      <c r="B226" s="76">
        <v>42110</v>
      </c>
      <c r="C226" s="77">
        <v>0.63055503904182508</v>
      </c>
      <c r="D226" s="77">
        <v>0.47885281621922599</v>
      </c>
      <c r="E226" s="77">
        <v>0.62101551120389098</v>
      </c>
      <c r="F226" s="78">
        <f t="shared" si="9"/>
        <v>0.14216269498466499</v>
      </c>
      <c r="H226" s="1">
        <v>42110</v>
      </c>
      <c r="I226">
        <v>0.556970480976966</v>
      </c>
      <c r="K226" s="76">
        <v>42110</v>
      </c>
      <c r="L226" s="77">
        <v>0.63055503904182508</v>
      </c>
      <c r="M226" s="77">
        <v>0.47885281621922599</v>
      </c>
      <c r="N226" s="77">
        <f t="shared" si="10"/>
        <v>0.556970480976966</v>
      </c>
      <c r="O226" s="78">
        <f t="shared" si="11"/>
        <v>7.8117664757740013E-2</v>
      </c>
    </row>
    <row r="227" spans="2:15">
      <c r="B227" s="76">
        <v>42117</v>
      </c>
      <c r="C227" s="77">
        <v>0.64951370522505292</v>
      </c>
      <c r="D227" s="77">
        <v>0.50775672845638498</v>
      </c>
      <c r="E227" s="77">
        <v>0.64530537163066504</v>
      </c>
      <c r="F227" s="78">
        <f t="shared" si="9"/>
        <v>0.13754864317428006</v>
      </c>
      <c r="H227" s="1">
        <v>42117</v>
      </c>
      <c r="I227">
        <v>0.58711925424012301</v>
      </c>
      <c r="K227" s="76">
        <v>42117</v>
      </c>
      <c r="L227" s="77">
        <v>0.64951370522505292</v>
      </c>
      <c r="M227" s="77">
        <v>0.50775672845638498</v>
      </c>
      <c r="N227" s="77">
        <f t="shared" si="10"/>
        <v>0.58711925424012301</v>
      </c>
      <c r="O227" s="78">
        <f t="shared" si="11"/>
        <v>7.9362525783738036E-2</v>
      </c>
    </row>
    <row r="228" spans="2:15">
      <c r="H228" s="1">
        <v>42124</v>
      </c>
      <c r="I228">
        <v>0.55845595502797696</v>
      </c>
    </row>
    <row r="229" spans="2:15">
      <c r="H229" s="1">
        <v>42131</v>
      </c>
      <c r="I229">
        <v>0.47460293707110801</v>
      </c>
    </row>
    <row r="230" spans="2:15">
      <c r="H230" s="1">
        <v>42138</v>
      </c>
      <c r="I230">
        <v>0.46752297467527598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298"/>
  <sheetViews>
    <sheetView tabSelected="1" topLeftCell="A175" workbookViewId="0">
      <selection activeCell="E229" sqref="E229"/>
    </sheetView>
  </sheetViews>
  <sheetFormatPr defaultRowHeight="15"/>
  <cols>
    <col min="10" max="10" width="13.85546875" bestFit="1" customWidth="1"/>
    <col min="11" max="11" width="18" bestFit="1" customWidth="1"/>
    <col min="13" max="13" width="9.7109375" bestFit="1" customWidth="1"/>
    <col min="14" max="14" width="18" bestFit="1" customWidth="1"/>
    <col min="16" max="16" width="10.7109375" bestFit="1" customWidth="1"/>
    <col min="17" max="17" width="12" bestFit="1" customWidth="1"/>
    <col min="18" max="19" width="19" bestFit="1" customWidth="1"/>
    <col min="20" max="20" width="20.5703125" bestFit="1" customWidth="1"/>
    <col min="22" max="22" width="10.7109375" bestFit="1" customWidth="1"/>
    <col min="23" max="23" width="12" bestFit="1" customWidth="1"/>
    <col min="24" max="25" width="20.5703125" bestFit="1" customWidth="1"/>
    <col min="27" max="27" width="10.7109375" bestFit="1" customWidth="1"/>
    <col min="28" max="28" width="12.85546875" bestFit="1" customWidth="1"/>
  </cols>
  <sheetData>
    <row r="1" spans="1:28">
      <c r="P1" t="s">
        <v>99</v>
      </c>
      <c r="V1" t="s">
        <v>100</v>
      </c>
    </row>
    <row r="2" spans="1:28">
      <c r="A2" s="60">
        <v>40549</v>
      </c>
      <c r="B2" s="87">
        <v>0.6255950207246429</v>
      </c>
      <c r="C2" s="73" t="s">
        <v>60</v>
      </c>
      <c r="D2" s="74" t="s">
        <v>93</v>
      </c>
      <c r="E2" s="74" t="s">
        <v>101</v>
      </c>
      <c r="F2" s="75" t="s">
        <v>102</v>
      </c>
      <c r="G2" s="75"/>
      <c r="H2" s="75" t="s">
        <v>105</v>
      </c>
      <c r="J2" t="s">
        <v>95</v>
      </c>
      <c r="K2" t="s">
        <v>98</v>
      </c>
      <c r="M2" t="s">
        <v>96</v>
      </c>
      <c r="N2" t="s">
        <v>97</v>
      </c>
      <c r="P2" t="s">
        <v>31</v>
      </c>
      <c r="Q2" t="s">
        <v>32</v>
      </c>
      <c r="R2" t="s">
        <v>35</v>
      </c>
      <c r="S2" t="s">
        <v>36</v>
      </c>
      <c r="T2" t="s">
        <v>36</v>
      </c>
      <c r="V2" t="s">
        <v>31</v>
      </c>
      <c r="W2" t="s">
        <v>32</v>
      </c>
      <c r="X2" t="s">
        <v>35</v>
      </c>
      <c r="Y2" t="s">
        <v>36</v>
      </c>
      <c r="AA2" t="s">
        <v>31</v>
      </c>
      <c r="AB2" t="s">
        <v>37</v>
      </c>
    </row>
    <row r="3" spans="1:28">
      <c r="A3" s="60">
        <v>40556</v>
      </c>
      <c r="B3" s="87">
        <v>0.63000788176738898</v>
      </c>
      <c r="C3" s="80">
        <v>0.41917445646047702</v>
      </c>
      <c r="D3" s="80">
        <v>0.42852398059902003</v>
      </c>
      <c r="E3" s="77">
        <f>VLOOKUP(A3,AA3:AB230,2,0)</f>
        <v>0.49652536152540799</v>
      </c>
      <c r="F3" s="79">
        <f>E3-D3</f>
        <v>6.8001380926387966E-2</v>
      </c>
      <c r="G3" s="79">
        <f>H3-F3</f>
        <v>9.3495241385430083E-3</v>
      </c>
      <c r="H3" s="79">
        <f>E3-C3</f>
        <v>7.7350905064930975E-2</v>
      </c>
      <c r="J3" s="1">
        <v>38687</v>
      </c>
      <c r="K3" s="72">
        <v>28216998784</v>
      </c>
      <c r="M3" s="1">
        <v>33147</v>
      </c>
      <c r="N3" s="72">
        <v>2120076647</v>
      </c>
      <c r="P3" s="1">
        <v>40549</v>
      </c>
      <c r="Q3" s="37">
        <v>0.95807882701788605</v>
      </c>
      <c r="R3" s="72">
        <v>285402443083.38</v>
      </c>
      <c r="S3" s="72">
        <v>297890356236.89001</v>
      </c>
      <c r="T3" s="72">
        <v>1184608116161.51</v>
      </c>
      <c r="V3" s="1">
        <v>40549</v>
      </c>
      <c r="W3" s="37">
        <v>0.62559502072464201</v>
      </c>
      <c r="X3" s="72">
        <v>741084938980.64001</v>
      </c>
      <c r="Y3" s="72">
        <v>1184608116161.51</v>
      </c>
      <c r="AA3" s="1">
        <v>40549</v>
      </c>
      <c r="AB3">
        <v>0.478012437040017</v>
      </c>
    </row>
    <row r="4" spans="1:28">
      <c r="A4" s="60">
        <v>40563</v>
      </c>
      <c r="B4" s="87">
        <v>0.6274107117936687</v>
      </c>
      <c r="C4" s="80">
        <v>0.43621985629656101</v>
      </c>
      <c r="D4" s="80">
        <v>0.44599635168013801</v>
      </c>
      <c r="E4" s="77">
        <f t="shared" ref="E4:E67" si="0">VLOOKUP(A4,AA4:AB231,2,0)</f>
        <v>0.48031193828570601</v>
      </c>
      <c r="F4" s="79">
        <f t="shared" ref="F4:F67" si="1">E4-D4</f>
        <v>3.4315586605567994E-2</v>
      </c>
      <c r="G4" s="79">
        <f t="shared" ref="G4:G67" si="2">H4-F4</f>
        <v>9.7764953835769997E-3</v>
      </c>
      <c r="H4" s="79">
        <f t="shared" ref="H4:H67" si="3">E4-C4</f>
        <v>4.4092081989144993E-2</v>
      </c>
      <c r="J4" s="1">
        <v>38718</v>
      </c>
      <c r="K4" s="72">
        <v>25398137640</v>
      </c>
      <c r="M4" s="1">
        <v>33178</v>
      </c>
      <c r="N4" s="72">
        <v>2421482098</v>
      </c>
      <c r="P4" s="1">
        <v>40556</v>
      </c>
      <c r="Q4" s="37">
        <v>0.96313310883264502</v>
      </c>
      <c r="R4" s="72">
        <v>286908064893.70001</v>
      </c>
      <c r="S4" s="72">
        <v>297890356236.89001</v>
      </c>
      <c r="T4" s="72">
        <v>1184608116161.51</v>
      </c>
      <c r="V4" s="1">
        <v>40556</v>
      </c>
      <c r="W4" s="37">
        <v>0.63000788176738798</v>
      </c>
      <c r="X4" s="72">
        <v>746312449987.37</v>
      </c>
      <c r="Y4" s="72">
        <v>1184608116161.51</v>
      </c>
      <c r="AA4" s="1">
        <v>40556</v>
      </c>
      <c r="AB4">
        <v>0.49652536152540799</v>
      </c>
    </row>
    <row r="5" spans="1:28">
      <c r="A5" s="60">
        <v>40570</v>
      </c>
      <c r="B5" s="87">
        <v>0.62506508170892505</v>
      </c>
      <c r="C5" s="80">
        <v>0.41944708561696598</v>
      </c>
      <c r="D5" s="80">
        <v>0.42976523862424298</v>
      </c>
      <c r="E5" s="77">
        <f t="shared" si="0"/>
        <v>0.47681170698091002</v>
      </c>
      <c r="F5" s="79">
        <f t="shared" si="1"/>
        <v>4.7046468356667037E-2</v>
      </c>
      <c r="G5" s="79">
        <f t="shared" si="2"/>
        <v>1.0318153007277009E-2</v>
      </c>
      <c r="H5" s="79">
        <f t="shared" si="3"/>
        <v>5.7364621363944046E-2</v>
      </c>
      <c r="J5" s="1">
        <v>38749</v>
      </c>
      <c r="K5" s="72">
        <v>22102407664</v>
      </c>
      <c r="M5" s="1">
        <v>33208</v>
      </c>
      <c r="N5" s="72">
        <v>2951181866</v>
      </c>
      <c r="P5" s="1">
        <v>40563</v>
      </c>
      <c r="Q5" s="37">
        <v>0.960406416761035</v>
      </c>
      <c r="R5" s="72">
        <v>286095809621.14001</v>
      </c>
      <c r="S5" s="72">
        <v>297890356236.89001</v>
      </c>
      <c r="T5" s="72">
        <v>1184608116161.51</v>
      </c>
      <c r="V5" s="1">
        <v>40563</v>
      </c>
      <c r="W5" s="37">
        <v>0.62741071179366803</v>
      </c>
      <c r="X5" s="72">
        <v>743235821357.44995</v>
      </c>
      <c r="Y5" s="72">
        <v>1184608116161.51</v>
      </c>
      <c r="AA5" s="1">
        <v>40563</v>
      </c>
      <c r="AB5">
        <v>0.48031193828570601</v>
      </c>
    </row>
    <row r="6" spans="1:28">
      <c r="A6" s="60">
        <v>40577</v>
      </c>
      <c r="B6" s="87">
        <v>0.59973806040791378</v>
      </c>
      <c r="C6" s="80">
        <v>0.418710148423519</v>
      </c>
      <c r="D6" s="80">
        <v>0.42804406226545899</v>
      </c>
      <c r="E6" s="77">
        <f t="shared" si="0"/>
        <v>0.434625276538393</v>
      </c>
      <c r="F6" s="79">
        <f t="shared" si="1"/>
        <v>6.5812142729340106E-3</v>
      </c>
      <c r="G6" s="79">
        <f t="shared" si="2"/>
        <v>9.3339138419399892E-3</v>
      </c>
      <c r="H6" s="79">
        <f t="shared" si="3"/>
        <v>1.5915128114874E-2</v>
      </c>
      <c r="J6" s="1">
        <v>38777</v>
      </c>
      <c r="K6" s="72">
        <v>21134279253</v>
      </c>
      <c r="M6" s="1">
        <v>33239</v>
      </c>
      <c r="N6" s="72">
        <v>2599311847</v>
      </c>
      <c r="P6" s="1">
        <v>40570</v>
      </c>
      <c r="Q6" s="37">
        <v>0.95667378275469706</v>
      </c>
      <c r="R6" s="72">
        <v>284983893947.28998</v>
      </c>
      <c r="S6" s="72">
        <v>297890356236.89001</v>
      </c>
      <c r="T6" s="72">
        <v>1184608116161.51</v>
      </c>
      <c r="V6" s="1">
        <v>40570</v>
      </c>
      <c r="W6" s="37">
        <v>0.62506508170892505</v>
      </c>
      <c r="X6" s="72">
        <v>740457168921.55005</v>
      </c>
      <c r="Y6" s="72">
        <v>1184608116161.51</v>
      </c>
      <c r="AA6" s="1">
        <v>40570</v>
      </c>
      <c r="AB6">
        <v>0.47681170698091002</v>
      </c>
    </row>
    <row r="7" spans="1:28">
      <c r="A7" s="60">
        <v>40584</v>
      </c>
      <c r="B7" s="87">
        <v>0.48908058292459539</v>
      </c>
      <c r="C7" s="80">
        <v>0.38887560757790002</v>
      </c>
      <c r="D7" s="80">
        <v>0.39735095404405901</v>
      </c>
      <c r="E7" s="77">
        <f t="shared" si="0"/>
        <v>0.35529176668946899</v>
      </c>
      <c r="F7" s="79">
        <f t="shared" si="1"/>
        <v>-4.2059187354590022E-2</v>
      </c>
      <c r="G7" s="79">
        <f t="shared" si="2"/>
        <v>8.475346466158995E-3</v>
      </c>
      <c r="H7" s="79">
        <f t="shared" si="3"/>
        <v>-3.3583840888431027E-2</v>
      </c>
      <c r="J7" s="1">
        <v>38808</v>
      </c>
      <c r="K7" s="72">
        <v>23221444365</v>
      </c>
      <c r="M7" s="1">
        <v>33270</v>
      </c>
      <c r="N7" s="72">
        <v>2537664397</v>
      </c>
      <c r="P7" s="1">
        <v>40577</v>
      </c>
      <c r="Q7" s="37">
        <v>0.92985556087346299</v>
      </c>
      <c r="R7" s="72">
        <v>269309602363.67999</v>
      </c>
      <c r="S7" s="72">
        <v>289625199542.5</v>
      </c>
      <c r="T7" s="72">
        <v>1181727928552.6201</v>
      </c>
      <c r="V7" s="1">
        <v>40577</v>
      </c>
      <c r="W7" s="37">
        <v>0.599738060407913</v>
      </c>
      <c r="X7" s="72">
        <v>708727215800.01001</v>
      </c>
      <c r="Y7" s="72">
        <v>1181727928552.6201</v>
      </c>
      <c r="AA7" s="1">
        <v>40577</v>
      </c>
      <c r="AB7">
        <v>0.434625276538393</v>
      </c>
    </row>
    <row r="8" spans="1:28">
      <c r="A8" s="60">
        <v>40591</v>
      </c>
      <c r="B8" s="87">
        <v>0.50758567670351107</v>
      </c>
      <c r="C8" s="80">
        <v>0.35101070043975402</v>
      </c>
      <c r="D8" s="80">
        <v>0.36026372477374102</v>
      </c>
      <c r="E8" s="77">
        <f t="shared" si="0"/>
        <v>0.37678876885527102</v>
      </c>
      <c r="F8" s="79">
        <f t="shared" si="1"/>
        <v>1.6525044081529994E-2</v>
      </c>
      <c r="G8" s="79">
        <f t="shared" si="2"/>
        <v>9.2530243339870033E-3</v>
      </c>
      <c r="H8" s="79">
        <f t="shared" si="3"/>
        <v>2.5778068415516997E-2</v>
      </c>
      <c r="J8" s="1">
        <v>38838</v>
      </c>
      <c r="K8" s="72">
        <v>19920234735</v>
      </c>
      <c r="M8" s="1">
        <v>33298</v>
      </c>
      <c r="N8" s="72">
        <v>3579198893</v>
      </c>
      <c r="P8" s="1">
        <v>40584</v>
      </c>
      <c r="Q8" s="37">
        <v>0.82714577434473602</v>
      </c>
      <c r="R8" s="72">
        <v>239562259945.32999</v>
      </c>
      <c r="S8" s="72">
        <v>289625199542.5</v>
      </c>
      <c r="T8" s="72">
        <v>1181727928552.6201</v>
      </c>
      <c r="V8" s="1">
        <v>40584</v>
      </c>
      <c r="W8" s="37">
        <v>0.489080582924595</v>
      </c>
      <c r="X8" s="72">
        <v>577960184154.79004</v>
      </c>
      <c r="Y8" s="72">
        <v>1181727928552.6201</v>
      </c>
      <c r="AA8" s="1">
        <v>40584</v>
      </c>
      <c r="AB8">
        <v>0.35529176668946899</v>
      </c>
    </row>
    <row r="9" spans="1:28">
      <c r="A9" s="60">
        <v>40598</v>
      </c>
      <c r="B9" s="87">
        <v>0.56804474997330101</v>
      </c>
      <c r="C9" s="80">
        <v>0.36422873018148</v>
      </c>
      <c r="D9" s="80">
        <v>0.37174112183007801</v>
      </c>
      <c r="E9" s="77">
        <f t="shared" si="0"/>
        <v>0.41551239728516498</v>
      </c>
      <c r="F9" s="79">
        <f t="shared" si="1"/>
        <v>4.3771275455086966E-2</v>
      </c>
      <c r="G9" s="79">
        <f t="shared" si="2"/>
        <v>7.5123916485980158E-3</v>
      </c>
      <c r="H9" s="79">
        <f t="shared" si="3"/>
        <v>5.1283667103684982E-2</v>
      </c>
      <c r="J9" s="1">
        <v>38869</v>
      </c>
      <c r="K9" s="72">
        <v>22999277173</v>
      </c>
      <c r="M9" s="1">
        <v>33329</v>
      </c>
      <c r="N9" s="72">
        <v>3989035601</v>
      </c>
      <c r="P9" s="1">
        <v>40591</v>
      </c>
      <c r="Q9" s="37">
        <v>0.85453205877305705</v>
      </c>
      <c r="R9" s="72">
        <v>247494018037.60999</v>
      </c>
      <c r="S9" s="72">
        <v>289625199542.5</v>
      </c>
      <c r="T9" s="72">
        <v>1181727928552.6201</v>
      </c>
      <c r="V9" s="1">
        <v>40591</v>
      </c>
      <c r="W9" s="37">
        <v>0.50758567670351096</v>
      </c>
      <c r="X9" s="72">
        <v>599828170293.81995</v>
      </c>
      <c r="Y9" s="72">
        <v>1181727928552.6201</v>
      </c>
      <c r="AA9" s="1">
        <v>40591</v>
      </c>
      <c r="AB9">
        <v>0.37678876885527102</v>
      </c>
    </row>
    <row r="10" spans="1:28">
      <c r="A10" s="60">
        <v>40605</v>
      </c>
      <c r="B10" s="87">
        <v>0.58663499506814298</v>
      </c>
      <c r="C10" s="80">
        <v>0.37426156705539698</v>
      </c>
      <c r="D10" s="80">
        <v>0.38268704676703003</v>
      </c>
      <c r="E10" s="77">
        <f t="shared" si="0"/>
        <v>0.42215459210142903</v>
      </c>
      <c r="F10" s="79">
        <f t="shared" si="1"/>
        <v>3.9467545334399001E-2</v>
      </c>
      <c r="G10" s="79">
        <f t="shared" si="2"/>
        <v>8.4254797116330438E-3</v>
      </c>
      <c r="H10" s="79">
        <f t="shared" si="3"/>
        <v>4.7893025046032045E-2</v>
      </c>
      <c r="J10" s="1">
        <v>38899</v>
      </c>
      <c r="K10" s="72">
        <v>24224867114</v>
      </c>
      <c r="M10" s="1">
        <v>33359</v>
      </c>
      <c r="N10" s="72">
        <v>4731576292</v>
      </c>
      <c r="P10" s="1">
        <v>40598</v>
      </c>
      <c r="Q10" s="37">
        <v>0.91765847839728198</v>
      </c>
      <c r="R10" s="72">
        <v>265777019917.67999</v>
      </c>
      <c r="S10" s="72">
        <v>289625199542.5</v>
      </c>
      <c r="T10" s="72">
        <v>1181727928552.6201</v>
      </c>
      <c r="V10" s="1">
        <v>40598</v>
      </c>
      <c r="W10" s="37">
        <v>0.56804474997330101</v>
      </c>
      <c r="X10" s="72">
        <v>671274345711.14001</v>
      </c>
      <c r="Y10" s="72">
        <v>1181727928552.6201</v>
      </c>
      <c r="AA10" s="1">
        <v>40598</v>
      </c>
      <c r="AB10">
        <v>0.41551239728516498</v>
      </c>
    </row>
    <row r="11" spans="1:28">
      <c r="A11" s="60">
        <v>40612</v>
      </c>
      <c r="B11" s="87">
        <v>0.5845791305589787</v>
      </c>
      <c r="C11" s="80">
        <v>0.378077073966118</v>
      </c>
      <c r="D11" s="80">
        <v>0.38534073201873098</v>
      </c>
      <c r="E11" s="77">
        <f t="shared" si="0"/>
        <v>0.42125281133299802</v>
      </c>
      <c r="F11" s="79">
        <f t="shared" si="1"/>
        <v>3.5912079314267042E-2</v>
      </c>
      <c r="G11" s="79">
        <f t="shared" si="2"/>
        <v>7.2636580526129757E-3</v>
      </c>
      <c r="H11" s="79">
        <f t="shared" si="3"/>
        <v>4.3175737366880018E-2</v>
      </c>
      <c r="J11" s="1">
        <v>38930</v>
      </c>
      <c r="K11" s="72">
        <v>24931995308</v>
      </c>
      <c r="M11" s="1">
        <v>33390</v>
      </c>
      <c r="N11" s="72">
        <v>6328098498</v>
      </c>
      <c r="P11" s="1">
        <v>40605</v>
      </c>
      <c r="Q11" s="37">
        <v>0.92600978470663597</v>
      </c>
      <c r="R11" s="72">
        <v>261790578060.98001</v>
      </c>
      <c r="S11" s="72">
        <v>282708220133.89001</v>
      </c>
      <c r="T11" s="72">
        <v>1173210545076.49</v>
      </c>
      <c r="V11" s="1">
        <v>40605</v>
      </c>
      <c r="W11" s="37">
        <v>0.58663499506814198</v>
      </c>
      <c r="X11" s="72">
        <v>688246362324.83997</v>
      </c>
      <c r="Y11" s="72">
        <v>1173210545076.49</v>
      </c>
      <c r="AA11" s="1">
        <v>40605</v>
      </c>
      <c r="AB11">
        <v>0.42215459210142903</v>
      </c>
    </row>
    <row r="12" spans="1:28">
      <c r="A12" s="60">
        <v>40619</v>
      </c>
      <c r="B12" s="87">
        <v>0.60527953850446525</v>
      </c>
      <c r="C12" s="80">
        <v>0.37803494484535199</v>
      </c>
      <c r="D12" s="80">
        <v>0.38530209930722298</v>
      </c>
      <c r="E12" s="77">
        <f t="shared" si="0"/>
        <v>0.46784519994446999</v>
      </c>
      <c r="F12" s="79">
        <f t="shared" si="1"/>
        <v>8.2543100637247013E-2</v>
      </c>
      <c r="G12" s="79">
        <f t="shared" si="2"/>
        <v>7.2671544618709838E-3</v>
      </c>
      <c r="H12" s="79">
        <f t="shared" si="3"/>
        <v>8.9810255099117997E-2</v>
      </c>
      <c r="J12" s="1">
        <v>38961</v>
      </c>
      <c r="K12" s="72">
        <v>24603501275</v>
      </c>
      <c r="M12" s="1">
        <v>33420</v>
      </c>
      <c r="N12" s="72">
        <v>5310023020</v>
      </c>
      <c r="P12" s="1">
        <v>40612</v>
      </c>
      <c r="Q12" s="37">
        <v>0.92411466752781402</v>
      </c>
      <c r="R12" s="72">
        <v>261254812856.41</v>
      </c>
      <c r="S12" s="72">
        <v>282708220133.89001</v>
      </c>
      <c r="T12" s="72">
        <v>1173210545076.49</v>
      </c>
      <c r="V12" s="1">
        <v>40612</v>
      </c>
      <c r="W12" s="37">
        <v>0.58457913055897803</v>
      </c>
      <c r="X12" s="72">
        <v>685834400403.43994</v>
      </c>
      <c r="Y12" s="72">
        <v>1173210545076.49</v>
      </c>
      <c r="AA12" s="1">
        <v>40612</v>
      </c>
      <c r="AB12">
        <v>0.42125281133299802</v>
      </c>
    </row>
    <row r="13" spans="1:28">
      <c r="A13" s="60">
        <v>40626</v>
      </c>
      <c r="B13" s="87">
        <v>0.60223580840398516</v>
      </c>
      <c r="C13" s="80">
        <v>0.407679162563724</v>
      </c>
      <c r="D13" s="80">
        <v>0.41625559569387699</v>
      </c>
      <c r="E13" s="77">
        <f t="shared" si="0"/>
        <v>0.45015891448737699</v>
      </c>
      <c r="F13" s="79">
        <f t="shared" si="1"/>
        <v>3.3903318793500004E-2</v>
      </c>
      <c r="G13" s="79">
        <f t="shared" si="2"/>
        <v>8.5764331301529939E-3</v>
      </c>
      <c r="H13" s="79">
        <f t="shared" si="3"/>
        <v>4.2479751923652997E-2</v>
      </c>
      <c r="J13" s="1">
        <v>38991</v>
      </c>
      <c r="K13" s="72">
        <v>21767059973</v>
      </c>
      <c r="M13" s="1">
        <v>33451</v>
      </c>
      <c r="N13" s="72">
        <v>5634663772</v>
      </c>
      <c r="P13" s="1">
        <v>40619</v>
      </c>
      <c r="Q13" s="37">
        <v>0.96071837343731703</v>
      </c>
      <c r="R13" s="72">
        <v>271602981404.39001</v>
      </c>
      <c r="S13" s="72">
        <v>282708220133.89001</v>
      </c>
      <c r="T13" s="72">
        <v>1173210545076.49</v>
      </c>
      <c r="V13" s="1">
        <v>40619</v>
      </c>
      <c r="W13" s="37">
        <v>0.60527953850446503</v>
      </c>
      <c r="X13" s="72">
        <v>710120337292.46997</v>
      </c>
      <c r="Y13" s="72">
        <v>1173210545076.49</v>
      </c>
      <c r="AA13" s="1">
        <v>40619</v>
      </c>
      <c r="AB13">
        <v>0.46784519994446999</v>
      </c>
    </row>
    <row r="14" spans="1:28">
      <c r="A14" s="60">
        <v>40633</v>
      </c>
      <c r="B14" s="87">
        <v>0.58766164015506672</v>
      </c>
      <c r="C14" s="80">
        <v>0.39154691259907098</v>
      </c>
      <c r="D14" s="80">
        <v>0.39986849956992299</v>
      </c>
      <c r="E14" s="77">
        <f t="shared" si="0"/>
        <v>0.42283255275692899</v>
      </c>
      <c r="F14" s="79">
        <f t="shared" si="1"/>
        <v>2.2964053187006006E-2</v>
      </c>
      <c r="G14" s="79">
        <f t="shared" si="2"/>
        <v>8.3215869708520018E-3</v>
      </c>
      <c r="H14" s="79">
        <f t="shared" si="3"/>
        <v>3.1285640157858008E-2</v>
      </c>
      <c r="J14" s="1">
        <v>39022</v>
      </c>
      <c r="K14" s="72">
        <v>20900708558</v>
      </c>
      <c r="M14" s="1">
        <v>33482</v>
      </c>
      <c r="N14" s="72">
        <v>5792903630</v>
      </c>
      <c r="P14" s="1">
        <v>40626</v>
      </c>
      <c r="Q14" s="37">
        <v>0.95556042341043301</v>
      </c>
      <c r="R14" s="72">
        <v>270144786532.75</v>
      </c>
      <c r="S14" s="72">
        <v>282708220133.89001</v>
      </c>
      <c r="T14" s="72">
        <v>1173210545076.49</v>
      </c>
      <c r="V14" s="1">
        <v>40626</v>
      </c>
      <c r="W14" s="37">
        <v>0.60223580840398505</v>
      </c>
      <c r="X14" s="72">
        <v>706549401042.21997</v>
      </c>
      <c r="Y14" s="72">
        <v>1173210545076.49</v>
      </c>
      <c r="AA14" s="1">
        <v>40626</v>
      </c>
      <c r="AB14">
        <v>0.45015891448737699</v>
      </c>
    </row>
    <row r="15" spans="1:28">
      <c r="A15" s="60">
        <v>40640</v>
      </c>
      <c r="B15" s="87">
        <v>0.57929953045895977</v>
      </c>
      <c r="C15" s="80">
        <v>0.37809391960358502</v>
      </c>
      <c r="D15" s="80">
        <v>0.38561724765369598</v>
      </c>
      <c r="E15" s="77">
        <f t="shared" si="0"/>
        <v>0.41479432476526401</v>
      </c>
      <c r="F15" s="79">
        <f t="shared" si="1"/>
        <v>2.9177077111568028E-2</v>
      </c>
      <c r="G15" s="79">
        <f t="shared" si="2"/>
        <v>7.5233280501109667E-3</v>
      </c>
      <c r="H15" s="79">
        <f t="shared" si="3"/>
        <v>3.6700405161678995E-2</v>
      </c>
      <c r="J15" s="1">
        <v>39052</v>
      </c>
      <c r="K15" s="72">
        <v>27336350292</v>
      </c>
      <c r="M15" s="1">
        <v>33512</v>
      </c>
      <c r="N15" s="72">
        <v>4858116804</v>
      </c>
      <c r="P15" s="1">
        <v>40633</v>
      </c>
      <c r="Q15" s="37">
        <v>0.926970251126224</v>
      </c>
      <c r="R15" s="72">
        <v>262062109812.95999</v>
      </c>
      <c r="S15" s="72">
        <v>282708220133.89001</v>
      </c>
      <c r="T15" s="72">
        <v>1173210545076.49</v>
      </c>
      <c r="V15" s="1">
        <v>40633</v>
      </c>
      <c r="W15" s="37">
        <v>0.58766164015506595</v>
      </c>
      <c r="X15" s="72">
        <v>689450833166.87</v>
      </c>
      <c r="Y15" s="72">
        <v>1173210545076.49</v>
      </c>
      <c r="AA15" s="1">
        <v>40633</v>
      </c>
      <c r="AB15">
        <v>0.42283255275692899</v>
      </c>
    </row>
    <row r="16" spans="1:28">
      <c r="A16" s="60">
        <v>40647</v>
      </c>
      <c r="B16" s="87">
        <v>0.57522538646897203</v>
      </c>
      <c r="C16" s="80">
        <v>0.36996472497765398</v>
      </c>
      <c r="D16" s="80">
        <v>0.377336561198648</v>
      </c>
      <c r="E16" s="77">
        <f t="shared" si="0"/>
        <v>0.413421668844211</v>
      </c>
      <c r="F16" s="79">
        <f t="shared" si="1"/>
        <v>3.6085107645562997E-2</v>
      </c>
      <c r="G16" s="79">
        <f t="shared" si="2"/>
        <v>7.3718362209940214E-3</v>
      </c>
      <c r="H16" s="79">
        <f t="shared" si="3"/>
        <v>4.3456943866557018E-2</v>
      </c>
      <c r="J16" s="1">
        <v>39083</v>
      </c>
      <c r="K16" s="72">
        <v>24075163449</v>
      </c>
      <c r="M16" s="1">
        <v>33543</v>
      </c>
      <c r="N16" s="72">
        <v>5416764775</v>
      </c>
      <c r="P16" s="1">
        <v>40640</v>
      </c>
      <c r="Q16" s="37">
        <v>0.92564430055718405</v>
      </c>
      <c r="R16" s="72">
        <v>256633562528.85001</v>
      </c>
      <c r="S16" s="72">
        <v>277248574181.65002</v>
      </c>
      <c r="T16" s="72">
        <v>1167437791935.8799</v>
      </c>
      <c r="V16" s="1">
        <v>40640</v>
      </c>
      <c r="W16" s="37">
        <v>0.57929953045895899</v>
      </c>
      <c r="X16" s="72">
        <v>676296164708.5</v>
      </c>
      <c r="Y16" s="72">
        <v>1167437791935.8799</v>
      </c>
      <c r="AA16" s="1">
        <v>40640</v>
      </c>
      <c r="AB16">
        <v>0.41479432476526401</v>
      </c>
    </row>
    <row r="17" spans="1:28">
      <c r="A17" s="60">
        <v>40654</v>
      </c>
      <c r="B17" s="87">
        <v>0.59615160279512802</v>
      </c>
      <c r="C17" s="80">
        <v>0.36984016473175102</v>
      </c>
      <c r="D17" s="80">
        <v>0.37716378157473002</v>
      </c>
      <c r="E17" s="77">
        <f t="shared" si="0"/>
        <v>0.44388100155564097</v>
      </c>
      <c r="F17" s="79">
        <f t="shared" si="1"/>
        <v>6.6717219980910958E-2</v>
      </c>
      <c r="G17" s="79">
        <f t="shared" si="2"/>
        <v>7.3236168429789972E-3</v>
      </c>
      <c r="H17" s="79">
        <f t="shared" si="3"/>
        <v>7.4040836823889955E-2</v>
      </c>
      <c r="J17" s="1">
        <v>39114</v>
      </c>
      <c r="K17" s="72">
        <v>29980642910</v>
      </c>
      <c r="M17" s="1">
        <v>33573</v>
      </c>
      <c r="N17" s="72">
        <v>5342248569</v>
      </c>
      <c r="P17" s="1">
        <v>40647</v>
      </c>
      <c r="Q17" s="37">
        <v>0.92298200987006795</v>
      </c>
      <c r="R17" s="72">
        <v>255895446231.79001</v>
      </c>
      <c r="S17" s="72">
        <v>277248574181.65002</v>
      </c>
      <c r="T17" s="72">
        <v>1167437791935.8799</v>
      </c>
      <c r="V17" s="1">
        <v>40647</v>
      </c>
      <c r="W17" s="37">
        <v>0.57522538646897203</v>
      </c>
      <c r="X17" s="72">
        <v>671539855044.80005</v>
      </c>
      <c r="Y17" s="72">
        <v>1167437791935.8799</v>
      </c>
      <c r="AA17" s="1">
        <v>40647</v>
      </c>
      <c r="AB17">
        <v>0.413421668844211</v>
      </c>
    </row>
    <row r="18" spans="1:28">
      <c r="A18" s="60">
        <v>40661</v>
      </c>
      <c r="B18" s="87">
        <v>0.5974089494257403</v>
      </c>
      <c r="C18" s="80">
        <v>0.38384871096807699</v>
      </c>
      <c r="D18" s="80">
        <v>0.39280861828637997</v>
      </c>
      <c r="E18" s="77">
        <f t="shared" si="0"/>
        <v>0.44571846246625901</v>
      </c>
      <c r="F18" s="79">
        <f t="shared" si="1"/>
        <v>5.290984417987904E-2</v>
      </c>
      <c r="G18" s="79">
        <f t="shared" si="2"/>
        <v>8.9599073183029843E-3</v>
      </c>
      <c r="H18" s="79">
        <f t="shared" si="3"/>
        <v>6.1869751498182024E-2</v>
      </c>
      <c r="J18" s="1">
        <v>39142</v>
      </c>
      <c r="K18" s="72">
        <v>29778983271</v>
      </c>
      <c r="M18" s="1">
        <v>33604</v>
      </c>
      <c r="N18" s="72">
        <v>5558245966</v>
      </c>
      <c r="P18" s="1">
        <v>40654</v>
      </c>
      <c r="Q18" s="37">
        <v>0.95599618623554505</v>
      </c>
      <c r="R18" s="72">
        <v>265048579556.89999</v>
      </c>
      <c r="S18" s="72">
        <v>277248574181.65002</v>
      </c>
      <c r="T18" s="72">
        <v>1167437791935.8799</v>
      </c>
      <c r="V18" s="1">
        <v>40654</v>
      </c>
      <c r="W18" s="37">
        <v>0.59615160279512702</v>
      </c>
      <c r="X18" s="72">
        <v>695969910826.18005</v>
      </c>
      <c r="Y18" s="72">
        <v>1167437791935.8799</v>
      </c>
      <c r="AA18" s="1">
        <v>40654</v>
      </c>
      <c r="AB18">
        <v>0.44388100155564097</v>
      </c>
    </row>
    <row r="19" spans="1:28">
      <c r="A19" s="60">
        <v>40668</v>
      </c>
      <c r="B19" s="87">
        <v>0.59724544574376981</v>
      </c>
      <c r="C19" s="80">
        <v>0.38433074982262799</v>
      </c>
      <c r="D19" s="80">
        <v>0.39347477869207098</v>
      </c>
      <c r="E19" s="77">
        <f t="shared" si="0"/>
        <v>0.458944872704586</v>
      </c>
      <c r="F19" s="79">
        <f t="shared" si="1"/>
        <v>6.5470094012515023E-2</v>
      </c>
      <c r="G19" s="79">
        <f t="shared" si="2"/>
        <v>9.1440288694429883E-3</v>
      </c>
      <c r="H19" s="79">
        <f t="shared" si="3"/>
        <v>7.4614122881958012E-2</v>
      </c>
      <c r="J19" s="1">
        <v>39173</v>
      </c>
      <c r="K19" s="72">
        <v>28415344952</v>
      </c>
      <c r="M19" s="1">
        <v>33635</v>
      </c>
      <c r="N19" s="72">
        <v>5968923252</v>
      </c>
      <c r="P19" s="1">
        <v>40661</v>
      </c>
      <c r="Q19" s="37">
        <v>0.95847975417933795</v>
      </c>
      <c r="R19" s="72">
        <v>265737145228.20001</v>
      </c>
      <c r="S19" s="72">
        <v>277248574181.65002</v>
      </c>
      <c r="T19" s="72">
        <v>1167437791935.8799</v>
      </c>
      <c r="V19" s="1">
        <v>40661</v>
      </c>
      <c r="W19" s="37">
        <v>0.59740894942573997</v>
      </c>
      <c r="X19" s="72">
        <v>697437784800.31995</v>
      </c>
      <c r="Y19" s="72">
        <v>1167437791935.8799</v>
      </c>
      <c r="AA19" s="1">
        <v>40661</v>
      </c>
      <c r="AB19">
        <v>0.44571846246625901</v>
      </c>
    </row>
    <row r="20" spans="1:28">
      <c r="A20" s="60">
        <v>40675</v>
      </c>
      <c r="B20" s="87">
        <v>0.61082990045260388</v>
      </c>
      <c r="C20" s="80">
        <v>0.394871405610702</v>
      </c>
      <c r="D20" s="80">
        <v>0.404960459321071</v>
      </c>
      <c r="E20" s="77">
        <f t="shared" si="0"/>
        <v>0.500437475780386</v>
      </c>
      <c r="F20" s="79">
        <f t="shared" si="1"/>
        <v>9.5477016459315001E-2</v>
      </c>
      <c r="G20" s="79">
        <f t="shared" si="2"/>
        <v>1.0089053710369E-2</v>
      </c>
      <c r="H20" s="79">
        <f t="shared" si="3"/>
        <v>0.105566070169684</v>
      </c>
      <c r="J20" s="1">
        <v>39203</v>
      </c>
      <c r="K20" s="72">
        <v>31857146599</v>
      </c>
      <c r="M20" s="1">
        <v>33664</v>
      </c>
      <c r="N20" s="72">
        <v>5910453671</v>
      </c>
      <c r="P20" s="1">
        <v>40668</v>
      </c>
      <c r="Q20" s="37">
        <v>0.96327615745098505</v>
      </c>
      <c r="R20" s="72">
        <v>262489163118.10999</v>
      </c>
      <c r="S20" s="72">
        <v>272496273356.03</v>
      </c>
      <c r="T20" s="72">
        <v>1162476710290.0801</v>
      </c>
      <c r="V20" s="1">
        <v>40668</v>
      </c>
      <c r="W20" s="37">
        <v>0.59724544574376903</v>
      </c>
      <c r="X20" s="72">
        <v>694283921003.94995</v>
      </c>
      <c r="Y20" s="72">
        <v>1162476710290.0801</v>
      </c>
      <c r="AA20" s="1">
        <v>40668</v>
      </c>
      <c r="AB20">
        <v>0.458944872704586</v>
      </c>
    </row>
    <row r="21" spans="1:28">
      <c r="A21" s="60">
        <v>40682</v>
      </c>
      <c r="B21" s="87">
        <v>0.61849820952818579</v>
      </c>
      <c r="C21" s="80">
        <v>0.43079303669576202</v>
      </c>
      <c r="D21" s="80">
        <v>0.44239757779940198</v>
      </c>
      <c r="E21" s="77">
        <f t="shared" si="0"/>
        <v>0.50448830052858695</v>
      </c>
      <c r="F21" s="79">
        <f t="shared" si="1"/>
        <v>6.2090722729184977E-2</v>
      </c>
      <c r="G21" s="79">
        <f t="shared" si="2"/>
        <v>1.1604541103639954E-2</v>
      </c>
      <c r="H21" s="79">
        <f t="shared" si="3"/>
        <v>7.3695263832824931E-2</v>
      </c>
      <c r="J21" s="1">
        <v>39234</v>
      </c>
      <c r="K21" s="72">
        <v>31202340391</v>
      </c>
      <c r="M21" s="1">
        <v>33695</v>
      </c>
      <c r="N21" s="72">
        <v>7145748428</v>
      </c>
      <c r="P21" s="1">
        <v>40675</v>
      </c>
      <c r="Q21" s="37">
        <v>0.97627574838392905</v>
      </c>
      <c r="R21" s="72">
        <v>266031503202.48999</v>
      </c>
      <c r="S21" s="72">
        <v>272496273356.03</v>
      </c>
      <c r="T21" s="72">
        <v>1162476710290.0801</v>
      </c>
      <c r="V21" s="1">
        <v>40675</v>
      </c>
      <c r="W21" s="37">
        <v>0.61082990045260299</v>
      </c>
      <c r="X21" s="72">
        <v>710075533224.95996</v>
      </c>
      <c r="Y21" s="72">
        <v>1162476710290.0801</v>
      </c>
      <c r="AA21" s="1">
        <v>40675</v>
      </c>
      <c r="AB21">
        <v>0.500437475780386</v>
      </c>
    </row>
    <row r="22" spans="1:28">
      <c r="A22" s="60">
        <v>40689</v>
      </c>
      <c r="B22" s="87">
        <v>0.62365510807241908</v>
      </c>
      <c r="C22" s="80">
        <v>0.43090192835496699</v>
      </c>
      <c r="D22" s="80">
        <v>0.44263839982775999</v>
      </c>
      <c r="E22" s="77">
        <f t="shared" si="0"/>
        <v>0.50569919769114802</v>
      </c>
      <c r="F22" s="79">
        <f t="shared" si="1"/>
        <v>6.306079786338803E-2</v>
      </c>
      <c r="G22" s="79">
        <f t="shared" si="2"/>
        <v>1.1736471472792998E-2</v>
      </c>
      <c r="H22" s="79">
        <f t="shared" si="3"/>
        <v>7.4797269336181027E-2</v>
      </c>
      <c r="J22" s="1">
        <v>39264</v>
      </c>
      <c r="K22" s="72">
        <v>27500824313</v>
      </c>
      <c r="M22" s="1">
        <v>33725</v>
      </c>
      <c r="N22" s="72">
        <v>7285406135</v>
      </c>
      <c r="P22" s="1">
        <v>40682</v>
      </c>
      <c r="Q22" s="37">
        <v>0.98372220360656204</v>
      </c>
      <c r="R22" s="72">
        <v>268060634500.37</v>
      </c>
      <c r="S22" s="72">
        <v>272496273356.03</v>
      </c>
      <c r="T22" s="72">
        <v>1162476710290.0801</v>
      </c>
      <c r="V22" s="1">
        <v>40682</v>
      </c>
      <c r="W22" s="37">
        <v>0.61849820952818502</v>
      </c>
      <c r="X22" s="72">
        <v>718989763932.63</v>
      </c>
      <c r="Y22" s="72">
        <v>1162476710290.0801</v>
      </c>
      <c r="AA22" s="1">
        <v>40682</v>
      </c>
      <c r="AB22">
        <v>0.50448830052858695</v>
      </c>
    </row>
    <row r="23" spans="1:28">
      <c r="A23" s="60">
        <v>40696</v>
      </c>
      <c r="B23" s="87">
        <v>0.68061413057737541</v>
      </c>
      <c r="C23" s="80">
        <v>0.431110671725766</v>
      </c>
      <c r="D23" s="80">
        <v>0.443305158673787</v>
      </c>
      <c r="E23" s="77">
        <f t="shared" si="0"/>
        <v>0.53459956826473198</v>
      </c>
      <c r="F23" s="79">
        <f t="shared" si="1"/>
        <v>9.129440959094498E-2</v>
      </c>
      <c r="G23" s="79">
        <f t="shared" si="2"/>
        <v>1.2194486948020999E-2</v>
      </c>
      <c r="H23" s="79">
        <f t="shared" si="3"/>
        <v>0.10348889653896598</v>
      </c>
      <c r="J23" s="1">
        <v>39295</v>
      </c>
      <c r="K23" s="72">
        <v>31486925052</v>
      </c>
      <c r="M23" s="1">
        <v>33756</v>
      </c>
      <c r="N23" s="72">
        <v>6198555007</v>
      </c>
      <c r="P23" s="1">
        <v>40689</v>
      </c>
      <c r="Q23" s="37">
        <v>0.98484560775223995</v>
      </c>
      <c r="R23" s="72">
        <v>268366757943.54001</v>
      </c>
      <c r="S23" s="72">
        <v>272496273356.03</v>
      </c>
      <c r="T23" s="72">
        <v>1162476710290.0801</v>
      </c>
      <c r="V23" s="1">
        <v>40689</v>
      </c>
      <c r="W23" s="37">
        <v>0.62365510807241897</v>
      </c>
      <c r="X23" s="72">
        <v>724984538387.63</v>
      </c>
      <c r="Y23" s="72">
        <v>1162476710290.0801</v>
      </c>
      <c r="AA23" s="1">
        <v>40689</v>
      </c>
      <c r="AB23">
        <v>0.50569919769114802</v>
      </c>
    </row>
    <row r="24" spans="1:28">
      <c r="A24" s="60">
        <v>40703</v>
      </c>
      <c r="B24" s="87">
        <v>0.7307446198335974</v>
      </c>
      <c r="C24" s="80">
        <v>0.45342303565958197</v>
      </c>
      <c r="D24" s="80">
        <v>0.46808927773665898</v>
      </c>
      <c r="E24" s="77">
        <f t="shared" si="0"/>
        <v>0.55567130314067603</v>
      </c>
      <c r="F24" s="79">
        <f t="shared" si="1"/>
        <v>8.758202540401705E-2</v>
      </c>
      <c r="G24" s="79">
        <f t="shared" si="2"/>
        <v>1.4666242077077007E-2</v>
      </c>
      <c r="H24" s="79">
        <f t="shared" si="3"/>
        <v>0.10224826748109406</v>
      </c>
      <c r="J24" s="1">
        <v>39326</v>
      </c>
      <c r="K24" s="72">
        <v>32638759687</v>
      </c>
      <c r="M24" s="1">
        <v>33786</v>
      </c>
      <c r="N24" s="72">
        <v>6036230520</v>
      </c>
      <c r="P24" s="1">
        <v>40696</v>
      </c>
      <c r="Q24" s="37">
        <v>0.99417374473420095</v>
      </c>
      <c r="R24" s="72">
        <v>266633701854.66</v>
      </c>
      <c r="S24" s="72">
        <v>268196281854.07999</v>
      </c>
      <c r="T24" s="72">
        <v>1159550386137.4199</v>
      </c>
      <c r="V24" s="1">
        <v>40696</v>
      </c>
      <c r="W24" s="37">
        <v>0.68061413057737497</v>
      </c>
      <c r="X24" s="72">
        <v>789206377921.57996</v>
      </c>
      <c r="Y24" s="72">
        <v>1159550386137.4199</v>
      </c>
      <c r="AA24" s="1">
        <v>40696</v>
      </c>
      <c r="AB24">
        <v>0.53459956826473198</v>
      </c>
    </row>
    <row r="25" spans="1:28">
      <c r="A25" s="60">
        <v>40710</v>
      </c>
      <c r="B25" s="87">
        <v>0.71119905794276284</v>
      </c>
      <c r="C25" s="80">
        <v>0.47629557608974499</v>
      </c>
      <c r="D25" s="80">
        <v>0.49109730679799701</v>
      </c>
      <c r="E25" s="77">
        <f t="shared" si="0"/>
        <v>0.55554953678932995</v>
      </c>
      <c r="F25" s="79">
        <f t="shared" si="1"/>
        <v>6.4452229991332932E-2</v>
      </c>
      <c r="G25" s="79">
        <f t="shared" si="2"/>
        <v>1.4801730708252026E-2</v>
      </c>
      <c r="H25" s="79">
        <f t="shared" si="3"/>
        <v>7.9253960699584958E-2</v>
      </c>
      <c r="J25" s="1">
        <v>39356</v>
      </c>
      <c r="K25" s="72">
        <v>27135581711</v>
      </c>
      <c r="M25" s="1">
        <v>33817</v>
      </c>
      <c r="N25" s="72">
        <v>6125787858</v>
      </c>
      <c r="P25" s="1">
        <v>40703</v>
      </c>
      <c r="Q25" s="37">
        <v>0.99449487908071199</v>
      </c>
      <c r="R25" s="72">
        <v>266719828892.37</v>
      </c>
      <c r="S25" s="72">
        <v>268196281854.07999</v>
      </c>
      <c r="T25" s="72">
        <v>1159550386137.4199</v>
      </c>
      <c r="V25" s="1">
        <v>40703</v>
      </c>
      <c r="W25" s="37">
        <v>0.73074461983359695</v>
      </c>
      <c r="X25" s="72">
        <v>847335206095.89001</v>
      </c>
      <c r="Y25" s="72">
        <v>1159550386137.4199</v>
      </c>
      <c r="AA25" s="1">
        <v>40703</v>
      </c>
      <c r="AB25">
        <v>0.55567130314067603</v>
      </c>
    </row>
    <row r="26" spans="1:28">
      <c r="A26" s="60">
        <v>40717</v>
      </c>
      <c r="B26" s="87">
        <v>0.68061413057737541</v>
      </c>
      <c r="C26" s="80">
        <v>0.47626301055025799</v>
      </c>
      <c r="D26" s="80">
        <v>0.49098227335116801</v>
      </c>
      <c r="E26" s="77">
        <f t="shared" si="0"/>
        <v>0.53459956826473198</v>
      </c>
      <c r="F26" s="79">
        <f t="shared" si="1"/>
        <v>4.3617294913563975E-2</v>
      </c>
      <c r="G26" s="79">
        <f t="shared" si="2"/>
        <v>1.4719262800910016E-2</v>
      </c>
      <c r="H26" s="79">
        <f t="shared" si="3"/>
        <v>5.8336557714473991E-2</v>
      </c>
      <c r="J26" s="1">
        <v>39387</v>
      </c>
      <c r="K26" s="72">
        <v>31637541229</v>
      </c>
      <c r="M26" s="1">
        <v>33848</v>
      </c>
      <c r="N26" s="72">
        <v>6440487544</v>
      </c>
      <c r="P26" s="1">
        <v>40710</v>
      </c>
      <c r="Q26" s="37">
        <v>0.99446479619147798</v>
      </c>
      <c r="R26" s="72">
        <v>266711760773.32999</v>
      </c>
      <c r="S26" s="72">
        <v>268196281854.07999</v>
      </c>
      <c r="T26" s="72">
        <v>1159550386137.4199</v>
      </c>
      <c r="V26" s="1">
        <v>40710</v>
      </c>
      <c r="W26" s="37">
        <v>0.71119905794276195</v>
      </c>
      <c r="X26" s="72">
        <v>824671142258.09998</v>
      </c>
      <c r="Y26" s="72">
        <v>1159550386137.4199</v>
      </c>
      <c r="AA26" s="1">
        <v>40710</v>
      </c>
      <c r="AB26">
        <v>0.55554953678932995</v>
      </c>
    </row>
    <row r="27" spans="1:28">
      <c r="A27" s="60">
        <v>40724</v>
      </c>
      <c r="B27" s="87">
        <v>0.69873775780573066</v>
      </c>
      <c r="C27" s="80">
        <v>0.45342303565958197</v>
      </c>
      <c r="D27" s="80">
        <v>0.46808927773665898</v>
      </c>
      <c r="E27" s="77">
        <f t="shared" si="0"/>
        <v>0.55456064933307203</v>
      </c>
      <c r="F27" s="79">
        <f t="shared" si="1"/>
        <v>8.6471371596413049E-2</v>
      </c>
      <c r="G27" s="79">
        <f t="shared" si="2"/>
        <v>1.4666242077077007E-2</v>
      </c>
      <c r="H27" s="79">
        <f t="shared" si="3"/>
        <v>0.10113761367349006</v>
      </c>
      <c r="J27" s="1">
        <v>39417</v>
      </c>
      <c r="K27" s="72">
        <v>28446519312</v>
      </c>
      <c r="M27" s="1">
        <v>33878</v>
      </c>
      <c r="N27" s="72">
        <v>7804219767</v>
      </c>
      <c r="P27" s="1">
        <v>40717</v>
      </c>
      <c r="Q27" s="37">
        <v>0.99417374473420095</v>
      </c>
      <c r="R27" s="72">
        <v>266633701854.66</v>
      </c>
      <c r="S27" s="72">
        <v>268196281854.07999</v>
      </c>
      <c r="T27" s="72">
        <v>1159550386137.4199</v>
      </c>
      <c r="V27" s="1">
        <v>40717</v>
      </c>
      <c r="W27" s="37">
        <v>0.68061413057737497</v>
      </c>
      <c r="X27" s="72">
        <v>789206377921.57996</v>
      </c>
      <c r="Y27" s="72">
        <v>1159550386137.4199</v>
      </c>
      <c r="AA27" s="1">
        <v>40717</v>
      </c>
      <c r="AB27">
        <v>0.53459956826473198</v>
      </c>
    </row>
    <row r="28" spans="1:28">
      <c r="A28" s="60">
        <v>40731</v>
      </c>
      <c r="B28" s="87">
        <v>0.61259135853963087</v>
      </c>
      <c r="C28" s="80">
        <v>0.47533111966863201</v>
      </c>
      <c r="D28" s="80">
        <v>0.489935821452404</v>
      </c>
      <c r="E28" s="77">
        <f t="shared" si="0"/>
        <v>0.49778274569056502</v>
      </c>
      <c r="F28" s="79">
        <f t="shared" si="1"/>
        <v>7.8469242381610238E-3</v>
      </c>
      <c r="G28" s="79">
        <f t="shared" si="2"/>
        <v>1.4604701783771989E-2</v>
      </c>
      <c r="H28" s="79">
        <f t="shared" si="3"/>
        <v>2.2451626021933013E-2</v>
      </c>
      <c r="J28" s="1">
        <v>39448</v>
      </c>
      <c r="K28" s="72">
        <v>27125443841</v>
      </c>
      <c r="M28" s="1">
        <v>33909</v>
      </c>
      <c r="N28" s="72">
        <v>7976557886</v>
      </c>
      <c r="P28" s="1">
        <v>40724</v>
      </c>
      <c r="Q28" s="37">
        <v>0.99443701935885898</v>
      </c>
      <c r="R28" s="72">
        <v>266704311130.10001</v>
      </c>
      <c r="S28" s="72">
        <v>268196281854.07999</v>
      </c>
      <c r="T28" s="72">
        <v>1159550386137.4199</v>
      </c>
      <c r="V28" s="1">
        <v>40724</v>
      </c>
      <c r="W28" s="37">
        <v>0.69873775780573</v>
      </c>
      <c r="X28" s="72">
        <v>810221636872.43005</v>
      </c>
      <c r="Y28" s="72">
        <v>1159550386137.4199</v>
      </c>
      <c r="AA28" s="1">
        <v>40724</v>
      </c>
      <c r="AB28">
        <v>0.55456064933307203</v>
      </c>
    </row>
    <row r="29" spans="1:28">
      <c r="A29" s="60">
        <v>40738</v>
      </c>
      <c r="B29" s="87">
        <v>0.69302456737828066</v>
      </c>
      <c r="C29" s="80">
        <v>0.42115773967800002</v>
      </c>
      <c r="D29" s="80">
        <v>0.43458744050497899</v>
      </c>
      <c r="E29" s="77">
        <f t="shared" si="0"/>
        <v>0.55023567489180703</v>
      </c>
      <c r="F29" s="79">
        <f t="shared" si="1"/>
        <v>0.11564823438682803</v>
      </c>
      <c r="G29" s="79">
        <f t="shared" si="2"/>
        <v>1.3429700826978974E-2</v>
      </c>
      <c r="H29" s="79">
        <f t="shared" si="3"/>
        <v>0.129077935213807</v>
      </c>
      <c r="J29" s="1">
        <v>39479</v>
      </c>
      <c r="K29" s="72">
        <v>40203710137</v>
      </c>
      <c r="M29" s="1">
        <v>33939</v>
      </c>
      <c r="N29" s="72">
        <v>8009821313</v>
      </c>
      <c r="P29" s="1">
        <v>40731</v>
      </c>
      <c r="Q29" s="37">
        <v>0.98473568826660696</v>
      </c>
      <c r="R29" s="72">
        <v>259453059121.98999</v>
      </c>
      <c r="S29" s="72">
        <v>263474820922.45001</v>
      </c>
      <c r="T29" s="72">
        <v>1152223085721.24</v>
      </c>
      <c r="V29" s="1">
        <v>40731</v>
      </c>
      <c r="W29" s="37">
        <v>0.61259135853962998</v>
      </c>
      <c r="X29" s="72">
        <v>705841905422.69995</v>
      </c>
      <c r="Y29" s="72">
        <v>1152223085721.24</v>
      </c>
      <c r="AA29" s="1">
        <v>40731</v>
      </c>
      <c r="AB29">
        <v>0.49778274569056502</v>
      </c>
    </row>
    <row r="30" spans="1:28">
      <c r="A30" s="60">
        <v>40745</v>
      </c>
      <c r="B30" s="87">
        <v>0.67956391613327316</v>
      </c>
      <c r="C30" s="80">
        <v>0.47005900282082203</v>
      </c>
      <c r="D30" s="80">
        <v>0.485108874378754</v>
      </c>
      <c r="E30" s="77">
        <f t="shared" si="0"/>
        <v>0.530262307480455</v>
      </c>
      <c r="F30" s="79">
        <f t="shared" si="1"/>
        <v>4.5153433101701002E-2</v>
      </c>
      <c r="G30" s="79">
        <f t="shared" si="2"/>
        <v>1.5049871557931971E-2</v>
      </c>
      <c r="H30" s="79">
        <f t="shared" si="3"/>
        <v>6.0203304659632972E-2</v>
      </c>
      <c r="J30" s="1">
        <v>39508</v>
      </c>
      <c r="K30" s="72">
        <v>37801573038</v>
      </c>
      <c r="M30" s="1">
        <v>33970</v>
      </c>
      <c r="N30" s="72">
        <v>7054908462</v>
      </c>
      <c r="P30" s="1">
        <v>40738</v>
      </c>
      <c r="Q30" s="37">
        <v>0.99439004861771896</v>
      </c>
      <c r="R30" s="72">
        <v>261996739986.62</v>
      </c>
      <c r="S30" s="72">
        <v>263474820922.45001</v>
      </c>
      <c r="T30" s="72">
        <v>1152223085721.24</v>
      </c>
      <c r="V30" s="1">
        <v>40738</v>
      </c>
      <c r="W30" s="37">
        <v>0.69302456737828</v>
      </c>
      <c r="X30" s="72">
        <v>798518905505.22998</v>
      </c>
      <c r="Y30" s="72">
        <v>1152223085721.24</v>
      </c>
      <c r="AA30" s="1">
        <v>40738</v>
      </c>
      <c r="AB30">
        <v>0.55023567489180703</v>
      </c>
    </row>
    <row r="31" spans="1:28">
      <c r="A31" s="60">
        <v>40752</v>
      </c>
      <c r="B31" s="87">
        <v>0.6276351058238383</v>
      </c>
      <c r="C31" s="80">
        <v>0.44797749734765901</v>
      </c>
      <c r="D31" s="80">
        <v>0.46318279756695502</v>
      </c>
      <c r="E31" s="77">
        <f t="shared" si="0"/>
        <v>0.52343584513018204</v>
      </c>
      <c r="F31" s="79">
        <f t="shared" si="1"/>
        <v>6.0253047563227025E-2</v>
      </c>
      <c r="G31" s="79">
        <f t="shared" si="2"/>
        <v>1.5205300219296003E-2</v>
      </c>
      <c r="H31" s="79">
        <f t="shared" si="3"/>
        <v>7.5458347782523028E-2</v>
      </c>
      <c r="J31" s="1">
        <v>39539</v>
      </c>
      <c r="K31" s="72">
        <v>37173639896</v>
      </c>
      <c r="M31" s="1">
        <v>34001</v>
      </c>
      <c r="N31" s="72">
        <v>5692593994</v>
      </c>
      <c r="P31" s="1">
        <v>40745</v>
      </c>
      <c r="Q31" s="37">
        <v>0.99431921008846402</v>
      </c>
      <c r="R31" s="72">
        <v>261978075817.81</v>
      </c>
      <c r="S31" s="72">
        <v>263474820922.45001</v>
      </c>
      <c r="T31" s="72">
        <v>1152223085721.24</v>
      </c>
      <c r="V31" s="1">
        <v>40745</v>
      </c>
      <c r="W31" s="37">
        <v>0.67956391613327305</v>
      </c>
      <c r="X31" s="72">
        <v>783009232391.89001</v>
      </c>
      <c r="Y31" s="72">
        <v>1152223085721.24</v>
      </c>
      <c r="AA31" s="1">
        <v>40745</v>
      </c>
      <c r="AB31">
        <v>0.530262307480455</v>
      </c>
    </row>
    <row r="32" spans="1:28">
      <c r="A32" s="60">
        <v>40759</v>
      </c>
      <c r="B32" s="87">
        <v>0.82203491250504035</v>
      </c>
      <c r="C32" s="80">
        <v>0.44409861209358098</v>
      </c>
      <c r="D32" s="80">
        <v>0.45789854868906799</v>
      </c>
      <c r="E32" s="77">
        <f t="shared" si="0"/>
        <v>0.59637879918119396</v>
      </c>
      <c r="F32" s="79">
        <f t="shared" si="1"/>
        <v>0.13848025049212598</v>
      </c>
      <c r="G32" s="79">
        <f t="shared" si="2"/>
        <v>1.3799936595487006E-2</v>
      </c>
      <c r="H32" s="79">
        <f t="shared" si="3"/>
        <v>0.15228018708761298</v>
      </c>
      <c r="J32" s="1">
        <v>39569</v>
      </c>
      <c r="K32" s="72">
        <v>40983559604</v>
      </c>
      <c r="M32" s="1">
        <v>34029</v>
      </c>
      <c r="N32" s="72">
        <v>4643400260</v>
      </c>
      <c r="P32" s="1">
        <v>40752</v>
      </c>
      <c r="Q32" s="37">
        <v>0.99108634926287198</v>
      </c>
      <c r="R32" s="72">
        <v>261126298390.72</v>
      </c>
      <c r="S32" s="72">
        <v>263474820922.45001</v>
      </c>
      <c r="T32" s="72">
        <v>1152223085721.24</v>
      </c>
      <c r="V32" s="1">
        <v>40752</v>
      </c>
      <c r="W32" s="37">
        <v>0.62763510582383797</v>
      </c>
      <c r="X32" s="72">
        <v>723175658339.31995</v>
      </c>
      <c r="Y32" s="72">
        <v>1152223085721.24</v>
      </c>
      <c r="AA32" s="1">
        <v>40752</v>
      </c>
      <c r="AB32">
        <v>0.52343584513018204</v>
      </c>
    </row>
    <row r="33" spans="1:28">
      <c r="A33" s="60">
        <v>40766</v>
      </c>
      <c r="B33" s="87">
        <v>0.86615921529099282</v>
      </c>
      <c r="C33" s="80">
        <v>0.515379400381896</v>
      </c>
      <c r="D33" s="80">
        <v>0.53278765965471897</v>
      </c>
      <c r="E33" s="77">
        <f t="shared" si="0"/>
        <v>0.68792602855859697</v>
      </c>
      <c r="F33" s="79">
        <f t="shared" si="1"/>
        <v>0.155138368903878</v>
      </c>
      <c r="G33" s="79">
        <f t="shared" si="2"/>
        <v>1.7408259272822968E-2</v>
      </c>
      <c r="H33" s="79">
        <f t="shared" si="3"/>
        <v>0.17254662817670097</v>
      </c>
      <c r="J33" s="1">
        <v>39600</v>
      </c>
      <c r="K33" s="72">
        <v>33255669825</v>
      </c>
      <c r="M33" s="1">
        <v>34060</v>
      </c>
      <c r="N33" s="72">
        <v>6068009244</v>
      </c>
      <c r="P33" s="1">
        <v>40759</v>
      </c>
      <c r="Q33" s="37">
        <v>0.99748501915207499</v>
      </c>
      <c r="R33" s="72">
        <v>257872699915.88</v>
      </c>
      <c r="S33" s="72">
        <v>258522880007.85001</v>
      </c>
      <c r="T33" s="72">
        <v>1147663439403.78</v>
      </c>
      <c r="V33" s="1">
        <v>40759</v>
      </c>
      <c r="W33" s="37">
        <v>0.82203491250504002</v>
      </c>
      <c r="X33" s="72">
        <v>943419414995.52002</v>
      </c>
      <c r="Y33" s="72">
        <v>1147663439403.78</v>
      </c>
      <c r="AA33" s="1">
        <v>40759</v>
      </c>
      <c r="AB33">
        <v>0.59637879918119396</v>
      </c>
    </row>
    <row r="34" spans="1:28">
      <c r="A34" s="60">
        <v>40773</v>
      </c>
      <c r="B34" s="87">
        <v>0.89405364982066748</v>
      </c>
      <c r="C34" s="80">
        <v>0.61745026323361196</v>
      </c>
      <c r="D34" s="80">
        <v>0.63586839821177099</v>
      </c>
      <c r="E34" s="77">
        <f t="shared" si="0"/>
        <v>0.76963049580877896</v>
      </c>
      <c r="F34" s="79">
        <f t="shared" si="1"/>
        <v>0.13376209759700797</v>
      </c>
      <c r="G34" s="79">
        <f t="shared" si="2"/>
        <v>1.8418134978159029E-2</v>
      </c>
      <c r="H34" s="79">
        <f t="shared" si="3"/>
        <v>0.152180232575167</v>
      </c>
      <c r="J34" s="1">
        <v>39630</v>
      </c>
      <c r="K34" s="72">
        <v>19494312338</v>
      </c>
      <c r="M34" s="1">
        <v>34090</v>
      </c>
      <c r="N34" s="72">
        <v>7728933873</v>
      </c>
      <c r="P34" s="1">
        <v>40766</v>
      </c>
      <c r="Q34" s="37">
        <v>0.99922735448067901</v>
      </c>
      <c r="R34" s="72">
        <v>258323133462.97</v>
      </c>
      <c r="S34" s="72">
        <v>258522880007.85001</v>
      </c>
      <c r="T34" s="72">
        <v>1147663439403.78</v>
      </c>
      <c r="V34" s="1">
        <v>40766</v>
      </c>
      <c r="W34" s="37">
        <v>0.86615921529099205</v>
      </c>
      <c r="X34" s="72">
        <v>994059264092.14001</v>
      </c>
      <c r="Y34" s="72">
        <v>1147663439403.78</v>
      </c>
      <c r="AA34" s="1">
        <v>40766</v>
      </c>
      <c r="AB34">
        <v>0.68792602855859697</v>
      </c>
    </row>
    <row r="35" spans="1:28">
      <c r="A35" s="60">
        <v>40780</v>
      </c>
      <c r="B35" s="87">
        <v>0.88245505880803987</v>
      </c>
      <c r="C35" s="80">
        <v>0.71103111098302996</v>
      </c>
      <c r="D35" s="80">
        <v>0.730678857237261</v>
      </c>
      <c r="E35" s="77">
        <f t="shared" si="0"/>
        <v>0.73008457468410604</v>
      </c>
      <c r="F35" s="79">
        <f t="shared" si="1"/>
        <v>-5.9428255315496781E-4</v>
      </c>
      <c r="G35" s="79">
        <f t="shared" si="2"/>
        <v>1.9647746254231047E-2</v>
      </c>
      <c r="H35" s="79">
        <f t="shared" si="3"/>
        <v>1.9053463701076079E-2</v>
      </c>
      <c r="J35" s="1">
        <v>39661</v>
      </c>
      <c r="K35" s="72">
        <v>18690959642</v>
      </c>
      <c r="M35" s="1">
        <v>34121</v>
      </c>
      <c r="N35" s="72">
        <v>8409392954</v>
      </c>
      <c r="P35" s="1">
        <v>40773</v>
      </c>
      <c r="Q35" s="37">
        <v>0.999328738373776</v>
      </c>
      <c r="R35" s="72">
        <v>258349343519</v>
      </c>
      <c r="S35" s="72">
        <v>258522880007.85001</v>
      </c>
      <c r="T35" s="72">
        <v>1147663439403.78</v>
      </c>
      <c r="V35" s="1">
        <v>40773</v>
      </c>
      <c r="W35" s="37">
        <v>0.89405364982066704</v>
      </c>
      <c r="X35" s="72">
        <v>1026072686764.6899</v>
      </c>
      <c r="Y35" s="72">
        <v>1147663439403.78</v>
      </c>
      <c r="AA35" s="1">
        <v>40773</v>
      </c>
      <c r="AB35">
        <v>0.76963049580877896</v>
      </c>
    </row>
    <row r="36" spans="1:28">
      <c r="A36" s="60">
        <v>40787</v>
      </c>
      <c r="B36" s="87">
        <v>0.87705195212425147</v>
      </c>
      <c r="C36" s="80">
        <v>0.66735967344709601</v>
      </c>
      <c r="D36" s="80">
        <v>0.68478976915726397</v>
      </c>
      <c r="E36" s="77">
        <f t="shared" si="0"/>
        <v>0.72513911398557795</v>
      </c>
      <c r="F36" s="79">
        <f t="shared" si="1"/>
        <v>4.0349344828313982E-2</v>
      </c>
      <c r="G36" s="79">
        <f t="shared" si="2"/>
        <v>1.7430095710167959E-2</v>
      </c>
      <c r="H36" s="79">
        <f t="shared" si="3"/>
        <v>5.7779440538481941E-2</v>
      </c>
      <c r="J36" s="1">
        <v>39692</v>
      </c>
      <c r="K36" s="72">
        <v>17776205145</v>
      </c>
      <c r="M36" s="1">
        <v>34151</v>
      </c>
      <c r="N36" s="72">
        <v>8104613964</v>
      </c>
      <c r="P36" s="1">
        <v>40780</v>
      </c>
      <c r="Q36" s="37">
        <v>0.99927077384765906</v>
      </c>
      <c r="R36" s="72">
        <v>258334358362.76999</v>
      </c>
      <c r="S36" s="72">
        <v>258522880007.85001</v>
      </c>
      <c r="T36" s="72">
        <v>1147663439403.78</v>
      </c>
      <c r="V36" s="1">
        <v>40780</v>
      </c>
      <c r="W36" s="37">
        <v>0.88245505880803898</v>
      </c>
      <c r="X36" s="72">
        <v>1012761407910.9</v>
      </c>
      <c r="Y36" s="72">
        <v>1147663439403.78</v>
      </c>
      <c r="AA36" s="1">
        <v>40780</v>
      </c>
      <c r="AB36">
        <v>0.73008457468410604</v>
      </c>
    </row>
    <row r="37" spans="1:28">
      <c r="A37" s="60">
        <v>40794</v>
      </c>
      <c r="B37" s="87">
        <v>0.89913652458151405</v>
      </c>
      <c r="C37" s="80">
        <v>0.66070318293374397</v>
      </c>
      <c r="D37" s="80">
        <v>0.67891821943498099</v>
      </c>
      <c r="E37" s="77">
        <f t="shared" si="0"/>
        <v>0.78570803060210304</v>
      </c>
      <c r="F37" s="79">
        <f t="shared" si="1"/>
        <v>0.10678981116712205</v>
      </c>
      <c r="G37" s="79">
        <f t="shared" si="2"/>
        <v>1.8215036501237014E-2</v>
      </c>
      <c r="H37" s="79">
        <f t="shared" si="3"/>
        <v>0.12500484766835906</v>
      </c>
      <c r="J37" s="1">
        <v>39722</v>
      </c>
      <c r="K37" s="72">
        <v>13057902254</v>
      </c>
      <c r="M37" s="1">
        <v>34182</v>
      </c>
      <c r="N37" s="72">
        <v>9301167762</v>
      </c>
      <c r="P37" s="1">
        <v>40787</v>
      </c>
      <c r="Q37" s="37">
        <v>0.99926284453984104</v>
      </c>
      <c r="R37" s="72">
        <v>252806888302.23999</v>
      </c>
      <c r="S37" s="72">
        <v>252993383756.45999</v>
      </c>
      <c r="T37" s="72">
        <v>1141752432752.1201</v>
      </c>
      <c r="V37" s="1">
        <v>40787</v>
      </c>
      <c r="W37" s="37">
        <v>0.87705195212425102</v>
      </c>
      <c r="X37" s="72">
        <v>1001376199987.86</v>
      </c>
      <c r="Y37" s="72">
        <v>1141752432752.1201</v>
      </c>
      <c r="AA37" s="1">
        <v>40787</v>
      </c>
      <c r="AB37">
        <v>0.72513911398557795</v>
      </c>
    </row>
    <row r="38" spans="1:28">
      <c r="A38" s="60">
        <v>40801</v>
      </c>
      <c r="B38" s="87">
        <v>0.91573810007808687</v>
      </c>
      <c r="C38" s="80">
        <v>0.72862294428542695</v>
      </c>
      <c r="D38" s="80">
        <v>0.74882938585751302</v>
      </c>
      <c r="E38" s="77">
        <f t="shared" si="0"/>
        <v>0.78784236429837495</v>
      </c>
      <c r="F38" s="79">
        <f t="shared" si="1"/>
        <v>3.9012978440861934E-2</v>
      </c>
      <c r="G38" s="79">
        <f t="shared" si="2"/>
        <v>2.0206441572086065E-2</v>
      </c>
      <c r="H38" s="79">
        <f t="shared" si="3"/>
        <v>5.9219420012947999E-2</v>
      </c>
      <c r="J38" s="1">
        <v>39753</v>
      </c>
      <c r="K38" s="72">
        <v>13700425950</v>
      </c>
      <c r="M38" s="1">
        <v>34213</v>
      </c>
      <c r="N38" s="72">
        <v>7560831857</v>
      </c>
      <c r="P38" s="1">
        <v>40794</v>
      </c>
      <c r="Q38" s="37">
        <v>0.99966016160026205</v>
      </c>
      <c r="R38" s="72">
        <v>252907406889.78</v>
      </c>
      <c r="S38" s="72">
        <v>252993383756.45999</v>
      </c>
      <c r="T38" s="72">
        <v>1141752432752.1201</v>
      </c>
      <c r="V38" s="1">
        <v>40794</v>
      </c>
      <c r="W38" s="37">
        <v>0.89913652458151405</v>
      </c>
      <c r="X38" s="72">
        <v>1026591314317.23</v>
      </c>
      <c r="Y38" s="72">
        <v>1141752432752.1201</v>
      </c>
      <c r="AA38" s="1">
        <v>40794</v>
      </c>
      <c r="AB38">
        <v>0.78570803060210304</v>
      </c>
    </row>
    <row r="39" spans="1:28">
      <c r="A39" s="60">
        <v>40808</v>
      </c>
      <c r="B39" s="87">
        <v>0.91573810007808687</v>
      </c>
      <c r="C39" s="80">
        <v>0.73180955418473204</v>
      </c>
      <c r="D39" s="80">
        <v>0.75105682006900099</v>
      </c>
      <c r="E39" s="77">
        <f t="shared" si="0"/>
        <v>0.78784236429837495</v>
      </c>
      <c r="F39" s="79">
        <f t="shared" si="1"/>
        <v>3.6785544229373968E-2</v>
      </c>
      <c r="G39" s="79">
        <f t="shared" si="2"/>
        <v>1.9247265884268949E-2</v>
      </c>
      <c r="H39" s="79">
        <f t="shared" si="3"/>
        <v>5.6032810113642917E-2</v>
      </c>
      <c r="J39" s="1">
        <v>39783</v>
      </c>
      <c r="K39" s="72">
        <v>14769479317</v>
      </c>
      <c r="M39" s="1">
        <v>34243</v>
      </c>
      <c r="N39" s="72">
        <v>7932696609</v>
      </c>
      <c r="P39" s="1">
        <v>40801</v>
      </c>
      <c r="Q39" s="37">
        <v>0.99979798296373901</v>
      </c>
      <c r="R39" s="72">
        <v>252942274782.88</v>
      </c>
      <c r="S39" s="72">
        <v>252993383756.45999</v>
      </c>
      <c r="T39" s="72">
        <v>1141752432752.1201</v>
      </c>
      <c r="V39" s="1">
        <v>40801</v>
      </c>
      <c r="W39" s="37">
        <v>0.91573810007808598</v>
      </c>
      <c r="X39" s="72">
        <v>1045546203527.96</v>
      </c>
      <c r="Y39" s="72">
        <v>1141752432752.1201</v>
      </c>
      <c r="AA39" s="1">
        <v>40801</v>
      </c>
      <c r="AB39">
        <v>0.78784236429837495</v>
      </c>
    </row>
    <row r="40" spans="1:28">
      <c r="A40" s="60">
        <v>40815</v>
      </c>
      <c r="B40" s="87">
        <v>0.95119204448607597</v>
      </c>
      <c r="C40" s="80">
        <v>0.73180955418473204</v>
      </c>
      <c r="D40" s="80">
        <v>0.75105682006900099</v>
      </c>
      <c r="E40" s="77">
        <f t="shared" si="0"/>
        <v>0.835097603433548</v>
      </c>
      <c r="F40" s="79">
        <f t="shared" si="1"/>
        <v>8.4040783364547011E-2</v>
      </c>
      <c r="G40" s="79">
        <f t="shared" si="2"/>
        <v>1.9247265884268949E-2</v>
      </c>
      <c r="H40" s="79">
        <f t="shared" si="3"/>
        <v>0.10328804924881596</v>
      </c>
      <c r="J40" s="1">
        <v>39814</v>
      </c>
      <c r="K40" s="72">
        <v>16237362765</v>
      </c>
      <c r="M40" s="1">
        <v>34274</v>
      </c>
      <c r="N40" s="72">
        <v>13032846927</v>
      </c>
      <c r="P40" s="1">
        <v>40808</v>
      </c>
      <c r="Q40" s="37">
        <v>0.99979798296373901</v>
      </c>
      <c r="R40" s="72">
        <v>252942274782.88</v>
      </c>
      <c r="S40" s="72">
        <v>252993383756.45999</v>
      </c>
      <c r="T40" s="72">
        <v>1141752432752.1201</v>
      </c>
      <c r="V40" s="1">
        <v>40808</v>
      </c>
      <c r="W40" s="37">
        <v>0.91573810007808598</v>
      </c>
      <c r="X40" s="72">
        <v>1045546203527.96</v>
      </c>
      <c r="Y40" s="72">
        <v>1141752432752.1201</v>
      </c>
      <c r="AA40" s="1">
        <v>40808</v>
      </c>
      <c r="AB40">
        <v>0.78784236429837495</v>
      </c>
    </row>
    <row r="41" spans="1:28">
      <c r="A41" s="60">
        <v>40822</v>
      </c>
      <c r="B41" s="87">
        <v>0.9606311457825103</v>
      </c>
      <c r="C41" s="80">
        <v>0.78537510001402</v>
      </c>
      <c r="D41" s="80">
        <v>0.80540404717700897</v>
      </c>
      <c r="E41" s="77">
        <f t="shared" si="0"/>
        <v>0.82334508252646699</v>
      </c>
      <c r="F41" s="79">
        <f t="shared" si="1"/>
        <v>1.7941035349458012E-2</v>
      </c>
      <c r="G41" s="79">
        <f t="shared" si="2"/>
        <v>2.0028947162988975E-2</v>
      </c>
      <c r="H41" s="79">
        <f t="shared" si="3"/>
        <v>3.7969982512446987E-2</v>
      </c>
      <c r="J41" s="1">
        <v>39845</v>
      </c>
      <c r="K41" s="72">
        <v>29632253745</v>
      </c>
      <c r="M41" s="1">
        <v>34304</v>
      </c>
      <c r="N41" s="72">
        <v>14927800985</v>
      </c>
      <c r="P41" s="1">
        <v>40815</v>
      </c>
      <c r="Q41" s="37">
        <v>0.99996164023210399</v>
      </c>
      <c r="R41" s="72">
        <v>252983678988.98001</v>
      </c>
      <c r="S41" s="72">
        <v>252993383756.45999</v>
      </c>
      <c r="T41" s="72">
        <v>1141752432752.1201</v>
      </c>
      <c r="V41" s="1">
        <v>40815</v>
      </c>
      <c r="W41" s="37">
        <v>0.95119204448607497</v>
      </c>
      <c r="X41" s="72">
        <v>1086025830806.4399</v>
      </c>
      <c r="Y41" s="72">
        <v>1141752432752.1201</v>
      </c>
      <c r="AA41" s="1">
        <v>40815</v>
      </c>
      <c r="AB41">
        <v>0.835097603433548</v>
      </c>
    </row>
    <row r="42" spans="1:28">
      <c r="A42" s="60">
        <v>40829</v>
      </c>
      <c r="B42" s="87">
        <v>0.88319294867091491</v>
      </c>
      <c r="C42" s="80">
        <v>0.77200889405912698</v>
      </c>
      <c r="D42" s="80">
        <v>0.790582670298423</v>
      </c>
      <c r="E42" s="77">
        <f t="shared" si="0"/>
        <v>0.75041835881665098</v>
      </c>
      <c r="F42" s="79">
        <f t="shared" si="1"/>
        <v>-4.0164311481772019E-2</v>
      </c>
      <c r="G42" s="79">
        <f t="shared" si="2"/>
        <v>1.8573776239296014E-2</v>
      </c>
      <c r="H42" s="79">
        <f t="shared" si="3"/>
        <v>-2.1590535242476006E-2</v>
      </c>
      <c r="J42" s="1">
        <v>39873</v>
      </c>
      <c r="K42" s="72">
        <v>57506281286</v>
      </c>
      <c r="M42" s="1">
        <v>34335</v>
      </c>
      <c r="N42" s="72">
        <v>10127685125</v>
      </c>
      <c r="P42" s="1">
        <v>40822</v>
      </c>
      <c r="Q42" s="37">
        <v>0.99996270514104002</v>
      </c>
      <c r="R42" s="72">
        <v>247266535920.60001</v>
      </c>
      <c r="S42" s="72">
        <v>247275758035.12</v>
      </c>
      <c r="T42" s="72">
        <v>1131192683494.3501</v>
      </c>
      <c r="V42" s="1">
        <v>40822</v>
      </c>
      <c r="W42" s="37">
        <v>0.96063114578250997</v>
      </c>
      <c r="X42" s="72">
        <v>1086658923645.97</v>
      </c>
      <c r="Y42" s="72">
        <v>1131192683494.3501</v>
      </c>
      <c r="AA42" s="1">
        <v>40822</v>
      </c>
      <c r="AB42">
        <v>0.82334508252646699</v>
      </c>
    </row>
    <row r="43" spans="1:28">
      <c r="A43" s="60">
        <v>40836</v>
      </c>
      <c r="B43" s="87">
        <v>0.88612166598921127</v>
      </c>
      <c r="C43" s="80">
        <v>0.68762581065136796</v>
      </c>
      <c r="D43" s="80">
        <v>0.707335305309861</v>
      </c>
      <c r="E43" s="77">
        <f t="shared" si="0"/>
        <v>0.76893145735928503</v>
      </c>
      <c r="F43" s="79">
        <f t="shared" si="1"/>
        <v>6.1596152049424036E-2</v>
      </c>
      <c r="G43" s="79">
        <f t="shared" si="2"/>
        <v>1.9709494658493032E-2</v>
      </c>
      <c r="H43" s="79">
        <f t="shared" si="3"/>
        <v>8.1305646707917067E-2</v>
      </c>
      <c r="J43" s="1">
        <v>39904</v>
      </c>
      <c r="K43" s="72">
        <v>46179412107</v>
      </c>
      <c r="M43" s="1">
        <v>34366</v>
      </c>
      <c r="N43" s="72">
        <v>8295686006</v>
      </c>
      <c r="P43" s="1">
        <v>40829</v>
      </c>
      <c r="Q43" s="37">
        <v>0.99931997226923397</v>
      </c>
      <c r="R43" s="72">
        <v>247107603662.51001</v>
      </c>
      <c r="S43" s="72">
        <v>247275758035.12</v>
      </c>
      <c r="T43" s="72">
        <v>1131192683494.3501</v>
      </c>
      <c r="V43" s="1">
        <v>40829</v>
      </c>
      <c r="W43" s="37">
        <v>0.88319294867091402</v>
      </c>
      <c r="X43" s="72">
        <v>999061401650.33997</v>
      </c>
      <c r="Y43" s="72">
        <v>1131192683494.3501</v>
      </c>
      <c r="AA43" s="1">
        <v>40829</v>
      </c>
      <c r="AB43">
        <v>0.75041835881665098</v>
      </c>
    </row>
    <row r="44" spans="1:28">
      <c r="A44" s="60">
        <v>40843</v>
      </c>
      <c r="B44" s="87">
        <v>0.89034422301999483</v>
      </c>
      <c r="C44" s="80">
        <v>0.70907311332117495</v>
      </c>
      <c r="D44" s="80">
        <v>0.72872079834060799</v>
      </c>
      <c r="E44" s="77">
        <f t="shared" si="0"/>
        <v>0.77037274528699795</v>
      </c>
      <c r="F44" s="79">
        <f t="shared" si="1"/>
        <v>4.1651946946389962E-2</v>
      </c>
      <c r="G44" s="79">
        <f t="shared" si="2"/>
        <v>1.9647685019433037E-2</v>
      </c>
      <c r="H44" s="79">
        <f t="shared" si="3"/>
        <v>6.1299631965822998E-2</v>
      </c>
      <c r="J44" s="1">
        <v>39934</v>
      </c>
      <c r="K44" s="72">
        <v>43712600576</v>
      </c>
      <c r="M44" s="1">
        <v>34394</v>
      </c>
      <c r="N44" s="72">
        <v>8382684410</v>
      </c>
      <c r="P44" s="1">
        <v>40836</v>
      </c>
      <c r="Q44" s="37">
        <v>0.99947209240453905</v>
      </c>
      <c r="R44" s="72">
        <v>247145219284.28</v>
      </c>
      <c r="S44" s="72">
        <v>247275758035.12</v>
      </c>
      <c r="T44" s="72">
        <v>1131192683494.3501</v>
      </c>
      <c r="V44" s="1">
        <v>40836</v>
      </c>
      <c r="W44" s="37">
        <v>0.88612166598921105</v>
      </c>
      <c r="X44" s="72">
        <v>1002374345252.8199</v>
      </c>
      <c r="Y44" s="72">
        <v>1131192683494.3501</v>
      </c>
      <c r="AA44" s="1">
        <v>40836</v>
      </c>
      <c r="AB44">
        <v>0.76893145735928503</v>
      </c>
    </row>
    <row r="45" spans="1:28">
      <c r="A45" s="60">
        <v>40850</v>
      </c>
      <c r="B45" s="87">
        <v>0.94066080506408445</v>
      </c>
      <c r="C45" s="80">
        <v>0.71096371307505601</v>
      </c>
      <c r="D45" s="80">
        <v>0.73025745423770105</v>
      </c>
      <c r="E45" s="77">
        <f t="shared" si="0"/>
        <v>0.80738330212536202</v>
      </c>
      <c r="F45" s="79">
        <f t="shared" si="1"/>
        <v>7.712584788766097E-2</v>
      </c>
      <c r="G45" s="79">
        <f t="shared" si="2"/>
        <v>1.9293741162645039E-2</v>
      </c>
      <c r="H45" s="79">
        <f t="shared" si="3"/>
        <v>9.6419589050306009E-2</v>
      </c>
      <c r="J45" s="1">
        <v>39965</v>
      </c>
      <c r="K45" s="72">
        <v>60043212356</v>
      </c>
      <c r="M45" s="1">
        <v>34425</v>
      </c>
      <c r="N45" s="72">
        <v>8083158923</v>
      </c>
      <c r="P45" s="1">
        <v>40843</v>
      </c>
      <c r="Q45" s="37">
        <v>0.99959142104857801</v>
      </c>
      <c r="R45" s="72">
        <v>247174726365.19</v>
      </c>
      <c r="S45" s="72">
        <v>247275758035.12</v>
      </c>
      <c r="T45" s="72">
        <v>1131192683494.3501</v>
      </c>
      <c r="V45" s="1">
        <v>40843</v>
      </c>
      <c r="W45" s="37">
        <v>0.89034422301999405</v>
      </c>
      <c r="X45" s="72">
        <v>1007150870871.6801</v>
      </c>
      <c r="Y45" s="72">
        <v>1131192683494.3501</v>
      </c>
      <c r="AA45" s="1">
        <v>40843</v>
      </c>
      <c r="AB45">
        <v>0.77037274528699795</v>
      </c>
    </row>
    <row r="46" spans="1:28">
      <c r="A46" s="60">
        <v>40857</v>
      </c>
      <c r="B46" s="87">
        <v>0.94307267216913626</v>
      </c>
      <c r="C46" s="80">
        <v>0.75213064967891696</v>
      </c>
      <c r="D46" s="80">
        <v>0.77103501437728905</v>
      </c>
      <c r="E46" s="77">
        <f t="shared" si="0"/>
        <v>0.80743099133140495</v>
      </c>
      <c r="F46" s="79">
        <f t="shared" si="1"/>
        <v>3.6395976954115894E-2</v>
      </c>
      <c r="G46" s="79">
        <f t="shared" si="2"/>
        <v>1.8904364698372089E-2</v>
      </c>
      <c r="H46" s="79">
        <f t="shared" si="3"/>
        <v>5.5300341652487983E-2</v>
      </c>
      <c r="J46" s="1">
        <v>39995</v>
      </c>
      <c r="K46" s="72">
        <v>42766970309</v>
      </c>
      <c r="M46" s="1">
        <v>34455</v>
      </c>
      <c r="N46" s="72">
        <v>5765278241</v>
      </c>
      <c r="P46" s="1">
        <v>40850</v>
      </c>
      <c r="Q46" s="37">
        <v>0.99995988038121497</v>
      </c>
      <c r="R46" s="72">
        <v>240620503587.07001</v>
      </c>
      <c r="S46" s="72">
        <v>240630157577.26001</v>
      </c>
      <c r="T46" s="72">
        <v>1114609422492.3201</v>
      </c>
      <c r="V46" s="1">
        <v>40850</v>
      </c>
      <c r="W46" s="37">
        <v>0.940660805064084</v>
      </c>
      <c r="X46" s="72">
        <v>1048469396693.64</v>
      </c>
      <c r="Y46" s="72">
        <v>1114609422492.3201</v>
      </c>
      <c r="AA46" s="1">
        <v>40850</v>
      </c>
      <c r="AB46">
        <v>0.80738330212536202</v>
      </c>
    </row>
    <row r="47" spans="1:28">
      <c r="A47" s="60">
        <v>40864</v>
      </c>
      <c r="B47" s="87">
        <v>0.94066080506408445</v>
      </c>
      <c r="C47" s="80">
        <v>0.75215343752934904</v>
      </c>
      <c r="D47" s="80">
        <v>0.77108265099835005</v>
      </c>
      <c r="E47" s="77">
        <f t="shared" si="0"/>
        <v>0.80738330212536202</v>
      </c>
      <c r="F47" s="79">
        <f t="shared" si="1"/>
        <v>3.6300651127011974E-2</v>
      </c>
      <c r="G47" s="79">
        <f t="shared" si="2"/>
        <v>1.8929213469001005E-2</v>
      </c>
      <c r="H47" s="79">
        <f t="shared" si="3"/>
        <v>5.5229864596012979E-2</v>
      </c>
      <c r="J47" s="1">
        <v>40026</v>
      </c>
      <c r="K47" s="72">
        <v>47324376215</v>
      </c>
      <c r="M47" s="1">
        <v>34486</v>
      </c>
      <c r="N47" s="72">
        <v>5119174201</v>
      </c>
      <c r="P47" s="1">
        <v>40857</v>
      </c>
      <c r="Q47" s="37">
        <v>0.99996177542618603</v>
      </c>
      <c r="R47" s="72">
        <v>240620959592.04001</v>
      </c>
      <c r="S47" s="72">
        <v>240630157577.26001</v>
      </c>
      <c r="T47" s="72">
        <v>1114609422492.3201</v>
      </c>
      <c r="V47" s="1">
        <v>40857</v>
      </c>
      <c r="W47" s="37">
        <v>0.94307267216913604</v>
      </c>
      <c r="X47" s="72">
        <v>1051157686494.73</v>
      </c>
      <c r="Y47" s="72">
        <v>1114609422492.3201</v>
      </c>
      <c r="AA47" s="1">
        <v>40857</v>
      </c>
      <c r="AB47">
        <v>0.80743099133140495</v>
      </c>
    </row>
    <row r="48" spans="1:28">
      <c r="A48" s="60">
        <v>40870</v>
      </c>
      <c r="B48" s="87">
        <v>0.94548210621178497</v>
      </c>
      <c r="C48" s="80">
        <v>0.75213064967891696</v>
      </c>
      <c r="D48" s="80">
        <v>0.77103501437728905</v>
      </c>
      <c r="E48" s="77">
        <f t="shared" si="0"/>
        <v>0.80868850381438495</v>
      </c>
      <c r="F48" s="79">
        <f t="shared" si="1"/>
        <v>3.7653489437095899E-2</v>
      </c>
      <c r="G48" s="79">
        <f t="shared" si="2"/>
        <v>1.8904364698372089E-2</v>
      </c>
      <c r="H48" s="79">
        <f t="shared" si="3"/>
        <v>5.6557854135467989E-2</v>
      </c>
      <c r="J48" s="1">
        <v>40057</v>
      </c>
      <c r="K48" s="72">
        <v>30545745605</v>
      </c>
      <c r="M48" s="1">
        <v>34516</v>
      </c>
      <c r="N48" s="72">
        <v>3969522642</v>
      </c>
      <c r="P48" s="1">
        <v>40864</v>
      </c>
      <c r="Q48" s="37">
        <v>0.99995988038121497</v>
      </c>
      <c r="R48" s="72">
        <v>240620503587.07001</v>
      </c>
      <c r="S48" s="72">
        <v>240630157577.26001</v>
      </c>
      <c r="T48" s="72">
        <v>1114609422492.3201</v>
      </c>
      <c r="V48" s="1">
        <v>40864</v>
      </c>
      <c r="W48" s="37">
        <v>0.940660805064084</v>
      </c>
      <c r="X48" s="72">
        <v>1048469396693.64</v>
      </c>
      <c r="Y48" s="72">
        <v>1114609422492.3201</v>
      </c>
      <c r="AA48" s="1">
        <v>40864</v>
      </c>
      <c r="AB48">
        <v>0.80738330212536202</v>
      </c>
    </row>
    <row r="49" spans="1:28">
      <c r="A49" s="60">
        <v>40878</v>
      </c>
      <c r="B49" s="87">
        <v>0.93350677700053231</v>
      </c>
      <c r="C49" s="80">
        <v>0.75451882195048703</v>
      </c>
      <c r="D49" s="80">
        <v>0.77245486812915198</v>
      </c>
      <c r="E49" s="77">
        <f t="shared" si="0"/>
        <v>0.79462879185413404</v>
      </c>
      <c r="F49" s="79">
        <f t="shared" si="1"/>
        <v>2.2173923724982059E-2</v>
      </c>
      <c r="G49" s="79">
        <f t="shared" si="2"/>
        <v>1.7936046178664955E-2</v>
      </c>
      <c r="H49" s="79">
        <f t="shared" si="3"/>
        <v>4.0109969903647014E-2</v>
      </c>
      <c r="J49" s="1">
        <v>40087</v>
      </c>
      <c r="K49" s="72">
        <v>25447284892</v>
      </c>
      <c r="M49" s="1">
        <v>34547</v>
      </c>
      <c r="N49" s="72">
        <v>3600341073</v>
      </c>
      <c r="P49" s="1">
        <v>40870</v>
      </c>
      <c r="Q49" s="37">
        <v>0.99996177542618603</v>
      </c>
      <c r="R49" s="72">
        <v>240620959592.04001</v>
      </c>
      <c r="S49" s="72">
        <v>240630157577.26001</v>
      </c>
      <c r="T49" s="72">
        <v>1114609422492.3201</v>
      </c>
      <c r="V49" s="1">
        <v>40870</v>
      </c>
      <c r="W49" s="37">
        <v>0.94548210621178397</v>
      </c>
      <c r="X49" s="72">
        <v>1053843264381.54</v>
      </c>
      <c r="Y49" s="72">
        <v>1114609422492.3201</v>
      </c>
      <c r="AA49" s="1">
        <v>40870</v>
      </c>
      <c r="AB49">
        <v>0.80868850381438495</v>
      </c>
    </row>
    <row r="50" spans="1:28">
      <c r="A50" s="60">
        <v>40885</v>
      </c>
      <c r="B50" s="87">
        <v>0.9360479648360801</v>
      </c>
      <c r="C50" s="80">
        <v>0.73701250506221705</v>
      </c>
      <c r="D50" s="80">
        <v>0.75539515722260098</v>
      </c>
      <c r="E50" s="77">
        <f t="shared" si="0"/>
        <v>0.79467702755735403</v>
      </c>
      <c r="F50" s="79">
        <f t="shared" si="1"/>
        <v>3.9281870334753055E-2</v>
      </c>
      <c r="G50" s="79">
        <f t="shared" si="2"/>
        <v>1.8382652160383928E-2</v>
      </c>
      <c r="H50" s="79">
        <f t="shared" si="3"/>
        <v>5.7664522495136983E-2</v>
      </c>
      <c r="J50" s="1">
        <v>40118</v>
      </c>
      <c r="K50" s="72">
        <v>25295105750</v>
      </c>
      <c r="M50" s="1">
        <v>34578</v>
      </c>
      <c r="N50" s="72">
        <v>3457719713</v>
      </c>
      <c r="P50" s="1">
        <v>40878</v>
      </c>
      <c r="Q50" s="37">
        <v>0.99995905081811498</v>
      </c>
      <c r="R50" s="72">
        <v>233891837028.17001</v>
      </c>
      <c r="S50" s="72">
        <v>233901415099.76001</v>
      </c>
      <c r="T50" s="72">
        <v>1095195657596.91</v>
      </c>
      <c r="V50" s="1">
        <v>40878</v>
      </c>
      <c r="W50" s="37">
        <v>0.93350677700053197</v>
      </c>
      <c r="X50" s="72">
        <v>1022372568508.27</v>
      </c>
      <c r="Y50" s="72">
        <v>1095195657596.91</v>
      </c>
      <c r="AA50" s="1">
        <v>40878</v>
      </c>
      <c r="AB50">
        <v>0.79462879185413404</v>
      </c>
    </row>
    <row r="51" spans="1:28">
      <c r="A51" s="60">
        <v>40892</v>
      </c>
      <c r="B51" s="87">
        <v>0.94651897141040553</v>
      </c>
      <c r="C51" s="80">
        <v>0.737034618623016</v>
      </c>
      <c r="D51" s="80">
        <v>0.75544279443301199</v>
      </c>
      <c r="E51" s="77">
        <f t="shared" si="0"/>
        <v>0.79667077255181695</v>
      </c>
      <c r="F51" s="79">
        <f t="shared" si="1"/>
        <v>4.1227978118804964E-2</v>
      </c>
      <c r="G51" s="79">
        <f t="shared" si="2"/>
        <v>1.8408175809995986E-2</v>
      </c>
      <c r="H51" s="79">
        <f t="shared" si="3"/>
        <v>5.963615392880095E-2</v>
      </c>
      <c r="J51" s="1">
        <v>40148</v>
      </c>
      <c r="K51" s="72">
        <v>34701865157</v>
      </c>
      <c r="M51" s="1">
        <v>34608</v>
      </c>
      <c r="N51" s="72">
        <v>2920569611</v>
      </c>
      <c r="P51" s="1">
        <v>40885</v>
      </c>
      <c r="Q51" s="37">
        <v>0.999960994802506</v>
      </c>
      <c r="R51" s="72">
        <v>233892291728.87</v>
      </c>
      <c r="S51" s="72">
        <v>233901415099.76001</v>
      </c>
      <c r="T51" s="72">
        <v>1095195657596.91</v>
      </c>
      <c r="V51" s="1">
        <v>40885</v>
      </c>
      <c r="W51" s="37">
        <v>0.93604796483607999</v>
      </c>
      <c r="X51" s="72">
        <v>1025155666390.9</v>
      </c>
      <c r="Y51" s="72">
        <v>1095195657596.91</v>
      </c>
      <c r="AA51" s="1">
        <v>40885</v>
      </c>
      <c r="AB51">
        <v>0.79467702755735403</v>
      </c>
    </row>
    <row r="52" spans="1:28">
      <c r="A52" s="60">
        <v>40899</v>
      </c>
      <c r="B52" s="87">
        <v>0.96812599238425934</v>
      </c>
      <c r="C52" s="80">
        <v>0.74005848510739902</v>
      </c>
      <c r="D52" s="80">
        <v>0.757642248754546</v>
      </c>
      <c r="E52" s="77">
        <f t="shared" si="0"/>
        <v>0.82560167628302705</v>
      </c>
      <c r="F52" s="79">
        <f t="shared" si="1"/>
        <v>6.7959427528481053E-2</v>
      </c>
      <c r="G52" s="79">
        <f t="shared" si="2"/>
        <v>1.7583763647146977E-2</v>
      </c>
      <c r="H52" s="79">
        <f t="shared" si="3"/>
        <v>8.5543191175628031E-2</v>
      </c>
      <c r="J52" s="1">
        <v>40179</v>
      </c>
      <c r="K52" s="72">
        <v>28268837561</v>
      </c>
      <c r="M52" s="1">
        <v>34639</v>
      </c>
      <c r="N52" s="72">
        <v>1839399203</v>
      </c>
      <c r="P52" s="1">
        <v>40892</v>
      </c>
      <c r="Q52" s="37">
        <v>0.999960994802506</v>
      </c>
      <c r="R52" s="72">
        <v>233892291728.87</v>
      </c>
      <c r="S52" s="72">
        <v>233901415099.76001</v>
      </c>
      <c r="T52" s="72">
        <v>1095195657596.91</v>
      </c>
      <c r="V52" s="1">
        <v>40892</v>
      </c>
      <c r="W52" s="37">
        <v>0.94651897141040497</v>
      </c>
      <c r="X52" s="72">
        <v>1036623467321.77</v>
      </c>
      <c r="Y52" s="72">
        <v>1095195657596.91</v>
      </c>
      <c r="AA52" s="1">
        <v>40892</v>
      </c>
      <c r="AB52">
        <v>0.79667077255181695</v>
      </c>
    </row>
    <row r="53" spans="1:28">
      <c r="A53" s="60">
        <v>40906</v>
      </c>
      <c r="B53" s="87">
        <v>0.95812187386283387</v>
      </c>
      <c r="C53" s="80">
        <v>0.77262482249298603</v>
      </c>
      <c r="D53" s="80">
        <v>0.79118415521131102</v>
      </c>
      <c r="E53" s="77">
        <f t="shared" si="0"/>
        <v>0.81761753197113796</v>
      </c>
      <c r="F53" s="79">
        <f t="shared" si="1"/>
        <v>2.6433376759826932E-2</v>
      </c>
      <c r="G53" s="79">
        <f t="shared" si="2"/>
        <v>1.8559332718324995E-2</v>
      </c>
      <c r="H53" s="79">
        <f t="shared" si="3"/>
        <v>4.4992709478151927E-2</v>
      </c>
      <c r="J53" s="1">
        <v>40210</v>
      </c>
      <c r="K53" s="72">
        <v>27635808941</v>
      </c>
      <c r="M53" s="1">
        <v>34669</v>
      </c>
      <c r="N53" s="72">
        <v>1695905717</v>
      </c>
      <c r="P53" s="1">
        <v>40899</v>
      </c>
      <c r="Q53" s="37">
        <v>0.999960994802506</v>
      </c>
      <c r="R53" s="72">
        <v>233892291728.87</v>
      </c>
      <c r="S53" s="72">
        <v>233901415099.76001</v>
      </c>
      <c r="T53" s="72">
        <v>1095195657596.91</v>
      </c>
      <c r="V53" s="1">
        <v>40899</v>
      </c>
      <c r="W53" s="37">
        <v>0.968125992384259</v>
      </c>
      <c r="X53" s="72">
        <v>1060287382865.9399</v>
      </c>
      <c r="Y53" s="72">
        <v>1095195657596.91</v>
      </c>
      <c r="AA53" s="1">
        <v>40899</v>
      </c>
      <c r="AB53">
        <v>0.82560167628302705</v>
      </c>
    </row>
    <row r="54" spans="1:28">
      <c r="A54" s="60">
        <v>40913</v>
      </c>
      <c r="B54" s="87">
        <v>0.95589794777414239</v>
      </c>
      <c r="C54" s="80">
        <v>0.76353022654842795</v>
      </c>
      <c r="D54" s="80">
        <v>0.78151191934601505</v>
      </c>
      <c r="E54" s="77">
        <f t="shared" si="0"/>
        <v>0.80675519627661196</v>
      </c>
      <c r="F54" s="79">
        <f t="shared" si="1"/>
        <v>2.5243276930596914E-2</v>
      </c>
      <c r="G54" s="79">
        <f t="shared" si="2"/>
        <v>1.7981692797587101E-2</v>
      </c>
      <c r="H54" s="79">
        <f t="shared" si="3"/>
        <v>4.3224969728184015E-2</v>
      </c>
      <c r="J54" s="1">
        <v>40238</v>
      </c>
      <c r="K54" s="72">
        <v>29871379284</v>
      </c>
      <c r="M54" s="1">
        <v>34700</v>
      </c>
      <c r="N54" s="72">
        <v>1948777665</v>
      </c>
      <c r="P54" s="1">
        <v>40906</v>
      </c>
      <c r="Q54" s="37">
        <v>0.999960994802506</v>
      </c>
      <c r="R54" s="72">
        <v>233892291728.87</v>
      </c>
      <c r="S54" s="72">
        <v>233901415099.76001</v>
      </c>
      <c r="T54" s="72">
        <v>1095195657596.91</v>
      </c>
      <c r="V54" s="1">
        <v>40906</v>
      </c>
      <c r="W54" s="37">
        <v>0.95812187386283298</v>
      </c>
      <c r="X54" s="72">
        <v>1049330915703.1899</v>
      </c>
      <c r="Y54" s="72">
        <v>1095195657596.91</v>
      </c>
      <c r="AA54" s="1">
        <v>40906</v>
      </c>
      <c r="AB54">
        <v>0.81761753197113796</v>
      </c>
    </row>
    <row r="55" spans="1:28">
      <c r="A55" s="60">
        <v>40920</v>
      </c>
      <c r="B55" s="87">
        <v>0.96253398235989307</v>
      </c>
      <c r="C55" s="80">
        <v>0.75017446397926801</v>
      </c>
      <c r="D55" s="80">
        <v>0.76877472295611105</v>
      </c>
      <c r="E55" s="77">
        <f t="shared" si="0"/>
        <v>0.81664922560340802</v>
      </c>
      <c r="F55" s="79">
        <f t="shared" si="1"/>
        <v>4.7874502647296979E-2</v>
      </c>
      <c r="G55" s="79">
        <f t="shared" si="2"/>
        <v>1.8600258976843032E-2</v>
      </c>
      <c r="H55" s="79">
        <f t="shared" si="3"/>
        <v>6.6474761624140011E-2</v>
      </c>
      <c r="J55" s="1">
        <v>40269</v>
      </c>
      <c r="K55" s="72">
        <v>22637194168</v>
      </c>
      <c r="M55" s="1">
        <v>34731</v>
      </c>
      <c r="N55" s="72">
        <v>1932905054</v>
      </c>
      <c r="P55" s="1">
        <v>40913</v>
      </c>
      <c r="Q55" s="37">
        <v>0.99995998003263897</v>
      </c>
      <c r="R55" s="72">
        <v>227346108416.84</v>
      </c>
      <c r="S55" s="72">
        <v>227355207164.81</v>
      </c>
      <c r="T55" s="72">
        <v>1083505969637.24</v>
      </c>
      <c r="V55" s="1">
        <v>40913</v>
      </c>
      <c r="W55" s="37">
        <v>0.95589794777414205</v>
      </c>
      <c r="X55" s="72">
        <v>1035721132777.27</v>
      </c>
      <c r="Y55" s="72">
        <v>1083505969637.24</v>
      </c>
      <c r="AA55" s="1">
        <v>40913</v>
      </c>
      <c r="AB55">
        <v>0.80675519627661196</v>
      </c>
    </row>
    <row r="56" spans="1:28">
      <c r="A56" s="60">
        <v>40927</v>
      </c>
      <c r="B56" s="87">
        <v>0.96144007933003084</v>
      </c>
      <c r="C56" s="80">
        <v>0.76194885743932395</v>
      </c>
      <c r="D56" s="80">
        <v>0.78061484194895703</v>
      </c>
      <c r="E56" s="77">
        <f t="shared" si="0"/>
        <v>0.81501800932407398</v>
      </c>
      <c r="F56" s="79">
        <f t="shared" si="1"/>
        <v>3.440316737511695E-2</v>
      </c>
      <c r="G56" s="79">
        <f t="shared" si="2"/>
        <v>1.8665984509633082E-2</v>
      </c>
      <c r="H56" s="79">
        <f t="shared" si="3"/>
        <v>5.3069151884750032E-2</v>
      </c>
      <c r="J56" s="1">
        <v>40299</v>
      </c>
      <c r="K56" s="72">
        <v>22774339151</v>
      </c>
      <c r="M56" s="1">
        <v>34759</v>
      </c>
      <c r="N56" s="72">
        <v>2421975052</v>
      </c>
      <c r="P56" s="1">
        <v>40920</v>
      </c>
      <c r="Q56" s="37">
        <v>0.99995998003263897</v>
      </c>
      <c r="R56" s="72">
        <v>227346108416.84</v>
      </c>
      <c r="S56" s="72">
        <v>227355207164.81</v>
      </c>
      <c r="T56" s="72">
        <v>1083505969637.24</v>
      </c>
      <c r="V56" s="1">
        <v>40920</v>
      </c>
      <c r="W56" s="37">
        <v>0.96253398235989296</v>
      </c>
      <c r="X56" s="72">
        <v>1042911315865.65</v>
      </c>
      <c r="Y56" s="72">
        <v>1083505969637.24</v>
      </c>
      <c r="AA56" s="1">
        <v>40920</v>
      </c>
      <c r="AB56">
        <v>0.81664922560340802</v>
      </c>
    </row>
    <row r="57" spans="1:28">
      <c r="A57" s="60">
        <v>40934</v>
      </c>
      <c r="B57" s="87">
        <v>0.92928464922708942</v>
      </c>
      <c r="C57" s="80">
        <v>0.76015152542719999</v>
      </c>
      <c r="D57" s="80">
        <v>0.77869870375179695</v>
      </c>
      <c r="E57" s="77">
        <f t="shared" si="0"/>
        <v>0.78373275885396798</v>
      </c>
      <c r="F57" s="79">
        <f t="shared" si="1"/>
        <v>5.0340551021710311E-3</v>
      </c>
      <c r="G57" s="79">
        <f t="shared" si="2"/>
        <v>1.8547178324596958E-2</v>
      </c>
      <c r="H57" s="79">
        <f t="shared" si="3"/>
        <v>2.3581233426767989E-2</v>
      </c>
      <c r="J57" s="1">
        <v>40330</v>
      </c>
      <c r="K57" s="72">
        <v>26647052799</v>
      </c>
      <c r="M57" s="1">
        <v>34790</v>
      </c>
      <c r="N57" s="72">
        <v>2830452362</v>
      </c>
      <c r="P57" s="1">
        <v>40927</v>
      </c>
      <c r="Q57" s="37">
        <v>0.99995998003263897</v>
      </c>
      <c r="R57" s="72">
        <v>227346108416.84</v>
      </c>
      <c r="S57" s="72">
        <v>227355207164.81</v>
      </c>
      <c r="T57" s="72">
        <v>1083505969637.24</v>
      </c>
      <c r="V57" s="1">
        <v>40927</v>
      </c>
      <c r="W57" s="37">
        <v>0.96144007933002995</v>
      </c>
      <c r="X57" s="72">
        <v>1041726065402.59</v>
      </c>
      <c r="Y57" s="72">
        <v>1083505969637.24</v>
      </c>
      <c r="AA57" s="1">
        <v>40927</v>
      </c>
      <c r="AB57">
        <v>0.81501800932407398</v>
      </c>
    </row>
    <row r="58" spans="1:28">
      <c r="A58" s="60">
        <v>40941</v>
      </c>
      <c r="B58" s="87">
        <v>0.94780035153366171</v>
      </c>
      <c r="C58" s="80">
        <v>0.72538795894175401</v>
      </c>
      <c r="D58" s="80">
        <v>0.74269630829851996</v>
      </c>
      <c r="E58" s="77">
        <f t="shared" si="0"/>
        <v>0.79864586852223396</v>
      </c>
      <c r="F58" s="79">
        <f t="shared" si="1"/>
        <v>5.5949560223714001E-2</v>
      </c>
      <c r="G58" s="79">
        <f t="shared" si="2"/>
        <v>1.7308349356765951E-2</v>
      </c>
      <c r="H58" s="79">
        <f t="shared" si="3"/>
        <v>7.3257909580479952E-2</v>
      </c>
      <c r="J58" s="1">
        <v>40360</v>
      </c>
      <c r="K58" s="72">
        <v>25149723342</v>
      </c>
      <c r="M58" s="1">
        <v>34820</v>
      </c>
      <c r="N58" s="72">
        <v>2902768524</v>
      </c>
      <c r="P58" s="1">
        <v>40934</v>
      </c>
      <c r="Q58" s="37">
        <v>0.99995998003263897</v>
      </c>
      <c r="R58" s="72">
        <v>227346108416.84</v>
      </c>
      <c r="S58" s="72">
        <v>227355207164.81</v>
      </c>
      <c r="T58" s="72">
        <v>1083505969637.24</v>
      </c>
      <c r="V58" s="1">
        <v>40934</v>
      </c>
      <c r="W58" s="37">
        <v>0.92928464922708898</v>
      </c>
      <c r="X58" s="72">
        <v>1006885464929.8</v>
      </c>
      <c r="Y58" s="72">
        <v>1083505969637.24</v>
      </c>
      <c r="AA58" s="1">
        <v>40934</v>
      </c>
      <c r="AB58">
        <v>0.78373275885396798</v>
      </c>
    </row>
    <row r="59" spans="1:28">
      <c r="A59" s="60">
        <v>40948</v>
      </c>
      <c r="B59" s="87">
        <v>0.94780035153366171</v>
      </c>
      <c r="C59" s="80">
        <v>0.73976850442679698</v>
      </c>
      <c r="D59" s="80">
        <v>0.75801228690967404</v>
      </c>
      <c r="E59" s="77">
        <f t="shared" si="0"/>
        <v>0.79864586852223396</v>
      </c>
      <c r="F59" s="79">
        <f t="shared" si="1"/>
        <v>4.0633581612559921E-2</v>
      </c>
      <c r="G59" s="79">
        <f t="shared" si="2"/>
        <v>1.8243782482877058E-2</v>
      </c>
      <c r="H59" s="79">
        <f t="shared" si="3"/>
        <v>5.8877364095436979E-2</v>
      </c>
      <c r="J59" s="1">
        <v>40391</v>
      </c>
      <c r="K59" s="72">
        <v>27451522490</v>
      </c>
      <c r="M59" s="1">
        <v>34851</v>
      </c>
      <c r="N59" s="72">
        <v>3708869595</v>
      </c>
      <c r="P59" s="1">
        <v>40941</v>
      </c>
      <c r="Q59" s="37">
        <v>0.99995903576006995</v>
      </c>
      <c r="R59" s="72">
        <v>221500220871.35999</v>
      </c>
      <c r="S59" s="72">
        <v>221509294831.26001</v>
      </c>
      <c r="T59" s="72">
        <v>1080464673301.78</v>
      </c>
      <c r="V59" s="1">
        <v>40941</v>
      </c>
      <c r="W59" s="37">
        <v>0.94780035153366105</v>
      </c>
      <c r="X59" s="72">
        <v>1024064797175.13</v>
      </c>
      <c r="Y59" s="72">
        <v>1080464673301.78</v>
      </c>
      <c r="AA59" s="1">
        <v>40941</v>
      </c>
      <c r="AB59">
        <v>0.79864586852223396</v>
      </c>
    </row>
    <row r="60" spans="1:28">
      <c r="A60" s="60">
        <v>40955</v>
      </c>
      <c r="B60" s="87">
        <v>0.94780035153366171</v>
      </c>
      <c r="C60" s="80">
        <v>0.73976850442679698</v>
      </c>
      <c r="D60" s="80">
        <v>0.75801228690967404</v>
      </c>
      <c r="E60" s="77">
        <f t="shared" si="0"/>
        <v>0.79864586852223396</v>
      </c>
      <c r="F60" s="79">
        <f t="shared" si="1"/>
        <v>4.0633581612559921E-2</v>
      </c>
      <c r="G60" s="79">
        <f t="shared" si="2"/>
        <v>1.8243782482877058E-2</v>
      </c>
      <c r="H60" s="79">
        <f t="shared" si="3"/>
        <v>5.8877364095436979E-2</v>
      </c>
      <c r="J60" s="1">
        <v>40422</v>
      </c>
      <c r="K60" s="72">
        <v>35257004318</v>
      </c>
      <c r="M60" s="1">
        <v>34881</v>
      </c>
      <c r="N60" s="72">
        <v>4170873969</v>
      </c>
      <c r="P60" s="1">
        <v>40948</v>
      </c>
      <c r="Q60" s="37">
        <v>0.99995903576006995</v>
      </c>
      <c r="R60" s="72">
        <v>221500220871.35999</v>
      </c>
      <c r="S60" s="72">
        <v>221509294831.26001</v>
      </c>
      <c r="T60" s="72">
        <v>1080464673301.78</v>
      </c>
      <c r="V60" s="1">
        <v>40948</v>
      </c>
      <c r="W60" s="37">
        <v>0.94780035153366105</v>
      </c>
      <c r="X60" s="72">
        <v>1024064797175.13</v>
      </c>
      <c r="Y60" s="72">
        <v>1080464673301.78</v>
      </c>
      <c r="AA60" s="1">
        <v>40948</v>
      </c>
      <c r="AB60">
        <v>0.79864586852223396</v>
      </c>
    </row>
    <row r="61" spans="1:28">
      <c r="A61" s="60">
        <v>40962</v>
      </c>
      <c r="B61" s="87">
        <v>0.9162603145709336</v>
      </c>
      <c r="C61" s="80">
        <v>0.73976850442679698</v>
      </c>
      <c r="D61" s="80">
        <v>0.75801228690967404</v>
      </c>
      <c r="E61" s="77">
        <f t="shared" si="0"/>
        <v>0.76696110700144904</v>
      </c>
      <c r="F61" s="79">
        <f t="shared" si="1"/>
        <v>8.9488200917750005E-3</v>
      </c>
      <c r="G61" s="79">
        <f t="shared" si="2"/>
        <v>1.8243782482877058E-2</v>
      </c>
      <c r="H61" s="79">
        <f t="shared" si="3"/>
        <v>2.7192602574652058E-2</v>
      </c>
      <c r="J61" s="1">
        <v>40452</v>
      </c>
      <c r="K61" s="72">
        <v>35916709686</v>
      </c>
      <c r="M61" s="1">
        <v>34912</v>
      </c>
      <c r="N61" s="72">
        <v>5946387204</v>
      </c>
      <c r="P61" s="1">
        <v>40955</v>
      </c>
      <c r="Q61" s="37">
        <v>0.99995903576006995</v>
      </c>
      <c r="R61" s="72">
        <v>221500220871.35999</v>
      </c>
      <c r="S61" s="72">
        <v>221509294831.26001</v>
      </c>
      <c r="T61" s="72">
        <v>1080464673301.78</v>
      </c>
      <c r="V61" s="1">
        <v>40955</v>
      </c>
      <c r="W61" s="37">
        <v>0.94780035153366105</v>
      </c>
      <c r="X61" s="72">
        <v>1024064797175.13</v>
      </c>
      <c r="Y61" s="72">
        <v>1080464673301.78</v>
      </c>
      <c r="AA61" s="1">
        <v>40955</v>
      </c>
      <c r="AB61">
        <v>0.79864586852223396</v>
      </c>
    </row>
    <row r="62" spans="1:28">
      <c r="A62" s="60">
        <v>40969</v>
      </c>
      <c r="B62" s="87">
        <v>0.93168768578717942</v>
      </c>
      <c r="C62" s="80">
        <v>0.70482380254349597</v>
      </c>
      <c r="D62" s="80">
        <v>0.72175870157936195</v>
      </c>
      <c r="E62" s="77">
        <f t="shared" si="0"/>
        <v>0.77503934394673502</v>
      </c>
      <c r="F62" s="79">
        <f t="shared" si="1"/>
        <v>5.3280642367373066E-2</v>
      </c>
      <c r="G62" s="79">
        <f t="shared" si="2"/>
        <v>1.693489903586598E-2</v>
      </c>
      <c r="H62" s="79">
        <f t="shared" si="3"/>
        <v>7.0215541403239046E-2</v>
      </c>
      <c r="J62" s="1">
        <v>40483</v>
      </c>
      <c r="K62" s="72">
        <v>36678149397</v>
      </c>
      <c r="M62" s="1">
        <v>34943</v>
      </c>
      <c r="N62" s="72">
        <v>7179963202</v>
      </c>
      <c r="P62" s="1">
        <v>40962</v>
      </c>
      <c r="Q62" s="37">
        <v>0.99995903576006995</v>
      </c>
      <c r="R62" s="72">
        <v>221500220871.35999</v>
      </c>
      <c r="S62" s="72">
        <v>221509294831.26001</v>
      </c>
      <c r="T62" s="72">
        <v>1080464673301.78</v>
      </c>
      <c r="V62" s="1">
        <v>40962</v>
      </c>
      <c r="W62" s="37">
        <v>0.91626031457093304</v>
      </c>
      <c r="X62" s="72">
        <v>989986901442.27002</v>
      </c>
      <c r="Y62" s="72">
        <v>1080464673301.78</v>
      </c>
      <c r="AA62" s="1">
        <v>40962</v>
      </c>
      <c r="AB62">
        <v>0.76696110700144904</v>
      </c>
    </row>
    <row r="63" spans="1:28">
      <c r="A63" s="60">
        <v>40976</v>
      </c>
      <c r="B63" s="87">
        <v>0.93565091374934095</v>
      </c>
      <c r="C63" s="80">
        <v>0.71197045097818001</v>
      </c>
      <c r="D63" s="80">
        <v>0.73029656495304496</v>
      </c>
      <c r="E63" s="77">
        <f t="shared" si="0"/>
        <v>0.78307307510675805</v>
      </c>
      <c r="F63" s="79">
        <f t="shared" si="1"/>
        <v>5.2776510153713097E-2</v>
      </c>
      <c r="G63" s="79">
        <f t="shared" si="2"/>
        <v>1.8326113974864944E-2</v>
      </c>
      <c r="H63" s="79">
        <f t="shared" si="3"/>
        <v>7.110262412857804E-2</v>
      </c>
      <c r="J63" s="1">
        <v>40513</v>
      </c>
      <c r="K63" s="72">
        <v>42614696791</v>
      </c>
      <c r="M63" s="1">
        <v>34973</v>
      </c>
      <c r="N63" s="72">
        <v>6738577810</v>
      </c>
      <c r="P63" s="1">
        <v>40969</v>
      </c>
      <c r="Q63" s="37">
        <v>0.99995791872300299</v>
      </c>
      <c r="R63" s="72">
        <v>215040228562.35001</v>
      </c>
      <c r="S63" s="72">
        <v>215049278110.59</v>
      </c>
      <c r="T63" s="72">
        <v>1070092866098.23</v>
      </c>
      <c r="V63" s="1">
        <v>40969</v>
      </c>
      <c r="W63" s="37">
        <v>0.93168768578717898</v>
      </c>
      <c r="X63" s="72">
        <v>996992345992.43005</v>
      </c>
      <c r="Y63" s="72">
        <v>1070092866098.23</v>
      </c>
      <c r="AA63" s="1">
        <v>40969</v>
      </c>
      <c r="AB63">
        <v>0.77503934394673502</v>
      </c>
    </row>
    <row r="64" spans="1:28">
      <c r="A64" s="60">
        <v>40983</v>
      </c>
      <c r="B64" s="87">
        <v>0.9253574941172088</v>
      </c>
      <c r="C64" s="80">
        <v>0.72185562668080905</v>
      </c>
      <c r="D64" s="80">
        <v>0.73979044413136397</v>
      </c>
      <c r="E64" s="77">
        <f t="shared" si="0"/>
        <v>0.77444274068180197</v>
      </c>
      <c r="F64" s="79">
        <f t="shared" si="1"/>
        <v>3.4652296550438E-2</v>
      </c>
      <c r="G64" s="79">
        <f t="shared" si="2"/>
        <v>1.7934817450554918E-2</v>
      </c>
      <c r="H64" s="79">
        <f t="shared" si="3"/>
        <v>5.2587114000992918E-2</v>
      </c>
      <c r="J64" s="1">
        <v>40544</v>
      </c>
      <c r="K64" s="72">
        <v>34994543064</v>
      </c>
      <c r="M64" s="1">
        <v>35004</v>
      </c>
      <c r="N64" s="72">
        <v>5777278205</v>
      </c>
      <c r="P64" s="1">
        <v>40976</v>
      </c>
      <c r="Q64" s="37">
        <v>0.99995791872300299</v>
      </c>
      <c r="R64" s="72">
        <v>215040228562.35001</v>
      </c>
      <c r="S64" s="72">
        <v>215049278110.59</v>
      </c>
      <c r="T64" s="72">
        <v>1070092866098.23</v>
      </c>
      <c r="V64" s="1">
        <v>40976</v>
      </c>
      <c r="W64" s="37">
        <v>0.93565091374933995</v>
      </c>
      <c r="X64" s="72">
        <v>1001233367961.46</v>
      </c>
      <c r="Y64" s="72">
        <v>1070092866098.23</v>
      </c>
      <c r="AA64" s="1">
        <v>40976</v>
      </c>
      <c r="AB64">
        <v>0.78307307510675805</v>
      </c>
    </row>
    <row r="65" spans="1:28">
      <c r="A65" s="60">
        <v>40990</v>
      </c>
      <c r="B65" s="87">
        <v>0.84016392200752299</v>
      </c>
      <c r="C65" s="80">
        <v>0.71184965643423004</v>
      </c>
      <c r="D65" s="80">
        <v>0.72964736165354105</v>
      </c>
      <c r="E65" s="77">
        <f t="shared" si="0"/>
        <v>0.69958063827916195</v>
      </c>
      <c r="F65" s="79">
        <f t="shared" si="1"/>
        <v>-3.0066723374379101E-2</v>
      </c>
      <c r="G65" s="79">
        <f t="shared" si="2"/>
        <v>1.7797705219311011E-2</v>
      </c>
      <c r="H65" s="79">
        <f t="shared" si="3"/>
        <v>-1.226901815506809E-2</v>
      </c>
      <c r="J65" s="1">
        <v>40575</v>
      </c>
      <c r="K65" s="72">
        <v>32589244438</v>
      </c>
      <c r="M65" s="1">
        <v>35034</v>
      </c>
      <c r="N65" s="72">
        <v>7079369393</v>
      </c>
      <c r="P65" s="1">
        <v>40983</v>
      </c>
      <c r="Q65" s="37">
        <v>0.99995791872300299</v>
      </c>
      <c r="R65" s="72">
        <v>215040228562.35001</v>
      </c>
      <c r="S65" s="72">
        <v>215049278110.59</v>
      </c>
      <c r="T65" s="72">
        <v>1070092866098.23</v>
      </c>
      <c r="V65" s="1">
        <v>40983</v>
      </c>
      <c r="W65" s="37">
        <v>0.92535749411720802</v>
      </c>
      <c r="X65" s="72">
        <v>990218453045.35999</v>
      </c>
      <c r="Y65" s="72">
        <v>1070092866098.23</v>
      </c>
      <c r="AA65" s="1">
        <v>40983</v>
      </c>
      <c r="AB65">
        <v>0.77444274068180197</v>
      </c>
    </row>
    <row r="66" spans="1:28">
      <c r="A66" s="60">
        <v>40997</v>
      </c>
      <c r="B66" s="87">
        <v>0.89961658130696354</v>
      </c>
      <c r="C66" s="80">
        <v>0.63003810447880604</v>
      </c>
      <c r="D66" s="80">
        <v>0.64602889454414902</v>
      </c>
      <c r="E66" s="77">
        <f t="shared" si="0"/>
        <v>0.749959617052529</v>
      </c>
      <c r="F66" s="79">
        <f t="shared" si="1"/>
        <v>0.10393072250837998</v>
      </c>
      <c r="G66" s="79">
        <f t="shared" si="2"/>
        <v>1.5990790065342986E-2</v>
      </c>
      <c r="H66" s="79">
        <f t="shared" si="3"/>
        <v>0.11992151257372297</v>
      </c>
      <c r="J66" s="1">
        <v>40603</v>
      </c>
      <c r="K66" s="72">
        <v>21714830847</v>
      </c>
      <c r="M66" s="1">
        <v>35065</v>
      </c>
      <c r="N66" s="72">
        <v>8211668726</v>
      </c>
      <c r="P66" s="1">
        <v>40990</v>
      </c>
      <c r="Q66" s="37">
        <v>0.999773748223721</v>
      </c>
      <c r="R66" s="72">
        <v>215000622829.42999</v>
      </c>
      <c r="S66" s="72">
        <v>215049278110.59</v>
      </c>
      <c r="T66" s="72">
        <v>1070092866098.23</v>
      </c>
      <c r="V66" s="1">
        <v>40990</v>
      </c>
      <c r="W66" s="37">
        <v>0.84016392200752199</v>
      </c>
      <c r="X66" s="72">
        <v>899053419293.35999</v>
      </c>
      <c r="Y66" s="72">
        <v>1070092866098.23</v>
      </c>
      <c r="AA66" s="1">
        <v>40990</v>
      </c>
      <c r="AB66">
        <v>0.69958063827916195</v>
      </c>
    </row>
    <row r="67" spans="1:28">
      <c r="A67" s="60">
        <v>41004</v>
      </c>
      <c r="B67" s="87">
        <v>0.89066045096691271</v>
      </c>
      <c r="C67" s="80">
        <v>0.68476549375243201</v>
      </c>
      <c r="D67" s="80">
        <v>0.70222983991940502</v>
      </c>
      <c r="E67" s="77">
        <f t="shared" si="0"/>
        <v>0.75281601454874203</v>
      </c>
      <c r="F67" s="79">
        <f t="shared" si="1"/>
        <v>5.0586174629337011E-2</v>
      </c>
      <c r="G67" s="79">
        <f t="shared" si="2"/>
        <v>1.746434616697301E-2</v>
      </c>
      <c r="H67" s="79">
        <f t="shared" si="3"/>
        <v>6.8050520796310021E-2</v>
      </c>
      <c r="J67" s="1">
        <v>40634</v>
      </c>
      <c r="K67" s="72">
        <v>19959496579</v>
      </c>
      <c r="M67" s="1">
        <v>35096</v>
      </c>
      <c r="N67" s="72">
        <v>6560582649</v>
      </c>
      <c r="P67" s="1">
        <v>40997</v>
      </c>
      <c r="Q67" s="37">
        <v>0.99995791872300299</v>
      </c>
      <c r="R67" s="72">
        <v>215040228562.35001</v>
      </c>
      <c r="S67" s="72">
        <v>215049278110.59</v>
      </c>
      <c r="T67" s="72">
        <v>1070092866098.23</v>
      </c>
      <c r="V67" s="1">
        <v>40997</v>
      </c>
      <c r="W67" s="37">
        <v>0.89961658130696298</v>
      </c>
      <c r="X67" s="72">
        <v>962673285880.26001</v>
      </c>
      <c r="Y67" s="72">
        <v>1070092866098.23</v>
      </c>
      <c r="AA67" s="1">
        <v>40997</v>
      </c>
      <c r="AB67">
        <v>0.749959617052529</v>
      </c>
    </row>
    <row r="68" spans="1:28">
      <c r="A68" s="60">
        <v>41011</v>
      </c>
      <c r="B68" s="87">
        <v>0.92489295272966243</v>
      </c>
      <c r="C68" s="80">
        <v>0.68702063249841105</v>
      </c>
      <c r="D68" s="80">
        <v>0.70658526279350897</v>
      </c>
      <c r="E68" s="77">
        <f t="shared" ref="E68:E131" si="4">VLOOKUP(A68,AA68:AB295,2,0)</f>
        <v>0.80228573213763799</v>
      </c>
      <c r="F68" s="79">
        <f t="shared" ref="F68:F131" si="5">E68-D68</f>
        <v>9.5700469344129013E-2</v>
      </c>
      <c r="G68" s="79">
        <f t="shared" ref="G68:G131" si="6">H68-F68</f>
        <v>1.9564630295097918E-2</v>
      </c>
      <c r="H68" s="79">
        <f t="shared" ref="H68:H131" si="7">E68-C68</f>
        <v>0.11526509963922693</v>
      </c>
      <c r="J68" s="1">
        <v>40664</v>
      </c>
      <c r="K68" s="72">
        <v>17397147006</v>
      </c>
      <c r="M68" s="1">
        <v>35125</v>
      </c>
      <c r="N68" s="72">
        <v>7770178917</v>
      </c>
      <c r="P68" s="1">
        <v>41004</v>
      </c>
      <c r="Q68" s="37">
        <v>0.99995677128026095</v>
      </c>
      <c r="R68" s="72">
        <v>208225456645.14001</v>
      </c>
      <c r="S68" s="72">
        <v>208234458354.17999</v>
      </c>
      <c r="T68" s="72">
        <v>1055047018212.7</v>
      </c>
      <c r="V68" s="1">
        <v>41004</v>
      </c>
      <c r="W68" s="37">
        <v>0.89066045096691204</v>
      </c>
      <c r="X68" s="72">
        <v>939688653032.62</v>
      </c>
      <c r="Y68" s="72">
        <v>1055047018212.7</v>
      </c>
      <c r="AA68" s="1">
        <v>41004</v>
      </c>
      <c r="AB68">
        <v>0.75281601454874203</v>
      </c>
    </row>
    <row r="69" spans="1:28">
      <c r="A69" s="60">
        <v>41018</v>
      </c>
      <c r="B69" s="87">
        <v>0.91943111271663436</v>
      </c>
      <c r="C69" s="80">
        <v>0.74360097428026795</v>
      </c>
      <c r="D69" s="80">
        <v>0.76351833890642296</v>
      </c>
      <c r="E69" s="77">
        <f t="shared" si="4"/>
        <v>0.77814088922240399</v>
      </c>
      <c r="F69" s="79">
        <f t="shared" si="5"/>
        <v>1.4622550315981031E-2</v>
      </c>
      <c r="G69" s="79">
        <f t="shared" si="6"/>
        <v>1.991736462615501E-2</v>
      </c>
      <c r="H69" s="79">
        <f t="shared" si="7"/>
        <v>3.4539914942136041E-2</v>
      </c>
      <c r="J69" s="1">
        <v>40695</v>
      </c>
      <c r="K69" s="72">
        <v>18381566569</v>
      </c>
      <c r="M69" s="1">
        <v>35156</v>
      </c>
      <c r="N69" s="72">
        <v>7477168665</v>
      </c>
      <c r="P69" s="1">
        <v>41011</v>
      </c>
      <c r="Q69" s="37">
        <v>0.99995677128026095</v>
      </c>
      <c r="R69" s="72">
        <v>208225456645.14001</v>
      </c>
      <c r="S69" s="72">
        <v>208234458354.17999</v>
      </c>
      <c r="T69" s="72">
        <v>1055047018212.7</v>
      </c>
      <c r="V69" s="1">
        <v>41011</v>
      </c>
      <c r="W69" s="37">
        <v>0.92489295272966199</v>
      </c>
      <c r="X69" s="72">
        <v>975805551943.37</v>
      </c>
      <c r="Y69" s="72">
        <v>1055047018212.7</v>
      </c>
      <c r="AA69" s="1">
        <v>41011</v>
      </c>
      <c r="AB69">
        <v>0.80228573213763799</v>
      </c>
    </row>
    <row r="70" spans="1:28">
      <c r="A70" s="60">
        <v>41025</v>
      </c>
      <c r="B70" s="87">
        <v>0.92489295272966243</v>
      </c>
      <c r="C70" s="80">
        <v>0.71319163212853798</v>
      </c>
      <c r="D70" s="80">
        <v>0.73479366879535601</v>
      </c>
      <c r="E70" s="77">
        <f t="shared" si="4"/>
        <v>0.80228573213763799</v>
      </c>
      <c r="F70" s="79">
        <f t="shared" si="5"/>
        <v>6.7492063342281972E-2</v>
      </c>
      <c r="G70" s="79">
        <f t="shared" si="6"/>
        <v>2.1602036666818036E-2</v>
      </c>
      <c r="H70" s="79">
        <f t="shared" si="7"/>
        <v>8.9094100009100008E-2</v>
      </c>
      <c r="J70" s="1">
        <v>40725</v>
      </c>
      <c r="K70" s="72">
        <v>15313940974</v>
      </c>
      <c r="M70" s="1">
        <v>35186</v>
      </c>
      <c r="N70" s="72">
        <v>7805988346</v>
      </c>
      <c r="P70" s="1">
        <v>41018</v>
      </c>
      <c r="Q70" s="37">
        <v>0.99995677128026095</v>
      </c>
      <c r="R70" s="72">
        <v>208225456645.14001</v>
      </c>
      <c r="S70" s="72">
        <v>208234458354.17999</v>
      </c>
      <c r="T70" s="72">
        <v>1055047018212.7</v>
      </c>
      <c r="V70" s="1">
        <v>41018</v>
      </c>
      <c r="W70" s="37">
        <v>0.91943111271663402</v>
      </c>
      <c r="X70" s="72">
        <v>970043053923.67004</v>
      </c>
      <c r="Y70" s="72">
        <v>1055047018212.7</v>
      </c>
      <c r="AA70" s="1">
        <v>41018</v>
      </c>
      <c r="AB70">
        <v>0.77814088922240399</v>
      </c>
    </row>
    <row r="71" spans="1:28">
      <c r="A71" s="60">
        <v>41032</v>
      </c>
      <c r="B71" s="87">
        <v>0.9184275299690029</v>
      </c>
      <c r="C71" s="80">
        <v>0.74360097428026795</v>
      </c>
      <c r="D71" s="80">
        <v>0.76351833890642296</v>
      </c>
      <c r="E71" s="77">
        <f t="shared" si="4"/>
        <v>0.80453940604234497</v>
      </c>
      <c r="F71" s="79">
        <f t="shared" si="5"/>
        <v>4.1021067135922018E-2</v>
      </c>
      <c r="G71" s="79">
        <f t="shared" si="6"/>
        <v>1.991736462615501E-2</v>
      </c>
      <c r="H71" s="79">
        <f t="shared" si="7"/>
        <v>6.0938431762077028E-2</v>
      </c>
      <c r="J71" s="1">
        <v>40756</v>
      </c>
      <c r="K71" s="72">
        <v>21281164242</v>
      </c>
      <c r="M71" s="1">
        <v>35217</v>
      </c>
      <c r="N71" s="72">
        <v>6006336661</v>
      </c>
      <c r="P71" s="1">
        <v>41025</v>
      </c>
      <c r="Q71" s="37">
        <v>0.99995677128026095</v>
      </c>
      <c r="R71" s="72">
        <v>208225456645.14001</v>
      </c>
      <c r="S71" s="72">
        <v>208234458354.17999</v>
      </c>
      <c r="T71" s="72">
        <v>1055047018212.7</v>
      </c>
      <c r="V71" s="1">
        <v>41025</v>
      </c>
      <c r="W71" s="37">
        <v>0.92489295272966199</v>
      </c>
      <c r="X71" s="72">
        <v>975805551943.37</v>
      </c>
      <c r="Y71" s="72">
        <v>1055047018212.7</v>
      </c>
      <c r="AA71" s="1">
        <v>41025</v>
      </c>
      <c r="AB71">
        <v>0.80228573213763799</v>
      </c>
    </row>
    <row r="72" spans="1:28">
      <c r="A72" s="60">
        <v>41039</v>
      </c>
      <c r="B72" s="87">
        <v>0.92108968175982231</v>
      </c>
      <c r="C72" s="80">
        <v>0.74458940201611601</v>
      </c>
      <c r="D72" s="80">
        <v>0.76630418933940703</v>
      </c>
      <c r="E72" s="77">
        <f t="shared" si="4"/>
        <v>0.80732043361392003</v>
      </c>
      <c r="F72" s="79">
        <f t="shared" si="5"/>
        <v>4.1016244274513003E-2</v>
      </c>
      <c r="G72" s="79">
        <f t="shared" si="6"/>
        <v>2.1714787323291018E-2</v>
      </c>
      <c r="H72" s="79">
        <f t="shared" si="7"/>
        <v>6.2731031597804021E-2</v>
      </c>
      <c r="J72" s="1">
        <v>40787</v>
      </c>
      <c r="K72" s="72">
        <v>22513817251</v>
      </c>
      <c r="M72" s="1">
        <v>35247</v>
      </c>
      <c r="N72" s="72">
        <v>6320046426</v>
      </c>
      <c r="P72" s="1">
        <v>41032</v>
      </c>
      <c r="Q72" s="37">
        <v>0.99995584809541904</v>
      </c>
      <c r="R72" s="72">
        <v>201653598084.76001</v>
      </c>
      <c r="S72" s="72">
        <v>201662501868.29999</v>
      </c>
      <c r="T72" s="72">
        <v>1039351645214.9</v>
      </c>
      <c r="V72" s="1">
        <v>41032</v>
      </c>
      <c r="W72" s="37">
        <v>0.91842752996900201</v>
      </c>
      <c r="X72" s="72">
        <v>954569164283.93994</v>
      </c>
      <c r="Y72" s="72">
        <v>1039351645214.9</v>
      </c>
      <c r="AA72" s="1">
        <v>41032</v>
      </c>
      <c r="AB72">
        <v>0.80453940604234497</v>
      </c>
    </row>
    <row r="73" spans="1:28">
      <c r="A73" s="60">
        <v>41046</v>
      </c>
      <c r="B73" s="87">
        <v>0.9251386776980256</v>
      </c>
      <c r="C73" s="80">
        <v>0.74880992852224404</v>
      </c>
      <c r="D73" s="80">
        <v>0.76953827651336104</v>
      </c>
      <c r="E73" s="77">
        <f t="shared" si="4"/>
        <v>0.83168681417116597</v>
      </c>
      <c r="F73" s="79">
        <f t="shared" si="5"/>
        <v>6.2148537657804925E-2</v>
      </c>
      <c r="G73" s="79">
        <f t="shared" si="6"/>
        <v>2.0728347991117002E-2</v>
      </c>
      <c r="H73" s="79">
        <f t="shared" si="7"/>
        <v>8.2876885648921927E-2</v>
      </c>
      <c r="J73" s="1">
        <v>40817</v>
      </c>
      <c r="K73" s="72">
        <v>26880624692</v>
      </c>
      <c r="M73" s="1">
        <v>35278</v>
      </c>
      <c r="N73" s="72">
        <v>5829871597</v>
      </c>
      <c r="P73" s="1">
        <v>41039</v>
      </c>
      <c r="Q73" s="37">
        <v>0.99995584809541904</v>
      </c>
      <c r="R73" s="72">
        <v>201653598084.76001</v>
      </c>
      <c r="S73" s="72">
        <v>201662501868.29999</v>
      </c>
      <c r="T73" s="72">
        <v>1039351645214.9</v>
      </c>
      <c r="V73" s="1">
        <v>41039</v>
      </c>
      <c r="W73" s="37">
        <v>0.92108968175982198</v>
      </c>
      <c r="X73" s="72">
        <v>957336076127.54004</v>
      </c>
      <c r="Y73" s="72">
        <v>1039351645214.9</v>
      </c>
      <c r="AA73" s="1">
        <v>41039</v>
      </c>
      <c r="AB73">
        <v>0.80732043361392003</v>
      </c>
    </row>
    <row r="74" spans="1:28">
      <c r="A74" s="60">
        <v>41053</v>
      </c>
      <c r="B74" s="87">
        <v>0.92490784089213363</v>
      </c>
      <c r="C74" s="80">
        <v>0.77533293010841997</v>
      </c>
      <c r="D74" s="80">
        <v>0.79807316092952996</v>
      </c>
      <c r="E74" s="77">
        <f t="shared" si="4"/>
        <v>0.82964940526362396</v>
      </c>
      <c r="F74" s="79">
        <f t="shared" si="5"/>
        <v>3.1576244334094006E-2</v>
      </c>
      <c r="G74" s="79">
        <f t="shared" si="6"/>
        <v>2.2740230821109986E-2</v>
      </c>
      <c r="H74" s="79">
        <f t="shared" si="7"/>
        <v>5.4316475155203991E-2</v>
      </c>
      <c r="J74" s="1">
        <v>40848</v>
      </c>
      <c r="K74" s="72">
        <v>26524162132</v>
      </c>
      <c r="M74" s="1">
        <v>35309</v>
      </c>
      <c r="N74" s="72">
        <v>5076601840</v>
      </c>
      <c r="P74" s="1">
        <v>41046</v>
      </c>
      <c r="Q74" s="37">
        <v>0.99995584809541904</v>
      </c>
      <c r="R74" s="72">
        <v>201653598084.76001</v>
      </c>
      <c r="S74" s="72">
        <v>201662501868.29999</v>
      </c>
      <c r="T74" s="72">
        <v>1039351645214.9</v>
      </c>
      <c r="V74" s="1">
        <v>41046</v>
      </c>
      <c r="W74" s="37">
        <v>0.92513867769802505</v>
      </c>
      <c r="X74" s="72">
        <v>961544406717.38</v>
      </c>
      <c r="Y74" s="72">
        <v>1039351645214.9</v>
      </c>
      <c r="AA74" s="1">
        <v>41046</v>
      </c>
      <c r="AB74">
        <v>0.83168681417116597</v>
      </c>
    </row>
    <row r="75" spans="1:28">
      <c r="A75" s="60">
        <v>41060</v>
      </c>
      <c r="B75" s="87">
        <v>0.92737244747575076</v>
      </c>
      <c r="C75" s="80">
        <v>0.77252849495486897</v>
      </c>
      <c r="D75" s="80">
        <v>0.79563096421455903</v>
      </c>
      <c r="E75" s="77">
        <f t="shared" si="4"/>
        <v>0.83284905120274599</v>
      </c>
      <c r="F75" s="79">
        <f t="shared" si="5"/>
        <v>3.721808698818696E-2</v>
      </c>
      <c r="G75" s="79">
        <f t="shared" si="6"/>
        <v>2.3102469259690062E-2</v>
      </c>
      <c r="H75" s="79">
        <f t="shared" si="7"/>
        <v>6.0320556247877022E-2</v>
      </c>
      <c r="J75" s="1">
        <v>40878</v>
      </c>
      <c r="K75" s="72">
        <v>19400953469</v>
      </c>
      <c r="M75" s="1">
        <v>35339</v>
      </c>
      <c r="N75" s="72">
        <v>5848518987</v>
      </c>
      <c r="P75" s="1">
        <v>41053</v>
      </c>
      <c r="Q75" s="37">
        <v>0.99995584809541904</v>
      </c>
      <c r="R75" s="72">
        <v>201653598084.76001</v>
      </c>
      <c r="S75" s="72">
        <v>201662501868.29999</v>
      </c>
      <c r="T75" s="72">
        <v>1039351645214.9</v>
      </c>
      <c r="V75" s="1">
        <v>41053</v>
      </c>
      <c r="W75" s="37">
        <v>0.92490784089213296</v>
      </c>
      <c r="X75" s="72">
        <v>961304486103.40002</v>
      </c>
      <c r="Y75" s="72">
        <v>1039351645214.9</v>
      </c>
      <c r="AA75" s="1">
        <v>41053</v>
      </c>
      <c r="AB75">
        <v>0.82964940526362396</v>
      </c>
    </row>
    <row r="76" spans="1:28">
      <c r="A76" s="60">
        <v>41067</v>
      </c>
      <c r="B76" s="87">
        <v>0.92420561533920875</v>
      </c>
      <c r="C76" s="80">
        <v>0.77719223327132003</v>
      </c>
      <c r="D76" s="80">
        <v>0.79942305429412797</v>
      </c>
      <c r="E76" s="77">
        <f t="shared" si="4"/>
        <v>0.86264764194302102</v>
      </c>
      <c r="F76" s="79">
        <f t="shared" si="5"/>
        <v>6.3224587648893049E-2</v>
      </c>
      <c r="G76" s="79">
        <f t="shared" si="6"/>
        <v>2.2230821022807934E-2</v>
      </c>
      <c r="H76" s="79">
        <f t="shared" si="7"/>
        <v>8.5455408671700983E-2</v>
      </c>
      <c r="J76" s="1">
        <v>40909</v>
      </c>
      <c r="K76" s="72">
        <v>29339986618</v>
      </c>
      <c r="M76" s="1">
        <v>35370</v>
      </c>
      <c r="N76" s="72">
        <v>5904795345</v>
      </c>
      <c r="P76" s="1">
        <v>41060</v>
      </c>
      <c r="Q76" s="37">
        <v>0.99995584809541904</v>
      </c>
      <c r="R76" s="72">
        <v>201653598084.76001</v>
      </c>
      <c r="S76" s="72">
        <v>201662501868.29999</v>
      </c>
      <c r="T76" s="72">
        <v>1039351645214.9</v>
      </c>
      <c r="V76" s="1">
        <v>41060</v>
      </c>
      <c r="W76" s="37">
        <v>0.92737244747574998</v>
      </c>
      <c r="X76" s="72">
        <v>963866079010.89001</v>
      </c>
      <c r="Y76" s="72">
        <v>1039351645214.9</v>
      </c>
      <c r="AA76" s="1">
        <v>41060</v>
      </c>
      <c r="AB76">
        <v>0.83284905120274599</v>
      </c>
    </row>
    <row r="77" spans="1:28">
      <c r="A77" s="60">
        <v>41074</v>
      </c>
      <c r="B77" s="87">
        <v>0.91572705192015491</v>
      </c>
      <c r="C77" s="80">
        <v>0.81161668458948799</v>
      </c>
      <c r="D77" s="80">
        <v>0.83446023873339104</v>
      </c>
      <c r="E77" s="77">
        <f t="shared" si="4"/>
        <v>0.84572973738134705</v>
      </c>
      <c r="F77" s="79">
        <f t="shared" si="5"/>
        <v>1.1269498647956011E-2</v>
      </c>
      <c r="G77" s="79">
        <f t="shared" si="6"/>
        <v>2.2843554143903044E-2</v>
      </c>
      <c r="H77" s="79">
        <f t="shared" si="7"/>
        <v>3.4113052791859055E-2</v>
      </c>
      <c r="J77" s="1">
        <v>40940</v>
      </c>
      <c r="K77" s="72">
        <v>35504941304</v>
      </c>
      <c r="M77" s="1">
        <v>35400</v>
      </c>
      <c r="N77" s="72">
        <v>6073789352</v>
      </c>
      <c r="P77" s="1">
        <v>41067</v>
      </c>
      <c r="Q77" s="37">
        <v>0.99995447813481997</v>
      </c>
      <c r="R77" s="72">
        <v>194963857141</v>
      </c>
      <c r="S77" s="72">
        <v>194972732663.45001</v>
      </c>
      <c r="T77" s="72">
        <v>1032471313869.9301</v>
      </c>
      <c r="V77" s="1">
        <v>41067</v>
      </c>
      <c r="W77" s="37">
        <v>0.92420561533920798</v>
      </c>
      <c r="X77" s="72">
        <v>954215785955.23999</v>
      </c>
      <c r="Y77" s="72">
        <v>1032471313869.9301</v>
      </c>
      <c r="AA77" s="1">
        <v>41067</v>
      </c>
      <c r="AB77">
        <v>0.86264764194302102</v>
      </c>
    </row>
    <row r="78" spans="1:28">
      <c r="A78" s="60">
        <v>41081</v>
      </c>
      <c r="B78" s="87">
        <v>0.92561973142284837</v>
      </c>
      <c r="C78" s="80">
        <v>0.79320998802631504</v>
      </c>
      <c r="D78" s="80">
        <v>0.81451926267734698</v>
      </c>
      <c r="E78" s="77">
        <f t="shared" si="4"/>
        <v>0.86327251333866595</v>
      </c>
      <c r="F78" s="79">
        <f t="shared" si="5"/>
        <v>4.875325066131897E-2</v>
      </c>
      <c r="G78" s="79">
        <f t="shared" si="6"/>
        <v>2.130927465103194E-2</v>
      </c>
      <c r="H78" s="79">
        <f t="shared" si="7"/>
        <v>7.006252531235091E-2</v>
      </c>
      <c r="J78" s="1">
        <v>40969</v>
      </c>
      <c r="K78" s="72">
        <v>38618630398</v>
      </c>
      <c r="M78" s="1">
        <v>35431</v>
      </c>
      <c r="N78" s="72">
        <v>6914700441</v>
      </c>
      <c r="P78" s="1">
        <v>41074</v>
      </c>
      <c r="Q78" s="37">
        <v>0.99995447813481997</v>
      </c>
      <c r="R78" s="72">
        <v>194963857141</v>
      </c>
      <c r="S78" s="72">
        <v>194972732663.45001</v>
      </c>
      <c r="T78" s="72">
        <v>1032471313869.9301</v>
      </c>
      <c r="V78" s="1">
        <v>41074</v>
      </c>
      <c r="W78" s="37">
        <v>0.91572705192015402</v>
      </c>
      <c r="X78" s="72">
        <v>945461912442.23999</v>
      </c>
      <c r="Y78" s="72">
        <v>1032471313869.9301</v>
      </c>
      <c r="AA78" s="1">
        <v>41074</v>
      </c>
      <c r="AB78">
        <v>0.84572973738134705</v>
      </c>
    </row>
    <row r="79" spans="1:28">
      <c r="A79" s="60">
        <v>41088</v>
      </c>
      <c r="B79" s="87">
        <v>0.92561973142284837</v>
      </c>
      <c r="C79" s="80">
        <v>0.81309219550150202</v>
      </c>
      <c r="D79" s="80">
        <v>0.83520811127149397</v>
      </c>
      <c r="E79" s="77">
        <f t="shared" si="4"/>
        <v>0.86327251333866595</v>
      </c>
      <c r="F79" s="79">
        <f t="shared" si="5"/>
        <v>2.8064402067171978E-2</v>
      </c>
      <c r="G79" s="79">
        <f t="shared" si="6"/>
        <v>2.2115915769991945E-2</v>
      </c>
      <c r="H79" s="79">
        <f t="shared" si="7"/>
        <v>5.0180317837163924E-2</v>
      </c>
      <c r="J79" s="1">
        <v>41000</v>
      </c>
      <c r="K79" s="72">
        <v>27831912515</v>
      </c>
      <c r="M79" s="1">
        <v>35462</v>
      </c>
      <c r="N79" s="72">
        <v>8016117535</v>
      </c>
      <c r="P79" s="1">
        <v>41081</v>
      </c>
      <c r="Q79" s="37">
        <v>0.99995447813481997</v>
      </c>
      <c r="R79" s="72">
        <v>194963857141</v>
      </c>
      <c r="S79" s="72">
        <v>194972732663.45001</v>
      </c>
      <c r="T79" s="72">
        <v>1032471313869.9301</v>
      </c>
      <c r="V79" s="1">
        <v>41081</v>
      </c>
      <c r="W79" s="37">
        <v>0.92561973142284804</v>
      </c>
      <c r="X79" s="72">
        <v>955675820246.07996</v>
      </c>
      <c r="Y79" s="72">
        <v>1032471313869.9301</v>
      </c>
      <c r="AA79" s="1">
        <v>41081</v>
      </c>
      <c r="AB79">
        <v>0.86327251333866595</v>
      </c>
    </row>
    <row r="80" spans="1:28">
      <c r="A80" s="60">
        <v>41095</v>
      </c>
      <c r="B80" s="87">
        <v>0.91777188154396527</v>
      </c>
      <c r="C80" s="80">
        <v>0.81309219550150202</v>
      </c>
      <c r="D80" s="80">
        <v>0.83520811127149397</v>
      </c>
      <c r="E80" s="77">
        <f t="shared" si="4"/>
        <v>0.85555240339955696</v>
      </c>
      <c r="F80" s="79">
        <f t="shared" si="5"/>
        <v>2.0344292128062991E-2</v>
      </c>
      <c r="G80" s="79">
        <f t="shared" si="6"/>
        <v>2.2115915769991945E-2</v>
      </c>
      <c r="H80" s="79">
        <f t="shared" si="7"/>
        <v>4.2460207898054936E-2</v>
      </c>
      <c r="J80" s="1">
        <v>41030</v>
      </c>
      <c r="K80" s="72">
        <v>24545346395</v>
      </c>
      <c r="M80" s="1">
        <v>35490</v>
      </c>
      <c r="N80" s="72">
        <v>4595739387</v>
      </c>
      <c r="P80" s="1">
        <v>41088</v>
      </c>
      <c r="Q80" s="37">
        <v>0.99995447813481997</v>
      </c>
      <c r="R80" s="72">
        <v>194963857141</v>
      </c>
      <c r="S80" s="72">
        <v>194972732663.45001</v>
      </c>
      <c r="T80" s="72">
        <v>1032471313869.9301</v>
      </c>
      <c r="V80" s="1">
        <v>41088</v>
      </c>
      <c r="W80" s="37">
        <v>0.92561973142284804</v>
      </c>
      <c r="X80" s="72">
        <v>955675820246.07996</v>
      </c>
      <c r="Y80" s="72">
        <v>1032471313869.9301</v>
      </c>
      <c r="AA80" s="1">
        <v>41088</v>
      </c>
      <c r="AB80">
        <v>0.86327251333866595</v>
      </c>
    </row>
    <row r="81" spans="1:28">
      <c r="A81" s="60">
        <v>41102</v>
      </c>
      <c r="B81" s="87">
        <v>0.95771777043064987</v>
      </c>
      <c r="C81" s="80">
        <v>0.80304589352971401</v>
      </c>
      <c r="D81" s="80">
        <v>0.82572377371151395</v>
      </c>
      <c r="E81" s="77">
        <f t="shared" si="4"/>
        <v>0.88287675506615604</v>
      </c>
      <c r="F81" s="79">
        <f t="shared" si="5"/>
        <v>5.7152981354642085E-2</v>
      </c>
      <c r="G81" s="79">
        <f t="shared" si="6"/>
        <v>2.2677880181799948E-2</v>
      </c>
      <c r="H81" s="79">
        <f t="shared" si="7"/>
        <v>7.9830861536442033E-2</v>
      </c>
      <c r="J81" s="1">
        <v>41061</v>
      </c>
      <c r="K81" s="72">
        <v>42057237057</v>
      </c>
      <c r="M81" s="1">
        <v>35521</v>
      </c>
      <c r="N81" s="72">
        <v>4241828120</v>
      </c>
      <c r="P81" s="1">
        <v>41095</v>
      </c>
      <c r="Q81" s="37">
        <v>0.99995311423954902</v>
      </c>
      <c r="R81" s="72">
        <v>188733938545.34</v>
      </c>
      <c r="S81" s="72">
        <v>188742787894.48001</v>
      </c>
      <c r="T81" s="72">
        <v>1019495379664.59</v>
      </c>
      <c r="V81" s="1">
        <v>41095</v>
      </c>
      <c r="W81" s="37">
        <v>0.91777188154396505</v>
      </c>
      <c r="X81" s="72">
        <v>935664192820.15002</v>
      </c>
      <c r="Y81" s="72">
        <v>1019495379664.59</v>
      </c>
      <c r="AA81" s="1">
        <v>41095</v>
      </c>
      <c r="AB81">
        <v>0.85555240339955696</v>
      </c>
    </row>
    <row r="82" spans="1:28">
      <c r="A82" s="60">
        <v>41109</v>
      </c>
      <c r="B82" s="87">
        <v>0.97173459822761488</v>
      </c>
      <c r="C82" s="80">
        <v>0.83475833318603099</v>
      </c>
      <c r="D82" s="80">
        <v>0.85783899509521899</v>
      </c>
      <c r="E82" s="77">
        <f t="shared" si="4"/>
        <v>0.88536471533859296</v>
      </c>
      <c r="F82" s="79">
        <f t="shared" si="5"/>
        <v>2.7525720243373963E-2</v>
      </c>
      <c r="G82" s="79">
        <f t="shared" si="6"/>
        <v>2.3080661909188005E-2</v>
      </c>
      <c r="H82" s="79">
        <f t="shared" si="7"/>
        <v>5.0606382152561968E-2</v>
      </c>
      <c r="J82" s="1">
        <v>41091</v>
      </c>
      <c r="K82" s="72">
        <v>32059284224</v>
      </c>
      <c r="M82" s="1">
        <v>35551</v>
      </c>
      <c r="N82" s="72">
        <v>4987291884</v>
      </c>
      <c r="P82" s="1">
        <v>41102</v>
      </c>
      <c r="Q82" s="37">
        <v>0.99995603121415799</v>
      </c>
      <c r="R82" s="72">
        <v>188734489103.26001</v>
      </c>
      <c r="S82" s="72">
        <v>188742787894.48001</v>
      </c>
      <c r="T82" s="72">
        <v>1019495379664.59</v>
      </c>
      <c r="V82" s="1">
        <v>41102</v>
      </c>
      <c r="W82" s="37">
        <v>0.95771777043064898</v>
      </c>
      <c r="X82" s="72">
        <v>976388841976.71997</v>
      </c>
      <c r="Y82" s="72">
        <v>1019495379664.59</v>
      </c>
      <c r="AA82" s="1">
        <v>41102</v>
      </c>
      <c r="AB82">
        <v>0.88287675506615604</v>
      </c>
    </row>
    <row r="83" spans="1:28">
      <c r="A83" s="60">
        <v>41116</v>
      </c>
      <c r="B83" s="87">
        <v>0.9879859476046281</v>
      </c>
      <c r="C83" s="80">
        <v>0.839279067165004</v>
      </c>
      <c r="D83" s="80">
        <v>0.86087360527541701</v>
      </c>
      <c r="E83" s="77">
        <f t="shared" si="4"/>
        <v>0.89833897714159106</v>
      </c>
      <c r="F83" s="79">
        <f t="shared" si="5"/>
        <v>3.7465371866174046E-2</v>
      </c>
      <c r="G83" s="79">
        <f t="shared" si="6"/>
        <v>2.1594538110413009E-2</v>
      </c>
      <c r="H83" s="79">
        <f t="shared" si="7"/>
        <v>5.9059909976587055E-2</v>
      </c>
      <c r="J83" s="1">
        <v>41122</v>
      </c>
      <c r="K83" s="72">
        <v>37348596947</v>
      </c>
      <c r="M83" s="1">
        <v>35582</v>
      </c>
      <c r="N83" s="72">
        <v>5473323774</v>
      </c>
      <c r="P83" s="1">
        <v>41109</v>
      </c>
      <c r="Q83" s="37">
        <v>0.99995603121415799</v>
      </c>
      <c r="R83" s="72">
        <v>188734489103.26001</v>
      </c>
      <c r="S83" s="72">
        <v>188742787894.48001</v>
      </c>
      <c r="T83" s="72">
        <v>1019495379664.59</v>
      </c>
      <c r="V83" s="1">
        <v>41109</v>
      </c>
      <c r="W83" s="37">
        <v>0.97173459822761399</v>
      </c>
      <c r="X83" s="72">
        <v>990678933153.28003</v>
      </c>
      <c r="Y83" s="72">
        <v>1019495379664.59</v>
      </c>
      <c r="AA83" s="1">
        <v>41109</v>
      </c>
      <c r="AB83">
        <v>0.88536471533859296</v>
      </c>
    </row>
    <row r="84" spans="1:28">
      <c r="A84" s="60">
        <v>41123</v>
      </c>
      <c r="B84" s="87">
        <v>0.94860016725439644</v>
      </c>
      <c r="C84" s="80">
        <v>0.85583686182580798</v>
      </c>
      <c r="D84" s="80">
        <v>0.87708074343545095</v>
      </c>
      <c r="E84" s="77">
        <f t="shared" si="4"/>
        <v>0.86793363911717603</v>
      </c>
      <c r="F84" s="79">
        <f t="shared" si="5"/>
        <v>-9.1471043182749234E-3</v>
      </c>
      <c r="G84" s="79">
        <f t="shared" si="6"/>
        <v>2.1243881609642967E-2</v>
      </c>
      <c r="H84" s="79">
        <f t="shared" si="7"/>
        <v>1.2096777291368044E-2</v>
      </c>
      <c r="J84" s="1">
        <v>41153</v>
      </c>
      <c r="K84" s="72">
        <v>33288000458</v>
      </c>
      <c r="M84" s="1">
        <v>35612</v>
      </c>
      <c r="N84" s="72">
        <v>5262145039</v>
      </c>
      <c r="P84" s="1">
        <v>41116</v>
      </c>
      <c r="Q84" s="37">
        <v>1</v>
      </c>
      <c r="R84" s="72">
        <v>188742787894.48001</v>
      </c>
      <c r="S84" s="72">
        <v>188742787894.48001</v>
      </c>
      <c r="T84" s="72">
        <v>1019495379664.59</v>
      </c>
      <c r="V84" s="1">
        <v>41116</v>
      </c>
      <c r="W84" s="37">
        <v>0.98798594760462799</v>
      </c>
      <c r="X84" s="72">
        <v>1007247108756.46</v>
      </c>
      <c r="Y84" s="72">
        <v>1019495379664.59</v>
      </c>
      <c r="AA84" s="1">
        <v>41116</v>
      </c>
      <c r="AB84">
        <v>0.89833897714159106</v>
      </c>
    </row>
    <row r="85" spans="1:28">
      <c r="A85" s="60">
        <v>41130</v>
      </c>
      <c r="B85" s="87">
        <v>0.93912504488962867</v>
      </c>
      <c r="C85" s="80">
        <v>0.81672598038940503</v>
      </c>
      <c r="D85" s="80">
        <v>0.84037294476980395</v>
      </c>
      <c r="E85" s="77">
        <f t="shared" si="4"/>
        <v>0.86770648020923202</v>
      </c>
      <c r="F85" s="79">
        <f t="shared" si="5"/>
        <v>2.7333535439428069E-2</v>
      </c>
      <c r="G85" s="79">
        <f t="shared" si="6"/>
        <v>2.3646964380398927E-2</v>
      </c>
      <c r="H85" s="79">
        <f t="shared" si="7"/>
        <v>5.0980499819826997E-2</v>
      </c>
      <c r="J85" s="1">
        <v>41183</v>
      </c>
      <c r="K85" s="72">
        <v>41842921105</v>
      </c>
      <c r="M85" s="1">
        <v>35643</v>
      </c>
      <c r="N85" s="72">
        <v>6472015899</v>
      </c>
      <c r="P85" s="1">
        <v>41123</v>
      </c>
      <c r="Q85" s="37">
        <v>0.999954700350557</v>
      </c>
      <c r="R85" s="72">
        <v>182641302620.95001</v>
      </c>
      <c r="S85" s="72">
        <v>182649576582.73999</v>
      </c>
      <c r="T85" s="72">
        <v>1011228512945.42</v>
      </c>
      <c r="V85" s="1">
        <v>41123</v>
      </c>
      <c r="W85" s="37">
        <v>0.948600167254396</v>
      </c>
      <c r="X85" s="72">
        <v>959251536512.43994</v>
      </c>
      <c r="Y85" s="72">
        <v>1011228512945.42</v>
      </c>
      <c r="AA85" s="1">
        <v>41123</v>
      </c>
      <c r="AB85">
        <v>0.86793363911717603</v>
      </c>
    </row>
    <row r="86" spans="1:28">
      <c r="A86" s="60">
        <v>41137</v>
      </c>
      <c r="B86" s="87">
        <v>0.91585834932586352</v>
      </c>
      <c r="C86" s="80">
        <v>0.81660096914097402</v>
      </c>
      <c r="D86" s="80">
        <v>0.840112046562973</v>
      </c>
      <c r="E86" s="77">
        <f t="shared" si="4"/>
        <v>0.85221928563940097</v>
      </c>
      <c r="F86" s="79">
        <f t="shared" si="5"/>
        <v>1.2107239076427967E-2</v>
      </c>
      <c r="G86" s="79">
        <f t="shared" si="6"/>
        <v>2.3511077421998983E-2</v>
      </c>
      <c r="H86" s="79">
        <f t="shared" si="7"/>
        <v>3.561831649842695E-2</v>
      </c>
      <c r="J86" s="1">
        <v>41214</v>
      </c>
      <c r="K86" s="72">
        <v>55194948389</v>
      </c>
      <c r="M86" s="1">
        <v>35674</v>
      </c>
      <c r="N86" s="72">
        <v>6376730265</v>
      </c>
      <c r="P86" s="1">
        <v>41130</v>
      </c>
      <c r="Q86" s="37">
        <v>0.999954700350557</v>
      </c>
      <c r="R86" s="72">
        <v>182641302620.95001</v>
      </c>
      <c r="S86" s="72">
        <v>182649576582.73999</v>
      </c>
      <c r="T86" s="72">
        <v>1011228512945.42</v>
      </c>
      <c r="V86" s="1">
        <v>41130</v>
      </c>
      <c r="W86" s="37">
        <v>0.939125044889628</v>
      </c>
      <c r="X86" s="72">
        <v>949670022613.54004</v>
      </c>
      <c r="Y86" s="72">
        <v>1011228512945.42</v>
      </c>
      <c r="AA86" s="1">
        <v>41130</v>
      </c>
      <c r="AB86">
        <v>0.86770648020923202</v>
      </c>
    </row>
    <row r="87" spans="1:28">
      <c r="A87" s="60">
        <v>41144</v>
      </c>
      <c r="B87" s="87">
        <v>0.89726467039347879</v>
      </c>
      <c r="C87" s="80">
        <v>0.80039531716996504</v>
      </c>
      <c r="D87" s="80">
        <v>0.82226069643838895</v>
      </c>
      <c r="E87" s="77">
        <f t="shared" si="4"/>
        <v>0.83842768782906896</v>
      </c>
      <c r="F87" s="79">
        <f t="shared" si="5"/>
        <v>1.6166991390680008E-2</v>
      </c>
      <c r="G87" s="79">
        <f t="shared" si="6"/>
        <v>2.1865379268423912E-2</v>
      </c>
      <c r="H87" s="79">
        <f t="shared" si="7"/>
        <v>3.803237065910392E-2</v>
      </c>
      <c r="J87" s="1">
        <v>41244</v>
      </c>
      <c r="K87" s="72">
        <v>25944147408</v>
      </c>
      <c r="M87" s="1">
        <v>35704</v>
      </c>
      <c r="N87" s="72">
        <v>8697562873</v>
      </c>
      <c r="P87" s="1">
        <v>41137</v>
      </c>
      <c r="Q87" s="37">
        <v>0.999954700350557</v>
      </c>
      <c r="R87" s="72">
        <v>182641302620.95001</v>
      </c>
      <c r="S87" s="72">
        <v>182649576582.73999</v>
      </c>
      <c r="T87" s="72">
        <v>1011228512945.42</v>
      </c>
      <c r="V87" s="1">
        <v>41137</v>
      </c>
      <c r="W87" s="37">
        <v>0.91585834932586296</v>
      </c>
      <c r="X87" s="72">
        <v>926142076657.43994</v>
      </c>
      <c r="Y87" s="72">
        <v>1011228512945.42</v>
      </c>
      <c r="AA87" s="1">
        <v>41137</v>
      </c>
      <c r="AB87">
        <v>0.85221928563940097</v>
      </c>
    </row>
    <row r="88" spans="1:28">
      <c r="A88" s="60">
        <v>41151</v>
      </c>
      <c r="B88" s="87">
        <v>0.93912504488962867</v>
      </c>
      <c r="C88" s="80">
        <v>0.78286282867668</v>
      </c>
      <c r="D88" s="80">
        <v>0.80587399760802503</v>
      </c>
      <c r="E88" s="77">
        <f t="shared" si="4"/>
        <v>0.86770648020923202</v>
      </c>
      <c r="F88" s="79">
        <f t="shared" si="5"/>
        <v>6.1832482601206995E-2</v>
      </c>
      <c r="G88" s="79">
        <f t="shared" si="6"/>
        <v>2.3011168931345027E-2</v>
      </c>
      <c r="H88" s="79">
        <f t="shared" si="7"/>
        <v>8.4843651532552022E-2</v>
      </c>
      <c r="J88" s="1">
        <v>41275</v>
      </c>
      <c r="K88" s="72">
        <v>39932973038</v>
      </c>
      <c r="M88" s="1">
        <v>35735</v>
      </c>
      <c r="N88" s="72">
        <v>7800816249</v>
      </c>
      <c r="P88" s="1">
        <v>41144</v>
      </c>
      <c r="Q88" s="37">
        <v>0.99995169964132902</v>
      </c>
      <c r="R88" s="72">
        <v>182640754542.67999</v>
      </c>
      <c r="S88" s="72">
        <v>182649576582.73999</v>
      </c>
      <c r="T88" s="72">
        <v>1011228512945.42</v>
      </c>
      <c r="V88" s="1">
        <v>41144</v>
      </c>
      <c r="W88" s="37">
        <v>0.89726467039347801</v>
      </c>
      <c r="X88" s="72">
        <v>907339618360.45996</v>
      </c>
      <c r="Y88" s="72">
        <v>1011228512945.42</v>
      </c>
      <c r="AA88" s="1">
        <v>41144</v>
      </c>
      <c r="AB88">
        <v>0.83842768782906896</v>
      </c>
    </row>
    <row r="89" spans="1:28">
      <c r="A89" s="60">
        <v>41158</v>
      </c>
      <c r="B89" s="87">
        <v>0.93507497659257821</v>
      </c>
      <c r="C89" s="80">
        <v>0.81660096914097402</v>
      </c>
      <c r="D89" s="80">
        <v>0.840112046562973</v>
      </c>
      <c r="E89" s="77">
        <f t="shared" si="4"/>
        <v>0.854749303648767</v>
      </c>
      <c r="F89" s="79">
        <f t="shared" si="5"/>
        <v>1.4637257085793998E-2</v>
      </c>
      <c r="G89" s="79">
        <f t="shared" si="6"/>
        <v>2.3511077421998983E-2</v>
      </c>
      <c r="H89" s="79">
        <f t="shared" si="7"/>
        <v>3.814833450779298E-2</v>
      </c>
      <c r="J89" s="1">
        <v>41306</v>
      </c>
      <c r="K89" s="72">
        <v>40841611951</v>
      </c>
      <c r="M89" s="1">
        <v>35765</v>
      </c>
      <c r="N89" s="72">
        <v>9041464848</v>
      </c>
      <c r="P89" s="1">
        <v>41151</v>
      </c>
      <c r="Q89" s="37">
        <v>0.999954700350557</v>
      </c>
      <c r="R89" s="72">
        <v>182641302620.95001</v>
      </c>
      <c r="S89" s="72">
        <v>182649576582.73999</v>
      </c>
      <c r="T89" s="72">
        <v>1011228512945.42</v>
      </c>
      <c r="V89" s="1">
        <v>41151</v>
      </c>
      <c r="W89" s="37">
        <v>0.939125044889628</v>
      </c>
      <c r="X89" s="72">
        <v>949670022613.54004</v>
      </c>
      <c r="Y89" s="72">
        <v>1011228512945.42</v>
      </c>
      <c r="AA89" s="1">
        <v>41151</v>
      </c>
      <c r="AB89">
        <v>0.86770648020923202</v>
      </c>
    </row>
    <row r="90" spans="1:28">
      <c r="A90" s="60">
        <v>41165</v>
      </c>
      <c r="B90" s="87">
        <v>0.95218594305554205</v>
      </c>
      <c r="C90" s="80">
        <v>0.80003630895948397</v>
      </c>
      <c r="D90" s="80">
        <v>0.82391595701949605</v>
      </c>
      <c r="E90" s="77">
        <f t="shared" si="4"/>
        <v>0.85755860261202399</v>
      </c>
      <c r="F90" s="79">
        <f t="shared" si="5"/>
        <v>3.3642645592527942E-2</v>
      </c>
      <c r="G90" s="79">
        <f t="shared" si="6"/>
        <v>2.3879648060012082E-2</v>
      </c>
      <c r="H90" s="79">
        <f t="shared" si="7"/>
        <v>5.7522293652540024E-2</v>
      </c>
      <c r="J90" s="1">
        <v>41334</v>
      </c>
      <c r="K90" s="72">
        <v>49406026111</v>
      </c>
      <c r="M90" s="1">
        <v>35796</v>
      </c>
      <c r="N90" s="72">
        <v>9061468869</v>
      </c>
      <c r="P90" s="1">
        <v>41158</v>
      </c>
      <c r="Q90" s="37">
        <v>0.99995363234565104</v>
      </c>
      <c r="R90" s="72">
        <v>176114774783.44</v>
      </c>
      <c r="S90" s="72">
        <v>176122941191.10001</v>
      </c>
      <c r="T90" s="72">
        <v>995402345760.30005</v>
      </c>
      <c r="V90" s="1">
        <v>41158</v>
      </c>
      <c r="W90" s="37">
        <v>0.93507497659257799</v>
      </c>
      <c r="X90" s="72">
        <v>930775825162.01001</v>
      </c>
      <c r="Y90" s="72">
        <v>995402345760.30005</v>
      </c>
      <c r="AA90" s="1">
        <v>41158</v>
      </c>
      <c r="AB90">
        <v>0.854749303648767</v>
      </c>
    </row>
    <row r="91" spans="1:28">
      <c r="A91" s="60">
        <v>41172</v>
      </c>
      <c r="B91" s="87">
        <v>0.97677569556161481</v>
      </c>
      <c r="C91" s="80">
        <v>0.80517464210851997</v>
      </c>
      <c r="D91" s="80">
        <v>0.82736042337984095</v>
      </c>
      <c r="E91" s="77">
        <f t="shared" si="4"/>
        <v>0.87370950143428605</v>
      </c>
      <c r="F91" s="79">
        <f t="shared" si="5"/>
        <v>4.6349078054445103E-2</v>
      </c>
      <c r="G91" s="79">
        <f t="shared" si="6"/>
        <v>2.2185781271320981E-2</v>
      </c>
      <c r="H91" s="79">
        <f t="shared" si="7"/>
        <v>6.8534859325766084E-2</v>
      </c>
      <c r="J91" s="1">
        <v>41365</v>
      </c>
      <c r="K91" s="72">
        <v>43421503678</v>
      </c>
      <c r="M91" s="1">
        <v>35827</v>
      </c>
      <c r="N91" s="72">
        <v>8744667370</v>
      </c>
      <c r="P91" s="1">
        <v>41165</v>
      </c>
      <c r="Q91" s="37">
        <v>0.99995363234565104</v>
      </c>
      <c r="R91" s="72">
        <v>176114774783.44</v>
      </c>
      <c r="S91" s="72">
        <v>176122941191.10001</v>
      </c>
      <c r="T91" s="72">
        <v>995402345760.30005</v>
      </c>
      <c r="V91" s="1">
        <v>41165</v>
      </c>
      <c r="W91" s="37">
        <v>0.95218594305554205</v>
      </c>
      <c r="X91" s="72">
        <v>947808121317.46997</v>
      </c>
      <c r="Y91" s="72">
        <v>995402345760.30005</v>
      </c>
      <c r="AA91" s="1">
        <v>41165</v>
      </c>
      <c r="AB91">
        <v>0.85755860261202399</v>
      </c>
    </row>
    <row r="92" spans="1:28">
      <c r="A92" s="60">
        <v>41179</v>
      </c>
      <c r="B92" s="87">
        <v>0.98215736625125771</v>
      </c>
      <c r="C92" s="80">
        <v>0.82579336591607799</v>
      </c>
      <c r="D92" s="80">
        <v>0.84729321867928498</v>
      </c>
      <c r="E92" s="77">
        <f t="shared" si="4"/>
        <v>0.91294036208624696</v>
      </c>
      <c r="F92" s="79">
        <f t="shared" si="5"/>
        <v>6.5647143406961983E-2</v>
      </c>
      <c r="G92" s="79">
        <f t="shared" si="6"/>
        <v>2.1499852763206984E-2</v>
      </c>
      <c r="H92" s="79">
        <f t="shared" si="7"/>
        <v>8.7146996170168967E-2</v>
      </c>
      <c r="J92" s="1">
        <v>41395</v>
      </c>
      <c r="K92" s="72">
        <v>38644186493</v>
      </c>
      <c r="M92" s="1">
        <v>35855</v>
      </c>
      <c r="N92" s="72">
        <v>13000843189</v>
      </c>
      <c r="P92" s="1">
        <v>41172</v>
      </c>
      <c r="Q92" s="37">
        <v>1</v>
      </c>
      <c r="R92" s="72">
        <v>176122941191.10001</v>
      </c>
      <c r="S92" s="72">
        <v>176122941191.10001</v>
      </c>
      <c r="T92" s="72">
        <v>995402345760.30005</v>
      </c>
      <c r="V92" s="1">
        <v>41172</v>
      </c>
      <c r="W92" s="37">
        <v>0.97677569556161403</v>
      </c>
      <c r="X92" s="72">
        <v>972284818643.68005</v>
      </c>
      <c r="Y92" s="72">
        <v>995402345760.30005</v>
      </c>
      <c r="AA92" s="1">
        <v>41172</v>
      </c>
      <c r="AB92">
        <v>0.87370950143428605</v>
      </c>
    </row>
    <row r="93" spans="1:28">
      <c r="A93" s="60">
        <v>41186</v>
      </c>
      <c r="B93" s="87">
        <v>0.9656367235551897</v>
      </c>
      <c r="C93" s="80">
        <v>0.87352757054468799</v>
      </c>
      <c r="D93" s="80">
        <v>0.89615078381030699</v>
      </c>
      <c r="E93" s="77">
        <f t="shared" si="4"/>
        <v>0.89540803117683299</v>
      </c>
      <c r="F93" s="79">
        <f t="shared" si="5"/>
        <v>-7.4275263347400866E-4</v>
      </c>
      <c r="G93" s="79">
        <f t="shared" si="6"/>
        <v>2.2623213265619002E-2</v>
      </c>
      <c r="H93" s="79">
        <f t="shared" si="7"/>
        <v>2.1880460632144993E-2</v>
      </c>
      <c r="J93" s="1">
        <v>41426</v>
      </c>
      <c r="K93" s="72">
        <v>43845146476</v>
      </c>
      <c r="M93" s="1">
        <v>35886</v>
      </c>
      <c r="N93" s="72">
        <v>16540096783</v>
      </c>
      <c r="P93" s="1">
        <v>41179</v>
      </c>
      <c r="Q93" s="37">
        <v>1</v>
      </c>
      <c r="R93" s="72">
        <v>176122941191.10001</v>
      </c>
      <c r="S93" s="72">
        <v>176122941191.10001</v>
      </c>
      <c r="T93" s="72">
        <v>995402345760.30005</v>
      </c>
      <c r="V93" s="1">
        <v>41179</v>
      </c>
      <c r="W93" s="37">
        <v>0.98215736625125705</v>
      </c>
      <c r="X93" s="72">
        <v>977641746272.26001</v>
      </c>
      <c r="Y93" s="72">
        <v>995402345760.30005</v>
      </c>
      <c r="AA93" s="1">
        <v>41179</v>
      </c>
      <c r="AB93">
        <v>0.91294036208624696</v>
      </c>
    </row>
    <row r="94" spans="1:28">
      <c r="A94" s="60">
        <v>41193</v>
      </c>
      <c r="B94" s="87">
        <v>0.96496302153371782</v>
      </c>
      <c r="C94" s="80">
        <v>0.85283995726602502</v>
      </c>
      <c r="D94" s="80">
        <v>0.87486861740066002</v>
      </c>
      <c r="E94" s="77">
        <f t="shared" si="4"/>
        <v>0.87828750136762601</v>
      </c>
      <c r="F94" s="79">
        <f t="shared" si="5"/>
        <v>3.418883966965991E-3</v>
      </c>
      <c r="G94" s="79">
        <f t="shared" si="6"/>
        <v>2.2028660134635003E-2</v>
      </c>
      <c r="H94" s="79">
        <f t="shared" si="7"/>
        <v>2.5447544101600994E-2</v>
      </c>
      <c r="J94" s="1">
        <v>41456</v>
      </c>
      <c r="K94" s="72">
        <v>35728886976</v>
      </c>
      <c r="M94" s="1">
        <v>35916</v>
      </c>
      <c r="N94" s="72">
        <v>15344447641</v>
      </c>
      <c r="P94" s="1">
        <v>41186</v>
      </c>
      <c r="Q94" s="37">
        <v>1</v>
      </c>
      <c r="R94" s="72">
        <v>170001313731.01999</v>
      </c>
      <c r="S94" s="72">
        <v>170001313731.01999</v>
      </c>
      <c r="T94" s="72">
        <v>990415215264.19995</v>
      </c>
      <c r="V94" s="1">
        <v>41186</v>
      </c>
      <c r="W94" s="37">
        <v>0.96563672355518904</v>
      </c>
      <c r="X94" s="72">
        <v>956381303426.93005</v>
      </c>
      <c r="Y94" s="72">
        <v>990415215264.19995</v>
      </c>
      <c r="AA94" s="1">
        <v>41186</v>
      </c>
      <c r="AB94">
        <v>0.89540803117683299</v>
      </c>
    </row>
    <row r="95" spans="1:28">
      <c r="A95" s="60">
        <v>41200</v>
      </c>
      <c r="B95" s="87">
        <v>0.96513273767789598</v>
      </c>
      <c r="C95" s="80">
        <v>0.82980253162130702</v>
      </c>
      <c r="D95" s="80">
        <v>0.85304113167718099</v>
      </c>
      <c r="E95" s="77">
        <f t="shared" si="4"/>
        <v>0.89386735239452597</v>
      </c>
      <c r="F95" s="79">
        <f t="shared" si="5"/>
        <v>4.0826220717344985E-2</v>
      </c>
      <c r="G95" s="79">
        <f t="shared" si="6"/>
        <v>2.323860005587397E-2</v>
      </c>
      <c r="H95" s="79">
        <f t="shared" si="7"/>
        <v>6.4064820773218956E-2</v>
      </c>
      <c r="J95" s="1">
        <v>41487</v>
      </c>
      <c r="K95" s="72">
        <v>32918385555</v>
      </c>
      <c r="M95" s="1">
        <v>35947</v>
      </c>
      <c r="N95" s="72">
        <v>15089856063</v>
      </c>
      <c r="P95" s="1">
        <v>41193</v>
      </c>
      <c r="Q95" s="37">
        <v>1</v>
      </c>
      <c r="R95" s="72">
        <v>170001313731.01999</v>
      </c>
      <c r="S95" s="72">
        <v>170001313731.01999</v>
      </c>
      <c r="T95" s="72">
        <v>990415215264.19995</v>
      </c>
      <c r="V95" s="1">
        <v>41193</v>
      </c>
      <c r="W95" s="37">
        <v>0.96496302153371705</v>
      </c>
      <c r="X95" s="72">
        <v>955714058694.31006</v>
      </c>
      <c r="Y95" s="72">
        <v>990415215264.19995</v>
      </c>
      <c r="AA95" s="1">
        <v>41193</v>
      </c>
      <c r="AB95">
        <v>0.87828750136762601</v>
      </c>
    </row>
    <row r="96" spans="1:28">
      <c r="A96" s="60">
        <v>41207</v>
      </c>
      <c r="B96" s="87">
        <v>0.96430526526940574</v>
      </c>
      <c r="C96" s="80">
        <v>0.84996407134381802</v>
      </c>
      <c r="D96" s="80">
        <v>0.87300917575702497</v>
      </c>
      <c r="E96" s="77">
        <f t="shared" si="4"/>
        <v>0.87701507985843796</v>
      </c>
      <c r="F96" s="79">
        <f t="shared" si="5"/>
        <v>4.0059041014129937E-3</v>
      </c>
      <c r="G96" s="79">
        <f t="shared" si="6"/>
        <v>2.3045104413206952E-2</v>
      </c>
      <c r="H96" s="79">
        <f t="shared" si="7"/>
        <v>2.7051008514619945E-2</v>
      </c>
      <c r="J96" s="1">
        <v>41518</v>
      </c>
      <c r="K96" s="72">
        <v>24924818839</v>
      </c>
      <c r="M96" s="1">
        <v>35977</v>
      </c>
      <c r="N96" s="72">
        <v>15705851797</v>
      </c>
      <c r="P96" s="1">
        <v>41200</v>
      </c>
      <c r="Q96" s="37">
        <v>1</v>
      </c>
      <c r="R96" s="72">
        <v>170001313731.01999</v>
      </c>
      <c r="S96" s="72">
        <v>170001313731.01999</v>
      </c>
      <c r="T96" s="72">
        <v>990415215264.19995</v>
      </c>
      <c r="V96" s="1">
        <v>41200</v>
      </c>
      <c r="W96" s="37">
        <v>0.96513273767789498</v>
      </c>
      <c r="X96" s="72">
        <v>955882148145.78003</v>
      </c>
      <c r="Y96" s="72">
        <v>990415215264.19995</v>
      </c>
      <c r="AA96" s="1">
        <v>41200</v>
      </c>
      <c r="AB96">
        <v>0.89386735239452597</v>
      </c>
    </row>
    <row r="97" spans="1:28">
      <c r="A97" s="60">
        <v>41214</v>
      </c>
      <c r="B97" s="87">
        <v>0.9417870827834891</v>
      </c>
      <c r="C97" s="80">
        <v>0.828248760892495</v>
      </c>
      <c r="D97" s="80">
        <v>0.85152995637800399</v>
      </c>
      <c r="E97" s="77">
        <f t="shared" si="4"/>
        <v>0.85224271287899001</v>
      </c>
      <c r="F97" s="79">
        <f t="shared" si="5"/>
        <v>7.1275650098601151E-4</v>
      </c>
      <c r="G97" s="79">
        <f t="shared" si="6"/>
        <v>2.3281195485508999E-2</v>
      </c>
      <c r="H97" s="79">
        <f t="shared" si="7"/>
        <v>2.399395198649501E-2</v>
      </c>
      <c r="J97" s="1">
        <v>41548</v>
      </c>
      <c r="K97" s="72">
        <v>21037463243</v>
      </c>
      <c r="M97" s="1">
        <v>36008</v>
      </c>
      <c r="N97" s="72">
        <v>15578399003</v>
      </c>
      <c r="P97" s="1">
        <v>41207</v>
      </c>
      <c r="Q97" s="37">
        <v>1</v>
      </c>
      <c r="R97" s="72">
        <v>170001313731.01999</v>
      </c>
      <c r="S97" s="72">
        <v>170001313731.01999</v>
      </c>
      <c r="T97" s="72">
        <v>990415215264.19995</v>
      </c>
      <c r="V97" s="1">
        <v>41207</v>
      </c>
      <c r="W97" s="37">
        <v>0.96430526526940497</v>
      </c>
      <c r="X97" s="72">
        <v>955062606882.19995</v>
      </c>
      <c r="Y97" s="72">
        <v>990415215264.19995</v>
      </c>
      <c r="AA97" s="1">
        <v>41207</v>
      </c>
      <c r="AB97">
        <v>0.87701507985843796</v>
      </c>
    </row>
    <row r="98" spans="1:28">
      <c r="A98" s="60">
        <v>41221</v>
      </c>
      <c r="B98" s="87">
        <v>0.94144507517949372</v>
      </c>
      <c r="C98" s="80">
        <v>0.79915808926981402</v>
      </c>
      <c r="D98" s="80">
        <v>0.82220398378432702</v>
      </c>
      <c r="E98" s="77">
        <f t="shared" si="4"/>
        <v>0.85193877883173597</v>
      </c>
      <c r="F98" s="79">
        <f t="shared" si="5"/>
        <v>2.9734795047408946E-2</v>
      </c>
      <c r="G98" s="79">
        <f t="shared" si="6"/>
        <v>2.3045894514512999E-2</v>
      </c>
      <c r="H98" s="79">
        <f t="shared" si="7"/>
        <v>5.2780689561921945E-2</v>
      </c>
      <c r="J98" s="1">
        <v>41579</v>
      </c>
      <c r="K98" s="72">
        <v>20756969576</v>
      </c>
      <c r="M98" s="1">
        <v>36039</v>
      </c>
      <c r="N98" s="72">
        <v>15828606196</v>
      </c>
      <c r="P98" s="1">
        <v>41214</v>
      </c>
      <c r="Q98" s="37">
        <v>1</v>
      </c>
      <c r="R98" s="72">
        <v>163259293303.32999</v>
      </c>
      <c r="S98" s="72">
        <v>163259293303.32999</v>
      </c>
      <c r="T98" s="72">
        <v>990172484424.15002</v>
      </c>
      <c r="V98" s="1">
        <v>41214</v>
      </c>
      <c r="W98" s="37">
        <v>0.94178708278348899</v>
      </c>
      <c r="X98" s="72">
        <v>932531655558.30005</v>
      </c>
      <c r="Y98" s="72">
        <v>990172484424.15002</v>
      </c>
      <c r="AA98" s="1">
        <v>41214</v>
      </c>
      <c r="AB98">
        <v>0.85224271287899001</v>
      </c>
    </row>
    <row r="99" spans="1:28">
      <c r="A99" s="60">
        <v>41228</v>
      </c>
      <c r="B99" s="87">
        <v>0.94302774958051128</v>
      </c>
      <c r="C99" s="80">
        <v>0.79873425180913604</v>
      </c>
      <c r="D99" s="80">
        <v>0.82185068481131995</v>
      </c>
      <c r="E99" s="77">
        <f t="shared" si="4"/>
        <v>0.869978528422368</v>
      </c>
      <c r="F99" s="79">
        <f t="shared" si="5"/>
        <v>4.8127843611048049E-2</v>
      </c>
      <c r="G99" s="79">
        <f t="shared" si="6"/>
        <v>2.3116433002183912E-2</v>
      </c>
      <c r="H99" s="79">
        <f t="shared" si="7"/>
        <v>7.124427661323196E-2</v>
      </c>
      <c r="J99" s="1">
        <v>41609</v>
      </c>
      <c r="K99" s="72">
        <v>21387472756</v>
      </c>
      <c r="M99" s="1">
        <v>36069</v>
      </c>
      <c r="N99" s="72">
        <v>14438400348</v>
      </c>
      <c r="P99" s="1">
        <v>41221</v>
      </c>
      <c r="Q99" s="37">
        <v>1</v>
      </c>
      <c r="R99" s="72">
        <v>163259293303.32999</v>
      </c>
      <c r="S99" s="72">
        <v>163259293303.32999</v>
      </c>
      <c r="T99" s="72">
        <v>990172484424.15002</v>
      </c>
      <c r="V99" s="1">
        <v>41221</v>
      </c>
      <c r="W99" s="37">
        <v>0.94144507517949305</v>
      </c>
      <c r="X99" s="72">
        <v>932193009039.35999</v>
      </c>
      <c r="Y99" s="72">
        <v>990172484424.15002</v>
      </c>
      <c r="AA99" s="1">
        <v>41221</v>
      </c>
      <c r="AB99">
        <v>0.85193877883173597</v>
      </c>
    </row>
    <row r="100" spans="1:28">
      <c r="A100" s="60">
        <v>41234</v>
      </c>
      <c r="B100" s="87">
        <v>0.94449503233862075</v>
      </c>
      <c r="C100" s="80">
        <v>0.82276956639306598</v>
      </c>
      <c r="D100" s="80">
        <v>0.84470977412850301</v>
      </c>
      <c r="E100" s="77">
        <f t="shared" si="4"/>
        <v>0.88760782081308098</v>
      </c>
      <c r="F100" s="79">
        <f t="shared" si="5"/>
        <v>4.2898046684577973E-2</v>
      </c>
      <c r="G100" s="79">
        <f t="shared" si="6"/>
        <v>2.1940207735437034E-2</v>
      </c>
      <c r="H100" s="79">
        <f t="shared" si="7"/>
        <v>6.4838254420015007E-2</v>
      </c>
      <c r="J100" s="1">
        <v>41640</v>
      </c>
      <c r="K100" s="72">
        <v>18936729734</v>
      </c>
      <c r="M100" s="1">
        <v>36100</v>
      </c>
      <c r="N100" s="72">
        <v>16770259716</v>
      </c>
      <c r="P100" s="1">
        <v>41228</v>
      </c>
      <c r="Q100" s="37">
        <v>1</v>
      </c>
      <c r="R100" s="72">
        <v>163259293303.32999</v>
      </c>
      <c r="S100" s="72">
        <v>163259293303.32999</v>
      </c>
      <c r="T100" s="72">
        <v>990172484424.15002</v>
      </c>
      <c r="V100" s="1">
        <v>41228</v>
      </c>
      <c r="W100" s="37">
        <v>0.94302774958051105</v>
      </c>
      <c r="X100" s="72">
        <v>933760129683.05005</v>
      </c>
      <c r="Y100" s="72">
        <v>990172484424.15002</v>
      </c>
      <c r="AA100" s="1">
        <v>41228</v>
      </c>
      <c r="AB100">
        <v>0.869978528422368</v>
      </c>
    </row>
    <row r="101" spans="1:28">
      <c r="A101" s="60">
        <v>41242</v>
      </c>
      <c r="B101" s="87">
        <v>0.94301120100798697</v>
      </c>
      <c r="C101" s="80">
        <v>0.84066676404946505</v>
      </c>
      <c r="D101" s="80">
        <v>0.86614098528866201</v>
      </c>
      <c r="E101" s="77">
        <f t="shared" si="4"/>
        <v>0.86994927393538202</v>
      </c>
      <c r="F101" s="79">
        <f t="shared" si="5"/>
        <v>3.8082886467200039E-3</v>
      </c>
      <c r="G101" s="79">
        <f t="shared" si="6"/>
        <v>2.5474221239196959E-2</v>
      </c>
      <c r="H101" s="79">
        <f t="shared" si="7"/>
        <v>2.9282509885916963E-2</v>
      </c>
      <c r="J101" s="1">
        <v>41671</v>
      </c>
      <c r="K101" s="72">
        <v>16807144640</v>
      </c>
      <c r="M101" s="1">
        <v>36130</v>
      </c>
      <c r="N101" s="72">
        <v>20076220084</v>
      </c>
      <c r="P101" s="1">
        <v>41234</v>
      </c>
      <c r="Q101" s="37">
        <v>1</v>
      </c>
      <c r="R101" s="72">
        <v>163259293303.32999</v>
      </c>
      <c r="S101" s="72">
        <v>163259293303.32999</v>
      </c>
      <c r="T101" s="72">
        <v>990172484424.15002</v>
      </c>
      <c r="V101" s="1">
        <v>41234</v>
      </c>
      <c r="W101" s="37">
        <v>0.94449503233861998</v>
      </c>
      <c r="X101" s="72">
        <v>935212992697</v>
      </c>
      <c r="Y101" s="72">
        <v>990172484424.15002</v>
      </c>
      <c r="AA101" s="1">
        <v>41234</v>
      </c>
      <c r="AB101">
        <v>0.88760782081308098</v>
      </c>
    </row>
    <row r="102" spans="1:28">
      <c r="A102" s="60">
        <v>41249</v>
      </c>
      <c r="B102" s="87">
        <v>0.93075358283087861</v>
      </c>
      <c r="C102" s="80">
        <v>0.82275551487300902</v>
      </c>
      <c r="D102" s="80">
        <v>0.84467796841209597</v>
      </c>
      <c r="E102" s="77">
        <f t="shared" si="4"/>
        <v>0.85665986262304605</v>
      </c>
      <c r="F102" s="79">
        <f t="shared" si="5"/>
        <v>1.1981894210950084E-2</v>
      </c>
      <c r="G102" s="79">
        <f t="shared" si="6"/>
        <v>2.192245353908695E-2</v>
      </c>
      <c r="H102" s="79">
        <f t="shared" si="7"/>
        <v>3.3904347750037034E-2</v>
      </c>
      <c r="J102" s="1">
        <v>41699</v>
      </c>
      <c r="K102" s="72">
        <v>13833162137</v>
      </c>
      <c r="M102" s="1">
        <v>36161</v>
      </c>
      <c r="N102" s="72">
        <v>18662444740</v>
      </c>
      <c r="P102" s="1">
        <v>41242</v>
      </c>
      <c r="Q102" s="37">
        <v>1</v>
      </c>
      <c r="R102" s="72">
        <v>163259293303.32999</v>
      </c>
      <c r="S102" s="72">
        <v>163259293303.32999</v>
      </c>
      <c r="T102" s="72">
        <v>990172484424.15002</v>
      </c>
      <c r="V102" s="1">
        <v>41242</v>
      </c>
      <c r="W102" s="37">
        <v>0.94301120100798697</v>
      </c>
      <c r="X102" s="72">
        <v>933743743741.88</v>
      </c>
      <c r="Y102" s="72">
        <v>990172484424.15002</v>
      </c>
      <c r="AA102" s="1">
        <v>41242</v>
      </c>
      <c r="AB102">
        <v>0.86994927393538202</v>
      </c>
    </row>
    <row r="103" spans="1:28">
      <c r="A103" s="60">
        <v>41256</v>
      </c>
      <c r="B103" s="87">
        <v>0.93208248912063707</v>
      </c>
      <c r="C103" s="80">
        <v>0.80649977939682505</v>
      </c>
      <c r="D103" s="80">
        <v>0.82850582146884499</v>
      </c>
      <c r="E103" s="77">
        <f t="shared" si="4"/>
        <v>0.87405689226001904</v>
      </c>
      <c r="F103" s="79">
        <f t="shared" si="5"/>
        <v>4.5551070791174042E-2</v>
      </c>
      <c r="G103" s="79">
        <f t="shared" si="6"/>
        <v>2.2006042072019949E-2</v>
      </c>
      <c r="H103" s="79">
        <f t="shared" si="7"/>
        <v>6.7557112863193991E-2</v>
      </c>
      <c r="J103" s="1">
        <v>41730</v>
      </c>
      <c r="K103" s="72">
        <v>17694283317</v>
      </c>
      <c r="M103" s="1">
        <v>36192</v>
      </c>
      <c r="N103" s="72">
        <v>16568300498</v>
      </c>
      <c r="P103" s="1">
        <v>41249</v>
      </c>
      <c r="Q103" s="37">
        <v>1</v>
      </c>
      <c r="R103" s="72">
        <v>157448535660.06</v>
      </c>
      <c r="S103" s="72">
        <v>157448535660.06</v>
      </c>
      <c r="T103" s="72">
        <v>974299444316.16003</v>
      </c>
      <c r="V103" s="1">
        <v>41249</v>
      </c>
      <c r="W103" s="37">
        <v>0.93075358283087795</v>
      </c>
      <c r="X103" s="72">
        <v>906832698547.40002</v>
      </c>
      <c r="Y103" s="72">
        <v>974299444316.16003</v>
      </c>
      <c r="AA103" s="1">
        <v>41249</v>
      </c>
      <c r="AB103">
        <v>0.85665986262304605</v>
      </c>
    </row>
    <row r="104" spans="1:28">
      <c r="A104" s="60">
        <v>41263</v>
      </c>
      <c r="B104" s="87">
        <v>0.92997912524281168</v>
      </c>
      <c r="C104" s="80">
        <v>0.82418991295466604</v>
      </c>
      <c r="D104" s="80">
        <v>0.84959064095614001</v>
      </c>
      <c r="E104" s="77">
        <f t="shared" si="4"/>
        <v>0.85526933709542996</v>
      </c>
      <c r="F104" s="79">
        <f t="shared" si="5"/>
        <v>5.6786961392899515E-3</v>
      </c>
      <c r="G104" s="79">
        <f t="shared" si="6"/>
        <v>2.5400728001473971E-2</v>
      </c>
      <c r="H104" s="79">
        <f t="shared" si="7"/>
        <v>3.1079424140763923E-2</v>
      </c>
      <c r="J104" s="1">
        <v>41760</v>
      </c>
      <c r="K104" s="72">
        <v>16809241110</v>
      </c>
      <c r="M104" s="1">
        <v>36220</v>
      </c>
      <c r="N104" s="72">
        <v>18718435659</v>
      </c>
      <c r="P104" s="1">
        <v>41256</v>
      </c>
      <c r="Q104" s="37">
        <v>1</v>
      </c>
      <c r="R104" s="72">
        <v>157448535660.06</v>
      </c>
      <c r="S104" s="72">
        <v>157448535660.06</v>
      </c>
      <c r="T104" s="72">
        <v>974299444316.16003</v>
      </c>
      <c r="V104" s="1">
        <v>41256</v>
      </c>
      <c r="W104" s="37">
        <v>0.93208248912063696</v>
      </c>
      <c r="X104" s="72">
        <v>908127451207.06006</v>
      </c>
      <c r="Y104" s="72">
        <v>974299444316.16003</v>
      </c>
      <c r="AA104" s="1">
        <v>41256</v>
      </c>
      <c r="AB104">
        <v>0.87405689226001904</v>
      </c>
    </row>
    <row r="105" spans="1:28">
      <c r="A105" s="60">
        <v>41270</v>
      </c>
      <c r="B105" s="87">
        <v>0.93054356216073064</v>
      </c>
      <c r="C105" s="80">
        <v>0.80390223047279097</v>
      </c>
      <c r="D105" s="80">
        <v>0.82683597281031795</v>
      </c>
      <c r="E105" s="77">
        <f t="shared" si="4"/>
        <v>0.85629919718182101</v>
      </c>
      <c r="F105" s="79">
        <f t="shared" si="5"/>
        <v>2.9463224371503061E-2</v>
      </c>
      <c r="G105" s="79">
        <f t="shared" si="6"/>
        <v>2.2933742337526986E-2</v>
      </c>
      <c r="H105" s="79">
        <f t="shared" si="7"/>
        <v>5.2396966709030046E-2</v>
      </c>
      <c r="J105" s="1">
        <v>41791</v>
      </c>
      <c r="K105" s="72">
        <v>19224686243</v>
      </c>
      <c r="M105" s="1">
        <v>36251</v>
      </c>
      <c r="N105" s="72">
        <v>17133757240</v>
      </c>
      <c r="P105" s="1">
        <v>41263</v>
      </c>
      <c r="Q105" s="37">
        <v>1</v>
      </c>
      <c r="R105" s="72">
        <v>157448535660.06</v>
      </c>
      <c r="S105" s="72">
        <v>157448535660.06</v>
      </c>
      <c r="T105" s="72">
        <v>974299444316.16003</v>
      </c>
      <c r="V105" s="1">
        <v>41263</v>
      </c>
      <c r="W105" s="37">
        <v>0.92997912524281101</v>
      </c>
      <c r="X105" s="72">
        <v>906078144949.69995</v>
      </c>
      <c r="Y105" s="72">
        <v>974299444316.16003</v>
      </c>
      <c r="AA105" s="1">
        <v>41263</v>
      </c>
      <c r="AB105">
        <v>0.85526933709542996</v>
      </c>
    </row>
    <row r="106" spans="1:28">
      <c r="A106" s="60">
        <v>41277</v>
      </c>
      <c r="B106" s="87">
        <v>0.91144412210822534</v>
      </c>
      <c r="C106" s="80">
        <v>0.80591432289546205</v>
      </c>
      <c r="D106" s="80">
        <v>0.82807405180361804</v>
      </c>
      <c r="E106" s="77">
        <f t="shared" si="4"/>
        <v>0.83698700627492195</v>
      </c>
      <c r="F106" s="79">
        <f t="shared" si="5"/>
        <v>8.9129544713039133E-3</v>
      </c>
      <c r="G106" s="79">
        <f t="shared" si="6"/>
        <v>2.2159728908155985E-2</v>
      </c>
      <c r="H106" s="79">
        <f t="shared" si="7"/>
        <v>3.1072683379459898E-2</v>
      </c>
      <c r="J106" s="1">
        <v>41821</v>
      </c>
      <c r="K106" s="72">
        <v>21727826837</v>
      </c>
      <c r="M106" s="1">
        <v>36281</v>
      </c>
      <c r="N106" s="72">
        <v>15953761995</v>
      </c>
      <c r="P106" s="1">
        <v>41270</v>
      </c>
      <c r="Q106" s="37">
        <v>1</v>
      </c>
      <c r="R106" s="72">
        <v>157448535660.06</v>
      </c>
      <c r="S106" s="72">
        <v>157448535660.06</v>
      </c>
      <c r="T106" s="72">
        <v>974299444316.16003</v>
      </c>
      <c r="V106" s="1">
        <v>41270</v>
      </c>
      <c r="W106" s="37">
        <v>0.93054356216072998</v>
      </c>
      <c r="X106" s="72">
        <v>906628075525.18005</v>
      </c>
      <c r="Y106" s="72">
        <v>974299444316.16003</v>
      </c>
      <c r="AA106" s="1">
        <v>41270</v>
      </c>
      <c r="AB106">
        <v>0.85629919718182101</v>
      </c>
    </row>
    <row r="107" spans="1:28">
      <c r="A107" s="60">
        <v>41284</v>
      </c>
      <c r="B107" s="87">
        <v>0.90823329404202158</v>
      </c>
      <c r="C107" s="80">
        <v>0.78440164177592298</v>
      </c>
      <c r="D107" s="80">
        <v>0.80673651039812899</v>
      </c>
      <c r="E107" s="77">
        <f t="shared" si="4"/>
        <v>0.81801292760675504</v>
      </c>
      <c r="F107" s="79">
        <f t="shared" si="5"/>
        <v>1.1276417208626044E-2</v>
      </c>
      <c r="G107" s="79">
        <f t="shared" si="6"/>
        <v>2.2334868622206017E-2</v>
      </c>
      <c r="H107" s="79">
        <f t="shared" si="7"/>
        <v>3.3611285830832061E-2</v>
      </c>
      <c r="J107" s="1">
        <v>41852</v>
      </c>
      <c r="K107" s="72">
        <v>27190418102</v>
      </c>
      <c r="M107" s="1">
        <v>36312</v>
      </c>
      <c r="N107" s="72">
        <v>13283599030</v>
      </c>
      <c r="P107" s="1">
        <v>41277</v>
      </c>
      <c r="Q107" s="37">
        <v>1</v>
      </c>
      <c r="R107" s="72">
        <v>151569324294.76001</v>
      </c>
      <c r="S107" s="72">
        <v>151569324294.76001</v>
      </c>
      <c r="T107" s="72">
        <v>966732551335.27002</v>
      </c>
      <c r="V107" s="1">
        <v>41277</v>
      </c>
      <c r="W107" s="37">
        <v>0.91144412210822501</v>
      </c>
      <c r="X107" s="72">
        <v>881122701565.21997</v>
      </c>
      <c r="Y107" s="72">
        <v>966732551335.27002</v>
      </c>
      <c r="AA107" s="1">
        <v>41277</v>
      </c>
      <c r="AB107">
        <v>0.83698700627492195</v>
      </c>
    </row>
    <row r="108" spans="1:28">
      <c r="A108" s="60">
        <v>41291</v>
      </c>
      <c r="B108" s="87">
        <v>0.9101068245904016</v>
      </c>
      <c r="C108" s="80">
        <v>0.759606662501778</v>
      </c>
      <c r="D108" s="80">
        <v>0.78289243382516405</v>
      </c>
      <c r="E108" s="77">
        <f t="shared" si="4"/>
        <v>0.83506565777320196</v>
      </c>
      <c r="F108" s="79">
        <f t="shared" si="5"/>
        <v>5.2173223948037917E-2</v>
      </c>
      <c r="G108" s="79">
        <f t="shared" si="6"/>
        <v>2.3285771323386051E-2</v>
      </c>
      <c r="H108" s="79">
        <f t="shared" si="7"/>
        <v>7.5458995271423968E-2</v>
      </c>
      <c r="J108" s="1">
        <v>41883</v>
      </c>
      <c r="K108" s="72">
        <v>24746431184</v>
      </c>
      <c r="M108" s="1">
        <v>36342</v>
      </c>
      <c r="N108" s="72">
        <v>12099117128</v>
      </c>
      <c r="P108" s="1">
        <v>41284</v>
      </c>
      <c r="Q108" s="37">
        <v>1</v>
      </c>
      <c r="R108" s="72">
        <v>151569324294.76001</v>
      </c>
      <c r="S108" s="72">
        <v>151569324294.76001</v>
      </c>
      <c r="T108" s="72">
        <v>966732551335.27002</v>
      </c>
      <c r="V108" s="1">
        <v>41284</v>
      </c>
      <c r="W108" s="37">
        <v>0.90823329404202102</v>
      </c>
      <c r="X108" s="72">
        <v>878018689556.88</v>
      </c>
      <c r="Y108" s="72">
        <v>966732551335.27002</v>
      </c>
      <c r="AA108" s="1">
        <v>41284</v>
      </c>
      <c r="AB108">
        <v>0.81801292760675504</v>
      </c>
    </row>
    <row r="109" spans="1:28">
      <c r="A109" s="60">
        <v>41298</v>
      </c>
      <c r="B109" s="87">
        <v>0.90718629343553325</v>
      </c>
      <c r="C109" s="80">
        <v>0.78142443901466097</v>
      </c>
      <c r="D109" s="80">
        <v>0.80443705009709199</v>
      </c>
      <c r="E109" s="77">
        <f t="shared" si="4"/>
        <v>0.81638058168754202</v>
      </c>
      <c r="F109" s="79">
        <f t="shared" si="5"/>
        <v>1.1943531590450029E-2</v>
      </c>
      <c r="G109" s="79">
        <f t="shared" si="6"/>
        <v>2.3012611082431023E-2</v>
      </c>
      <c r="H109" s="79">
        <f t="shared" si="7"/>
        <v>3.4956142672881052E-2</v>
      </c>
      <c r="J109" s="1">
        <v>41913</v>
      </c>
      <c r="K109" s="72">
        <v>23775386522</v>
      </c>
      <c r="M109" s="1">
        <v>36373</v>
      </c>
      <c r="N109" s="72">
        <v>10612473741</v>
      </c>
      <c r="P109" s="1">
        <v>41291</v>
      </c>
      <c r="Q109" s="37">
        <v>1</v>
      </c>
      <c r="R109" s="72">
        <v>151569324294.76001</v>
      </c>
      <c r="S109" s="72">
        <v>151569324294.76001</v>
      </c>
      <c r="T109" s="72">
        <v>966732551335.27002</v>
      </c>
      <c r="V109" s="1">
        <v>41291</v>
      </c>
      <c r="W109" s="37">
        <v>0.91010682459040104</v>
      </c>
      <c r="X109" s="72">
        <v>879829892523.92004</v>
      </c>
      <c r="Y109" s="72">
        <v>966732551335.27002</v>
      </c>
      <c r="AA109" s="1">
        <v>41291</v>
      </c>
      <c r="AB109">
        <v>0.83506565777320196</v>
      </c>
    </row>
    <row r="110" spans="1:28">
      <c r="A110" s="60">
        <v>41305</v>
      </c>
      <c r="B110" s="87">
        <v>0.87062322481214993</v>
      </c>
      <c r="C110" s="80">
        <v>0.75700205657756403</v>
      </c>
      <c r="D110" s="80">
        <v>0.78096114426466201</v>
      </c>
      <c r="E110" s="77">
        <f t="shared" si="4"/>
        <v>0.77327869798683202</v>
      </c>
      <c r="F110" s="79">
        <f t="shared" si="5"/>
        <v>-7.6824462778299907E-3</v>
      </c>
      <c r="G110" s="79">
        <f t="shared" si="6"/>
        <v>2.395908768709798E-2</v>
      </c>
      <c r="H110" s="79">
        <f t="shared" si="7"/>
        <v>1.6276641409267989E-2</v>
      </c>
      <c r="J110" s="1">
        <v>41944</v>
      </c>
      <c r="K110" s="72">
        <v>21757107550</v>
      </c>
      <c r="M110" s="1">
        <v>36404</v>
      </c>
      <c r="N110" s="72">
        <v>9665091089</v>
      </c>
      <c r="P110" s="1">
        <v>41298</v>
      </c>
      <c r="Q110" s="37">
        <v>1</v>
      </c>
      <c r="R110" s="72">
        <v>151569324294.76001</v>
      </c>
      <c r="S110" s="72">
        <v>151569324294.76001</v>
      </c>
      <c r="T110" s="72">
        <v>966732551335.27002</v>
      </c>
      <c r="V110" s="1">
        <v>41298</v>
      </c>
      <c r="W110" s="37">
        <v>0.90718629343553303</v>
      </c>
      <c r="X110" s="72">
        <v>877006519989.31995</v>
      </c>
      <c r="Y110" s="72">
        <v>966732551335.27002</v>
      </c>
      <c r="AA110" s="1">
        <v>41298</v>
      </c>
      <c r="AB110">
        <v>0.81638058168754202</v>
      </c>
    </row>
    <row r="111" spans="1:28">
      <c r="A111" s="60">
        <v>41312</v>
      </c>
      <c r="B111" s="87">
        <v>0.83260800876880436</v>
      </c>
      <c r="C111" s="80">
        <v>0.70776343414969201</v>
      </c>
      <c r="D111" s="80">
        <v>0.72958928267474799</v>
      </c>
      <c r="E111" s="77">
        <f t="shared" si="4"/>
        <v>0.75159663172579605</v>
      </c>
      <c r="F111" s="79">
        <f t="shared" si="5"/>
        <v>2.2007349051048064E-2</v>
      </c>
      <c r="G111" s="79">
        <f t="shared" si="6"/>
        <v>2.182584852505598E-2</v>
      </c>
      <c r="H111" s="79">
        <f t="shared" si="7"/>
        <v>4.3833197576104044E-2</v>
      </c>
      <c r="J111" s="1">
        <v>41974</v>
      </c>
      <c r="K111" s="72">
        <v>20214561640</v>
      </c>
      <c r="M111" s="1">
        <v>36434</v>
      </c>
      <c r="N111" s="72">
        <v>7207858026</v>
      </c>
      <c r="P111" s="1">
        <v>41305</v>
      </c>
      <c r="Q111" s="37">
        <v>0.999947041223893</v>
      </c>
      <c r="R111" s="72">
        <v>151561297368.85001</v>
      </c>
      <c r="S111" s="72">
        <v>151569324294.76001</v>
      </c>
      <c r="T111" s="72">
        <v>966732551335.27002</v>
      </c>
      <c r="V111" s="1">
        <v>41305</v>
      </c>
      <c r="W111" s="37">
        <v>0.87062322481214904</v>
      </c>
      <c r="X111" s="72">
        <v>841659811374.39001</v>
      </c>
      <c r="Y111" s="72">
        <v>966732551335.27002</v>
      </c>
      <c r="AA111" s="1">
        <v>41305</v>
      </c>
      <c r="AB111">
        <v>0.77327869798683202</v>
      </c>
    </row>
    <row r="112" spans="1:28">
      <c r="A112" s="60">
        <v>41319</v>
      </c>
      <c r="B112" s="87">
        <v>0.83260800876880436</v>
      </c>
      <c r="C112" s="80">
        <v>0.68149824697650396</v>
      </c>
      <c r="D112" s="80">
        <v>0.70463630866607596</v>
      </c>
      <c r="E112" s="77">
        <f t="shared" si="4"/>
        <v>0.75159663172579605</v>
      </c>
      <c r="F112" s="79">
        <f t="shared" si="5"/>
        <v>4.6960323059720088E-2</v>
      </c>
      <c r="G112" s="79">
        <f t="shared" si="6"/>
        <v>2.3138061689571998E-2</v>
      </c>
      <c r="H112" s="79">
        <f t="shared" si="7"/>
        <v>7.0098384749292086E-2</v>
      </c>
      <c r="J112" s="1">
        <v>42005</v>
      </c>
      <c r="K112" s="72">
        <v>21609708424</v>
      </c>
      <c r="M112" s="1">
        <v>36465</v>
      </c>
      <c r="N112" s="72">
        <v>7142123308</v>
      </c>
      <c r="P112" s="1">
        <v>41312</v>
      </c>
      <c r="Q112" s="37">
        <v>0.99994511226765204</v>
      </c>
      <c r="R112" s="72">
        <v>145808796079.64001</v>
      </c>
      <c r="S112" s="72">
        <v>145816799633.10999</v>
      </c>
      <c r="T112" s="72">
        <v>959979310860.5</v>
      </c>
      <c r="V112" s="1">
        <v>41312</v>
      </c>
      <c r="W112" s="37">
        <v>0.83260800876880403</v>
      </c>
      <c r="X112" s="72">
        <v>799286462474.81006</v>
      </c>
      <c r="Y112" s="72">
        <v>959979310860.5</v>
      </c>
      <c r="AA112" s="1">
        <v>41312</v>
      </c>
      <c r="AB112">
        <v>0.75159663172579605</v>
      </c>
    </row>
    <row r="113" spans="1:28">
      <c r="A113" s="60">
        <v>41326</v>
      </c>
      <c r="B113" s="87">
        <v>0.80439090654511258</v>
      </c>
      <c r="C113" s="80">
        <v>0.68149824697650396</v>
      </c>
      <c r="D113" s="80">
        <v>0.70463630866607596</v>
      </c>
      <c r="E113" s="77">
        <f t="shared" si="4"/>
        <v>0.73466848163795695</v>
      </c>
      <c r="F113" s="79">
        <f t="shared" si="5"/>
        <v>3.0032172971880988E-2</v>
      </c>
      <c r="G113" s="79">
        <f t="shared" si="6"/>
        <v>2.3138061689571998E-2</v>
      </c>
      <c r="H113" s="79">
        <f t="shared" si="7"/>
        <v>5.3170234661452986E-2</v>
      </c>
      <c r="J113" s="1">
        <v>42036</v>
      </c>
      <c r="K113" s="72">
        <v>29147484308</v>
      </c>
      <c r="M113" s="1">
        <v>36495</v>
      </c>
      <c r="N113" s="72">
        <v>5627903823</v>
      </c>
      <c r="P113" s="1">
        <v>41319</v>
      </c>
      <c r="Q113" s="37">
        <v>0.99994511226765204</v>
      </c>
      <c r="R113" s="72">
        <v>145808796079.64001</v>
      </c>
      <c r="S113" s="72">
        <v>145816799633.10999</v>
      </c>
      <c r="T113" s="72">
        <v>959979310860.5</v>
      </c>
      <c r="V113" s="1">
        <v>41319</v>
      </c>
      <c r="W113" s="37">
        <v>0.83260800876880403</v>
      </c>
      <c r="X113" s="72">
        <v>799286462474.81006</v>
      </c>
      <c r="Y113" s="72">
        <v>959979310860.5</v>
      </c>
      <c r="AA113" s="1">
        <v>41319</v>
      </c>
      <c r="AB113">
        <v>0.75159663172579605</v>
      </c>
    </row>
    <row r="114" spans="1:28">
      <c r="A114" s="60">
        <v>41333</v>
      </c>
      <c r="B114" s="87">
        <v>0.84718356345388168</v>
      </c>
      <c r="C114" s="80">
        <v>0.66443156184372798</v>
      </c>
      <c r="D114" s="80">
        <v>0.68600596152600102</v>
      </c>
      <c r="E114" s="77">
        <f t="shared" si="4"/>
        <v>0.75336723351248602</v>
      </c>
      <c r="F114" s="79">
        <f t="shared" si="5"/>
        <v>6.7361271986485005E-2</v>
      </c>
      <c r="G114" s="79">
        <f t="shared" si="6"/>
        <v>2.1574399682273038E-2</v>
      </c>
      <c r="H114" s="79">
        <f t="shared" si="7"/>
        <v>8.8935671668758043E-2</v>
      </c>
      <c r="J114" s="1">
        <v>42064</v>
      </c>
      <c r="K114" s="72">
        <v>25338441428</v>
      </c>
      <c r="M114" s="1">
        <v>36526</v>
      </c>
      <c r="N114" s="72">
        <v>9576065086</v>
      </c>
      <c r="P114" s="1">
        <v>41326</v>
      </c>
      <c r="Q114" s="37">
        <v>0.99994511226765204</v>
      </c>
      <c r="R114" s="72">
        <v>145808796079.64001</v>
      </c>
      <c r="S114" s="72">
        <v>145816799633.10999</v>
      </c>
      <c r="T114" s="72">
        <v>959979310860.5</v>
      </c>
      <c r="V114" s="1">
        <v>41326</v>
      </c>
      <c r="W114" s="37">
        <v>0.80439090654511203</v>
      </c>
      <c r="X114" s="72">
        <v>772198628127.63</v>
      </c>
      <c r="Y114" s="72">
        <v>959979310860.5</v>
      </c>
      <c r="AA114" s="1">
        <v>41326</v>
      </c>
      <c r="AB114">
        <v>0.73466848163795695</v>
      </c>
    </row>
    <row r="115" spans="1:28">
      <c r="A115" s="60">
        <v>41340</v>
      </c>
      <c r="B115" s="87">
        <v>0.83402921086925264</v>
      </c>
      <c r="C115" s="80">
        <v>0.68474077330080096</v>
      </c>
      <c r="D115" s="80">
        <v>0.70679030246685104</v>
      </c>
      <c r="E115" s="77">
        <f t="shared" si="4"/>
        <v>0.73189334378403004</v>
      </c>
      <c r="F115" s="79">
        <f t="shared" si="5"/>
        <v>2.5103041317178998E-2</v>
      </c>
      <c r="G115" s="79">
        <f t="shared" si="6"/>
        <v>2.2049529166050075E-2</v>
      </c>
      <c r="H115" s="79">
        <f t="shared" si="7"/>
        <v>4.7152570483229073E-2</v>
      </c>
      <c r="J115" s="1">
        <v>42095</v>
      </c>
      <c r="K115" s="72">
        <v>32896128366</v>
      </c>
      <c r="M115" s="1">
        <v>36557</v>
      </c>
      <c r="N115" s="72">
        <v>5053519098</v>
      </c>
      <c r="P115" s="1">
        <v>41333</v>
      </c>
      <c r="Q115" s="37">
        <v>0.99994511226765204</v>
      </c>
      <c r="R115" s="72">
        <v>145808796079.64001</v>
      </c>
      <c r="S115" s="72">
        <v>145816799633.10999</v>
      </c>
      <c r="T115" s="72">
        <v>959979310860.5</v>
      </c>
      <c r="V115" s="1">
        <v>41333</v>
      </c>
      <c r="W115" s="37">
        <v>0.84718356345388102</v>
      </c>
      <c r="X115" s="72">
        <v>813278693416.80005</v>
      </c>
      <c r="Y115" s="72">
        <v>959979310860.5</v>
      </c>
      <c r="AA115" s="1">
        <v>41333</v>
      </c>
      <c r="AB115">
        <v>0.75336723351248602</v>
      </c>
    </row>
    <row r="116" spans="1:28">
      <c r="A116" s="60">
        <v>41347</v>
      </c>
      <c r="B116" s="87">
        <v>0.75039921033204837</v>
      </c>
      <c r="C116" s="80">
        <v>0.65965341103045605</v>
      </c>
      <c r="D116" s="80">
        <v>0.68136636277891505</v>
      </c>
      <c r="E116" s="77">
        <f t="shared" si="4"/>
        <v>0.69795987841176899</v>
      </c>
      <c r="F116" s="79">
        <f t="shared" si="5"/>
        <v>1.6593515632853939E-2</v>
      </c>
      <c r="G116" s="79">
        <f t="shared" si="6"/>
        <v>2.1712951748458997E-2</v>
      </c>
      <c r="H116" s="79">
        <f t="shared" si="7"/>
        <v>3.8306467381312936E-2</v>
      </c>
      <c r="J116" s="1">
        <v>42125</v>
      </c>
      <c r="K116" s="72">
        <v>17717134880</v>
      </c>
      <c r="M116" s="1">
        <v>36586</v>
      </c>
      <c r="N116" s="72">
        <v>6329447139</v>
      </c>
      <c r="P116" s="1">
        <v>41340</v>
      </c>
      <c r="Q116" s="37">
        <v>0.99994310475454196</v>
      </c>
      <c r="R116" s="72">
        <v>140238715162.70001</v>
      </c>
      <c r="S116" s="72">
        <v>140246694532.81</v>
      </c>
      <c r="T116" s="72">
        <v>960609851102.43005</v>
      </c>
      <c r="V116" s="1">
        <v>41340</v>
      </c>
      <c r="W116" s="37">
        <v>0.83402921086925197</v>
      </c>
      <c r="X116" s="72">
        <v>801176676068.18994</v>
      </c>
      <c r="Y116" s="72">
        <v>960609851102.43005</v>
      </c>
      <c r="AA116" s="1">
        <v>41340</v>
      </c>
      <c r="AB116">
        <v>0.73189334378403004</v>
      </c>
    </row>
    <row r="117" spans="1:28">
      <c r="A117" s="60">
        <v>41354</v>
      </c>
      <c r="B117" s="87">
        <v>0.79786665858318839</v>
      </c>
      <c r="C117" s="80">
        <v>0.622542311024053</v>
      </c>
      <c r="D117" s="80">
        <v>0.643549022861998</v>
      </c>
      <c r="E117" s="77">
        <f t="shared" si="4"/>
        <v>0.72870485724802003</v>
      </c>
      <c r="F117" s="79">
        <f t="shared" si="5"/>
        <v>8.5155834386022033E-2</v>
      </c>
      <c r="G117" s="79">
        <f t="shared" si="6"/>
        <v>2.1006711837945002E-2</v>
      </c>
      <c r="H117" s="79">
        <f t="shared" si="7"/>
        <v>0.10616254622396704</v>
      </c>
      <c r="M117" s="1">
        <v>36617</v>
      </c>
      <c r="N117" s="72">
        <v>5477364891</v>
      </c>
      <c r="P117" s="1">
        <v>41347</v>
      </c>
      <c r="Q117" s="37">
        <v>0.99994028332890095</v>
      </c>
      <c r="R117" s="72">
        <v>140238319467.07999</v>
      </c>
      <c r="S117" s="72">
        <v>140246694532.81</v>
      </c>
      <c r="T117" s="72">
        <v>960609851102.43005</v>
      </c>
      <c r="V117" s="1">
        <v>41347</v>
      </c>
      <c r="W117" s="37">
        <v>0.75039921033204804</v>
      </c>
      <c r="X117" s="72">
        <v>720840873704.44995</v>
      </c>
      <c r="Y117" s="72">
        <v>960609851102.43005</v>
      </c>
      <c r="AA117" s="1">
        <v>41347</v>
      </c>
      <c r="AB117">
        <v>0.69795987841176899</v>
      </c>
    </row>
    <row r="118" spans="1:28">
      <c r="A118" s="60">
        <v>41361</v>
      </c>
      <c r="B118" s="87">
        <v>0.77419688278908672</v>
      </c>
      <c r="C118" s="80">
        <v>0.65490269555006198</v>
      </c>
      <c r="D118" s="80">
        <v>0.67762091879307995</v>
      </c>
      <c r="E118" s="77">
        <f t="shared" si="4"/>
        <v>0.71205681454377001</v>
      </c>
      <c r="F118" s="79">
        <f t="shared" si="5"/>
        <v>3.443589575069006E-2</v>
      </c>
      <c r="G118" s="79">
        <f t="shared" si="6"/>
        <v>2.2718223243017976E-2</v>
      </c>
      <c r="H118" s="79">
        <f t="shared" si="7"/>
        <v>5.7154118993708036E-2</v>
      </c>
      <c r="M118" s="1">
        <v>36647</v>
      </c>
      <c r="N118" s="72">
        <v>9182513257</v>
      </c>
      <c r="P118" s="1">
        <v>41354</v>
      </c>
      <c r="Q118" s="37">
        <v>0.99994310475454196</v>
      </c>
      <c r="R118" s="72">
        <v>140238715162.70001</v>
      </c>
      <c r="S118" s="72">
        <v>140246694532.81</v>
      </c>
      <c r="T118" s="72">
        <v>960609851102.43005</v>
      </c>
      <c r="V118" s="1">
        <v>41354</v>
      </c>
      <c r="W118" s="37">
        <v>0.79786665858318795</v>
      </c>
      <c r="X118" s="72">
        <v>766438572101.18994</v>
      </c>
      <c r="Y118" s="72">
        <v>960609851102.43005</v>
      </c>
      <c r="AA118" s="1">
        <v>41354</v>
      </c>
      <c r="AB118">
        <v>0.72870485724802003</v>
      </c>
    </row>
    <row r="119" spans="1:28">
      <c r="A119" s="60">
        <v>41368</v>
      </c>
      <c r="B119" s="87">
        <v>0.77632411843120308</v>
      </c>
      <c r="C119" s="80">
        <v>0.63814443106247998</v>
      </c>
      <c r="D119" s="80">
        <v>0.65948110445833896</v>
      </c>
      <c r="E119" s="77">
        <f t="shared" si="4"/>
        <v>0.71369665277113203</v>
      </c>
      <c r="F119" s="79">
        <f t="shared" si="5"/>
        <v>5.4215548312793072E-2</v>
      </c>
      <c r="G119" s="79">
        <f t="shared" si="6"/>
        <v>2.1336673395858985E-2</v>
      </c>
      <c r="H119" s="79">
        <f t="shared" si="7"/>
        <v>7.5552221708652056E-2</v>
      </c>
      <c r="M119" s="1">
        <v>36678</v>
      </c>
      <c r="N119" s="72">
        <v>8436502235</v>
      </c>
      <c r="P119" s="1">
        <v>41361</v>
      </c>
      <c r="Q119" s="37">
        <v>0.99994310475454196</v>
      </c>
      <c r="R119" s="72">
        <v>140238715162.70001</v>
      </c>
      <c r="S119" s="72">
        <v>140246694532.81</v>
      </c>
      <c r="T119" s="72">
        <v>960609851102.43005</v>
      </c>
      <c r="V119" s="1">
        <v>41361</v>
      </c>
      <c r="W119" s="37">
        <v>0.77419688278908605</v>
      </c>
      <c r="X119" s="72">
        <v>743701152299.98999</v>
      </c>
      <c r="Y119" s="72">
        <v>960609851102.43005</v>
      </c>
      <c r="AA119" s="1">
        <v>41361</v>
      </c>
      <c r="AB119">
        <v>0.71205681454377001</v>
      </c>
    </row>
    <row r="120" spans="1:28">
      <c r="A120" s="60">
        <v>41375</v>
      </c>
      <c r="B120" s="87">
        <v>0.83647062776494652</v>
      </c>
      <c r="C120" s="80">
        <v>0.63701726572087702</v>
      </c>
      <c r="D120" s="80">
        <v>0.66095197338656198</v>
      </c>
      <c r="E120" s="77">
        <f t="shared" si="4"/>
        <v>0.73723469697601096</v>
      </c>
      <c r="F120" s="79">
        <f t="shared" si="5"/>
        <v>7.6282723589448986E-2</v>
      </c>
      <c r="G120" s="79">
        <f t="shared" si="6"/>
        <v>2.3934707665684951E-2</v>
      </c>
      <c r="H120" s="79">
        <f t="shared" si="7"/>
        <v>0.10021743125513394</v>
      </c>
      <c r="M120" s="1">
        <v>36708</v>
      </c>
      <c r="N120" s="72">
        <v>7612941653</v>
      </c>
      <c r="P120" s="1">
        <v>41368</v>
      </c>
      <c r="Q120" s="37">
        <v>0.99994198270166401</v>
      </c>
      <c r="R120" s="72">
        <v>134512533804.25</v>
      </c>
      <c r="S120" s="72">
        <v>134520338310.85001</v>
      </c>
      <c r="T120" s="72">
        <v>959152112549.53003</v>
      </c>
      <c r="V120" s="1">
        <v>41368</v>
      </c>
      <c r="W120" s="37">
        <v>0.77632411843120297</v>
      </c>
      <c r="X120" s="72">
        <v>744612918216.43994</v>
      </c>
      <c r="Y120" s="72">
        <v>959152112549.53003</v>
      </c>
      <c r="AA120" s="1">
        <v>41368</v>
      </c>
      <c r="AB120">
        <v>0.71369665277113203</v>
      </c>
    </row>
    <row r="121" spans="1:28">
      <c r="A121" s="60">
        <v>41382</v>
      </c>
      <c r="B121" s="87">
        <v>0.84326459833377376</v>
      </c>
      <c r="C121" s="80">
        <v>0.66472248963496305</v>
      </c>
      <c r="D121" s="80">
        <v>0.68860823620008205</v>
      </c>
      <c r="E121" s="77">
        <f t="shared" si="4"/>
        <v>0.761146337708836</v>
      </c>
      <c r="F121" s="79">
        <f t="shared" si="5"/>
        <v>7.2538101508753949E-2</v>
      </c>
      <c r="G121" s="79">
        <f t="shared" si="6"/>
        <v>2.3885746565118993E-2</v>
      </c>
      <c r="H121" s="79">
        <f t="shared" si="7"/>
        <v>9.6423848073872942E-2</v>
      </c>
      <c r="M121" s="1">
        <v>36739</v>
      </c>
      <c r="N121" s="72">
        <v>11673426498</v>
      </c>
      <c r="P121" s="1">
        <v>41375</v>
      </c>
      <c r="Q121" s="37">
        <v>1</v>
      </c>
      <c r="R121" s="72">
        <v>134520338310.85001</v>
      </c>
      <c r="S121" s="72">
        <v>134520338310.85001</v>
      </c>
      <c r="T121" s="72">
        <v>959152112549.53003</v>
      </c>
      <c r="V121" s="1">
        <v>41375</v>
      </c>
      <c r="W121" s="37">
        <v>0.83647062776494596</v>
      </c>
      <c r="X121" s="72">
        <v>802302569706.38</v>
      </c>
      <c r="Y121" s="72">
        <v>959152112549.53003</v>
      </c>
      <c r="AA121" s="1">
        <v>41375</v>
      </c>
      <c r="AB121">
        <v>0.73723469697601096</v>
      </c>
    </row>
    <row r="122" spans="1:28">
      <c r="A122" s="60">
        <v>41389</v>
      </c>
      <c r="B122" s="87">
        <v>0.84251881732270073</v>
      </c>
      <c r="C122" s="80">
        <v>0.691617287637183</v>
      </c>
      <c r="D122" s="80">
        <v>0.716254173818763</v>
      </c>
      <c r="E122" s="77">
        <f t="shared" si="4"/>
        <v>0.759997535931347</v>
      </c>
      <c r="F122" s="79">
        <f t="shared" si="5"/>
        <v>4.3743362112584006E-2</v>
      </c>
      <c r="G122" s="79">
        <f t="shared" si="6"/>
        <v>2.4636886181579998E-2</v>
      </c>
      <c r="H122" s="79">
        <f t="shared" si="7"/>
        <v>6.8380248294164003E-2</v>
      </c>
      <c r="M122" s="1">
        <v>36770</v>
      </c>
      <c r="N122" s="72">
        <v>14873097728</v>
      </c>
      <c r="P122" s="1">
        <v>41382</v>
      </c>
      <c r="Q122" s="37">
        <v>1</v>
      </c>
      <c r="R122" s="72">
        <v>134520338310.85001</v>
      </c>
      <c r="S122" s="72">
        <v>134520338310.85001</v>
      </c>
      <c r="T122" s="72">
        <v>959152112549.53003</v>
      </c>
      <c r="V122" s="1">
        <v>41382</v>
      </c>
      <c r="W122" s="37">
        <v>0.84326459833377299</v>
      </c>
      <c r="X122" s="72">
        <v>808819020930.06995</v>
      </c>
      <c r="Y122" s="72">
        <v>959152112549.53003</v>
      </c>
      <c r="AA122" s="1">
        <v>41382</v>
      </c>
      <c r="AB122">
        <v>0.761146337708836</v>
      </c>
    </row>
    <row r="123" spans="1:28">
      <c r="A123" s="60">
        <v>41396</v>
      </c>
      <c r="B123" s="87">
        <v>0.83592695906500303</v>
      </c>
      <c r="C123" s="80">
        <v>0.68894417616710202</v>
      </c>
      <c r="D123" s="80">
        <v>0.71489894663224296</v>
      </c>
      <c r="E123" s="77">
        <f t="shared" si="4"/>
        <v>0.77532655878385304</v>
      </c>
      <c r="F123" s="79">
        <f t="shared" si="5"/>
        <v>6.0427612151610077E-2</v>
      </c>
      <c r="G123" s="79">
        <f t="shared" si="6"/>
        <v>2.5954770465140942E-2</v>
      </c>
      <c r="H123" s="79">
        <f t="shared" si="7"/>
        <v>8.6382382616751019E-2</v>
      </c>
      <c r="M123" s="1">
        <v>36800</v>
      </c>
      <c r="N123" s="72">
        <v>12249555474</v>
      </c>
      <c r="P123" s="1">
        <v>41389</v>
      </c>
      <c r="Q123" s="37">
        <v>1</v>
      </c>
      <c r="R123" s="72">
        <v>134520338310.85001</v>
      </c>
      <c r="S123" s="72">
        <v>134520338310.85001</v>
      </c>
      <c r="T123" s="72">
        <v>959152112549.53003</v>
      </c>
      <c r="V123" s="1">
        <v>41389</v>
      </c>
      <c r="W123" s="37">
        <v>0.84251881732269995</v>
      </c>
      <c r="X123" s="72">
        <v>808103703497.80005</v>
      </c>
      <c r="Y123" s="72">
        <v>959152112549.53003</v>
      </c>
      <c r="AA123" s="1">
        <v>41389</v>
      </c>
      <c r="AB123">
        <v>0.759997535931347</v>
      </c>
    </row>
    <row r="124" spans="1:28">
      <c r="A124" s="60">
        <v>41403</v>
      </c>
      <c r="B124" s="87">
        <v>0.82847793276947834</v>
      </c>
      <c r="C124" s="80">
        <v>0.70646423511043499</v>
      </c>
      <c r="D124" s="80">
        <v>0.73385185995662305</v>
      </c>
      <c r="E124" s="77">
        <f t="shared" si="4"/>
        <v>0.75107697516027305</v>
      </c>
      <c r="F124" s="79">
        <f t="shared" si="5"/>
        <v>1.7225115203649999E-2</v>
      </c>
      <c r="G124" s="79">
        <f t="shared" si="6"/>
        <v>2.7387624846188063E-2</v>
      </c>
      <c r="H124" s="79">
        <f t="shared" si="7"/>
        <v>4.4612740049838062E-2</v>
      </c>
      <c r="M124" s="1">
        <v>36831</v>
      </c>
      <c r="N124" s="72">
        <v>9788660614</v>
      </c>
      <c r="P124" s="1">
        <v>41396</v>
      </c>
      <c r="Q124" s="37">
        <v>1</v>
      </c>
      <c r="R124" s="72">
        <v>128964818064.75</v>
      </c>
      <c r="S124" s="72">
        <v>128964818064.75</v>
      </c>
      <c r="T124" s="72">
        <v>953572791294.55005</v>
      </c>
      <c r="V124" s="1">
        <v>41396</v>
      </c>
      <c r="W124" s="37">
        <v>0.83592695906500303</v>
      </c>
      <c r="X124" s="72">
        <v>797117203673.97998</v>
      </c>
      <c r="Y124" s="72">
        <v>953572791294.55005</v>
      </c>
      <c r="AA124" s="1">
        <v>41396</v>
      </c>
      <c r="AB124">
        <v>0.77532655878385304</v>
      </c>
    </row>
    <row r="125" spans="1:28">
      <c r="A125" s="60">
        <v>41410</v>
      </c>
      <c r="B125" s="87">
        <v>0.80144782202367137</v>
      </c>
      <c r="C125" s="80">
        <v>0.67710126151444505</v>
      </c>
      <c r="D125" s="80">
        <v>0.70449810822234304</v>
      </c>
      <c r="E125" s="77">
        <f t="shared" si="4"/>
        <v>0.72171464607282199</v>
      </c>
      <c r="F125" s="79">
        <f t="shared" si="5"/>
        <v>1.7216537850478941E-2</v>
      </c>
      <c r="G125" s="79">
        <f t="shared" si="6"/>
        <v>2.7396846707897993E-2</v>
      </c>
      <c r="H125" s="79">
        <f t="shared" si="7"/>
        <v>4.4613384558376934E-2</v>
      </c>
      <c r="M125" s="1">
        <v>36861</v>
      </c>
      <c r="N125" s="72">
        <v>13882074329</v>
      </c>
      <c r="P125" s="1">
        <v>41403</v>
      </c>
      <c r="Q125" s="37">
        <v>1</v>
      </c>
      <c r="R125" s="72">
        <v>128964818064.75</v>
      </c>
      <c r="S125" s="72">
        <v>128964818064.75</v>
      </c>
      <c r="T125" s="72">
        <v>953572791294.55005</v>
      </c>
      <c r="V125" s="1">
        <v>41403</v>
      </c>
      <c r="W125" s="37">
        <v>0.82847793276947801</v>
      </c>
      <c r="X125" s="72">
        <v>790014014876.93005</v>
      </c>
      <c r="Y125" s="72">
        <v>953572791294.55005</v>
      </c>
      <c r="AA125" s="1">
        <v>41403</v>
      </c>
      <c r="AB125">
        <v>0.75107697516027305</v>
      </c>
    </row>
    <row r="126" spans="1:28">
      <c r="A126" s="60">
        <v>41417</v>
      </c>
      <c r="B126" s="87">
        <v>0.73856242915400727</v>
      </c>
      <c r="C126" s="80">
        <v>0.64608424059300296</v>
      </c>
      <c r="D126" s="80">
        <v>0.670440489942566</v>
      </c>
      <c r="E126" s="77">
        <f t="shared" si="4"/>
        <v>0.68546913751640703</v>
      </c>
      <c r="F126" s="79">
        <f t="shared" si="5"/>
        <v>1.5028647573841036E-2</v>
      </c>
      <c r="G126" s="79">
        <f t="shared" si="6"/>
        <v>2.4356249349563042E-2</v>
      </c>
      <c r="H126" s="79">
        <f t="shared" si="7"/>
        <v>3.9384896923404078E-2</v>
      </c>
      <c r="M126" s="1">
        <v>36892</v>
      </c>
      <c r="N126" s="72">
        <v>11627385040</v>
      </c>
      <c r="P126" s="1">
        <v>41410</v>
      </c>
      <c r="Q126" s="37">
        <v>0.999940823648925</v>
      </c>
      <c r="R126" s="72">
        <v>128957186397.39999</v>
      </c>
      <c r="S126" s="72">
        <v>128964818064.75</v>
      </c>
      <c r="T126" s="72">
        <v>953572791294.55005</v>
      </c>
      <c r="V126" s="1">
        <v>41410</v>
      </c>
      <c r="W126" s="37">
        <v>0.80144782202367104</v>
      </c>
      <c r="X126" s="72">
        <v>764238836724.05005</v>
      </c>
      <c r="Y126" s="72">
        <v>953572791294.55005</v>
      </c>
      <c r="AA126" s="1">
        <v>41410</v>
      </c>
      <c r="AB126">
        <v>0.72171464607282199</v>
      </c>
    </row>
    <row r="127" spans="1:28">
      <c r="A127" s="60">
        <v>41424</v>
      </c>
      <c r="B127" s="87">
        <v>0.67369650735217201</v>
      </c>
      <c r="C127" s="80">
        <v>0.60492342195832605</v>
      </c>
      <c r="D127" s="80">
        <v>0.62967212939531803</v>
      </c>
      <c r="E127" s="77">
        <f t="shared" si="4"/>
        <v>0.61572233359239503</v>
      </c>
      <c r="F127" s="79">
        <f t="shared" si="5"/>
        <v>-1.3949795802922993E-2</v>
      </c>
      <c r="G127" s="79">
        <f t="shared" si="6"/>
        <v>2.4748707436991979E-2</v>
      </c>
      <c r="H127" s="79">
        <f t="shared" si="7"/>
        <v>1.0798911634068986E-2</v>
      </c>
      <c r="M127" s="1">
        <v>36923</v>
      </c>
      <c r="N127" s="72">
        <v>12089089716</v>
      </c>
      <c r="P127" s="1">
        <v>41417</v>
      </c>
      <c r="Q127" s="37">
        <v>0.999940823648925</v>
      </c>
      <c r="R127" s="72">
        <v>128957186397.39999</v>
      </c>
      <c r="S127" s="72">
        <v>128964818064.75</v>
      </c>
      <c r="T127" s="72">
        <v>953572791294.55005</v>
      </c>
      <c r="V127" s="1">
        <v>41417</v>
      </c>
      <c r="W127" s="37">
        <v>0.73856242915400705</v>
      </c>
      <c r="X127" s="72">
        <v>704273037113.67004</v>
      </c>
      <c r="Y127" s="72">
        <v>953572791294.55005</v>
      </c>
      <c r="AA127" s="1">
        <v>41417</v>
      </c>
      <c r="AB127">
        <v>0.68546913751640703</v>
      </c>
    </row>
    <row r="128" spans="1:28">
      <c r="A128" s="60">
        <v>41431</v>
      </c>
      <c r="B128" s="87">
        <v>0.64286297380273072</v>
      </c>
      <c r="C128" s="80">
        <v>0.52986130193183101</v>
      </c>
      <c r="D128" s="80">
        <v>0.55358328589825201</v>
      </c>
      <c r="E128" s="77">
        <f t="shared" si="4"/>
        <v>0.57885781279247595</v>
      </c>
      <c r="F128" s="79">
        <f t="shared" si="5"/>
        <v>2.5274526894223937E-2</v>
      </c>
      <c r="G128" s="79">
        <f t="shared" si="6"/>
        <v>2.3721983966421001E-2</v>
      </c>
      <c r="H128" s="79">
        <f t="shared" si="7"/>
        <v>4.8996510860644937E-2</v>
      </c>
      <c r="M128" s="1">
        <v>36951</v>
      </c>
      <c r="N128" s="72">
        <v>15195386996</v>
      </c>
      <c r="P128" s="1">
        <v>41424</v>
      </c>
      <c r="Q128" s="37">
        <v>0.99993777284114804</v>
      </c>
      <c r="R128" s="72">
        <v>128956792950.53</v>
      </c>
      <c r="S128" s="72">
        <v>128964818064.75</v>
      </c>
      <c r="T128" s="72">
        <v>953572791294.55005</v>
      </c>
      <c r="V128" s="1">
        <v>41424</v>
      </c>
      <c r="W128" s="37">
        <v>0.67369650735217201</v>
      </c>
      <c r="X128" s="72">
        <v>642418659001.19995</v>
      </c>
      <c r="Y128" s="72">
        <v>953572791294.55005</v>
      </c>
      <c r="AA128" s="1">
        <v>41424</v>
      </c>
      <c r="AB128">
        <v>0.61572233359239503</v>
      </c>
    </row>
    <row r="129" spans="1:28">
      <c r="A129" s="60">
        <v>41438</v>
      </c>
      <c r="B129" s="87">
        <v>0.61407900191108244</v>
      </c>
      <c r="C129" s="80">
        <v>0.48936320762315699</v>
      </c>
      <c r="D129" s="80">
        <v>0.513378243304075</v>
      </c>
      <c r="E129" s="77">
        <f t="shared" si="4"/>
        <v>0.55866046035037298</v>
      </c>
      <c r="F129" s="79">
        <f t="shared" si="5"/>
        <v>4.5282217046297979E-2</v>
      </c>
      <c r="G129" s="79">
        <f t="shared" si="6"/>
        <v>2.4015035680918007E-2</v>
      </c>
      <c r="H129" s="79">
        <f t="shared" si="7"/>
        <v>6.9297252727215986E-2</v>
      </c>
      <c r="M129" s="1">
        <v>36982</v>
      </c>
      <c r="N129" s="72">
        <v>21359906136</v>
      </c>
      <c r="P129" s="1">
        <v>41431</v>
      </c>
      <c r="Q129" s="37">
        <v>0.99993537487679696</v>
      </c>
      <c r="R129" s="72">
        <v>123738893891.34</v>
      </c>
      <c r="S129" s="72">
        <v>123746891049.42</v>
      </c>
      <c r="T129" s="72">
        <v>953176567997.22998</v>
      </c>
      <c r="V129" s="1">
        <v>41431</v>
      </c>
      <c r="W129" s="37">
        <v>0.64286297380273005</v>
      </c>
      <c r="X129" s="72">
        <v>612761923061.78003</v>
      </c>
      <c r="Y129" s="72">
        <v>953176567997.22998</v>
      </c>
      <c r="AA129" s="1">
        <v>41431</v>
      </c>
      <c r="AB129">
        <v>0.57885781279247595</v>
      </c>
    </row>
    <row r="130" spans="1:28">
      <c r="A130" s="60">
        <v>41445</v>
      </c>
      <c r="B130" s="87">
        <v>0.62890082024771521</v>
      </c>
      <c r="C130" s="80">
        <v>0.46803712037587902</v>
      </c>
      <c r="D130" s="80">
        <v>0.49262377778590499</v>
      </c>
      <c r="E130" s="77">
        <f t="shared" si="4"/>
        <v>0.559435024866201</v>
      </c>
      <c r="F130" s="79">
        <f t="shared" si="5"/>
        <v>6.681124708029601E-2</v>
      </c>
      <c r="G130" s="79">
        <f t="shared" si="6"/>
        <v>2.4586657410025969E-2</v>
      </c>
      <c r="H130" s="79">
        <f t="shared" si="7"/>
        <v>9.1397904490321979E-2</v>
      </c>
      <c r="M130" s="1">
        <v>37012</v>
      </c>
      <c r="N130" s="72">
        <v>24270725093</v>
      </c>
      <c r="P130" s="1">
        <v>41438</v>
      </c>
      <c r="Q130" s="37">
        <v>0.99993537487679696</v>
      </c>
      <c r="R130" s="72">
        <v>123738893891.34</v>
      </c>
      <c r="S130" s="72">
        <v>123746891049.42</v>
      </c>
      <c r="T130" s="72">
        <v>953176567997.22998</v>
      </c>
      <c r="V130" s="1">
        <v>41438</v>
      </c>
      <c r="W130" s="37">
        <v>0.614079001911082</v>
      </c>
      <c r="X130" s="72">
        <v>585325715520.77002</v>
      </c>
      <c r="Y130" s="72">
        <v>953176567997.22998</v>
      </c>
      <c r="AA130" s="1">
        <v>41438</v>
      </c>
      <c r="AB130">
        <v>0.55866046035037298</v>
      </c>
    </row>
    <row r="131" spans="1:28">
      <c r="A131" s="60">
        <v>41452</v>
      </c>
      <c r="B131" s="87">
        <v>0.42759723325368659</v>
      </c>
      <c r="C131" s="80">
        <v>0.46841833416873302</v>
      </c>
      <c r="D131" s="80">
        <v>0.493438474284569</v>
      </c>
      <c r="E131" s="77">
        <f t="shared" si="4"/>
        <v>0.35070641785982798</v>
      </c>
      <c r="F131" s="79">
        <f t="shared" si="5"/>
        <v>-0.14273205642474102</v>
      </c>
      <c r="G131" s="79">
        <f t="shared" si="6"/>
        <v>2.5020140115835976E-2</v>
      </c>
      <c r="H131" s="79">
        <f t="shared" si="7"/>
        <v>-0.11771191630890504</v>
      </c>
      <c r="M131" s="1">
        <v>37043</v>
      </c>
      <c r="N131" s="72">
        <v>25171204090</v>
      </c>
      <c r="P131" s="1">
        <v>41445</v>
      </c>
      <c r="Q131" s="37">
        <v>0.99993537487679696</v>
      </c>
      <c r="R131" s="72">
        <v>123738893891.34</v>
      </c>
      <c r="S131" s="72">
        <v>123746891049.42</v>
      </c>
      <c r="T131" s="72">
        <v>953176567997.22998</v>
      </c>
      <c r="V131" s="1">
        <v>41445</v>
      </c>
      <c r="W131" s="37">
        <v>0.62890082024771499</v>
      </c>
      <c r="X131" s="72">
        <v>599453525454.35999</v>
      </c>
      <c r="Y131" s="72">
        <v>953176567997.22998</v>
      </c>
      <c r="AA131" s="1">
        <v>41445</v>
      </c>
      <c r="AB131">
        <v>0.559435024866201</v>
      </c>
    </row>
    <row r="132" spans="1:28">
      <c r="A132" s="60">
        <v>41458</v>
      </c>
      <c r="B132" s="87">
        <v>0.49671929032153261</v>
      </c>
      <c r="C132" s="80">
        <v>0.25930726321944902</v>
      </c>
      <c r="D132" s="80">
        <v>0.283795068214441</v>
      </c>
      <c r="E132" s="77">
        <f t="shared" ref="E132:E195" si="8">VLOOKUP(A132,AA132:AB359,2,0)</f>
        <v>0.43948269576427901</v>
      </c>
      <c r="F132" s="79">
        <f t="shared" ref="F132:F195" si="9">E132-D132</f>
        <v>0.155687627549838</v>
      </c>
      <c r="G132" s="79">
        <f t="shared" ref="G132:G195" si="10">H132-F132</f>
        <v>2.448780499499198E-2</v>
      </c>
      <c r="H132" s="79">
        <f t="shared" ref="H132:H195" si="11">E132-C132</f>
        <v>0.18017543254482998</v>
      </c>
      <c r="M132" s="1">
        <v>37073</v>
      </c>
      <c r="N132" s="72">
        <v>26422205083</v>
      </c>
      <c r="P132" s="1">
        <v>41452</v>
      </c>
      <c r="Q132" s="37">
        <v>0.99473254914356002</v>
      </c>
      <c r="R132" s="72">
        <v>123095060382.17999</v>
      </c>
      <c r="S132" s="72">
        <v>123746891049.42</v>
      </c>
      <c r="T132" s="72">
        <v>953176567997.22998</v>
      </c>
      <c r="V132" s="1">
        <v>41452</v>
      </c>
      <c r="W132" s="37">
        <v>0.42759723325368598</v>
      </c>
      <c r="X132" s="72">
        <v>407575663277.85999</v>
      </c>
      <c r="Y132" s="72">
        <v>953176567997.22998</v>
      </c>
      <c r="AA132" s="1">
        <v>41452</v>
      </c>
      <c r="AB132">
        <v>0.35070641785982798</v>
      </c>
    </row>
    <row r="133" spans="1:28">
      <c r="A133" s="60">
        <v>41466</v>
      </c>
      <c r="B133" s="87">
        <v>0.37039238508200317</v>
      </c>
      <c r="C133" s="80">
        <v>0.34399747197441399</v>
      </c>
      <c r="D133" s="80">
        <v>0.36923191611788803</v>
      </c>
      <c r="E133" s="77">
        <f t="shared" si="8"/>
        <v>0.32026855865014903</v>
      </c>
      <c r="F133" s="79">
        <f t="shared" si="9"/>
        <v>-4.8963357467738999E-2</v>
      </c>
      <c r="G133" s="79">
        <f t="shared" si="10"/>
        <v>2.5234444143474033E-2</v>
      </c>
      <c r="H133" s="79">
        <f t="shared" si="11"/>
        <v>-2.3728913324264966E-2</v>
      </c>
      <c r="M133" s="1">
        <v>37104</v>
      </c>
      <c r="N133" s="72">
        <v>22392651759</v>
      </c>
      <c r="P133" s="1">
        <v>41458</v>
      </c>
      <c r="Q133" s="37">
        <v>0.99918233081049201</v>
      </c>
      <c r="R133" s="72">
        <v>118973790674.94</v>
      </c>
      <c r="S133" s="72">
        <v>119071151486.87</v>
      </c>
      <c r="T133" s="72">
        <v>951283689611.01001</v>
      </c>
      <c r="V133" s="1">
        <v>41458</v>
      </c>
      <c r="W133" s="37">
        <v>0.496719290321532</v>
      </c>
      <c r="X133" s="72">
        <v>472520959198.03003</v>
      </c>
      <c r="Y133" s="72">
        <v>951283689611.01001</v>
      </c>
      <c r="AA133" s="1">
        <v>41458</v>
      </c>
      <c r="AB133">
        <v>0.43948269576427901</v>
      </c>
    </row>
    <row r="134" spans="1:28">
      <c r="A134" s="60">
        <v>41473</v>
      </c>
      <c r="B134" s="87">
        <v>0.48324024921027042</v>
      </c>
      <c r="C134" s="80">
        <v>0.23052122039717299</v>
      </c>
      <c r="D134" s="80">
        <v>0.253957802145788</v>
      </c>
      <c r="E134" s="77">
        <f t="shared" si="8"/>
        <v>0.40751972704091199</v>
      </c>
      <c r="F134" s="79">
        <f t="shared" si="9"/>
        <v>0.15356192489512399</v>
      </c>
      <c r="G134" s="79">
        <f t="shared" si="10"/>
        <v>2.3436581748615015E-2</v>
      </c>
      <c r="H134" s="79">
        <f t="shared" si="11"/>
        <v>0.17699850664373901</v>
      </c>
      <c r="M134" s="1">
        <v>37135</v>
      </c>
      <c r="N134" s="72">
        <v>22900777415</v>
      </c>
      <c r="P134" s="1">
        <v>41466</v>
      </c>
      <c r="Q134" s="37">
        <v>0.99405480938220303</v>
      </c>
      <c r="R134" s="72">
        <v>118363250794.2</v>
      </c>
      <c r="S134" s="72">
        <v>119071151486.87</v>
      </c>
      <c r="T134" s="72">
        <v>951283689611.01001</v>
      </c>
      <c r="V134" s="1">
        <v>41466</v>
      </c>
      <c r="W134" s="37">
        <v>0.37039238508200301</v>
      </c>
      <c r="X134" s="72">
        <v>352348234684.63</v>
      </c>
      <c r="Y134" s="72">
        <v>951283689611.01001</v>
      </c>
      <c r="AA134" s="1">
        <v>41466</v>
      </c>
      <c r="AB134">
        <v>0.32026855865014903</v>
      </c>
    </row>
    <row r="135" spans="1:28">
      <c r="A135" s="60">
        <v>41480</v>
      </c>
      <c r="B135" s="87">
        <v>0.48940474844938586</v>
      </c>
      <c r="C135" s="80">
        <v>0.313528938106932</v>
      </c>
      <c r="D135" s="80">
        <v>0.338227154884298</v>
      </c>
      <c r="E135" s="77">
        <f t="shared" si="8"/>
        <v>0.40927245307931498</v>
      </c>
      <c r="F135" s="79">
        <f t="shared" si="9"/>
        <v>7.1045298195016982E-2</v>
      </c>
      <c r="G135" s="79">
        <f t="shared" si="10"/>
        <v>2.4698216777366E-2</v>
      </c>
      <c r="H135" s="79">
        <f t="shared" si="11"/>
        <v>9.5743514972382981E-2</v>
      </c>
      <c r="M135" s="1">
        <v>37165</v>
      </c>
      <c r="N135" s="72">
        <v>19607631456</v>
      </c>
      <c r="P135" s="1">
        <v>41473</v>
      </c>
      <c r="Q135" s="37">
        <v>0.99815768933154003</v>
      </c>
      <c r="R135" s="72">
        <v>118851785434.17999</v>
      </c>
      <c r="S135" s="72">
        <v>119071151486.87</v>
      </c>
      <c r="T135" s="72">
        <v>951283689611.01001</v>
      </c>
      <c r="V135" s="1">
        <v>41473</v>
      </c>
      <c r="W135" s="37">
        <v>0.48324024921026998</v>
      </c>
      <c r="X135" s="72">
        <v>459698567237.28998</v>
      </c>
      <c r="Y135" s="72">
        <v>951283689611.01001</v>
      </c>
      <c r="AA135" s="1">
        <v>41473</v>
      </c>
      <c r="AB135">
        <v>0.40751972704091199</v>
      </c>
    </row>
    <row r="136" spans="1:28">
      <c r="A136" s="60">
        <v>41487</v>
      </c>
      <c r="B136" s="87">
        <v>0.46118442865629727</v>
      </c>
      <c r="C136" s="80">
        <v>0.31410556361706699</v>
      </c>
      <c r="D136" s="80">
        <v>0.34002935370481002</v>
      </c>
      <c r="E136" s="77">
        <f t="shared" si="8"/>
        <v>0.363862618143523</v>
      </c>
      <c r="F136" s="79">
        <f t="shared" si="9"/>
        <v>2.3833264438712976E-2</v>
      </c>
      <c r="G136" s="79">
        <f t="shared" si="10"/>
        <v>2.5923790087743037E-2</v>
      </c>
      <c r="H136" s="79">
        <f t="shared" si="11"/>
        <v>4.9757054526456013E-2</v>
      </c>
      <c r="M136" s="1">
        <v>37196</v>
      </c>
      <c r="N136" s="72">
        <v>23355056690</v>
      </c>
      <c r="P136" s="1">
        <v>41480</v>
      </c>
      <c r="Q136" s="37">
        <v>0.99817165079524695</v>
      </c>
      <c r="R136" s="72">
        <v>118853447841.74001</v>
      </c>
      <c r="S136" s="72">
        <v>119071151486.87</v>
      </c>
      <c r="T136" s="72">
        <v>951283689611.01001</v>
      </c>
      <c r="V136" s="1">
        <v>41480</v>
      </c>
      <c r="W136" s="37">
        <v>0.48940474844938497</v>
      </c>
      <c r="X136" s="72">
        <v>465562754818.08002</v>
      </c>
      <c r="Y136" s="72">
        <v>951283689611.01001</v>
      </c>
      <c r="AA136" s="1">
        <v>41480</v>
      </c>
      <c r="AB136">
        <v>0.40927245307931498</v>
      </c>
    </row>
    <row r="137" spans="1:28">
      <c r="A137" s="60">
        <v>41494</v>
      </c>
      <c r="B137" s="87">
        <v>0.45809430423750058</v>
      </c>
      <c r="C137" s="80">
        <v>0.26871710621385497</v>
      </c>
      <c r="D137" s="80">
        <v>0.29429658935164799</v>
      </c>
      <c r="E137" s="77">
        <f t="shared" si="8"/>
        <v>0.36320600400751901</v>
      </c>
      <c r="F137" s="79">
        <f t="shared" si="9"/>
        <v>6.8909414655871026E-2</v>
      </c>
      <c r="G137" s="79">
        <f t="shared" si="10"/>
        <v>2.5579483137793013E-2</v>
      </c>
      <c r="H137" s="79">
        <f t="shared" si="11"/>
        <v>9.448889779366404E-2</v>
      </c>
      <c r="M137" s="1">
        <v>37226</v>
      </c>
      <c r="N137" s="72">
        <v>27748636979</v>
      </c>
      <c r="P137" s="1">
        <v>41487</v>
      </c>
      <c r="Q137" s="37">
        <v>0.99764187443150598</v>
      </c>
      <c r="R137" s="72">
        <v>114162306244.66</v>
      </c>
      <c r="S137" s="72">
        <v>114432151627.27</v>
      </c>
      <c r="T137" s="72">
        <v>950888794556.75</v>
      </c>
      <c r="V137" s="1">
        <v>41487</v>
      </c>
      <c r="W137" s="37">
        <v>0.461184428656297</v>
      </c>
      <c r="X137" s="72">
        <v>438535105433.33002</v>
      </c>
      <c r="Y137" s="72">
        <v>950888794556.75</v>
      </c>
      <c r="AA137" s="1">
        <v>41487</v>
      </c>
      <c r="AB137">
        <v>0.363862618143523</v>
      </c>
    </row>
    <row r="138" spans="1:28">
      <c r="A138" s="60">
        <v>41501</v>
      </c>
      <c r="B138" s="87">
        <v>0.45809430423750058</v>
      </c>
      <c r="C138" s="80">
        <v>0.26842687745364402</v>
      </c>
      <c r="D138" s="80">
        <v>0.29368072164202702</v>
      </c>
      <c r="E138" s="77">
        <f t="shared" si="8"/>
        <v>0.36320600400751901</v>
      </c>
      <c r="F138" s="79">
        <f t="shared" si="9"/>
        <v>6.9525282365491992E-2</v>
      </c>
      <c r="G138" s="79">
        <f t="shared" si="10"/>
        <v>2.5253844188383001E-2</v>
      </c>
      <c r="H138" s="79">
        <f t="shared" si="11"/>
        <v>9.4779126553874993E-2</v>
      </c>
      <c r="M138" s="1">
        <v>37257</v>
      </c>
      <c r="N138" s="72">
        <v>26812919240</v>
      </c>
      <c r="P138" s="1">
        <v>41494</v>
      </c>
      <c r="Q138" s="37">
        <v>0.99743358858560505</v>
      </c>
      <c r="R138" s="72">
        <v>114138471647.16</v>
      </c>
      <c r="S138" s="72">
        <v>114432151627.27</v>
      </c>
      <c r="T138" s="72">
        <v>950888794556.75</v>
      </c>
      <c r="V138" s="1">
        <v>41494</v>
      </c>
      <c r="W138" s="37">
        <v>0.45809430423750003</v>
      </c>
      <c r="X138" s="72">
        <v>435596740749.71002</v>
      </c>
      <c r="Y138" s="72">
        <v>950888794556.75</v>
      </c>
      <c r="AA138" s="1">
        <v>41494</v>
      </c>
      <c r="AB138">
        <v>0.36320600400751901</v>
      </c>
    </row>
    <row r="139" spans="1:28">
      <c r="A139" s="60">
        <v>41508</v>
      </c>
      <c r="B139" s="87">
        <v>0.32155455767019431</v>
      </c>
      <c r="C139" s="80">
        <v>0.26842687745364402</v>
      </c>
      <c r="D139" s="80">
        <v>0.29368072164202702</v>
      </c>
      <c r="E139" s="77">
        <f t="shared" si="8"/>
        <v>0.288709470660512</v>
      </c>
      <c r="F139" s="79">
        <f t="shared" si="9"/>
        <v>-4.9712509815150185E-3</v>
      </c>
      <c r="G139" s="79">
        <f t="shared" si="10"/>
        <v>2.5253844188383001E-2</v>
      </c>
      <c r="H139" s="79">
        <f t="shared" si="11"/>
        <v>2.0282593206867983E-2</v>
      </c>
      <c r="M139" s="1">
        <v>37288</v>
      </c>
      <c r="N139" s="72">
        <v>25644476484</v>
      </c>
      <c r="P139" s="1">
        <v>41501</v>
      </c>
      <c r="Q139" s="37">
        <v>0.99743358858560505</v>
      </c>
      <c r="R139" s="72">
        <v>114138471647.16</v>
      </c>
      <c r="S139" s="72">
        <v>114432151627.27</v>
      </c>
      <c r="T139" s="72">
        <v>950888794556.75</v>
      </c>
      <c r="V139" s="1">
        <v>41501</v>
      </c>
      <c r="W139" s="37">
        <v>0.45809430423750003</v>
      </c>
      <c r="X139" s="72">
        <v>435596740749.71002</v>
      </c>
      <c r="Y139" s="72">
        <v>950888794556.75</v>
      </c>
      <c r="AA139" s="1">
        <v>41501</v>
      </c>
      <c r="AB139">
        <v>0.36320600400751901</v>
      </c>
    </row>
    <row r="140" spans="1:28">
      <c r="A140" s="60">
        <v>41515</v>
      </c>
      <c r="B140" s="87">
        <v>0.36837711159380437</v>
      </c>
      <c r="C140" s="80">
        <v>0.20545197668606799</v>
      </c>
      <c r="D140" s="80">
        <v>0.22780665760041099</v>
      </c>
      <c r="E140" s="77">
        <f t="shared" si="8"/>
        <v>0.32763348986039498</v>
      </c>
      <c r="F140" s="79">
        <f t="shared" si="9"/>
        <v>9.9826832259983983E-2</v>
      </c>
      <c r="G140" s="79">
        <f t="shared" si="10"/>
        <v>2.2354680914343006E-2</v>
      </c>
      <c r="H140" s="79">
        <f t="shared" si="11"/>
        <v>0.12218151317432699</v>
      </c>
      <c r="M140" s="1">
        <v>37316</v>
      </c>
      <c r="N140" s="72">
        <v>21203668761</v>
      </c>
      <c r="P140" s="1">
        <v>41508</v>
      </c>
      <c r="Q140" s="37">
        <v>0.982216458767738</v>
      </c>
      <c r="R140" s="72">
        <v>112397142740.50999</v>
      </c>
      <c r="S140" s="72">
        <v>114432151627.27</v>
      </c>
      <c r="T140" s="72">
        <v>950888794556.75</v>
      </c>
      <c r="V140" s="1">
        <v>41508</v>
      </c>
      <c r="W140" s="37">
        <v>0.32155455767019397</v>
      </c>
      <c r="X140" s="72">
        <v>305762625727.23999</v>
      </c>
      <c r="Y140" s="72">
        <v>950888794556.75</v>
      </c>
      <c r="AA140" s="1">
        <v>41508</v>
      </c>
      <c r="AB140">
        <v>0.288709470660512</v>
      </c>
    </row>
    <row r="141" spans="1:28">
      <c r="A141" s="60">
        <v>41522</v>
      </c>
      <c r="B141" s="87">
        <v>0.32270862091389874</v>
      </c>
      <c r="C141" s="80">
        <v>0.23763744646630799</v>
      </c>
      <c r="D141" s="80">
        <v>0.26087468607729303</v>
      </c>
      <c r="E141" s="77">
        <f t="shared" si="8"/>
        <v>0.299169771608427</v>
      </c>
      <c r="F141" s="79">
        <f t="shared" si="9"/>
        <v>3.8295085531133977E-2</v>
      </c>
      <c r="G141" s="79">
        <f t="shared" si="10"/>
        <v>2.3237239610985033E-2</v>
      </c>
      <c r="H141" s="79">
        <f t="shared" si="11"/>
        <v>6.153232514211901E-2</v>
      </c>
      <c r="M141" s="1">
        <v>37347</v>
      </c>
      <c r="N141" s="72">
        <v>23201994207</v>
      </c>
      <c r="P141" s="1">
        <v>41515</v>
      </c>
      <c r="Q141" s="37">
        <v>0.99455240796808098</v>
      </c>
      <c r="R141" s="72">
        <v>113808771949.87</v>
      </c>
      <c r="S141" s="72">
        <v>114432151627.27</v>
      </c>
      <c r="T141" s="72">
        <v>950888794556.75</v>
      </c>
      <c r="V141" s="1">
        <v>41515</v>
      </c>
      <c r="W141" s="37">
        <v>0.36837711159380399</v>
      </c>
      <c r="X141" s="72">
        <v>350285667585.72998</v>
      </c>
      <c r="Y141" s="72">
        <v>950888794556.75</v>
      </c>
      <c r="AA141" s="1">
        <v>41515</v>
      </c>
      <c r="AB141">
        <v>0.32763348986039498</v>
      </c>
    </row>
    <row r="142" spans="1:28">
      <c r="A142" s="60">
        <v>41529</v>
      </c>
      <c r="B142" s="87">
        <v>0.31397185155832891</v>
      </c>
      <c r="C142" s="80">
        <v>0.21149349910069001</v>
      </c>
      <c r="D142" s="80">
        <v>0.234327007260555</v>
      </c>
      <c r="E142" s="77">
        <f t="shared" si="8"/>
        <v>0.28272847297738402</v>
      </c>
      <c r="F142" s="79">
        <f t="shared" si="9"/>
        <v>4.8401465716829017E-2</v>
      </c>
      <c r="G142" s="79">
        <f t="shared" si="10"/>
        <v>2.2833508159864985E-2</v>
      </c>
      <c r="H142" s="79">
        <f t="shared" si="11"/>
        <v>7.1234973876694002E-2</v>
      </c>
      <c r="M142" s="1">
        <v>37377</v>
      </c>
      <c r="N142" s="72">
        <v>16557717897</v>
      </c>
      <c r="P142" s="1">
        <v>41522</v>
      </c>
      <c r="Q142" s="37">
        <v>0.99159435427460996</v>
      </c>
      <c r="R142" s="72">
        <v>109576162318.78999</v>
      </c>
      <c r="S142" s="72">
        <v>110505028438.72</v>
      </c>
      <c r="T142" s="72">
        <v>948415811972.58997</v>
      </c>
      <c r="V142" s="1">
        <v>41522</v>
      </c>
      <c r="W142" s="37">
        <v>0.32270862091389801</v>
      </c>
      <c r="X142" s="72">
        <v>306061958734.60999</v>
      </c>
      <c r="Y142" s="72">
        <v>948415811972.58997</v>
      </c>
      <c r="AA142" s="1">
        <v>41522</v>
      </c>
      <c r="AB142">
        <v>0.299169771608427</v>
      </c>
    </row>
    <row r="143" spans="1:28">
      <c r="A143" s="60">
        <v>41536</v>
      </c>
      <c r="B143" s="87">
        <v>0.36676284815642968</v>
      </c>
      <c r="C143" s="80">
        <v>0.19827486089892299</v>
      </c>
      <c r="D143" s="80">
        <v>0.221101303306941</v>
      </c>
      <c r="E143" s="77">
        <f t="shared" si="8"/>
        <v>0.32117243090069397</v>
      </c>
      <c r="F143" s="79">
        <f t="shared" si="9"/>
        <v>0.10007112759375297</v>
      </c>
      <c r="G143" s="79">
        <f t="shared" si="10"/>
        <v>2.2826442408018011E-2</v>
      </c>
      <c r="H143" s="79">
        <f t="shared" si="11"/>
        <v>0.12289757000177098</v>
      </c>
      <c r="M143" s="1">
        <v>37408</v>
      </c>
      <c r="N143" s="72">
        <v>17622559348</v>
      </c>
      <c r="P143" s="1">
        <v>41529</v>
      </c>
      <c r="Q143" s="37">
        <v>0.98584677145395805</v>
      </c>
      <c r="R143" s="72">
        <v>108941025515.74001</v>
      </c>
      <c r="S143" s="72">
        <v>110505028438.72</v>
      </c>
      <c r="T143" s="72">
        <v>948415811972.58997</v>
      </c>
      <c r="V143" s="1">
        <v>41529</v>
      </c>
      <c r="W143" s="37">
        <v>0.31397185155832802</v>
      </c>
      <c r="X143" s="72">
        <v>297775868532.22998</v>
      </c>
      <c r="Y143" s="72">
        <v>948415811972.58997</v>
      </c>
      <c r="AA143" s="1">
        <v>41529</v>
      </c>
      <c r="AB143">
        <v>0.28272847297738402</v>
      </c>
    </row>
    <row r="144" spans="1:28">
      <c r="A144" s="60">
        <v>41543</v>
      </c>
      <c r="B144" s="87">
        <v>0.4642436748645592</v>
      </c>
      <c r="C144" s="80">
        <v>0.230982049953562</v>
      </c>
      <c r="D144" s="80">
        <v>0.25463965057747101</v>
      </c>
      <c r="E144" s="77">
        <f t="shared" si="8"/>
        <v>0.41636418453757701</v>
      </c>
      <c r="F144" s="79">
        <f t="shared" si="9"/>
        <v>0.161724533960106</v>
      </c>
      <c r="G144" s="79">
        <f t="shared" si="10"/>
        <v>2.3657600623909009E-2</v>
      </c>
      <c r="H144" s="79">
        <f t="shared" si="11"/>
        <v>0.18538213458401501</v>
      </c>
      <c r="M144" s="1">
        <v>37438</v>
      </c>
      <c r="N144" s="72">
        <v>17642207420</v>
      </c>
      <c r="P144" s="1">
        <v>41536</v>
      </c>
      <c r="Q144" s="37">
        <v>0.99455362991075302</v>
      </c>
      <c r="R144" s="72">
        <v>109903177157.12</v>
      </c>
      <c r="S144" s="72">
        <v>110505028438.72</v>
      </c>
      <c r="T144" s="72">
        <v>948415811972.58997</v>
      </c>
      <c r="V144" s="1">
        <v>41536</v>
      </c>
      <c r="W144" s="37">
        <v>0.36676284815642901</v>
      </c>
      <c r="X144" s="72">
        <v>347843684435.65997</v>
      </c>
      <c r="Y144" s="72">
        <v>948415811972.58997</v>
      </c>
      <c r="AA144" s="1">
        <v>41536</v>
      </c>
      <c r="AB144">
        <v>0.32117243090069397</v>
      </c>
    </row>
    <row r="145" spans="1:28">
      <c r="A145" s="60">
        <v>41550</v>
      </c>
      <c r="B145" s="87">
        <v>0.46846408937290757</v>
      </c>
      <c r="C145" s="80">
        <v>0.32130927271021897</v>
      </c>
      <c r="D145" s="80">
        <v>0.34572071513934099</v>
      </c>
      <c r="E145" s="77">
        <f t="shared" si="8"/>
        <v>0.43780949110749301</v>
      </c>
      <c r="F145" s="79">
        <f t="shared" si="9"/>
        <v>9.2088775968152015E-2</v>
      </c>
      <c r="G145" s="79">
        <f t="shared" si="10"/>
        <v>2.4411442429122021E-2</v>
      </c>
      <c r="H145" s="79">
        <f t="shared" si="11"/>
        <v>0.11650021839727404</v>
      </c>
      <c r="M145" s="1">
        <v>37469</v>
      </c>
      <c r="N145" s="72">
        <v>19201677200</v>
      </c>
      <c r="P145" s="1">
        <v>41543</v>
      </c>
      <c r="Q145" s="37">
        <v>0.99915652823616297</v>
      </c>
      <c r="R145" s="72">
        <v>110411820567.47</v>
      </c>
      <c r="S145" s="72">
        <v>110505028438.72</v>
      </c>
      <c r="T145" s="72">
        <v>948415811972.58997</v>
      </c>
      <c r="V145" s="1">
        <v>41543</v>
      </c>
      <c r="W145" s="37">
        <v>0.46424367486455898</v>
      </c>
      <c r="X145" s="72">
        <v>440296041849.81</v>
      </c>
      <c r="Y145" s="72">
        <v>948415811972.58997</v>
      </c>
      <c r="AA145" s="1">
        <v>41543</v>
      </c>
      <c r="AB145">
        <v>0.41636418453757701</v>
      </c>
    </row>
    <row r="146" spans="1:28">
      <c r="A146" s="60">
        <v>41557</v>
      </c>
      <c r="B146" s="87">
        <v>0.46604163075436117</v>
      </c>
      <c r="C146" s="80">
        <v>0.34374501426377402</v>
      </c>
      <c r="D146" s="80">
        <v>0.36826613493452298</v>
      </c>
      <c r="E146" s="77">
        <f t="shared" si="8"/>
        <v>0.43730748482287202</v>
      </c>
      <c r="F146" s="79">
        <f t="shared" si="9"/>
        <v>6.9041349888349035E-2</v>
      </c>
      <c r="G146" s="79">
        <f t="shared" si="10"/>
        <v>2.4521120670748964E-2</v>
      </c>
      <c r="H146" s="79">
        <f t="shared" si="11"/>
        <v>9.3562470559097999E-2</v>
      </c>
      <c r="M146" s="1">
        <v>37500</v>
      </c>
      <c r="N146" s="72">
        <v>22762710632</v>
      </c>
      <c r="P146" s="1">
        <v>41550</v>
      </c>
      <c r="Q146" s="37">
        <v>0.99919609025257505</v>
      </c>
      <c r="R146" s="72">
        <v>107276191000.52</v>
      </c>
      <c r="S146" s="72">
        <v>107362500761.39</v>
      </c>
      <c r="T146" s="72">
        <v>947554381736.91003</v>
      </c>
      <c r="V146" s="1">
        <v>41550</v>
      </c>
      <c r="W146" s="37">
        <v>0.46846408937290701</v>
      </c>
      <c r="X146" s="72">
        <v>443895200571.69</v>
      </c>
      <c r="Y146" s="72">
        <v>947554381736.91003</v>
      </c>
      <c r="AA146" s="1">
        <v>41550</v>
      </c>
      <c r="AB146">
        <v>0.43780949110749301</v>
      </c>
    </row>
    <row r="147" spans="1:28">
      <c r="A147" s="60">
        <v>41564</v>
      </c>
      <c r="B147" s="87">
        <v>0.45882942996224085</v>
      </c>
      <c r="C147" s="80">
        <v>0.343362461707855</v>
      </c>
      <c r="D147" s="80">
        <v>0.36772676288515499</v>
      </c>
      <c r="E147" s="77">
        <f t="shared" si="8"/>
        <v>0.40934710971689398</v>
      </c>
      <c r="F147" s="79">
        <f t="shared" si="9"/>
        <v>4.1620346831738986E-2</v>
      </c>
      <c r="G147" s="79">
        <f t="shared" si="10"/>
        <v>2.4364301177299985E-2</v>
      </c>
      <c r="H147" s="79">
        <f t="shared" si="11"/>
        <v>6.5984648009038971E-2</v>
      </c>
      <c r="M147" s="1">
        <v>37530</v>
      </c>
      <c r="N147" s="72">
        <v>29182997202</v>
      </c>
      <c r="P147" s="1">
        <v>41557</v>
      </c>
      <c r="Q147" s="37">
        <v>0.99919609025257505</v>
      </c>
      <c r="R147" s="72">
        <v>107276191000.52</v>
      </c>
      <c r="S147" s="72">
        <v>107362500761.39</v>
      </c>
      <c r="T147" s="72">
        <v>947554381736.91003</v>
      </c>
      <c r="V147" s="1">
        <v>41557</v>
      </c>
      <c r="W147" s="37">
        <v>0.466041630754361</v>
      </c>
      <c r="X147" s="72">
        <v>441599789293.10999</v>
      </c>
      <c r="Y147" s="72">
        <v>947554381736.91003</v>
      </c>
      <c r="AA147" s="1">
        <v>41557</v>
      </c>
      <c r="AB147">
        <v>0.43730748482287202</v>
      </c>
    </row>
    <row r="148" spans="1:28">
      <c r="A148" s="60">
        <v>41571</v>
      </c>
      <c r="B148" s="87">
        <v>0.48819793986705451</v>
      </c>
      <c r="C148" s="80">
        <v>0.31435548538393299</v>
      </c>
      <c r="D148" s="80">
        <v>0.33908242712021103</v>
      </c>
      <c r="E148" s="77">
        <f t="shared" si="8"/>
        <v>0.45677859659494602</v>
      </c>
      <c r="F148" s="79">
        <f t="shared" si="9"/>
        <v>0.11769616947473499</v>
      </c>
      <c r="G148" s="79">
        <f t="shared" si="10"/>
        <v>2.4726941736278041E-2</v>
      </c>
      <c r="H148" s="79">
        <f t="shared" si="11"/>
        <v>0.14242311121101303</v>
      </c>
      <c r="M148" s="1">
        <v>37561</v>
      </c>
      <c r="N148" s="72">
        <v>29572947019</v>
      </c>
      <c r="P148" s="1">
        <v>41564</v>
      </c>
      <c r="Q148" s="37">
        <v>0.99915751997207003</v>
      </c>
      <c r="R148" s="72">
        <v>107272049998.75</v>
      </c>
      <c r="S148" s="72">
        <v>107362500761.39</v>
      </c>
      <c r="T148" s="72">
        <v>947554381736.91003</v>
      </c>
      <c r="V148" s="1">
        <v>41564</v>
      </c>
      <c r="W148" s="37">
        <v>0.45882942996224002</v>
      </c>
      <c r="X148" s="72">
        <v>434765836830.57001</v>
      </c>
      <c r="Y148" s="72">
        <v>947554381736.91003</v>
      </c>
      <c r="AA148" s="1">
        <v>41564</v>
      </c>
      <c r="AB148">
        <v>0.40934710971689398</v>
      </c>
    </row>
    <row r="149" spans="1:28">
      <c r="A149" s="60">
        <v>41578</v>
      </c>
      <c r="B149" s="87">
        <v>0.51686237282085756</v>
      </c>
      <c r="C149" s="80">
        <v>0.36279732883580901</v>
      </c>
      <c r="D149" s="80">
        <v>0.387225653389144</v>
      </c>
      <c r="E149" s="77">
        <f t="shared" si="8"/>
        <v>0.475306900921734</v>
      </c>
      <c r="F149" s="79">
        <f t="shared" si="9"/>
        <v>8.8081247532590001E-2</v>
      </c>
      <c r="G149" s="79">
        <f t="shared" si="10"/>
        <v>2.442832455333499E-2</v>
      </c>
      <c r="H149" s="79">
        <f t="shared" si="11"/>
        <v>0.11250957208592499</v>
      </c>
      <c r="M149" s="1">
        <v>37591</v>
      </c>
      <c r="N149" s="72">
        <v>32992616968</v>
      </c>
      <c r="P149" s="1">
        <v>41571</v>
      </c>
      <c r="Q149" s="37">
        <v>0.999284872537194</v>
      </c>
      <c r="R149" s="72">
        <v>107285722888.62</v>
      </c>
      <c r="S149" s="72">
        <v>107362500761.39</v>
      </c>
      <c r="T149" s="72">
        <v>947554381736.91003</v>
      </c>
      <c r="V149" s="1">
        <v>41571</v>
      </c>
      <c r="W149" s="37">
        <v>0.48819793986705401</v>
      </c>
      <c r="X149" s="72">
        <v>462594097075.96002</v>
      </c>
      <c r="Y149" s="72">
        <v>947554381736.91003</v>
      </c>
      <c r="AA149" s="1">
        <v>41571</v>
      </c>
      <c r="AB149">
        <v>0.45677859659494602</v>
      </c>
    </row>
    <row r="150" spans="1:28">
      <c r="A150" s="60">
        <v>41585</v>
      </c>
      <c r="B150" s="87">
        <v>0.47659235222796992</v>
      </c>
      <c r="C150" s="80">
        <v>0.38076704542262901</v>
      </c>
      <c r="D150" s="80">
        <v>0.40621263933441498</v>
      </c>
      <c r="E150" s="77">
        <f t="shared" si="8"/>
        <v>0.44816752582121699</v>
      </c>
      <c r="F150" s="79">
        <f t="shared" si="9"/>
        <v>4.1954886486802012E-2</v>
      </c>
      <c r="G150" s="79">
        <f t="shared" si="10"/>
        <v>2.5445593911785969E-2</v>
      </c>
      <c r="H150" s="79">
        <f t="shared" si="11"/>
        <v>6.7400480398587981E-2</v>
      </c>
      <c r="M150" s="1">
        <v>37622</v>
      </c>
      <c r="N150" s="72">
        <v>20699984520</v>
      </c>
      <c r="P150" s="1">
        <v>41578</v>
      </c>
      <c r="Q150" s="37">
        <v>0.99969538755675302</v>
      </c>
      <c r="R150" s="72">
        <v>107329796807.72</v>
      </c>
      <c r="S150" s="72">
        <v>107362500761.39</v>
      </c>
      <c r="T150" s="72">
        <v>947554381736.91003</v>
      </c>
      <c r="V150" s="1">
        <v>41578</v>
      </c>
      <c r="W150" s="37">
        <v>0.51686237282085701</v>
      </c>
      <c r="X150" s="72">
        <v>489755206121.34003</v>
      </c>
      <c r="Y150" s="72">
        <v>947554381736.91003</v>
      </c>
      <c r="AA150" s="1">
        <v>41578</v>
      </c>
      <c r="AB150">
        <v>0.475306900921734</v>
      </c>
    </row>
    <row r="151" spans="1:28">
      <c r="A151" s="60">
        <v>41592</v>
      </c>
      <c r="B151" s="87">
        <v>0.43809899693344728</v>
      </c>
      <c r="C151" s="80">
        <v>0.35403891055164699</v>
      </c>
      <c r="D151" s="80">
        <v>0.37858348879144199</v>
      </c>
      <c r="E151" s="77">
        <f t="shared" si="8"/>
        <v>0.37148669825668401</v>
      </c>
      <c r="F151" s="79">
        <f t="shared" si="9"/>
        <v>-7.0967905347579796E-3</v>
      </c>
      <c r="G151" s="79">
        <f t="shared" si="10"/>
        <v>2.4544578239795001E-2</v>
      </c>
      <c r="H151" s="79">
        <f t="shared" si="11"/>
        <v>1.7447787705037021E-2</v>
      </c>
      <c r="M151" s="1">
        <v>37653</v>
      </c>
      <c r="N151" s="72">
        <v>17566958664</v>
      </c>
      <c r="P151" s="1">
        <v>41585</v>
      </c>
      <c r="Q151" s="37">
        <v>0.99920279964660597</v>
      </c>
      <c r="R151" s="72">
        <v>104530322803.14999</v>
      </c>
      <c r="S151" s="72">
        <v>104613720898.42</v>
      </c>
      <c r="T151" s="72">
        <v>949506003328.85999</v>
      </c>
      <c r="V151" s="1">
        <v>41585</v>
      </c>
      <c r="W151" s="37">
        <v>0.47659235222796897</v>
      </c>
      <c r="X151" s="72">
        <v>452527299581.08002</v>
      </c>
      <c r="Y151" s="72">
        <v>949506003328.85999</v>
      </c>
      <c r="AA151" s="1">
        <v>41585</v>
      </c>
      <c r="AB151">
        <v>0.44816752582121699</v>
      </c>
    </row>
    <row r="152" spans="1:28">
      <c r="A152" s="60">
        <v>41599</v>
      </c>
      <c r="B152" s="87">
        <v>0.46646655511873347</v>
      </c>
      <c r="C152" s="80">
        <v>0.27765033429796598</v>
      </c>
      <c r="D152" s="80">
        <v>0.30261309490806398</v>
      </c>
      <c r="E152" s="77">
        <f t="shared" si="8"/>
        <v>0.43017279106460798</v>
      </c>
      <c r="F152" s="79">
        <f t="shared" si="9"/>
        <v>0.127559696156544</v>
      </c>
      <c r="G152" s="79">
        <f t="shared" si="10"/>
        <v>2.4962760610098E-2</v>
      </c>
      <c r="H152" s="79">
        <f t="shared" si="11"/>
        <v>0.152522456766642</v>
      </c>
      <c r="M152" s="1">
        <v>37681</v>
      </c>
      <c r="N152" s="72">
        <v>29090183403</v>
      </c>
      <c r="P152" s="1">
        <v>41592</v>
      </c>
      <c r="Q152" s="37">
        <v>0.99807740109545096</v>
      </c>
      <c r="R152" s="72">
        <v>104412590673.22</v>
      </c>
      <c r="S152" s="72">
        <v>104613720898.42</v>
      </c>
      <c r="T152" s="72">
        <v>949506003328.85999</v>
      </c>
      <c r="V152" s="1">
        <v>41592</v>
      </c>
      <c r="W152" s="37">
        <v>0.438098996933447</v>
      </c>
      <c r="X152" s="72">
        <v>415977627640.65997</v>
      </c>
      <c r="Y152" s="72">
        <v>949506003328.85999</v>
      </c>
      <c r="AA152" s="1">
        <v>41592</v>
      </c>
      <c r="AB152">
        <v>0.37148669825668401</v>
      </c>
    </row>
    <row r="153" spans="1:28">
      <c r="A153" s="60">
        <v>41605</v>
      </c>
      <c r="B153" s="87">
        <v>0.45035714868846971</v>
      </c>
      <c r="C153" s="80">
        <v>0.33620447417750299</v>
      </c>
      <c r="D153" s="80">
        <v>0.36064781933831103</v>
      </c>
      <c r="E153" s="77">
        <f t="shared" si="8"/>
        <v>0.40155276728234202</v>
      </c>
      <c r="F153" s="79">
        <f t="shared" si="9"/>
        <v>4.0904947944030989E-2</v>
      </c>
      <c r="G153" s="79">
        <f t="shared" si="10"/>
        <v>2.4443345160808039E-2</v>
      </c>
      <c r="H153" s="79">
        <f t="shared" si="11"/>
        <v>6.5348293104839028E-2</v>
      </c>
      <c r="M153" s="1">
        <v>37712</v>
      </c>
      <c r="N153" s="72">
        <v>22159726200</v>
      </c>
      <c r="P153" s="1">
        <v>41599</v>
      </c>
      <c r="Q153" s="37">
        <v>0.99918415296686602</v>
      </c>
      <c r="R153" s="72">
        <v>104528372104.60001</v>
      </c>
      <c r="S153" s="72">
        <v>104613720898.42</v>
      </c>
      <c r="T153" s="72">
        <v>949506003328.85999</v>
      </c>
      <c r="V153" s="1">
        <v>41599</v>
      </c>
      <c r="W153" s="37">
        <v>0.46646655511873297</v>
      </c>
      <c r="X153" s="72">
        <v>442912794437.37</v>
      </c>
      <c r="Y153" s="72">
        <v>949506003328.85999</v>
      </c>
      <c r="AA153" s="1">
        <v>41599</v>
      </c>
      <c r="AB153">
        <v>0.43017279106460798</v>
      </c>
    </row>
    <row r="154" spans="1:28">
      <c r="A154" s="60">
        <v>41613</v>
      </c>
      <c r="B154" s="87">
        <v>0.41435742347941557</v>
      </c>
      <c r="C154" s="80">
        <v>0.30662338263190497</v>
      </c>
      <c r="D154" s="80">
        <v>0.33133815164288799</v>
      </c>
      <c r="E154" s="77">
        <f t="shared" si="8"/>
        <v>0.33155433608902701</v>
      </c>
      <c r="F154" s="79">
        <f t="shared" si="9"/>
        <v>2.1618444613902277E-4</v>
      </c>
      <c r="G154" s="79">
        <f t="shared" si="10"/>
        <v>2.4714769010983018E-2</v>
      </c>
      <c r="H154" s="79">
        <f t="shared" si="11"/>
        <v>2.493095345712204E-2</v>
      </c>
      <c r="M154" s="1">
        <v>37742</v>
      </c>
      <c r="N154" s="72">
        <v>27151741333</v>
      </c>
      <c r="P154" s="1">
        <v>41605</v>
      </c>
      <c r="Q154" s="37">
        <v>0.99914471041693498</v>
      </c>
      <c r="R154" s="72">
        <v>104524245872.69</v>
      </c>
      <c r="S154" s="72">
        <v>104613720898.42</v>
      </c>
      <c r="T154" s="72">
        <v>949506003328.85999</v>
      </c>
      <c r="V154" s="1">
        <v>41605</v>
      </c>
      <c r="W154" s="37">
        <v>0.45035714868846899</v>
      </c>
      <c r="X154" s="72">
        <v>427616816321.77002</v>
      </c>
      <c r="Y154" s="72">
        <v>949506003328.85999</v>
      </c>
      <c r="AA154" s="1">
        <v>41605</v>
      </c>
      <c r="AB154">
        <v>0.40155276728234202</v>
      </c>
    </row>
    <row r="155" spans="1:28">
      <c r="A155" s="60">
        <v>41620</v>
      </c>
      <c r="B155" s="87">
        <v>0.40946577691320324</v>
      </c>
      <c r="C155" s="80">
        <v>0.238872261686181</v>
      </c>
      <c r="D155" s="80">
        <v>0.26300483944839198</v>
      </c>
      <c r="E155" s="77">
        <f t="shared" si="8"/>
        <v>0.33115218180429201</v>
      </c>
      <c r="F155" s="79">
        <f t="shared" si="9"/>
        <v>6.8147342355900031E-2</v>
      </c>
      <c r="G155" s="79">
        <f t="shared" si="10"/>
        <v>2.4132577762210977E-2</v>
      </c>
      <c r="H155" s="79">
        <f t="shared" si="11"/>
        <v>9.2279920118111008E-2</v>
      </c>
      <c r="M155" s="1">
        <v>37773</v>
      </c>
      <c r="N155" s="72">
        <v>25605920044</v>
      </c>
      <c r="P155" s="1">
        <v>41613</v>
      </c>
      <c r="Q155" s="37">
        <v>0.99728199808845697</v>
      </c>
      <c r="R155" s="72">
        <v>101993507416.57001</v>
      </c>
      <c r="S155" s="72">
        <v>102271481498.78</v>
      </c>
      <c r="T155" s="72">
        <v>952675025482.96997</v>
      </c>
      <c r="V155" s="1">
        <v>41613</v>
      </c>
      <c r="W155" s="37">
        <v>0.41435742347941501</v>
      </c>
      <c r="X155" s="72">
        <v>394747968972.31</v>
      </c>
      <c r="Y155" s="72">
        <v>952675025482.96997</v>
      </c>
      <c r="AA155" s="1">
        <v>41613</v>
      </c>
      <c r="AB155">
        <v>0.33155433608902701</v>
      </c>
    </row>
    <row r="156" spans="1:28">
      <c r="A156" s="60">
        <v>41627</v>
      </c>
      <c r="B156" s="87">
        <v>0.37314562604747809</v>
      </c>
      <c r="C156" s="80">
        <v>0.23869230352122101</v>
      </c>
      <c r="D156" s="80">
        <v>0.26260248571262501</v>
      </c>
      <c r="E156" s="77">
        <f t="shared" si="8"/>
        <v>0.29231032325725198</v>
      </c>
      <c r="F156" s="79">
        <f t="shared" si="9"/>
        <v>2.9707837544626969E-2</v>
      </c>
      <c r="G156" s="79">
        <f t="shared" si="10"/>
        <v>2.3910182191404006E-2</v>
      </c>
      <c r="H156" s="79">
        <f t="shared" si="11"/>
        <v>5.3618019736030975E-2</v>
      </c>
      <c r="M156" s="1">
        <v>37803</v>
      </c>
      <c r="N156" s="72">
        <v>31395230589</v>
      </c>
      <c r="P156" s="1">
        <v>41620</v>
      </c>
      <c r="Q156" s="37">
        <v>0.997265673413821</v>
      </c>
      <c r="R156" s="72">
        <v>101991837867.91</v>
      </c>
      <c r="S156" s="72">
        <v>102271481498.78</v>
      </c>
      <c r="T156" s="72">
        <v>952675025482.96997</v>
      </c>
      <c r="V156" s="1">
        <v>41620</v>
      </c>
      <c r="W156" s="37">
        <v>0.40946577691320302</v>
      </c>
      <c r="X156" s="72">
        <v>390087819455.19</v>
      </c>
      <c r="Y156" s="72">
        <v>952675025482.96997</v>
      </c>
      <c r="AA156" s="1">
        <v>41620</v>
      </c>
      <c r="AB156">
        <v>0.33115218180429201</v>
      </c>
    </row>
    <row r="157" spans="1:28">
      <c r="A157" s="60">
        <v>41634</v>
      </c>
      <c r="B157" s="87">
        <v>0.36311039029163023</v>
      </c>
      <c r="C157" s="80">
        <v>0.20595646030872</v>
      </c>
      <c r="D157" s="80">
        <v>0.22663439683454101</v>
      </c>
      <c r="E157" s="77">
        <f t="shared" si="8"/>
        <v>0.29194519997051299</v>
      </c>
      <c r="F157" s="79">
        <f t="shared" si="9"/>
        <v>6.5310803135971984E-2</v>
      </c>
      <c r="G157" s="79">
        <f t="shared" si="10"/>
        <v>2.0677936525821006E-2</v>
      </c>
      <c r="H157" s="79">
        <f t="shared" si="11"/>
        <v>8.598873966179299E-2</v>
      </c>
      <c r="M157" s="1">
        <v>37834</v>
      </c>
      <c r="N157" s="72">
        <v>45539804558</v>
      </c>
      <c r="P157" s="1">
        <v>41627</v>
      </c>
      <c r="Q157" s="37">
        <v>0.99455173213163295</v>
      </c>
      <c r="R157" s="72">
        <v>101714279072.28</v>
      </c>
      <c r="S157" s="72">
        <v>102271481498.78</v>
      </c>
      <c r="T157" s="72">
        <v>952675025482.96997</v>
      </c>
      <c r="V157" s="1">
        <v>41627</v>
      </c>
      <c r="W157" s="37">
        <v>0.37314562604747797</v>
      </c>
      <c r="X157" s="72">
        <v>355486518803.64001</v>
      </c>
      <c r="Y157" s="72">
        <v>952675025482.96997</v>
      </c>
      <c r="AA157" s="1">
        <v>41627</v>
      </c>
      <c r="AB157">
        <v>0.29231032325725198</v>
      </c>
    </row>
    <row r="158" spans="1:28">
      <c r="A158" s="60">
        <v>41641</v>
      </c>
      <c r="B158" s="87">
        <v>0.30222062844184339</v>
      </c>
      <c r="C158" s="80">
        <v>0.20588522084022601</v>
      </c>
      <c r="D158" s="80">
        <v>0.22629116015596901</v>
      </c>
      <c r="E158" s="77">
        <f t="shared" si="8"/>
        <v>0.26557578721224701</v>
      </c>
      <c r="F158" s="79">
        <f t="shared" si="9"/>
        <v>3.9284627056277999E-2</v>
      </c>
      <c r="G158" s="79">
        <f t="shared" si="10"/>
        <v>2.0405939315742999E-2</v>
      </c>
      <c r="H158" s="79">
        <f t="shared" si="11"/>
        <v>5.9690566372020998E-2</v>
      </c>
      <c r="M158" s="1">
        <v>37865</v>
      </c>
      <c r="N158" s="72">
        <v>35602208463</v>
      </c>
      <c r="P158" s="1">
        <v>41634</v>
      </c>
      <c r="Q158" s="37">
        <v>0.99447670229499097</v>
      </c>
      <c r="R158" s="72">
        <v>101706605659.73</v>
      </c>
      <c r="S158" s="72">
        <v>102271481498.78</v>
      </c>
      <c r="T158" s="72">
        <v>952675025482.96997</v>
      </c>
      <c r="V158" s="1">
        <v>41634</v>
      </c>
      <c r="W158" s="37">
        <v>0.36311039029163</v>
      </c>
      <c r="X158" s="72">
        <v>345926200324.21002</v>
      </c>
      <c r="Y158" s="72">
        <v>952675025482.96997</v>
      </c>
      <c r="AA158" s="1">
        <v>41634</v>
      </c>
      <c r="AB158">
        <v>0.29194519997051299</v>
      </c>
    </row>
    <row r="159" spans="1:28">
      <c r="A159" s="60">
        <v>41648</v>
      </c>
      <c r="B159" s="87">
        <v>0.32771934161884003</v>
      </c>
      <c r="C159" s="80">
        <v>0.18270041372936699</v>
      </c>
      <c r="D159" s="80">
        <v>0.20171259537917</v>
      </c>
      <c r="E159" s="77">
        <f t="shared" si="8"/>
        <v>0.29041864554209001</v>
      </c>
      <c r="F159" s="79">
        <f t="shared" si="9"/>
        <v>8.8706050162920019E-2</v>
      </c>
      <c r="G159" s="79">
        <f t="shared" si="10"/>
        <v>1.9012181649803006E-2</v>
      </c>
      <c r="H159" s="79">
        <f t="shared" si="11"/>
        <v>0.10771823181272303</v>
      </c>
      <c r="M159" s="1">
        <v>37895</v>
      </c>
      <c r="N159" s="72">
        <v>33596023404</v>
      </c>
      <c r="P159" s="1">
        <v>41641</v>
      </c>
      <c r="Q159" s="37">
        <v>0.99290775276224297</v>
      </c>
      <c r="R159" s="72">
        <v>99202981488.649994</v>
      </c>
      <c r="S159" s="72">
        <v>99911579109.610001</v>
      </c>
      <c r="T159" s="72">
        <v>953772375886.01001</v>
      </c>
      <c r="V159" s="1">
        <v>41641</v>
      </c>
      <c r="W159" s="37">
        <v>0.302220628441843</v>
      </c>
      <c r="X159" s="72">
        <v>288249686830.73999</v>
      </c>
      <c r="Y159" s="72">
        <v>953772375886.01001</v>
      </c>
      <c r="AA159" s="1">
        <v>41641</v>
      </c>
      <c r="AB159">
        <v>0.26557578721224701</v>
      </c>
    </row>
    <row r="160" spans="1:28">
      <c r="A160" s="60">
        <v>41655</v>
      </c>
      <c r="B160" s="87">
        <v>0.40641511694283672</v>
      </c>
      <c r="C160" s="80">
        <v>0.20349751001168101</v>
      </c>
      <c r="D160" s="80">
        <v>0.225222551391554</v>
      </c>
      <c r="E160" s="77">
        <f t="shared" si="8"/>
        <v>0.324950271832321</v>
      </c>
      <c r="F160" s="79">
        <f t="shared" si="9"/>
        <v>9.9727720440766998E-2</v>
      </c>
      <c r="G160" s="79">
        <f t="shared" si="10"/>
        <v>2.1725041379872995E-2</v>
      </c>
      <c r="H160" s="79">
        <f t="shared" si="11"/>
        <v>0.12145276182063999</v>
      </c>
      <c r="M160" s="1">
        <v>37926</v>
      </c>
      <c r="N160" s="72">
        <v>20571679957</v>
      </c>
      <c r="P160" s="1">
        <v>41648</v>
      </c>
      <c r="Q160" s="37">
        <v>0.99430875700226695</v>
      </c>
      <c r="R160" s="72">
        <v>99342958034.610001</v>
      </c>
      <c r="S160" s="72">
        <v>99911579109.610001</v>
      </c>
      <c r="T160" s="72">
        <v>953772375886.01001</v>
      </c>
      <c r="V160" s="1">
        <v>41648</v>
      </c>
      <c r="W160" s="37">
        <v>0.32771934161883998</v>
      </c>
      <c r="X160" s="72">
        <v>312569655079.59998</v>
      </c>
      <c r="Y160" s="72">
        <v>953772375886.01001</v>
      </c>
      <c r="AA160" s="1">
        <v>41648</v>
      </c>
      <c r="AB160">
        <v>0.29041864554209001</v>
      </c>
    </row>
    <row r="161" spans="1:28">
      <c r="A161" s="60">
        <v>41662</v>
      </c>
      <c r="B161" s="87">
        <v>0.41373446472520986</v>
      </c>
      <c r="C161" s="80">
        <v>0.23285648019755101</v>
      </c>
      <c r="D161" s="80">
        <v>0.256712796608494</v>
      </c>
      <c r="E161" s="77">
        <f t="shared" si="8"/>
        <v>0.32575205669163398</v>
      </c>
      <c r="F161" s="79">
        <f t="shared" si="9"/>
        <v>6.9039260083139986E-2</v>
      </c>
      <c r="G161" s="79">
        <f t="shared" si="10"/>
        <v>2.385631641094299E-2</v>
      </c>
      <c r="H161" s="79">
        <f t="shared" si="11"/>
        <v>9.2895576494082976E-2</v>
      </c>
      <c r="M161" s="1">
        <v>37956</v>
      </c>
      <c r="N161" s="72">
        <v>19405748579</v>
      </c>
      <c r="P161" s="1">
        <v>41655</v>
      </c>
      <c r="Q161" s="37">
        <v>0.99725219389457498</v>
      </c>
      <c r="R161" s="72">
        <v>99637041462.529999</v>
      </c>
      <c r="S161" s="72">
        <v>99911579109.610001</v>
      </c>
      <c r="T161" s="72">
        <v>953772375886.01001</v>
      </c>
      <c r="V161" s="1">
        <v>41655</v>
      </c>
      <c r="W161" s="37">
        <v>0.406415116942836</v>
      </c>
      <c r="X161" s="72">
        <v>387627511682.56</v>
      </c>
      <c r="Y161" s="72">
        <v>953772375886.01001</v>
      </c>
      <c r="AA161" s="1">
        <v>41655</v>
      </c>
      <c r="AB161">
        <v>0.324950271832321</v>
      </c>
    </row>
    <row r="162" spans="1:28">
      <c r="A162" s="60">
        <v>41669</v>
      </c>
      <c r="B162" s="87">
        <v>0.43082638628918513</v>
      </c>
      <c r="C162" s="80">
        <v>0.23330797794566899</v>
      </c>
      <c r="D162" s="80">
        <v>0.25744135481017799</v>
      </c>
      <c r="E162" s="77">
        <f t="shared" si="8"/>
        <v>0.38477236523223501</v>
      </c>
      <c r="F162" s="79">
        <f t="shared" si="9"/>
        <v>0.12733101042205702</v>
      </c>
      <c r="G162" s="79">
        <f t="shared" si="10"/>
        <v>2.4133376864509004E-2</v>
      </c>
      <c r="H162" s="79">
        <f t="shared" si="11"/>
        <v>0.15146438728656603</v>
      </c>
      <c r="M162" s="1">
        <v>37987</v>
      </c>
      <c r="N162" s="72">
        <v>16438933137</v>
      </c>
      <c r="P162" s="1">
        <v>41662</v>
      </c>
      <c r="Q162" s="37">
        <v>0.99750998020352499</v>
      </c>
      <c r="R162" s="72">
        <v>99662797299.729996</v>
      </c>
      <c r="S162" s="72">
        <v>99911579109.610001</v>
      </c>
      <c r="T162" s="72">
        <v>953772375886.01001</v>
      </c>
      <c r="V162" s="1">
        <v>41662</v>
      </c>
      <c r="W162" s="37">
        <v>0.41373446472520897</v>
      </c>
      <c r="X162" s="72">
        <v>394608503406.89001</v>
      </c>
      <c r="Y162" s="72">
        <v>953772375886.01001</v>
      </c>
      <c r="AA162" s="1">
        <v>41662</v>
      </c>
      <c r="AB162">
        <v>0.32575205669163398</v>
      </c>
    </row>
    <row r="163" spans="1:28">
      <c r="A163" s="60">
        <v>41676</v>
      </c>
      <c r="B163" s="87">
        <v>0.44229187681125864</v>
      </c>
      <c r="C163" s="80">
        <v>0.29089795893761</v>
      </c>
      <c r="D163" s="80">
        <v>0.31438854181645098</v>
      </c>
      <c r="E163" s="77">
        <f t="shared" si="8"/>
        <v>0.407543935255748</v>
      </c>
      <c r="F163" s="79">
        <f t="shared" si="9"/>
        <v>9.3155393439297018E-2</v>
      </c>
      <c r="G163" s="79">
        <f t="shared" si="10"/>
        <v>2.3490582878840982E-2</v>
      </c>
      <c r="H163" s="79">
        <f t="shared" si="11"/>
        <v>0.116645976318138</v>
      </c>
      <c r="M163" s="1">
        <v>38018</v>
      </c>
      <c r="N163" s="72">
        <v>13594567630</v>
      </c>
      <c r="P163" s="1">
        <v>41669</v>
      </c>
      <c r="Q163" s="37">
        <v>0.999110923276745</v>
      </c>
      <c r="R163" s="72">
        <v>99822750050.240005</v>
      </c>
      <c r="S163" s="72">
        <v>99911579109.610001</v>
      </c>
      <c r="T163" s="72">
        <v>953772375886.01001</v>
      </c>
      <c r="V163" s="1">
        <v>41669</v>
      </c>
      <c r="W163" s="37">
        <v>0.43082638628918501</v>
      </c>
      <c r="X163" s="72">
        <v>410910306045.41998</v>
      </c>
      <c r="Y163" s="72">
        <v>953772375886.01001</v>
      </c>
      <c r="AA163" s="1">
        <v>41669</v>
      </c>
      <c r="AB163">
        <v>0.38477236523223501</v>
      </c>
    </row>
    <row r="164" spans="1:28">
      <c r="A164" s="60">
        <v>41683</v>
      </c>
      <c r="B164" s="87">
        <v>0.42867877923273462</v>
      </c>
      <c r="C164" s="80">
        <v>0.31424671770039497</v>
      </c>
      <c r="D164" s="80">
        <v>0.33798112173000799</v>
      </c>
      <c r="E164" s="77">
        <f t="shared" si="8"/>
        <v>0.38048486740787602</v>
      </c>
      <c r="F164" s="79">
        <f t="shared" si="9"/>
        <v>4.2503745677868021E-2</v>
      </c>
      <c r="G164" s="79">
        <f t="shared" si="10"/>
        <v>2.3734404029613021E-2</v>
      </c>
      <c r="H164" s="79">
        <f t="shared" si="11"/>
        <v>6.6238149707481042E-2</v>
      </c>
      <c r="M164" s="1">
        <v>38047</v>
      </c>
      <c r="N164" s="72">
        <v>16186065965</v>
      </c>
      <c r="P164" s="1">
        <v>41676</v>
      </c>
      <c r="Q164" s="37">
        <v>0.99914966589500098</v>
      </c>
      <c r="R164" s="72">
        <v>97835561226.179993</v>
      </c>
      <c r="S164" s="72">
        <v>97918824942.550003</v>
      </c>
      <c r="T164" s="72">
        <v>956192262479.27002</v>
      </c>
      <c r="V164" s="1">
        <v>41676</v>
      </c>
      <c r="W164" s="37">
        <v>0.44229187681125798</v>
      </c>
      <c r="X164" s="72">
        <v>422916070364.35999</v>
      </c>
      <c r="Y164" s="72">
        <v>956192262479.27002</v>
      </c>
      <c r="AA164" s="1">
        <v>41676</v>
      </c>
      <c r="AB164">
        <v>0.407543935255748</v>
      </c>
    </row>
    <row r="165" spans="1:28">
      <c r="A165" s="60">
        <v>41690</v>
      </c>
      <c r="B165" s="87">
        <v>0.4190960023934181</v>
      </c>
      <c r="C165" s="80">
        <v>0.28654188629747801</v>
      </c>
      <c r="D165" s="80">
        <v>0.31055726404016398</v>
      </c>
      <c r="E165" s="77">
        <f t="shared" si="8"/>
        <v>0.350662678143284</v>
      </c>
      <c r="F165" s="79">
        <f t="shared" si="9"/>
        <v>4.0105414103120018E-2</v>
      </c>
      <c r="G165" s="79">
        <f t="shared" si="10"/>
        <v>2.4015377742685973E-2</v>
      </c>
      <c r="H165" s="79">
        <f t="shared" si="11"/>
        <v>6.4120791845805991E-2</v>
      </c>
      <c r="M165" s="1">
        <v>38078</v>
      </c>
      <c r="N165" s="72">
        <v>19817715828</v>
      </c>
      <c r="P165" s="1">
        <v>41683</v>
      </c>
      <c r="Q165" s="37">
        <v>0.99911112476542596</v>
      </c>
      <c r="R165" s="72">
        <v>97831787324.059998</v>
      </c>
      <c r="S165" s="72">
        <v>97918824942.550003</v>
      </c>
      <c r="T165" s="72">
        <v>956192262479.27002</v>
      </c>
      <c r="V165" s="1">
        <v>41683</v>
      </c>
      <c r="W165" s="37">
        <v>0.42867877923273401</v>
      </c>
      <c r="X165" s="72">
        <v>409899331791.40002</v>
      </c>
      <c r="Y165" s="72">
        <v>956192262479.27002</v>
      </c>
      <c r="AA165" s="1">
        <v>41683</v>
      </c>
      <c r="AB165">
        <v>0.38048486740787602</v>
      </c>
    </row>
    <row r="166" spans="1:28">
      <c r="A166" s="60">
        <v>41697</v>
      </c>
      <c r="B166" s="87">
        <v>0.41087729858311572</v>
      </c>
      <c r="C166" s="80">
        <v>0.25823477101989301</v>
      </c>
      <c r="D166" s="80">
        <v>0.28224141067613401</v>
      </c>
      <c r="E166" s="77">
        <f t="shared" si="8"/>
        <v>0.34877360785551498</v>
      </c>
      <c r="F166" s="79">
        <f t="shared" si="9"/>
        <v>6.653219717938097E-2</v>
      </c>
      <c r="G166" s="79">
        <f t="shared" si="10"/>
        <v>2.4006639656241002E-2</v>
      </c>
      <c r="H166" s="79">
        <f t="shared" si="11"/>
        <v>9.0538836835621972E-2</v>
      </c>
      <c r="M166" s="1">
        <v>38108</v>
      </c>
      <c r="N166" s="72">
        <v>22042955813</v>
      </c>
      <c r="P166" s="1">
        <v>41690</v>
      </c>
      <c r="Q166" s="37">
        <v>0.99800790779367998</v>
      </c>
      <c r="R166" s="72">
        <v>97723761614.529999</v>
      </c>
      <c r="S166" s="72">
        <v>97918824942.550003</v>
      </c>
      <c r="T166" s="72">
        <v>956192262479.27002</v>
      </c>
      <c r="V166" s="1">
        <v>41690</v>
      </c>
      <c r="W166" s="37">
        <v>0.41909600239341799</v>
      </c>
      <c r="X166" s="72">
        <v>400736354724.58002</v>
      </c>
      <c r="Y166" s="72">
        <v>956192262479.27002</v>
      </c>
      <c r="AA166" s="1">
        <v>41690</v>
      </c>
      <c r="AB166">
        <v>0.350662678143284</v>
      </c>
    </row>
    <row r="167" spans="1:28">
      <c r="A167" s="60">
        <v>41704</v>
      </c>
      <c r="B167" s="87">
        <v>0.42373437747114012</v>
      </c>
      <c r="C167" s="80">
        <v>0.25744034883327499</v>
      </c>
      <c r="D167" s="80">
        <v>0.28030510938432601</v>
      </c>
      <c r="E167" s="77">
        <f t="shared" si="8"/>
        <v>0.37600660434659899</v>
      </c>
      <c r="F167" s="79">
        <f t="shared" si="9"/>
        <v>9.5701494962272982E-2</v>
      </c>
      <c r="G167" s="79">
        <f t="shared" si="10"/>
        <v>2.2864760551051022E-2</v>
      </c>
      <c r="H167" s="79">
        <f t="shared" si="11"/>
        <v>0.118566255513324</v>
      </c>
      <c r="M167" s="1">
        <v>38139</v>
      </c>
      <c r="N167" s="72">
        <v>21624670513</v>
      </c>
      <c r="P167" s="1">
        <v>41697</v>
      </c>
      <c r="Q167" s="37">
        <v>0.997991123805402</v>
      </c>
      <c r="R167" s="72">
        <v>97722118146.119995</v>
      </c>
      <c r="S167" s="72">
        <v>97918824942.550003</v>
      </c>
      <c r="T167" s="72">
        <v>956192262479.27002</v>
      </c>
      <c r="V167" s="1">
        <v>41697</v>
      </c>
      <c r="W167" s="37">
        <v>0.410877298583115</v>
      </c>
      <c r="X167" s="72">
        <v>392877693733.56</v>
      </c>
      <c r="Y167" s="72">
        <v>956192262479.27002</v>
      </c>
      <c r="AA167" s="1">
        <v>41697</v>
      </c>
      <c r="AB167">
        <v>0.34877360785551498</v>
      </c>
    </row>
    <row r="168" spans="1:28">
      <c r="A168" s="60">
        <v>41711</v>
      </c>
      <c r="B168" s="87">
        <v>0.40957194544715148</v>
      </c>
      <c r="C168" s="80">
        <v>0.28216102843400898</v>
      </c>
      <c r="D168" s="80">
        <v>0.30632423581387003</v>
      </c>
      <c r="E168" s="77">
        <f t="shared" si="8"/>
        <v>0.345540736972693</v>
      </c>
      <c r="F168" s="79">
        <f t="shared" si="9"/>
        <v>3.9216501158822969E-2</v>
      </c>
      <c r="G168" s="79">
        <f t="shared" si="10"/>
        <v>2.4163207379861051E-2</v>
      </c>
      <c r="H168" s="79">
        <f t="shared" si="11"/>
        <v>6.3379708538684021E-2</v>
      </c>
      <c r="M168" s="1">
        <v>38169</v>
      </c>
      <c r="N168" s="72">
        <v>16950844708</v>
      </c>
      <c r="P168" s="1">
        <v>41704</v>
      </c>
      <c r="Q168" s="37">
        <v>0.99910196977160803</v>
      </c>
      <c r="R168" s="72">
        <v>96066073196.009995</v>
      </c>
      <c r="S168" s="72">
        <v>96152420976.580002</v>
      </c>
      <c r="T168" s="72">
        <v>956448787197.43005</v>
      </c>
      <c r="V168" s="1">
        <v>41704</v>
      </c>
      <c r="W168" s="37">
        <v>0.42373437747114001</v>
      </c>
      <c r="X168" s="72">
        <v>405280231426.13</v>
      </c>
      <c r="Y168" s="72">
        <v>956448787197.43005</v>
      </c>
      <c r="AA168" s="1">
        <v>41704</v>
      </c>
      <c r="AB168">
        <v>0.37600660434659899</v>
      </c>
    </row>
    <row r="169" spans="1:28">
      <c r="A169" s="60">
        <v>41718</v>
      </c>
      <c r="B169" s="87">
        <v>0.42118721507933182</v>
      </c>
      <c r="C169" s="80">
        <v>0.25339035668079501</v>
      </c>
      <c r="D169" s="80">
        <v>0.27739231314429902</v>
      </c>
      <c r="E169" s="77">
        <f t="shared" si="8"/>
        <v>0.37491062583542301</v>
      </c>
      <c r="F169" s="79">
        <f t="shared" si="9"/>
        <v>9.7518312691123987E-2</v>
      </c>
      <c r="G169" s="79">
        <f t="shared" si="10"/>
        <v>2.4001956463504004E-2</v>
      </c>
      <c r="H169" s="79">
        <f t="shared" si="11"/>
        <v>0.12152026915462799</v>
      </c>
      <c r="M169" s="1">
        <v>38200</v>
      </c>
      <c r="N169" s="72">
        <v>13847614918</v>
      </c>
      <c r="P169" s="1">
        <v>41711</v>
      </c>
      <c r="Q169" s="37">
        <v>0.99799996279285696</v>
      </c>
      <c r="R169" s="72">
        <v>95960112557.070007</v>
      </c>
      <c r="S169" s="72">
        <v>96152420976.580002</v>
      </c>
      <c r="T169" s="72">
        <v>956448787197.43005</v>
      </c>
      <c r="V169" s="1">
        <v>41711</v>
      </c>
      <c r="W169" s="37">
        <v>0.40957194544715098</v>
      </c>
      <c r="X169" s="72">
        <v>391734590493.02002</v>
      </c>
      <c r="Y169" s="72">
        <v>956448787197.43005</v>
      </c>
      <c r="AA169" s="1">
        <v>41711</v>
      </c>
      <c r="AB169">
        <v>0.345540736972693</v>
      </c>
    </row>
    <row r="170" spans="1:28">
      <c r="A170" s="60">
        <v>41725</v>
      </c>
      <c r="B170" s="87">
        <v>0.40398876534854189</v>
      </c>
      <c r="C170" s="80">
        <v>0.28102818996708701</v>
      </c>
      <c r="D170" s="80">
        <v>0.305158136960197</v>
      </c>
      <c r="E170" s="77">
        <f t="shared" si="8"/>
        <v>0.34390162113487499</v>
      </c>
      <c r="F170" s="79">
        <f t="shared" si="9"/>
        <v>3.8743484174677989E-2</v>
      </c>
      <c r="G170" s="79">
        <f t="shared" si="10"/>
        <v>2.4129946993109996E-2</v>
      </c>
      <c r="H170" s="79">
        <f t="shared" si="11"/>
        <v>6.2873431167787985E-2</v>
      </c>
      <c r="M170" s="1">
        <v>38231</v>
      </c>
      <c r="N170" s="72">
        <v>13535347047</v>
      </c>
      <c r="P170" s="1">
        <v>41718</v>
      </c>
      <c r="Q170" s="37">
        <v>0.99909951656515095</v>
      </c>
      <c r="R170" s="72">
        <v>96065837314.270004</v>
      </c>
      <c r="S170" s="72">
        <v>96152420976.580002</v>
      </c>
      <c r="T170" s="72">
        <v>956448787197.43005</v>
      </c>
      <c r="V170" s="1">
        <v>41718</v>
      </c>
      <c r="W170" s="37">
        <v>0.42118721507933099</v>
      </c>
      <c r="X170" s="72">
        <v>402844001045.69</v>
      </c>
      <c r="Y170" s="72">
        <v>956448787197.43005</v>
      </c>
      <c r="AA170" s="1">
        <v>41718</v>
      </c>
      <c r="AB170">
        <v>0.37491062583542301</v>
      </c>
    </row>
    <row r="171" spans="1:28">
      <c r="A171" s="60">
        <v>41732</v>
      </c>
      <c r="B171" s="87">
        <v>0.38842204575632649</v>
      </c>
      <c r="C171" s="80">
        <v>0.25299751732949799</v>
      </c>
      <c r="D171" s="80">
        <v>0.27571464318613598</v>
      </c>
      <c r="E171" s="77">
        <f t="shared" si="8"/>
        <v>0.314038249540457</v>
      </c>
      <c r="F171" s="79">
        <f t="shared" si="9"/>
        <v>3.8323606354321027E-2</v>
      </c>
      <c r="G171" s="79">
        <f t="shared" si="10"/>
        <v>2.2717125856637987E-2</v>
      </c>
      <c r="H171" s="79">
        <f t="shared" si="11"/>
        <v>6.1040732210959014E-2</v>
      </c>
      <c r="M171" s="1">
        <v>38261</v>
      </c>
      <c r="N171" s="72">
        <v>14448577985</v>
      </c>
      <c r="P171" s="1">
        <v>41725</v>
      </c>
      <c r="Q171" s="37">
        <v>0.99794161947364501</v>
      </c>
      <c r="R171" s="72">
        <v>95954502705.679993</v>
      </c>
      <c r="S171" s="72">
        <v>96152420976.580002</v>
      </c>
      <c r="T171" s="72">
        <v>956448787197.43005</v>
      </c>
      <c r="V171" s="1">
        <v>41725</v>
      </c>
      <c r="W171" s="37">
        <v>0.403988765348541</v>
      </c>
      <c r="X171" s="72">
        <v>386394564659</v>
      </c>
      <c r="Y171" s="72">
        <v>956448787197.43005</v>
      </c>
      <c r="AA171" s="1">
        <v>41725</v>
      </c>
      <c r="AB171">
        <v>0.34390162113487499</v>
      </c>
    </row>
    <row r="172" spans="1:28">
      <c r="A172" s="60">
        <v>41739</v>
      </c>
      <c r="B172" s="87">
        <v>0.40452869269282377</v>
      </c>
      <c r="C172" s="80">
        <v>0.222143720081627</v>
      </c>
      <c r="D172" s="80">
        <v>0.24706631517703201</v>
      </c>
      <c r="E172" s="77">
        <f t="shared" si="8"/>
        <v>0.34467498628586002</v>
      </c>
      <c r="F172" s="79">
        <f t="shared" si="9"/>
        <v>9.760867110882801E-2</v>
      </c>
      <c r="G172" s="79">
        <f t="shared" si="10"/>
        <v>2.4922595095405009E-2</v>
      </c>
      <c r="H172" s="79">
        <f t="shared" si="11"/>
        <v>0.12253126620423302</v>
      </c>
      <c r="M172" s="1">
        <v>38292</v>
      </c>
      <c r="N172" s="72">
        <v>13791848264</v>
      </c>
      <c r="P172" s="1">
        <v>41732</v>
      </c>
      <c r="Q172" s="37">
        <v>0.99720166776048702</v>
      </c>
      <c r="R172" s="72">
        <v>93989873304.550003</v>
      </c>
      <c r="S172" s="72">
        <v>94253626265.619995</v>
      </c>
      <c r="T172" s="72">
        <v>957889863263.19995</v>
      </c>
      <c r="V172" s="1">
        <v>41732</v>
      </c>
      <c r="W172" s="37">
        <v>0.388422045756326</v>
      </c>
      <c r="X172" s="72">
        <v>372065540297.94</v>
      </c>
      <c r="Y172" s="72">
        <v>957889863263.19995</v>
      </c>
      <c r="AA172" s="1">
        <v>41732</v>
      </c>
      <c r="AB172">
        <v>0.314038249540457</v>
      </c>
    </row>
    <row r="173" spans="1:28">
      <c r="A173" s="60">
        <v>41746</v>
      </c>
      <c r="B173" s="87">
        <v>0.41899770903391403</v>
      </c>
      <c r="C173" s="80">
        <v>0.25169457423695202</v>
      </c>
      <c r="D173" s="80">
        <v>0.27695663394785902</v>
      </c>
      <c r="E173" s="77">
        <f t="shared" si="8"/>
        <v>0.37569838390096</v>
      </c>
      <c r="F173" s="79">
        <f t="shared" si="9"/>
        <v>9.8741749953100977E-2</v>
      </c>
      <c r="G173" s="79">
        <f t="shared" si="10"/>
        <v>2.5262059710907003E-2</v>
      </c>
      <c r="H173" s="79">
        <f t="shared" si="11"/>
        <v>0.12400380966400798</v>
      </c>
      <c r="M173" s="1">
        <v>38322</v>
      </c>
      <c r="N173" s="72">
        <v>18499282812</v>
      </c>
      <c r="P173" s="1">
        <v>41739</v>
      </c>
      <c r="Q173" s="37">
        <v>0.99797986068341304</v>
      </c>
      <c r="R173" s="72">
        <v>94063220809.470001</v>
      </c>
      <c r="S173" s="72">
        <v>94253626265.619995</v>
      </c>
      <c r="T173" s="72">
        <v>957889863263.19995</v>
      </c>
      <c r="V173" s="1">
        <v>41739</v>
      </c>
      <c r="W173" s="37">
        <v>0.40452869269282299</v>
      </c>
      <c r="X173" s="72">
        <v>387493934129.57001</v>
      </c>
      <c r="Y173" s="72">
        <v>957889863263.19995</v>
      </c>
      <c r="AA173" s="1">
        <v>41739</v>
      </c>
      <c r="AB173">
        <v>0.34467498628586002</v>
      </c>
    </row>
    <row r="174" spans="1:28">
      <c r="A174" s="60">
        <v>41753</v>
      </c>
      <c r="B174" s="87">
        <v>0.41427601525024443</v>
      </c>
      <c r="C174" s="80">
        <v>0.28058021231610197</v>
      </c>
      <c r="D174" s="80">
        <v>0.30636975607074801</v>
      </c>
      <c r="E174" s="77">
        <f t="shared" si="8"/>
        <v>0.37412391054197702</v>
      </c>
      <c r="F174" s="79">
        <f t="shared" si="9"/>
        <v>6.7754154471229011E-2</v>
      </c>
      <c r="G174" s="79">
        <f t="shared" si="10"/>
        <v>2.5789543754646038E-2</v>
      </c>
      <c r="H174" s="79">
        <f t="shared" si="11"/>
        <v>9.3543698225875049E-2</v>
      </c>
      <c r="M174" s="1">
        <v>38353</v>
      </c>
      <c r="N174" s="72">
        <v>16183320998</v>
      </c>
      <c r="P174" s="1">
        <v>41746</v>
      </c>
      <c r="Q174" s="37">
        <v>0.99909395156288905</v>
      </c>
      <c r="R174" s="72">
        <v>94168227914.850006</v>
      </c>
      <c r="S174" s="72">
        <v>94253626265.619995</v>
      </c>
      <c r="T174" s="72">
        <v>957889863263.19995</v>
      </c>
      <c r="V174" s="1">
        <v>41746</v>
      </c>
      <c r="W174" s="37">
        <v>0.41899770903391398</v>
      </c>
      <c r="X174" s="72">
        <v>401353658214.09003</v>
      </c>
      <c r="Y174" s="72">
        <v>957889863263.19995</v>
      </c>
      <c r="AA174" s="1">
        <v>41746</v>
      </c>
      <c r="AB174">
        <v>0.37569838390096</v>
      </c>
    </row>
    <row r="175" spans="1:28">
      <c r="A175" s="60">
        <v>41760</v>
      </c>
      <c r="B175" s="87">
        <v>0.40922673931396869</v>
      </c>
      <c r="C175" s="80">
        <v>0.279448840397376</v>
      </c>
      <c r="D175" s="80">
        <v>0.30473155820130099</v>
      </c>
      <c r="E175" s="77">
        <f t="shared" si="8"/>
        <v>0.37361880682592702</v>
      </c>
      <c r="F175" s="79">
        <f t="shared" si="9"/>
        <v>6.888724862462603E-2</v>
      </c>
      <c r="G175" s="79">
        <f t="shared" si="10"/>
        <v>2.5282717803924992E-2</v>
      </c>
      <c r="H175" s="79">
        <f t="shared" si="11"/>
        <v>9.4169966428551022E-2</v>
      </c>
      <c r="M175" s="1">
        <v>38384</v>
      </c>
      <c r="N175" s="72">
        <v>11780475289</v>
      </c>
      <c r="P175" s="1">
        <v>41753</v>
      </c>
      <c r="Q175" s="37">
        <v>0.99908565332852906</v>
      </c>
      <c r="R175" s="72">
        <v>94167445776.169998</v>
      </c>
      <c r="S175" s="72">
        <v>94253626265.619995</v>
      </c>
      <c r="T175" s="72">
        <v>957889863263.19995</v>
      </c>
      <c r="V175" s="1">
        <v>41753</v>
      </c>
      <c r="W175" s="37">
        <v>0.41427601525024399</v>
      </c>
      <c r="X175" s="72">
        <v>396830795601.28003</v>
      </c>
      <c r="Y175" s="72">
        <v>957889863263.19995</v>
      </c>
      <c r="AA175" s="1">
        <v>41753</v>
      </c>
      <c r="AB175">
        <v>0.37412391054197702</v>
      </c>
    </row>
    <row r="176" spans="1:28">
      <c r="A176" s="60">
        <v>41767</v>
      </c>
      <c r="B176" s="87">
        <v>0.45351225783810156</v>
      </c>
      <c r="C176" s="80">
        <v>0.27758425345188897</v>
      </c>
      <c r="D176" s="80">
        <v>0.30466547690103202</v>
      </c>
      <c r="E176" s="77">
        <f t="shared" si="8"/>
        <v>0.42328848292124299</v>
      </c>
      <c r="F176" s="79">
        <f t="shared" si="9"/>
        <v>0.11862300602021097</v>
      </c>
      <c r="G176" s="79">
        <f t="shared" si="10"/>
        <v>2.7081223449143044E-2</v>
      </c>
      <c r="H176" s="79">
        <f t="shared" si="11"/>
        <v>0.14570422946935402</v>
      </c>
      <c r="M176" s="1">
        <v>38412</v>
      </c>
      <c r="N176" s="72">
        <v>16223378676</v>
      </c>
      <c r="P176" s="1">
        <v>41760</v>
      </c>
      <c r="Q176" s="37">
        <v>0.99908318408513996</v>
      </c>
      <c r="R176" s="72">
        <v>92237327719.020004</v>
      </c>
      <c r="S176" s="72">
        <v>92321969970.380005</v>
      </c>
      <c r="T176" s="72">
        <v>959568731284.31006</v>
      </c>
      <c r="V176" s="1">
        <v>41760</v>
      </c>
      <c r="W176" s="37">
        <v>0.40922673931396802</v>
      </c>
      <c r="X176" s="72">
        <v>392681183051.12</v>
      </c>
      <c r="Y176" s="72">
        <v>959568731284.31006</v>
      </c>
      <c r="AA176" s="1">
        <v>41760</v>
      </c>
      <c r="AB176">
        <v>0.37361880682592702</v>
      </c>
    </row>
    <row r="177" spans="1:28">
      <c r="A177" s="60">
        <v>41774</v>
      </c>
      <c r="B177" s="87">
        <v>0.45691985970382054</v>
      </c>
      <c r="C177" s="80">
        <v>0.32550344763156402</v>
      </c>
      <c r="D177" s="80">
        <v>0.35473146099265701</v>
      </c>
      <c r="E177" s="77">
        <f t="shared" si="8"/>
        <v>0.423626543923386</v>
      </c>
      <c r="F177" s="79">
        <f t="shared" si="9"/>
        <v>6.889508293072899E-2</v>
      </c>
      <c r="G177" s="79">
        <f t="shared" si="10"/>
        <v>2.9228013361092986E-2</v>
      </c>
      <c r="H177" s="79">
        <f t="shared" si="11"/>
        <v>9.8123096291821976E-2</v>
      </c>
      <c r="M177" s="1">
        <v>38443</v>
      </c>
      <c r="N177" s="72">
        <v>21147067571</v>
      </c>
      <c r="P177" s="1">
        <v>41767</v>
      </c>
      <c r="Q177" s="37">
        <v>0.99914685516756896</v>
      </c>
      <c r="R177" s="72">
        <v>92243205958.779999</v>
      </c>
      <c r="S177" s="72">
        <v>92321969970.380005</v>
      </c>
      <c r="T177" s="72">
        <v>959568731284.31006</v>
      </c>
      <c r="V177" s="1">
        <v>41767</v>
      </c>
      <c r="W177" s="37">
        <v>0.45351225783810101</v>
      </c>
      <c r="X177" s="72">
        <v>435176181875.59003</v>
      </c>
      <c r="Y177" s="72">
        <v>959568731284.31006</v>
      </c>
      <c r="AA177" s="1">
        <v>41767</v>
      </c>
      <c r="AB177">
        <v>0.42328848292124299</v>
      </c>
    </row>
    <row r="178" spans="1:28">
      <c r="A178" s="60">
        <v>41781</v>
      </c>
      <c r="B178" s="87">
        <v>0.50044950670899591</v>
      </c>
      <c r="C178" s="80">
        <v>0.32552411046597202</v>
      </c>
      <c r="D178" s="80">
        <v>0.35510750939955799</v>
      </c>
      <c r="E178" s="77">
        <f t="shared" si="8"/>
        <v>0.44575971286270699</v>
      </c>
      <c r="F178" s="79">
        <f t="shared" si="9"/>
        <v>9.0652203463149006E-2</v>
      </c>
      <c r="G178" s="79">
        <f t="shared" si="10"/>
        <v>2.9583398933585969E-2</v>
      </c>
      <c r="H178" s="79">
        <f t="shared" si="11"/>
        <v>0.12023560239673498</v>
      </c>
      <c r="M178" s="1">
        <v>38473</v>
      </c>
      <c r="N178" s="72">
        <v>19804723173</v>
      </c>
      <c r="P178" s="1">
        <v>41774</v>
      </c>
      <c r="Q178" s="37">
        <v>0.99915363248612299</v>
      </c>
      <c r="R178" s="72">
        <v>92243831654.179993</v>
      </c>
      <c r="S178" s="72">
        <v>92321969970.380005</v>
      </c>
      <c r="T178" s="72">
        <v>959568731284.31006</v>
      </c>
      <c r="V178" s="1">
        <v>41774</v>
      </c>
      <c r="W178" s="37">
        <v>0.45691985970381999</v>
      </c>
      <c r="X178" s="72">
        <v>438446010074.59998</v>
      </c>
      <c r="Y178" s="72">
        <v>959568731284.31006</v>
      </c>
      <c r="AA178" s="1">
        <v>41774</v>
      </c>
      <c r="AB178">
        <v>0.423626543923386</v>
      </c>
    </row>
    <row r="179" spans="1:28">
      <c r="A179" s="60">
        <v>41788</v>
      </c>
      <c r="B179" s="87">
        <v>0.51691546049332004</v>
      </c>
      <c r="C179" s="80">
        <v>0.347488455871724</v>
      </c>
      <c r="D179" s="80">
        <v>0.37813915561231398</v>
      </c>
      <c r="E179" s="77">
        <f t="shared" si="8"/>
        <v>0.447523173322597</v>
      </c>
      <c r="F179" s="79">
        <f t="shared" si="9"/>
        <v>6.9384017710283019E-2</v>
      </c>
      <c r="G179" s="79">
        <f t="shared" si="10"/>
        <v>3.0650699740589982E-2</v>
      </c>
      <c r="H179" s="79">
        <f t="shared" si="11"/>
        <v>0.100034717450873</v>
      </c>
      <c r="M179" s="1">
        <v>38504</v>
      </c>
      <c r="N179" s="72">
        <v>20575615896</v>
      </c>
      <c r="P179" s="1">
        <v>41781</v>
      </c>
      <c r="Q179" s="37">
        <v>0.99953529551618303</v>
      </c>
      <c r="R179" s="72">
        <v>92279067536.979996</v>
      </c>
      <c r="S179" s="72">
        <v>92321969970.380005</v>
      </c>
      <c r="T179" s="72">
        <v>959568731284.31006</v>
      </c>
      <c r="V179" s="1">
        <v>41781</v>
      </c>
      <c r="W179" s="37">
        <v>0.50044950670899502</v>
      </c>
      <c r="X179" s="72">
        <v>480215698224.60999</v>
      </c>
      <c r="Y179" s="72">
        <v>959568731284.31006</v>
      </c>
      <c r="AA179" s="1">
        <v>41781</v>
      </c>
      <c r="AB179">
        <v>0.44575971286270699</v>
      </c>
    </row>
    <row r="180" spans="1:28">
      <c r="A180" s="60">
        <v>41795</v>
      </c>
      <c r="B180" s="87">
        <v>0.52106283427340949</v>
      </c>
      <c r="C180" s="80">
        <v>0.34818390220270101</v>
      </c>
      <c r="D180" s="80">
        <v>0.38007735837086398</v>
      </c>
      <c r="E180" s="77">
        <f t="shared" si="8"/>
        <v>0.44809087040050999</v>
      </c>
      <c r="F180" s="79">
        <f t="shared" si="9"/>
        <v>6.8013512029646006E-2</v>
      </c>
      <c r="G180" s="79">
        <f t="shared" si="10"/>
        <v>3.189345616816297E-2</v>
      </c>
      <c r="H180" s="79">
        <f t="shared" si="11"/>
        <v>9.9906968197808976E-2</v>
      </c>
      <c r="M180" s="1">
        <v>38534</v>
      </c>
      <c r="N180" s="72">
        <v>20122690254</v>
      </c>
      <c r="P180" s="1">
        <v>41788</v>
      </c>
      <c r="Q180" s="37">
        <v>0.99967909435490199</v>
      </c>
      <c r="R180" s="72">
        <v>92292343329.050003</v>
      </c>
      <c r="S180" s="72">
        <v>92321969970.380005</v>
      </c>
      <c r="T180" s="72">
        <v>959568731284.31006</v>
      </c>
      <c r="V180" s="1">
        <v>41788</v>
      </c>
      <c r="W180" s="37">
        <v>0.51691546049332004</v>
      </c>
      <c r="X180" s="72">
        <v>496015912606.82001</v>
      </c>
      <c r="Y180" s="72">
        <v>959568731284.31006</v>
      </c>
      <c r="AA180" s="1">
        <v>41788</v>
      </c>
      <c r="AB180">
        <v>0.447523173322597</v>
      </c>
    </row>
    <row r="181" spans="1:28">
      <c r="A181" s="60">
        <v>41802</v>
      </c>
      <c r="B181" s="87">
        <v>0.45425380803935078</v>
      </c>
      <c r="C181" s="80">
        <v>0.346238128399389</v>
      </c>
      <c r="D181" s="80">
        <v>0.38136274564707001</v>
      </c>
      <c r="E181" s="77">
        <f t="shared" si="8"/>
        <v>0.422698502075878</v>
      </c>
      <c r="F181" s="79">
        <f t="shared" si="9"/>
        <v>4.133575642880799E-2</v>
      </c>
      <c r="G181" s="79">
        <f t="shared" si="10"/>
        <v>3.5124617247681011E-2</v>
      </c>
      <c r="H181" s="79">
        <f t="shared" si="11"/>
        <v>7.6460373676489002E-2</v>
      </c>
      <c r="M181" s="1">
        <v>38565</v>
      </c>
      <c r="N181" s="72">
        <v>25493095786</v>
      </c>
      <c r="P181" s="1">
        <v>41795</v>
      </c>
      <c r="Q181" s="37">
        <v>0.99969770208769004</v>
      </c>
      <c r="R181" s="72">
        <v>90435312202.410004</v>
      </c>
      <c r="S181" s="72">
        <v>90462658875.330002</v>
      </c>
      <c r="T181" s="72">
        <v>962942549695.22998</v>
      </c>
      <c r="V181" s="1">
        <v>41795</v>
      </c>
      <c r="W181" s="37">
        <v>0.52106283427340905</v>
      </c>
      <c r="X181" s="72">
        <v>501753574186.65997</v>
      </c>
      <c r="Y181" s="72">
        <v>962942549695.22998</v>
      </c>
      <c r="AA181" s="1">
        <v>41795</v>
      </c>
      <c r="AB181">
        <v>0.44809087040050999</v>
      </c>
    </row>
    <row r="182" spans="1:28">
      <c r="A182" s="60">
        <v>41809</v>
      </c>
      <c r="B182" s="87">
        <v>0.47647398145844211</v>
      </c>
      <c r="C182" s="80">
        <v>0.32274759646781798</v>
      </c>
      <c r="D182" s="80">
        <v>0.354558274605281</v>
      </c>
      <c r="E182" s="77">
        <f t="shared" si="8"/>
        <v>0.42445570084547102</v>
      </c>
      <c r="F182" s="79">
        <f t="shared" si="9"/>
        <v>6.9897426240190019E-2</v>
      </c>
      <c r="G182" s="79">
        <f t="shared" si="10"/>
        <v>3.1810678137463022E-2</v>
      </c>
      <c r="H182" s="79">
        <f t="shared" si="11"/>
        <v>0.10170810437765304</v>
      </c>
      <c r="M182" s="1">
        <v>38596</v>
      </c>
      <c r="N182" s="72">
        <v>30155629855</v>
      </c>
      <c r="P182" s="1">
        <v>41802</v>
      </c>
      <c r="Q182" s="37">
        <v>0.99914733993175697</v>
      </c>
      <c r="R182" s="72">
        <v>90385524978.440002</v>
      </c>
      <c r="S182" s="72">
        <v>90462658875.330002</v>
      </c>
      <c r="T182" s="72">
        <v>962942549695.22998</v>
      </c>
      <c r="V182" s="1">
        <v>41802</v>
      </c>
      <c r="W182" s="37">
        <v>0.45425380803935</v>
      </c>
      <c r="X182" s="72">
        <v>437420320122.17999</v>
      </c>
      <c r="Y182" s="72">
        <v>962942549695.22998</v>
      </c>
      <c r="AA182" s="1">
        <v>41802</v>
      </c>
      <c r="AB182">
        <v>0.422698502075878</v>
      </c>
    </row>
    <row r="183" spans="1:28">
      <c r="A183" s="60">
        <v>41816</v>
      </c>
      <c r="B183" s="87">
        <v>0.52106283427340949</v>
      </c>
      <c r="C183" s="80">
        <v>0.324184407069465</v>
      </c>
      <c r="D183" s="80">
        <v>0.35638375297164099</v>
      </c>
      <c r="E183" s="77">
        <f t="shared" si="8"/>
        <v>0.44809087040050999</v>
      </c>
      <c r="F183" s="79">
        <f t="shared" si="9"/>
        <v>9.1707117428869001E-2</v>
      </c>
      <c r="G183" s="79">
        <f t="shared" si="10"/>
        <v>3.2199345902175991E-2</v>
      </c>
      <c r="H183" s="79">
        <f t="shared" si="11"/>
        <v>0.12390646333104499</v>
      </c>
      <c r="M183" s="1">
        <v>38626</v>
      </c>
      <c r="N183" s="72">
        <v>25623019077</v>
      </c>
      <c r="P183" s="1">
        <v>41809</v>
      </c>
      <c r="Q183" s="37">
        <v>0.99925265564586996</v>
      </c>
      <c r="R183" s="72">
        <v>90395052117.960007</v>
      </c>
      <c r="S183" s="72">
        <v>90462658875.330002</v>
      </c>
      <c r="T183" s="72">
        <v>962942549695.22998</v>
      </c>
      <c r="V183" s="1">
        <v>41809</v>
      </c>
      <c r="W183" s="37">
        <v>0.476473981458442</v>
      </c>
      <c r="X183" s="72">
        <v>458817070569.03003</v>
      </c>
      <c r="Y183" s="72">
        <v>962942549695.22998</v>
      </c>
      <c r="AA183" s="1">
        <v>41809</v>
      </c>
      <c r="AB183">
        <v>0.42445570084547102</v>
      </c>
    </row>
    <row r="184" spans="1:28">
      <c r="A184" s="60">
        <v>41823</v>
      </c>
      <c r="B184" s="87">
        <v>0.53301594192210267</v>
      </c>
      <c r="C184" s="80">
        <v>0.346238128399389</v>
      </c>
      <c r="D184" s="80">
        <v>0.38136274564707001</v>
      </c>
      <c r="E184" s="77">
        <f t="shared" si="8"/>
        <v>0.47250294907145901</v>
      </c>
      <c r="F184" s="79">
        <f t="shared" si="9"/>
        <v>9.1140203424388999E-2</v>
      </c>
      <c r="G184" s="79">
        <f t="shared" si="10"/>
        <v>3.5124617247681011E-2</v>
      </c>
      <c r="H184" s="79">
        <f t="shared" si="11"/>
        <v>0.12626482067207001</v>
      </c>
      <c r="M184" s="1">
        <v>38657</v>
      </c>
      <c r="N184" s="72">
        <v>25195621631</v>
      </c>
      <c r="P184" s="1">
        <v>41816</v>
      </c>
      <c r="Q184" s="37">
        <v>0.99969770208769004</v>
      </c>
      <c r="R184" s="72">
        <v>90435312202.410004</v>
      </c>
      <c r="S184" s="72">
        <v>90462658875.330002</v>
      </c>
      <c r="T184" s="72">
        <v>962942549695.22998</v>
      </c>
      <c r="V184" s="1">
        <v>41816</v>
      </c>
      <c r="W184" s="37">
        <v>0.52106283427340905</v>
      </c>
      <c r="X184" s="72">
        <v>501753574186.65997</v>
      </c>
      <c r="Y184" s="72">
        <v>962942549695.22998</v>
      </c>
      <c r="AA184" s="1">
        <v>41816</v>
      </c>
      <c r="AB184">
        <v>0.44809087040050999</v>
      </c>
    </row>
    <row r="185" spans="1:28">
      <c r="A185" s="60">
        <v>41830</v>
      </c>
      <c r="B185" s="87">
        <v>0.46861230622739936</v>
      </c>
      <c r="C185" s="80">
        <v>0.36578907876503403</v>
      </c>
      <c r="D185" s="80">
        <v>0.40668349695613898</v>
      </c>
      <c r="E185" s="77">
        <f t="shared" si="8"/>
        <v>0.41937357622631599</v>
      </c>
      <c r="F185" s="79">
        <f t="shared" si="9"/>
        <v>1.2690079270177013E-2</v>
      </c>
      <c r="G185" s="79">
        <f t="shared" si="10"/>
        <v>4.0894418191104953E-2</v>
      </c>
      <c r="H185" s="79">
        <f t="shared" si="11"/>
        <v>5.3584497461281966E-2</v>
      </c>
      <c r="M185" s="1">
        <v>38687</v>
      </c>
      <c r="N185" s="72">
        <v>24144154407</v>
      </c>
      <c r="P185" s="1">
        <v>41823</v>
      </c>
      <c r="Q185" s="37">
        <v>0.99974137656936601</v>
      </c>
      <c r="R185" s="72">
        <v>88633245990.020004</v>
      </c>
      <c r="S185" s="72">
        <v>88656174554.029999</v>
      </c>
      <c r="T185" s="72">
        <v>965732069550.31006</v>
      </c>
      <c r="V185" s="1">
        <v>41823</v>
      </c>
      <c r="W185" s="37">
        <v>0.533015941922102</v>
      </c>
      <c r="X185" s="72">
        <v>514750588695.73999</v>
      </c>
      <c r="Y185" s="72">
        <v>965732069550.31006</v>
      </c>
      <c r="AA185" s="1">
        <v>41823</v>
      </c>
      <c r="AB185">
        <v>0.47250294907145901</v>
      </c>
    </row>
    <row r="186" spans="1:28">
      <c r="A186" s="60">
        <v>41837</v>
      </c>
      <c r="B186" s="87">
        <v>0.5093660772692542</v>
      </c>
      <c r="C186" s="80">
        <v>0.31805600486192798</v>
      </c>
      <c r="D186" s="80">
        <v>0.35127441371780599</v>
      </c>
      <c r="E186" s="77">
        <f t="shared" si="8"/>
        <v>0.442496626081467</v>
      </c>
      <c r="F186" s="79">
        <f t="shared" si="9"/>
        <v>9.1222212363661015E-2</v>
      </c>
      <c r="G186" s="79">
        <f t="shared" si="10"/>
        <v>3.3218408855878012E-2</v>
      </c>
      <c r="H186" s="79">
        <f t="shared" si="11"/>
        <v>0.12444062121953903</v>
      </c>
      <c r="M186" s="1">
        <v>38718</v>
      </c>
      <c r="N186" s="72">
        <v>22591715406</v>
      </c>
      <c r="P186" s="1">
        <v>41830</v>
      </c>
      <c r="Q186" s="37">
        <v>0.99923722313679497</v>
      </c>
      <c r="R186" s="72">
        <v>88588549675.300003</v>
      </c>
      <c r="S186" s="72">
        <v>88656174554.029999</v>
      </c>
      <c r="T186" s="72">
        <v>965732069550.31006</v>
      </c>
      <c r="V186" s="1">
        <v>41830</v>
      </c>
      <c r="W186" s="37">
        <v>0.46861230622739902</v>
      </c>
      <c r="X186" s="72">
        <v>452553932309.72998</v>
      </c>
      <c r="Y186" s="72">
        <v>965732069550.31006</v>
      </c>
      <c r="AA186" s="1">
        <v>41830</v>
      </c>
      <c r="AB186">
        <v>0.41937357622631599</v>
      </c>
    </row>
    <row r="187" spans="1:28">
      <c r="A187" s="60">
        <v>41844</v>
      </c>
      <c r="B187" s="87">
        <v>0.5093660772692542</v>
      </c>
      <c r="C187" s="80">
        <v>0.34009498441958502</v>
      </c>
      <c r="D187" s="80">
        <v>0.37569546518688601</v>
      </c>
      <c r="E187" s="77">
        <f t="shared" si="8"/>
        <v>0.442496626081467</v>
      </c>
      <c r="F187" s="79">
        <f t="shared" si="9"/>
        <v>6.6801160894580991E-2</v>
      </c>
      <c r="G187" s="79">
        <f t="shared" si="10"/>
        <v>3.560048076730099E-2</v>
      </c>
      <c r="H187" s="79">
        <f t="shared" si="11"/>
        <v>0.10240164166188198</v>
      </c>
      <c r="M187" s="1">
        <v>38749</v>
      </c>
      <c r="N187" s="72">
        <v>19251424306</v>
      </c>
      <c r="P187" s="1">
        <v>41837</v>
      </c>
      <c r="Q187" s="37">
        <v>0.99957054496563202</v>
      </c>
      <c r="R187" s="72">
        <v>88618100713.539993</v>
      </c>
      <c r="S187" s="72">
        <v>88656174554.029999</v>
      </c>
      <c r="T187" s="72">
        <v>965732069550.31006</v>
      </c>
      <c r="V187" s="1">
        <v>41837</v>
      </c>
      <c r="W187" s="37">
        <v>0.50936607726925398</v>
      </c>
      <c r="X187" s="72">
        <v>491911155959.96002</v>
      </c>
      <c r="Y187" s="72">
        <v>965732069550.31006</v>
      </c>
      <c r="AA187" s="1">
        <v>41837</v>
      </c>
      <c r="AB187">
        <v>0.442496626081467</v>
      </c>
    </row>
    <row r="188" spans="1:28">
      <c r="A188" s="60">
        <v>41851</v>
      </c>
      <c r="B188" s="87">
        <v>0.51665823055209925</v>
      </c>
      <c r="C188" s="80">
        <v>0.34009498441958502</v>
      </c>
      <c r="D188" s="80">
        <v>0.37569546518688601</v>
      </c>
      <c r="E188" s="77">
        <f t="shared" si="8"/>
        <v>0.44374218371659901</v>
      </c>
      <c r="F188" s="79">
        <f t="shared" si="9"/>
        <v>6.8046718529713002E-2</v>
      </c>
      <c r="G188" s="79">
        <f t="shared" si="10"/>
        <v>3.560048076730099E-2</v>
      </c>
      <c r="H188" s="79">
        <f t="shared" si="11"/>
        <v>0.10364719929701399</v>
      </c>
      <c r="M188" s="1">
        <v>38777</v>
      </c>
      <c r="N188" s="72">
        <v>18512350704</v>
      </c>
      <c r="P188" s="1">
        <v>41844</v>
      </c>
      <c r="Q188" s="37">
        <v>0.99957054496563202</v>
      </c>
      <c r="R188" s="72">
        <v>88618100713.539993</v>
      </c>
      <c r="S188" s="72">
        <v>88656174554.029999</v>
      </c>
      <c r="T188" s="72">
        <v>965732069550.31006</v>
      </c>
      <c r="V188" s="1">
        <v>41844</v>
      </c>
      <c r="W188" s="37">
        <v>0.50936607726925398</v>
      </c>
      <c r="X188" s="72">
        <v>491911155959.96002</v>
      </c>
      <c r="Y188" s="72">
        <v>965732069550.31006</v>
      </c>
      <c r="AA188" s="1">
        <v>41844</v>
      </c>
      <c r="AB188">
        <v>0.442496626081467</v>
      </c>
    </row>
    <row r="189" spans="1:28">
      <c r="A189" s="60">
        <v>41858</v>
      </c>
      <c r="B189" s="87">
        <v>0.47024534644528793</v>
      </c>
      <c r="C189" s="80">
        <v>0.34042369497045799</v>
      </c>
      <c r="D189" s="80">
        <v>0.37710616064306202</v>
      </c>
      <c r="E189" s="77">
        <f t="shared" si="8"/>
        <v>0.41288424367027698</v>
      </c>
      <c r="F189" s="79">
        <f t="shared" si="9"/>
        <v>3.5778083027214969E-2</v>
      </c>
      <c r="G189" s="79">
        <f t="shared" si="10"/>
        <v>3.6682465672604025E-2</v>
      </c>
      <c r="H189" s="79">
        <f t="shared" si="11"/>
        <v>7.2460548699818994E-2</v>
      </c>
      <c r="M189" s="1">
        <v>38808</v>
      </c>
      <c r="N189" s="72">
        <v>19884706577</v>
      </c>
      <c r="P189" s="1">
        <v>41851</v>
      </c>
      <c r="Q189" s="37">
        <v>0.99966437081929505</v>
      </c>
      <c r="R189" s="72">
        <v>88626418954.800003</v>
      </c>
      <c r="S189" s="72">
        <v>88656174554.029999</v>
      </c>
      <c r="T189" s="72">
        <v>965732069550.31006</v>
      </c>
      <c r="V189" s="1">
        <v>41851</v>
      </c>
      <c r="W189" s="37">
        <v>0.51665823055209903</v>
      </c>
      <c r="X189" s="72">
        <v>498953422241.28003</v>
      </c>
      <c r="Y189" s="72">
        <v>965732069550.31006</v>
      </c>
      <c r="AA189" s="1">
        <v>41851</v>
      </c>
      <c r="AB189">
        <v>0.44374218371659901</v>
      </c>
    </row>
    <row r="190" spans="1:28">
      <c r="A190" s="60">
        <v>41865</v>
      </c>
      <c r="B190" s="87">
        <v>0.51309051805748795</v>
      </c>
      <c r="C190" s="80">
        <v>0.31036061365073903</v>
      </c>
      <c r="D190" s="80">
        <v>0.34489863565206802</v>
      </c>
      <c r="E190" s="77">
        <f t="shared" si="8"/>
        <v>0.43702603863390799</v>
      </c>
      <c r="F190" s="79">
        <f t="shared" si="9"/>
        <v>9.2127402981839968E-2</v>
      </c>
      <c r="G190" s="79">
        <f t="shared" si="10"/>
        <v>3.4538022001328994E-2</v>
      </c>
      <c r="H190" s="79">
        <f t="shared" si="11"/>
        <v>0.12666542498316896</v>
      </c>
      <c r="M190" s="1">
        <v>38838</v>
      </c>
      <c r="N190" s="72">
        <v>17460525402</v>
      </c>
      <c r="P190" s="1">
        <v>41858</v>
      </c>
      <c r="Q190" s="37">
        <v>0.99931372301037602</v>
      </c>
      <c r="R190" s="72">
        <v>86761725263.009995</v>
      </c>
      <c r="S190" s="72">
        <v>86821308729.399994</v>
      </c>
      <c r="T190" s="72">
        <v>973741046049.64001</v>
      </c>
      <c r="V190" s="1">
        <v>41858</v>
      </c>
      <c r="W190" s="37">
        <v>0.47024534644528698</v>
      </c>
      <c r="X190" s="72">
        <v>457897195547.60999</v>
      </c>
      <c r="Y190" s="72">
        <v>973741046049.64001</v>
      </c>
      <c r="AA190" s="1">
        <v>41858</v>
      </c>
      <c r="AB190">
        <v>0.41288424367027698</v>
      </c>
    </row>
    <row r="191" spans="1:28">
      <c r="A191" s="60">
        <v>41872</v>
      </c>
      <c r="B191" s="87">
        <v>0.53891273072782475</v>
      </c>
      <c r="C191" s="80">
        <v>0.33263554438079002</v>
      </c>
      <c r="D191" s="80">
        <v>0.37048359025229799</v>
      </c>
      <c r="E191" s="77">
        <f t="shared" si="8"/>
        <v>0.46728360557677701</v>
      </c>
      <c r="F191" s="79">
        <f t="shared" si="9"/>
        <v>9.6800015324479016E-2</v>
      </c>
      <c r="G191" s="79">
        <f t="shared" si="10"/>
        <v>3.7848045871507974E-2</v>
      </c>
      <c r="H191" s="79">
        <f t="shared" si="11"/>
        <v>0.13464806119598699</v>
      </c>
      <c r="M191" s="1">
        <v>38869</v>
      </c>
      <c r="N191" s="72">
        <v>19609175088</v>
      </c>
      <c r="P191" s="1">
        <v>41865</v>
      </c>
      <c r="Q191" s="37">
        <v>0.99966839602706503</v>
      </c>
      <c r="R191" s="72">
        <v>86792518438.490005</v>
      </c>
      <c r="S191" s="72">
        <v>86821308729.399994</v>
      </c>
      <c r="T191" s="72">
        <v>973741046049.64001</v>
      </c>
      <c r="V191" s="1">
        <v>41865</v>
      </c>
      <c r="W191" s="37">
        <v>0.51309051805748696</v>
      </c>
      <c r="X191" s="72">
        <v>499617297771.45001</v>
      </c>
      <c r="Y191" s="72">
        <v>973741046049.64001</v>
      </c>
      <c r="AA191" s="1">
        <v>41865</v>
      </c>
      <c r="AB191">
        <v>0.43702603863390799</v>
      </c>
    </row>
    <row r="192" spans="1:28">
      <c r="A192" s="60">
        <v>41879</v>
      </c>
      <c r="B192" s="87">
        <v>0.53891273072782475</v>
      </c>
      <c r="C192" s="80">
        <v>0.35838762838330102</v>
      </c>
      <c r="D192" s="80">
        <v>0.40150628228700203</v>
      </c>
      <c r="E192" s="77">
        <f t="shared" si="8"/>
        <v>0.46728360557677701</v>
      </c>
      <c r="F192" s="79">
        <f t="shared" si="9"/>
        <v>6.577732328977498E-2</v>
      </c>
      <c r="G192" s="79">
        <f t="shared" si="10"/>
        <v>4.311865390370101E-2</v>
      </c>
      <c r="H192" s="79">
        <f t="shared" si="11"/>
        <v>0.10889597719347599</v>
      </c>
      <c r="M192" s="1">
        <v>38899</v>
      </c>
      <c r="N192" s="72">
        <v>19845449422</v>
      </c>
      <c r="P192" s="1">
        <v>41872</v>
      </c>
      <c r="Q192" s="37">
        <v>0.999744891181506</v>
      </c>
      <c r="R192" s="72">
        <v>86799159847.910004</v>
      </c>
      <c r="S192" s="72">
        <v>86821308729.399994</v>
      </c>
      <c r="T192" s="72">
        <v>973741046049.64001</v>
      </c>
      <c r="V192" s="1">
        <v>41872</v>
      </c>
      <c r="W192" s="37">
        <v>0.53891273072782397</v>
      </c>
      <c r="X192" s="72">
        <v>524761446148.38</v>
      </c>
      <c r="Y192" s="72">
        <v>973741046049.64001</v>
      </c>
      <c r="AA192" s="1">
        <v>41872</v>
      </c>
      <c r="AB192">
        <v>0.46728360557677701</v>
      </c>
    </row>
    <row r="193" spans="1:28">
      <c r="A193" s="60">
        <v>41886</v>
      </c>
      <c r="B193" s="87">
        <v>0.53504897285947772</v>
      </c>
      <c r="C193" s="80">
        <v>0.35838762838330102</v>
      </c>
      <c r="D193" s="80">
        <v>0.40150628228700203</v>
      </c>
      <c r="E193" s="77">
        <f t="shared" si="8"/>
        <v>0.46155019715384699</v>
      </c>
      <c r="F193" s="79">
        <f t="shared" si="9"/>
        <v>6.0043914866844961E-2</v>
      </c>
      <c r="G193" s="79">
        <f t="shared" si="10"/>
        <v>4.311865390370101E-2</v>
      </c>
      <c r="H193" s="79">
        <f t="shared" si="11"/>
        <v>0.10316256877054597</v>
      </c>
      <c r="M193" s="1">
        <v>38930</v>
      </c>
      <c r="N193" s="72">
        <v>21467105756</v>
      </c>
      <c r="P193" s="1">
        <v>41879</v>
      </c>
      <c r="Q193" s="37">
        <v>0.999744891181506</v>
      </c>
      <c r="R193" s="72">
        <v>86799159847.910004</v>
      </c>
      <c r="S193" s="72">
        <v>86821308729.399994</v>
      </c>
      <c r="T193" s="72">
        <v>973741046049.64001</v>
      </c>
      <c r="V193" s="1">
        <v>41879</v>
      </c>
      <c r="W193" s="37">
        <v>0.53891273072782397</v>
      </c>
      <c r="X193" s="72">
        <v>524761446148.38</v>
      </c>
      <c r="Y193" s="72">
        <v>973741046049.64001</v>
      </c>
      <c r="AA193" s="1">
        <v>41879</v>
      </c>
      <c r="AB193">
        <v>0.46728360557677701</v>
      </c>
    </row>
    <row r="194" spans="1:28">
      <c r="A194" s="60">
        <v>41893</v>
      </c>
      <c r="B194" s="87">
        <v>0.5257779345197845</v>
      </c>
      <c r="C194" s="80">
        <v>0.35124395630609401</v>
      </c>
      <c r="D194" s="80">
        <v>0.39564048824252901</v>
      </c>
      <c r="E194" s="77">
        <f t="shared" si="8"/>
        <v>0.46004558951219798</v>
      </c>
      <c r="F194" s="79">
        <f t="shared" si="9"/>
        <v>6.4405101269668974E-2</v>
      </c>
      <c r="G194" s="79">
        <f t="shared" si="10"/>
        <v>4.4396531936435002E-2</v>
      </c>
      <c r="H194" s="79">
        <f t="shared" si="11"/>
        <v>0.10880163320610398</v>
      </c>
      <c r="M194" s="1">
        <v>38961</v>
      </c>
      <c r="N194" s="72">
        <v>20873171686</v>
      </c>
      <c r="P194" s="1">
        <v>41886</v>
      </c>
      <c r="Q194" s="37">
        <v>0.99974029974552503</v>
      </c>
      <c r="R194" s="72">
        <v>85004427500</v>
      </c>
      <c r="S194" s="72">
        <v>85026508906</v>
      </c>
      <c r="T194" s="72">
        <v>979770354455.31006</v>
      </c>
      <c r="V194" s="1">
        <v>41886</v>
      </c>
      <c r="W194" s="37">
        <v>0.53504897285947695</v>
      </c>
      <c r="X194" s="72">
        <v>524225121789.47998</v>
      </c>
      <c r="Y194" s="72">
        <v>979770354455.31006</v>
      </c>
      <c r="AA194" s="1">
        <v>41886</v>
      </c>
      <c r="AB194">
        <v>0.46155019715384699</v>
      </c>
    </row>
    <row r="195" spans="1:28">
      <c r="A195" s="60">
        <v>41900</v>
      </c>
      <c r="B195" s="87">
        <v>0.43411017798804036</v>
      </c>
      <c r="C195" s="80">
        <v>0.350821387629207</v>
      </c>
      <c r="D195" s="80">
        <v>0.39402430051755699</v>
      </c>
      <c r="E195" s="77">
        <f t="shared" si="8"/>
        <v>0.40391624791160502</v>
      </c>
      <c r="F195" s="79">
        <f t="shared" si="9"/>
        <v>9.8919473940480285E-3</v>
      </c>
      <c r="G195" s="79">
        <f t="shared" si="10"/>
        <v>4.3202912888349987E-2</v>
      </c>
      <c r="H195" s="79">
        <f t="shared" si="11"/>
        <v>5.3094860282398015E-2</v>
      </c>
      <c r="M195" s="1">
        <v>38991</v>
      </c>
      <c r="N195" s="72">
        <v>18633170727</v>
      </c>
      <c r="P195" s="1">
        <v>41893</v>
      </c>
      <c r="Q195" s="37">
        <v>0.999732110499853</v>
      </c>
      <c r="R195" s="72">
        <v>85003731197.029999</v>
      </c>
      <c r="S195" s="72">
        <v>85026508906</v>
      </c>
      <c r="T195" s="72">
        <v>979770354455.31006</v>
      </c>
      <c r="V195" s="1">
        <v>41893</v>
      </c>
      <c r="W195" s="37">
        <v>0.52577793451978405</v>
      </c>
      <c r="X195" s="72">
        <v>515141633269.22998</v>
      </c>
      <c r="Y195" s="72">
        <v>979770354455.31006</v>
      </c>
      <c r="AA195" s="1">
        <v>41893</v>
      </c>
      <c r="AB195">
        <v>0.46004558951219798</v>
      </c>
    </row>
    <row r="196" spans="1:28">
      <c r="A196" s="60">
        <v>41907</v>
      </c>
      <c r="B196" s="87">
        <v>0.45486909993325186</v>
      </c>
      <c r="C196" s="80">
        <v>0.30185821114737799</v>
      </c>
      <c r="D196" s="80">
        <v>0.335786197250867</v>
      </c>
      <c r="E196" s="77">
        <f t="shared" ref="E196:E227" si="12">VLOOKUP(A196,AA196:AB423,2,0)</f>
        <v>0.40583884679985799</v>
      </c>
      <c r="F196" s="79">
        <f t="shared" ref="F196:F227" si="13">E196-D196</f>
        <v>7.0052649548990986E-2</v>
      </c>
      <c r="G196" s="79">
        <f t="shared" ref="G196:G227" si="14">H196-F196</f>
        <v>3.3927986103489016E-2</v>
      </c>
      <c r="H196" s="79">
        <f t="shared" ref="H196:H227" si="15">E196-C196</f>
        <v>0.10398063565248</v>
      </c>
      <c r="M196" s="1">
        <v>39022</v>
      </c>
      <c r="N196" s="72">
        <v>17417503580</v>
      </c>
      <c r="P196" s="1">
        <v>41900</v>
      </c>
      <c r="Q196" s="37">
        <v>0.99913888324885802</v>
      </c>
      <c r="R196" s="72">
        <v>84953291154.889999</v>
      </c>
      <c r="S196" s="72">
        <v>85026508906</v>
      </c>
      <c r="T196" s="72">
        <v>979770354455.31006</v>
      </c>
      <c r="V196" s="1">
        <v>41900</v>
      </c>
      <c r="W196" s="37">
        <v>0.43411017798804002</v>
      </c>
      <c r="X196" s="72">
        <v>425328282960</v>
      </c>
      <c r="Y196" s="72">
        <v>979770354455.31006</v>
      </c>
      <c r="AA196" s="1">
        <v>41900</v>
      </c>
      <c r="AB196">
        <v>0.40391624791160502</v>
      </c>
    </row>
    <row r="197" spans="1:28">
      <c r="A197" s="60">
        <v>41914</v>
      </c>
      <c r="B197" s="87">
        <v>0.47865989263762543</v>
      </c>
      <c r="C197" s="80">
        <v>0.303134887573904</v>
      </c>
      <c r="D197" s="80">
        <v>0.33779900726217199</v>
      </c>
      <c r="E197" s="77">
        <f t="shared" si="12"/>
        <v>0.41997935837741501</v>
      </c>
      <c r="F197" s="79">
        <f t="shared" si="13"/>
        <v>8.2180351115243022E-2</v>
      </c>
      <c r="G197" s="79">
        <f t="shared" si="14"/>
        <v>3.4664119688267991E-2</v>
      </c>
      <c r="H197" s="79">
        <f t="shared" si="15"/>
        <v>0.11684447080351101</v>
      </c>
      <c r="M197" s="1">
        <v>39052</v>
      </c>
      <c r="N197" s="72">
        <v>23496920384</v>
      </c>
      <c r="P197" s="1">
        <v>41907</v>
      </c>
      <c r="Q197" s="37">
        <v>0.99921622073730298</v>
      </c>
      <c r="R197" s="72">
        <v>84959866891.539993</v>
      </c>
      <c r="S197" s="72">
        <v>85026508906</v>
      </c>
      <c r="T197" s="72">
        <v>979770354455.31006</v>
      </c>
      <c r="V197" s="1">
        <v>41907</v>
      </c>
      <c r="W197" s="37">
        <v>0.45486909993325098</v>
      </c>
      <c r="X197" s="72">
        <v>445667259272.37</v>
      </c>
      <c r="Y197" s="72">
        <v>979770354455.31006</v>
      </c>
      <c r="AA197" s="1">
        <v>41907</v>
      </c>
      <c r="AB197">
        <v>0.40583884679985799</v>
      </c>
    </row>
    <row r="198" spans="1:28">
      <c r="A198" s="60">
        <v>41921</v>
      </c>
      <c r="B198" s="87">
        <v>0.5223034520698695</v>
      </c>
      <c r="C198" s="80">
        <v>0.31668157332951902</v>
      </c>
      <c r="D198" s="80">
        <v>0.35298059221452499</v>
      </c>
      <c r="E198" s="77">
        <f t="shared" si="12"/>
        <v>0.45169554196659301</v>
      </c>
      <c r="F198" s="79">
        <f t="shared" si="13"/>
        <v>9.8714949752068015E-2</v>
      </c>
      <c r="G198" s="79">
        <f t="shared" si="14"/>
        <v>3.6299018885005974E-2</v>
      </c>
      <c r="H198" s="79">
        <f t="shared" si="15"/>
        <v>0.13501396863707399</v>
      </c>
      <c r="M198" s="1">
        <v>39083</v>
      </c>
      <c r="N198" s="72">
        <v>20737956799</v>
      </c>
      <c r="P198" s="1">
        <v>41914</v>
      </c>
      <c r="Q198" s="37">
        <v>0.99950784003550197</v>
      </c>
      <c r="R198" s="72">
        <v>83222125277.210007</v>
      </c>
      <c r="S198" s="72">
        <v>83263104043.539993</v>
      </c>
      <c r="T198" s="72">
        <v>986114159499.87</v>
      </c>
      <c r="V198" s="1">
        <v>41914</v>
      </c>
      <c r="W198" s="37">
        <v>0.47865989263762498</v>
      </c>
      <c r="X198" s="72">
        <v>472013297714.65002</v>
      </c>
      <c r="Y198" s="72">
        <v>986114159499.87</v>
      </c>
      <c r="AA198" s="1">
        <v>41914</v>
      </c>
      <c r="AB198">
        <v>0.41997935837741501</v>
      </c>
    </row>
    <row r="199" spans="1:28">
      <c r="A199" s="60">
        <v>41928</v>
      </c>
      <c r="B199" s="87">
        <v>0.58710562488184848</v>
      </c>
      <c r="C199" s="80">
        <v>0.34232551793557098</v>
      </c>
      <c r="D199" s="80">
        <v>0.38553330142435899</v>
      </c>
      <c r="E199" s="77">
        <f t="shared" si="12"/>
        <v>0.51980506858976505</v>
      </c>
      <c r="F199" s="79">
        <f t="shared" si="13"/>
        <v>0.13427176716540606</v>
      </c>
      <c r="G199" s="79">
        <f t="shared" si="14"/>
        <v>4.320778348878801E-2</v>
      </c>
      <c r="H199" s="79">
        <f t="shared" si="15"/>
        <v>0.17747955065419407</v>
      </c>
      <c r="M199" s="1">
        <v>39114</v>
      </c>
      <c r="N199" s="72">
        <v>25809522397</v>
      </c>
      <c r="P199" s="1">
        <v>41921</v>
      </c>
      <c r="Q199" s="37">
        <v>0.99972727886582102</v>
      </c>
      <c r="R199" s="72">
        <v>83240396435.369995</v>
      </c>
      <c r="S199" s="72">
        <v>83263104043.539993</v>
      </c>
      <c r="T199" s="72">
        <v>986114159499.87</v>
      </c>
      <c r="V199" s="1">
        <v>41921</v>
      </c>
      <c r="W199" s="37">
        <v>0.52230345206986895</v>
      </c>
      <c r="X199" s="72">
        <v>515050829641.76001</v>
      </c>
      <c r="Y199" s="72">
        <v>986114159499.87</v>
      </c>
      <c r="AA199" s="1">
        <v>41921</v>
      </c>
      <c r="AB199">
        <v>0.45169554196659301</v>
      </c>
    </row>
    <row r="200" spans="1:28">
      <c r="A200" s="60">
        <v>41935</v>
      </c>
      <c r="B200" s="87">
        <v>0.59748600290895393</v>
      </c>
      <c r="C200" s="80">
        <v>0.40285473187500098</v>
      </c>
      <c r="D200" s="80">
        <v>0.45862210331192299</v>
      </c>
      <c r="E200" s="77">
        <f t="shared" si="12"/>
        <v>0.54836202509473897</v>
      </c>
      <c r="F200" s="79">
        <f t="shared" si="13"/>
        <v>8.9739921782815979E-2</v>
      </c>
      <c r="G200" s="79">
        <f t="shared" si="14"/>
        <v>5.5767371436922009E-2</v>
      </c>
      <c r="H200" s="79">
        <f t="shared" si="15"/>
        <v>0.14550729321973799</v>
      </c>
      <c r="M200" s="1">
        <v>39142</v>
      </c>
      <c r="N200" s="72">
        <v>24007844010</v>
      </c>
      <c r="P200" s="1">
        <v>41928</v>
      </c>
      <c r="Q200" s="37">
        <v>0.999910565099565</v>
      </c>
      <c r="R200" s="72">
        <v>83255657416.119995</v>
      </c>
      <c r="S200" s="72">
        <v>83263104043.539993</v>
      </c>
      <c r="T200" s="72">
        <v>986114159499.87</v>
      </c>
      <c r="V200" s="1">
        <v>41928</v>
      </c>
      <c r="W200" s="37">
        <v>0.58710562488184803</v>
      </c>
      <c r="X200" s="72">
        <v>578953169818.01001</v>
      </c>
      <c r="Y200" s="72">
        <v>986114159499.87</v>
      </c>
      <c r="AA200" s="1">
        <v>41928</v>
      </c>
      <c r="AB200">
        <v>0.51980506858976505</v>
      </c>
    </row>
    <row r="201" spans="1:28">
      <c r="A201" s="60">
        <v>41942</v>
      </c>
      <c r="B201" s="87">
        <v>0.58498315146570623</v>
      </c>
      <c r="C201" s="80">
        <v>0.43224640519919799</v>
      </c>
      <c r="D201" s="80">
        <v>0.49010064863363401</v>
      </c>
      <c r="E201" s="77">
        <f t="shared" si="12"/>
        <v>0.51919369291780804</v>
      </c>
      <c r="F201" s="79">
        <f t="shared" si="13"/>
        <v>2.909304428417403E-2</v>
      </c>
      <c r="G201" s="79">
        <f t="shared" si="14"/>
        <v>5.7854243434436015E-2</v>
      </c>
      <c r="H201" s="79">
        <f t="shared" si="15"/>
        <v>8.6947287718610045E-2</v>
      </c>
      <c r="M201" s="1">
        <v>39173</v>
      </c>
      <c r="N201" s="72">
        <v>23186939791</v>
      </c>
      <c r="P201" s="1">
        <v>41935</v>
      </c>
      <c r="Q201" s="37">
        <v>0.999910565099565</v>
      </c>
      <c r="R201" s="72">
        <v>83255657416.119995</v>
      </c>
      <c r="S201" s="72">
        <v>83263104043.539993</v>
      </c>
      <c r="T201" s="72">
        <v>986114159499.87</v>
      </c>
      <c r="V201" s="1">
        <v>41935</v>
      </c>
      <c r="W201" s="37">
        <v>0.59748600290895304</v>
      </c>
      <c r="X201" s="72">
        <v>589189407571.5</v>
      </c>
      <c r="Y201" s="72">
        <v>986114159499.87</v>
      </c>
      <c r="AA201" s="1">
        <v>41935</v>
      </c>
      <c r="AB201">
        <v>0.54836202509473897</v>
      </c>
    </row>
    <row r="202" spans="1:28">
      <c r="A202" s="60">
        <v>41949</v>
      </c>
      <c r="B202" s="87">
        <v>0.56191456736441669</v>
      </c>
      <c r="C202" s="80">
        <v>0.40279530551033699</v>
      </c>
      <c r="D202" s="80">
        <v>0.45791499093723897</v>
      </c>
      <c r="E202" s="77">
        <f t="shared" si="12"/>
        <v>0.47675147024831299</v>
      </c>
      <c r="F202" s="79">
        <f t="shared" si="13"/>
        <v>1.8836479311074017E-2</v>
      </c>
      <c r="G202" s="79">
        <f t="shared" si="14"/>
        <v>5.5119685426901988E-2</v>
      </c>
      <c r="H202" s="79">
        <f t="shared" si="15"/>
        <v>7.3956164737976005E-2</v>
      </c>
      <c r="M202" s="1">
        <v>39203</v>
      </c>
      <c r="N202" s="72">
        <v>24740483744</v>
      </c>
      <c r="P202" s="1">
        <v>41942</v>
      </c>
      <c r="Q202" s="37">
        <v>0.999910565099565</v>
      </c>
      <c r="R202" s="72">
        <v>83255657416.119995</v>
      </c>
      <c r="S202" s="72">
        <v>83263104043.539993</v>
      </c>
      <c r="T202" s="72">
        <v>986114159499.87</v>
      </c>
      <c r="V202" s="1">
        <v>41942</v>
      </c>
      <c r="W202" s="37">
        <v>0.58498315146570601</v>
      </c>
      <c r="X202" s="72">
        <v>576860168729.18994</v>
      </c>
      <c r="Y202" s="72">
        <v>986114159499.87</v>
      </c>
      <c r="AA202" s="1">
        <v>41942</v>
      </c>
      <c r="AB202">
        <v>0.51919369291780804</v>
      </c>
    </row>
    <row r="203" spans="1:28">
      <c r="A203" s="60">
        <v>41956</v>
      </c>
      <c r="B203" s="87">
        <v>0.56913286805662044</v>
      </c>
      <c r="C203" s="80">
        <v>0.363805283856794</v>
      </c>
      <c r="D203" s="80">
        <v>0.41298189638604699</v>
      </c>
      <c r="E203" s="77">
        <f t="shared" si="12"/>
        <v>0.47692109100650398</v>
      </c>
      <c r="F203" s="79">
        <f t="shared" si="13"/>
        <v>6.3939194620456996E-2</v>
      </c>
      <c r="G203" s="79">
        <f t="shared" si="14"/>
        <v>4.9176612529252983E-2</v>
      </c>
      <c r="H203" s="79">
        <f t="shared" si="15"/>
        <v>0.11311580714970998</v>
      </c>
      <c r="M203" s="1">
        <v>39234</v>
      </c>
      <c r="N203" s="72">
        <v>23759643519</v>
      </c>
      <c r="P203" s="1">
        <v>41949</v>
      </c>
      <c r="Q203" s="37">
        <v>0.99990891626191702</v>
      </c>
      <c r="R203" s="72">
        <v>81485242622.970001</v>
      </c>
      <c r="S203" s="72">
        <v>81492665279.550003</v>
      </c>
      <c r="T203" s="72">
        <v>990667120327.02002</v>
      </c>
      <c r="V203" s="1">
        <v>41949</v>
      </c>
      <c r="W203" s="37">
        <v>0.56191456736441603</v>
      </c>
      <c r="X203" s="72">
        <v>556670286320.70996</v>
      </c>
      <c r="Y203" s="72">
        <v>990667120327.02002</v>
      </c>
      <c r="AA203" s="1">
        <v>41949</v>
      </c>
      <c r="AB203">
        <v>0.47675147024831299</v>
      </c>
    </row>
    <row r="204" spans="1:28">
      <c r="A204" s="60">
        <v>41963</v>
      </c>
      <c r="B204" s="87">
        <v>0.57641640154379037</v>
      </c>
      <c r="C204" s="80">
        <v>0.36393083176118401</v>
      </c>
      <c r="D204" s="80">
        <v>0.413158972870934</v>
      </c>
      <c r="E204" s="77">
        <f t="shared" si="12"/>
        <v>0.51122359708646703</v>
      </c>
      <c r="F204" s="79">
        <f t="shared" si="13"/>
        <v>9.8064624215533025E-2</v>
      </c>
      <c r="G204" s="79">
        <f t="shared" si="14"/>
        <v>4.922814110974999E-2</v>
      </c>
      <c r="H204" s="79">
        <f t="shared" si="15"/>
        <v>0.14729276532528301</v>
      </c>
      <c r="M204" s="1">
        <v>39264</v>
      </c>
      <c r="N204" s="72">
        <v>21485718456</v>
      </c>
      <c r="P204" s="1">
        <v>41956</v>
      </c>
      <c r="Q204" s="37">
        <v>0.99990891626191702</v>
      </c>
      <c r="R204" s="72">
        <v>81485242622.970001</v>
      </c>
      <c r="S204" s="72">
        <v>81492665279.550003</v>
      </c>
      <c r="T204" s="72">
        <v>990667120327.02002</v>
      </c>
      <c r="V204" s="1">
        <v>41956</v>
      </c>
      <c r="W204" s="37">
        <v>0.56913286805662</v>
      </c>
      <c r="X204" s="72">
        <v>563821219481.10999</v>
      </c>
      <c r="Y204" s="72">
        <v>990667120327.02002</v>
      </c>
      <c r="AA204" s="1">
        <v>41956</v>
      </c>
      <c r="AB204">
        <v>0.47692109100650398</v>
      </c>
    </row>
    <row r="205" spans="1:28">
      <c r="A205" s="60">
        <v>41969</v>
      </c>
      <c r="B205" s="87">
        <v>0.5815584292290823</v>
      </c>
      <c r="C205" s="80">
        <v>0.39464243161649398</v>
      </c>
      <c r="D205" s="80">
        <v>0.44955259080167498</v>
      </c>
      <c r="E205" s="77">
        <f t="shared" si="12"/>
        <v>0.51219644646725904</v>
      </c>
      <c r="F205" s="79">
        <f t="shared" si="13"/>
        <v>6.2643855665584058E-2</v>
      </c>
      <c r="G205" s="79">
        <f t="shared" si="14"/>
        <v>5.4910159185180996E-2</v>
      </c>
      <c r="H205" s="79">
        <f t="shared" si="15"/>
        <v>0.11755401485076505</v>
      </c>
      <c r="M205" s="1">
        <v>39295</v>
      </c>
      <c r="N205" s="72">
        <v>24515798220</v>
      </c>
      <c r="P205" s="1">
        <v>41963</v>
      </c>
      <c r="Q205" s="37">
        <v>0.99990891626191702</v>
      </c>
      <c r="R205" s="72">
        <v>81485242622.970001</v>
      </c>
      <c r="S205" s="72">
        <v>81492665279.550003</v>
      </c>
      <c r="T205" s="72">
        <v>990667120327.02002</v>
      </c>
      <c r="V205" s="1">
        <v>41963</v>
      </c>
      <c r="W205" s="37">
        <v>0.57641640154379004</v>
      </c>
      <c r="X205" s="72">
        <v>571036776626.65002</v>
      </c>
      <c r="Y205" s="72">
        <v>990667120327.02002</v>
      </c>
      <c r="AA205" s="1">
        <v>41963</v>
      </c>
      <c r="AB205">
        <v>0.51122359708646703</v>
      </c>
    </row>
    <row r="206" spans="1:28">
      <c r="A206" s="60">
        <v>41977</v>
      </c>
      <c r="B206" s="87">
        <v>0.5930900951939968</v>
      </c>
      <c r="C206" s="80">
        <v>0.39478657813594797</v>
      </c>
      <c r="D206" s="80">
        <v>0.45066656472309602</v>
      </c>
      <c r="E206" s="77">
        <f t="shared" si="12"/>
        <v>0.53668924865294498</v>
      </c>
      <c r="F206" s="79">
        <f t="shared" si="13"/>
        <v>8.6022683929848964E-2</v>
      </c>
      <c r="G206" s="79">
        <f t="shared" si="14"/>
        <v>5.5879986587148045E-2</v>
      </c>
      <c r="H206" s="79">
        <f t="shared" si="15"/>
        <v>0.14190267051699701</v>
      </c>
      <c r="M206" s="1">
        <v>39326</v>
      </c>
      <c r="N206" s="72">
        <v>27252669510</v>
      </c>
      <c r="P206" s="1">
        <v>41969</v>
      </c>
      <c r="Q206" s="37">
        <v>0.99990891626191702</v>
      </c>
      <c r="R206" s="72">
        <v>81485242622.970001</v>
      </c>
      <c r="S206" s="72">
        <v>81492665279.550003</v>
      </c>
      <c r="T206" s="72">
        <v>990667120327.02002</v>
      </c>
      <c r="V206" s="1">
        <v>41969</v>
      </c>
      <c r="W206" s="37">
        <v>0.58155842922908196</v>
      </c>
      <c r="X206" s="72">
        <v>576130814386.28003</v>
      </c>
      <c r="Y206" s="72">
        <v>990667120327.02002</v>
      </c>
      <c r="AA206" s="1">
        <v>41969</v>
      </c>
      <c r="AB206">
        <v>0.51219644646725904</v>
      </c>
    </row>
    <row r="207" spans="1:28">
      <c r="A207" s="60">
        <v>41984</v>
      </c>
      <c r="B207" s="87">
        <v>0.58486417412482083</v>
      </c>
      <c r="C207" s="80">
        <v>0.41779394948311799</v>
      </c>
      <c r="D207" s="80">
        <v>0.47792725629958699</v>
      </c>
      <c r="E207" s="77">
        <f t="shared" si="12"/>
        <v>0.53336704205084995</v>
      </c>
      <c r="F207" s="79">
        <f t="shared" si="13"/>
        <v>5.543978575126296E-2</v>
      </c>
      <c r="G207" s="79">
        <f t="shared" si="14"/>
        <v>6.0133306816469001E-2</v>
      </c>
      <c r="H207" s="79">
        <f t="shared" si="15"/>
        <v>0.11557309256773196</v>
      </c>
      <c r="M207" s="1">
        <v>39356</v>
      </c>
      <c r="N207" s="72">
        <v>22333589375</v>
      </c>
      <c r="P207" s="1">
        <v>41977</v>
      </c>
      <c r="Q207" s="37">
        <v>0.99990744170343104</v>
      </c>
      <c r="R207" s="72">
        <v>79923922323.389999</v>
      </c>
      <c r="S207" s="72">
        <v>79931320630.270004</v>
      </c>
      <c r="T207" s="72">
        <v>993537463910.87</v>
      </c>
      <c r="V207" s="1">
        <v>41977</v>
      </c>
      <c r="W207" s="37">
        <v>0.59309009519399603</v>
      </c>
      <c r="X207" s="72">
        <v>589257229049.69995</v>
      </c>
      <c r="Y207" s="72">
        <v>993537463910.87</v>
      </c>
      <c r="AA207" s="1">
        <v>41977</v>
      </c>
      <c r="AB207">
        <v>0.53668924865294498</v>
      </c>
    </row>
    <row r="208" spans="1:28">
      <c r="A208" s="60">
        <v>41991</v>
      </c>
      <c r="B208" s="87">
        <v>0.63917571751743196</v>
      </c>
      <c r="C208" s="80">
        <v>0.41674162737276199</v>
      </c>
      <c r="D208" s="80">
        <v>0.47411357431497397</v>
      </c>
      <c r="E208" s="77">
        <f t="shared" si="12"/>
        <v>0.57434180535542201</v>
      </c>
      <c r="F208" s="79">
        <f t="shared" si="13"/>
        <v>0.10022823104044803</v>
      </c>
      <c r="G208" s="79">
        <f t="shared" si="14"/>
        <v>5.7371946942211982E-2</v>
      </c>
      <c r="H208" s="79">
        <f t="shared" si="15"/>
        <v>0.15760017798266002</v>
      </c>
      <c r="M208" s="1">
        <v>39387</v>
      </c>
      <c r="N208" s="72">
        <v>25947982566</v>
      </c>
      <c r="P208" s="1">
        <v>41984</v>
      </c>
      <c r="Q208" s="37">
        <v>0.99990744170343104</v>
      </c>
      <c r="R208" s="72">
        <v>79923922323.389999</v>
      </c>
      <c r="S208" s="72">
        <v>79931320630.270004</v>
      </c>
      <c r="T208" s="72">
        <v>993537463910.87</v>
      </c>
      <c r="V208" s="1">
        <v>41984</v>
      </c>
      <c r="W208" s="37">
        <v>0.58486417412481995</v>
      </c>
      <c r="X208" s="72">
        <v>581084468292.30005</v>
      </c>
      <c r="Y208" s="72">
        <v>993537463910.87</v>
      </c>
      <c r="AA208" s="1">
        <v>41984</v>
      </c>
      <c r="AB208">
        <v>0.53336704205084995</v>
      </c>
    </row>
    <row r="209" spans="1:28">
      <c r="A209" s="60">
        <v>41997</v>
      </c>
      <c r="B209" s="87">
        <v>0.62652977193512516</v>
      </c>
      <c r="C209" s="80">
        <v>0.45273770907866101</v>
      </c>
      <c r="D209" s="80">
        <v>0.51872843856357098</v>
      </c>
      <c r="E209" s="77">
        <f t="shared" si="12"/>
        <v>0.57151301413759903</v>
      </c>
      <c r="F209" s="79">
        <f t="shared" si="13"/>
        <v>5.2784575574028048E-2</v>
      </c>
      <c r="G209" s="79">
        <f t="shared" si="14"/>
        <v>6.5990729484909971E-2</v>
      </c>
      <c r="H209" s="79">
        <f t="shared" si="15"/>
        <v>0.11877530505893802</v>
      </c>
      <c r="M209" s="1">
        <v>39417</v>
      </c>
      <c r="N209" s="72">
        <v>24311725673</v>
      </c>
      <c r="P209" s="1">
        <v>41991</v>
      </c>
      <c r="Q209" s="37">
        <v>0.99990744170343104</v>
      </c>
      <c r="R209" s="72">
        <v>79923922323.389999</v>
      </c>
      <c r="S209" s="72">
        <v>79931320630.270004</v>
      </c>
      <c r="T209" s="72">
        <v>993537463910.87</v>
      </c>
      <c r="V209" s="1">
        <v>41991</v>
      </c>
      <c r="W209" s="37">
        <v>0.63917571751743096</v>
      </c>
      <c r="X209" s="72">
        <v>635045021375.68005</v>
      </c>
      <c r="Y209" s="72">
        <v>993537463910.87</v>
      </c>
      <c r="AA209" s="1">
        <v>41991</v>
      </c>
      <c r="AB209">
        <v>0.57434180535542201</v>
      </c>
    </row>
    <row r="210" spans="1:28">
      <c r="A210" s="60">
        <v>42004</v>
      </c>
      <c r="B210" s="87">
        <v>0.59248885396328499</v>
      </c>
      <c r="C210" s="80">
        <v>0.44996183796017403</v>
      </c>
      <c r="D210" s="80">
        <v>0.515529212075723</v>
      </c>
      <c r="E210" s="77">
        <f t="shared" si="12"/>
        <v>0.53663456127837605</v>
      </c>
      <c r="F210" s="79">
        <f t="shared" si="13"/>
        <v>2.1105349202653056E-2</v>
      </c>
      <c r="G210" s="79">
        <f t="shared" si="14"/>
        <v>6.5567374115548971E-2</v>
      </c>
      <c r="H210" s="79">
        <f t="shared" si="15"/>
        <v>8.6672723318202027E-2</v>
      </c>
      <c r="M210" s="1">
        <v>39448</v>
      </c>
      <c r="N210" s="72">
        <v>23812880149</v>
      </c>
      <c r="P210" s="1">
        <v>41997</v>
      </c>
      <c r="Q210" s="37">
        <v>0.99990744170343104</v>
      </c>
      <c r="R210" s="72">
        <v>79923922323.389999</v>
      </c>
      <c r="S210" s="72">
        <v>79931320630.270004</v>
      </c>
      <c r="T210" s="72">
        <v>993537463910.87</v>
      </c>
      <c r="V210" s="1">
        <v>41997</v>
      </c>
      <c r="W210" s="37">
        <v>0.62652977193512505</v>
      </c>
      <c r="X210" s="72">
        <v>622480800673.07996</v>
      </c>
      <c r="Y210" s="72">
        <v>993537463910.87</v>
      </c>
      <c r="AA210" s="1">
        <v>41997</v>
      </c>
      <c r="AB210">
        <v>0.57151301413759903</v>
      </c>
    </row>
    <row r="211" spans="1:28">
      <c r="A211" s="60">
        <v>42012</v>
      </c>
      <c r="B211" s="87">
        <v>0.66856647147593873</v>
      </c>
      <c r="C211" s="80">
        <v>0.41775040408126601</v>
      </c>
      <c r="D211" s="80">
        <v>0.47786309276619199</v>
      </c>
      <c r="E211" s="77">
        <f t="shared" si="12"/>
        <v>0.59916849480803203</v>
      </c>
      <c r="F211" s="79">
        <f t="shared" si="13"/>
        <v>0.12130540204184004</v>
      </c>
      <c r="G211" s="79">
        <f t="shared" si="14"/>
        <v>6.0112688684925975E-2</v>
      </c>
      <c r="H211" s="79">
        <f t="shared" si="15"/>
        <v>0.18141809072676601</v>
      </c>
      <c r="M211" s="1">
        <v>39479</v>
      </c>
      <c r="N211" s="72">
        <v>34757009084</v>
      </c>
      <c r="P211" s="1">
        <v>42004</v>
      </c>
      <c r="Q211" s="37">
        <v>0.99990744170343104</v>
      </c>
      <c r="R211" s="72">
        <v>79923922323.389999</v>
      </c>
      <c r="S211" s="72">
        <v>79931320630.270004</v>
      </c>
      <c r="T211" s="72">
        <v>993537463910.87</v>
      </c>
      <c r="V211" s="1">
        <v>42004</v>
      </c>
      <c r="W211" s="37">
        <v>0.59248885396328499</v>
      </c>
      <c r="X211" s="72">
        <v>588659873362.14001</v>
      </c>
      <c r="Y211" s="72">
        <v>993537463910.87</v>
      </c>
      <c r="AA211" s="1">
        <v>42004</v>
      </c>
      <c r="AB211">
        <v>0.53663456127837605</v>
      </c>
    </row>
    <row r="212" spans="1:28">
      <c r="A212" s="60">
        <v>42019</v>
      </c>
      <c r="B212" s="87">
        <v>0.69441513932723864</v>
      </c>
      <c r="C212" s="80">
        <v>0.47713334056444601</v>
      </c>
      <c r="D212" s="80">
        <v>0.54657009543334001</v>
      </c>
      <c r="E212" s="77">
        <f t="shared" si="12"/>
        <v>0.65603248367827005</v>
      </c>
      <c r="F212" s="79">
        <f t="shared" si="13"/>
        <v>0.10946238824493004</v>
      </c>
      <c r="G212" s="79">
        <f t="shared" si="14"/>
        <v>6.9436754868894002E-2</v>
      </c>
      <c r="H212" s="79">
        <f t="shared" si="15"/>
        <v>0.17889914311382404</v>
      </c>
      <c r="M212" s="1">
        <v>39508</v>
      </c>
      <c r="N212" s="72">
        <v>31818141470</v>
      </c>
      <c r="P212" s="1">
        <v>42012</v>
      </c>
      <c r="Q212" s="37">
        <v>0.99990700946195299</v>
      </c>
      <c r="R212" s="72">
        <v>78233698979.75</v>
      </c>
      <c r="S212" s="72">
        <v>78240974650.080002</v>
      </c>
      <c r="T212" s="72">
        <v>995397888121.95996</v>
      </c>
      <c r="V212" s="1">
        <v>42012</v>
      </c>
      <c r="W212" s="37">
        <v>0.66856647147593795</v>
      </c>
      <c r="X212" s="72">
        <v>665489653776.30005</v>
      </c>
      <c r="Y212" s="72">
        <v>995397888121.95996</v>
      </c>
      <c r="AA212" s="1">
        <v>42012</v>
      </c>
      <c r="AB212">
        <v>0.59916849480803203</v>
      </c>
    </row>
    <row r="213" spans="1:28">
      <c r="A213" s="60">
        <v>42026</v>
      </c>
      <c r="B213" s="87">
        <v>0.69625439745521622</v>
      </c>
      <c r="C213" s="80">
        <v>0.53296054461027997</v>
      </c>
      <c r="D213" s="80">
        <v>0.61065980094002503</v>
      </c>
      <c r="E213" s="77">
        <f t="shared" si="12"/>
        <v>0.65743777734473896</v>
      </c>
      <c r="F213" s="79">
        <f t="shared" si="13"/>
        <v>4.6777976404713928E-2</v>
      </c>
      <c r="G213" s="79">
        <f t="shared" si="14"/>
        <v>7.7699256329745059E-2</v>
      </c>
      <c r="H213" s="79">
        <f t="shared" si="15"/>
        <v>0.12447723273445899</v>
      </c>
      <c r="M213" s="1">
        <v>39539</v>
      </c>
      <c r="N213" s="72">
        <v>31472713685</v>
      </c>
      <c r="P213" s="1">
        <v>42019</v>
      </c>
      <c r="Q213" s="37">
        <v>0.99990700946195299</v>
      </c>
      <c r="R213" s="72">
        <v>78233698979.75</v>
      </c>
      <c r="S213" s="72">
        <v>78240974650.080002</v>
      </c>
      <c r="T213" s="72">
        <v>995397888121.95996</v>
      </c>
      <c r="V213" s="1">
        <v>42019</v>
      </c>
      <c r="W213" s="37">
        <v>0.69441513932723797</v>
      </c>
      <c r="X213" s="72">
        <v>691219363166.25</v>
      </c>
      <c r="Y213" s="72">
        <v>995397888121.95996</v>
      </c>
      <c r="AA213" s="1">
        <v>42019</v>
      </c>
      <c r="AB213">
        <v>0.65603248367827005</v>
      </c>
    </row>
    <row r="214" spans="1:28">
      <c r="A214" s="60">
        <v>42033</v>
      </c>
      <c r="B214" s="87">
        <v>0.69441513932723864</v>
      </c>
      <c r="C214" s="80">
        <v>0.53525908703488601</v>
      </c>
      <c r="D214" s="80">
        <v>0.61221176462929705</v>
      </c>
      <c r="E214" s="77">
        <f t="shared" si="12"/>
        <v>0.65603248367827005</v>
      </c>
      <c r="F214" s="79">
        <f t="shared" si="13"/>
        <v>4.3820719048973E-2</v>
      </c>
      <c r="G214" s="79">
        <f t="shared" si="14"/>
        <v>7.6952677594411045E-2</v>
      </c>
      <c r="H214" s="79">
        <f t="shared" si="15"/>
        <v>0.12077339664338405</v>
      </c>
      <c r="M214" s="1">
        <v>39569</v>
      </c>
      <c r="N214" s="72">
        <v>32461138835</v>
      </c>
      <c r="P214" s="1">
        <v>42026</v>
      </c>
      <c r="Q214" s="37">
        <v>0.99990700946195299</v>
      </c>
      <c r="R214" s="72">
        <v>78233698979.75</v>
      </c>
      <c r="S214" s="72">
        <v>78240974650.080002</v>
      </c>
      <c r="T214" s="72">
        <v>995397888121.95996</v>
      </c>
      <c r="V214" s="1">
        <v>42026</v>
      </c>
      <c r="W214" s="37">
        <v>0.696254397455216</v>
      </c>
      <c r="X214" s="72">
        <v>693050156822.55005</v>
      </c>
      <c r="Y214" s="72">
        <v>995397888121.95996</v>
      </c>
      <c r="AA214" s="1">
        <v>42026</v>
      </c>
      <c r="AB214">
        <v>0.65743777734473896</v>
      </c>
    </row>
    <row r="215" spans="1:28">
      <c r="A215" s="60">
        <v>42040</v>
      </c>
      <c r="B215" s="87">
        <v>0.71728615544957119</v>
      </c>
      <c r="C215" s="80">
        <v>0.53296054461027997</v>
      </c>
      <c r="D215" s="80">
        <v>0.61065980094002503</v>
      </c>
      <c r="E215" s="77">
        <f t="shared" si="12"/>
        <v>0.65654204371407898</v>
      </c>
      <c r="F215" s="79">
        <f t="shared" si="13"/>
        <v>4.588224277405395E-2</v>
      </c>
      <c r="G215" s="79">
        <f t="shared" si="14"/>
        <v>7.7699256329745059E-2</v>
      </c>
      <c r="H215" s="79">
        <f t="shared" si="15"/>
        <v>0.12358149910379901</v>
      </c>
      <c r="M215" s="1">
        <v>39600</v>
      </c>
      <c r="N215" s="72">
        <v>28019352969</v>
      </c>
      <c r="P215" s="1">
        <v>42033</v>
      </c>
      <c r="Q215" s="37">
        <v>0.99990700946195299</v>
      </c>
      <c r="R215" s="72">
        <v>78233698979.75</v>
      </c>
      <c r="S215" s="72">
        <v>78240974650.080002</v>
      </c>
      <c r="T215" s="72">
        <v>995397888121.95996</v>
      </c>
      <c r="V215" s="1">
        <v>42033</v>
      </c>
      <c r="W215" s="37">
        <v>0.69441513932723797</v>
      </c>
      <c r="X215" s="72">
        <v>691219363166.25</v>
      </c>
      <c r="Y215" s="72">
        <v>995397888121.95996</v>
      </c>
      <c r="AA215" s="1">
        <v>42033</v>
      </c>
      <c r="AB215">
        <v>0.65603248367827005</v>
      </c>
    </row>
    <row r="216" spans="1:28">
      <c r="A216" s="60">
        <v>42047</v>
      </c>
      <c r="B216" s="87">
        <v>0.67961908546991245</v>
      </c>
      <c r="C216" s="80">
        <v>0.531964205535849</v>
      </c>
      <c r="D216" s="80">
        <v>0.61088327202867398</v>
      </c>
      <c r="E216" s="77">
        <f t="shared" si="12"/>
        <v>0.62891566924849096</v>
      </c>
      <c r="F216" s="79">
        <f t="shared" si="13"/>
        <v>1.8032397219816976E-2</v>
      </c>
      <c r="G216" s="79">
        <f t="shared" si="14"/>
        <v>7.8919066492824985E-2</v>
      </c>
      <c r="H216" s="79">
        <f t="shared" si="15"/>
        <v>9.6951463712641961E-2</v>
      </c>
      <c r="M216" s="1">
        <v>39630</v>
      </c>
      <c r="N216" s="72">
        <v>17133134516</v>
      </c>
      <c r="P216" s="1">
        <v>42040</v>
      </c>
      <c r="Q216" s="37">
        <v>0.99991051630866401</v>
      </c>
      <c r="R216" s="72">
        <v>76789958815.850006</v>
      </c>
      <c r="S216" s="72">
        <v>76796830879.759995</v>
      </c>
      <c r="T216" s="72">
        <v>1004847657816.76</v>
      </c>
      <c r="V216" s="1">
        <v>42040</v>
      </c>
      <c r="W216" s="37">
        <v>0.71728615544957097</v>
      </c>
      <c r="X216" s="72">
        <v>720763313287.89001</v>
      </c>
      <c r="Y216" s="72">
        <v>1004847657816.76</v>
      </c>
      <c r="AA216" s="1">
        <v>42040</v>
      </c>
      <c r="AB216">
        <v>0.65654204371407898</v>
      </c>
    </row>
    <row r="217" spans="1:28">
      <c r="A217" s="60">
        <v>42054</v>
      </c>
      <c r="B217" s="87">
        <v>0.65477542416340195</v>
      </c>
      <c r="C217" s="80">
        <v>0.50112937152177495</v>
      </c>
      <c r="D217" s="80">
        <v>0.57963018238461905</v>
      </c>
      <c r="E217" s="77">
        <f t="shared" si="12"/>
        <v>0.59089189370597495</v>
      </c>
      <c r="F217" s="79">
        <f t="shared" si="13"/>
        <v>1.1261711321355894E-2</v>
      </c>
      <c r="G217" s="79">
        <f t="shared" si="14"/>
        <v>7.8500810862844106E-2</v>
      </c>
      <c r="H217" s="79">
        <f t="shared" si="15"/>
        <v>8.97625221842E-2</v>
      </c>
      <c r="M217" s="1">
        <v>39661</v>
      </c>
      <c r="N217" s="72">
        <v>16719433906</v>
      </c>
      <c r="P217" s="1">
        <v>42047</v>
      </c>
      <c r="Q217" s="37">
        <v>0.999905709903949</v>
      </c>
      <c r="R217" s="72">
        <v>76789589699.199997</v>
      </c>
      <c r="S217" s="72">
        <v>76796830879.759995</v>
      </c>
      <c r="T217" s="72">
        <v>1004847657816.76</v>
      </c>
      <c r="V217" s="1">
        <v>42047</v>
      </c>
      <c r="W217" s="37">
        <v>0.67961908546991201</v>
      </c>
      <c r="X217" s="72">
        <v>682913646242.01001</v>
      </c>
      <c r="Y217" s="72">
        <v>1004847657816.76</v>
      </c>
      <c r="AA217" s="1">
        <v>42047</v>
      </c>
      <c r="AB217">
        <v>0.62891566924849096</v>
      </c>
    </row>
    <row r="218" spans="1:28">
      <c r="A218" s="60">
        <v>42061</v>
      </c>
      <c r="B218" s="87">
        <v>0.62665384357251297</v>
      </c>
      <c r="C218" s="80">
        <v>0.46787253141998503</v>
      </c>
      <c r="D218" s="80">
        <v>0.53686246920525704</v>
      </c>
      <c r="E218" s="77">
        <f t="shared" si="12"/>
        <v>0.56192400392824904</v>
      </c>
      <c r="F218" s="79">
        <f t="shared" si="13"/>
        <v>2.5061534722991996E-2</v>
      </c>
      <c r="G218" s="79">
        <f t="shared" si="14"/>
        <v>6.8989937785272015E-2</v>
      </c>
      <c r="H218" s="79">
        <f t="shared" si="15"/>
        <v>9.4051472508264011E-2</v>
      </c>
      <c r="M218" s="1">
        <v>39692</v>
      </c>
      <c r="N218" s="72">
        <v>16125202492</v>
      </c>
      <c r="P218" s="1">
        <v>42054</v>
      </c>
      <c r="Q218" s="37">
        <v>0.999905709903949</v>
      </c>
      <c r="R218" s="72">
        <v>76789589699.199997</v>
      </c>
      <c r="S218" s="72">
        <v>76796830879.759995</v>
      </c>
      <c r="T218" s="72">
        <v>1004847657816.76</v>
      </c>
      <c r="V218" s="1">
        <v>42054</v>
      </c>
      <c r="W218" s="37">
        <v>0.65477542416340095</v>
      </c>
      <c r="X218" s="72">
        <v>657949551366.56995</v>
      </c>
      <c r="Y218" s="72">
        <v>1004847657816.76</v>
      </c>
      <c r="AA218" s="1">
        <v>42054</v>
      </c>
      <c r="AB218">
        <v>0.59089189370597495</v>
      </c>
    </row>
    <row r="219" spans="1:28">
      <c r="A219" s="60">
        <v>42068</v>
      </c>
      <c r="B219" s="87">
        <v>0.64879793947367048</v>
      </c>
      <c r="C219" s="80">
        <v>0.43720530063230401</v>
      </c>
      <c r="D219" s="80">
        <v>0.50427101713461098</v>
      </c>
      <c r="E219" s="77">
        <f t="shared" si="12"/>
        <v>0.58504613614911405</v>
      </c>
      <c r="F219" s="79">
        <f t="shared" si="13"/>
        <v>8.0775119014503072E-2</v>
      </c>
      <c r="G219" s="79">
        <f t="shared" si="14"/>
        <v>6.7065716502306971E-2</v>
      </c>
      <c r="H219" s="79">
        <f t="shared" si="15"/>
        <v>0.14784083551681004</v>
      </c>
      <c r="M219" s="1">
        <v>39722</v>
      </c>
      <c r="N219" s="72">
        <v>12595295669</v>
      </c>
      <c r="P219" s="1">
        <v>42061</v>
      </c>
      <c r="Q219" s="37">
        <v>0.999905709903949</v>
      </c>
      <c r="R219" s="72">
        <v>76789589699.199997</v>
      </c>
      <c r="S219" s="72">
        <v>76796830879.759995</v>
      </c>
      <c r="T219" s="72">
        <v>1004847657816.76</v>
      </c>
      <c r="V219" s="1">
        <v>42061</v>
      </c>
      <c r="W219" s="37">
        <v>0.62665384357251297</v>
      </c>
      <c r="X219" s="72">
        <v>629691646975.70996</v>
      </c>
      <c r="Y219" s="72">
        <v>1004847657816.76</v>
      </c>
      <c r="AA219" s="1">
        <v>42061</v>
      </c>
      <c r="AB219">
        <v>0.56192400392824904</v>
      </c>
    </row>
    <row r="220" spans="1:28">
      <c r="A220" s="60">
        <v>42075</v>
      </c>
      <c r="B220" s="87">
        <v>0.56709086833409406</v>
      </c>
      <c r="C220" s="80">
        <v>0.45959407492170601</v>
      </c>
      <c r="D220" s="80">
        <v>0.52923216774975401</v>
      </c>
      <c r="E220" s="77">
        <f t="shared" si="12"/>
        <v>0.51677297350672402</v>
      </c>
      <c r="F220" s="79">
        <f t="shared" si="13"/>
        <v>-1.2459194243029992E-2</v>
      </c>
      <c r="G220" s="79">
        <f t="shared" si="14"/>
        <v>6.9638092828048004E-2</v>
      </c>
      <c r="H220" s="79">
        <f t="shared" si="15"/>
        <v>5.7178898585018012E-2</v>
      </c>
      <c r="M220" s="1">
        <v>39753</v>
      </c>
      <c r="N220" s="72">
        <v>12312793121</v>
      </c>
      <c r="P220" s="1">
        <v>42068</v>
      </c>
      <c r="Q220" s="37">
        <v>0.99990418189152297</v>
      </c>
      <c r="R220" s="72">
        <v>75310970548.160004</v>
      </c>
      <c r="S220" s="72">
        <v>75318187394.410004</v>
      </c>
      <c r="T220" s="72">
        <v>1005279593869.87</v>
      </c>
      <c r="V220" s="1">
        <v>42068</v>
      </c>
      <c r="W220" s="37">
        <v>0.64879793947367004</v>
      </c>
      <c r="X220" s="72">
        <v>652223329097.69995</v>
      </c>
      <c r="Y220" s="72">
        <v>1005279593869.87</v>
      </c>
      <c r="AA220" s="1">
        <v>42068</v>
      </c>
      <c r="AB220">
        <v>0.58504613614911405</v>
      </c>
    </row>
    <row r="221" spans="1:28">
      <c r="A221" s="60">
        <v>42082</v>
      </c>
      <c r="B221" s="87">
        <v>0.62625017100514624</v>
      </c>
      <c r="C221" s="80">
        <v>0.394169404360453</v>
      </c>
      <c r="D221" s="80">
        <v>0.45475870152619202</v>
      </c>
      <c r="E221" s="77">
        <f t="shared" si="12"/>
        <v>0.58275927647732095</v>
      </c>
      <c r="F221" s="79">
        <f t="shared" si="13"/>
        <v>0.12800057495112893</v>
      </c>
      <c r="G221" s="79">
        <f t="shared" si="14"/>
        <v>6.058929716573902E-2</v>
      </c>
      <c r="H221" s="79">
        <f t="shared" si="15"/>
        <v>0.18858987211686795</v>
      </c>
      <c r="M221" s="1">
        <v>39783</v>
      </c>
      <c r="N221" s="72">
        <v>13600640787</v>
      </c>
      <c r="P221" s="1">
        <v>42075</v>
      </c>
      <c r="Q221" s="37">
        <v>0.99990418189152297</v>
      </c>
      <c r="R221" s="72">
        <v>75310970548.160004</v>
      </c>
      <c r="S221" s="72">
        <v>75318187394.410004</v>
      </c>
      <c r="T221" s="72">
        <v>1005279593869.87</v>
      </c>
      <c r="V221" s="1">
        <v>42075</v>
      </c>
      <c r="W221" s="37">
        <v>0.56709086833409394</v>
      </c>
      <c r="X221" s="72">
        <v>570084877806.20996</v>
      </c>
      <c r="Y221" s="72">
        <v>1005279593869.87</v>
      </c>
      <c r="AA221" s="1">
        <v>42075</v>
      </c>
      <c r="AB221">
        <v>0.51677297350672402</v>
      </c>
    </row>
    <row r="222" spans="1:28">
      <c r="A222" s="60">
        <v>42089</v>
      </c>
      <c r="B222" s="87">
        <v>0.67177281536533184</v>
      </c>
      <c r="C222" s="80">
        <v>0.45850870301610303</v>
      </c>
      <c r="D222" s="80">
        <v>0.52662977972920499</v>
      </c>
      <c r="E222" s="77">
        <f t="shared" si="12"/>
        <v>0.62291663527341601</v>
      </c>
      <c r="F222" s="79">
        <f t="shared" si="13"/>
        <v>9.6286855544211014E-2</v>
      </c>
      <c r="G222" s="79">
        <f t="shared" si="14"/>
        <v>6.8121076713101969E-2</v>
      </c>
      <c r="H222" s="79">
        <f t="shared" si="15"/>
        <v>0.16440793225731298</v>
      </c>
      <c r="M222" s="1">
        <v>39814</v>
      </c>
      <c r="N222" s="72">
        <v>14502119988</v>
      </c>
      <c r="P222" s="1">
        <v>42082</v>
      </c>
      <c r="Q222" s="37">
        <v>0.99990418189152297</v>
      </c>
      <c r="R222" s="72">
        <v>75310970548.160004</v>
      </c>
      <c r="S222" s="72">
        <v>75318187394.410004</v>
      </c>
      <c r="T222" s="72">
        <v>1005279593869.87</v>
      </c>
      <c r="V222" s="1">
        <v>42082</v>
      </c>
      <c r="W222" s="37">
        <v>0.62625017100514602</v>
      </c>
      <c r="X222" s="72">
        <v>629556517568.98999</v>
      </c>
      <c r="Y222" s="72">
        <v>1005279593869.87</v>
      </c>
      <c r="AA222" s="1">
        <v>42082</v>
      </c>
      <c r="AB222">
        <v>0.58275927647732095</v>
      </c>
    </row>
    <row r="223" spans="1:28">
      <c r="A223" s="60">
        <v>42096</v>
      </c>
      <c r="B223" s="87">
        <v>0.6565095101369548</v>
      </c>
      <c r="C223" s="80">
        <v>0.49264013227543102</v>
      </c>
      <c r="D223" s="80">
        <v>0.57162965928380105</v>
      </c>
      <c r="E223" s="77">
        <f t="shared" si="12"/>
        <v>0.60989773029744099</v>
      </c>
      <c r="F223" s="79">
        <f t="shared" si="13"/>
        <v>3.8268071013639937E-2</v>
      </c>
      <c r="G223" s="79">
        <f t="shared" si="14"/>
        <v>7.8989527008370031E-2</v>
      </c>
      <c r="H223" s="79">
        <f t="shared" si="15"/>
        <v>0.11725759802200997</v>
      </c>
      <c r="M223" s="1">
        <v>39845</v>
      </c>
      <c r="N223" s="72">
        <v>26598509615</v>
      </c>
      <c r="P223" s="1">
        <v>42089</v>
      </c>
      <c r="Q223" s="37">
        <v>0.99990418189152297</v>
      </c>
      <c r="R223" s="72">
        <v>75310970548.160004</v>
      </c>
      <c r="S223" s="72">
        <v>75318187394.410004</v>
      </c>
      <c r="T223" s="72">
        <v>1005279593869.87</v>
      </c>
      <c r="V223" s="1">
        <v>42089</v>
      </c>
      <c r="W223" s="37">
        <v>0.67177281536533096</v>
      </c>
      <c r="X223" s="72">
        <v>675319503003.28003</v>
      </c>
      <c r="Y223" s="72">
        <v>1005279593869.87</v>
      </c>
      <c r="AA223" s="1">
        <v>42089</v>
      </c>
      <c r="AB223">
        <v>0.62291663527341601</v>
      </c>
    </row>
    <row r="224" spans="1:28">
      <c r="A224" s="60">
        <v>42103</v>
      </c>
      <c r="B224" s="87">
        <v>0.67417257610562109</v>
      </c>
      <c r="C224" s="80">
        <v>0.47700652645494301</v>
      </c>
      <c r="D224" s="80">
        <v>0.55578836979509405</v>
      </c>
      <c r="E224" s="77">
        <f t="shared" si="12"/>
        <v>0.63605273893112901</v>
      </c>
      <c r="F224" s="79">
        <f t="shared" si="13"/>
        <v>8.0264369136034963E-2</v>
      </c>
      <c r="G224" s="79">
        <f t="shared" si="14"/>
        <v>7.8781843340151037E-2</v>
      </c>
      <c r="H224" s="79">
        <f t="shared" si="15"/>
        <v>0.159046212476186</v>
      </c>
      <c r="M224" s="1">
        <v>39873</v>
      </c>
      <c r="N224" s="72">
        <v>50864723037</v>
      </c>
      <c r="P224" s="1">
        <v>42096</v>
      </c>
      <c r="Q224" s="37">
        <v>0.99990220680032005</v>
      </c>
      <c r="R224" s="72">
        <v>73548609943.070007</v>
      </c>
      <c r="S224" s="72">
        <v>73555803200.419998</v>
      </c>
      <c r="T224" s="72">
        <v>1007938024702.64</v>
      </c>
      <c r="V224" s="1">
        <v>42096</v>
      </c>
      <c r="W224" s="37">
        <v>0.65650951013695402</v>
      </c>
      <c r="X224" s="72">
        <v>661720898845.93994</v>
      </c>
      <c r="Y224" s="72">
        <v>1007938024702.64</v>
      </c>
      <c r="AA224" s="1">
        <v>42096</v>
      </c>
      <c r="AB224">
        <v>0.60989773029744099</v>
      </c>
    </row>
    <row r="225" spans="1:28">
      <c r="A225" s="60">
        <v>42110</v>
      </c>
      <c r="B225" s="87">
        <v>0.65857343754719777</v>
      </c>
      <c r="C225" s="80">
        <v>0.505305541519944</v>
      </c>
      <c r="D225" s="80">
        <v>0.58517099495605296</v>
      </c>
      <c r="E225" s="77">
        <f t="shared" si="12"/>
        <v>0.61100400428288903</v>
      </c>
      <c r="F225" s="79">
        <f t="shared" si="13"/>
        <v>2.5833009326836076E-2</v>
      </c>
      <c r="G225" s="79">
        <f t="shared" si="14"/>
        <v>7.9865453436108957E-2</v>
      </c>
      <c r="H225" s="79">
        <f t="shared" si="15"/>
        <v>0.10569846276294503</v>
      </c>
      <c r="M225" s="1">
        <v>39904</v>
      </c>
      <c r="N225" s="72">
        <v>39411049919</v>
      </c>
      <c r="P225" s="1">
        <v>42103</v>
      </c>
      <c r="Q225" s="37">
        <v>0.99990220680032005</v>
      </c>
      <c r="R225" s="72">
        <v>73548609943.070007</v>
      </c>
      <c r="S225" s="72">
        <v>73555803200.419998</v>
      </c>
      <c r="T225" s="72">
        <v>1007938024702.64</v>
      </c>
      <c r="V225" s="1">
        <v>42103</v>
      </c>
      <c r="W225" s="37">
        <v>0.67417257610562098</v>
      </c>
      <c r="X225" s="72">
        <v>679524174668.58997</v>
      </c>
      <c r="Y225" s="72">
        <v>1007938024702.64</v>
      </c>
      <c r="AA225" s="1">
        <v>42103</v>
      </c>
      <c r="AB225">
        <v>0.63605273893112901</v>
      </c>
    </row>
    <row r="226" spans="1:28">
      <c r="A226" s="60">
        <v>42117</v>
      </c>
      <c r="B226" s="87">
        <v>0.68053352147964996</v>
      </c>
      <c r="C226" s="80">
        <v>0.47885281621922599</v>
      </c>
      <c r="D226" s="80">
        <v>0.556970480976966</v>
      </c>
      <c r="E226" s="77">
        <f t="shared" si="12"/>
        <v>0.63781716084616302</v>
      </c>
      <c r="F226" s="79">
        <f t="shared" si="13"/>
        <v>8.0846679869197025E-2</v>
      </c>
      <c r="G226" s="79">
        <f t="shared" si="14"/>
        <v>7.8117664757740013E-2</v>
      </c>
      <c r="H226" s="79">
        <f t="shared" si="15"/>
        <v>0.15896434462693704</v>
      </c>
      <c r="M226" s="1">
        <v>39934</v>
      </c>
      <c r="N226" s="72">
        <v>36690644610</v>
      </c>
      <c r="P226" s="1">
        <v>42110</v>
      </c>
      <c r="Q226" s="37">
        <v>0.99990220680032005</v>
      </c>
      <c r="R226" s="72">
        <v>73548609943.070007</v>
      </c>
      <c r="S226" s="72">
        <v>73555803200.419998</v>
      </c>
      <c r="T226" s="72">
        <v>1007938024702.64</v>
      </c>
      <c r="V226" s="1">
        <v>42110</v>
      </c>
      <c r="W226" s="37">
        <v>0.65857343754719699</v>
      </c>
      <c r="X226" s="72">
        <v>663801209762.94995</v>
      </c>
      <c r="Y226" s="72">
        <v>1007938024702.64</v>
      </c>
      <c r="AA226" s="1">
        <v>42110</v>
      </c>
      <c r="AB226">
        <v>0.61100400428288903</v>
      </c>
    </row>
    <row r="227" spans="1:28">
      <c r="A227" s="60">
        <v>42124</v>
      </c>
      <c r="B227" s="87">
        <v>0.66595023399780651</v>
      </c>
      <c r="C227" s="80">
        <v>0.50775672845638498</v>
      </c>
      <c r="D227" s="80">
        <v>0.58711925424012301</v>
      </c>
      <c r="E227" s="77">
        <f t="shared" si="12"/>
        <v>0.61234517356738905</v>
      </c>
      <c r="F227" s="79">
        <f t="shared" si="13"/>
        <v>2.5225919327266033E-2</v>
      </c>
      <c r="G227" s="79">
        <f t="shared" si="14"/>
        <v>7.9362525783738036E-2</v>
      </c>
      <c r="H227" s="79">
        <f t="shared" si="15"/>
        <v>0.10458844511100407</v>
      </c>
      <c r="M227" s="1">
        <v>39965</v>
      </c>
      <c r="N227" s="72">
        <v>51101496342</v>
      </c>
      <c r="P227" s="1">
        <v>42117</v>
      </c>
      <c r="Q227" s="37">
        <v>0.99990220680032005</v>
      </c>
      <c r="R227" s="72">
        <v>73548609943.070007</v>
      </c>
      <c r="S227" s="72">
        <v>73555803200.419998</v>
      </c>
      <c r="T227" s="72">
        <v>1007938024702.64</v>
      </c>
      <c r="V227" s="1">
        <v>42117</v>
      </c>
      <c r="W227" s="37">
        <v>0.68053352147964896</v>
      </c>
      <c r="X227" s="72">
        <v>685935613384.13</v>
      </c>
      <c r="Y227" s="72">
        <v>1007938024702.64</v>
      </c>
      <c r="AA227" s="1">
        <v>42117</v>
      </c>
      <c r="AB227">
        <v>0.63781716084616302</v>
      </c>
    </row>
    <row r="228" spans="1:28">
      <c r="A228" s="60"/>
      <c r="B228" s="87"/>
      <c r="M228" s="1">
        <v>39995</v>
      </c>
      <c r="N228" s="72">
        <v>35795908458</v>
      </c>
      <c r="P228" s="1">
        <v>42124</v>
      </c>
      <c r="Q228" s="37">
        <v>0.99990220680032005</v>
      </c>
      <c r="R228" s="72">
        <v>73548609943.070007</v>
      </c>
      <c r="S228" s="72">
        <v>73555803200.419998</v>
      </c>
      <c r="T228" s="72">
        <v>1007938024702.64</v>
      </c>
      <c r="V228" s="1">
        <v>42124</v>
      </c>
      <c r="W228" s="37">
        <v>0.66595023399780595</v>
      </c>
      <c r="X228" s="72">
        <v>671236563406.01001</v>
      </c>
      <c r="Y228" s="72">
        <v>1007938024702.64</v>
      </c>
      <c r="AA228" s="1">
        <v>42124</v>
      </c>
      <c r="AB228">
        <v>0.61234517356738905</v>
      </c>
    </row>
    <row r="229" spans="1:28">
      <c r="A229" s="60"/>
      <c r="B229" s="87"/>
      <c r="M229" s="1">
        <v>40026</v>
      </c>
      <c r="N229" s="72">
        <v>37195987892</v>
      </c>
      <c r="P229" s="1">
        <v>42131</v>
      </c>
      <c r="Q229" s="37">
        <v>0.99990023690756502</v>
      </c>
      <c r="R229" s="72">
        <v>71851635988.240005</v>
      </c>
      <c r="S229" s="72">
        <v>71858804844.830002</v>
      </c>
      <c r="T229" s="72">
        <v>1012157428690.4399</v>
      </c>
      <c r="V229" s="1">
        <v>42131</v>
      </c>
      <c r="W229" s="37">
        <v>0.58669515488164903</v>
      </c>
      <c r="X229" s="72">
        <v>593827859390.15002</v>
      </c>
      <c r="Y229" s="72">
        <v>1012157428690.4399</v>
      </c>
      <c r="AA229" s="1">
        <v>42131</v>
      </c>
      <c r="AB229">
        <v>0.53674789888222996</v>
      </c>
    </row>
    <row r="230" spans="1:28">
      <c r="A230" s="60"/>
      <c r="B230" s="87"/>
      <c r="M230" s="1">
        <v>40057</v>
      </c>
      <c r="N230" s="72">
        <v>25124133042</v>
      </c>
      <c r="P230" s="1">
        <v>42138</v>
      </c>
      <c r="Q230" s="37">
        <v>0.99990023690756502</v>
      </c>
      <c r="R230" s="72">
        <v>71851635988.240005</v>
      </c>
      <c r="S230" s="72">
        <v>71858804844.830002</v>
      </c>
      <c r="T230" s="72">
        <v>1012157428690.4399</v>
      </c>
      <c r="V230" s="1">
        <v>42138</v>
      </c>
      <c r="W230" s="37">
        <v>0.54296698467299398</v>
      </c>
      <c r="X230" s="72">
        <v>549568067070.41998</v>
      </c>
      <c r="Y230" s="72">
        <v>1012157428690.4399</v>
      </c>
      <c r="AA230" s="1">
        <v>42138</v>
      </c>
      <c r="AB230">
        <v>0.53038367568726097</v>
      </c>
    </row>
    <row r="231" spans="1:28">
      <c r="A231" s="62"/>
      <c r="B231" s="88"/>
      <c r="M231" s="1">
        <v>40087</v>
      </c>
      <c r="N231" s="72">
        <v>20626473033</v>
      </c>
    </row>
    <row r="232" spans="1:28">
      <c r="M232" s="1">
        <v>40118</v>
      </c>
      <c r="N232" s="72">
        <v>20911995560</v>
      </c>
    </row>
    <row r="233" spans="1:28">
      <c r="M233" s="1">
        <v>40148</v>
      </c>
      <c r="N233" s="72">
        <v>28691355245</v>
      </c>
    </row>
    <row r="234" spans="1:28">
      <c r="M234" s="1">
        <v>40179</v>
      </c>
      <c r="N234" s="72">
        <v>22259120578</v>
      </c>
    </row>
    <row r="235" spans="1:28">
      <c r="M235" s="1">
        <v>40210</v>
      </c>
      <c r="N235" s="72">
        <v>22459303639</v>
      </c>
    </row>
    <row r="236" spans="1:28">
      <c r="M236" s="1">
        <v>40238</v>
      </c>
      <c r="N236" s="72">
        <v>23197865417</v>
      </c>
    </row>
    <row r="237" spans="1:28">
      <c r="M237" s="1">
        <v>40269</v>
      </c>
      <c r="N237" s="72">
        <v>15835100089</v>
      </c>
    </row>
    <row r="238" spans="1:28">
      <c r="M238" s="1">
        <v>40299</v>
      </c>
      <c r="N238" s="72">
        <v>16357781220</v>
      </c>
    </row>
    <row r="239" spans="1:28">
      <c r="M239" s="1">
        <v>40330</v>
      </c>
      <c r="N239" s="72">
        <v>19232084697</v>
      </c>
    </row>
    <row r="240" spans="1:28">
      <c r="M240" s="1">
        <v>40360</v>
      </c>
      <c r="N240" s="72">
        <v>18488935001</v>
      </c>
    </row>
    <row r="241" spans="13:14">
      <c r="M241" s="1">
        <v>40391</v>
      </c>
      <c r="N241" s="72">
        <v>17563930917</v>
      </c>
    </row>
    <row r="242" spans="13:14">
      <c r="M242" s="1">
        <v>40422</v>
      </c>
      <c r="N242" s="72">
        <v>24003578319</v>
      </c>
    </row>
    <row r="243" spans="13:14">
      <c r="M243" s="1">
        <v>40452</v>
      </c>
      <c r="N243" s="72">
        <v>21887629747</v>
      </c>
    </row>
    <row r="244" spans="13:14">
      <c r="M244" s="1">
        <v>40483</v>
      </c>
      <c r="N244" s="72">
        <v>22886524503</v>
      </c>
    </row>
    <row r="245" spans="13:14">
      <c r="M245" s="1">
        <v>40513</v>
      </c>
      <c r="N245" s="72">
        <v>24977546118</v>
      </c>
    </row>
    <row r="246" spans="13:14">
      <c r="M246" s="1">
        <v>40544</v>
      </c>
      <c r="N246" s="72">
        <v>23440269250</v>
      </c>
    </row>
    <row r="247" spans="13:14">
      <c r="M247" s="1">
        <v>40575</v>
      </c>
      <c r="N247" s="72">
        <v>22055182161</v>
      </c>
    </row>
    <row r="248" spans="13:14">
      <c r="M248" s="1">
        <v>40603</v>
      </c>
      <c r="N248" s="72">
        <v>12219429090</v>
      </c>
    </row>
    <row r="249" spans="13:14">
      <c r="M249" s="1">
        <v>40634</v>
      </c>
      <c r="N249" s="72">
        <v>11349494815</v>
      </c>
    </row>
    <row r="250" spans="13:14">
      <c r="M250" s="1">
        <v>40664</v>
      </c>
      <c r="N250" s="72">
        <v>9991312936</v>
      </c>
    </row>
    <row r="251" spans="13:14">
      <c r="M251" s="1">
        <v>40695</v>
      </c>
      <c r="N251" s="72">
        <v>11185220636</v>
      </c>
    </row>
    <row r="252" spans="13:14">
      <c r="M252" s="1">
        <v>40725</v>
      </c>
      <c r="N252" s="72">
        <v>8993582649</v>
      </c>
    </row>
    <row r="253" spans="13:14">
      <c r="M253" s="1">
        <v>40756</v>
      </c>
      <c r="N253" s="72">
        <v>12434519221</v>
      </c>
    </row>
    <row r="254" spans="13:14">
      <c r="M254" s="1">
        <v>40787</v>
      </c>
      <c r="N254" s="72">
        <v>13033770395</v>
      </c>
    </row>
    <row r="255" spans="13:14">
      <c r="M255" s="1">
        <v>40817</v>
      </c>
      <c r="N255" s="72">
        <v>14105776489</v>
      </c>
    </row>
    <row r="256" spans="13:14">
      <c r="M256" s="1">
        <v>40848</v>
      </c>
      <c r="N256" s="72">
        <v>12790563886</v>
      </c>
    </row>
    <row r="257" spans="13:14">
      <c r="M257" s="1">
        <v>40878</v>
      </c>
      <c r="N257" s="72">
        <v>10127962005</v>
      </c>
    </row>
    <row r="258" spans="13:14">
      <c r="M258" s="1">
        <v>40909</v>
      </c>
      <c r="N258" s="72">
        <v>15694981721</v>
      </c>
    </row>
    <row r="259" spans="13:14">
      <c r="M259" s="1">
        <v>40940</v>
      </c>
      <c r="N259" s="72">
        <v>22415162418</v>
      </c>
    </row>
    <row r="260" spans="13:14">
      <c r="M260" s="1">
        <v>40969</v>
      </c>
      <c r="N260" s="72">
        <v>18854437343</v>
      </c>
    </row>
    <row r="261" spans="13:14">
      <c r="M261" s="1">
        <v>41000</v>
      </c>
      <c r="N261" s="72">
        <v>15751801296</v>
      </c>
    </row>
    <row r="262" spans="13:14">
      <c r="M262" s="1">
        <v>41030</v>
      </c>
      <c r="N262" s="72">
        <v>12333856104</v>
      </c>
    </row>
    <row r="263" spans="13:14">
      <c r="M263" s="1">
        <v>41061</v>
      </c>
      <c r="N263" s="72">
        <v>21944002937</v>
      </c>
    </row>
    <row r="264" spans="13:14">
      <c r="M264" s="1">
        <v>41091</v>
      </c>
      <c r="N264" s="72">
        <v>15639788861</v>
      </c>
    </row>
    <row r="265" spans="13:14">
      <c r="M265" s="1">
        <v>41122</v>
      </c>
      <c r="N265" s="72">
        <v>22086939191</v>
      </c>
    </row>
    <row r="266" spans="13:14">
      <c r="M266" s="1">
        <v>41153</v>
      </c>
      <c r="N266" s="72">
        <v>18138267457</v>
      </c>
    </row>
    <row r="267" spans="13:14">
      <c r="M267" s="1">
        <v>41183</v>
      </c>
      <c r="N267" s="72">
        <v>25663087591</v>
      </c>
    </row>
    <row r="268" spans="13:14">
      <c r="M268" s="1">
        <v>41214</v>
      </c>
      <c r="N268" s="72">
        <v>33628084674</v>
      </c>
    </row>
    <row r="269" spans="13:14">
      <c r="M269" s="1">
        <v>41244</v>
      </c>
      <c r="N269" s="72">
        <v>15134314101</v>
      </c>
    </row>
    <row r="270" spans="13:14">
      <c r="M270" s="1">
        <v>41275</v>
      </c>
      <c r="N270" s="72">
        <v>23986743073</v>
      </c>
    </row>
    <row r="271" spans="13:14">
      <c r="M271" s="1">
        <v>41306</v>
      </c>
      <c r="N271" s="72">
        <v>23601883890</v>
      </c>
    </row>
    <row r="272" spans="13:14">
      <c r="M272" s="1">
        <v>41334</v>
      </c>
      <c r="N272" s="72">
        <v>28820034957</v>
      </c>
    </row>
    <row r="273" spans="13:14">
      <c r="M273" s="1">
        <v>41365</v>
      </c>
      <c r="N273" s="72">
        <v>26722969673</v>
      </c>
    </row>
    <row r="274" spans="13:14">
      <c r="M274" s="1">
        <v>41395</v>
      </c>
      <c r="N274" s="72">
        <v>22022470256</v>
      </c>
    </row>
    <row r="275" spans="13:14">
      <c r="M275" s="1">
        <v>41426</v>
      </c>
      <c r="N275" s="72">
        <v>27103476795</v>
      </c>
    </row>
    <row r="276" spans="13:14">
      <c r="M276" s="1">
        <v>41456</v>
      </c>
      <c r="N276" s="72">
        <v>23236077309</v>
      </c>
    </row>
    <row r="277" spans="13:14">
      <c r="M277" s="1">
        <v>41487</v>
      </c>
      <c r="N277" s="72">
        <v>22850623164</v>
      </c>
    </row>
    <row r="278" spans="13:14">
      <c r="M278" s="1">
        <v>41518</v>
      </c>
      <c r="N278" s="72">
        <v>15926204977</v>
      </c>
    </row>
    <row r="279" spans="13:14">
      <c r="M279" s="1">
        <v>41548</v>
      </c>
      <c r="N279" s="72">
        <v>13207828533</v>
      </c>
    </row>
    <row r="280" spans="13:14">
      <c r="M280" s="1">
        <v>41579</v>
      </c>
      <c r="N280" s="72">
        <v>14847378025.16</v>
      </c>
    </row>
    <row r="281" spans="13:14">
      <c r="M281" s="1">
        <v>41609</v>
      </c>
      <c r="N281" s="72">
        <v>14949491761.860001</v>
      </c>
    </row>
    <row r="282" spans="13:14">
      <c r="M282" s="1">
        <v>41640</v>
      </c>
      <c r="N282" s="72">
        <v>13292679793.110001</v>
      </c>
    </row>
    <row r="283" spans="13:14">
      <c r="M283" s="1">
        <v>41671</v>
      </c>
      <c r="N283" s="72">
        <v>12379971146.09</v>
      </c>
    </row>
    <row r="284" spans="13:14">
      <c r="M284" s="1">
        <v>41699</v>
      </c>
      <c r="N284" s="72">
        <v>9428554570.9699993</v>
      </c>
    </row>
    <row r="285" spans="13:14">
      <c r="M285" s="1">
        <v>41730</v>
      </c>
      <c r="N285" s="72">
        <v>11880530808.85</v>
      </c>
    </row>
    <row r="286" spans="13:14">
      <c r="M286" s="1">
        <v>41760</v>
      </c>
      <c r="N286" s="72">
        <v>12516681808</v>
      </c>
    </row>
    <row r="287" spans="13:14">
      <c r="M287" s="1">
        <v>41791</v>
      </c>
      <c r="N287" s="72">
        <v>14701579178.41</v>
      </c>
    </row>
    <row r="288" spans="13:14">
      <c r="M288" s="1">
        <v>41821</v>
      </c>
      <c r="N288" s="72">
        <v>15222541962.790001</v>
      </c>
    </row>
    <row r="289" spans="13:14">
      <c r="M289" s="1">
        <v>41852</v>
      </c>
      <c r="N289" s="72">
        <v>20825128954</v>
      </c>
    </row>
    <row r="290" spans="13:14">
      <c r="M290" s="1">
        <v>41883</v>
      </c>
      <c r="N290" s="72">
        <v>18381551732.169998</v>
      </c>
    </row>
    <row r="291" spans="13:14">
      <c r="M291" s="1">
        <v>41913</v>
      </c>
      <c r="N291" s="72">
        <v>18446332655</v>
      </c>
    </row>
    <row r="292" spans="13:14">
      <c r="M292" s="1">
        <v>41944</v>
      </c>
      <c r="N292" s="72">
        <v>17090742855</v>
      </c>
    </row>
    <row r="293" spans="13:14">
      <c r="M293" s="1">
        <v>41974</v>
      </c>
      <c r="N293" s="72">
        <v>15224518569</v>
      </c>
    </row>
    <row r="294" spans="13:14">
      <c r="M294" s="1">
        <v>42005</v>
      </c>
      <c r="N294" s="72">
        <v>15748417227</v>
      </c>
    </row>
    <row r="295" spans="13:14">
      <c r="M295" s="1">
        <v>42036</v>
      </c>
      <c r="N295" s="72">
        <v>21941322811.049999</v>
      </c>
    </row>
    <row r="296" spans="13:14">
      <c r="M296" s="1">
        <v>42064</v>
      </c>
      <c r="N296" s="72">
        <v>17063457537.42</v>
      </c>
    </row>
    <row r="297" spans="13:14">
      <c r="M297" s="1">
        <v>42095</v>
      </c>
      <c r="N297" s="72">
        <v>23096670516.790001</v>
      </c>
    </row>
    <row r="298" spans="13:14">
      <c r="M298" s="1">
        <v>42125</v>
      </c>
      <c r="N298" s="72">
        <v>21517475281.060001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22</vt:i4>
      </vt:variant>
    </vt:vector>
  </HeadingPairs>
  <TitlesOfParts>
    <vt:vector size="32" baseType="lpstr">
      <vt:lpstr>Report</vt:lpstr>
      <vt:lpstr>PoolRefinancible</vt:lpstr>
      <vt:lpstr>Bloomberg</vt:lpstr>
      <vt:lpstr>Sheet3</vt:lpstr>
      <vt:lpstr>HARP LLPA</vt:lpstr>
      <vt:lpstr>HARPable Universe</vt:lpstr>
      <vt:lpstr>LogReturn</vt:lpstr>
      <vt:lpstr>Plot</vt:lpstr>
      <vt:lpstr>Current Paying PMI</vt:lpstr>
      <vt:lpstr>Pre 2005</vt:lpstr>
      <vt:lpstr>CurrentCloseDate</vt:lpstr>
      <vt:lpstr>DatabaseEnv</vt:lpstr>
      <vt:lpstr>DateToChangeLag</vt:lpstr>
      <vt:lpstr>PDFReportDir</vt:lpstr>
      <vt:lpstr>PDFReportName</vt:lpstr>
      <vt:lpstr>'HARP LLPA'!Print_Area</vt:lpstr>
      <vt:lpstr>'HARPable Universe'!Print_Area</vt:lpstr>
      <vt:lpstr>Report!Print_Area</vt:lpstr>
      <vt:lpstr>SaveRatesToDB</vt:lpstr>
      <vt:lpstr>'Current Paying PMI'!temp</vt:lpstr>
      <vt:lpstr>'Pre 2005'!temp</vt:lpstr>
      <vt:lpstr>'Current Paying PMI'!temp_1</vt:lpstr>
      <vt:lpstr>'Pre 2005'!temp_1</vt:lpstr>
      <vt:lpstr>'Pre 2005'!temp_2</vt:lpstr>
      <vt:lpstr>'Pre 2005'!temp_3</vt:lpstr>
      <vt:lpstr>'Pre 2005'!temp_4</vt:lpstr>
      <vt:lpstr>'HARPable Universe'!temp1</vt:lpstr>
      <vt:lpstr>PoolRefinancible!temp1</vt:lpstr>
      <vt:lpstr>'HARPable Universe'!temp1_1</vt:lpstr>
      <vt:lpstr>PoolRefinancible!temp1_1</vt:lpstr>
      <vt:lpstr>'HARPable Universe'!temp1_2</vt:lpstr>
      <vt:lpstr>PoolRefinancible!temp1_2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2015-05-07T14:16:00Z</cp:lastPrinted>
  <dcterms:created xsi:type="dcterms:W3CDTF">2006-09-16T00:00:00Z</dcterms:created>
  <dcterms:modified xsi:type="dcterms:W3CDTF">2015-06-08T19:33:21Z</dcterms:modified>
</cp:coreProperties>
</file>