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Query!#REF!</definedName>
    <definedName name="Query_from_Agency_12" localSheetId="3" hidden="1">'Function Of Rate'!$F$2:$P$3</definedName>
    <definedName name="Query_from_Agency_12" localSheetId="1" hidden="1">Query!#REF!</definedName>
    <definedName name="Query_from_Agency_13" localSheetId="3" hidden="1">'Function Of Rate'!$F$7:$P$8</definedName>
    <definedName name="Query_from_Agency_13" localSheetId="1" hidden="1">Query!$I$2:$J$1171</definedName>
    <definedName name="Query_from_Agency_14" localSheetId="3" hidden="1">'Function Of Rate'!$F$11:$P$12</definedName>
    <definedName name="Query_from_Agency_14" localSheetId="1" hidden="1">Query!$M$2:$N$1171</definedName>
    <definedName name="Query_from_Agency_15" localSheetId="3" hidden="1">'Function Of Rate'!$F$31:$P$32</definedName>
    <definedName name="Query_from_Agency_15" localSheetId="1" hidden="1">Query!$Q$2:$R$1171</definedName>
    <definedName name="Query_from_Agency_6" localSheetId="1" hidden="1">Query!$B$2:$C$445</definedName>
    <definedName name="Query_from_Agency_7" localSheetId="4" hidden="1">'Current Coupon'!$S$4:$U$8</definedName>
    <definedName name="Query_from_Agency_7" localSheetId="1" hidden="1">Query!#REF!</definedName>
    <definedName name="Query_from_Agency_8" localSheetId="4" hidden="1">'Current Coupon'!$A$4:$C$41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ServSpread">'Function Of Rate'!$C$9</definedName>
    <definedName name="SPREAD_DATE">'Function Of Rate'!$B$9</definedName>
    <definedName name="temp" localSheetId="1">Query!#REF!</definedName>
    <definedName name="temp_1" localSheetId="1">Query!#REF!</definedName>
    <definedName name="temp_17">#REF!</definedName>
    <definedName name="temp_2" localSheetId="1">Query!#REF!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267" i="18"/>
  <c r="D268" i="18"/>
  <c r="D269" i="18"/>
  <c r="D270" i="18"/>
  <c r="D271" i="18"/>
  <c r="D272" i="18"/>
  <c r="D273" i="18"/>
  <c r="D274" i="18"/>
  <c r="D275" i="18"/>
  <c r="D276" i="18"/>
  <c r="D277" i="18"/>
  <c r="D278" i="18"/>
  <c r="D279" i="18"/>
  <c r="D280" i="18"/>
  <c r="D281" i="18"/>
  <c r="D282" i="18"/>
  <c r="D283" i="18"/>
  <c r="D284" i="18"/>
  <c r="D285" i="18"/>
  <c r="D286" i="18"/>
  <c r="D287" i="18"/>
  <c r="D288" i="18"/>
  <c r="D289" i="18"/>
  <c r="D290" i="18"/>
  <c r="D291" i="18"/>
  <c r="D292" i="18"/>
  <c r="D293" i="18"/>
  <c r="D294" i="18"/>
  <c r="D295" i="18"/>
  <c r="D296" i="18"/>
  <c r="D297" i="18"/>
  <c r="D298" i="18"/>
  <c r="D299" i="18"/>
  <c r="D300" i="18"/>
  <c r="D301" i="18"/>
  <c r="D302" i="18"/>
  <c r="D303" i="18"/>
  <c r="D304" i="18"/>
  <c r="D305" i="18"/>
  <c r="D306" i="18"/>
  <c r="D307" i="18"/>
  <c r="D308" i="18"/>
  <c r="D309" i="18"/>
  <c r="D310" i="18"/>
  <c r="D311" i="18"/>
  <c r="D312" i="18"/>
  <c r="D313" i="18"/>
  <c r="D314" i="18"/>
  <c r="D315" i="18"/>
  <c r="D316" i="18"/>
  <c r="D317" i="18"/>
  <c r="D318" i="18"/>
  <c r="D319" i="18"/>
  <c r="D320" i="18"/>
  <c r="D321" i="18"/>
  <c r="D322" i="18"/>
  <c r="D323" i="18"/>
  <c r="D324" i="18"/>
  <c r="D325" i="18"/>
  <c r="D326" i="18"/>
  <c r="D327" i="18"/>
  <c r="D328" i="18"/>
  <c r="D329" i="18"/>
  <c r="D330" i="18"/>
  <c r="D331" i="18"/>
  <c r="D332" i="18"/>
  <c r="D333" i="18"/>
  <c r="D334" i="18"/>
  <c r="D335" i="18"/>
  <c r="D336" i="18"/>
  <c r="D337" i="18"/>
  <c r="D338" i="18"/>
  <c r="D339" i="18"/>
  <c r="D340" i="18"/>
  <c r="D341" i="18"/>
  <c r="D342" i="18"/>
  <c r="D343" i="18"/>
  <c r="D344" i="18"/>
  <c r="D345" i="18"/>
  <c r="D346" i="18"/>
  <c r="D347" i="18"/>
  <c r="D348" i="18"/>
  <c r="D349" i="18"/>
  <c r="D350" i="18"/>
  <c r="D351" i="18"/>
  <c r="D352" i="18"/>
  <c r="D353" i="18"/>
  <c r="D354" i="18"/>
  <c r="D355" i="18"/>
  <c r="D356" i="18"/>
  <c r="D357" i="18"/>
  <c r="D358" i="18"/>
  <c r="D359" i="18"/>
  <c r="D360" i="18"/>
  <c r="D361" i="18"/>
  <c r="D362" i="18"/>
  <c r="D363" i="18"/>
  <c r="D364" i="18"/>
  <c r="D365" i="18"/>
  <c r="D366" i="18"/>
  <c r="D367" i="18"/>
  <c r="D368" i="18"/>
  <c r="D369" i="18"/>
  <c r="D370" i="18"/>
  <c r="D371" i="18"/>
  <c r="D372" i="18"/>
  <c r="D373" i="18"/>
  <c r="D374" i="18"/>
  <c r="D375" i="18"/>
  <c r="D376" i="18"/>
  <c r="D377" i="18"/>
  <c r="D378" i="18"/>
  <c r="D379" i="18"/>
  <c r="D380" i="18"/>
  <c r="D381" i="18"/>
  <c r="D382" i="18"/>
  <c r="D383" i="18"/>
  <c r="D384" i="18"/>
  <c r="D385" i="18"/>
  <c r="D386" i="18"/>
  <c r="D387" i="18"/>
  <c r="D388" i="18"/>
  <c r="D389" i="18"/>
  <c r="D390" i="18"/>
  <c r="D391" i="18"/>
  <c r="D392" i="18"/>
  <c r="D393" i="18"/>
  <c r="D394" i="18"/>
  <c r="D395" i="18"/>
  <c r="D396" i="18"/>
  <c r="D397" i="18"/>
  <c r="D398" i="18"/>
  <c r="D399" i="18"/>
  <c r="D400" i="18"/>
  <c r="D401" i="18"/>
  <c r="D402" i="18"/>
  <c r="D403" i="18"/>
  <c r="D404" i="18"/>
  <c r="D405" i="18"/>
  <c r="D406" i="18"/>
  <c r="D407" i="18"/>
  <c r="D408" i="18"/>
  <c r="D409" i="18"/>
  <c r="D410" i="18"/>
  <c r="D411" i="18"/>
  <c r="D412" i="18"/>
  <c r="D413" i="18"/>
  <c r="D414" i="18"/>
  <c r="D415" i="18"/>
  <c r="D416" i="18"/>
  <c r="D417" i="18"/>
  <c r="D418" i="18"/>
  <c r="D419" i="18"/>
  <c r="D420" i="18"/>
  <c r="D421" i="18"/>
  <c r="D422" i="18"/>
  <c r="D423" i="18"/>
  <c r="D424" i="18"/>
  <c r="D425" i="18"/>
  <c r="D426" i="18"/>
  <c r="D427" i="18"/>
  <c r="D428" i="18"/>
  <c r="D429" i="18"/>
  <c r="D430" i="18"/>
  <c r="D431" i="18"/>
  <c r="D432" i="18"/>
  <c r="D433" i="18"/>
  <c r="D434" i="18"/>
  <c r="D435" i="18"/>
  <c r="D436" i="18"/>
  <c r="D437" i="18"/>
  <c r="D438" i="18"/>
  <c r="D439" i="18"/>
  <c r="D440" i="18"/>
  <c r="D441" i="18"/>
  <c r="D442" i="18"/>
  <c r="D443" i="18"/>
  <c r="D444" i="18"/>
  <c r="D445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D5" i="28"/>
  <c r="D6" i="28"/>
  <c r="D7" i="28"/>
  <c r="E7" i="28" s="1"/>
  <c r="H7" i="28" s="1"/>
  <c r="D8" i="28"/>
  <c r="E8" i="28" s="1"/>
  <c r="D9" i="28"/>
  <c r="E9" i="28" s="1"/>
  <c r="D10" i="28"/>
  <c r="E10" i="28" s="1"/>
  <c r="D11" i="28"/>
  <c r="D12" i="28"/>
  <c r="D13" i="28"/>
  <c r="D14" i="28"/>
  <c r="D15" i="28"/>
  <c r="E15" i="28" s="1"/>
  <c r="D16" i="28"/>
  <c r="E16" i="28" s="1"/>
  <c r="D17" i="28"/>
  <c r="E17" i="28" s="1"/>
  <c r="D18" i="28"/>
  <c r="E18" i="28" s="1"/>
  <c r="D19" i="28"/>
  <c r="D20" i="28"/>
  <c r="D21" i="28"/>
  <c r="D22" i="28"/>
  <c r="D23" i="28"/>
  <c r="E23" i="28" s="1"/>
  <c r="D24" i="28"/>
  <c r="E24" i="28" s="1"/>
  <c r="D25" i="28"/>
  <c r="E25" i="28" s="1"/>
  <c r="D26" i="28"/>
  <c r="E26" i="28" s="1"/>
  <c r="D27" i="28"/>
  <c r="D28" i="28"/>
  <c r="D29" i="28"/>
  <c r="D30" i="28"/>
  <c r="D31" i="28"/>
  <c r="E31" i="28" s="1"/>
  <c r="D32" i="28"/>
  <c r="E32" i="28" s="1"/>
  <c r="D33" i="28"/>
  <c r="E33" i="28" s="1"/>
  <c r="D34" i="28"/>
  <c r="E34" i="28" s="1"/>
  <c r="D35" i="28"/>
  <c r="D36" i="28"/>
  <c r="D37" i="28"/>
  <c r="D38" i="28"/>
  <c r="D39" i="28"/>
  <c r="E39" i="28" s="1"/>
  <c r="D40" i="28"/>
  <c r="E40" i="28" s="1"/>
  <c r="D41" i="28"/>
  <c r="E41" i="28" s="1"/>
  <c r="E5" i="28"/>
  <c r="H5" i="28" s="1"/>
  <c r="E6" i="28"/>
  <c r="H6" i="28" s="1"/>
  <c r="E12" i="28"/>
  <c r="E13" i="28"/>
  <c r="E14" i="28"/>
  <c r="E20" i="28"/>
  <c r="E21" i="28"/>
  <c r="E22" i="28"/>
  <c r="E28" i="28"/>
  <c r="E29" i="28"/>
  <c r="E30" i="28"/>
  <c r="E36" i="28"/>
  <c r="E37" i="28"/>
  <c r="E38" i="28"/>
  <c r="F5" i="28"/>
  <c r="I5" i="28" s="1"/>
  <c r="J5" i="28" s="1"/>
  <c r="K5" i="28" s="1"/>
  <c r="F6" i="28"/>
  <c r="F7" i="28"/>
  <c r="F8" i="28"/>
  <c r="F9" i="28"/>
  <c r="M5" i="28"/>
  <c r="L5" i="28" l="1"/>
  <c r="H9" i="28"/>
  <c r="G8" i="28"/>
  <c r="G9" i="28" s="1"/>
  <c r="M6" i="28"/>
  <c r="G6" i="28"/>
  <c r="G7" i="28" s="1"/>
  <c r="I7" i="28" s="1"/>
  <c r="I8" i="28"/>
  <c r="E27" i="28"/>
  <c r="H8" i="28"/>
  <c r="G5" i="28"/>
  <c r="F10" i="28"/>
  <c r="I6" i="28"/>
  <c r="E35" i="28"/>
  <c r="E11" i="28"/>
  <c r="E19" i="28"/>
  <c r="J7" i="28" l="1"/>
  <c r="K7" i="28" s="1"/>
  <c r="M8" i="28"/>
  <c r="J6" i="28"/>
  <c r="K6" i="28" s="1"/>
  <c r="M7" i="28"/>
  <c r="J8" i="28"/>
  <c r="M9" i="28"/>
  <c r="H10" i="28"/>
  <c r="G10" i="28"/>
  <c r="I10" i="28"/>
  <c r="F11" i="28"/>
  <c r="I9" i="28"/>
  <c r="G44" i="16"/>
  <c r="G45" i="16"/>
  <c r="I46" i="16"/>
  <c r="I47" i="16"/>
  <c r="H48" i="16"/>
  <c r="H50" i="16"/>
  <c r="H51" i="16"/>
  <c r="I43" i="16"/>
  <c r="I50" i="16"/>
  <c r="I51" i="16"/>
  <c r="J42" i="16"/>
  <c r="G51" i="16"/>
  <c r="G50" i="16"/>
  <c r="H47" i="16"/>
  <c r="G47" i="16"/>
  <c r="I45" i="16"/>
  <c r="H43" i="16"/>
  <c r="G43" i="16"/>
  <c r="I42" i="16"/>
  <c r="F51" i="16"/>
  <c r="E51" i="16"/>
  <c r="D51" i="16"/>
  <c r="F50" i="16"/>
  <c r="E50" i="16"/>
  <c r="D50" i="16"/>
  <c r="F49" i="16"/>
  <c r="E49" i="16"/>
  <c r="D49" i="16"/>
  <c r="F48" i="16"/>
  <c r="E48" i="16"/>
  <c r="D48" i="16"/>
  <c r="F47" i="16"/>
  <c r="E47" i="16"/>
  <c r="D47" i="16"/>
  <c r="F46" i="16"/>
  <c r="E46" i="16"/>
  <c r="D46" i="16"/>
  <c r="F45" i="16"/>
  <c r="E45" i="16"/>
  <c r="D45" i="16"/>
  <c r="F44" i="16"/>
  <c r="E44" i="16"/>
  <c r="D44" i="16"/>
  <c r="F43" i="16"/>
  <c r="E43" i="16"/>
  <c r="D43" i="16"/>
  <c r="F42" i="16"/>
  <c r="E42" i="16"/>
  <c r="D42" i="16"/>
  <c r="J10" i="28" l="1"/>
  <c r="K10" i="28" s="1"/>
  <c r="K8" i="28"/>
  <c r="J9" i="28"/>
  <c r="K9" i="28" s="1"/>
  <c r="M10" i="28"/>
  <c r="M11" i="28" s="1"/>
  <c r="L7" i="28"/>
  <c r="L6" i="28"/>
  <c r="H11" i="28"/>
  <c r="I11" i="28"/>
  <c r="G11" i="28"/>
  <c r="F12" i="28"/>
  <c r="L8" i="28"/>
  <c r="I48" i="16"/>
  <c r="H44" i="16"/>
  <c r="G46" i="16"/>
  <c r="I44" i="16"/>
  <c r="G48" i="16"/>
  <c r="H45" i="16"/>
  <c r="I49" i="16"/>
  <c r="H49" i="16"/>
  <c r="G49" i="16"/>
  <c r="H46" i="16"/>
  <c r="H42" i="16"/>
  <c r="J11" i="28" l="1"/>
  <c r="K11" i="28" s="1"/>
  <c r="M12" i="28"/>
  <c r="L10" i="28"/>
  <c r="G12" i="28"/>
  <c r="F13" i="28"/>
  <c r="H12" i="28"/>
  <c r="L9" i="28"/>
  <c r="J51" i="16"/>
  <c r="C51" i="16"/>
  <c r="J50" i="16"/>
  <c r="C50" i="16"/>
  <c r="J49" i="16"/>
  <c r="C49" i="16"/>
  <c r="J48" i="16"/>
  <c r="C48" i="16"/>
  <c r="J47" i="16"/>
  <c r="C47" i="16"/>
  <c r="J46" i="16"/>
  <c r="C46" i="16"/>
  <c r="J45" i="16"/>
  <c r="C45" i="16"/>
  <c r="J44" i="16"/>
  <c r="C44" i="16"/>
  <c r="J43" i="16"/>
  <c r="C43" i="16"/>
  <c r="G42" i="16"/>
  <c r="C42" i="16"/>
  <c r="B2" i="19"/>
  <c r="F5" i="18" l="1"/>
  <c r="F13" i="18"/>
  <c r="F21" i="18"/>
  <c r="F29" i="18"/>
  <c r="F37" i="18"/>
  <c r="F45" i="18"/>
  <c r="F53" i="18"/>
  <c r="F61" i="18"/>
  <c r="F69" i="18"/>
  <c r="F77" i="18"/>
  <c r="F85" i="18"/>
  <c r="F93" i="18"/>
  <c r="F101" i="18"/>
  <c r="F109" i="18"/>
  <c r="F117" i="18"/>
  <c r="F125" i="18"/>
  <c r="F133" i="18"/>
  <c r="F141" i="18"/>
  <c r="F149" i="18"/>
  <c r="F157" i="18"/>
  <c r="F165" i="18"/>
  <c r="F173" i="18"/>
  <c r="F181" i="18"/>
  <c r="F189" i="18"/>
  <c r="F197" i="18"/>
  <c r="F205" i="18"/>
  <c r="F213" i="18"/>
  <c r="F221" i="18"/>
  <c r="F229" i="18"/>
  <c r="F237" i="18"/>
  <c r="F245" i="18"/>
  <c r="F253" i="18"/>
  <c r="F261" i="18"/>
  <c r="F269" i="18"/>
  <c r="F277" i="18"/>
  <c r="F285" i="18"/>
  <c r="F293" i="18"/>
  <c r="F301" i="18"/>
  <c r="F309" i="18"/>
  <c r="F317" i="18"/>
  <c r="F325" i="18"/>
  <c r="F333" i="18"/>
  <c r="F341" i="18"/>
  <c r="F349" i="18"/>
  <c r="F357" i="18"/>
  <c r="F365" i="18"/>
  <c r="F373" i="18"/>
  <c r="F381" i="18"/>
  <c r="F389" i="18"/>
  <c r="F397" i="18"/>
  <c r="F405" i="18"/>
  <c r="F413" i="18"/>
  <c r="F421" i="18"/>
  <c r="F429" i="18"/>
  <c r="F437" i="18"/>
  <c r="F445" i="18"/>
  <c r="F8" i="18"/>
  <c r="F16" i="18"/>
  <c r="F24" i="18"/>
  <c r="F40" i="18"/>
  <c r="F48" i="18"/>
  <c r="F64" i="18"/>
  <c r="F88" i="18"/>
  <c r="F112" i="18"/>
  <c r="F136" i="18"/>
  <c r="F160" i="18"/>
  <c r="F184" i="18"/>
  <c r="F208" i="18"/>
  <c r="F232" i="18"/>
  <c r="F240" i="18"/>
  <c r="F264" i="18"/>
  <c r="F288" i="18"/>
  <c r="F312" i="18"/>
  <c r="F336" i="18"/>
  <c r="F360" i="18"/>
  <c r="F384" i="18"/>
  <c r="F408" i="18"/>
  <c r="F432" i="18"/>
  <c r="F90" i="18"/>
  <c r="F138" i="18"/>
  <c r="F170" i="18"/>
  <c r="F210" i="18"/>
  <c r="F6" i="18"/>
  <c r="K45" i="16" s="1"/>
  <c r="F14" i="18"/>
  <c r="F22" i="18"/>
  <c r="F30" i="18"/>
  <c r="F38" i="18"/>
  <c r="F46" i="18"/>
  <c r="F54" i="18"/>
  <c r="F62" i="18"/>
  <c r="F70" i="18"/>
  <c r="F78" i="18"/>
  <c r="F86" i="18"/>
  <c r="F94" i="18"/>
  <c r="F102" i="18"/>
  <c r="F110" i="18"/>
  <c r="F118" i="18"/>
  <c r="F126" i="18"/>
  <c r="F134" i="18"/>
  <c r="F142" i="18"/>
  <c r="F150" i="18"/>
  <c r="F158" i="18"/>
  <c r="F166" i="18"/>
  <c r="F174" i="18"/>
  <c r="F182" i="18"/>
  <c r="F190" i="18"/>
  <c r="F198" i="18"/>
  <c r="F206" i="18"/>
  <c r="F214" i="18"/>
  <c r="F222" i="18"/>
  <c r="F230" i="18"/>
  <c r="F238" i="18"/>
  <c r="F246" i="18"/>
  <c r="F254" i="18"/>
  <c r="F262" i="18"/>
  <c r="F270" i="18"/>
  <c r="F278" i="18"/>
  <c r="F286" i="18"/>
  <c r="F294" i="18"/>
  <c r="F302" i="18"/>
  <c r="F310" i="18"/>
  <c r="F318" i="18"/>
  <c r="F326" i="18"/>
  <c r="F334" i="18"/>
  <c r="F342" i="18"/>
  <c r="F350" i="18"/>
  <c r="F358" i="18"/>
  <c r="F366" i="18"/>
  <c r="F374" i="18"/>
  <c r="F382" i="18"/>
  <c r="F390" i="18"/>
  <c r="F398" i="18"/>
  <c r="F406" i="18"/>
  <c r="F414" i="18"/>
  <c r="F422" i="18"/>
  <c r="F430" i="18"/>
  <c r="F438" i="18"/>
  <c r="F295" i="18"/>
  <c r="F311" i="18"/>
  <c r="F335" i="18"/>
  <c r="F351" i="18"/>
  <c r="F367" i="18"/>
  <c r="F375" i="18"/>
  <c r="F391" i="18"/>
  <c r="F407" i="18"/>
  <c r="F423" i="18"/>
  <c r="F439" i="18"/>
  <c r="F72" i="18"/>
  <c r="F104" i="18"/>
  <c r="F128" i="18"/>
  <c r="F152" i="18"/>
  <c r="F176" i="18"/>
  <c r="F200" i="18"/>
  <c r="F224" i="18"/>
  <c r="F248" i="18"/>
  <c r="F272" i="18"/>
  <c r="F296" i="18"/>
  <c r="F320" i="18"/>
  <c r="F344" i="18"/>
  <c r="F368" i="18"/>
  <c r="F392" i="18"/>
  <c r="F424" i="18"/>
  <c r="F66" i="18"/>
  <c r="F98" i="18"/>
  <c r="F122" i="18"/>
  <c r="F154" i="18"/>
  <c r="F186" i="18"/>
  <c r="F7" i="18"/>
  <c r="K46" i="16" s="1"/>
  <c r="F15" i="18"/>
  <c r="F23" i="18"/>
  <c r="F31" i="18"/>
  <c r="F39" i="18"/>
  <c r="F47" i="18"/>
  <c r="F55" i="18"/>
  <c r="F63" i="18"/>
  <c r="F71" i="18"/>
  <c r="F79" i="18"/>
  <c r="F87" i="18"/>
  <c r="F95" i="18"/>
  <c r="F103" i="18"/>
  <c r="F111" i="18"/>
  <c r="F119" i="18"/>
  <c r="F127" i="18"/>
  <c r="F135" i="18"/>
  <c r="F143" i="18"/>
  <c r="F151" i="18"/>
  <c r="F159" i="18"/>
  <c r="F167" i="18"/>
  <c r="F175" i="18"/>
  <c r="F183" i="18"/>
  <c r="F191" i="18"/>
  <c r="F199" i="18"/>
  <c r="F207" i="18"/>
  <c r="F215" i="18"/>
  <c r="F223" i="18"/>
  <c r="F231" i="18"/>
  <c r="F239" i="18"/>
  <c r="F247" i="18"/>
  <c r="F255" i="18"/>
  <c r="F263" i="18"/>
  <c r="F271" i="18"/>
  <c r="F279" i="18"/>
  <c r="F287" i="18"/>
  <c r="F303" i="18"/>
  <c r="F319" i="18"/>
  <c r="F327" i="18"/>
  <c r="F343" i="18"/>
  <c r="F359" i="18"/>
  <c r="F383" i="18"/>
  <c r="F399" i="18"/>
  <c r="F415" i="18"/>
  <c r="F431" i="18"/>
  <c r="F32" i="18"/>
  <c r="F56" i="18"/>
  <c r="F80" i="18"/>
  <c r="F96" i="18"/>
  <c r="F120" i="18"/>
  <c r="F144" i="18"/>
  <c r="F168" i="18"/>
  <c r="F192" i="18"/>
  <c r="F216" i="18"/>
  <c r="F256" i="18"/>
  <c r="F280" i="18"/>
  <c r="F304" i="18"/>
  <c r="F328" i="18"/>
  <c r="F352" i="18"/>
  <c r="F376" i="18"/>
  <c r="F400" i="18"/>
  <c r="F416" i="18"/>
  <c r="F440" i="18"/>
  <c r="F18" i="18"/>
  <c r="F42" i="18"/>
  <c r="F58" i="18"/>
  <c r="F82" i="18"/>
  <c r="F114" i="18"/>
  <c r="F146" i="18"/>
  <c r="F178" i="18"/>
  <c r="F202" i="18"/>
  <c r="F9" i="18"/>
  <c r="F17" i="18"/>
  <c r="F25" i="18"/>
  <c r="F33" i="18"/>
  <c r="F41" i="18"/>
  <c r="F49" i="18"/>
  <c r="F57" i="18"/>
  <c r="F65" i="18"/>
  <c r="F73" i="18"/>
  <c r="F81" i="18"/>
  <c r="F89" i="18"/>
  <c r="F97" i="18"/>
  <c r="F105" i="18"/>
  <c r="F113" i="18"/>
  <c r="F121" i="18"/>
  <c r="F129" i="18"/>
  <c r="F137" i="18"/>
  <c r="F145" i="18"/>
  <c r="F153" i="18"/>
  <c r="F161" i="18"/>
  <c r="F169" i="18"/>
  <c r="F177" i="18"/>
  <c r="F185" i="18"/>
  <c r="F193" i="18"/>
  <c r="F201" i="18"/>
  <c r="F209" i="18"/>
  <c r="F217" i="18"/>
  <c r="F225" i="18"/>
  <c r="F233" i="18"/>
  <c r="F241" i="18"/>
  <c r="F249" i="18"/>
  <c r="F257" i="18"/>
  <c r="F265" i="18"/>
  <c r="F273" i="18"/>
  <c r="F281" i="18"/>
  <c r="F289" i="18"/>
  <c r="F297" i="18"/>
  <c r="F305" i="18"/>
  <c r="F313" i="18"/>
  <c r="F321" i="18"/>
  <c r="F329" i="18"/>
  <c r="F337" i="18"/>
  <c r="F345" i="18"/>
  <c r="F353" i="18"/>
  <c r="F361" i="18"/>
  <c r="F369" i="18"/>
  <c r="F377" i="18"/>
  <c r="F385" i="18"/>
  <c r="F393" i="18"/>
  <c r="F401" i="18"/>
  <c r="F409" i="18"/>
  <c r="F417" i="18"/>
  <c r="F425" i="18"/>
  <c r="F433" i="18"/>
  <c r="F441" i="18"/>
  <c r="F10" i="18"/>
  <c r="F26" i="18"/>
  <c r="F34" i="18"/>
  <c r="F50" i="18"/>
  <c r="F74" i="18"/>
  <c r="F106" i="18"/>
  <c r="F130" i="18"/>
  <c r="F162" i="18"/>
  <c r="F194" i="18"/>
  <c r="F11" i="18"/>
  <c r="F43" i="18"/>
  <c r="F75" i="18"/>
  <c r="F107" i="18"/>
  <c r="F139" i="18"/>
  <c r="F171" i="18"/>
  <c r="F203" i="18"/>
  <c r="F227" i="18"/>
  <c r="F250" i="18"/>
  <c r="F268" i="18"/>
  <c r="F291" i="18"/>
  <c r="F314" i="18"/>
  <c r="F332" i="18"/>
  <c r="F355" i="18"/>
  <c r="F378" i="18"/>
  <c r="F396" i="18"/>
  <c r="F419" i="18"/>
  <c r="F442" i="18"/>
  <c r="F443" i="18"/>
  <c r="F20" i="18"/>
  <c r="F116" i="18"/>
  <c r="F235" i="18"/>
  <c r="F322" i="18"/>
  <c r="F386" i="18"/>
  <c r="F283" i="18"/>
  <c r="F388" i="18"/>
  <c r="F307" i="18"/>
  <c r="F331" i="18"/>
  <c r="F12" i="18"/>
  <c r="F44" i="18"/>
  <c r="F76" i="18"/>
  <c r="F108" i="18"/>
  <c r="F140" i="18"/>
  <c r="F172" i="18"/>
  <c r="F204" i="18"/>
  <c r="F228" i="18"/>
  <c r="F251" i="18"/>
  <c r="F274" i="18"/>
  <c r="F292" i="18"/>
  <c r="F315" i="18"/>
  <c r="F338" i="18"/>
  <c r="F356" i="18"/>
  <c r="F379" i="18"/>
  <c r="F402" i="18"/>
  <c r="F420" i="18"/>
  <c r="F84" i="18"/>
  <c r="F180" i="18"/>
  <c r="F258" i="18"/>
  <c r="F299" i="18"/>
  <c r="F363" i="18"/>
  <c r="F427" i="18"/>
  <c r="F324" i="18"/>
  <c r="F434" i="18"/>
  <c r="F99" i="18"/>
  <c r="F195" i="18"/>
  <c r="F266" i="18"/>
  <c r="F348" i="18"/>
  <c r="F394" i="18"/>
  <c r="F267" i="18"/>
  <c r="F395" i="18"/>
  <c r="F19" i="18"/>
  <c r="F51" i="18"/>
  <c r="F83" i="18"/>
  <c r="F115" i="18"/>
  <c r="F147" i="18"/>
  <c r="F179" i="18"/>
  <c r="F211" i="18"/>
  <c r="F234" i="18"/>
  <c r="F252" i="18"/>
  <c r="F275" i="18"/>
  <c r="F298" i="18"/>
  <c r="F316" i="18"/>
  <c r="F339" i="18"/>
  <c r="F362" i="18"/>
  <c r="F380" i="18"/>
  <c r="F403" i="18"/>
  <c r="F426" i="18"/>
  <c r="F444" i="18"/>
  <c r="F52" i="18"/>
  <c r="F148" i="18"/>
  <c r="F212" i="18"/>
  <c r="F276" i="18"/>
  <c r="F340" i="18"/>
  <c r="F404" i="18"/>
  <c r="F306" i="18"/>
  <c r="F370" i="18"/>
  <c r="F3" i="18"/>
  <c r="K42" i="16" s="1"/>
  <c r="F35" i="18"/>
  <c r="F67" i="18"/>
  <c r="F131" i="18"/>
  <c r="F220" i="18"/>
  <c r="F284" i="18"/>
  <c r="F371" i="18"/>
  <c r="F435" i="18"/>
  <c r="F4" i="18"/>
  <c r="K43" i="16" s="1"/>
  <c r="F36" i="18"/>
  <c r="F100" i="18"/>
  <c r="F132" i="18"/>
  <c r="F196" i="18"/>
  <c r="F244" i="18"/>
  <c r="F308" i="18"/>
  <c r="F372" i="18"/>
  <c r="F436" i="18"/>
  <c r="F27" i="18"/>
  <c r="F59" i="18"/>
  <c r="F91" i="18"/>
  <c r="F123" i="18"/>
  <c r="F155" i="18"/>
  <c r="F187" i="18"/>
  <c r="F218" i="18"/>
  <c r="F236" i="18"/>
  <c r="F259" i="18"/>
  <c r="F282" i="18"/>
  <c r="F300" i="18"/>
  <c r="F323" i="18"/>
  <c r="F346" i="18"/>
  <c r="F364" i="18"/>
  <c r="F387" i="18"/>
  <c r="F410" i="18"/>
  <c r="F428" i="18"/>
  <c r="F28" i="18"/>
  <c r="F60" i="18"/>
  <c r="F92" i="18"/>
  <c r="F124" i="18"/>
  <c r="F156" i="18"/>
  <c r="F188" i="18"/>
  <c r="F219" i="18"/>
  <c r="F242" i="18"/>
  <c r="F260" i="18"/>
  <c r="F347" i="18"/>
  <c r="F411" i="18"/>
  <c r="F163" i="18"/>
  <c r="F243" i="18"/>
  <c r="F330" i="18"/>
  <c r="F412" i="18"/>
  <c r="F68" i="18"/>
  <c r="F164" i="18"/>
  <c r="F226" i="18"/>
  <c r="F290" i="18"/>
  <c r="F354" i="18"/>
  <c r="F418" i="18"/>
  <c r="F14" i="28"/>
  <c r="I13" i="28" s="1"/>
  <c r="G13" i="28"/>
  <c r="H13" i="28"/>
  <c r="I12" i="28"/>
  <c r="L11" i="28"/>
  <c r="K44" i="16"/>
  <c r="J13" i="28" l="1"/>
  <c r="J12" i="28"/>
  <c r="K12" i="28" s="1"/>
  <c r="M13" i="28"/>
  <c r="M14" i="28" s="1"/>
  <c r="G14" i="28"/>
  <c r="H14" i="28"/>
  <c r="F15" i="28"/>
  <c r="I14" i="28" s="1"/>
  <c r="L42" i="16"/>
  <c r="L48" i="16"/>
  <c r="M46" i="16"/>
  <c r="M50" i="16"/>
  <c r="L49" i="16"/>
  <c r="L50" i="16"/>
  <c r="M48" i="16"/>
  <c r="M51" i="16"/>
  <c r="M42" i="16"/>
  <c r="L51" i="16"/>
  <c r="M47" i="16"/>
  <c r="M49" i="16"/>
  <c r="M43" i="16"/>
  <c r="K51" i="16"/>
  <c r="L47" i="16"/>
  <c r="K48" i="16"/>
  <c r="L44" i="16"/>
  <c r="M45" i="16"/>
  <c r="K49" i="16"/>
  <c r="L45" i="16"/>
  <c r="L43" i="16"/>
  <c r="K47" i="16"/>
  <c r="L46" i="16"/>
  <c r="K50" i="16"/>
  <c r="M44" i="16"/>
  <c r="G17" i="27"/>
  <c r="H17" i="27"/>
  <c r="I17" i="27"/>
  <c r="J17" i="27"/>
  <c r="K17" i="27"/>
  <c r="L17" i="27"/>
  <c r="M17" i="27"/>
  <c r="N17" i="27"/>
  <c r="O17" i="27"/>
  <c r="P17" i="27"/>
  <c r="F17" i="27"/>
  <c r="J14" i="28" l="1"/>
  <c r="M15" i="28"/>
  <c r="F16" i="28"/>
  <c r="I15" i="28" s="1"/>
  <c r="G15" i="28"/>
  <c r="H15" i="28"/>
  <c r="L13" i="28"/>
  <c r="L12" i="28"/>
  <c r="K13" i="28"/>
  <c r="G18" i="27"/>
  <c r="H18" i="27"/>
  <c r="I18" i="27"/>
  <c r="J18" i="27"/>
  <c r="K18" i="27"/>
  <c r="L18" i="27"/>
  <c r="M18" i="27"/>
  <c r="N18" i="27"/>
  <c r="O18" i="27"/>
  <c r="P18" i="27"/>
  <c r="F18" i="27"/>
  <c r="J15" i="28" l="1"/>
  <c r="M16" i="28"/>
  <c r="G16" i="28"/>
  <c r="F17" i="28"/>
  <c r="I16" i="28" s="1"/>
  <c r="H16" i="28"/>
  <c r="K14" i="28"/>
  <c r="L14" i="28" s="1"/>
  <c r="AA13" i="16"/>
  <c r="J16" i="28" l="1"/>
  <c r="M17" i="28"/>
  <c r="H17" i="28"/>
  <c r="G17" i="28"/>
  <c r="F18" i="28"/>
  <c r="I17" i="28" s="1"/>
  <c r="K15" i="28"/>
  <c r="T39" i="16"/>
  <c r="B8" i="27"/>
  <c r="C8" i="27" s="1"/>
  <c r="Q38" i="16" s="1"/>
  <c r="J17" i="28" l="1"/>
  <c r="K17" i="28" s="1"/>
  <c r="M18" i="28"/>
  <c r="L15" i="28"/>
  <c r="H18" i="28"/>
  <c r="G18" i="28"/>
  <c r="F19" i="28"/>
  <c r="I18" i="28" s="1"/>
  <c r="K16" i="28"/>
  <c r="L17" i="28" s="1"/>
  <c r="K39" i="16"/>
  <c r="J18" i="28" l="1"/>
  <c r="K18" i="28" s="1"/>
  <c r="M19" i="28"/>
  <c r="L16" i="28"/>
  <c r="G19" i="28"/>
  <c r="H19" i="28"/>
  <c r="F20" i="28"/>
  <c r="L18" i="28"/>
  <c r="AA9" i="16"/>
  <c r="H20" i="28" l="1"/>
  <c r="F21" i="28"/>
  <c r="G20" i="28"/>
  <c r="I19" i="28"/>
  <c r="T43" i="16"/>
  <c r="T44" i="16"/>
  <c r="T45" i="16"/>
  <c r="T46" i="16"/>
  <c r="T47" i="16"/>
  <c r="T48" i="16"/>
  <c r="T49" i="16"/>
  <c r="T50" i="16"/>
  <c r="T51" i="16"/>
  <c r="T52" i="16"/>
  <c r="T42" i="16"/>
  <c r="M20" i="28" l="1"/>
  <c r="J19" i="28"/>
  <c r="K19" i="28" s="1"/>
  <c r="F22" i="28"/>
  <c r="H21" i="28"/>
  <c r="G21" i="28"/>
  <c r="I20" i="28"/>
  <c r="AA4" i="16"/>
  <c r="L19" i="28" l="1"/>
  <c r="J20" i="28"/>
  <c r="K20" i="28" s="1"/>
  <c r="M21" i="28"/>
  <c r="G22" i="28"/>
  <c r="H22" i="28"/>
  <c r="F23" i="28"/>
  <c r="I21" i="28"/>
  <c r="M39" i="16"/>
  <c r="R43" i="16"/>
  <c r="R44" i="16"/>
  <c r="R45" i="16"/>
  <c r="R46" i="16"/>
  <c r="R47" i="16"/>
  <c r="R48" i="16"/>
  <c r="R49" i="16"/>
  <c r="R50" i="16"/>
  <c r="R51" i="16"/>
  <c r="R52" i="16"/>
  <c r="R42" i="16"/>
  <c r="B5" i="27"/>
  <c r="B9" i="27" s="1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C5" i="27"/>
  <c r="AA10" i="16"/>
  <c r="F81" i="16"/>
  <c r="H23" i="28" l="1"/>
  <c r="G23" i="28"/>
  <c r="F24" i="28"/>
  <c r="I23" i="28" s="1"/>
  <c r="I22" i="28"/>
  <c r="J21" i="28"/>
  <c r="K21" i="28" s="1"/>
  <c r="L21" i="28" s="1"/>
  <c r="M22" i="28"/>
  <c r="L20" i="28"/>
  <c r="Q43" i="16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J23" i="28" l="1"/>
  <c r="J22" i="28"/>
  <c r="K22" i="28" s="1"/>
  <c r="M23" i="28"/>
  <c r="M24" i="28" s="1"/>
  <c r="F25" i="28"/>
  <c r="G24" i="28"/>
  <c r="H24" i="28"/>
  <c r="I24" i="2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H25" i="28" l="1"/>
  <c r="G25" i="28"/>
  <c r="F26" i="28"/>
  <c r="L23" i="28"/>
  <c r="J24" i="28"/>
  <c r="K24" i="28" s="1"/>
  <c r="M25" i="28"/>
  <c r="L22" i="28"/>
  <c r="K23" i="28"/>
  <c r="H26" i="28" l="1"/>
  <c r="G26" i="28"/>
  <c r="F27" i="28"/>
  <c r="I25" i="28"/>
  <c r="L24" i="28"/>
  <c r="H27" i="28" l="1"/>
  <c r="G27" i="28"/>
  <c r="F28" i="28"/>
  <c r="J25" i="28"/>
  <c r="K25" i="28" s="1"/>
  <c r="M26" i="28"/>
  <c r="I26" i="28"/>
  <c r="L25" i="28" l="1"/>
  <c r="G28" i="28"/>
  <c r="H28" i="28"/>
  <c r="F29" i="28"/>
  <c r="I28" i="28" s="1"/>
  <c r="M27" i="28"/>
  <c r="J26" i="28"/>
  <c r="K26" i="28" s="1"/>
  <c r="I27" i="28"/>
  <c r="J28" i="28" l="1"/>
  <c r="F30" i="28"/>
  <c r="G29" i="28"/>
  <c r="H29" i="28"/>
  <c r="J27" i="28"/>
  <c r="K27" i="28" s="1"/>
  <c r="M28" i="28"/>
  <c r="M29" i="28" s="1"/>
  <c r="L26" i="28"/>
  <c r="G30" i="28" l="1"/>
  <c r="H30" i="28"/>
  <c r="F31" i="28"/>
  <c r="I30" i="28" s="1"/>
  <c r="L27" i="28"/>
  <c r="K28" i="28"/>
  <c r="L28" i="28" s="1"/>
  <c r="I29" i="28"/>
  <c r="J30" i="28" l="1"/>
  <c r="J29" i="28"/>
  <c r="K29" i="28" s="1"/>
  <c r="L29" i="28" s="1"/>
  <c r="M30" i="28"/>
  <c r="M31" i="28" s="1"/>
  <c r="G31" i="28"/>
  <c r="F32" i="28"/>
  <c r="I31" i="28" s="1"/>
  <c r="H31" i="28"/>
  <c r="J31" i="28" l="1"/>
  <c r="K31" i="28" s="1"/>
  <c r="M32" i="28"/>
  <c r="F33" i="28"/>
  <c r="I32" i="28" s="1"/>
  <c r="G32" i="28"/>
  <c r="H32" i="28"/>
  <c r="K30" i="28"/>
  <c r="L31" i="28" s="1"/>
  <c r="J32" i="28" l="1"/>
  <c r="K32" i="28" s="1"/>
  <c r="M33" i="28"/>
  <c r="L30" i="28"/>
  <c r="H33" i="28"/>
  <c r="G33" i="28"/>
  <c r="F34" i="28"/>
  <c r="L32" i="28"/>
  <c r="H34" i="28" l="1"/>
  <c r="G34" i="28"/>
  <c r="F35" i="28"/>
  <c r="I34" i="28" s="1"/>
  <c r="I33" i="28"/>
  <c r="J34" i="28" l="1"/>
  <c r="J33" i="28"/>
  <c r="K33" i="28" s="1"/>
  <c r="M34" i="28"/>
  <c r="M35" i="28" s="1"/>
  <c r="H35" i="28"/>
  <c r="G35" i="28"/>
  <c r="F36" i="28"/>
  <c r="I35" i="28" s="1"/>
  <c r="M36" i="28" l="1"/>
  <c r="J35" i="28"/>
  <c r="K35" i="28" s="1"/>
  <c r="L34" i="28"/>
  <c r="L33" i="28"/>
  <c r="F37" i="28"/>
  <c r="H36" i="28"/>
  <c r="G36" i="28"/>
  <c r="I36" i="28" s="1"/>
  <c r="K34" i="28"/>
  <c r="M37" i="28" l="1"/>
  <c r="J36" i="28"/>
  <c r="K36" i="28" s="1"/>
  <c r="F38" i="28"/>
  <c r="I37" i="28" s="1"/>
  <c r="H37" i="28"/>
  <c r="G37" i="28"/>
  <c r="L36" i="28"/>
  <c r="L35" i="28"/>
  <c r="M38" i="28" l="1"/>
  <c r="J37" i="28"/>
  <c r="K37" i="28" s="1"/>
  <c r="G38" i="28"/>
  <c r="H38" i="28"/>
  <c r="F39" i="28"/>
  <c r="F40" i="28" l="1"/>
  <c r="G39" i="28"/>
  <c r="I39" i="28"/>
  <c r="H39" i="28"/>
  <c r="I38" i="28"/>
  <c r="L37" i="28"/>
  <c r="J38" i="28" l="1"/>
  <c r="K38" i="28" s="1"/>
  <c r="M39" i="28"/>
  <c r="J39" i="28"/>
  <c r="K39" i="28" s="1"/>
  <c r="M40" i="28"/>
  <c r="G40" i="28"/>
  <c r="F41" i="28"/>
  <c r="H40" i="28"/>
  <c r="I40" i="28"/>
  <c r="J40" i="28" l="1"/>
  <c r="K40" i="28" s="1"/>
  <c r="M41" i="28"/>
  <c r="L40" i="28"/>
  <c r="H41" i="28"/>
  <c r="G41" i="28"/>
  <c r="I41" i="28"/>
  <c r="J41" i="28" s="1"/>
  <c r="K41" i="28" s="1"/>
  <c r="C9" i="27" s="1"/>
  <c r="L39" i="28"/>
  <c r="L38" i="28"/>
  <c r="C10" i="27" l="1"/>
  <c r="T38" i="16"/>
  <c r="L41" i="28"/>
  <c r="K15" i="27" l="1"/>
  <c r="O47" i="16" s="1"/>
  <c r="Q39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06-28' and AsOfDate&gt;= '2016-05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06-28' and AsOfDate&gt;= '2016-06-23' order by d.AsOfDate"/>
  </connection>
  <connection id="3" name="FunctionOfRatesLoanQuery" type="1" refreshedVersion="4" savePassword="1" saveData="1">
    <dbPr connection="DSN=Agency" command="exec RefinancibleUniverse_FunctionOfRates_Loan  3.26457325265772, '2016-05-01', '2016-06-28'"/>
  </connection>
  <connection id="4" name="FunctionOfRatesLoanWithLowestRateQuery" type="1" refreshedVersion="4" savePassword="1" saveData="1">
    <dbPr connection="DSN=Agency" command="exec RefinancibleUniverse_FunctionOfRates_LowestRate_Loan 3.26457325265772, '2016-05-01', '2016-06-28', '2016-06-23'"/>
  </connection>
  <connection id="5" name="FunctionOfRatesLoanWithMediaEffectQuery" type="1" refreshedVersion="4" savePassword="1" saveData="1">
    <dbPr connection="DSN=Agency" command="exec RefinancibleUniverse_FunctionOfRates_MediaEffect_Loan 3.26457325265772, '2016-05-01', '2016-06-28', '2016-06-23'"/>
  </connection>
  <connection id="6" name="FunctionOfRatesPoolQuery" type="1" refreshedVersion="4" savePassword="1" saveData="1">
    <dbPr connection="DSN=Agency" command="exec RefinancibleUniverse_FunctionOfRates  3.26457325265772, '2016-05-01', '2016-06-28'"/>
  </connection>
  <connection id="7" name="LoanLevel12WeeksQuery" type="1" refreshedVersion="4" savePassword="1" saveData="1">
    <dbPr connection="DSN=Agency" command="select asofdate, SeriesNumValue from TimeSeriesMeta meta join TimeSeries ts on meta.TimeSeriesMetaId = ts.TimeSeriesMetaId where SeriesType = 'WEEKLY_12W_PCT_REFI' and TickerName = 'CONVENTIONAL_30YR_COMBINED'"/>
  </connection>
  <connection id="8" name="LoanLevelLowestRateQuery" type="1" refreshedVersion="4" savePassword="1" saveData="1">
    <dbPr connection="DSN=Agency" command="select asofdate, SeriesNumValue from TimeSeriesMeta meta join TimeSeries ts on meta.TimeSeriesMetaId = ts.TimeSeriesMetaId where SeriesType = 'WEEKLY_LOWEST_RATE_PCT_REFI' and TickerName = 'CONVENTIONAL_30YR_COMBINED'"/>
  </connection>
  <connection id="9" name="Loan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COMBINED'"/>
  </connection>
  <connection id="10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2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3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4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5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06-23' group by AsOfDate "/>
  </connection>
  <connection id="17" name="Pool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POOL' and asofdate &gt; '2008-01-01'"/>
  </connection>
  <connection id="18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2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3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4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<sst xmlns="http://schemas.openxmlformats.org/spreadsheetml/2006/main" count="221" uniqueCount="142">
  <si>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</si>
  <si>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</si>
  <si>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</si>
  <si>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</si>
  <si>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</si>
  <si>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</si>
  <si>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</si>
  <si>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</si>
  <si>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</si>
  <si>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</si>
  <si>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</si>
  <si>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</si>
  <si>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</si>
  <si>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</si>
  <si>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</si>
  <si>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</si>
  <si>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</si>
  <si>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</si>
  <si>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</si>
  <si>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</si>
  <si>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</si>
  <si>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</si>
  <si>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</si>
  <si>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</si>
  <si>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</si>
  <si>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</si>
  <si>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</si>
  <si>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</si>
  <si>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</si>
  <si>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</si>
  <si>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</si>
  <si>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</si>
  <si>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</si>
  <si>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</si>
  <si>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</si>
  <si>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</si>
  <si>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</si>
  <si>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</si>
  <si>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</si>
  <si>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</si>
  <si>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</si>
  <si>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</si>
  <si>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</si>
  <si>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</si>
  <si>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</si>
  <si>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</si>
  <si>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</si>
  <si>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</si>
  <si>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</si>
  <si>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</si>
  <si>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</si>
  <si>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</si>
  <si>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</si>
  <si>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</si>
  <si>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</si>
  <si>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</si>
  <si>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</si>
  <si>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</si>
  <si>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</si>
  <si>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</si>
  <si>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</si>
  <si>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</si>
  <si>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</si>
  <si>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</si>
  <si>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</si>
  <si>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</si>
  <si>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</si>
  <si>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</si>
  <si>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</si>
  <si>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</si>
  <si>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</si>
  <si>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</si>
  <si>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</si>
  <si>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</si>
  <si>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</si>
  <si>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</si>
  <si>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</si>
  <si>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</si>
  <si>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</si>
  <si>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</si>
  <si>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</si>
  <si>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</si>
  <si>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</si>
  <si>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</si>
  <si>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</si>
  <si>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</si>
  <si>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</si>
  <si>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</si>
  <si>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</si>
  <si>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</si>
  <si>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</si>
  <si>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</si>
  <si>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</si>
  <si>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</si>
  <si>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</si>
  <si>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</si>
  <si>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Last Thursday</t>
  </si>
  <si>
    <t>12 Weeks Scenario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</si>
  <si>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</si>
  <si>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</si>
  <si>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</si>
  <si>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</si>
  <si>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</si>
  <si>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</si>
  <si>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</si>
  <si>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</si>
  <si>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</si>
  <si>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</si>
  <si>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</si>
  <si>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</si>
  <si>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</si>
  <si>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</si>
  <si>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</si>
  <si>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</si>
  <si>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</si>
  <si>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</si>
  <si>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</si>
  <si>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</si>
  <si>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</si>
  <si>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S:\IT\Production\Daily Reports\Primary Market\2016-06\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</si>
  <si>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</si>
  <si>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</si>
  <si>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</si>
  <si>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</si>
  <si>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</si>
  <si>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</si>
  <si>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</si>
  <si>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</si>
  <si>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</si>
  <si>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</si>
  <si>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</si>
  <si>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</si>
  <si>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</si>
  <si>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</si>
  <si>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</si>
  <si>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</si>
  <si>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</si>
  <si>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</si>
  <si>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</si>
  <si>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</si>
  <si>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asofdate</t>
  </si>
  <si>
    <t>12 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</si>
</sst>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5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  <border>
      <left/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33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64" fontId="8" fillId="7" borderId="43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3" xfId="1" applyNumberFormat="1" applyFont="1" applyBorder="1" applyAlignment="1">
      <alignment horizontal="center" vertical="center"/>
    </xf>
    <xf numFmtId="2" fontId="8" fillId="7" borderId="43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7" xfId="0" applyNumberFormat="1" applyFont="1" applyFill="1" applyBorder="1" applyAlignment="1">
      <alignment horizontal="center"/>
    </xf>
    <xf numFmtId="164" fontId="8" fillId="7" borderId="48" xfId="0" applyNumberFormat="1" applyFont="1" applyFill="1" applyBorder="1" applyAlignment="1">
      <alignment horizontal="center"/>
    </xf>
    <xf numFmtId="14" fontId="7" fillId="0" borderId="47" xfId="0" applyNumberFormat="1" applyFont="1" applyBorder="1" applyAlignment="1">
      <alignment horizontal="center" vertical="center"/>
    </xf>
    <xf numFmtId="1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left" vertical="center"/>
    </xf>
    <xf numFmtId="164" fontId="8" fillId="7" borderId="53" xfId="0" applyNumberFormat="1" applyFont="1" applyFill="1" applyBorder="1" applyAlignment="1">
      <alignment horizontal="center"/>
    </xf>
    <xf numFmtId="14" fontId="7" fillId="0" borderId="53" xfId="0" applyNumberFormat="1" applyFont="1" applyBorder="1" applyAlignment="1">
      <alignment horizontal="center" vertical="center"/>
    </xf>
    <xf numFmtId="14" fontId="7" fillId="0" borderId="54" xfId="0" applyNumberFormat="1" applyFont="1" applyBorder="1" applyAlignment="1">
      <alignment horizontal="center" vertical="center"/>
    </xf>
    <xf numFmtId="194" fontId="7" fillId="0" borderId="47" xfId="0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" fontId="7" fillId="0" borderId="47" xfId="0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94" fontId="4" fillId="67" borderId="43" xfId="1" applyNumberFormat="1" applyFont="1" applyFill="1" applyBorder="1" applyAlignment="1">
      <alignment horizontal="center" vertical="center"/>
    </xf>
    <xf numFmtId="164" fontId="8" fillId="7" borderId="44" xfId="0" applyNumberFormat="1" applyFont="1" applyFill="1" applyBorder="1" applyAlignment="1">
      <alignment vertical="center"/>
    </xf>
    <xf numFmtId="2" fontId="4" fillId="67" borderId="47" xfId="0" applyNumberFormat="1" applyFont="1" applyFill="1" applyBorder="1" applyAlignment="1">
      <alignment horizontal="center" vertical="center"/>
    </xf>
    <xf numFmtId="194" fontId="4" fillId="67" borderId="48" xfId="1" quotePrefix="1" applyNumberFormat="1" applyFont="1" applyFill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4" fillId="67" borderId="47" xfId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4" fontId="139" fillId="0" borderId="0" xfId="0" applyNumberFormat="1" applyFont="1" applyAlignment="1">
      <alignment horizontal="left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6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0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1" fillId="41" borderId="0" xfId="351" applyFont="1"/>
    <xf numFmtId="197" fontId="7" fillId="0" borderId="0" xfId="0" applyNumberFormat="1" applyFont="1"/>
    <xf numFmtId="0" fontId="7" fillId="0" borderId="43" xfId="0" applyFont="1" applyBorder="1"/>
    <xf numFmtId="10" fontId="7" fillId="0" borderId="43" xfId="0" applyNumberFormat="1" applyFont="1" applyBorder="1"/>
    <xf numFmtId="2" fontId="139" fillId="0" borderId="0" xfId="0" applyNumberFormat="1" applyFont="1" applyAlignment="1">
      <alignment horizontal="left"/>
    </xf>
    <xf numFmtId="2" fontId="142" fillId="0" borderId="0" xfId="0" applyNumberFormat="1" applyFont="1" applyAlignment="1">
      <alignment horizontal="left"/>
    </xf>
    <xf numFmtId="0" fontId="142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64" fontId="8" fillId="7" borderId="40" xfId="0" applyNumberFormat="1" applyFont="1" applyFill="1" applyBorder="1" applyAlignment="1">
      <alignment horizontal="center"/>
    </xf>
    <xf numFmtId="194" fontId="7" fillId="0" borderId="40" xfId="0" applyNumberFormat="1" applyFont="1" applyBorder="1" applyAlignment="1">
      <alignment horizontal="center" vertical="center"/>
    </xf>
    <xf numFmtId="194" fontId="7" fillId="0" borderId="61" xfId="0" applyNumberFormat="1" applyFont="1" applyBorder="1" applyAlignment="1">
      <alignment horizontal="center" vertical="center"/>
    </xf>
    <xf numFmtId="0" fontId="143" fillId="41" borderId="0" xfId="351" applyNumberFormat="1" applyFont="1"/>
    <xf numFmtId="14" fontId="143" fillId="68" borderId="0" xfId="351" applyNumberFormat="1" applyFont="1" applyFill="1"/>
    <xf numFmtId="0" fontId="144" fillId="68" borderId="0" xfId="0" applyFont="1" applyFill="1"/>
    <xf numFmtId="0" fontId="144" fillId="0" borderId="0" xfId="0" applyFont="1"/>
    <xf numFmtId="14" fontId="145" fillId="0" borderId="0" xfId="0" applyNumberFormat="1" applyFont="1"/>
    <xf numFmtId="10" fontId="145" fillId="0" borderId="0" xfId="1" applyNumberFormat="1" applyFont="1"/>
    <xf numFmtId="2" fontId="145" fillId="0" borderId="0" xfId="1" applyNumberFormat="1" applyFont="1"/>
    <xf numFmtId="14" fontId="146" fillId="0" borderId="0" xfId="0" applyNumberFormat="1" applyFont="1"/>
    <xf numFmtId="10" fontId="146" fillId="0" borderId="0" xfId="1" applyNumberFormat="1" applyFont="1"/>
    <xf numFmtId="2" fontId="146" fillId="0" borderId="0" xfId="1" applyNumberFormat="1" applyFont="1"/>
    <xf numFmtId="9" fontId="7" fillId="0" borderId="0" xfId="1" applyFont="1"/>
    <xf numFmtId="14" fontId="147" fillId="0" borderId="0" xfId="0" applyNumberFormat="1" applyFont="1"/>
    <xf numFmtId="10" fontId="147" fillId="0" borderId="0" xfId="1" applyNumberFormat="1" applyFont="1"/>
    <xf numFmtId="2" fontId="147" fillId="0" borderId="0" xfId="1" applyNumberFormat="1" applyFont="1"/>
    <xf numFmtId="14" fontId="148" fillId="0" borderId="0" xfId="0" applyNumberFormat="1" applyFont="1"/>
    <xf numFmtId="10" fontId="148" fillId="0" borderId="0" xfId="1" applyNumberFormat="1" applyFont="1"/>
    <xf numFmtId="2" fontId="148" fillId="0" borderId="0" xfId="1" applyNumberFormat="1" applyFont="1"/>
    <xf numFmtId="14" fontId="149" fillId="68" borderId="0" xfId="351" applyNumberFormat="1" applyFont="1" applyFill="1"/>
    <xf numFmtId="0" fontId="150" fillId="68" borderId="0" xfId="0" applyFont="1" applyFill="1"/>
    <xf numFmtId="0" fontId="150" fillId="0" borderId="0" xfId="0" applyFont="1"/>
    <xf numFmtId="0" fontId="149" fillId="41" borderId="0" xfId="351" applyNumberFormat="1" applyFont="1"/>
    <xf numFmtId="14" fontId="150" fillId="0" borderId="0" xfId="0" applyNumberFormat="1" applyFont="1"/>
    <xf numFmtId="10" fontId="150" fillId="0" borderId="0" xfId="1" applyNumberFormat="1" applyFont="1"/>
    <xf numFmtId="2" fontId="150" fillId="0" borderId="0" xfId="1" applyNumberFormat="1" applyFont="1"/>
    <xf numFmtId="0" fontId="151" fillId="41" borderId="0" xfId="351" applyNumberFormat="1" applyFont="1"/>
    <xf numFmtId="14" fontId="151" fillId="68" borderId="0" xfId="351" applyNumberFormat="1" applyFont="1" applyFill="1"/>
    <xf numFmtId="0" fontId="152" fillId="68" borderId="0" xfId="0" applyFont="1" applyFill="1"/>
    <xf numFmtId="0" fontId="152" fillId="0" borderId="0" xfId="0" applyFont="1"/>
    <xf numFmtId="14" fontId="152" fillId="0" borderId="0" xfId="0" applyNumberFormat="1" applyFont="1"/>
    <xf numFmtId="10" fontId="152" fillId="0" borderId="0" xfId="1" applyNumberFormat="1" applyFont="1"/>
    <xf numFmtId="2" fontId="152" fillId="0" borderId="0" xfId="1" applyNumberFormat="1" applyFont="1"/>
    <xf numFmtId="14" fontId="151" fillId="41" borderId="0" xfId="351" applyNumberFormat="1" applyFont="1"/>
    <xf numFmtId="0" fontId="138" fillId="0" borderId="59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7" xfId="0" applyNumberFormat="1" applyFont="1" applyFill="1" applyBorder="1" applyAlignment="1">
      <alignment horizontal="center" vertical="center" wrapText="1"/>
    </xf>
    <xf numFmtId="164" fontId="8" fillId="7" borderId="58" xfId="0" applyNumberFormat="1" applyFont="1" applyFill="1" applyBorder="1" applyAlignment="1">
      <alignment horizontal="center" vertical="center" wrapText="1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5" xfId="0" applyNumberFormat="1" applyFont="1" applyFill="1" applyBorder="1" applyAlignment="1">
      <alignment horizontal="center" vertical="center"/>
    </xf>
    <xf numFmtId="164" fontId="8" fillId="7" borderId="62" xfId="0" applyNumberFormat="1" applyFont="1" applyFill="1" applyBorder="1" applyAlignment="1">
      <alignment horizontal="center" vertical="center"/>
    </xf>
    <xf numFmtId="164" fontId="8" fillId="7" borderId="60" xfId="0" applyNumberFormat="1" applyFont="1" applyFill="1" applyBorder="1" applyAlignment="1">
      <alignment horizontal="center" vertical="center"/>
    </xf>
    <xf numFmtId="164" fontId="8" fillId="7" borderId="45" xfId="0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4" xfId="0" applyNumberFormat="1" applyFont="1" applyFill="1" applyBorder="1" applyAlignment="1">
      <alignment horizontal="center" vertical="center"/>
    </xf>
    <xf numFmtId="9" fontId="152" fillId="0" borderId="0" xfId="1" applyFont="1"/>
    <xf numFmtId="9" fontId="0" fillId="0" borderId="0" xfId="1" applyFont="1"/>
    <xf numFmtId="10" fontId="0" fillId="0" borderId="0" xfId="1" applyNumberFormat="1" applyFont="1"/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106"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0.995284601740129</c:v>
                </c:pt>
                <c:pt idx="1">
                  <c:v>0.99298959754903393</c:v>
                </c:pt>
                <c:pt idx="2">
                  <c:v>0.97826428104400176</c:v>
                </c:pt>
                <c:pt idx="3">
                  <c:v>0.91681455138355572</c:v>
                </c:pt>
                <c:pt idx="4">
                  <c:v>0.86519244290911601</c:v>
                </c:pt>
                <c:pt idx="5">
                  <c:v>0.82242183313928774</c:v>
                </c:pt>
                <c:pt idx="6">
                  <c:v>0.77833632725396362</c:v>
                </c:pt>
                <c:pt idx="7">
                  <c:v>0.71232124055683899</c:v>
                </c:pt>
                <c:pt idx="8">
                  <c:v>0.61850100736463642</c:v>
                </c:pt>
                <c:pt idx="9">
                  <c:v>0.54606961485719752</c:v>
                </c:pt>
                <c:pt idx="10">
                  <c:v>0.47827935597078441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0.95782048349020787</c:v>
                </c:pt>
                <c:pt idx="1">
                  <c:v>0.94792663765007823</c:v>
                </c:pt>
                <c:pt idx="2">
                  <c:v>0.92019262049174988</c:v>
                </c:pt>
                <c:pt idx="3">
                  <c:v>0.87164002952333686</c:v>
                </c:pt>
                <c:pt idx="4">
                  <c:v>0.82963344031935504</c:v>
                </c:pt>
                <c:pt idx="5">
                  <c:v>0.76744890191493254</c:v>
                </c:pt>
                <c:pt idx="6">
                  <c:v>0.72981676746096191</c:v>
                </c:pt>
                <c:pt idx="7">
                  <c:v>0.65081813204620076</c:v>
                </c:pt>
                <c:pt idx="8">
                  <c:v>0.57035565491233486</c:v>
                </c:pt>
                <c:pt idx="9">
                  <c:v>0.51781076154324257</c:v>
                </c:pt>
                <c:pt idx="10">
                  <c:v>0.44901580409106984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0.95782048349020787</c:v>
                </c:pt>
                <c:pt idx="1">
                  <c:v>0.94792663765007823</c:v>
                </c:pt>
                <c:pt idx="2">
                  <c:v>0.92019262049174988</c:v>
                </c:pt>
                <c:pt idx="3">
                  <c:v>0.87164002952333686</c:v>
                </c:pt>
                <c:pt idx="4">
                  <c:v>0.82963344031935504</c:v>
                </c:pt>
                <c:pt idx="5">
                  <c:v>0.36961234182209501</c:v>
                </c:pt>
                <c:pt idx="6">
                  <c:v>0.31625140964563841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82272"/>
        <c:axId val="319384192"/>
      </c:lineChart>
      <c:catAx>
        <c:axId val="31938227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19384192"/>
        <c:crosses val="autoZero"/>
        <c:auto val="1"/>
        <c:lblAlgn val="ctr"/>
        <c:lblOffset val="100"/>
        <c:noMultiLvlLbl val="0"/>
      </c:catAx>
      <c:valAx>
        <c:axId val="31938419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19382272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Query!$B$3:$B$445</c:f>
              <c:numCache>
                <c:formatCode>m/d/yyyy</c:formatCode>
                <c:ptCount val="443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  <c:pt idx="286">
                  <c:v>40542</c:v>
                </c:pt>
                <c:pt idx="287">
                  <c:v>40535</c:v>
                </c:pt>
                <c:pt idx="288">
                  <c:v>40528</c:v>
                </c:pt>
                <c:pt idx="289">
                  <c:v>40521</c:v>
                </c:pt>
                <c:pt idx="290">
                  <c:v>40514</c:v>
                </c:pt>
                <c:pt idx="291">
                  <c:v>40506</c:v>
                </c:pt>
                <c:pt idx="292">
                  <c:v>40500</c:v>
                </c:pt>
                <c:pt idx="293">
                  <c:v>40493</c:v>
                </c:pt>
                <c:pt idx="294">
                  <c:v>40486</c:v>
                </c:pt>
                <c:pt idx="295">
                  <c:v>40479</c:v>
                </c:pt>
                <c:pt idx="296">
                  <c:v>40472</c:v>
                </c:pt>
                <c:pt idx="297">
                  <c:v>40465</c:v>
                </c:pt>
                <c:pt idx="298">
                  <c:v>40458</c:v>
                </c:pt>
                <c:pt idx="299">
                  <c:v>40451</c:v>
                </c:pt>
                <c:pt idx="300">
                  <c:v>40444</c:v>
                </c:pt>
                <c:pt idx="301">
                  <c:v>40437</c:v>
                </c:pt>
                <c:pt idx="302">
                  <c:v>40430</c:v>
                </c:pt>
                <c:pt idx="303">
                  <c:v>40423</c:v>
                </c:pt>
                <c:pt idx="304">
                  <c:v>40416</c:v>
                </c:pt>
                <c:pt idx="305">
                  <c:v>40409</c:v>
                </c:pt>
                <c:pt idx="306">
                  <c:v>40402</c:v>
                </c:pt>
                <c:pt idx="307">
                  <c:v>40395</c:v>
                </c:pt>
                <c:pt idx="308">
                  <c:v>40388</c:v>
                </c:pt>
                <c:pt idx="309">
                  <c:v>40381</c:v>
                </c:pt>
                <c:pt idx="310">
                  <c:v>40374</c:v>
                </c:pt>
                <c:pt idx="311">
                  <c:v>40367</c:v>
                </c:pt>
                <c:pt idx="312">
                  <c:v>40360</c:v>
                </c:pt>
                <c:pt idx="313">
                  <c:v>40353</c:v>
                </c:pt>
                <c:pt idx="314">
                  <c:v>40346</c:v>
                </c:pt>
                <c:pt idx="315">
                  <c:v>40339</c:v>
                </c:pt>
                <c:pt idx="316">
                  <c:v>40332</c:v>
                </c:pt>
                <c:pt idx="317">
                  <c:v>40325</c:v>
                </c:pt>
                <c:pt idx="318">
                  <c:v>40318</c:v>
                </c:pt>
                <c:pt idx="319">
                  <c:v>40311</c:v>
                </c:pt>
                <c:pt idx="320">
                  <c:v>40304</c:v>
                </c:pt>
                <c:pt idx="321">
                  <c:v>40297</c:v>
                </c:pt>
                <c:pt idx="322">
                  <c:v>40290</c:v>
                </c:pt>
                <c:pt idx="323">
                  <c:v>40283</c:v>
                </c:pt>
                <c:pt idx="324">
                  <c:v>40276</c:v>
                </c:pt>
                <c:pt idx="325">
                  <c:v>40269</c:v>
                </c:pt>
                <c:pt idx="326">
                  <c:v>40262</c:v>
                </c:pt>
                <c:pt idx="327">
                  <c:v>40255</c:v>
                </c:pt>
                <c:pt idx="328">
                  <c:v>40248</c:v>
                </c:pt>
                <c:pt idx="329">
                  <c:v>40241</c:v>
                </c:pt>
                <c:pt idx="330">
                  <c:v>40234</c:v>
                </c:pt>
                <c:pt idx="331">
                  <c:v>40227</c:v>
                </c:pt>
                <c:pt idx="332">
                  <c:v>40220</c:v>
                </c:pt>
                <c:pt idx="333">
                  <c:v>40213</c:v>
                </c:pt>
                <c:pt idx="334">
                  <c:v>40206</c:v>
                </c:pt>
                <c:pt idx="335">
                  <c:v>40199</c:v>
                </c:pt>
                <c:pt idx="336">
                  <c:v>40192</c:v>
                </c:pt>
                <c:pt idx="337">
                  <c:v>40185</c:v>
                </c:pt>
                <c:pt idx="338">
                  <c:v>40178</c:v>
                </c:pt>
                <c:pt idx="339">
                  <c:v>40171</c:v>
                </c:pt>
                <c:pt idx="340">
                  <c:v>40164</c:v>
                </c:pt>
                <c:pt idx="341">
                  <c:v>40157</c:v>
                </c:pt>
                <c:pt idx="342">
                  <c:v>40150</c:v>
                </c:pt>
                <c:pt idx="343">
                  <c:v>40142</c:v>
                </c:pt>
                <c:pt idx="344">
                  <c:v>40136</c:v>
                </c:pt>
                <c:pt idx="345">
                  <c:v>40129</c:v>
                </c:pt>
                <c:pt idx="346">
                  <c:v>40122</c:v>
                </c:pt>
                <c:pt idx="347">
                  <c:v>40115</c:v>
                </c:pt>
                <c:pt idx="348">
                  <c:v>40108</c:v>
                </c:pt>
                <c:pt idx="349">
                  <c:v>40101</c:v>
                </c:pt>
                <c:pt idx="350">
                  <c:v>40094</c:v>
                </c:pt>
                <c:pt idx="351">
                  <c:v>40087</c:v>
                </c:pt>
                <c:pt idx="352">
                  <c:v>40080</c:v>
                </c:pt>
                <c:pt idx="353">
                  <c:v>40073</c:v>
                </c:pt>
                <c:pt idx="354">
                  <c:v>40066</c:v>
                </c:pt>
                <c:pt idx="355">
                  <c:v>40059</c:v>
                </c:pt>
                <c:pt idx="356">
                  <c:v>40052</c:v>
                </c:pt>
                <c:pt idx="357">
                  <c:v>40045</c:v>
                </c:pt>
                <c:pt idx="358">
                  <c:v>40038</c:v>
                </c:pt>
                <c:pt idx="359">
                  <c:v>40031</c:v>
                </c:pt>
                <c:pt idx="360">
                  <c:v>40024</c:v>
                </c:pt>
                <c:pt idx="361">
                  <c:v>40017</c:v>
                </c:pt>
                <c:pt idx="362">
                  <c:v>40010</c:v>
                </c:pt>
                <c:pt idx="363">
                  <c:v>40003</c:v>
                </c:pt>
                <c:pt idx="364">
                  <c:v>39996</c:v>
                </c:pt>
                <c:pt idx="365">
                  <c:v>39989</c:v>
                </c:pt>
                <c:pt idx="366">
                  <c:v>39982</c:v>
                </c:pt>
                <c:pt idx="367">
                  <c:v>39975</c:v>
                </c:pt>
                <c:pt idx="368">
                  <c:v>39968</c:v>
                </c:pt>
                <c:pt idx="369">
                  <c:v>39961</c:v>
                </c:pt>
                <c:pt idx="370">
                  <c:v>39954</c:v>
                </c:pt>
                <c:pt idx="371">
                  <c:v>39947</c:v>
                </c:pt>
                <c:pt idx="372">
                  <c:v>39940</c:v>
                </c:pt>
                <c:pt idx="373">
                  <c:v>39933</c:v>
                </c:pt>
                <c:pt idx="374">
                  <c:v>39926</c:v>
                </c:pt>
                <c:pt idx="375">
                  <c:v>39919</c:v>
                </c:pt>
                <c:pt idx="376">
                  <c:v>39912</c:v>
                </c:pt>
                <c:pt idx="377">
                  <c:v>39905</c:v>
                </c:pt>
                <c:pt idx="378">
                  <c:v>39898</c:v>
                </c:pt>
                <c:pt idx="379">
                  <c:v>39891</c:v>
                </c:pt>
                <c:pt idx="380">
                  <c:v>39884</c:v>
                </c:pt>
                <c:pt idx="381">
                  <c:v>39877</c:v>
                </c:pt>
                <c:pt idx="382">
                  <c:v>39870</c:v>
                </c:pt>
                <c:pt idx="383">
                  <c:v>39863</c:v>
                </c:pt>
                <c:pt idx="384">
                  <c:v>39856</c:v>
                </c:pt>
                <c:pt idx="385">
                  <c:v>39849</c:v>
                </c:pt>
                <c:pt idx="386">
                  <c:v>39842</c:v>
                </c:pt>
                <c:pt idx="387">
                  <c:v>39835</c:v>
                </c:pt>
                <c:pt idx="388">
                  <c:v>39828</c:v>
                </c:pt>
                <c:pt idx="389">
                  <c:v>39821</c:v>
                </c:pt>
                <c:pt idx="390">
                  <c:v>39813</c:v>
                </c:pt>
                <c:pt idx="391">
                  <c:v>39806</c:v>
                </c:pt>
                <c:pt idx="392">
                  <c:v>39800</c:v>
                </c:pt>
                <c:pt idx="393">
                  <c:v>39793</c:v>
                </c:pt>
                <c:pt idx="394">
                  <c:v>39786</c:v>
                </c:pt>
                <c:pt idx="395">
                  <c:v>39778</c:v>
                </c:pt>
                <c:pt idx="396">
                  <c:v>39772</c:v>
                </c:pt>
                <c:pt idx="397">
                  <c:v>39765</c:v>
                </c:pt>
                <c:pt idx="398">
                  <c:v>39758</c:v>
                </c:pt>
                <c:pt idx="399">
                  <c:v>39751</c:v>
                </c:pt>
                <c:pt idx="400">
                  <c:v>39744</c:v>
                </c:pt>
                <c:pt idx="401">
                  <c:v>39737</c:v>
                </c:pt>
                <c:pt idx="402">
                  <c:v>39730</c:v>
                </c:pt>
                <c:pt idx="403">
                  <c:v>39723</c:v>
                </c:pt>
                <c:pt idx="404">
                  <c:v>39716</c:v>
                </c:pt>
                <c:pt idx="405">
                  <c:v>39709</c:v>
                </c:pt>
                <c:pt idx="406">
                  <c:v>39702</c:v>
                </c:pt>
                <c:pt idx="407">
                  <c:v>39695</c:v>
                </c:pt>
                <c:pt idx="408">
                  <c:v>39688</c:v>
                </c:pt>
                <c:pt idx="409">
                  <c:v>39681</c:v>
                </c:pt>
                <c:pt idx="410">
                  <c:v>39674</c:v>
                </c:pt>
                <c:pt idx="411">
                  <c:v>39667</c:v>
                </c:pt>
                <c:pt idx="412">
                  <c:v>39660</c:v>
                </c:pt>
                <c:pt idx="413">
                  <c:v>39653</c:v>
                </c:pt>
                <c:pt idx="414">
                  <c:v>39646</c:v>
                </c:pt>
                <c:pt idx="415">
                  <c:v>39639</c:v>
                </c:pt>
                <c:pt idx="416">
                  <c:v>39632</c:v>
                </c:pt>
                <c:pt idx="417">
                  <c:v>39625</c:v>
                </c:pt>
                <c:pt idx="418">
                  <c:v>39618</c:v>
                </c:pt>
                <c:pt idx="419">
                  <c:v>39611</c:v>
                </c:pt>
                <c:pt idx="420">
                  <c:v>39604</c:v>
                </c:pt>
                <c:pt idx="421">
                  <c:v>39597</c:v>
                </c:pt>
                <c:pt idx="422">
                  <c:v>39590</c:v>
                </c:pt>
                <c:pt idx="423">
                  <c:v>39583</c:v>
                </c:pt>
                <c:pt idx="424">
                  <c:v>39576</c:v>
                </c:pt>
                <c:pt idx="425">
                  <c:v>39569</c:v>
                </c:pt>
                <c:pt idx="426">
                  <c:v>39562</c:v>
                </c:pt>
                <c:pt idx="427">
                  <c:v>39555</c:v>
                </c:pt>
                <c:pt idx="428">
                  <c:v>39548</c:v>
                </c:pt>
                <c:pt idx="429">
                  <c:v>39541</c:v>
                </c:pt>
                <c:pt idx="430">
                  <c:v>39534</c:v>
                </c:pt>
                <c:pt idx="431">
                  <c:v>39527</c:v>
                </c:pt>
                <c:pt idx="432">
                  <c:v>39520</c:v>
                </c:pt>
                <c:pt idx="433">
                  <c:v>39513</c:v>
                </c:pt>
                <c:pt idx="434">
                  <c:v>39506</c:v>
                </c:pt>
                <c:pt idx="435">
                  <c:v>39499</c:v>
                </c:pt>
                <c:pt idx="436">
                  <c:v>39492</c:v>
                </c:pt>
                <c:pt idx="437">
                  <c:v>39485</c:v>
                </c:pt>
                <c:pt idx="438">
                  <c:v>39478</c:v>
                </c:pt>
                <c:pt idx="439">
                  <c:v>39471</c:v>
                </c:pt>
                <c:pt idx="440">
                  <c:v>39464</c:v>
                </c:pt>
                <c:pt idx="441">
                  <c:v>39457</c:v>
                </c:pt>
                <c:pt idx="442">
                  <c:v>39450</c:v>
                </c:pt>
              </c:numCache>
            </c:numRef>
          </c:cat>
          <c:val>
            <c:numRef>
              <c:f>Query!$E$3:$E$445</c:f>
              <c:numCache>
                <c:formatCode>0.00%</c:formatCode>
                <c:ptCount val="443"/>
                <c:pt idx="0">
                  <c:v>0</c:v>
                </c:pt>
                <c:pt idx="1">
                  <c:v>0.30688655190000003</c:v>
                </c:pt>
                <c:pt idx="2">
                  <c:v>2.196012E-4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0.2844667655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0.26905119960000001</c:v>
                </c:pt>
                <c:pt idx="11">
                  <c:v>0.26649742840000001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5.7145894099999997E-2</c:v>
                </c:pt>
                <c:pt idx="17">
                  <c:v>5.1230928299999999E-2</c:v>
                </c:pt>
                <c:pt idx="18">
                  <c:v>0</c:v>
                </c:pt>
                <c:pt idx="19">
                  <c:v>5.1085709700000002E-2</c:v>
                </c:pt>
                <c:pt idx="20">
                  <c:v>3.1734090600000001E-2</c:v>
                </c:pt>
                <c:pt idx="21">
                  <c:v>3.3333785999999999E-3</c:v>
                </c:pt>
                <c:pt idx="22">
                  <c:v>3.3044493000000002E-3</c:v>
                </c:pt>
                <c:pt idx="23">
                  <c:v>5.448769E-4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8.6672647999999995E-3</c:v>
                </c:pt>
                <c:pt idx="38">
                  <c:v>1.7827444999999999E-3</c:v>
                </c:pt>
                <c:pt idx="39">
                  <c:v>7.4039299999999994E-5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1.1738189E-3</c:v>
                </c:pt>
                <c:pt idx="44">
                  <c:v>0</c:v>
                </c:pt>
                <c:pt idx="45">
                  <c:v>0</c:v>
                </c:pt>
                <c:pt idx="46">
                  <c:v>2.6231900000000001E-4</c:v>
                </c:pt>
                <c:pt idx="47">
                  <c:v>1.2230900000000002E-5</c:v>
                </c:pt>
                <c:pt idx="48">
                  <c:v>0</c:v>
                </c:pt>
                <c:pt idx="49">
                  <c:v>0</c:v>
                </c:pt>
                <c:pt idx="50">
                  <c:v>8.1397999999999996E-6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2.5004665E-3</c:v>
                </c:pt>
                <c:pt idx="62">
                  <c:v>0</c:v>
                </c:pt>
                <c:pt idx="63">
                  <c:v>2.4475238999999999E-3</c:v>
                </c:pt>
                <c:pt idx="64">
                  <c:v>0</c:v>
                </c:pt>
                <c:pt idx="65">
                  <c:v>1.608499E-4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0.18166743839999999</c:v>
                </c:pt>
                <c:pt idx="73">
                  <c:v>0</c:v>
                </c:pt>
                <c:pt idx="74">
                  <c:v>0.1537746354</c:v>
                </c:pt>
                <c:pt idx="75">
                  <c:v>0.1536612413</c:v>
                </c:pt>
                <c:pt idx="76">
                  <c:v>0.1242832545</c:v>
                </c:pt>
                <c:pt idx="77">
                  <c:v>0</c:v>
                </c:pt>
                <c:pt idx="78">
                  <c:v>0</c:v>
                </c:pt>
                <c:pt idx="79">
                  <c:v>0.1023458956</c:v>
                </c:pt>
                <c:pt idx="80">
                  <c:v>0</c:v>
                </c:pt>
                <c:pt idx="81">
                  <c:v>8.5560241400000001E-2</c:v>
                </c:pt>
                <c:pt idx="82">
                  <c:v>5.4104000000000002E-5</c:v>
                </c:pt>
                <c:pt idx="83">
                  <c:v>5.35251E-5</c:v>
                </c:pt>
                <c:pt idx="84">
                  <c:v>3.8752399999999998E-5</c:v>
                </c:pt>
                <c:pt idx="85">
                  <c:v>0</c:v>
                </c:pt>
                <c:pt idx="86">
                  <c:v>0</c:v>
                </c:pt>
                <c:pt idx="87">
                  <c:v>7.97003981E-2</c:v>
                </c:pt>
                <c:pt idx="88">
                  <c:v>6.5095605900000006E-2</c:v>
                </c:pt>
                <c:pt idx="89">
                  <c:v>1.9032899999999999E-5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3.3566371999999997E-2</c:v>
                </c:pt>
                <c:pt idx="97">
                  <c:v>3.7045100000000002E-5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2.9636230199999999E-2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1.9336270799999999E-2</c:v>
                </c:pt>
                <c:pt idx="108">
                  <c:v>1.5762900199999999E-2</c:v>
                </c:pt>
                <c:pt idx="109">
                  <c:v>1.17439009E-2</c:v>
                </c:pt>
                <c:pt idx="110">
                  <c:v>7.9300269999999992E-3</c:v>
                </c:pt>
                <c:pt idx="111">
                  <c:v>5.7357874999999997E-3</c:v>
                </c:pt>
                <c:pt idx="112">
                  <c:v>0</c:v>
                </c:pt>
                <c:pt idx="113">
                  <c:v>0</c:v>
                </c:pt>
                <c:pt idx="114">
                  <c:v>3.8373790000000002E-4</c:v>
                </c:pt>
                <c:pt idx="115">
                  <c:v>1.23647E-5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1.4348052E-3</c:v>
                </c:pt>
                <c:pt idx="125">
                  <c:v>5.7224559999999997E-4</c:v>
                </c:pt>
                <c:pt idx="126">
                  <c:v>2.914956E-4</c:v>
                </c:pt>
                <c:pt idx="127">
                  <c:v>7.5507000000000004E-6</c:v>
                </c:pt>
                <c:pt idx="128">
                  <c:v>4.5013999999999998E-6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1.0423364E-3</c:v>
                </c:pt>
                <c:pt idx="139">
                  <c:v>6.657124999999999E-4</c:v>
                </c:pt>
                <c:pt idx="140">
                  <c:v>0</c:v>
                </c:pt>
                <c:pt idx="141">
                  <c:v>0</c:v>
                </c:pt>
                <c:pt idx="142">
                  <c:v>3.2431819999999999E-4</c:v>
                </c:pt>
                <c:pt idx="143">
                  <c:v>1.00191E-5</c:v>
                </c:pt>
                <c:pt idx="144">
                  <c:v>3.5779999999999999E-7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5.2293966000000001E-3</c:v>
                </c:pt>
                <c:pt idx="165">
                  <c:v>0</c:v>
                </c:pt>
                <c:pt idx="166">
                  <c:v>2.1059732999999998E-3</c:v>
                </c:pt>
                <c:pt idx="167">
                  <c:v>1.4715691000000001E-3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4.1444319999999998E-4</c:v>
                </c:pt>
                <c:pt idx="173">
                  <c:v>1.7306500000000001E-5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2.061412E-4</c:v>
                </c:pt>
                <c:pt idx="185">
                  <c:v>0</c:v>
                </c:pt>
                <c:pt idx="186">
                  <c:v>0</c:v>
                </c:pt>
                <c:pt idx="187">
                  <c:v>0.9281076654</c:v>
                </c:pt>
                <c:pt idx="188">
                  <c:v>6.9942099999999996E-5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0.92807978840000005</c:v>
                </c:pt>
                <c:pt idx="195">
                  <c:v>0.935348391</c:v>
                </c:pt>
                <c:pt idx="196">
                  <c:v>0.90078150499999998</c:v>
                </c:pt>
                <c:pt idx="197">
                  <c:v>1.3565838E-3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0.91595412320000003</c:v>
                </c:pt>
                <c:pt idx="205">
                  <c:v>0.90462039660000004</c:v>
                </c:pt>
                <c:pt idx="206">
                  <c:v>0.90261395929999999</c:v>
                </c:pt>
                <c:pt idx="207">
                  <c:v>0.87826553819999997</c:v>
                </c:pt>
                <c:pt idx="208">
                  <c:v>0</c:v>
                </c:pt>
                <c:pt idx="209">
                  <c:v>0.87680139130000012</c:v>
                </c:pt>
                <c:pt idx="210">
                  <c:v>0</c:v>
                </c:pt>
                <c:pt idx="211">
                  <c:v>0.87641126130000013</c:v>
                </c:pt>
                <c:pt idx="212">
                  <c:v>0.83983334480000005</c:v>
                </c:pt>
                <c:pt idx="213">
                  <c:v>0</c:v>
                </c:pt>
                <c:pt idx="214">
                  <c:v>0.83830150820000005</c:v>
                </c:pt>
                <c:pt idx="215">
                  <c:v>0.81730839639999997</c:v>
                </c:pt>
                <c:pt idx="216">
                  <c:v>0.81120579599999998</c:v>
                </c:pt>
                <c:pt idx="217">
                  <c:v>0</c:v>
                </c:pt>
                <c:pt idx="218">
                  <c:v>0</c:v>
                </c:pt>
                <c:pt idx="219">
                  <c:v>0.80339735970000004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2.1742500000000004E-5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0.82555159239999998</c:v>
                </c:pt>
                <c:pt idx="233">
                  <c:v>0</c:v>
                </c:pt>
                <c:pt idx="234">
                  <c:v>0</c:v>
                </c:pt>
                <c:pt idx="235">
                  <c:v>0.830488738</c:v>
                </c:pt>
                <c:pt idx="236">
                  <c:v>1.3569425E-3</c:v>
                </c:pt>
                <c:pt idx="237">
                  <c:v>1.142524E-4</c:v>
                </c:pt>
                <c:pt idx="238">
                  <c:v>0</c:v>
                </c:pt>
                <c:pt idx="239">
                  <c:v>1.8926290000000003E-4</c:v>
                </c:pt>
                <c:pt idx="240">
                  <c:v>0</c:v>
                </c:pt>
                <c:pt idx="241">
                  <c:v>1.8805710000000003E-4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0.83641698470000003</c:v>
                </c:pt>
                <c:pt idx="247">
                  <c:v>0.83290245399999996</c:v>
                </c:pt>
                <c:pt idx="248">
                  <c:v>0</c:v>
                </c:pt>
                <c:pt idx="249">
                  <c:v>0.79840746299999998</c:v>
                </c:pt>
                <c:pt idx="250">
                  <c:v>0.79336326020000003</c:v>
                </c:pt>
                <c:pt idx="251">
                  <c:v>0</c:v>
                </c:pt>
                <c:pt idx="252">
                  <c:v>0</c:v>
                </c:pt>
                <c:pt idx="253">
                  <c:v>0.77916685399999996</c:v>
                </c:pt>
                <c:pt idx="254">
                  <c:v>2.4178990099999999E-2</c:v>
                </c:pt>
                <c:pt idx="255">
                  <c:v>1.26126242E-2</c:v>
                </c:pt>
                <c:pt idx="256">
                  <c:v>0</c:v>
                </c:pt>
                <c:pt idx="257">
                  <c:v>0</c:v>
                </c:pt>
                <c:pt idx="258">
                  <c:v>3.0790400000000003E-5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3.8651415000000001E-3</c:v>
                </c:pt>
                <c:pt idx="264">
                  <c:v>3.0079733999999999E-3</c:v>
                </c:pt>
                <c:pt idx="265">
                  <c:v>9.6633050000000001E-4</c:v>
                </c:pt>
                <c:pt idx="266">
                  <c:v>9.5316439999999997E-4</c:v>
                </c:pt>
                <c:pt idx="267">
                  <c:v>9.49525E-4</c:v>
                </c:pt>
                <c:pt idx="268">
                  <c:v>4.295093E-4</c:v>
                </c:pt>
                <c:pt idx="269">
                  <c:v>4.3211E-6</c:v>
                </c:pt>
                <c:pt idx="270">
                  <c:v>4.3211E-6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2.2781200000000005E-5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3.4087999999999999E-6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0.87849900790000013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0.87668126219999998</c:v>
                </c:pt>
                <c:pt idx="298">
                  <c:v>0.84601650620000002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0.8595783092</c:v>
                </c:pt>
                <c:pt idx="304">
                  <c:v>0.83767788539999999</c:v>
                </c:pt>
                <c:pt idx="305">
                  <c:v>0.80875793200000001</c:v>
                </c:pt>
                <c:pt idx="306">
                  <c:v>0.80814178439999995</c:v>
                </c:pt>
                <c:pt idx="307">
                  <c:v>0.77103122199999996</c:v>
                </c:pt>
                <c:pt idx="308">
                  <c:v>0.76295205990000003</c:v>
                </c:pt>
                <c:pt idx="309">
                  <c:v>0.76214313</c:v>
                </c:pt>
                <c:pt idx="310">
                  <c:v>0</c:v>
                </c:pt>
                <c:pt idx="311">
                  <c:v>0.76127916539999996</c:v>
                </c:pt>
                <c:pt idx="312">
                  <c:v>0.74095838449999996</c:v>
                </c:pt>
                <c:pt idx="313">
                  <c:v>0.72360327089999998</c:v>
                </c:pt>
                <c:pt idx="314">
                  <c:v>0</c:v>
                </c:pt>
                <c:pt idx="315">
                  <c:v>8.9007627999999998E-3</c:v>
                </c:pt>
                <c:pt idx="316">
                  <c:v>0</c:v>
                </c:pt>
                <c:pt idx="317">
                  <c:v>3.6171073000000002E-3</c:v>
                </c:pt>
                <c:pt idx="318">
                  <c:v>1.8994548999999999E-3</c:v>
                </c:pt>
                <c:pt idx="319">
                  <c:v>2.9471480000000001E-4</c:v>
                </c:pt>
                <c:pt idx="320">
                  <c:v>5.6751000000000009E-6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1.2029E-5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0.79182101829999996</c:v>
                </c:pt>
                <c:pt idx="343">
                  <c:v>1.7464750599999999E-2</c:v>
                </c:pt>
                <c:pt idx="344">
                  <c:v>8.4279416000000006E-3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5.3882499999999998E-3</c:v>
                </c:pt>
                <c:pt idx="351">
                  <c:v>4.1859721000000001E-3</c:v>
                </c:pt>
                <c:pt idx="352">
                  <c:v>1.882552E-3</c:v>
                </c:pt>
                <c:pt idx="353">
                  <c:v>1.8440702000000002E-3</c:v>
                </c:pt>
                <c:pt idx="354">
                  <c:v>1.8238699E-3</c:v>
                </c:pt>
                <c:pt idx="355">
                  <c:v>1.4198030000000001E-3</c:v>
                </c:pt>
                <c:pt idx="356">
                  <c:v>0</c:v>
                </c:pt>
                <c:pt idx="357">
                  <c:v>7.3150190000000005E-4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6.1317399999999997E-5</c:v>
                </c:pt>
                <c:pt idx="363">
                  <c:v>5.5602200000000001E-5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0.96773525760000001</c:v>
                </c:pt>
                <c:pt idx="378">
                  <c:v>0.95662482240000002</c:v>
                </c:pt>
                <c:pt idx="379">
                  <c:v>3.6109559999999996E-4</c:v>
                </c:pt>
                <c:pt idx="380">
                  <c:v>3.4018710000000002E-4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0.91180757339999996</c:v>
                </c:pt>
                <c:pt idx="389">
                  <c:v>0.89735601710000001</c:v>
                </c:pt>
                <c:pt idx="390">
                  <c:v>0.83225440230000003</c:v>
                </c:pt>
                <c:pt idx="391">
                  <c:v>0.68221910109999995</c:v>
                </c:pt>
                <c:pt idx="392">
                  <c:v>0.67708556379999996</c:v>
                </c:pt>
                <c:pt idx="393">
                  <c:v>9.0985881000000005E-2</c:v>
                </c:pt>
                <c:pt idx="394">
                  <c:v>8.3738041200000002E-2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3.19365749E-2</c:v>
                </c:pt>
                <c:pt idx="406">
                  <c:v>1.29410889E-2</c:v>
                </c:pt>
                <c:pt idx="407">
                  <c:v>9.4261399999999998E-5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0.49230690290000001</c:v>
                </c:pt>
                <c:pt idx="440">
                  <c:v>0.31789701500000001</c:v>
                </c:pt>
                <c:pt idx="441">
                  <c:v>0.25890370559999998</c:v>
                </c:pt>
                <c:pt idx="44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511360"/>
        <c:axId val="276513152"/>
      </c:barChart>
      <c:lineChart>
        <c:grouping val="standard"/>
        <c:varyColors val="0"/>
        <c:ser>
          <c:idx val="0"/>
          <c:order val="0"/>
          <c:tx>
            <c:v>Pool</c:v>
          </c:tx>
          <c:spPr>
            <a:ln w="19050"/>
          </c:spPr>
          <c:marker>
            <c:symbol val="none"/>
          </c:marker>
          <c:cat>
            <c:numRef>
              <c:f>Query!$B$3:$B$445</c:f>
              <c:numCache>
                <c:formatCode>m/d/yyyy</c:formatCode>
                <c:ptCount val="443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  <c:pt idx="286">
                  <c:v>40542</c:v>
                </c:pt>
                <c:pt idx="287">
                  <c:v>40535</c:v>
                </c:pt>
                <c:pt idx="288">
                  <c:v>40528</c:v>
                </c:pt>
                <c:pt idx="289">
                  <c:v>40521</c:v>
                </c:pt>
                <c:pt idx="290">
                  <c:v>40514</c:v>
                </c:pt>
                <c:pt idx="291">
                  <c:v>40506</c:v>
                </c:pt>
                <c:pt idx="292">
                  <c:v>40500</c:v>
                </c:pt>
                <c:pt idx="293">
                  <c:v>40493</c:v>
                </c:pt>
                <c:pt idx="294">
                  <c:v>40486</c:v>
                </c:pt>
                <c:pt idx="295">
                  <c:v>40479</c:v>
                </c:pt>
                <c:pt idx="296">
                  <c:v>40472</c:v>
                </c:pt>
                <c:pt idx="297">
                  <c:v>40465</c:v>
                </c:pt>
                <c:pt idx="298">
                  <c:v>40458</c:v>
                </c:pt>
                <c:pt idx="299">
                  <c:v>40451</c:v>
                </c:pt>
                <c:pt idx="300">
                  <c:v>40444</c:v>
                </c:pt>
                <c:pt idx="301">
                  <c:v>40437</c:v>
                </c:pt>
                <c:pt idx="302">
                  <c:v>40430</c:v>
                </c:pt>
                <c:pt idx="303">
                  <c:v>40423</c:v>
                </c:pt>
                <c:pt idx="304">
                  <c:v>40416</c:v>
                </c:pt>
                <c:pt idx="305">
                  <c:v>40409</c:v>
                </c:pt>
                <c:pt idx="306">
                  <c:v>40402</c:v>
                </c:pt>
                <c:pt idx="307">
                  <c:v>40395</c:v>
                </c:pt>
                <c:pt idx="308">
                  <c:v>40388</c:v>
                </c:pt>
                <c:pt idx="309">
                  <c:v>40381</c:v>
                </c:pt>
                <c:pt idx="310">
                  <c:v>40374</c:v>
                </c:pt>
                <c:pt idx="311">
                  <c:v>40367</c:v>
                </c:pt>
                <c:pt idx="312">
                  <c:v>40360</c:v>
                </c:pt>
                <c:pt idx="313">
                  <c:v>40353</c:v>
                </c:pt>
                <c:pt idx="314">
                  <c:v>40346</c:v>
                </c:pt>
                <c:pt idx="315">
                  <c:v>40339</c:v>
                </c:pt>
                <c:pt idx="316">
                  <c:v>40332</c:v>
                </c:pt>
                <c:pt idx="317">
                  <c:v>40325</c:v>
                </c:pt>
                <c:pt idx="318">
                  <c:v>40318</c:v>
                </c:pt>
                <c:pt idx="319">
                  <c:v>40311</c:v>
                </c:pt>
                <c:pt idx="320">
                  <c:v>40304</c:v>
                </c:pt>
                <c:pt idx="321">
                  <c:v>40297</c:v>
                </c:pt>
                <c:pt idx="322">
                  <c:v>40290</c:v>
                </c:pt>
                <c:pt idx="323">
                  <c:v>40283</c:v>
                </c:pt>
                <c:pt idx="324">
                  <c:v>40276</c:v>
                </c:pt>
                <c:pt idx="325">
                  <c:v>40269</c:v>
                </c:pt>
                <c:pt idx="326">
                  <c:v>40262</c:v>
                </c:pt>
                <c:pt idx="327">
                  <c:v>40255</c:v>
                </c:pt>
                <c:pt idx="328">
                  <c:v>40248</c:v>
                </c:pt>
                <c:pt idx="329">
                  <c:v>40241</c:v>
                </c:pt>
                <c:pt idx="330">
                  <c:v>40234</c:v>
                </c:pt>
                <c:pt idx="331">
                  <c:v>40227</c:v>
                </c:pt>
                <c:pt idx="332">
                  <c:v>40220</c:v>
                </c:pt>
                <c:pt idx="333">
                  <c:v>40213</c:v>
                </c:pt>
                <c:pt idx="334">
                  <c:v>40206</c:v>
                </c:pt>
                <c:pt idx="335">
                  <c:v>40199</c:v>
                </c:pt>
                <c:pt idx="336">
                  <c:v>40192</c:v>
                </c:pt>
                <c:pt idx="337">
                  <c:v>40185</c:v>
                </c:pt>
                <c:pt idx="338">
                  <c:v>40178</c:v>
                </c:pt>
                <c:pt idx="339">
                  <c:v>40171</c:v>
                </c:pt>
                <c:pt idx="340">
                  <c:v>40164</c:v>
                </c:pt>
                <c:pt idx="341">
                  <c:v>40157</c:v>
                </c:pt>
                <c:pt idx="342">
                  <c:v>40150</c:v>
                </c:pt>
                <c:pt idx="343">
                  <c:v>40142</c:v>
                </c:pt>
                <c:pt idx="344">
                  <c:v>40136</c:v>
                </c:pt>
                <c:pt idx="345">
                  <c:v>40129</c:v>
                </c:pt>
                <c:pt idx="346">
                  <c:v>40122</c:v>
                </c:pt>
                <c:pt idx="347">
                  <c:v>40115</c:v>
                </c:pt>
                <c:pt idx="348">
                  <c:v>40108</c:v>
                </c:pt>
                <c:pt idx="349">
                  <c:v>40101</c:v>
                </c:pt>
                <c:pt idx="350">
                  <c:v>40094</c:v>
                </c:pt>
                <c:pt idx="351">
                  <c:v>40087</c:v>
                </c:pt>
                <c:pt idx="352">
                  <c:v>40080</c:v>
                </c:pt>
                <c:pt idx="353">
                  <c:v>40073</c:v>
                </c:pt>
                <c:pt idx="354">
                  <c:v>40066</c:v>
                </c:pt>
                <c:pt idx="355">
                  <c:v>40059</c:v>
                </c:pt>
                <c:pt idx="356">
                  <c:v>40052</c:v>
                </c:pt>
                <c:pt idx="357">
                  <c:v>40045</c:v>
                </c:pt>
                <c:pt idx="358">
                  <c:v>40038</c:v>
                </c:pt>
                <c:pt idx="359">
                  <c:v>40031</c:v>
                </c:pt>
                <c:pt idx="360">
                  <c:v>40024</c:v>
                </c:pt>
                <c:pt idx="361">
                  <c:v>40017</c:v>
                </c:pt>
                <c:pt idx="362">
                  <c:v>40010</c:v>
                </c:pt>
                <c:pt idx="363">
                  <c:v>40003</c:v>
                </c:pt>
                <c:pt idx="364">
                  <c:v>39996</c:v>
                </c:pt>
                <c:pt idx="365">
                  <c:v>39989</c:v>
                </c:pt>
                <c:pt idx="366">
                  <c:v>39982</c:v>
                </c:pt>
                <c:pt idx="367">
                  <c:v>39975</c:v>
                </c:pt>
                <c:pt idx="368">
                  <c:v>39968</c:v>
                </c:pt>
                <c:pt idx="369">
                  <c:v>39961</c:v>
                </c:pt>
                <c:pt idx="370">
                  <c:v>39954</c:v>
                </c:pt>
                <c:pt idx="371">
                  <c:v>39947</c:v>
                </c:pt>
                <c:pt idx="372">
                  <c:v>39940</c:v>
                </c:pt>
                <c:pt idx="373">
                  <c:v>39933</c:v>
                </c:pt>
                <c:pt idx="374">
                  <c:v>39926</c:v>
                </c:pt>
                <c:pt idx="375">
                  <c:v>39919</c:v>
                </c:pt>
                <c:pt idx="376">
                  <c:v>39912</c:v>
                </c:pt>
                <c:pt idx="377">
                  <c:v>39905</c:v>
                </c:pt>
                <c:pt idx="378">
                  <c:v>39898</c:v>
                </c:pt>
                <c:pt idx="379">
                  <c:v>39891</c:v>
                </c:pt>
                <c:pt idx="380">
                  <c:v>39884</c:v>
                </c:pt>
                <c:pt idx="381">
                  <c:v>39877</c:v>
                </c:pt>
                <c:pt idx="382">
                  <c:v>39870</c:v>
                </c:pt>
                <c:pt idx="383">
                  <c:v>39863</c:v>
                </c:pt>
                <c:pt idx="384">
                  <c:v>39856</c:v>
                </c:pt>
                <c:pt idx="385">
                  <c:v>39849</c:v>
                </c:pt>
                <c:pt idx="386">
                  <c:v>39842</c:v>
                </c:pt>
                <c:pt idx="387">
                  <c:v>39835</c:v>
                </c:pt>
                <c:pt idx="388">
                  <c:v>39828</c:v>
                </c:pt>
                <c:pt idx="389">
                  <c:v>39821</c:v>
                </c:pt>
                <c:pt idx="390">
                  <c:v>39813</c:v>
                </c:pt>
                <c:pt idx="391">
                  <c:v>39806</c:v>
                </c:pt>
                <c:pt idx="392">
                  <c:v>39800</c:v>
                </c:pt>
                <c:pt idx="393">
                  <c:v>39793</c:v>
                </c:pt>
                <c:pt idx="394">
                  <c:v>39786</c:v>
                </c:pt>
                <c:pt idx="395">
                  <c:v>39778</c:v>
                </c:pt>
                <c:pt idx="396">
                  <c:v>39772</c:v>
                </c:pt>
                <c:pt idx="397">
                  <c:v>39765</c:v>
                </c:pt>
                <c:pt idx="398">
                  <c:v>39758</c:v>
                </c:pt>
                <c:pt idx="399">
                  <c:v>39751</c:v>
                </c:pt>
                <c:pt idx="400">
                  <c:v>39744</c:v>
                </c:pt>
                <c:pt idx="401">
                  <c:v>39737</c:v>
                </c:pt>
                <c:pt idx="402">
                  <c:v>39730</c:v>
                </c:pt>
                <c:pt idx="403">
                  <c:v>39723</c:v>
                </c:pt>
                <c:pt idx="404">
                  <c:v>39716</c:v>
                </c:pt>
                <c:pt idx="405">
                  <c:v>39709</c:v>
                </c:pt>
                <c:pt idx="406">
                  <c:v>39702</c:v>
                </c:pt>
                <c:pt idx="407">
                  <c:v>39695</c:v>
                </c:pt>
                <c:pt idx="408">
                  <c:v>39688</c:v>
                </c:pt>
                <c:pt idx="409">
                  <c:v>39681</c:v>
                </c:pt>
                <c:pt idx="410">
                  <c:v>39674</c:v>
                </c:pt>
                <c:pt idx="411">
                  <c:v>39667</c:v>
                </c:pt>
                <c:pt idx="412">
                  <c:v>39660</c:v>
                </c:pt>
                <c:pt idx="413">
                  <c:v>39653</c:v>
                </c:pt>
                <c:pt idx="414">
                  <c:v>39646</c:v>
                </c:pt>
                <c:pt idx="415">
                  <c:v>39639</c:v>
                </c:pt>
                <c:pt idx="416">
                  <c:v>39632</c:v>
                </c:pt>
                <c:pt idx="417">
                  <c:v>39625</c:v>
                </c:pt>
                <c:pt idx="418">
                  <c:v>39618</c:v>
                </c:pt>
                <c:pt idx="419">
                  <c:v>39611</c:v>
                </c:pt>
                <c:pt idx="420">
                  <c:v>39604</c:v>
                </c:pt>
                <c:pt idx="421">
                  <c:v>39597</c:v>
                </c:pt>
                <c:pt idx="422">
                  <c:v>39590</c:v>
                </c:pt>
                <c:pt idx="423">
                  <c:v>39583</c:v>
                </c:pt>
                <c:pt idx="424">
                  <c:v>39576</c:v>
                </c:pt>
                <c:pt idx="425">
                  <c:v>39569</c:v>
                </c:pt>
                <c:pt idx="426">
                  <c:v>39562</c:v>
                </c:pt>
                <c:pt idx="427">
                  <c:v>39555</c:v>
                </c:pt>
                <c:pt idx="428">
                  <c:v>39548</c:v>
                </c:pt>
                <c:pt idx="429">
                  <c:v>39541</c:v>
                </c:pt>
                <c:pt idx="430">
                  <c:v>39534</c:v>
                </c:pt>
                <c:pt idx="431">
                  <c:v>39527</c:v>
                </c:pt>
                <c:pt idx="432">
                  <c:v>39520</c:v>
                </c:pt>
                <c:pt idx="433">
                  <c:v>39513</c:v>
                </c:pt>
                <c:pt idx="434">
                  <c:v>39506</c:v>
                </c:pt>
                <c:pt idx="435">
                  <c:v>39499</c:v>
                </c:pt>
                <c:pt idx="436">
                  <c:v>39492</c:v>
                </c:pt>
                <c:pt idx="437">
                  <c:v>39485</c:v>
                </c:pt>
                <c:pt idx="438">
                  <c:v>39478</c:v>
                </c:pt>
                <c:pt idx="439">
                  <c:v>39471</c:v>
                </c:pt>
                <c:pt idx="440">
                  <c:v>39464</c:v>
                </c:pt>
                <c:pt idx="441">
                  <c:v>39457</c:v>
                </c:pt>
                <c:pt idx="442">
                  <c:v>39450</c:v>
                </c:pt>
              </c:numCache>
            </c:numRef>
          </c:cat>
          <c:val>
            <c:numRef>
              <c:f>Query!$C$3:$C$445</c:f>
              <c:numCache>
                <c:formatCode>0.00%</c:formatCode>
                <c:ptCount val="443"/>
                <c:pt idx="0">
                  <c:v>0.69110725210000001</c:v>
                </c:pt>
                <c:pt idx="1">
                  <c:v>0.73739072439999997</c:v>
                </c:pt>
                <c:pt idx="2">
                  <c:v>0.66438425379999999</c:v>
                </c:pt>
                <c:pt idx="3">
                  <c:v>0.58526010230000003</c:v>
                </c:pt>
                <c:pt idx="4">
                  <c:v>0.62190941929999999</c:v>
                </c:pt>
                <c:pt idx="5">
                  <c:v>0.66521365170000002</c:v>
                </c:pt>
                <c:pt idx="6">
                  <c:v>0.71267394809999995</c:v>
                </c:pt>
                <c:pt idx="7">
                  <c:v>0.62371322269999996</c:v>
                </c:pt>
                <c:pt idx="8">
                  <c:v>0.57406643820000003</c:v>
                </c:pt>
                <c:pt idx="9">
                  <c:v>0.64436269310000005</c:v>
                </c:pt>
                <c:pt idx="10">
                  <c:v>0.69672383459999998</c:v>
                </c:pt>
                <c:pt idx="11">
                  <c:v>0.68664584439999998</c:v>
                </c:pt>
                <c:pt idx="12">
                  <c:v>0.56749132749999998</c:v>
                </c:pt>
                <c:pt idx="13">
                  <c:v>0.56749132749999998</c:v>
                </c:pt>
                <c:pt idx="14">
                  <c:v>0.54737976219999995</c:v>
                </c:pt>
                <c:pt idx="15">
                  <c:v>0.58587521639999995</c:v>
                </c:pt>
                <c:pt idx="16">
                  <c:v>0.62315819090000002</c:v>
                </c:pt>
                <c:pt idx="17">
                  <c:v>0.62152081729999997</c:v>
                </c:pt>
                <c:pt idx="18">
                  <c:v>0.61975450249999997</c:v>
                </c:pt>
                <c:pt idx="19">
                  <c:v>0.61975450249999997</c:v>
                </c:pt>
                <c:pt idx="20">
                  <c:v>0.53918901320000001</c:v>
                </c:pt>
                <c:pt idx="21">
                  <c:v>0.50272537399999995</c:v>
                </c:pt>
                <c:pt idx="22">
                  <c:v>0.49753910080000002</c:v>
                </c:pt>
                <c:pt idx="23">
                  <c:v>0.46815197920000007</c:v>
                </c:pt>
                <c:pt idx="24">
                  <c:v>0.44756382090000002</c:v>
                </c:pt>
                <c:pt idx="25">
                  <c:v>0.43826473589999998</c:v>
                </c:pt>
                <c:pt idx="26">
                  <c:v>0.4601935942</c:v>
                </c:pt>
                <c:pt idx="27">
                  <c:v>0.45605562830000002</c:v>
                </c:pt>
                <c:pt idx="28">
                  <c:v>0.46652962419999999</c:v>
                </c:pt>
                <c:pt idx="29">
                  <c:v>0.47347711400000003</c:v>
                </c:pt>
                <c:pt idx="30">
                  <c:v>0.46308653259999999</c:v>
                </c:pt>
                <c:pt idx="31">
                  <c:v>0.46443630479999998</c:v>
                </c:pt>
                <c:pt idx="32">
                  <c:v>0.45997040150000001</c:v>
                </c:pt>
                <c:pt idx="33">
                  <c:v>0.49677707599999998</c:v>
                </c:pt>
                <c:pt idx="34">
                  <c:v>0.55261651649999999</c:v>
                </c:pt>
                <c:pt idx="35">
                  <c:v>0.52706745170000002</c:v>
                </c:pt>
                <c:pt idx="36">
                  <c:v>0.52130362860000001</c:v>
                </c:pt>
                <c:pt idx="37">
                  <c:v>0.55261651649999999</c:v>
                </c:pt>
                <c:pt idx="38">
                  <c:v>0.51208600950000005</c:v>
                </c:pt>
                <c:pt idx="39">
                  <c:v>0.51399076759999995</c:v>
                </c:pt>
                <c:pt idx="40">
                  <c:v>0.5083323126</c:v>
                </c:pt>
                <c:pt idx="41">
                  <c:v>0.51043465129999999</c:v>
                </c:pt>
                <c:pt idx="42">
                  <c:v>0.5127782193</c:v>
                </c:pt>
                <c:pt idx="43">
                  <c:v>0.53856859050000006</c:v>
                </c:pt>
                <c:pt idx="44">
                  <c:v>0.51646033650000001</c:v>
                </c:pt>
                <c:pt idx="45">
                  <c:v>0.51316667250000003</c:v>
                </c:pt>
                <c:pt idx="46">
                  <c:v>0.52075028860000006</c:v>
                </c:pt>
                <c:pt idx="47">
                  <c:v>0.50568140959999996</c:v>
                </c:pt>
                <c:pt idx="48">
                  <c:v>0.47440443860000003</c:v>
                </c:pt>
                <c:pt idx="49">
                  <c:v>0.43913389889999999</c:v>
                </c:pt>
                <c:pt idx="50">
                  <c:v>0.47440443860000003</c:v>
                </c:pt>
                <c:pt idx="51">
                  <c:v>0.44790079249999998</c:v>
                </c:pt>
                <c:pt idx="52">
                  <c:v>0.48073830760000003</c:v>
                </c:pt>
                <c:pt idx="53">
                  <c:v>0.49111985940000003</c:v>
                </c:pt>
                <c:pt idx="54">
                  <c:v>0.48288613810000003</c:v>
                </c:pt>
                <c:pt idx="55">
                  <c:v>0.55088825549999998</c:v>
                </c:pt>
                <c:pt idx="56">
                  <c:v>0.55937409220000001</c:v>
                </c:pt>
                <c:pt idx="57">
                  <c:v>0.56072373549999999</c:v>
                </c:pt>
                <c:pt idx="58">
                  <c:v>0.56853067779999999</c:v>
                </c:pt>
                <c:pt idx="59">
                  <c:v>0.58376029039999999</c:v>
                </c:pt>
                <c:pt idx="60">
                  <c:v>0.66572470230000003</c:v>
                </c:pt>
                <c:pt idx="61">
                  <c:v>0.67757498279999995</c:v>
                </c:pt>
                <c:pt idx="62">
                  <c:v>0.65561679309999998</c:v>
                </c:pt>
                <c:pt idx="63">
                  <c:v>0.6753411037</c:v>
                </c:pt>
                <c:pt idx="64">
                  <c:v>0.64494356100000005</c:v>
                </c:pt>
                <c:pt idx="65">
                  <c:v>0.66455052820000005</c:v>
                </c:pt>
                <c:pt idx="66">
                  <c:v>0.60650027699999998</c:v>
                </c:pt>
                <c:pt idx="67">
                  <c:v>0.57938694099999999</c:v>
                </c:pt>
                <c:pt idx="68">
                  <c:v>0.6189085366</c:v>
                </c:pt>
                <c:pt idx="69">
                  <c:v>0.60790429349999997</c:v>
                </c:pt>
                <c:pt idx="70">
                  <c:v>0.6216344452</c:v>
                </c:pt>
                <c:pt idx="71">
                  <c:v>0.66744400930000003</c:v>
                </c:pt>
                <c:pt idx="72">
                  <c:v>0.70511625659999999</c:v>
                </c:pt>
                <c:pt idx="73">
                  <c:v>0.65188653600000002</c:v>
                </c:pt>
                <c:pt idx="74">
                  <c:v>0.65294239229999995</c:v>
                </c:pt>
                <c:pt idx="75">
                  <c:v>0.65188653600000002</c:v>
                </c:pt>
                <c:pt idx="76">
                  <c:v>0.62245046879999999</c:v>
                </c:pt>
                <c:pt idx="77">
                  <c:v>0.57197514790000004</c:v>
                </c:pt>
                <c:pt idx="78">
                  <c:v>0.58686510540000003</c:v>
                </c:pt>
                <c:pt idx="79">
                  <c:v>0.60122657710000005</c:v>
                </c:pt>
                <c:pt idx="80">
                  <c:v>0.55996065370000003</c:v>
                </c:pt>
                <c:pt idx="81">
                  <c:v>0.57286099140000002</c:v>
                </c:pt>
                <c:pt idx="82">
                  <c:v>0.55246831159999998</c:v>
                </c:pt>
                <c:pt idx="83">
                  <c:v>0.53954613890000003</c:v>
                </c:pt>
                <c:pt idx="84">
                  <c:v>0.5252620683</c:v>
                </c:pt>
                <c:pt idx="85">
                  <c:v>0.52046110349999997</c:v>
                </c:pt>
                <c:pt idx="86">
                  <c:v>0.55654596300000003</c:v>
                </c:pt>
                <c:pt idx="87">
                  <c:v>0.58478850640000002</c:v>
                </c:pt>
                <c:pt idx="88">
                  <c:v>0.56305944959999998</c:v>
                </c:pt>
                <c:pt idx="89">
                  <c:v>0.45280738259999997</c:v>
                </c:pt>
                <c:pt idx="90">
                  <c:v>0.4272770092</c:v>
                </c:pt>
                <c:pt idx="91">
                  <c:v>0.42206701070000002</c:v>
                </c:pt>
                <c:pt idx="92">
                  <c:v>0.41612475189999998</c:v>
                </c:pt>
                <c:pt idx="93">
                  <c:v>0.4603927558</c:v>
                </c:pt>
                <c:pt idx="94">
                  <c:v>0.47501733540000002</c:v>
                </c:pt>
                <c:pt idx="95">
                  <c:v>0.47917420760000007</c:v>
                </c:pt>
                <c:pt idx="96">
                  <c:v>0.47917420760000007</c:v>
                </c:pt>
                <c:pt idx="97">
                  <c:v>0.45188748220000008</c:v>
                </c:pt>
                <c:pt idx="98">
                  <c:v>0.43261818860000001</c:v>
                </c:pt>
                <c:pt idx="99">
                  <c:v>0.45832464029999997</c:v>
                </c:pt>
                <c:pt idx="100">
                  <c:v>0.45300038799999998</c:v>
                </c:pt>
                <c:pt idx="101">
                  <c:v>0.45300038799999998</c:v>
                </c:pt>
                <c:pt idx="102">
                  <c:v>0.43581013750000003</c:v>
                </c:pt>
                <c:pt idx="103">
                  <c:v>0.47300173340000007</c:v>
                </c:pt>
                <c:pt idx="104">
                  <c:v>0.46249723409999999</c:v>
                </c:pt>
                <c:pt idx="105">
                  <c:v>0.43961901780000001</c:v>
                </c:pt>
                <c:pt idx="106">
                  <c:v>0.4340808639</c:v>
                </c:pt>
                <c:pt idx="107">
                  <c:v>0.46249723409999999</c:v>
                </c:pt>
                <c:pt idx="108">
                  <c:v>0.4603570615</c:v>
                </c:pt>
                <c:pt idx="109">
                  <c:v>0.45250652359999999</c:v>
                </c:pt>
                <c:pt idx="110">
                  <c:v>0.4365815019</c:v>
                </c:pt>
                <c:pt idx="111">
                  <c:v>0.4351546436</c:v>
                </c:pt>
                <c:pt idx="112">
                  <c:v>0.41818183310000001</c:v>
                </c:pt>
                <c:pt idx="113">
                  <c:v>0.41633136129999998</c:v>
                </c:pt>
                <c:pt idx="114">
                  <c:v>0.42192053759999998</c:v>
                </c:pt>
                <c:pt idx="115">
                  <c:v>0.405089643</c:v>
                </c:pt>
                <c:pt idx="116">
                  <c:v>0.36524447539999999</c:v>
                </c:pt>
                <c:pt idx="117">
                  <c:v>0.39560129970000002</c:v>
                </c:pt>
                <c:pt idx="118">
                  <c:v>0.42429527379999998</c:v>
                </c:pt>
                <c:pt idx="119">
                  <c:v>0.4093796113</c:v>
                </c:pt>
                <c:pt idx="120">
                  <c:v>0.42657243919999999</c:v>
                </c:pt>
                <c:pt idx="121">
                  <c:v>0.40589301350000001</c:v>
                </c:pt>
                <c:pt idx="122">
                  <c:v>0.42341179159999998</c:v>
                </c:pt>
                <c:pt idx="123">
                  <c:v>0.43449214590000002</c:v>
                </c:pt>
                <c:pt idx="124">
                  <c:v>0.44358880369999998</c:v>
                </c:pt>
                <c:pt idx="125">
                  <c:v>0.43663152700000002</c:v>
                </c:pt>
                <c:pt idx="126">
                  <c:v>0.40374447559999999</c:v>
                </c:pt>
                <c:pt idx="127">
                  <c:v>0.38746977710000002</c:v>
                </c:pt>
                <c:pt idx="128">
                  <c:v>0.3220703956</c:v>
                </c:pt>
                <c:pt idx="129">
                  <c:v>0.30843777030000002</c:v>
                </c:pt>
                <c:pt idx="130">
                  <c:v>0.34940203609999998</c:v>
                </c:pt>
                <c:pt idx="131">
                  <c:v>0.35812637130000002</c:v>
                </c:pt>
                <c:pt idx="132">
                  <c:v>0.39281664100000002</c:v>
                </c:pt>
                <c:pt idx="133">
                  <c:v>0.4009432476</c:v>
                </c:pt>
                <c:pt idx="134">
                  <c:v>0.4676333728</c:v>
                </c:pt>
                <c:pt idx="135">
                  <c:v>0.48126520820000007</c:v>
                </c:pt>
                <c:pt idx="136">
                  <c:v>0.44823077639999998</c:v>
                </c:pt>
                <c:pt idx="137">
                  <c:v>0.48554576319999998</c:v>
                </c:pt>
                <c:pt idx="138">
                  <c:v>0.51712393739999996</c:v>
                </c:pt>
                <c:pt idx="139">
                  <c:v>0.50130776170000002</c:v>
                </c:pt>
                <c:pt idx="140">
                  <c:v>0.48108700180000008</c:v>
                </c:pt>
                <c:pt idx="141">
                  <c:v>0.49111867190000003</c:v>
                </c:pt>
                <c:pt idx="142">
                  <c:v>0.49244499819999998</c:v>
                </c:pt>
                <c:pt idx="143">
                  <c:v>0.48977048720000005</c:v>
                </c:pt>
                <c:pt idx="144">
                  <c:v>0.37065214549999997</c:v>
                </c:pt>
                <c:pt idx="145">
                  <c:v>0.3430871942</c:v>
                </c:pt>
                <c:pt idx="146">
                  <c:v>0.34744397290000001</c:v>
                </c:pt>
                <c:pt idx="147">
                  <c:v>0.3789545641</c:v>
                </c:pt>
                <c:pt idx="148">
                  <c:v>0.35381697849999999</c:v>
                </c:pt>
                <c:pt idx="149">
                  <c:v>0.46056392039999999</c:v>
                </c:pt>
                <c:pt idx="150">
                  <c:v>0.46056392039999999</c:v>
                </c:pt>
                <c:pt idx="151">
                  <c:v>0.47029827790000001</c:v>
                </c:pt>
                <c:pt idx="152">
                  <c:v>0.5197386289</c:v>
                </c:pt>
                <c:pt idx="153">
                  <c:v>0.50054843439999996</c:v>
                </c:pt>
                <c:pt idx="154">
                  <c:v>0.38419434810000003</c:v>
                </c:pt>
                <c:pt idx="155">
                  <c:v>0.53319254169999997</c:v>
                </c:pt>
                <c:pt idx="156">
                  <c:v>0.41905135049999997</c:v>
                </c:pt>
                <c:pt idx="157">
                  <c:v>0.64225059019999997</c:v>
                </c:pt>
                <c:pt idx="158">
                  <c:v>0.63399052840000003</c:v>
                </c:pt>
                <c:pt idx="159">
                  <c:v>0.65588630510000001</c:v>
                </c:pt>
                <c:pt idx="160">
                  <c:v>0.70560329119999998</c:v>
                </c:pt>
                <c:pt idx="161">
                  <c:v>0.74422638649999995</c:v>
                </c:pt>
                <c:pt idx="162">
                  <c:v>0.77052889550000003</c:v>
                </c:pt>
                <c:pt idx="163">
                  <c:v>0.83206605730000005</c:v>
                </c:pt>
                <c:pt idx="164">
                  <c:v>0.84815010540000002</c:v>
                </c:pt>
                <c:pt idx="165">
                  <c:v>0.85248188820000004</c:v>
                </c:pt>
                <c:pt idx="166">
                  <c:v>0.85701176970000004</c:v>
                </c:pt>
                <c:pt idx="167">
                  <c:v>0.8378961063</c:v>
                </c:pt>
                <c:pt idx="168">
                  <c:v>0.77384529670000002</c:v>
                </c:pt>
                <c:pt idx="169">
                  <c:v>0.79003622439999999</c:v>
                </c:pt>
                <c:pt idx="170">
                  <c:v>0.7957816351</c:v>
                </c:pt>
                <c:pt idx="171">
                  <c:v>0.77394611589999995</c:v>
                </c:pt>
                <c:pt idx="172">
                  <c:v>0.81171450180000004</c:v>
                </c:pt>
                <c:pt idx="173">
                  <c:v>0.8270727792</c:v>
                </c:pt>
                <c:pt idx="174">
                  <c:v>0.81160085719999997</c:v>
                </c:pt>
                <c:pt idx="175">
                  <c:v>0.81835686620000003</c:v>
                </c:pt>
                <c:pt idx="176">
                  <c:v>0.81835686620000003</c:v>
                </c:pt>
                <c:pt idx="177">
                  <c:v>0.84241989009999996</c:v>
                </c:pt>
                <c:pt idx="178">
                  <c:v>0.90997267329999998</c:v>
                </c:pt>
                <c:pt idx="179">
                  <c:v>0.923612459</c:v>
                </c:pt>
                <c:pt idx="180">
                  <c:v>0.91705235539999996</c:v>
                </c:pt>
                <c:pt idx="181">
                  <c:v>0.92991876559999997</c:v>
                </c:pt>
                <c:pt idx="182">
                  <c:v>0.9551047989</c:v>
                </c:pt>
                <c:pt idx="183">
                  <c:v>0.95216101900000005</c:v>
                </c:pt>
                <c:pt idx="184">
                  <c:v>0.9571673316</c:v>
                </c:pt>
                <c:pt idx="185">
                  <c:v>0.95613736699999996</c:v>
                </c:pt>
                <c:pt idx="186">
                  <c:v>0.97473352089999998</c:v>
                </c:pt>
                <c:pt idx="187">
                  <c:v>0.9764940312</c:v>
                </c:pt>
                <c:pt idx="188">
                  <c:v>0.97531301500000001</c:v>
                </c:pt>
                <c:pt idx="189">
                  <c:v>0.96601170540000003</c:v>
                </c:pt>
                <c:pt idx="190">
                  <c:v>0.96726730959999996</c:v>
                </c:pt>
                <c:pt idx="191">
                  <c:v>0.97626253559999998</c:v>
                </c:pt>
                <c:pt idx="192">
                  <c:v>0.98348944029999996</c:v>
                </c:pt>
                <c:pt idx="193">
                  <c:v>0.97996203599999998</c:v>
                </c:pt>
                <c:pt idx="194">
                  <c:v>0.98524810240000005</c:v>
                </c:pt>
                <c:pt idx="195">
                  <c:v>0.99079643949999996</c:v>
                </c:pt>
                <c:pt idx="196">
                  <c:v>0.96606144380000003</c:v>
                </c:pt>
                <c:pt idx="197">
                  <c:v>0.92682323200000005</c:v>
                </c:pt>
                <c:pt idx="198">
                  <c:v>0.9200088891</c:v>
                </c:pt>
                <c:pt idx="199">
                  <c:v>0.92614215509999998</c:v>
                </c:pt>
                <c:pt idx="200">
                  <c:v>0.90777467359999997</c:v>
                </c:pt>
                <c:pt idx="201">
                  <c:v>0.92191374270000004</c:v>
                </c:pt>
                <c:pt idx="202">
                  <c:v>0.92614215509999998</c:v>
                </c:pt>
                <c:pt idx="203">
                  <c:v>0.92974026580000002</c:v>
                </c:pt>
                <c:pt idx="204">
                  <c:v>0.96472332770000002</c:v>
                </c:pt>
                <c:pt idx="205">
                  <c:v>0.94931230209999995</c:v>
                </c:pt>
                <c:pt idx="206">
                  <c:v>0.94357465549999997</c:v>
                </c:pt>
                <c:pt idx="207">
                  <c:v>0.92555007190000005</c:v>
                </c:pt>
                <c:pt idx="208">
                  <c:v>0.9311727138</c:v>
                </c:pt>
                <c:pt idx="209">
                  <c:v>0.9311727138</c:v>
                </c:pt>
                <c:pt idx="210">
                  <c:v>0.9257422542</c:v>
                </c:pt>
                <c:pt idx="211">
                  <c:v>0.93002670949999999</c:v>
                </c:pt>
                <c:pt idx="212">
                  <c:v>0.93017900080000004</c:v>
                </c:pt>
                <c:pt idx="213">
                  <c:v>0.92576029410000005</c:v>
                </c:pt>
                <c:pt idx="214">
                  <c:v>0.9281576024</c:v>
                </c:pt>
                <c:pt idx="215">
                  <c:v>0.9223358317</c:v>
                </c:pt>
                <c:pt idx="216">
                  <c:v>0.91391156110000005</c:v>
                </c:pt>
                <c:pt idx="217">
                  <c:v>0.91450049570000003</c:v>
                </c:pt>
                <c:pt idx="218">
                  <c:v>0.88678583040000003</c:v>
                </c:pt>
                <c:pt idx="219">
                  <c:v>0.91450049570000003</c:v>
                </c:pt>
                <c:pt idx="220">
                  <c:v>0.86090378059999995</c:v>
                </c:pt>
                <c:pt idx="221">
                  <c:v>0.87346071420000015</c:v>
                </c:pt>
                <c:pt idx="222">
                  <c:v>0.82287769379999998</c:v>
                </c:pt>
                <c:pt idx="223">
                  <c:v>0.89619507860000003</c:v>
                </c:pt>
                <c:pt idx="224">
                  <c:v>0.91423594050000001</c:v>
                </c:pt>
                <c:pt idx="225">
                  <c:v>0.90460748329999996</c:v>
                </c:pt>
                <c:pt idx="226">
                  <c:v>0.89783619709999996</c:v>
                </c:pt>
                <c:pt idx="227">
                  <c:v>0.93603696439999995</c:v>
                </c:pt>
                <c:pt idx="228">
                  <c:v>0.93603696439999995</c:v>
                </c:pt>
                <c:pt idx="229">
                  <c:v>0.93603696439999995</c:v>
                </c:pt>
                <c:pt idx="230">
                  <c:v>0.90360872039999995</c:v>
                </c:pt>
                <c:pt idx="231">
                  <c:v>0.93403008239999996</c:v>
                </c:pt>
                <c:pt idx="232">
                  <c:v>0.94694427430000006</c:v>
                </c:pt>
                <c:pt idx="233">
                  <c:v>0.92199370189999996</c:v>
                </c:pt>
                <c:pt idx="234">
                  <c:v>0.92714012680000002</c:v>
                </c:pt>
                <c:pt idx="235">
                  <c:v>0.94080842779999996</c:v>
                </c:pt>
                <c:pt idx="236">
                  <c:v>0.92183011619999999</c:v>
                </c:pt>
                <c:pt idx="237">
                  <c:v>0.90637092699999999</c:v>
                </c:pt>
                <c:pt idx="238">
                  <c:v>0.90190909860000001</c:v>
                </c:pt>
                <c:pt idx="239">
                  <c:v>0.92150528340000004</c:v>
                </c:pt>
                <c:pt idx="240">
                  <c:v>0.9118126714</c:v>
                </c:pt>
                <c:pt idx="241">
                  <c:v>0.91600406219999997</c:v>
                </c:pt>
                <c:pt idx="242">
                  <c:v>0.9118126714</c:v>
                </c:pt>
                <c:pt idx="243">
                  <c:v>0.87336853640000012</c:v>
                </c:pt>
                <c:pt idx="244">
                  <c:v>0.87116842570000008</c:v>
                </c:pt>
                <c:pt idx="245">
                  <c:v>0.86920384979999998</c:v>
                </c:pt>
                <c:pt idx="246">
                  <c:v>0.93408887910000005</c:v>
                </c:pt>
                <c:pt idx="247">
                  <c:v>0.91462717179999997</c:v>
                </c:pt>
                <c:pt idx="248">
                  <c:v>0.88675076370000006</c:v>
                </c:pt>
                <c:pt idx="249">
                  <c:v>0.88675076370000006</c:v>
                </c:pt>
                <c:pt idx="250">
                  <c:v>0.87807825780000015</c:v>
                </c:pt>
                <c:pt idx="251">
                  <c:v>0.85485404639999996</c:v>
                </c:pt>
                <c:pt idx="252">
                  <c:v>0.8550708561</c:v>
                </c:pt>
                <c:pt idx="253">
                  <c:v>0.87116807839999999</c:v>
                </c:pt>
                <c:pt idx="254">
                  <c:v>0.81358477029999998</c:v>
                </c:pt>
                <c:pt idx="255">
                  <c:v>0.70925319720000002</c:v>
                </c:pt>
                <c:pt idx="256">
                  <c:v>0.57395904259999997</c:v>
                </c:pt>
                <c:pt idx="257">
                  <c:v>0.59331865890000002</c:v>
                </c:pt>
                <c:pt idx="258">
                  <c:v>0.5990050468</c:v>
                </c:pt>
                <c:pt idx="259">
                  <c:v>0.56769820100000001</c:v>
                </c:pt>
                <c:pt idx="260">
                  <c:v>0.60115341759999996</c:v>
                </c:pt>
                <c:pt idx="261">
                  <c:v>0.59310645480000002</c:v>
                </c:pt>
                <c:pt idx="262">
                  <c:v>0.60999447849999999</c:v>
                </c:pt>
                <c:pt idx="263">
                  <c:v>0.62022243639999997</c:v>
                </c:pt>
                <c:pt idx="264">
                  <c:v>0.59310645480000002</c:v>
                </c:pt>
                <c:pt idx="265">
                  <c:v>0.57348259489999998</c:v>
                </c:pt>
                <c:pt idx="266">
                  <c:v>0.5705515565</c:v>
                </c:pt>
                <c:pt idx="267">
                  <c:v>0.56672128300000002</c:v>
                </c:pt>
                <c:pt idx="268">
                  <c:v>0.55010519989999995</c:v>
                </c:pt>
                <c:pt idx="269">
                  <c:v>0.53473553439999999</c:v>
                </c:pt>
                <c:pt idx="270">
                  <c:v>0.52727126680000003</c:v>
                </c:pt>
                <c:pt idx="271">
                  <c:v>0.49577828569999999</c:v>
                </c:pt>
                <c:pt idx="272">
                  <c:v>0.50344599359999997</c:v>
                </c:pt>
                <c:pt idx="273">
                  <c:v>0.52375787650000005</c:v>
                </c:pt>
                <c:pt idx="274">
                  <c:v>0.53978755850000004</c:v>
                </c:pt>
                <c:pt idx="275">
                  <c:v>0.56208097560000003</c:v>
                </c:pt>
                <c:pt idx="276">
                  <c:v>0.5148197189</c:v>
                </c:pt>
                <c:pt idx="277">
                  <c:v>0.51942399480000001</c:v>
                </c:pt>
                <c:pt idx="278">
                  <c:v>0.508720438</c:v>
                </c:pt>
                <c:pt idx="279">
                  <c:v>0.47639406890000002</c:v>
                </c:pt>
                <c:pt idx="280">
                  <c:v>0.45403412139999999</c:v>
                </c:pt>
                <c:pt idx="281">
                  <c:v>0.5489494976</c:v>
                </c:pt>
                <c:pt idx="282">
                  <c:v>0.58888948990000001</c:v>
                </c:pt>
                <c:pt idx="283">
                  <c:v>0.60501972319999997</c:v>
                </c:pt>
                <c:pt idx="284">
                  <c:v>0.6205579832</c:v>
                </c:pt>
                <c:pt idx="285">
                  <c:v>0.59347128179999997</c:v>
                </c:pt>
                <c:pt idx="286">
                  <c:v>0.56063199370000005</c:v>
                </c:pt>
                <c:pt idx="287">
                  <c:v>0.60318650750000002</c:v>
                </c:pt>
                <c:pt idx="288">
                  <c:v>0.58904679879999999</c:v>
                </c:pt>
                <c:pt idx="289">
                  <c:v>0.67175467840000003</c:v>
                </c:pt>
                <c:pt idx="290">
                  <c:v>0.73298549680000002</c:v>
                </c:pt>
                <c:pt idx="291">
                  <c:v>0.82198260339999996</c:v>
                </c:pt>
                <c:pt idx="292">
                  <c:v>0.79909835509999994</c:v>
                </c:pt>
                <c:pt idx="293">
                  <c:v>0.94834647279999995</c:v>
                </c:pt>
                <c:pt idx="294">
                  <c:v>0.93243236860000001</c:v>
                </c:pt>
                <c:pt idx="295">
                  <c:v>0.95074042540000003</c:v>
                </c:pt>
                <c:pt idx="296">
                  <c:v>0.9515616254</c:v>
                </c:pt>
                <c:pt idx="297">
                  <c:v>0.95265037860000001</c:v>
                </c:pt>
                <c:pt idx="298">
                  <c:v>0.93741406800000004</c:v>
                </c:pt>
                <c:pt idx="299">
                  <c:v>0.92460704859999998</c:v>
                </c:pt>
                <c:pt idx="300">
                  <c:v>0.91580087529999998</c:v>
                </c:pt>
                <c:pt idx="301">
                  <c:v>0.91580087529999998</c:v>
                </c:pt>
                <c:pt idx="302">
                  <c:v>0.92336794280000001</c:v>
                </c:pt>
                <c:pt idx="303">
                  <c:v>0.93385942560000001</c:v>
                </c:pt>
                <c:pt idx="304">
                  <c:v>0.92103950720000005</c:v>
                </c:pt>
                <c:pt idx="305">
                  <c:v>0.86898326420000005</c:v>
                </c:pt>
                <c:pt idx="306">
                  <c:v>0.83410549239999998</c:v>
                </c:pt>
                <c:pt idx="307">
                  <c:v>0.78585671720000005</c:v>
                </c:pt>
                <c:pt idx="308">
                  <c:v>0.75383836250000003</c:v>
                </c:pt>
                <c:pt idx="309">
                  <c:v>0.74772968299999998</c:v>
                </c:pt>
                <c:pt idx="310">
                  <c:v>0.74536445709999999</c:v>
                </c:pt>
                <c:pt idx="311">
                  <c:v>0.74536445709999999</c:v>
                </c:pt>
                <c:pt idx="312">
                  <c:v>0.74344977459999995</c:v>
                </c:pt>
                <c:pt idx="313">
                  <c:v>0.72851500570000005</c:v>
                </c:pt>
                <c:pt idx="314">
                  <c:v>0.71486622489999996</c:v>
                </c:pt>
                <c:pt idx="315">
                  <c:v>0.72048233520000005</c:v>
                </c:pt>
                <c:pt idx="316">
                  <c:v>0.68469003900000003</c:v>
                </c:pt>
                <c:pt idx="317">
                  <c:v>0.70986019460000005</c:v>
                </c:pt>
                <c:pt idx="318">
                  <c:v>0.6807497723</c:v>
                </c:pt>
                <c:pt idx="319">
                  <c:v>0.63168664299999999</c:v>
                </c:pt>
                <c:pt idx="320">
                  <c:v>0.58772384690000001</c:v>
                </c:pt>
                <c:pt idx="321">
                  <c:v>0.56863720760000003</c:v>
                </c:pt>
                <c:pt idx="322">
                  <c:v>0.56287953099999999</c:v>
                </c:pt>
                <c:pt idx="323">
                  <c:v>0.57665684220000002</c:v>
                </c:pt>
                <c:pt idx="324">
                  <c:v>0.50387103229999997</c:v>
                </c:pt>
                <c:pt idx="325">
                  <c:v>0.55408346909999995</c:v>
                </c:pt>
                <c:pt idx="326">
                  <c:v>0.6445245879</c:v>
                </c:pt>
                <c:pt idx="327">
                  <c:v>0.64585810600000004</c:v>
                </c:pt>
                <c:pt idx="328">
                  <c:v>0.65681393619999995</c:v>
                </c:pt>
                <c:pt idx="329">
                  <c:v>0.64074062669999998</c:v>
                </c:pt>
                <c:pt idx="330">
                  <c:v>0.61413878499999996</c:v>
                </c:pt>
                <c:pt idx="331">
                  <c:v>0.68641483309999995</c:v>
                </c:pt>
                <c:pt idx="332">
                  <c:v>0.65499093070000003</c:v>
                </c:pt>
                <c:pt idx="333">
                  <c:v>0.63505398229999999</c:v>
                </c:pt>
                <c:pt idx="334">
                  <c:v>0.68432757779999998</c:v>
                </c:pt>
                <c:pt idx="335">
                  <c:v>0.66395755720000005</c:v>
                </c:pt>
                <c:pt idx="336">
                  <c:v>0.62543256140000003</c:v>
                </c:pt>
                <c:pt idx="337">
                  <c:v>0.60621552560000003</c:v>
                </c:pt>
                <c:pt idx="338">
                  <c:v>0.58858815880000004</c:v>
                </c:pt>
                <c:pt idx="339">
                  <c:v>0.64531897579999997</c:v>
                </c:pt>
                <c:pt idx="340">
                  <c:v>0.71195240599999998</c:v>
                </c:pt>
                <c:pt idx="341">
                  <c:v>0.77762352670000001</c:v>
                </c:pt>
                <c:pt idx="342">
                  <c:v>0.79405461349999995</c:v>
                </c:pt>
                <c:pt idx="343">
                  <c:v>0.78805376930000004</c:v>
                </c:pt>
                <c:pt idx="344">
                  <c:v>0.77244808050000002</c:v>
                </c:pt>
                <c:pt idx="345">
                  <c:v>0.73860401099999995</c:v>
                </c:pt>
                <c:pt idx="346">
                  <c:v>0.69334613379999999</c:v>
                </c:pt>
                <c:pt idx="347">
                  <c:v>0.68194236509999995</c:v>
                </c:pt>
                <c:pt idx="348">
                  <c:v>0.70027208269999996</c:v>
                </c:pt>
                <c:pt idx="349">
                  <c:v>0.74934790669999995</c:v>
                </c:pt>
                <c:pt idx="350">
                  <c:v>0.77259198549999997</c:v>
                </c:pt>
                <c:pt idx="351">
                  <c:v>0.73905376229999997</c:v>
                </c:pt>
                <c:pt idx="352">
                  <c:v>0.7101193495</c:v>
                </c:pt>
                <c:pt idx="353">
                  <c:v>0.69825520549999998</c:v>
                </c:pt>
                <c:pt idx="354">
                  <c:v>0.68080495220000004</c:v>
                </c:pt>
                <c:pt idx="355">
                  <c:v>0.67081675360000004</c:v>
                </c:pt>
                <c:pt idx="356">
                  <c:v>0.65629975750000002</c:v>
                </c:pt>
                <c:pt idx="357">
                  <c:v>0.67752276570000003</c:v>
                </c:pt>
                <c:pt idx="358">
                  <c:v>0.56350972649999997</c:v>
                </c:pt>
                <c:pt idx="359">
                  <c:v>0.62840261080000004</c:v>
                </c:pt>
                <c:pt idx="360">
                  <c:v>0.63187604159999999</c:v>
                </c:pt>
                <c:pt idx="361">
                  <c:v>0.65469587100000004</c:v>
                </c:pt>
                <c:pt idx="362">
                  <c:v>0.68774564520000003</c:v>
                </c:pt>
                <c:pt idx="363">
                  <c:v>0.65469587100000004</c:v>
                </c:pt>
                <c:pt idx="364">
                  <c:v>0.56899485500000002</c:v>
                </c:pt>
                <c:pt idx="365">
                  <c:v>0.5060874809</c:v>
                </c:pt>
                <c:pt idx="366">
                  <c:v>0.5459267511</c:v>
                </c:pt>
                <c:pt idx="367">
                  <c:v>0.3809668907</c:v>
                </c:pt>
                <c:pt idx="368">
                  <c:v>0.61185159430000002</c:v>
                </c:pt>
                <c:pt idx="369">
                  <c:v>0.89171080709999995</c:v>
                </c:pt>
                <c:pt idx="370">
                  <c:v>0.91709385860000003</c:v>
                </c:pt>
                <c:pt idx="371">
                  <c:v>0.90920854770000004</c:v>
                </c:pt>
                <c:pt idx="372">
                  <c:v>0.90879210379999997</c:v>
                </c:pt>
                <c:pt idx="373">
                  <c:v>0.95820903840000005</c:v>
                </c:pt>
                <c:pt idx="374">
                  <c:v>0.95465763439999995</c:v>
                </c:pt>
                <c:pt idx="375">
                  <c:v>0.95712912230000002</c:v>
                </c:pt>
                <c:pt idx="376">
                  <c:v>0.94094154419999998</c:v>
                </c:pt>
                <c:pt idx="377">
                  <c:v>0.95820903840000005</c:v>
                </c:pt>
                <c:pt idx="378">
                  <c:v>0.95896771780000001</c:v>
                </c:pt>
                <c:pt idx="379">
                  <c:v>0.90097231310000003</c:v>
                </c:pt>
                <c:pt idx="380">
                  <c:v>0.87167889590000014</c:v>
                </c:pt>
                <c:pt idx="381">
                  <c:v>0.78597676670000005</c:v>
                </c:pt>
                <c:pt idx="382">
                  <c:v>0.85195386939999995</c:v>
                </c:pt>
                <c:pt idx="383">
                  <c:v>0.87232807749999997</c:v>
                </c:pt>
                <c:pt idx="384">
                  <c:v>0.78575978540000002</c:v>
                </c:pt>
                <c:pt idx="385">
                  <c:v>0.69855204130000004</c:v>
                </c:pt>
                <c:pt idx="386">
                  <c:v>0.83006388230000006</c:v>
                </c:pt>
                <c:pt idx="387">
                  <c:v>0.82036723730000005</c:v>
                </c:pt>
                <c:pt idx="388">
                  <c:v>0.91919160860000004</c:v>
                </c:pt>
                <c:pt idx="389">
                  <c:v>0.90231511019999999</c:v>
                </c:pt>
                <c:pt idx="390">
                  <c:v>0.83297072390000004</c:v>
                </c:pt>
                <c:pt idx="391">
                  <c:v>0.78653316220000002</c:v>
                </c:pt>
                <c:pt idx="392">
                  <c:v>0.77118219460000004</c:v>
                </c:pt>
                <c:pt idx="393">
                  <c:v>0.53032542419999995</c:v>
                </c:pt>
                <c:pt idx="394">
                  <c:v>0.47551961080000005</c:v>
                </c:pt>
                <c:pt idx="395">
                  <c:v>0.20538005379999999</c:v>
                </c:pt>
                <c:pt idx="396">
                  <c:v>0.17988953639999999</c:v>
                </c:pt>
                <c:pt idx="397">
                  <c:v>0.1469548068</c:v>
                </c:pt>
                <c:pt idx="398">
                  <c:v>0.13712845730000001</c:v>
                </c:pt>
                <c:pt idx="399">
                  <c:v>8.2001154000000007E-2</c:v>
                </c:pt>
                <c:pt idx="400">
                  <c:v>0.1852401991</c:v>
                </c:pt>
                <c:pt idx="401">
                  <c:v>8.7419545000000001E-2</c:v>
                </c:pt>
                <c:pt idx="402">
                  <c:v>0.23372308580000001</c:v>
                </c:pt>
                <c:pt idx="403">
                  <c:v>0.1677361312</c:v>
                </c:pt>
                <c:pt idx="404">
                  <c:v>0.16268158369999999</c:v>
                </c:pt>
                <c:pt idx="405">
                  <c:v>0.33812670979999998</c:v>
                </c:pt>
                <c:pt idx="406">
                  <c:v>0.22375450559999999</c:v>
                </c:pt>
                <c:pt idx="407">
                  <c:v>0.1017859443</c:v>
                </c:pt>
                <c:pt idx="408">
                  <c:v>9.9715127299999998E-2</c:v>
                </c:pt>
                <c:pt idx="409">
                  <c:v>8.1784477600000002E-2</c:v>
                </c:pt>
                <c:pt idx="410">
                  <c:v>7.6992391699999996E-2</c:v>
                </c:pt>
                <c:pt idx="411">
                  <c:v>7.6992391699999996E-2</c:v>
                </c:pt>
                <c:pt idx="412">
                  <c:v>7.8223039200000011E-2</c:v>
                </c:pt>
                <c:pt idx="413">
                  <c:v>6.4039119199999994E-2</c:v>
                </c:pt>
                <c:pt idx="414">
                  <c:v>0.13065492100000001</c:v>
                </c:pt>
                <c:pt idx="415">
                  <c:v>0.1050142817</c:v>
                </c:pt>
                <c:pt idx="416">
                  <c:v>0.1096612248</c:v>
                </c:pt>
                <c:pt idx="417">
                  <c:v>9.3717454800000002E-2</c:v>
                </c:pt>
                <c:pt idx="418">
                  <c:v>9.4532943800000005E-2</c:v>
                </c:pt>
                <c:pt idx="419">
                  <c:v>0.1123154383</c:v>
                </c:pt>
                <c:pt idx="420">
                  <c:v>0.17810420960000001</c:v>
                </c:pt>
                <c:pt idx="421">
                  <c:v>0.18416776970000001</c:v>
                </c:pt>
                <c:pt idx="422">
                  <c:v>0.23849039160000002</c:v>
                </c:pt>
                <c:pt idx="423">
                  <c:v>0.211388195</c:v>
                </c:pt>
                <c:pt idx="424">
                  <c:v>0.2268172108</c:v>
                </c:pt>
                <c:pt idx="425">
                  <c:v>0.2021882774</c:v>
                </c:pt>
                <c:pt idx="426">
                  <c:v>0.24588021339999999</c:v>
                </c:pt>
                <c:pt idx="427">
                  <c:v>0.32398856120000002</c:v>
                </c:pt>
                <c:pt idx="428">
                  <c:v>0.32398856120000002</c:v>
                </c:pt>
                <c:pt idx="429">
                  <c:v>0.30497347089999999</c:v>
                </c:pt>
                <c:pt idx="430">
                  <c:v>0.37557161719999999</c:v>
                </c:pt>
                <c:pt idx="431">
                  <c:v>0.34568552689999998</c:v>
                </c:pt>
                <c:pt idx="432">
                  <c:v>0.19488334600000001</c:v>
                </c:pt>
                <c:pt idx="433">
                  <c:v>0.24315491440000003</c:v>
                </c:pt>
                <c:pt idx="434">
                  <c:v>0.15642699030000001</c:v>
                </c:pt>
                <c:pt idx="435">
                  <c:v>0.22457878040000001</c:v>
                </c:pt>
                <c:pt idx="436">
                  <c:v>0.46944203969999998</c:v>
                </c:pt>
                <c:pt idx="437">
                  <c:v>0.51170011849999997</c:v>
                </c:pt>
                <c:pt idx="438">
                  <c:v>0.49813553370000002</c:v>
                </c:pt>
                <c:pt idx="439">
                  <c:v>0.68270179529999997</c:v>
                </c:pt>
                <c:pt idx="440">
                  <c:v>0.46799807980000008</c:v>
                </c:pt>
                <c:pt idx="441">
                  <c:v>0.36463177990000001</c:v>
                </c:pt>
                <c:pt idx="442">
                  <c:v>0.22129148269999999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Query!$B$3:$B$445</c:f>
              <c:numCache>
                <c:formatCode>m/d/yyyy</c:formatCode>
                <c:ptCount val="443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  <c:pt idx="286">
                  <c:v>40542</c:v>
                </c:pt>
                <c:pt idx="287">
                  <c:v>40535</c:v>
                </c:pt>
                <c:pt idx="288">
                  <c:v>40528</c:v>
                </c:pt>
                <c:pt idx="289">
                  <c:v>40521</c:v>
                </c:pt>
                <c:pt idx="290">
                  <c:v>40514</c:v>
                </c:pt>
                <c:pt idx="291">
                  <c:v>40506</c:v>
                </c:pt>
                <c:pt idx="292">
                  <c:v>40500</c:v>
                </c:pt>
                <c:pt idx="293">
                  <c:v>40493</c:v>
                </c:pt>
                <c:pt idx="294">
                  <c:v>40486</c:v>
                </c:pt>
                <c:pt idx="295">
                  <c:v>40479</c:v>
                </c:pt>
                <c:pt idx="296">
                  <c:v>40472</c:v>
                </c:pt>
                <c:pt idx="297">
                  <c:v>40465</c:v>
                </c:pt>
                <c:pt idx="298">
                  <c:v>40458</c:v>
                </c:pt>
                <c:pt idx="299">
                  <c:v>40451</c:v>
                </c:pt>
                <c:pt idx="300">
                  <c:v>40444</c:v>
                </c:pt>
                <c:pt idx="301">
                  <c:v>40437</c:v>
                </c:pt>
                <c:pt idx="302">
                  <c:v>40430</c:v>
                </c:pt>
                <c:pt idx="303">
                  <c:v>40423</c:v>
                </c:pt>
                <c:pt idx="304">
                  <c:v>40416</c:v>
                </c:pt>
                <c:pt idx="305">
                  <c:v>40409</c:v>
                </c:pt>
                <c:pt idx="306">
                  <c:v>40402</c:v>
                </c:pt>
                <c:pt idx="307">
                  <c:v>40395</c:v>
                </c:pt>
                <c:pt idx="308">
                  <c:v>40388</c:v>
                </c:pt>
                <c:pt idx="309">
                  <c:v>40381</c:v>
                </c:pt>
                <c:pt idx="310">
                  <c:v>40374</c:v>
                </c:pt>
                <c:pt idx="311">
                  <c:v>40367</c:v>
                </c:pt>
                <c:pt idx="312">
                  <c:v>40360</c:v>
                </c:pt>
                <c:pt idx="313">
                  <c:v>40353</c:v>
                </c:pt>
                <c:pt idx="314">
                  <c:v>40346</c:v>
                </c:pt>
                <c:pt idx="315">
                  <c:v>40339</c:v>
                </c:pt>
                <c:pt idx="316">
                  <c:v>40332</c:v>
                </c:pt>
                <c:pt idx="317">
                  <c:v>40325</c:v>
                </c:pt>
                <c:pt idx="318">
                  <c:v>40318</c:v>
                </c:pt>
                <c:pt idx="319">
                  <c:v>40311</c:v>
                </c:pt>
                <c:pt idx="320">
                  <c:v>40304</c:v>
                </c:pt>
                <c:pt idx="321">
                  <c:v>40297</c:v>
                </c:pt>
                <c:pt idx="322">
                  <c:v>40290</c:v>
                </c:pt>
                <c:pt idx="323">
                  <c:v>40283</c:v>
                </c:pt>
                <c:pt idx="324">
                  <c:v>40276</c:v>
                </c:pt>
                <c:pt idx="325">
                  <c:v>40269</c:v>
                </c:pt>
                <c:pt idx="326">
                  <c:v>40262</c:v>
                </c:pt>
                <c:pt idx="327">
                  <c:v>40255</c:v>
                </c:pt>
                <c:pt idx="328">
                  <c:v>40248</c:v>
                </c:pt>
                <c:pt idx="329">
                  <c:v>40241</c:v>
                </c:pt>
                <c:pt idx="330">
                  <c:v>40234</c:v>
                </c:pt>
                <c:pt idx="331">
                  <c:v>40227</c:v>
                </c:pt>
                <c:pt idx="332">
                  <c:v>40220</c:v>
                </c:pt>
                <c:pt idx="333">
                  <c:v>40213</c:v>
                </c:pt>
                <c:pt idx="334">
                  <c:v>40206</c:v>
                </c:pt>
                <c:pt idx="335">
                  <c:v>40199</c:v>
                </c:pt>
                <c:pt idx="336">
                  <c:v>40192</c:v>
                </c:pt>
                <c:pt idx="337">
                  <c:v>40185</c:v>
                </c:pt>
                <c:pt idx="338">
                  <c:v>40178</c:v>
                </c:pt>
                <c:pt idx="339">
                  <c:v>40171</c:v>
                </c:pt>
                <c:pt idx="340">
                  <c:v>40164</c:v>
                </c:pt>
                <c:pt idx="341">
                  <c:v>40157</c:v>
                </c:pt>
                <c:pt idx="342">
                  <c:v>40150</c:v>
                </c:pt>
                <c:pt idx="343">
                  <c:v>40142</c:v>
                </c:pt>
                <c:pt idx="344">
                  <c:v>40136</c:v>
                </c:pt>
                <c:pt idx="345">
                  <c:v>40129</c:v>
                </c:pt>
                <c:pt idx="346">
                  <c:v>40122</c:v>
                </c:pt>
                <c:pt idx="347">
                  <c:v>40115</c:v>
                </c:pt>
                <c:pt idx="348">
                  <c:v>40108</c:v>
                </c:pt>
                <c:pt idx="349">
                  <c:v>40101</c:v>
                </c:pt>
                <c:pt idx="350">
                  <c:v>40094</c:v>
                </c:pt>
                <c:pt idx="351">
                  <c:v>40087</c:v>
                </c:pt>
                <c:pt idx="352">
                  <c:v>40080</c:v>
                </c:pt>
                <c:pt idx="353">
                  <c:v>40073</c:v>
                </c:pt>
                <c:pt idx="354">
                  <c:v>40066</c:v>
                </c:pt>
                <c:pt idx="355">
                  <c:v>40059</c:v>
                </c:pt>
                <c:pt idx="356">
                  <c:v>40052</c:v>
                </c:pt>
                <c:pt idx="357">
                  <c:v>40045</c:v>
                </c:pt>
                <c:pt idx="358">
                  <c:v>40038</c:v>
                </c:pt>
                <c:pt idx="359">
                  <c:v>40031</c:v>
                </c:pt>
                <c:pt idx="360">
                  <c:v>40024</c:v>
                </c:pt>
                <c:pt idx="361">
                  <c:v>40017</c:v>
                </c:pt>
                <c:pt idx="362">
                  <c:v>40010</c:v>
                </c:pt>
                <c:pt idx="363">
                  <c:v>40003</c:v>
                </c:pt>
                <c:pt idx="364">
                  <c:v>39996</c:v>
                </c:pt>
                <c:pt idx="365">
                  <c:v>39989</c:v>
                </c:pt>
                <c:pt idx="366">
                  <c:v>39982</c:v>
                </c:pt>
                <c:pt idx="367">
                  <c:v>39975</c:v>
                </c:pt>
                <c:pt idx="368">
                  <c:v>39968</c:v>
                </c:pt>
                <c:pt idx="369">
                  <c:v>39961</c:v>
                </c:pt>
                <c:pt idx="370">
                  <c:v>39954</c:v>
                </c:pt>
                <c:pt idx="371">
                  <c:v>39947</c:v>
                </c:pt>
                <c:pt idx="372">
                  <c:v>39940</c:v>
                </c:pt>
                <c:pt idx="373">
                  <c:v>39933</c:v>
                </c:pt>
                <c:pt idx="374">
                  <c:v>39926</c:v>
                </c:pt>
                <c:pt idx="375">
                  <c:v>39919</c:v>
                </c:pt>
                <c:pt idx="376">
                  <c:v>39912</c:v>
                </c:pt>
                <c:pt idx="377">
                  <c:v>39905</c:v>
                </c:pt>
                <c:pt idx="378">
                  <c:v>39898</c:v>
                </c:pt>
                <c:pt idx="379">
                  <c:v>39891</c:v>
                </c:pt>
                <c:pt idx="380">
                  <c:v>39884</c:v>
                </c:pt>
                <c:pt idx="381">
                  <c:v>39877</c:v>
                </c:pt>
                <c:pt idx="382">
                  <c:v>39870</c:v>
                </c:pt>
                <c:pt idx="383">
                  <c:v>39863</c:v>
                </c:pt>
                <c:pt idx="384">
                  <c:v>39856</c:v>
                </c:pt>
                <c:pt idx="385">
                  <c:v>39849</c:v>
                </c:pt>
                <c:pt idx="386">
                  <c:v>39842</c:v>
                </c:pt>
                <c:pt idx="387">
                  <c:v>39835</c:v>
                </c:pt>
                <c:pt idx="388">
                  <c:v>39828</c:v>
                </c:pt>
                <c:pt idx="389">
                  <c:v>39821</c:v>
                </c:pt>
                <c:pt idx="390">
                  <c:v>39813</c:v>
                </c:pt>
                <c:pt idx="391">
                  <c:v>39806</c:v>
                </c:pt>
                <c:pt idx="392">
                  <c:v>39800</c:v>
                </c:pt>
                <c:pt idx="393">
                  <c:v>39793</c:v>
                </c:pt>
                <c:pt idx="394">
                  <c:v>39786</c:v>
                </c:pt>
                <c:pt idx="395">
                  <c:v>39778</c:v>
                </c:pt>
                <c:pt idx="396">
                  <c:v>39772</c:v>
                </c:pt>
                <c:pt idx="397">
                  <c:v>39765</c:v>
                </c:pt>
                <c:pt idx="398">
                  <c:v>39758</c:v>
                </c:pt>
                <c:pt idx="399">
                  <c:v>39751</c:v>
                </c:pt>
                <c:pt idx="400">
                  <c:v>39744</c:v>
                </c:pt>
                <c:pt idx="401">
                  <c:v>39737</c:v>
                </c:pt>
                <c:pt idx="402">
                  <c:v>39730</c:v>
                </c:pt>
                <c:pt idx="403">
                  <c:v>39723</c:v>
                </c:pt>
                <c:pt idx="404">
                  <c:v>39716</c:v>
                </c:pt>
                <c:pt idx="405">
                  <c:v>39709</c:v>
                </c:pt>
                <c:pt idx="406">
                  <c:v>39702</c:v>
                </c:pt>
                <c:pt idx="407">
                  <c:v>39695</c:v>
                </c:pt>
                <c:pt idx="408">
                  <c:v>39688</c:v>
                </c:pt>
                <c:pt idx="409">
                  <c:v>39681</c:v>
                </c:pt>
                <c:pt idx="410">
                  <c:v>39674</c:v>
                </c:pt>
                <c:pt idx="411">
                  <c:v>39667</c:v>
                </c:pt>
                <c:pt idx="412">
                  <c:v>39660</c:v>
                </c:pt>
                <c:pt idx="413">
                  <c:v>39653</c:v>
                </c:pt>
                <c:pt idx="414">
                  <c:v>39646</c:v>
                </c:pt>
                <c:pt idx="415">
                  <c:v>39639</c:v>
                </c:pt>
                <c:pt idx="416">
                  <c:v>39632</c:v>
                </c:pt>
                <c:pt idx="417">
                  <c:v>39625</c:v>
                </c:pt>
                <c:pt idx="418">
                  <c:v>39618</c:v>
                </c:pt>
                <c:pt idx="419">
                  <c:v>39611</c:v>
                </c:pt>
                <c:pt idx="420">
                  <c:v>39604</c:v>
                </c:pt>
                <c:pt idx="421">
                  <c:v>39597</c:v>
                </c:pt>
                <c:pt idx="422">
                  <c:v>39590</c:v>
                </c:pt>
                <c:pt idx="423">
                  <c:v>39583</c:v>
                </c:pt>
                <c:pt idx="424">
                  <c:v>39576</c:v>
                </c:pt>
                <c:pt idx="425">
                  <c:v>39569</c:v>
                </c:pt>
                <c:pt idx="426">
                  <c:v>39562</c:v>
                </c:pt>
                <c:pt idx="427">
                  <c:v>39555</c:v>
                </c:pt>
                <c:pt idx="428">
                  <c:v>39548</c:v>
                </c:pt>
                <c:pt idx="429">
                  <c:v>39541</c:v>
                </c:pt>
                <c:pt idx="430">
                  <c:v>39534</c:v>
                </c:pt>
                <c:pt idx="431">
                  <c:v>39527</c:v>
                </c:pt>
                <c:pt idx="432">
                  <c:v>39520</c:v>
                </c:pt>
                <c:pt idx="433">
                  <c:v>39513</c:v>
                </c:pt>
                <c:pt idx="434">
                  <c:v>39506</c:v>
                </c:pt>
                <c:pt idx="435">
                  <c:v>39499</c:v>
                </c:pt>
                <c:pt idx="436">
                  <c:v>39492</c:v>
                </c:pt>
                <c:pt idx="437">
                  <c:v>39485</c:v>
                </c:pt>
                <c:pt idx="438">
                  <c:v>39478</c:v>
                </c:pt>
                <c:pt idx="439">
                  <c:v>39471</c:v>
                </c:pt>
                <c:pt idx="440">
                  <c:v>39464</c:v>
                </c:pt>
                <c:pt idx="441">
                  <c:v>39457</c:v>
                </c:pt>
                <c:pt idx="442">
                  <c:v>39450</c:v>
                </c:pt>
              </c:numCache>
            </c:numRef>
          </c:cat>
          <c:val>
            <c:numRef>
              <c:f>Query!$D$3:$D$445</c:f>
              <c:numCache>
                <c:formatCode>0.00%</c:formatCode>
                <c:ptCount val="443"/>
                <c:pt idx="0">
                  <c:v>0.63229653730000002</c:v>
                </c:pt>
                <c:pt idx="1">
                  <c:v>0.66402058939999997</c:v>
                </c:pt>
                <c:pt idx="2">
                  <c:v>0.62663630719999996</c:v>
                </c:pt>
                <c:pt idx="3">
                  <c:v>0.57432003080000005</c:v>
                </c:pt>
                <c:pt idx="4">
                  <c:v>0.58925100679999998</c:v>
                </c:pt>
                <c:pt idx="5">
                  <c:v>0.63334655910000004</c:v>
                </c:pt>
                <c:pt idx="6">
                  <c:v>0.64169792280000004</c:v>
                </c:pt>
                <c:pt idx="7">
                  <c:v>0.59027324530000003</c:v>
                </c:pt>
                <c:pt idx="8">
                  <c:v>0.56738570980000003</c:v>
                </c:pt>
                <c:pt idx="9">
                  <c:v>0.62234100039999996</c:v>
                </c:pt>
                <c:pt idx="10">
                  <c:v>0.63080109149999997</c:v>
                </c:pt>
                <c:pt idx="11">
                  <c:v>0.62820417880000001</c:v>
                </c:pt>
                <c:pt idx="12">
                  <c:v>0.54440567340000001</c:v>
                </c:pt>
                <c:pt idx="13">
                  <c:v>0.54440567340000001</c:v>
                </c:pt>
                <c:pt idx="14">
                  <c:v>0.53878857629999999</c:v>
                </c:pt>
                <c:pt idx="15">
                  <c:v>0.56981847109999995</c:v>
                </c:pt>
                <c:pt idx="16">
                  <c:v>0.57935099440000004</c:v>
                </c:pt>
                <c:pt idx="17">
                  <c:v>0.58209872399999996</c:v>
                </c:pt>
                <c:pt idx="18">
                  <c:v>0.58166015199999999</c:v>
                </c:pt>
                <c:pt idx="19">
                  <c:v>0.58166015199999999</c:v>
                </c:pt>
                <c:pt idx="20">
                  <c:v>0.54131622769999999</c:v>
                </c:pt>
                <c:pt idx="21">
                  <c:v>0.48172130040000005</c:v>
                </c:pt>
                <c:pt idx="22">
                  <c:v>0.47928735750000007</c:v>
                </c:pt>
                <c:pt idx="23">
                  <c:v>0.41526002010000002</c:v>
                </c:pt>
                <c:pt idx="24">
                  <c:v>0.40781420359999998</c:v>
                </c:pt>
                <c:pt idx="25">
                  <c:v>0.3831685655</c:v>
                </c:pt>
                <c:pt idx="26">
                  <c:v>0.41543361070000001</c:v>
                </c:pt>
                <c:pt idx="27">
                  <c:v>0.41475858059999998</c:v>
                </c:pt>
                <c:pt idx="28">
                  <c:v>0.41671533789999998</c:v>
                </c:pt>
                <c:pt idx="29">
                  <c:v>0.42119163279999999</c:v>
                </c:pt>
                <c:pt idx="30">
                  <c:v>0.42287417910000002</c:v>
                </c:pt>
                <c:pt idx="31">
                  <c:v>0.42345495970000002</c:v>
                </c:pt>
                <c:pt idx="32">
                  <c:v>0.39698461699999998</c:v>
                </c:pt>
                <c:pt idx="33">
                  <c:v>0.45637168340000001</c:v>
                </c:pt>
                <c:pt idx="34">
                  <c:v>0.53284943490000003</c:v>
                </c:pt>
                <c:pt idx="35">
                  <c:v>0.50641637490000002</c:v>
                </c:pt>
                <c:pt idx="36">
                  <c:v>0.50022693870000001</c:v>
                </c:pt>
                <c:pt idx="37">
                  <c:v>0.53284943490000003</c:v>
                </c:pt>
                <c:pt idx="38">
                  <c:v>0.49720172820000003</c:v>
                </c:pt>
                <c:pt idx="39">
                  <c:v>0.4667430393</c:v>
                </c:pt>
                <c:pt idx="40">
                  <c:v>0.46378838439999998</c:v>
                </c:pt>
                <c:pt idx="41">
                  <c:v>0.46538467929999999</c:v>
                </c:pt>
                <c:pt idx="42">
                  <c:v>0.46628192260000001</c:v>
                </c:pt>
                <c:pt idx="43">
                  <c:v>0.50782718149999995</c:v>
                </c:pt>
                <c:pt idx="44">
                  <c:v>0.4481756871</c:v>
                </c:pt>
                <c:pt idx="45">
                  <c:v>0.44692809999999999</c:v>
                </c:pt>
                <c:pt idx="46">
                  <c:v>0.47307575430000004</c:v>
                </c:pt>
                <c:pt idx="47">
                  <c:v>0.42803975230000002</c:v>
                </c:pt>
                <c:pt idx="48">
                  <c:v>0.3977182071</c:v>
                </c:pt>
                <c:pt idx="49">
                  <c:v>0.39016922900000001</c:v>
                </c:pt>
                <c:pt idx="50">
                  <c:v>0.3977182071</c:v>
                </c:pt>
                <c:pt idx="51">
                  <c:v>0.39205869529999998</c:v>
                </c:pt>
                <c:pt idx="52">
                  <c:v>0.40187540360000001</c:v>
                </c:pt>
                <c:pt idx="53">
                  <c:v>0.42709455569999999</c:v>
                </c:pt>
                <c:pt idx="54">
                  <c:v>0.40253946489999998</c:v>
                </c:pt>
                <c:pt idx="55">
                  <c:v>0.4947158505</c:v>
                </c:pt>
                <c:pt idx="56">
                  <c:v>0.50042601269999998</c:v>
                </c:pt>
                <c:pt idx="57">
                  <c:v>0.50117343599999997</c:v>
                </c:pt>
                <c:pt idx="58">
                  <c:v>0.53059425589999998</c:v>
                </c:pt>
                <c:pt idx="59">
                  <c:v>0.53834307189999997</c:v>
                </c:pt>
                <c:pt idx="60">
                  <c:v>0.60320264899999998</c:v>
                </c:pt>
                <c:pt idx="61">
                  <c:v>0.63060989000000001</c:v>
                </c:pt>
                <c:pt idx="62">
                  <c:v>0.6009824386</c:v>
                </c:pt>
                <c:pt idx="63">
                  <c:v>0.62876545900000003</c:v>
                </c:pt>
                <c:pt idx="64">
                  <c:v>0.59976270369999996</c:v>
                </c:pt>
                <c:pt idx="65">
                  <c:v>0.61008927769999999</c:v>
                </c:pt>
                <c:pt idx="66">
                  <c:v>0.57408284430000001</c:v>
                </c:pt>
                <c:pt idx="67">
                  <c:v>0.51014898689999999</c:v>
                </c:pt>
                <c:pt idx="68">
                  <c:v>0.57815914199999996</c:v>
                </c:pt>
                <c:pt idx="69">
                  <c:v>0.5537142075</c:v>
                </c:pt>
                <c:pt idx="70">
                  <c:v>0.58276120539999998</c:v>
                </c:pt>
                <c:pt idx="71">
                  <c:v>0.61553641429999995</c:v>
                </c:pt>
                <c:pt idx="72">
                  <c:v>0.64767949680000003</c:v>
                </c:pt>
                <c:pt idx="73">
                  <c:v>0.61924009550000003</c:v>
                </c:pt>
                <c:pt idx="74">
                  <c:v>0.61962164819999999</c:v>
                </c:pt>
                <c:pt idx="75">
                  <c:v>0.61924009550000003</c:v>
                </c:pt>
                <c:pt idx="76">
                  <c:v>0.56867868060000004</c:v>
                </c:pt>
                <c:pt idx="77">
                  <c:v>0.50653217370000003</c:v>
                </c:pt>
                <c:pt idx="78">
                  <c:v>0.53702438590000001</c:v>
                </c:pt>
                <c:pt idx="79">
                  <c:v>0.5408396526</c:v>
                </c:pt>
                <c:pt idx="80">
                  <c:v>0.50243916320000004</c:v>
                </c:pt>
                <c:pt idx="81">
                  <c:v>0.50697530140000002</c:v>
                </c:pt>
                <c:pt idx="82">
                  <c:v>0.48229909360000001</c:v>
                </c:pt>
                <c:pt idx="83">
                  <c:v>0.48084575689999998</c:v>
                </c:pt>
                <c:pt idx="84">
                  <c:v>0.45502691080000002</c:v>
                </c:pt>
                <c:pt idx="85">
                  <c:v>0.45356757110000001</c:v>
                </c:pt>
                <c:pt idx="86">
                  <c:v>0.49063416859999998</c:v>
                </c:pt>
                <c:pt idx="87">
                  <c:v>0.52082276189999999</c:v>
                </c:pt>
                <c:pt idx="88">
                  <c:v>0.49136233779999999</c:v>
                </c:pt>
                <c:pt idx="89">
                  <c:v>0.43077950129999998</c:v>
                </c:pt>
                <c:pt idx="90">
                  <c:v>0.40648641540000002</c:v>
                </c:pt>
                <c:pt idx="91">
                  <c:v>0.39404085370000003</c:v>
                </c:pt>
                <c:pt idx="92">
                  <c:v>0.39207927710000001</c:v>
                </c:pt>
                <c:pt idx="93">
                  <c:v>0.43877924870000001</c:v>
                </c:pt>
                <c:pt idx="94">
                  <c:v>0.4400792899</c:v>
                </c:pt>
                <c:pt idx="95">
                  <c:v>0.44570419890000001</c:v>
                </c:pt>
                <c:pt idx="96">
                  <c:v>0.44570419890000001</c:v>
                </c:pt>
                <c:pt idx="97">
                  <c:v>0.42251047959999999</c:v>
                </c:pt>
                <c:pt idx="98">
                  <c:v>0.40082625799999999</c:v>
                </c:pt>
                <c:pt idx="99">
                  <c:v>0.42743833689999999</c:v>
                </c:pt>
                <c:pt idx="100">
                  <c:v>0.42661541759999999</c:v>
                </c:pt>
                <c:pt idx="101">
                  <c:v>0.42661541759999999</c:v>
                </c:pt>
                <c:pt idx="102">
                  <c:v>0.4059467591</c:v>
                </c:pt>
                <c:pt idx="103">
                  <c:v>0.44867642769999999</c:v>
                </c:pt>
                <c:pt idx="104">
                  <c:v>0.42867166039999999</c:v>
                </c:pt>
                <c:pt idx="105">
                  <c:v>0.40777675969999999</c:v>
                </c:pt>
                <c:pt idx="106">
                  <c:v>0.40622358260000002</c:v>
                </c:pt>
                <c:pt idx="107">
                  <c:v>0.42867166039999999</c:v>
                </c:pt>
                <c:pt idx="108">
                  <c:v>0.42749998970000003</c:v>
                </c:pt>
                <c:pt idx="109">
                  <c:v>0.42656838860000001</c:v>
                </c:pt>
                <c:pt idx="110">
                  <c:v>0.40649016360000001</c:v>
                </c:pt>
                <c:pt idx="111">
                  <c:v>0.40578681059999999</c:v>
                </c:pt>
                <c:pt idx="112">
                  <c:v>0.36400559960000001</c:v>
                </c:pt>
                <c:pt idx="113">
                  <c:v>0.36234091489999998</c:v>
                </c:pt>
                <c:pt idx="114">
                  <c:v>0.36364135050000002</c:v>
                </c:pt>
                <c:pt idx="115">
                  <c:v>0.33916080189999998</c:v>
                </c:pt>
                <c:pt idx="116">
                  <c:v>0.31220021279999999</c:v>
                </c:pt>
                <c:pt idx="117">
                  <c:v>0.34336021719999998</c:v>
                </c:pt>
                <c:pt idx="118">
                  <c:v>0.36887988770000002</c:v>
                </c:pt>
                <c:pt idx="119">
                  <c:v>0.34496826310000001</c:v>
                </c:pt>
                <c:pt idx="120">
                  <c:v>0.36942482259999998</c:v>
                </c:pt>
                <c:pt idx="121">
                  <c:v>0.35133351429999998</c:v>
                </c:pt>
                <c:pt idx="122">
                  <c:v>0.35336059069999998</c:v>
                </c:pt>
                <c:pt idx="123">
                  <c:v>0.37664429049999998</c:v>
                </c:pt>
                <c:pt idx="124">
                  <c:v>0.40240560060000002</c:v>
                </c:pt>
                <c:pt idx="125">
                  <c:v>0.38332880260000002</c:v>
                </c:pt>
                <c:pt idx="126">
                  <c:v>0.33320664849999998</c:v>
                </c:pt>
                <c:pt idx="127">
                  <c:v>0.33271002300000002</c:v>
                </c:pt>
                <c:pt idx="128">
                  <c:v>0.3057643518</c:v>
                </c:pt>
                <c:pt idx="129">
                  <c:v>0.29098791769999999</c:v>
                </c:pt>
                <c:pt idx="130">
                  <c:v>0.32358042170000001</c:v>
                </c:pt>
                <c:pt idx="131">
                  <c:v>0.32405487960000001</c:v>
                </c:pt>
                <c:pt idx="132">
                  <c:v>0.34946915589999999</c:v>
                </c:pt>
                <c:pt idx="133">
                  <c:v>0.34983606179999999</c:v>
                </c:pt>
                <c:pt idx="134">
                  <c:v>0.41345442960000001</c:v>
                </c:pt>
                <c:pt idx="135">
                  <c:v>0.43926277450000001</c:v>
                </c:pt>
                <c:pt idx="136">
                  <c:v>0.3881478364</c:v>
                </c:pt>
                <c:pt idx="137">
                  <c:v>0.45419206680000002</c:v>
                </c:pt>
                <c:pt idx="138">
                  <c:v>0.48311372540000008</c:v>
                </c:pt>
                <c:pt idx="139">
                  <c:v>0.46681751339999999</c:v>
                </c:pt>
                <c:pt idx="140">
                  <c:v>0.42500863700000002</c:v>
                </c:pt>
                <c:pt idx="141">
                  <c:v>0.45036933280000002</c:v>
                </c:pt>
                <c:pt idx="142">
                  <c:v>0.4507968094</c:v>
                </c:pt>
                <c:pt idx="143">
                  <c:v>0.43720376859999999</c:v>
                </c:pt>
                <c:pt idx="144">
                  <c:v>0.35393778970000001</c:v>
                </c:pt>
                <c:pt idx="145">
                  <c:v>0.32245062009999997</c:v>
                </c:pt>
                <c:pt idx="146">
                  <c:v>0.33545963779999999</c:v>
                </c:pt>
                <c:pt idx="147">
                  <c:v>0.36572713959999997</c:v>
                </c:pt>
                <c:pt idx="148">
                  <c:v>0.33414567940000001</c:v>
                </c:pt>
                <c:pt idx="149">
                  <c:v>0.39641450410000001</c:v>
                </c:pt>
                <c:pt idx="150">
                  <c:v>0.39641450410000001</c:v>
                </c:pt>
                <c:pt idx="151">
                  <c:v>0.39677024059999999</c:v>
                </c:pt>
                <c:pt idx="152">
                  <c:v>0.4442214464</c:v>
                </c:pt>
                <c:pt idx="153">
                  <c:v>0.44205305090000002</c:v>
                </c:pt>
                <c:pt idx="154">
                  <c:v>0.36389579640000003</c:v>
                </c:pt>
                <c:pt idx="155">
                  <c:v>0.47101926550000006</c:v>
                </c:pt>
                <c:pt idx="156">
                  <c:v>0.39165461709999999</c:v>
                </c:pt>
                <c:pt idx="157">
                  <c:v>0.58487392220000001</c:v>
                </c:pt>
                <c:pt idx="158">
                  <c:v>0.58336114490000002</c:v>
                </c:pt>
                <c:pt idx="159">
                  <c:v>0.60264990890000003</c:v>
                </c:pt>
                <c:pt idx="160">
                  <c:v>0.64136812509999996</c:v>
                </c:pt>
                <c:pt idx="161">
                  <c:v>0.70907111909999998</c:v>
                </c:pt>
                <c:pt idx="162">
                  <c:v>0.74298206099999997</c:v>
                </c:pt>
                <c:pt idx="163">
                  <c:v>0.77243230529999996</c:v>
                </c:pt>
                <c:pt idx="164">
                  <c:v>0.79686832949999997</c:v>
                </c:pt>
                <c:pt idx="165">
                  <c:v>0.78999699400000001</c:v>
                </c:pt>
                <c:pt idx="166">
                  <c:v>0.79094335059999998</c:v>
                </c:pt>
                <c:pt idx="167">
                  <c:v>0.76837408689999998</c:v>
                </c:pt>
                <c:pt idx="168">
                  <c:v>0.74351076270000005</c:v>
                </c:pt>
                <c:pt idx="169">
                  <c:v>0.74832071290000002</c:v>
                </c:pt>
                <c:pt idx="170">
                  <c:v>0.76428627579999997</c:v>
                </c:pt>
                <c:pt idx="171">
                  <c:v>0.73420571180000005</c:v>
                </c:pt>
                <c:pt idx="172">
                  <c:v>0.76834204949999996</c:v>
                </c:pt>
                <c:pt idx="173">
                  <c:v>0.7869967283</c:v>
                </c:pt>
                <c:pt idx="174">
                  <c:v>0.76942029720000005</c:v>
                </c:pt>
                <c:pt idx="175">
                  <c:v>0.78596707669999999</c:v>
                </c:pt>
                <c:pt idx="176">
                  <c:v>0.78596707669999999</c:v>
                </c:pt>
                <c:pt idx="177">
                  <c:v>0.80135399939999996</c:v>
                </c:pt>
                <c:pt idx="178">
                  <c:v>0.84448029719999995</c:v>
                </c:pt>
                <c:pt idx="179">
                  <c:v>0.86335462829999998</c:v>
                </c:pt>
                <c:pt idx="180">
                  <c:v>0.84701127040000002</c:v>
                </c:pt>
                <c:pt idx="181">
                  <c:v>0.8673857989</c:v>
                </c:pt>
                <c:pt idx="182">
                  <c:v>0.89225158500000001</c:v>
                </c:pt>
                <c:pt idx="183">
                  <c:v>0.89030787629999997</c:v>
                </c:pt>
                <c:pt idx="184">
                  <c:v>0.90756086059999996</c:v>
                </c:pt>
                <c:pt idx="185">
                  <c:v>0.89308967149999996</c:v>
                </c:pt>
                <c:pt idx="186">
                  <c:v>0.91340603359999994</c:v>
                </c:pt>
                <c:pt idx="187">
                  <c:v>0.92811980329999999</c:v>
                </c:pt>
                <c:pt idx="188">
                  <c:v>0.91410815519999999</c:v>
                </c:pt>
                <c:pt idx="189">
                  <c:v>0.89565651040000005</c:v>
                </c:pt>
                <c:pt idx="190">
                  <c:v>0.8960141707</c:v>
                </c:pt>
                <c:pt idx="191">
                  <c:v>0.90786686940000005</c:v>
                </c:pt>
                <c:pt idx="192">
                  <c:v>0.92469153400000004</c:v>
                </c:pt>
                <c:pt idx="193">
                  <c:v>0.91035407680000002</c:v>
                </c:pt>
                <c:pt idx="194">
                  <c:v>0.92832683660000004</c:v>
                </c:pt>
                <c:pt idx="195">
                  <c:v>0.93535924380000002</c:v>
                </c:pt>
                <c:pt idx="196">
                  <c:v>0.90080109230000005</c:v>
                </c:pt>
                <c:pt idx="197">
                  <c:v>0.88554902749999997</c:v>
                </c:pt>
                <c:pt idx="198">
                  <c:v>0.88336087799999996</c:v>
                </c:pt>
                <c:pt idx="199">
                  <c:v>0.89044873329999996</c:v>
                </c:pt>
                <c:pt idx="200">
                  <c:v>0.86385856969999997</c:v>
                </c:pt>
                <c:pt idx="201">
                  <c:v>0.87702114900000017</c:v>
                </c:pt>
                <c:pt idx="202">
                  <c:v>0.89044873329999996</c:v>
                </c:pt>
                <c:pt idx="203">
                  <c:v>0.89176466350000005</c:v>
                </c:pt>
                <c:pt idx="204">
                  <c:v>0.9159699536</c:v>
                </c:pt>
                <c:pt idx="205">
                  <c:v>0.90463870229999999</c:v>
                </c:pt>
                <c:pt idx="206">
                  <c:v>0.90263301100000004</c:v>
                </c:pt>
                <c:pt idx="207">
                  <c:v>0.87835773870000011</c:v>
                </c:pt>
                <c:pt idx="208">
                  <c:v>0.87682347260000015</c:v>
                </c:pt>
                <c:pt idx="209">
                  <c:v>0.87682347260000015</c:v>
                </c:pt>
                <c:pt idx="210">
                  <c:v>0.86092016650000003</c:v>
                </c:pt>
                <c:pt idx="211">
                  <c:v>0.87650509779999997</c:v>
                </c:pt>
                <c:pt idx="212">
                  <c:v>0.83986035569999995</c:v>
                </c:pt>
                <c:pt idx="213">
                  <c:v>0.83690507839999995</c:v>
                </c:pt>
                <c:pt idx="214">
                  <c:v>0.83832866309999998</c:v>
                </c:pt>
                <c:pt idx="215">
                  <c:v>0.81733943220000005</c:v>
                </c:pt>
                <c:pt idx="216">
                  <c:v>0.81132074830000001</c:v>
                </c:pt>
                <c:pt idx="217">
                  <c:v>0.8034289067</c:v>
                </c:pt>
                <c:pt idx="218">
                  <c:v>0.78677306449999995</c:v>
                </c:pt>
                <c:pt idx="219">
                  <c:v>0.8034289067</c:v>
                </c:pt>
                <c:pt idx="220">
                  <c:v>0.76447569309999996</c:v>
                </c:pt>
                <c:pt idx="221">
                  <c:v>0.76999415959999995</c:v>
                </c:pt>
                <c:pt idx="222">
                  <c:v>0.72909925509999995</c:v>
                </c:pt>
                <c:pt idx="223">
                  <c:v>0.79237017499999995</c:v>
                </c:pt>
                <c:pt idx="224">
                  <c:v>0.79525017919999996</c:v>
                </c:pt>
                <c:pt idx="225">
                  <c:v>0.79406819989999999</c:v>
                </c:pt>
                <c:pt idx="226">
                  <c:v>0.78677879350000002</c:v>
                </c:pt>
                <c:pt idx="227">
                  <c:v>0.81682312189999995</c:v>
                </c:pt>
                <c:pt idx="228">
                  <c:v>0.81682312189999995</c:v>
                </c:pt>
                <c:pt idx="229">
                  <c:v>0.81682312189999995</c:v>
                </c:pt>
                <c:pt idx="230">
                  <c:v>0.79482617889999996</c:v>
                </c:pt>
                <c:pt idx="231">
                  <c:v>0.81589622309999998</c:v>
                </c:pt>
                <c:pt idx="232">
                  <c:v>0.82557419580000002</c:v>
                </c:pt>
                <c:pt idx="233">
                  <c:v>0.81311794920000002</c:v>
                </c:pt>
                <c:pt idx="234">
                  <c:v>0.82761677320000004</c:v>
                </c:pt>
                <c:pt idx="235">
                  <c:v>0.83051129830000003</c:v>
                </c:pt>
                <c:pt idx="236">
                  <c:v>0.81140619059999997</c:v>
                </c:pt>
                <c:pt idx="237">
                  <c:v>0.8066320361</c:v>
                </c:pt>
                <c:pt idx="238">
                  <c:v>0.8061458252</c:v>
                </c:pt>
                <c:pt idx="239">
                  <c:v>0.82430845949999998</c:v>
                </c:pt>
                <c:pt idx="240">
                  <c:v>0.82078579289999998</c:v>
                </c:pt>
                <c:pt idx="241">
                  <c:v>0.82126380830000001</c:v>
                </c:pt>
                <c:pt idx="242">
                  <c:v>0.82078579289999998</c:v>
                </c:pt>
                <c:pt idx="243">
                  <c:v>0.7903811664</c:v>
                </c:pt>
                <c:pt idx="244">
                  <c:v>0.79024660690000004</c:v>
                </c:pt>
                <c:pt idx="245">
                  <c:v>0.77495922829999997</c:v>
                </c:pt>
                <c:pt idx="246">
                  <c:v>0.83660536610000003</c:v>
                </c:pt>
                <c:pt idx="247">
                  <c:v>0.83291884810000005</c:v>
                </c:pt>
                <c:pt idx="248">
                  <c:v>0.79842057590000004</c:v>
                </c:pt>
                <c:pt idx="249">
                  <c:v>0.79842057590000004</c:v>
                </c:pt>
                <c:pt idx="250">
                  <c:v>0.79337813010000002</c:v>
                </c:pt>
                <c:pt idx="251">
                  <c:v>0.74656444600000005</c:v>
                </c:pt>
                <c:pt idx="252">
                  <c:v>0.74831768210000005</c:v>
                </c:pt>
                <c:pt idx="253">
                  <c:v>0.77918159070000004</c:v>
                </c:pt>
                <c:pt idx="254">
                  <c:v>0.71226119700000001</c:v>
                </c:pt>
                <c:pt idx="255">
                  <c:v>0.63704711950000004</c:v>
                </c:pt>
                <c:pt idx="256">
                  <c:v>0.58384791359999999</c:v>
                </c:pt>
                <c:pt idx="257">
                  <c:v>0.58834884700000001</c:v>
                </c:pt>
                <c:pt idx="258">
                  <c:v>0.60388450410000005</c:v>
                </c:pt>
                <c:pt idx="259">
                  <c:v>0.56570427590000005</c:v>
                </c:pt>
                <c:pt idx="260">
                  <c:v>0.60588870009999996</c:v>
                </c:pt>
                <c:pt idx="261">
                  <c:v>0.59097363839999995</c:v>
                </c:pt>
                <c:pt idx="262">
                  <c:v>0.60674265890000001</c:v>
                </c:pt>
                <c:pt idx="263">
                  <c:v>0.60698646280000002</c:v>
                </c:pt>
                <c:pt idx="264">
                  <c:v>0.59097363839999995</c:v>
                </c:pt>
                <c:pt idx="265">
                  <c:v>0.57397086610000003</c:v>
                </c:pt>
                <c:pt idx="266">
                  <c:v>0.57236589810000005</c:v>
                </c:pt>
                <c:pt idx="267">
                  <c:v>0.57084324220000005</c:v>
                </c:pt>
                <c:pt idx="268">
                  <c:v>0.54152063220000002</c:v>
                </c:pt>
                <c:pt idx="269">
                  <c:v>0.53058626149999999</c:v>
                </c:pt>
                <c:pt idx="270">
                  <c:v>0.529569964</c:v>
                </c:pt>
                <c:pt idx="271">
                  <c:v>0.50893139949999999</c:v>
                </c:pt>
                <c:pt idx="272">
                  <c:v>0.51267998920000002</c:v>
                </c:pt>
                <c:pt idx="273">
                  <c:v>0.52857622039999996</c:v>
                </c:pt>
                <c:pt idx="274">
                  <c:v>0.54507029809999996</c:v>
                </c:pt>
                <c:pt idx="275">
                  <c:v>0.56219164870000005</c:v>
                </c:pt>
                <c:pt idx="276">
                  <c:v>0.52634717639999995</c:v>
                </c:pt>
                <c:pt idx="277">
                  <c:v>0.5279836094</c:v>
                </c:pt>
                <c:pt idx="278">
                  <c:v>0.51712340239999999</c:v>
                </c:pt>
                <c:pt idx="279">
                  <c:v>0.48985835570000003</c:v>
                </c:pt>
                <c:pt idx="280">
                  <c:v>0.46490756020000001</c:v>
                </c:pt>
                <c:pt idx="281">
                  <c:v>0.54654675470000003</c:v>
                </c:pt>
                <c:pt idx="282">
                  <c:v>0.58133855670000001</c:v>
                </c:pt>
                <c:pt idx="283">
                  <c:v>0.58325702479999997</c:v>
                </c:pt>
                <c:pt idx="284">
                  <c:v>0.60116222669999997</c:v>
                </c:pt>
                <c:pt idx="285">
                  <c:v>0.58148518429999996</c:v>
                </c:pt>
                <c:pt idx="286">
                  <c:v>0.57125989649999998</c:v>
                </c:pt>
                <c:pt idx="287">
                  <c:v>0.59675222760000002</c:v>
                </c:pt>
                <c:pt idx="288">
                  <c:v>0.57757226409999995</c:v>
                </c:pt>
                <c:pt idx="289">
                  <c:v>0.65605300519999998</c:v>
                </c:pt>
                <c:pt idx="290">
                  <c:v>0.69918673009999999</c:v>
                </c:pt>
                <c:pt idx="291">
                  <c:v>0.75475562129999996</c:v>
                </c:pt>
                <c:pt idx="292">
                  <c:v>0.75447953670000001</c:v>
                </c:pt>
                <c:pt idx="293">
                  <c:v>0.8785058455000001</c:v>
                </c:pt>
                <c:pt idx="294">
                  <c:v>0.83169925109999998</c:v>
                </c:pt>
                <c:pt idx="295">
                  <c:v>0.87353389479999999</c:v>
                </c:pt>
                <c:pt idx="296">
                  <c:v>0.87406466520000015</c:v>
                </c:pt>
                <c:pt idx="297">
                  <c:v>0.87669213730000006</c:v>
                </c:pt>
                <c:pt idx="298">
                  <c:v>0.84608171109999997</c:v>
                </c:pt>
                <c:pt idx="299">
                  <c:v>0.82257295500000005</c:v>
                </c:pt>
                <c:pt idx="300">
                  <c:v>0.82067381179999999</c:v>
                </c:pt>
                <c:pt idx="301">
                  <c:v>0.82067381179999999</c:v>
                </c:pt>
                <c:pt idx="302">
                  <c:v>0.82251853900000005</c:v>
                </c:pt>
                <c:pt idx="303">
                  <c:v>0.85995861939999996</c:v>
                </c:pt>
                <c:pt idx="304">
                  <c:v>0.83768871420000002</c:v>
                </c:pt>
                <c:pt idx="305">
                  <c:v>0.80876442169999996</c:v>
                </c:pt>
                <c:pt idx="306">
                  <c:v>0.80814767710000002</c:v>
                </c:pt>
                <c:pt idx="307">
                  <c:v>0.77128568099999995</c:v>
                </c:pt>
                <c:pt idx="308">
                  <c:v>0.76292758309999997</c:v>
                </c:pt>
                <c:pt idx="309">
                  <c:v>0.76211849809999999</c:v>
                </c:pt>
                <c:pt idx="310">
                  <c:v>0.76124590260000002</c:v>
                </c:pt>
                <c:pt idx="311">
                  <c:v>0.76124590260000002</c:v>
                </c:pt>
                <c:pt idx="312">
                  <c:v>0.74099265550000004</c:v>
                </c:pt>
                <c:pt idx="313">
                  <c:v>0.7235605061</c:v>
                </c:pt>
                <c:pt idx="314">
                  <c:v>0.70330276270000003</c:v>
                </c:pt>
                <c:pt idx="315">
                  <c:v>0.70507020519999997</c:v>
                </c:pt>
                <c:pt idx="316">
                  <c:v>0.68308270429999995</c:v>
                </c:pt>
                <c:pt idx="317">
                  <c:v>0.69742454840000001</c:v>
                </c:pt>
                <c:pt idx="318">
                  <c:v>0.67388407520000004</c:v>
                </c:pt>
                <c:pt idx="319">
                  <c:v>0.6466666673</c:v>
                </c:pt>
                <c:pt idx="320">
                  <c:v>0.60828599319999999</c:v>
                </c:pt>
                <c:pt idx="321">
                  <c:v>0.59002327259999998</c:v>
                </c:pt>
                <c:pt idx="322">
                  <c:v>0.58672429169999996</c:v>
                </c:pt>
                <c:pt idx="323">
                  <c:v>0.5951682895</c:v>
                </c:pt>
                <c:pt idx="324">
                  <c:v>0.53152003339999998</c:v>
                </c:pt>
                <c:pt idx="325">
                  <c:v>0.57205809490000004</c:v>
                </c:pt>
                <c:pt idx="326">
                  <c:v>0.65739584390000005</c:v>
                </c:pt>
                <c:pt idx="327">
                  <c:v>0.65825550310000003</c:v>
                </c:pt>
                <c:pt idx="328">
                  <c:v>0.67713837769999996</c:v>
                </c:pt>
                <c:pt idx="329">
                  <c:v>0.6548459458</c:v>
                </c:pt>
                <c:pt idx="330">
                  <c:v>0.6355630457</c:v>
                </c:pt>
                <c:pt idx="331">
                  <c:v>0.70305248779999996</c:v>
                </c:pt>
                <c:pt idx="332">
                  <c:v>0.67221846299999999</c:v>
                </c:pt>
                <c:pt idx="333">
                  <c:v>0.66032668179999998</c:v>
                </c:pt>
                <c:pt idx="334">
                  <c:v>0.69423377870000003</c:v>
                </c:pt>
                <c:pt idx="335">
                  <c:v>0.68028804070000004</c:v>
                </c:pt>
                <c:pt idx="336">
                  <c:v>0.64568973490000003</c:v>
                </c:pt>
                <c:pt idx="337">
                  <c:v>0.62467013979999997</c:v>
                </c:pt>
                <c:pt idx="338">
                  <c:v>0.60269502220000004</c:v>
                </c:pt>
                <c:pt idx="339">
                  <c:v>0.66173262710000003</c:v>
                </c:pt>
                <c:pt idx="340">
                  <c:v>0.72694464729999997</c:v>
                </c:pt>
                <c:pt idx="341">
                  <c:v>0.77484347180000002</c:v>
                </c:pt>
                <c:pt idx="342">
                  <c:v>0.79178966220000002</c:v>
                </c:pt>
                <c:pt idx="343">
                  <c:v>0.78923868119999996</c:v>
                </c:pt>
                <c:pt idx="344">
                  <c:v>0.77040720750000002</c:v>
                </c:pt>
                <c:pt idx="345">
                  <c:v>0.74775831650000002</c:v>
                </c:pt>
                <c:pt idx="346">
                  <c:v>0.70960038569999995</c:v>
                </c:pt>
                <c:pt idx="347">
                  <c:v>0.70441895249999997</c:v>
                </c:pt>
                <c:pt idx="348">
                  <c:v>0.72756030579999997</c:v>
                </c:pt>
                <c:pt idx="349">
                  <c:v>0.768372108</c:v>
                </c:pt>
                <c:pt idx="350">
                  <c:v>0.79042688480000001</c:v>
                </c:pt>
                <c:pt idx="351">
                  <c:v>0.76424793329999996</c:v>
                </c:pt>
                <c:pt idx="352">
                  <c:v>0.73044929209999998</c:v>
                </c:pt>
                <c:pt idx="353">
                  <c:v>0.72287040550000004</c:v>
                </c:pt>
                <c:pt idx="354">
                  <c:v>0.71195266859999995</c:v>
                </c:pt>
                <c:pt idx="355">
                  <c:v>0.69597172249999995</c:v>
                </c:pt>
                <c:pt idx="356">
                  <c:v>0.68787756899999997</c:v>
                </c:pt>
                <c:pt idx="357">
                  <c:v>0.71911560149999998</c:v>
                </c:pt>
                <c:pt idx="358">
                  <c:v>0.5942714322</c:v>
                </c:pt>
                <c:pt idx="359">
                  <c:v>0.67630454740000001</c:v>
                </c:pt>
                <c:pt idx="360">
                  <c:v>0.67072310170000005</c:v>
                </c:pt>
                <c:pt idx="361">
                  <c:v>0.69678739609999996</c:v>
                </c:pt>
                <c:pt idx="362">
                  <c:v>0.71116433310000005</c:v>
                </c:pt>
                <c:pt idx="363">
                  <c:v>0.69678739609999996</c:v>
                </c:pt>
                <c:pt idx="364">
                  <c:v>0.60429288550000004</c:v>
                </c:pt>
                <c:pt idx="365">
                  <c:v>0.53936109320000003</c:v>
                </c:pt>
                <c:pt idx="366">
                  <c:v>0.58454767249999995</c:v>
                </c:pt>
                <c:pt idx="367">
                  <c:v>0.42999902099999998</c:v>
                </c:pt>
                <c:pt idx="368">
                  <c:v>0.63826923999999996</c:v>
                </c:pt>
                <c:pt idx="369">
                  <c:v>0.91704575720000003</c:v>
                </c:pt>
                <c:pt idx="370">
                  <c:v>0.95044574390000003</c:v>
                </c:pt>
                <c:pt idx="371">
                  <c:v>0.9382914872</c:v>
                </c:pt>
                <c:pt idx="372">
                  <c:v>0.93819874619999999</c:v>
                </c:pt>
                <c:pt idx="373">
                  <c:v>0.96780518839999996</c:v>
                </c:pt>
                <c:pt idx="374">
                  <c:v>0.96668737410000005</c:v>
                </c:pt>
                <c:pt idx="375">
                  <c:v>0.96711777980000002</c:v>
                </c:pt>
                <c:pt idx="376">
                  <c:v>0.95133847890000001</c:v>
                </c:pt>
                <c:pt idx="377">
                  <c:v>0.96780518839999996</c:v>
                </c:pt>
                <c:pt idx="378">
                  <c:v>0.95662948010000004</c:v>
                </c:pt>
                <c:pt idx="379">
                  <c:v>0.89917207740000005</c:v>
                </c:pt>
                <c:pt idx="380">
                  <c:v>0.86878816510000001</c:v>
                </c:pt>
                <c:pt idx="381">
                  <c:v>0.78972320240000005</c:v>
                </c:pt>
                <c:pt idx="382">
                  <c:v>0.85338869260000005</c:v>
                </c:pt>
                <c:pt idx="383">
                  <c:v>0.86644801189999998</c:v>
                </c:pt>
                <c:pt idx="384">
                  <c:v>0.78839131539999996</c:v>
                </c:pt>
                <c:pt idx="385">
                  <c:v>0.69670158640000002</c:v>
                </c:pt>
                <c:pt idx="386">
                  <c:v>0.83111971529999995</c:v>
                </c:pt>
                <c:pt idx="387">
                  <c:v>0.82597915460000004</c:v>
                </c:pt>
                <c:pt idx="388">
                  <c:v>0.91185734159999998</c:v>
                </c:pt>
                <c:pt idx="389">
                  <c:v>0.89741246799999996</c:v>
                </c:pt>
                <c:pt idx="390">
                  <c:v>0.83232317040000003</c:v>
                </c:pt>
                <c:pt idx="391">
                  <c:v>0.78997047850000002</c:v>
                </c:pt>
                <c:pt idx="392">
                  <c:v>0.78364763900000001</c:v>
                </c:pt>
                <c:pt idx="393">
                  <c:v>0.54519970390000005</c:v>
                </c:pt>
                <c:pt idx="394">
                  <c:v>0.49866364270000002</c:v>
                </c:pt>
                <c:pt idx="395">
                  <c:v>0.2508332667</c:v>
                </c:pt>
                <c:pt idx="396">
                  <c:v>0.22284174370000001</c:v>
                </c:pt>
                <c:pt idx="397">
                  <c:v>0.18451025460000001</c:v>
                </c:pt>
                <c:pt idx="398">
                  <c:v>0.17519442060000001</c:v>
                </c:pt>
                <c:pt idx="399">
                  <c:v>0.1075199713</c:v>
                </c:pt>
                <c:pt idx="400">
                  <c:v>0.22609301970000001</c:v>
                </c:pt>
                <c:pt idx="401">
                  <c:v>0.11266400109999999</c:v>
                </c:pt>
                <c:pt idx="402">
                  <c:v>0.27029255289999998</c:v>
                </c:pt>
                <c:pt idx="403">
                  <c:v>0.21754198629999999</c:v>
                </c:pt>
                <c:pt idx="404">
                  <c:v>0.20644072420000001</c:v>
                </c:pt>
                <c:pt idx="405">
                  <c:v>0.37922658250000002</c:v>
                </c:pt>
                <c:pt idx="406">
                  <c:v>0.26874650979999998</c:v>
                </c:pt>
                <c:pt idx="407">
                  <c:v>0.13095243039999999</c:v>
                </c:pt>
                <c:pt idx="408">
                  <c:v>0.13144158189999999</c:v>
                </c:pt>
                <c:pt idx="409">
                  <c:v>0.1090236047</c:v>
                </c:pt>
                <c:pt idx="410">
                  <c:v>0.1005900445</c:v>
                </c:pt>
                <c:pt idx="411">
                  <c:v>0.1005900445</c:v>
                </c:pt>
                <c:pt idx="412">
                  <c:v>0.10192862680000001</c:v>
                </c:pt>
                <c:pt idx="413">
                  <c:v>8.7809564199999995E-2</c:v>
                </c:pt>
                <c:pt idx="414">
                  <c:v>0.16845758860000001</c:v>
                </c:pt>
                <c:pt idx="415">
                  <c:v>0.13544823440000001</c:v>
                </c:pt>
                <c:pt idx="416">
                  <c:v>0.1433975629</c:v>
                </c:pt>
                <c:pt idx="417">
                  <c:v>0.11833090540000002</c:v>
                </c:pt>
                <c:pt idx="418">
                  <c:v>0.11861937350000001</c:v>
                </c:pt>
                <c:pt idx="419">
                  <c:v>0.1445849994</c:v>
                </c:pt>
                <c:pt idx="420">
                  <c:v>0.22676943159999999</c:v>
                </c:pt>
                <c:pt idx="421">
                  <c:v>0.23222284730000001</c:v>
                </c:pt>
                <c:pt idx="422">
                  <c:v>0.28332307470000001</c:v>
                </c:pt>
                <c:pt idx="423">
                  <c:v>0.26083298939999999</c:v>
                </c:pt>
                <c:pt idx="424">
                  <c:v>0.28104430899999999</c:v>
                </c:pt>
                <c:pt idx="425">
                  <c:v>0.25964371089999999</c:v>
                </c:pt>
                <c:pt idx="426">
                  <c:v>0.28493703599999998</c:v>
                </c:pt>
                <c:pt idx="427">
                  <c:v>0.35483239049999998</c:v>
                </c:pt>
                <c:pt idx="428">
                  <c:v>0.35483239049999998</c:v>
                </c:pt>
                <c:pt idx="429">
                  <c:v>0.3298734116</c:v>
                </c:pt>
                <c:pt idx="430">
                  <c:v>0.38061787419999998</c:v>
                </c:pt>
                <c:pt idx="431">
                  <c:v>0.37372234529999998</c:v>
                </c:pt>
                <c:pt idx="432">
                  <c:v>0.23448839260000004</c:v>
                </c:pt>
                <c:pt idx="433">
                  <c:v>0.28391662909999998</c:v>
                </c:pt>
                <c:pt idx="434">
                  <c:v>0.19139630090000001</c:v>
                </c:pt>
                <c:pt idx="435">
                  <c:v>0.24600385410000003</c:v>
                </c:pt>
                <c:pt idx="436">
                  <c:v>0.45493623130000005</c:v>
                </c:pt>
                <c:pt idx="437">
                  <c:v>0.51056741819999996</c:v>
                </c:pt>
                <c:pt idx="438">
                  <c:v>0.49749608789999999</c:v>
                </c:pt>
                <c:pt idx="439">
                  <c:v>0.66180762579999997</c:v>
                </c:pt>
                <c:pt idx="440">
                  <c:v>0.4496011513</c:v>
                </c:pt>
                <c:pt idx="441">
                  <c:v>0.36646240920000001</c:v>
                </c:pt>
                <c:pt idx="442">
                  <c:v>0.23986342090000001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511360"/>
        <c:axId val="276513152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Query!$B$3:$B$445</c:f>
              <c:numCache>
                <c:formatCode>m/d/yyyy</c:formatCode>
                <c:ptCount val="443"/>
                <c:pt idx="0">
                  <c:v>42544</c:v>
                </c:pt>
                <c:pt idx="1">
                  <c:v>42537</c:v>
                </c:pt>
                <c:pt idx="2">
                  <c:v>42530</c:v>
                </c:pt>
                <c:pt idx="3">
                  <c:v>42523</c:v>
                </c:pt>
                <c:pt idx="4">
                  <c:v>42516</c:v>
                </c:pt>
                <c:pt idx="5">
                  <c:v>42509</c:v>
                </c:pt>
                <c:pt idx="6">
                  <c:v>42502</c:v>
                </c:pt>
                <c:pt idx="7">
                  <c:v>42495</c:v>
                </c:pt>
                <c:pt idx="8">
                  <c:v>42488</c:v>
                </c:pt>
                <c:pt idx="9">
                  <c:v>42481</c:v>
                </c:pt>
                <c:pt idx="10">
                  <c:v>42474</c:v>
                </c:pt>
                <c:pt idx="11">
                  <c:v>42467</c:v>
                </c:pt>
                <c:pt idx="12">
                  <c:v>42460</c:v>
                </c:pt>
                <c:pt idx="13">
                  <c:v>42453</c:v>
                </c:pt>
                <c:pt idx="14">
                  <c:v>42446</c:v>
                </c:pt>
                <c:pt idx="15">
                  <c:v>42439</c:v>
                </c:pt>
                <c:pt idx="16">
                  <c:v>42432</c:v>
                </c:pt>
                <c:pt idx="17">
                  <c:v>42425</c:v>
                </c:pt>
                <c:pt idx="18">
                  <c:v>42418</c:v>
                </c:pt>
                <c:pt idx="19">
                  <c:v>42411</c:v>
                </c:pt>
                <c:pt idx="20">
                  <c:v>42404</c:v>
                </c:pt>
                <c:pt idx="21">
                  <c:v>42397</c:v>
                </c:pt>
                <c:pt idx="22">
                  <c:v>42390</c:v>
                </c:pt>
                <c:pt idx="23">
                  <c:v>42383</c:v>
                </c:pt>
                <c:pt idx="24">
                  <c:v>42376</c:v>
                </c:pt>
                <c:pt idx="25">
                  <c:v>42369</c:v>
                </c:pt>
                <c:pt idx="26">
                  <c:v>42362</c:v>
                </c:pt>
                <c:pt idx="27">
                  <c:v>42355</c:v>
                </c:pt>
                <c:pt idx="28">
                  <c:v>42348</c:v>
                </c:pt>
                <c:pt idx="29">
                  <c:v>42341</c:v>
                </c:pt>
                <c:pt idx="30">
                  <c:v>42333</c:v>
                </c:pt>
                <c:pt idx="31">
                  <c:v>42327</c:v>
                </c:pt>
                <c:pt idx="32">
                  <c:v>42320</c:v>
                </c:pt>
                <c:pt idx="33">
                  <c:v>42313</c:v>
                </c:pt>
                <c:pt idx="34">
                  <c:v>42306</c:v>
                </c:pt>
                <c:pt idx="35">
                  <c:v>42299</c:v>
                </c:pt>
                <c:pt idx="36">
                  <c:v>42292</c:v>
                </c:pt>
                <c:pt idx="37">
                  <c:v>42285</c:v>
                </c:pt>
                <c:pt idx="38">
                  <c:v>42278</c:v>
                </c:pt>
                <c:pt idx="39">
                  <c:v>42271</c:v>
                </c:pt>
                <c:pt idx="40">
                  <c:v>42264</c:v>
                </c:pt>
                <c:pt idx="41">
                  <c:v>42257</c:v>
                </c:pt>
                <c:pt idx="42">
                  <c:v>42250</c:v>
                </c:pt>
                <c:pt idx="43">
                  <c:v>42243</c:v>
                </c:pt>
                <c:pt idx="44">
                  <c:v>42236</c:v>
                </c:pt>
                <c:pt idx="45">
                  <c:v>42229</c:v>
                </c:pt>
                <c:pt idx="46">
                  <c:v>42222</c:v>
                </c:pt>
                <c:pt idx="47">
                  <c:v>42215</c:v>
                </c:pt>
                <c:pt idx="48">
                  <c:v>42208</c:v>
                </c:pt>
                <c:pt idx="49">
                  <c:v>42201</c:v>
                </c:pt>
                <c:pt idx="50">
                  <c:v>42194</c:v>
                </c:pt>
                <c:pt idx="51">
                  <c:v>42187</c:v>
                </c:pt>
                <c:pt idx="52">
                  <c:v>42180</c:v>
                </c:pt>
                <c:pt idx="53">
                  <c:v>42173</c:v>
                </c:pt>
                <c:pt idx="54">
                  <c:v>42166</c:v>
                </c:pt>
                <c:pt idx="55">
                  <c:v>42159</c:v>
                </c:pt>
                <c:pt idx="56">
                  <c:v>42152</c:v>
                </c:pt>
                <c:pt idx="57">
                  <c:v>42145</c:v>
                </c:pt>
                <c:pt idx="58">
                  <c:v>42138</c:v>
                </c:pt>
                <c:pt idx="59">
                  <c:v>42131</c:v>
                </c:pt>
                <c:pt idx="60">
                  <c:v>42124</c:v>
                </c:pt>
                <c:pt idx="61">
                  <c:v>42117</c:v>
                </c:pt>
                <c:pt idx="62">
                  <c:v>42110</c:v>
                </c:pt>
                <c:pt idx="63">
                  <c:v>42103</c:v>
                </c:pt>
                <c:pt idx="64">
                  <c:v>42096</c:v>
                </c:pt>
                <c:pt idx="65">
                  <c:v>42089</c:v>
                </c:pt>
                <c:pt idx="66">
                  <c:v>42082</c:v>
                </c:pt>
                <c:pt idx="67">
                  <c:v>42075</c:v>
                </c:pt>
                <c:pt idx="68">
                  <c:v>42068</c:v>
                </c:pt>
                <c:pt idx="69">
                  <c:v>42061</c:v>
                </c:pt>
                <c:pt idx="70">
                  <c:v>42054</c:v>
                </c:pt>
                <c:pt idx="71">
                  <c:v>42047</c:v>
                </c:pt>
                <c:pt idx="72">
                  <c:v>42040</c:v>
                </c:pt>
                <c:pt idx="73">
                  <c:v>42033</c:v>
                </c:pt>
                <c:pt idx="74">
                  <c:v>42026</c:v>
                </c:pt>
                <c:pt idx="75">
                  <c:v>42019</c:v>
                </c:pt>
                <c:pt idx="76">
                  <c:v>42012</c:v>
                </c:pt>
                <c:pt idx="77">
                  <c:v>42004</c:v>
                </c:pt>
                <c:pt idx="78">
                  <c:v>41997</c:v>
                </c:pt>
                <c:pt idx="79">
                  <c:v>41991</c:v>
                </c:pt>
                <c:pt idx="80">
                  <c:v>41984</c:v>
                </c:pt>
                <c:pt idx="81">
                  <c:v>41977</c:v>
                </c:pt>
                <c:pt idx="82">
                  <c:v>41969</c:v>
                </c:pt>
                <c:pt idx="83">
                  <c:v>41963</c:v>
                </c:pt>
                <c:pt idx="84">
                  <c:v>41956</c:v>
                </c:pt>
                <c:pt idx="85">
                  <c:v>41949</c:v>
                </c:pt>
                <c:pt idx="86">
                  <c:v>41942</c:v>
                </c:pt>
                <c:pt idx="87">
                  <c:v>41935</c:v>
                </c:pt>
                <c:pt idx="88">
                  <c:v>41928</c:v>
                </c:pt>
                <c:pt idx="89">
                  <c:v>41921</c:v>
                </c:pt>
                <c:pt idx="90">
                  <c:v>41914</c:v>
                </c:pt>
                <c:pt idx="91">
                  <c:v>41907</c:v>
                </c:pt>
                <c:pt idx="92">
                  <c:v>41900</c:v>
                </c:pt>
                <c:pt idx="93">
                  <c:v>41893</c:v>
                </c:pt>
                <c:pt idx="94">
                  <c:v>41886</c:v>
                </c:pt>
                <c:pt idx="95">
                  <c:v>41879</c:v>
                </c:pt>
                <c:pt idx="96">
                  <c:v>41872</c:v>
                </c:pt>
                <c:pt idx="97">
                  <c:v>41865</c:v>
                </c:pt>
                <c:pt idx="98">
                  <c:v>41858</c:v>
                </c:pt>
                <c:pt idx="99">
                  <c:v>41851</c:v>
                </c:pt>
                <c:pt idx="100">
                  <c:v>41844</c:v>
                </c:pt>
                <c:pt idx="101">
                  <c:v>41837</c:v>
                </c:pt>
                <c:pt idx="102">
                  <c:v>41830</c:v>
                </c:pt>
                <c:pt idx="103">
                  <c:v>41823</c:v>
                </c:pt>
                <c:pt idx="104">
                  <c:v>41816</c:v>
                </c:pt>
                <c:pt idx="105">
                  <c:v>41809</c:v>
                </c:pt>
                <c:pt idx="106">
                  <c:v>41802</c:v>
                </c:pt>
                <c:pt idx="107">
                  <c:v>41795</c:v>
                </c:pt>
                <c:pt idx="108">
                  <c:v>41788</c:v>
                </c:pt>
                <c:pt idx="109">
                  <c:v>41781</c:v>
                </c:pt>
                <c:pt idx="110">
                  <c:v>41774</c:v>
                </c:pt>
                <c:pt idx="111">
                  <c:v>41767</c:v>
                </c:pt>
                <c:pt idx="112">
                  <c:v>41760</c:v>
                </c:pt>
                <c:pt idx="113">
                  <c:v>41753</c:v>
                </c:pt>
                <c:pt idx="114">
                  <c:v>41746</c:v>
                </c:pt>
                <c:pt idx="115">
                  <c:v>41739</c:v>
                </c:pt>
                <c:pt idx="116">
                  <c:v>41732</c:v>
                </c:pt>
                <c:pt idx="117">
                  <c:v>41725</c:v>
                </c:pt>
                <c:pt idx="118">
                  <c:v>41718</c:v>
                </c:pt>
                <c:pt idx="119">
                  <c:v>41711</c:v>
                </c:pt>
                <c:pt idx="120">
                  <c:v>41704</c:v>
                </c:pt>
                <c:pt idx="121">
                  <c:v>41697</c:v>
                </c:pt>
                <c:pt idx="122">
                  <c:v>41690</c:v>
                </c:pt>
                <c:pt idx="123">
                  <c:v>41683</c:v>
                </c:pt>
                <c:pt idx="124">
                  <c:v>41676</c:v>
                </c:pt>
                <c:pt idx="125">
                  <c:v>41669</c:v>
                </c:pt>
                <c:pt idx="126">
                  <c:v>41662</c:v>
                </c:pt>
                <c:pt idx="127">
                  <c:v>41655</c:v>
                </c:pt>
                <c:pt idx="128">
                  <c:v>41648</c:v>
                </c:pt>
                <c:pt idx="129">
                  <c:v>41641</c:v>
                </c:pt>
                <c:pt idx="130">
                  <c:v>41634</c:v>
                </c:pt>
                <c:pt idx="131">
                  <c:v>41627</c:v>
                </c:pt>
                <c:pt idx="132">
                  <c:v>41620</c:v>
                </c:pt>
                <c:pt idx="133">
                  <c:v>41613</c:v>
                </c:pt>
                <c:pt idx="134">
                  <c:v>41605</c:v>
                </c:pt>
                <c:pt idx="135">
                  <c:v>41599</c:v>
                </c:pt>
                <c:pt idx="136">
                  <c:v>41592</c:v>
                </c:pt>
                <c:pt idx="137">
                  <c:v>41585</c:v>
                </c:pt>
                <c:pt idx="138">
                  <c:v>41578</c:v>
                </c:pt>
                <c:pt idx="139">
                  <c:v>41571</c:v>
                </c:pt>
                <c:pt idx="140">
                  <c:v>41564</c:v>
                </c:pt>
                <c:pt idx="141">
                  <c:v>41557</c:v>
                </c:pt>
                <c:pt idx="142">
                  <c:v>41550</c:v>
                </c:pt>
                <c:pt idx="143">
                  <c:v>41543</c:v>
                </c:pt>
                <c:pt idx="144">
                  <c:v>41536</c:v>
                </c:pt>
                <c:pt idx="145">
                  <c:v>41529</c:v>
                </c:pt>
                <c:pt idx="146">
                  <c:v>41522</c:v>
                </c:pt>
                <c:pt idx="147">
                  <c:v>41515</c:v>
                </c:pt>
                <c:pt idx="148">
                  <c:v>41508</c:v>
                </c:pt>
                <c:pt idx="149">
                  <c:v>41501</c:v>
                </c:pt>
                <c:pt idx="150">
                  <c:v>41494</c:v>
                </c:pt>
                <c:pt idx="151">
                  <c:v>41487</c:v>
                </c:pt>
                <c:pt idx="152">
                  <c:v>41480</c:v>
                </c:pt>
                <c:pt idx="153">
                  <c:v>41473</c:v>
                </c:pt>
                <c:pt idx="154">
                  <c:v>41466</c:v>
                </c:pt>
                <c:pt idx="155">
                  <c:v>41458</c:v>
                </c:pt>
                <c:pt idx="156">
                  <c:v>41452</c:v>
                </c:pt>
                <c:pt idx="157">
                  <c:v>41445</c:v>
                </c:pt>
                <c:pt idx="158">
                  <c:v>41438</c:v>
                </c:pt>
                <c:pt idx="159">
                  <c:v>41431</c:v>
                </c:pt>
                <c:pt idx="160">
                  <c:v>41424</c:v>
                </c:pt>
                <c:pt idx="161">
                  <c:v>41417</c:v>
                </c:pt>
                <c:pt idx="162">
                  <c:v>41410</c:v>
                </c:pt>
                <c:pt idx="163">
                  <c:v>41403</c:v>
                </c:pt>
                <c:pt idx="164">
                  <c:v>41396</c:v>
                </c:pt>
                <c:pt idx="165">
                  <c:v>41389</c:v>
                </c:pt>
                <c:pt idx="166">
                  <c:v>41382</c:v>
                </c:pt>
                <c:pt idx="167">
                  <c:v>41375</c:v>
                </c:pt>
                <c:pt idx="168">
                  <c:v>41368</c:v>
                </c:pt>
                <c:pt idx="169">
                  <c:v>41361</c:v>
                </c:pt>
                <c:pt idx="170">
                  <c:v>41354</c:v>
                </c:pt>
                <c:pt idx="171">
                  <c:v>41347</c:v>
                </c:pt>
                <c:pt idx="172">
                  <c:v>41340</c:v>
                </c:pt>
                <c:pt idx="173">
                  <c:v>41333</c:v>
                </c:pt>
                <c:pt idx="174">
                  <c:v>41326</c:v>
                </c:pt>
                <c:pt idx="175">
                  <c:v>41319</c:v>
                </c:pt>
                <c:pt idx="176">
                  <c:v>41312</c:v>
                </c:pt>
                <c:pt idx="177">
                  <c:v>41305</c:v>
                </c:pt>
                <c:pt idx="178">
                  <c:v>41298</c:v>
                </c:pt>
                <c:pt idx="179">
                  <c:v>41291</c:v>
                </c:pt>
                <c:pt idx="180">
                  <c:v>41284</c:v>
                </c:pt>
                <c:pt idx="181">
                  <c:v>41277</c:v>
                </c:pt>
                <c:pt idx="182">
                  <c:v>41270</c:v>
                </c:pt>
                <c:pt idx="183">
                  <c:v>41263</c:v>
                </c:pt>
                <c:pt idx="184">
                  <c:v>41256</c:v>
                </c:pt>
                <c:pt idx="185">
                  <c:v>41249</c:v>
                </c:pt>
                <c:pt idx="186">
                  <c:v>41242</c:v>
                </c:pt>
                <c:pt idx="187">
                  <c:v>41234</c:v>
                </c:pt>
                <c:pt idx="188">
                  <c:v>41228</c:v>
                </c:pt>
                <c:pt idx="189">
                  <c:v>41221</c:v>
                </c:pt>
                <c:pt idx="190">
                  <c:v>41214</c:v>
                </c:pt>
                <c:pt idx="191">
                  <c:v>41207</c:v>
                </c:pt>
                <c:pt idx="192">
                  <c:v>41200</c:v>
                </c:pt>
                <c:pt idx="193">
                  <c:v>41193</c:v>
                </c:pt>
                <c:pt idx="194">
                  <c:v>41186</c:v>
                </c:pt>
                <c:pt idx="195">
                  <c:v>41179</c:v>
                </c:pt>
                <c:pt idx="196">
                  <c:v>41172</c:v>
                </c:pt>
                <c:pt idx="197">
                  <c:v>41165</c:v>
                </c:pt>
                <c:pt idx="198">
                  <c:v>41158</c:v>
                </c:pt>
                <c:pt idx="199">
                  <c:v>41151</c:v>
                </c:pt>
                <c:pt idx="200">
                  <c:v>41144</c:v>
                </c:pt>
                <c:pt idx="201">
                  <c:v>41137</c:v>
                </c:pt>
                <c:pt idx="202">
                  <c:v>41130</c:v>
                </c:pt>
                <c:pt idx="203">
                  <c:v>41123</c:v>
                </c:pt>
                <c:pt idx="204">
                  <c:v>41116</c:v>
                </c:pt>
                <c:pt idx="205">
                  <c:v>41109</c:v>
                </c:pt>
                <c:pt idx="206">
                  <c:v>41102</c:v>
                </c:pt>
                <c:pt idx="207">
                  <c:v>41095</c:v>
                </c:pt>
                <c:pt idx="208">
                  <c:v>41088</c:v>
                </c:pt>
                <c:pt idx="209">
                  <c:v>41081</c:v>
                </c:pt>
                <c:pt idx="210">
                  <c:v>41074</c:v>
                </c:pt>
                <c:pt idx="211">
                  <c:v>41067</c:v>
                </c:pt>
                <c:pt idx="212">
                  <c:v>41060</c:v>
                </c:pt>
                <c:pt idx="213">
                  <c:v>41053</c:v>
                </c:pt>
                <c:pt idx="214">
                  <c:v>41046</c:v>
                </c:pt>
                <c:pt idx="215">
                  <c:v>41039</c:v>
                </c:pt>
                <c:pt idx="216">
                  <c:v>41032</c:v>
                </c:pt>
                <c:pt idx="217">
                  <c:v>41025</c:v>
                </c:pt>
                <c:pt idx="218">
                  <c:v>41018</c:v>
                </c:pt>
                <c:pt idx="219">
                  <c:v>41011</c:v>
                </c:pt>
                <c:pt idx="220">
                  <c:v>41004</c:v>
                </c:pt>
                <c:pt idx="221">
                  <c:v>40997</c:v>
                </c:pt>
                <c:pt idx="222">
                  <c:v>40990</c:v>
                </c:pt>
                <c:pt idx="223">
                  <c:v>40983</c:v>
                </c:pt>
                <c:pt idx="224">
                  <c:v>40976</c:v>
                </c:pt>
                <c:pt idx="225">
                  <c:v>40969</c:v>
                </c:pt>
                <c:pt idx="226">
                  <c:v>40962</c:v>
                </c:pt>
                <c:pt idx="227">
                  <c:v>40955</c:v>
                </c:pt>
                <c:pt idx="228">
                  <c:v>40948</c:v>
                </c:pt>
                <c:pt idx="229">
                  <c:v>40941</c:v>
                </c:pt>
                <c:pt idx="230">
                  <c:v>40934</c:v>
                </c:pt>
                <c:pt idx="231">
                  <c:v>40927</c:v>
                </c:pt>
                <c:pt idx="232">
                  <c:v>40920</c:v>
                </c:pt>
                <c:pt idx="233">
                  <c:v>40913</c:v>
                </c:pt>
                <c:pt idx="234">
                  <c:v>40906</c:v>
                </c:pt>
                <c:pt idx="235">
                  <c:v>40899</c:v>
                </c:pt>
                <c:pt idx="236">
                  <c:v>40892</c:v>
                </c:pt>
                <c:pt idx="237">
                  <c:v>40885</c:v>
                </c:pt>
                <c:pt idx="238">
                  <c:v>40878</c:v>
                </c:pt>
                <c:pt idx="239">
                  <c:v>40870</c:v>
                </c:pt>
                <c:pt idx="240">
                  <c:v>40864</c:v>
                </c:pt>
                <c:pt idx="241">
                  <c:v>40857</c:v>
                </c:pt>
                <c:pt idx="242">
                  <c:v>40850</c:v>
                </c:pt>
                <c:pt idx="243">
                  <c:v>40843</c:v>
                </c:pt>
                <c:pt idx="244">
                  <c:v>40836</c:v>
                </c:pt>
                <c:pt idx="245">
                  <c:v>40829</c:v>
                </c:pt>
                <c:pt idx="246">
                  <c:v>40822</c:v>
                </c:pt>
                <c:pt idx="247">
                  <c:v>40815</c:v>
                </c:pt>
                <c:pt idx="248">
                  <c:v>40808</c:v>
                </c:pt>
                <c:pt idx="249">
                  <c:v>40801</c:v>
                </c:pt>
                <c:pt idx="250">
                  <c:v>40794</c:v>
                </c:pt>
                <c:pt idx="251">
                  <c:v>40787</c:v>
                </c:pt>
                <c:pt idx="252">
                  <c:v>40780</c:v>
                </c:pt>
                <c:pt idx="253">
                  <c:v>40773</c:v>
                </c:pt>
                <c:pt idx="254">
                  <c:v>40766</c:v>
                </c:pt>
                <c:pt idx="255">
                  <c:v>40759</c:v>
                </c:pt>
                <c:pt idx="256">
                  <c:v>40752</c:v>
                </c:pt>
                <c:pt idx="257">
                  <c:v>40745</c:v>
                </c:pt>
                <c:pt idx="258">
                  <c:v>40738</c:v>
                </c:pt>
                <c:pt idx="259">
                  <c:v>40731</c:v>
                </c:pt>
                <c:pt idx="260">
                  <c:v>40724</c:v>
                </c:pt>
                <c:pt idx="261">
                  <c:v>40717</c:v>
                </c:pt>
                <c:pt idx="262">
                  <c:v>40710</c:v>
                </c:pt>
                <c:pt idx="263">
                  <c:v>40703</c:v>
                </c:pt>
                <c:pt idx="264">
                  <c:v>40696</c:v>
                </c:pt>
                <c:pt idx="265">
                  <c:v>40689</c:v>
                </c:pt>
                <c:pt idx="266">
                  <c:v>40682</c:v>
                </c:pt>
                <c:pt idx="267">
                  <c:v>40675</c:v>
                </c:pt>
                <c:pt idx="268">
                  <c:v>40668</c:v>
                </c:pt>
                <c:pt idx="269">
                  <c:v>40661</c:v>
                </c:pt>
                <c:pt idx="270">
                  <c:v>40654</c:v>
                </c:pt>
                <c:pt idx="271">
                  <c:v>40647</c:v>
                </c:pt>
                <c:pt idx="272">
                  <c:v>40640</c:v>
                </c:pt>
                <c:pt idx="273">
                  <c:v>40633</c:v>
                </c:pt>
                <c:pt idx="274">
                  <c:v>40626</c:v>
                </c:pt>
                <c:pt idx="275">
                  <c:v>40619</c:v>
                </c:pt>
                <c:pt idx="276">
                  <c:v>40612</c:v>
                </c:pt>
                <c:pt idx="277">
                  <c:v>40605</c:v>
                </c:pt>
                <c:pt idx="278">
                  <c:v>40598</c:v>
                </c:pt>
                <c:pt idx="279">
                  <c:v>40591</c:v>
                </c:pt>
                <c:pt idx="280">
                  <c:v>40584</c:v>
                </c:pt>
                <c:pt idx="281">
                  <c:v>40577</c:v>
                </c:pt>
                <c:pt idx="282">
                  <c:v>40570</c:v>
                </c:pt>
                <c:pt idx="283">
                  <c:v>40563</c:v>
                </c:pt>
                <c:pt idx="284">
                  <c:v>40556</c:v>
                </c:pt>
                <c:pt idx="285">
                  <c:v>40549</c:v>
                </c:pt>
                <c:pt idx="286">
                  <c:v>40542</c:v>
                </c:pt>
                <c:pt idx="287">
                  <c:v>40535</c:v>
                </c:pt>
                <c:pt idx="288">
                  <c:v>40528</c:v>
                </c:pt>
                <c:pt idx="289">
                  <c:v>40521</c:v>
                </c:pt>
                <c:pt idx="290">
                  <c:v>40514</c:v>
                </c:pt>
                <c:pt idx="291">
                  <c:v>40506</c:v>
                </c:pt>
                <c:pt idx="292">
                  <c:v>40500</c:v>
                </c:pt>
                <c:pt idx="293">
                  <c:v>40493</c:v>
                </c:pt>
                <c:pt idx="294">
                  <c:v>40486</c:v>
                </c:pt>
                <c:pt idx="295">
                  <c:v>40479</c:v>
                </c:pt>
                <c:pt idx="296">
                  <c:v>40472</c:v>
                </c:pt>
                <c:pt idx="297">
                  <c:v>40465</c:v>
                </c:pt>
                <c:pt idx="298">
                  <c:v>40458</c:v>
                </c:pt>
                <c:pt idx="299">
                  <c:v>40451</c:v>
                </c:pt>
                <c:pt idx="300">
                  <c:v>40444</c:v>
                </c:pt>
                <c:pt idx="301">
                  <c:v>40437</c:v>
                </c:pt>
                <c:pt idx="302">
                  <c:v>40430</c:v>
                </c:pt>
                <c:pt idx="303">
                  <c:v>40423</c:v>
                </c:pt>
                <c:pt idx="304">
                  <c:v>40416</c:v>
                </c:pt>
                <c:pt idx="305">
                  <c:v>40409</c:v>
                </c:pt>
                <c:pt idx="306">
                  <c:v>40402</c:v>
                </c:pt>
                <c:pt idx="307">
                  <c:v>40395</c:v>
                </c:pt>
                <c:pt idx="308">
                  <c:v>40388</c:v>
                </c:pt>
                <c:pt idx="309">
                  <c:v>40381</c:v>
                </c:pt>
                <c:pt idx="310">
                  <c:v>40374</c:v>
                </c:pt>
                <c:pt idx="311">
                  <c:v>40367</c:v>
                </c:pt>
                <c:pt idx="312">
                  <c:v>40360</c:v>
                </c:pt>
                <c:pt idx="313">
                  <c:v>40353</c:v>
                </c:pt>
                <c:pt idx="314">
                  <c:v>40346</c:v>
                </c:pt>
                <c:pt idx="315">
                  <c:v>40339</c:v>
                </c:pt>
                <c:pt idx="316">
                  <c:v>40332</c:v>
                </c:pt>
                <c:pt idx="317">
                  <c:v>40325</c:v>
                </c:pt>
                <c:pt idx="318">
                  <c:v>40318</c:v>
                </c:pt>
                <c:pt idx="319">
                  <c:v>40311</c:v>
                </c:pt>
                <c:pt idx="320">
                  <c:v>40304</c:v>
                </c:pt>
                <c:pt idx="321">
                  <c:v>40297</c:v>
                </c:pt>
                <c:pt idx="322">
                  <c:v>40290</c:v>
                </c:pt>
                <c:pt idx="323">
                  <c:v>40283</c:v>
                </c:pt>
                <c:pt idx="324">
                  <c:v>40276</c:v>
                </c:pt>
                <c:pt idx="325">
                  <c:v>40269</c:v>
                </c:pt>
                <c:pt idx="326">
                  <c:v>40262</c:v>
                </c:pt>
                <c:pt idx="327">
                  <c:v>40255</c:v>
                </c:pt>
                <c:pt idx="328">
                  <c:v>40248</c:v>
                </c:pt>
                <c:pt idx="329">
                  <c:v>40241</c:v>
                </c:pt>
                <c:pt idx="330">
                  <c:v>40234</c:v>
                </c:pt>
                <c:pt idx="331">
                  <c:v>40227</c:v>
                </c:pt>
                <c:pt idx="332">
                  <c:v>40220</c:v>
                </c:pt>
                <c:pt idx="333">
                  <c:v>40213</c:v>
                </c:pt>
                <c:pt idx="334">
                  <c:v>40206</c:v>
                </c:pt>
                <c:pt idx="335">
                  <c:v>40199</c:v>
                </c:pt>
                <c:pt idx="336">
                  <c:v>40192</c:v>
                </c:pt>
                <c:pt idx="337">
                  <c:v>40185</c:v>
                </c:pt>
                <c:pt idx="338">
                  <c:v>40178</c:v>
                </c:pt>
                <c:pt idx="339">
                  <c:v>40171</c:v>
                </c:pt>
                <c:pt idx="340">
                  <c:v>40164</c:v>
                </c:pt>
                <c:pt idx="341">
                  <c:v>40157</c:v>
                </c:pt>
                <c:pt idx="342">
                  <c:v>40150</c:v>
                </c:pt>
                <c:pt idx="343">
                  <c:v>40142</c:v>
                </c:pt>
                <c:pt idx="344">
                  <c:v>40136</c:v>
                </c:pt>
                <c:pt idx="345">
                  <c:v>40129</c:v>
                </c:pt>
                <c:pt idx="346">
                  <c:v>40122</c:v>
                </c:pt>
                <c:pt idx="347">
                  <c:v>40115</c:v>
                </c:pt>
                <c:pt idx="348">
                  <c:v>40108</c:v>
                </c:pt>
                <c:pt idx="349">
                  <c:v>40101</c:v>
                </c:pt>
                <c:pt idx="350">
                  <c:v>40094</c:v>
                </c:pt>
                <c:pt idx="351">
                  <c:v>40087</c:v>
                </c:pt>
                <c:pt idx="352">
                  <c:v>40080</c:v>
                </c:pt>
                <c:pt idx="353">
                  <c:v>40073</c:v>
                </c:pt>
                <c:pt idx="354">
                  <c:v>40066</c:v>
                </c:pt>
                <c:pt idx="355">
                  <c:v>40059</c:v>
                </c:pt>
                <c:pt idx="356">
                  <c:v>40052</c:v>
                </c:pt>
                <c:pt idx="357">
                  <c:v>40045</c:v>
                </c:pt>
                <c:pt idx="358">
                  <c:v>40038</c:v>
                </c:pt>
                <c:pt idx="359">
                  <c:v>40031</c:v>
                </c:pt>
                <c:pt idx="360">
                  <c:v>40024</c:v>
                </c:pt>
                <c:pt idx="361">
                  <c:v>40017</c:v>
                </c:pt>
                <c:pt idx="362">
                  <c:v>40010</c:v>
                </c:pt>
                <c:pt idx="363">
                  <c:v>40003</c:v>
                </c:pt>
                <c:pt idx="364">
                  <c:v>39996</c:v>
                </c:pt>
                <c:pt idx="365">
                  <c:v>39989</c:v>
                </c:pt>
                <c:pt idx="366">
                  <c:v>39982</c:v>
                </c:pt>
                <c:pt idx="367">
                  <c:v>39975</c:v>
                </c:pt>
                <c:pt idx="368">
                  <c:v>39968</c:v>
                </c:pt>
                <c:pt idx="369">
                  <c:v>39961</c:v>
                </c:pt>
                <c:pt idx="370">
                  <c:v>39954</c:v>
                </c:pt>
                <c:pt idx="371">
                  <c:v>39947</c:v>
                </c:pt>
                <c:pt idx="372">
                  <c:v>39940</c:v>
                </c:pt>
                <c:pt idx="373">
                  <c:v>39933</c:v>
                </c:pt>
                <c:pt idx="374">
                  <c:v>39926</c:v>
                </c:pt>
                <c:pt idx="375">
                  <c:v>39919</c:v>
                </c:pt>
                <c:pt idx="376">
                  <c:v>39912</c:v>
                </c:pt>
                <c:pt idx="377">
                  <c:v>39905</c:v>
                </c:pt>
                <c:pt idx="378">
                  <c:v>39898</c:v>
                </c:pt>
                <c:pt idx="379">
                  <c:v>39891</c:v>
                </c:pt>
                <c:pt idx="380">
                  <c:v>39884</c:v>
                </c:pt>
                <c:pt idx="381">
                  <c:v>39877</c:v>
                </c:pt>
                <c:pt idx="382">
                  <c:v>39870</c:v>
                </c:pt>
                <c:pt idx="383">
                  <c:v>39863</c:v>
                </c:pt>
                <c:pt idx="384">
                  <c:v>39856</c:v>
                </c:pt>
                <c:pt idx="385">
                  <c:v>39849</c:v>
                </c:pt>
                <c:pt idx="386">
                  <c:v>39842</c:v>
                </c:pt>
                <c:pt idx="387">
                  <c:v>39835</c:v>
                </c:pt>
                <c:pt idx="388">
                  <c:v>39828</c:v>
                </c:pt>
                <c:pt idx="389">
                  <c:v>39821</c:v>
                </c:pt>
                <c:pt idx="390">
                  <c:v>39813</c:v>
                </c:pt>
                <c:pt idx="391">
                  <c:v>39806</c:v>
                </c:pt>
                <c:pt idx="392">
                  <c:v>39800</c:v>
                </c:pt>
                <c:pt idx="393">
                  <c:v>39793</c:v>
                </c:pt>
                <c:pt idx="394">
                  <c:v>39786</c:v>
                </c:pt>
                <c:pt idx="395">
                  <c:v>39778</c:v>
                </c:pt>
                <c:pt idx="396">
                  <c:v>39772</c:v>
                </c:pt>
                <c:pt idx="397">
                  <c:v>39765</c:v>
                </c:pt>
                <c:pt idx="398">
                  <c:v>39758</c:v>
                </c:pt>
                <c:pt idx="399">
                  <c:v>39751</c:v>
                </c:pt>
                <c:pt idx="400">
                  <c:v>39744</c:v>
                </c:pt>
                <c:pt idx="401">
                  <c:v>39737</c:v>
                </c:pt>
                <c:pt idx="402">
                  <c:v>39730</c:v>
                </c:pt>
                <c:pt idx="403">
                  <c:v>39723</c:v>
                </c:pt>
                <c:pt idx="404">
                  <c:v>39716</c:v>
                </c:pt>
                <c:pt idx="405">
                  <c:v>39709</c:v>
                </c:pt>
                <c:pt idx="406">
                  <c:v>39702</c:v>
                </c:pt>
                <c:pt idx="407">
                  <c:v>39695</c:v>
                </c:pt>
                <c:pt idx="408">
                  <c:v>39688</c:v>
                </c:pt>
                <c:pt idx="409">
                  <c:v>39681</c:v>
                </c:pt>
                <c:pt idx="410">
                  <c:v>39674</c:v>
                </c:pt>
                <c:pt idx="411">
                  <c:v>39667</c:v>
                </c:pt>
                <c:pt idx="412">
                  <c:v>39660</c:v>
                </c:pt>
                <c:pt idx="413">
                  <c:v>39653</c:v>
                </c:pt>
                <c:pt idx="414">
                  <c:v>39646</c:v>
                </c:pt>
                <c:pt idx="415">
                  <c:v>39639</c:v>
                </c:pt>
                <c:pt idx="416">
                  <c:v>39632</c:v>
                </c:pt>
                <c:pt idx="417">
                  <c:v>39625</c:v>
                </c:pt>
                <c:pt idx="418">
                  <c:v>39618</c:v>
                </c:pt>
                <c:pt idx="419">
                  <c:v>39611</c:v>
                </c:pt>
                <c:pt idx="420">
                  <c:v>39604</c:v>
                </c:pt>
                <c:pt idx="421">
                  <c:v>39597</c:v>
                </c:pt>
                <c:pt idx="422">
                  <c:v>39590</c:v>
                </c:pt>
                <c:pt idx="423">
                  <c:v>39583</c:v>
                </c:pt>
                <c:pt idx="424">
                  <c:v>39576</c:v>
                </c:pt>
                <c:pt idx="425">
                  <c:v>39569</c:v>
                </c:pt>
                <c:pt idx="426">
                  <c:v>39562</c:v>
                </c:pt>
                <c:pt idx="427">
                  <c:v>39555</c:v>
                </c:pt>
                <c:pt idx="428">
                  <c:v>39548</c:v>
                </c:pt>
                <c:pt idx="429">
                  <c:v>39541</c:v>
                </c:pt>
                <c:pt idx="430">
                  <c:v>39534</c:v>
                </c:pt>
                <c:pt idx="431">
                  <c:v>39527</c:v>
                </c:pt>
                <c:pt idx="432">
                  <c:v>39520</c:v>
                </c:pt>
                <c:pt idx="433">
                  <c:v>39513</c:v>
                </c:pt>
                <c:pt idx="434">
                  <c:v>39506</c:v>
                </c:pt>
                <c:pt idx="435">
                  <c:v>39499</c:v>
                </c:pt>
                <c:pt idx="436">
                  <c:v>39492</c:v>
                </c:pt>
                <c:pt idx="437">
                  <c:v>39485</c:v>
                </c:pt>
                <c:pt idx="438">
                  <c:v>39478</c:v>
                </c:pt>
                <c:pt idx="439">
                  <c:v>39471</c:v>
                </c:pt>
                <c:pt idx="440">
                  <c:v>39464</c:v>
                </c:pt>
                <c:pt idx="441">
                  <c:v>39457</c:v>
                </c:pt>
                <c:pt idx="442">
                  <c:v>39450</c:v>
                </c:pt>
              </c:numCache>
            </c:numRef>
          </c:cat>
          <c:val>
            <c:numRef>
              <c:f>Query!$F$3:$F$445</c:f>
              <c:numCache>
                <c:formatCode>0.00</c:formatCode>
                <c:ptCount val="443"/>
                <c:pt idx="0">
                  <c:v>#N/A</c:v>
                </c:pt>
                <c:pt idx="1">
                  <c:v>2081.1999999999998</c:v>
                </c:pt>
                <c:pt idx="2">
                  <c:v>1967.5</c:v>
                </c:pt>
                <c:pt idx="3">
                  <c:v>1922.8</c:v>
                </c:pt>
                <c:pt idx="4">
                  <c:v>1770.1</c:v>
                </c:pt>
                <c:pt idx="5">
                  <c:v>1866.3</c:v>
                </c:pt>
                <c:pt idx="6">
                  <c:v>1849.7</c:v>
                </c:pt>
                <c:pt idx="7">
                  <c:v>1812</c:v>
                </c:pt>
                <c:pt idx="8">
                  <c:v>1791.9</c:v>
                </c:pt>
                <c:pt idx="9">
                  <c:v>1910.1</c:v>
                </c:pt>
                <c:pt idx="10">
                  <c:v>2072.6</c:v>
                </c:pt>
                <c:pt idx="11">
                  <c:v>2061.1</c:v>
                </c:pt>
                <c:pt idx="12">
                  <c:v>1815.4</c:v>
                </c:pt>
                <c:pt idx="13">
                  <c:v>1671.6</c:v>
                </c:pt>
                <c:pt idx="14">
                  <c:v>1743.3</c:v>
                </c:pt>
                <c:pt idx="15">
                  <c:v>1841.2</c:v>
                </c:pt>
                <c:pt idx="16">
                  <c:v>1928</c:v>
                </c:pt>
                <c:pt idx="17">
                  <c:v>1992.9</c:v>
                </c:pt>
                <c:pt idx="18">
                  <c:v>2099.9</c:v>
                </c:pt>
                <c:pt idx="19">
                  <c:v>2341.5</c:v>
                </c:pt>
                <c:pt idx="20">
                  <c:v>2015.4</c:v>
                </c:pt>
                <c:pt idx="21">
                  <c:v>1726.6</c:v>
                </c:pt>
                <c:pt idx="22">
                  <c:v>1734.4</c:v>
                </c:pt>
                <c:pt idx="23">
                  <c:v>1544.6</c:v>
                </c:pt>
                <c:pt idx="24">
                  <c:v>1273.8</c:v>
                </c:pt>
                <c:pt idx="25">
                  <c:v>1020.5</c:v>
                </c:pt>
                <c:pt idx="26">
                  <c:v>1174.0999999999999</c:v>
                </c:pt>
                <c:pt idx="27">
                  <c:v>1667.4</c:v>
                </c:pt>
                <c:pt idx="28">
                  <c:v>1470.6</c:v>
                </c:pt>
                <c:pt idx="29">
                  <c:v>1451.5</c:v>
                </c:pt>
                <c:pt idx="30">
                  <c:v>1410.2</c:v>
                </c:pt>
                <c:pt idx="31">
                  <c:v>1489</c:v>
                </c:pt>
                <c:pt idx="32">
                  <c:v>1528.7</c:v>
                </c:pt>
                <c:pt idx="33">
                  <c:v>1514.1</c:v>
                </c:pt>
                <c:pt idx="34">
                  <c:v>1548.6</c:v>
                </c:pt>
                <c:pt idx="35">
                  <c:v>1544.8</c:v>
                </c:pt>
                <c:pt idx="36">
                  <c:v>1575.3</c:v>
                </c:pt>
                <c:pt idx="37">
                  <c:v>1534.5</c:v>
                </c:pt>
                <c:pt idx="38">
                  <c:v>2071.6</c:v>
                </c:pt>
                <c:pt idx="39">
                  <c:v>1589.5</c:v>
                </c:pt>
                <c:pt idx="40">
                  <c:v>1759.9</c:v>
                </c:pt>
                <c:pt idx="41">
                  <c:v>1473.7</c:v>
                </c:pt>
                <c:pt idx="42">
                  <c:v>1626.9</c:v>
                </c:pt>
                <c:pt idx="43">
                  <c:v>1857.7</c:v>
                </c:pt>
                <c:pt idx="44">
                  <c:v>1545.5</c:v>
                </c:pt>
                <c:pt idx="45">
                  <c:v>1561.2</c:v>
                </c:pt>
                <c:pt idx="46">
                  <c:v>1455.2</c:v>
                </c:pt>
                <c:pt idx="47">
                  <c:v>1418</c:v>
                </c:pt>
                <c:pt idx="48">
                  <c:v>1339.9</c:v>
                </c:pt>
                <c:pt idx="49">
                  <c:v>1305.5999999999999</c:v>
                </c:pt>
                <c:pt idx="50">
                  <c:v>1332.4</c:v>
                </c:pt>
                <c:pt idx="51">
                  <c:v>1299.9000000000001</c:v>
                </c:pt>
                <c:pt idx="52">
                  <c:v>1246.0999999999999</c:v>
                </c:pt>
                <c:pt idx="53">
                  <c:v>1318.3</c:v>
                </c:pt>
                <c:pt idx="54">
                  <c:v>1273.4000000000001</c:v>
                </c:pt>
                <c:pt idx="55">
                  <c:v>1342.4</c:v>
                </c:pt>
                <c:pt idx="56">
                  <c:v>1233.9000000000001</c:v>
                </c:pt>
                <c:pt idx="57">
                  <c:v>1408.1</c:v>
                </c:pt>
                <c:pt idx="58">
                  <c:v>1448.8</c:v>
                </c:pt>
                <c:pt idx="59">
                  <c:v>1477.8</c:v>
                </c:pt>
                <c:pt idx="60">
                  <c:v>1559.4</c:v>
                </c:pt>
                <c:pt idx="61">
                  <c:v>1723</c:v>
                </c:pt>
                <c:pt idx="62">
                  <c:v>1817</c:v>
                </c:pt>
                <c:pt idx="63">
                  <c:v>1804.6</c:v>
                </c:pt>
                <c:pt idx="64">
                  <c:v>1854.7</c:v>
                </c:pt>
                <c:pt idx="65">
                  <c:v>1941.6</c:v>
                </c:pt>
                <c:pt idx="66">
                  <c:v>1860.8</c:v>
                </c:pt>
                <c:pt idx="67">
                  <c:v>1623.6</c:v>
                </c:pt>
                <c:pt idx="68">
                  <c:v>1685.7</c:v>
                </c:pt>
                <c:pt idx="69">
                  <c:v>1740.3</c:v>
                </c:pt>
                <c:pt idx="70">
                  <c:v>1703.1</c:v>
                </c:pt>
                <c:pt idx="71">
                  <c:v>1904.2</c:v>
                </c:pt>
                <c:pt idx="72">
                  <c:v>2291.3000000000002</c:v>
                </c:pt>
                <c:pt idx="73">
                  <c:v>2584.8000000000002</c:v>
                </c:pt>
                <c:pt idx="74">
                  <c:v>2572.3000000000002</c:v>
                </c:pt>
                <c:pt idx="75">
                  <c:v>2799.3</c:v>
                </c:pt>
                <c:pt idx="76">
                  <c:v>2271.5</c:v>
                </c:pt>
                <c:pt idx="77">
                  <c:v>1347.6</c:v>
                </c:pt>
                <c:pt idx="78">
                  <c:v>1164.2</c:v>
                </c:pt>
                <c:pt idx="79">
                  <c:v>1538.7</c:v>
                </c:pt>
                <c:pt idx="80">
                  <c:v>1518.8</c:v>
                </c:pt>
                <c:pt idx="81">
                  <c:v>1548.6</c:v>
                </c:pt>
                <c:pt idx="82">
                  <c:v>#N/A</c:v>
                </c:pt>
                <c:pt idx="83">
                  <c:v>1547.9</c:v>
                </c:pt>
                <c:pt idx="84">
                  <c:v>1563.2</c:v>
                </c:pt>
                <c:pt idx="85">
                  <c:v>1565.3</c:v>
                </c:pt>
                <c:pt idx="86">
                  <c:v>1604.8</c:v>
                </c:pt>
                <c:pt idx="87">
                  <c:v>1713.6</c:v>
                </c:pt>
                <c:pt idx="88">
                  <c:v>1898.2</c:v>
                </c:pt>
                <c:pt idx="89">
                  <c:v>1560.6</c:v>
                </c:pt>
                <c:pt idx="90">
                  <c:v>1387.1</c:v>
                </c:pt>
                <c:pt idx="91">
                  <c:v>1326.2</c:v>
                </c:pt>
                <c:pt idx="92">
                  <c:v>1335.1</c:v>
                </c:pt>
                <c:pt idx="93">
                  <c:v>1398.4</c:v>
                </c:pt>
                <c:pt idx="94">
                  <c:v>1275.8</c:v>
                </c:pt>
                <c:pt idx="95">
                  <c:v>1436</c:v>
                </c:pt>
                <c:pt idx="96">
                  <c:v>1439.4</c:v>
                </c:pt>
                <c:pt idx="97">
                  <c:v>1404.9</c:v>
                </c:pt>
                <c:pt idx="98">
                  <c:v>1342.6</c:v>
                </c:pt>
                <c:pt idx="99">
                  <c:v>1373.9</c:v>
                </c:pt>
                <c:pt idx="100">
                  <c:v>1327.5</c:v>
                </c:pt>
                <c:pt idx="101">
                  <c:v>1400.7</c:v>
                </c:pt>
                <c:pt idx="102">
                  <c:v>1329.7</c:v>
                </c:pt>
                <c:pt idx="103">
                  <c:v>1346.8</c:v>
                </c:pt>
                <c:pt idx="104">
                  <c:v>1341.8</c:v>
                </c:pt>
                <c:pt idx="105">
                  <c:v>1333.5</c:v>
                </c:pt>
                <c:pt idx="106">
                  <c:v>1321.3</c:v>
                </c:pt>
                <c:pt idx="107">
                  <c:v>1516.9</c:v>
                </c:pt>
                <c:pt idx="108">
                  <c:v>1382.6</c:v>
                </c:pt>
                <c:pt idx="109">
                  <c:v>1453.4</c:v>
                </c:pt>
                <c:pt idx="110">
                  <c:v>1460.6</c:v>
                </c:pt>
                <c:pt idx="111">
                  <c:v>1400.9</c:v>
                </c:pt>
                <c:pt idx="112">
                  <c:v>1323.9</c:v>
                </c:pt>
                <c:pt idx="113">
                  <c:v>1298.0999999999999</c:v>
                </c:pt>
                <c:pt idx="114">
                  <c:v>1370.9</c:v>
                </c:pt>
                <c:pt idx="115">
                  <c:v>1429.9</c:v>
                </c:pt>
                <c:pt idx="116">
                  <c:v>1324.7</c:v>
                </c:pt>
                <c:pt idx="117">
                  <c:v>1383.5</c:v>
                </c:pt>
                <c:pt idx="118">
                  <c:v>1426.3</c:v>
                </c:pt>
                <c:pt idx="119">
                  <c:v>1552.1</c:v>
                </c:pt>
                <c:pt idx="120">
                  <c:v>1528</c:v>
                </c:pt>
                <c:pt idx="121">
                  <c:v>1600.6</c:v>
                </c:pt>
                <c:pt idx="122">
                  <c:v>1442.3</c:v>
                </c:pt>
                <c:pt idx="123">
                  <c:v>1650.6</c:v>
                </c:pt>
                <c:pt idx="124">
                  <c:v>1674.2</c:v>
                </c:pt>
                <c:pt idx="125">
                  <c:v>1667.5</c:v>
                </c:pt>
                <c:pt idx="126">
                  <c:v>1601.2</c:v>
                </c:pt>
                <c:pt idx="127">
                  <c:v>1675.8</c:v>
                </c:pt>
                <c:pt idx="128">
                  <c:v>1507</c:v>
                </c:pt>
                <c:pt idx="129">
                  <c:v>1352.7</c:v>
                </c:pt>
                <c:pt idx="130">
                  <c:v>1277.8</c:v>
                </c:pt>
                <c:pt idx="131">
                  <c:v>1426.7</c:v>
                </c:pt>
                <c:pt idx="132">
                  <c:v>1529.8</c:v>
                </c:pt>
                <c:pt idx="133">
                  <c:v>1599.4</c:v>
                </c:pt>
                <c:pt idx="134">
                  <c:v>#N/A</c:v>
                </c:pt>
                <c:pt idx="135">
                  <c:v>1917.2</c:v>
                </c:pt>
                <c:pt idx="136">
                  <c:v>1903.5</c:v>
                </c:pt>
                <c:pt idx="137">
                  <c:v>2056.9</c:v>
                </c:pt>
                <c:pt idx="138">
                  <c:v>2105.6</c:v>
                </c:pt>
                <c:pt idx="139">
                  <c:v>2211.8000000000002</c:v>
                </c:pt>
                <c:pt idx="140">
                  <c:v>2033.7</c:v>
                </c:pt>
                <c:pt idx="141">
                  <c:v>2102.6999999999998</c:v>
                </c:pt>
                <c:pt idx="142">
                  <c:v>2025.3</c:v>
                </c:pt>
                <c:pt idx="143">
                  <c:v>1956.6</c:v>
                </c:pt>
                <c:pt idx="144">
                  <c:v>1922.9</c:v>
                </c:pt>
                <c:pt idx="145">
                  <c:v>1814</c:v>
                </c:pt>
                <c:pt idx="146">
                  <c:v>1512.9</c:v>
                </c:pt>
                <c:pt idx="147">
                  <c:v>1909</c:v>
                </c:pt>
                <c:pt idx="148">
                  <c:v>1842.6</c:v>
                </c:pt>
                <c:pt idx="149">
                  <c:v>1935.1</c:v>
                </c:pt>
                <c:pt idx="150">
                  <c:v>2110.6</c:v>
                </c:pt>
                <c:pt idx="151">
                  <c:v>2228.9</c:v>
                </c:pt>
                <c:pt idx="152">
                  <c:v>2218.3000000000002</c:v>
                </c:pt>
                <c:pt idx="153">
                  <c:v>2288</c:v>
                </c:pt>
                <c:pt idx="154">
                  <c:v>2242.1999999999998</c:v>
                </c:pt>
                <c:pt idx="155">
                  <c:v>#N/A</c:v>
                </c:pt>
                <c:pt idx="156">
                  <c:v>2573.4</c:v>
                </c:pt>
                <c:pt idx="157">
                  <c:v>3040.1</c:v>
                </c:pt>
                <c:pt idx="158">
                  <c:v>3214.4</c:v>
                </c:pt>
                <c:pt idx="159">
                  <c:v>3339.8</c:v>
                </c:pt>
                <c:pt idx="160">
                  <c:v>3163.6</c:v>
                </c:pt>
                <c:pt idx="161">
                  <c:v>3709.4</c:v>
                </c:pt>
                <c:pt idx="162">
                  <c:v>4241.5</c:v>
                </c:pt>
                <c:pt idx="163">
                  <c:v>4797.2</c:v>
                </c:pt>
                <c:pt idx="164">
                  <c:v>5279.9</c:v>
                </c:pt>
                <c:pt idx="165">
                  <c:v>4854.1000000000004</c:v>
                </c:pt>
                <c:pt idx="166">
                  <c:v>4672.1000000000004</c:v>
                </c:pt>
                <c:pt idx="167">
                  <c:v>4726.8999999999996</c:v>
                </c:pt>
                <c:pt idx="168">
                  <c:v>4528.8999999999996</c:v>
                </c:pt>
                <c:pt idx="169">
                  <c:v>4119.2</c:v>
                </c:pt>
                <c:pt idx="170">
                  <c:v>4412.8999999999996</c:v>
                </c:pt>
                <c:pt idx="171">
                  <c:v>4111.3</c:v>
                </c:pt>
                <c:pt idx="172">
                  <c:v>4485.2</c:v>
                </c:pt>
                <c:pt idx="173">
                  <c:v>4724.8999999999996</c:v>
                </c:pt>
                <c:pt idx="174">
                  <c:v>4136.3</c:v>
                </c:pt>
                <c:pt idx="175">
                  <c:v>4261.8</c:v>
                </c:pt>
                <c:pt idx="176">
                  <c:v>4284.3</c:v>
                </c:pt>
                <c:pt idx="177">
                  <c:v>4579</c:v>
                </c:pt>
                <c:pt idx="178">
                  <c:v>4433.6000000000004</c:v>
                </c:pt>
                <c:pt idx="179">
                  <c:v>4937.3999999999996</c:v>
                </c:pt>
                <c:pt idx="180">
                  <c:v>4554.3999999999996</c:v>
                </c:pt>
                <c:pt idx="181">
                  <c:v>3896.4</c:v>
                </c:pt>
                <c:pt idx="182">
                  <c:v>3488.9</c:v>
                </c:pt>
                <c:pt idx="183">
                  <c:v>3983.2</c:v>
                </c:pt>
                <c:pt idx="184">
                  <c:v>4564.3999999999996</c:v>
                </c:pt>
                <c:pt idx="185">
                  <c:v>5368.1</c:v>
                </c:pt>
                <c:pt idx="186">
                  <c:v>4943</c:v>
                </c:pt>
                <c:pt idx="187">
                  <c:v>#N/A</c:v>
                </c:pt>
                <c:pt idx="188">
                  <c:v>4702.3999999999996</c:v>
                </c:pt>
                <c:pt idx="189">
                  <c:v>4856.1000000000004</c:v>
                </c:pt>
                <c:pt idx="190">
                  <c:v>4297.7</c:v>
                </c:pt>
                <c:pt idx="191">
                  <c:v>4550.7</c:v>
                </c:pt>
                <c:pt idx="192">
                  <c:v>4847.2</c:v>
                </c:pt>
                <c:pt idx="193">
                  <c:v>5572.2</c:v>
                </c:pt>
                <c:pt idx="194">
                  <c:v>5892.5</c:v>
                </c:pt>
                <c:pt idx="195">
                  <c:v>5965.5</c:v>
                </c:pt>
                <c:pt idx="196">
                  <c:v>4979</c:v>
                </c:pt>
                <c:pt idx="197">
                  <c:v>4823.3</c:v>
                </c:pt>
                <c:pt idx="198">
                  <c:v>4779.1000000000004</c:v>
                </c:pt>
                <c:pt idx="199">
                  <c:v>4274.8</c:v>
                </c:pt>
                <c:pt idx="200">
                  <c:v>4414.6000000000004</c:v>
                </c:pt>
                <c:pt idx="201">
                  <c:v>4671.1000000000004</c:v>
                </c:pt>
                <c:pt idx="202">
                  <c:v>5172.2</c:v>
                </c:pt>
                <c:pt idx="203">
                  <c:v>5444.3</c:v>
                </c:pt>
                <c:pt idx="204">
                  <c:v>5492.1</c:v>
                </c:pt>
                <c:pt idx="205">
                  <c:v>5383.1</c:v>
                </c:pt>
                <c:pt idx="206">
                  <c:v>5246.8</c:v>
                </c:pt>
                <c:pt idx="207">
                  <c:v>4267.8999999999996</c:v>
                </c:pt>
                <c:pt idx="208">
                  <c:v>4372.2</c:v>
                </c:pt>
                <c:pt idx="209">
                  <c:v>4585.8</c:v>
                </c:pt>
                <c:pt idx="210">
                  <c:v>4719.6000000000004</c:v>
                </c:pt>
                <c:pt idx="211">
                  <c:v>5590</c:v>
                </c:pt>
                <c:pt idx="212">
                  <c:v>4736</c:v>
                </c:pt>
                <c:pt idx="213">
                  <c:v>4675.8999999999996</c:v>
                </c:pt>
                <c:pt idx="214">
                  <c:v>4732</c:v>
                </c:pt>
                <c:pt idx="215">
                  <c:v>4482</c:v>
                </c:pt>
                <c:pt idx="216">
                  <c:v>3924.4</c:v>
                </c:pt>
                <c:pt idx="217">
                  <c:v>3856</c:v>
                </c:pt>
                <c:pt idx="218">
                  <c:v>3892.2</c:v>
                </c:pt>
                <c:pt idx="219">
                  <c:v>4144.3</c:v>
                </c:pt>
                <c:pt idx="220">
                  <c:v>3549.3</c:v>
                </c:pt>
                <c:pt idx="221">
                  <c:v>3699.5</c:v>
                </c:pt>
                <c:pt idx="222">
                  <c:v>3588.4</c:v>
                </c:pt>
                <c:pt idx="223">
                  <c:v>3715.2</c:v>
                </c:pt>
                <c:pt idx="224">
                  <c:v>4063.4</c:v>
                </c:pt>
                <c:pt idx="225">
                  <c:v>4277.6000000000004</c:v>
                </c:pt>
                <c:pt idx="226">
                  <c:v>4379.1000000000004</c:v>
                </c:pt>
                <c:pt idx="227">
                  <c:v>4466.8999999999996</c:v>
                </c:pt>
                <c:pt idx="228">
                  <c:v>4716.1000000000004</c:v>
                </c:pt>
                <c:pt idx="229">
                  <c:v>4617.1000000000004</c:v>
                </c:pt>
                <c:pt idx="230">
                  <c:v>4184.3</c:v>
                </c:pt>
                <c:pt idx="231">
                  <c:v>4326.3999999999996</c:v>
                </c:pt>
                <c:pt idx="232">
                  <c:v>4626.5</c:v>
                </c:pt>
                <c:pt idx="233">
                  <c:v>3668.3</c:v>
                </c:pt>
                <c:pt idx="234">
                  <c:v>3608.1</c:v>
                </c:pt>
                <c:pt idx="235">
                  <c:v>3684.5</c:v>
                </c:pt>
                <c:pt idx="236">
                  <c:v>3676.1</c:v>
                </c:pt>
                <c:pt idx="237">
                  <c:v>3708.6</c:v>
                </c:pt>
                <c:pt idx="238">
                  <c:v>3394.7</c:v>
                </c:pt>
                <c:pt idx="239">
                  <c:v>#N/A</c:v>
                </c:pt>
                <c:pt idx="240">
                  <c:v>3466.8</c:v>
                </c:pt>
                <c:pt idx="241">
                  <c:v>3664.5</c:v>
                </c:pt>
                <c:pt idx="242">
                  <c:v>4137.6000000000004</c:v>
                </c:pt>
                <c:pt idx="243">
                  <c:v>3695</c:v>
                </c:pt>
                <c:pt idx="244">
                  <c:v>3719.3</c:v>
                </c:pt>
                <c:pt idx="245">
                  <c:v>3553.2</c:v>
                </c:pt>
                <c:pt idx="246">
                  <c:v>4251.1000000000004</c:v>
                </c:pt>
                <c:pt idx="247">
                  <c:v>4241.8</c:v>
                </c:pt>
                <c:pt idx="248">
                  <c:v>4512.1000000000004</c:v>
                </c:pt>
                <c:pt idx="249">
                  <c:v>4033.8</c:v>
                </c:pt>
                <c:pt idx="250">
                  <c:v>3571.7</c:v>
                </c:pt>
                <c:pt idx="251">
                  <c:v>3372</c:v>
                </c:pt>
                <c:pt idx="252">
                  <c:v>3601.3</c:v>
                </c:pt>
                <c:pt idx="253">
                  <c:v>4110.8</c:v>
                </c:pt>
                <c:pt idx="254">
                  <c:v>4184.3999999999996</c:v>
                </c:pt>
                <c:pt idx="255">
                  <c:v>3880.9</c:v>
                </c:pt>
                <c:pt idx="256">
                  <c:v>2974.1</c:v>
                </c:pt>
                <c:pt idx="257">
                  <c:v>2769.6</c:v>
                </c:pt>
                <c:pt idx="258">
                  <c:v>2923.8</c:v>
                </c:pt>
                <c:pt idx="259">
                  <c:v>2362.6999999999998</c:v>
                </c:pt>
                <c:pt idx="260">
                  <c:v>2527.5</c:v>
                </c:pt>
                <c:pt idx="261">
                  <c:v>2809.5</c:v>
                </c:pt>
                <c:pt idx="262">
                  <c:v>2857.9</c:v>
                </c:pt>
                <c:pt idx="263">
                  <c:v>3101.7</c:v>
                </c:pt>
                <c:pt idx="264">
                  <c:v>2648</c:v>
                </c:pt>
                <c:pt idx="265">
                  <c:v>2619.6999999999998</c:v>
                </c:pt>
                <c:pt idx="266">
                  <c:v>2764.6</c:v>
                </c:pt>
                <c:pt idx="267">
                  <c:v>2742.2</c:v>
                </c:pt>
                <c:pt idx="268">
                  <c:v>2414.9</c:v>
                </c:pt>
                <c:pt idx="269">
                  <c:v>2220.1</c:v>
                </c:pt>
                <c:pt idx="270">
                  <c:v>2091.4</c:v>
                </c:pt>
                <c:pt idx="271">
                  <c:v>2065.3000000000002</c:v>
                </c:pt>
                <c:pt idx="272">
                  <c:v>2010.6</c:v>
                </c:pt>
                <c:pt idx="273">
                  <c:v>2194.4</c:v>
                </c:pt>
                <c:pt idx="274">
                  <c:v>2350.6999999999998</c:v>
                </c:pt>
                <c:pt idx="275">
                  <c:v>2620.8000000000002</c:v>
                </c:pt>
                <c:pt idx="276">
                  <c:v>2563.6</c:v>
                </c:pt>
                <c:pt idx="277">
                  <c:v>2539.4</c:v>
                </c:pt>
                <c:pt idx="278">
                  <c:v>2155.5</c:v>
                </c:pt>
                <c:pt idx="279">
                  <c:v>2325.3000000000002</c:v>
                </c:pt>
                <c:pt idx="280">
                  <c:v>1953.2</c:v>
                </c:pt>
                <c:pt idx="281">
                  <c:v>2190.4</c:v>
                </c:pt>
                <c:pt idx="282">
                  <c:v>2371.1</c:v>
                </c:pt>
                <c:pt idx="283">
                  <c:v>2129.6999999999998</c:v>
                </c:pt>
                <c:pt idx="284">
                  <c:v>2528.6999999999998</c:v>
                </c:pt>
                <c:pt idx="285">
                  <c:v>2344.3000000000002</c:v>
                </c:pt>
                <c:pt idx="286">
                  <c:v>2249.6</c:v>
                </c:pt>
                <c:pt idx="287">
                  <c:v>2185.5</c:v>
                </c:pt>
                <c:pt idx="288">
                  <c:v>2319.9</c:v>
                </c:pt>
                <c:pt idx="289">
                  <c:v>3067.3</c:v>
                </c:pt>
                <c:pt idx="290">
                  <c:v>3066.2</c:v>
                </c:pt>
                <c:pt idx="291">
                  <c:v>#N/A</c:v>
                </c:pt>
                <c:pt idx="292">
                  <c:v>4009.2</c:v>
                </c:pt>
                <c:pt idx="293">
                  <c:v>4015.2</c:v>
                </c:pt>
                <c:pt idx="294">
                  <c:v>4836.3999999999996</c:v>
                </c:pt>
                <c:pt idx="295">
                  <c:v>4568.1000000000004</c:v>
                </c:pt>
                <c:pt idx="296">
                  <c:v>4904.2</c:v>
                </c:pt>
                <c:pt idx="297">
                  <c:v>4768.6000000000004</c:v>
                </c:pt>
                <c:pt idx="298">
                  <c:v>5455.4</c:v>
                </c:pt>
                <c:pt idx="299">
                  <c:v>4395.5</c:v>
                </c:pt>
                <c:pt idx="300">
                  <c:v>4549.3</c:v>
                </c:pt>
                <c:pt idx="301">
                  <c:v>4624.6000000000004</c:v>
                </c:pt>
                <c:pt idx="302">
                  <c:v>4663.8</c:v>
                </c:pt>
                <c:pt idx="303">
                  <c:v>5214.6000000000004</c:v>
                </c:pt>
                <c:pt idx="304">
                  <c:v>5431.5</c:v>
                </c:pt>
                <c:pt idx="305">
                  <c:v>5260.7</c:v>
                </c:pt>
                <c:pt idx="306">
                  <c:v>4940.8999999999996</c:v>
                </c:pt>
                <c:pt idx="307">
                  <c:v>4147.1000000000004</c:v>
                </c:pt>
                <c:pt idx="308">
                  <c:v>4155.5</c:v>
                </c:pt>
                <c:pt idx="309">
                  <c:v>4097.3</c:v>
                </c:pt>
                <c:pt idx="310">
                  <c:v>4345.3999999999996</c:v>
                </c:pt>
                <c:pt idx="311">
                  <c:v>3925.8</c:v>
                </c:pt>
                <c:pt idx="312">
                  <c:v>3925.9</c:v>
                </c:pt>
                <c:pt idx="313">
                  <c:v>3546.2</c:v>
                </c:pt>
                <c:pt idx="314">
                  <c:v>3107.1</c:v>
                </c:pt>
                <c:pt idx="315">
                  <c:v>3387.8</c:v>
                </c:pt>
                <c:pt idx="316">
                  <c:v>2781.6</c:v>
                </c:pt>
                <c:pt idx="317">
                  <c:v>3239.2</c:v>
                </c:pt>
                <c:pt idx="318">
                  <c:v>3154.9</c:v>
                </c:pt>
                <c:pt idx="319">
                  <c:v>2668.6</c:v>
                </c:pt>
                <c:pt idx="320">
                  <c:v>2303.6</c:v>
                </c:pt>
                <c:pt idx="321">
                  <c:v>1953.3</c:v>
                </c:pt>
                <c:pt idx="322">
                  <c:v>1984.5</c:v>
                </c:pt>
                <c:pt idx="323">
                  <c:v>2217</c:v>
                </c:pt>
                <c:pt idx="324">
                  <c:v>1892.5</c:v>
                </c:pt>
                <c:pt idx="325">
                  <c:v>2051.3000000000002</c:v>
                </c:pt>
                <c:pt idx="326">
                  <c:v>2577.1999999999998</c:v>
                </c:pt>
                <c:pt idx="327">
                  <c:v>2617.6999999999998</c:v>
                </c:pt>
                <c:pt idx="328">
                  <c:v>2847.2</c:v>
                </c:pt>
                <c:pt idx="329">
                  <c:v>2937.6</c:v>
                </c:pt>
                <c:pt idx="330">
                  <c:v>2971.5</c:v>
                </c:pt>
                <c:pt idx="331">
                  <c:v>2474.9</c:v>
                </c:pt>
                <c:pt idx="332">
                  <c:v>2781.2</c:v>
                </c:pt>
                <c:pt idx="333">
                  <c:v>2807.8</c:v>
                </c:pt>
                <c:pt idx="334">
                  <c:v>2763.6</c:v>
                </c:pt>
                <c:pt idx="335">
                  <c:v>2192.1</c:v>
                </c:pt>
                <c:pt idx="336">
                  <c:v>2638.2</c:v>
                </c:pt>
                <c:pt idx="337">
                  <c:v>2430</c:v>
                </c:pt>
                <c:pt idx="338">
                  <c:v>2021.1</c:v>
                </c:pt>
                <c:pt idx="339">
                  <c:v>2038.4</c:v>
                </c:pt>
                <c:pt idx="340">
                  <c:v>2988.7</c:v>
                </c:pt>
                <c:pt idx="341">
                  <c:v>3354</c:v>
                </c:pt>
                <c:pt idx="342">
                  <c:v>3312.7</c:v>
                </c:pt>
                <c:pt idx="343">
                  <c:v>#N/A</c:v>
                </c:pt>
                <c:pt idx="344">
                  <c:v>2815.1</c:v>
                </c:pt>
                <c:pt idx="345">
                  <c:v>3117</c:v>
                </c:pt>
                <c:pt idx="346">
                  <c:v>2996</c:v>
                </c:pt>
                <c:pt idx="347">
                  <c:v>2715.2</c:v>
                </c:pt>
                <c:pt idx="348">
                  <c:v>2304</c:v>
                </c:pt>
                <c:pt idx="349">
                  <c:v>2774.7</c:v>
                </c:pt>
                <c:pt idx="350">
                  <c:v>3280.3</c:v>
                </c:pt>
                <c:pt idx="351">
                  <c:v>3230.9</c:v>
                </c:pt>
                <c:pt idx="352">
                  <c:v>2655.8</c:v>
                </c:pt>
                <c:pt idx="353">
                  <c:v>2632.2</c:v>
                </c:pt>
                <c:pt idx="354">
                  <c:v>2216.3000000000002</c:v>
                </c:pt>
                <c:pt idx="355">
                  <c:v>2383.6999999999998</c:v>
                </c:pt>
                <c:pt idx="356">
                  <c:v>1955.9</c:v>
                </c:pt>
                <c:pt idx="357">
                  <c:v>1983.2</c:v>
                </c:pt>
                <c:pt idx="358">
                  <c:v>1782.2</c:v>
                </c:pt>
                <c:pt idx="359">
                  <c:v>1659.1</c:v>
                </c:pt>
                <c:pt idx="360">
                  <c:v>1826</c:v>
                </c:pt>
                <c:pt idx="361">
                  <c:v>1702.7</c:v>
                </c:pt>
                <c:pt idx="362">
                  <c:v>1982.8</c:v>
                </c:pt>
                <c:pt idx="363">
                  <c:v>1915.5</c:v>
                </c:pt>
                <c:pt idx="364">
                  <c:v>1583.5</c:v>
                </c:pt>
                <c:pt idx="365">
                  <c:v>1328.1</c:v>
                </c:pt>
                <c:pt idx="366">
                  <c:v>1504.6</c:v>
                </c:pt>
                <c:pt idx="367">
                  <c:v>1482.7</c:v>
                </c:pt>
                <c:pt idx="368">
                  <c:v>2156.5</c:v>
                </c:pt>
                <c:pt idx="369">
                  <c:v>2583</c:v>
                </c:pt>
                <c:pt idx="370">
                  <c:v>3590.1</c:v>
                </c:pt>
                <c:pt idx="371">
                  <c:v>4586.2</c:v>
                </c:pt>
                <c:pt idx="372">
                  <c:v>4353.1000000000004</c:v>
                </c:pt>
                <c:pt idx="373">
                  <c:v>5084.2</c:v>
                </c:pt>
                <c:pt idx="374">
                  <c:v>4957.8999999999996</c:v>
                </c:pt>
                <c:pt idx="375">
                  <c:v>6547.2</c:v>
                </c:pt>
                <c:pt idx="376">
                  <c:v>6127.3</c:v>
                </c:pt>
                <c:pt idx="377">
                  <c:v>6734.2</c:v>
                </c:pt>
                <c:pt idx="378">
                  <c:v>6522</c:v>
                </c:pt>
                <c:pt idx="379">
                  <c:v>6374.7</c:v>
                </c:pt>
                <c:pt idx="380">
                  <c:v>4428.1000000000004</c:v>
                </c:pt>
                <c:pt idx="381">
                  <c:v>3352.8</c:v>
                </c:pt>
                <c:pt idx="382">
                  <c:v>2945.5</c:v>
                </c:pt>
                <c:pt idx="383">
                  <c:v>3531.5</c:v>
                </c:pt>
                <c:pt idx="384">
                  <c:v>4564.5</c:v>
                </c:pt>
                <c:pt idx="385">
                  <c:v>2611.1</c:v>
                </c:pt>
                <c:pt idx="386">
                  <c:v>3871.3</c:v>
                </c:pt>
                <c:pt idx="387">
                  <c:v>3300.6</c:v>
                </c:pt>
                <c:pt idx="388">
                  <c:v>6768.6</c:v>
                </c:pt>
                <c:pt idx="389">
                  <c:v>7842.7</c:v>
                </c:pt>
                <c:pt idx="390">
                  <c:v>#N/A</c:v>
                </c:pt>
                <c:pt idx="391">
                  <c:v>#N/A</c:v>
                </c:pt>
                <c:pt idx="392">
                  <c:v>7098.9</c:v>
                </c:pt>
                <c:pt idx="393">
                  <c:v>4013.2</c:v>
                </c:pt>
                <c:pt idx="394">
                  <c:v>3746.9</c:v>
                </c:pt>
                <c:pt idx="395">
                  <c:v>#N/A</c:v>
                </c:pt>
                <c:pt idx="396">
                  <c:v>896.8</c:v>
                </c:pt>
                <c:pt idx="397">
                  <c:v>927.3</c:v>
                </c:pt>
                <c:pt idx="398">
                  <c:v>907.7</c:v>
                </c:pt>
                <c:pt idx="399">
                  <c:v>688.8</c:v>
                </c:pt>
                <c:pt idx="400">
                  <c:v>1135.5999999999999</c:v>
                </c:pt>
                <c:pt idx="401">
                  <c:v>798</c:v>
                </c:pt>
                <c:pt idx="402">
                  <c:v>1190.8</c:v>
                </c:pt>
                <c:pt idx="403">
                  <c:v>999.6</c:v>
                </c:pt>
                <c:pt idx="404">
                  <c:v>1026</c:v>
                </c:pt>
                <c:pt idx="405">
                  <c:v>1756.8</c:v>
                </c:pt>
                <c:pt idx="406">
                  <c:v>2068.5</c:v>
                </c:pt>
                <c:pt idx="407">
                  <c:v>998.3</c:v>
                </c:pt>
                <c:pt idx="408">
                  <c:v>825</c:v>
                </c:pt>
                <c:pt idx="409">
                  <c:v>793.9</c:v>
                </c:pt>
                <c:pt idx="410">
                  <c:v>815.2</c:v>
                </c:pt>
                <c:pt idx="411">
                  <c:v>853.1</c:v>
                </c:pt>
                <c:pt idx="412">
                  <c:v>897.7</c:v>
                </c:pt>
                <c:pt idx="413">
                  <c:v>874.1</c:v>
                </c:pt>
                <c:pt idx="414">
                  <c:v>1213.9000000000001</c:v>
                </c:pt>
                <c:pt idx="415">
                  <c:v>1270.5999999999999</c:v>
                </c:pt>
                <c:pt idx="416">
                  <c:v>1166.5</c:v>
                </c:pt>
                <c:pt idx="417">
                  <c:v>1111.3</c:v>
                </c:pt>
                <c:pt idx="418">
                  <c:v>1044.5999999999999</c:v>
                </c:pt>
                <c:pt idx="419">
                  <c:v>1219.7</c:v>
                </c:pt>
                <c:pt idx="420">
                  <c:v>1477.5</c:v>
                </c:pt>
                <c:pt idx="421">
                  <c:v>1387.8</c:v>
                </c:pt>
                <c:pt idx="422">
                  <c:v>1930.4</c:v>
                </c:pt>
                <c:pt idx="423">
                  <c:v>2135.8000000000002</c:v>
                </c:pt>
                <c:pt idx="424">
                  <c:v>2388.8000000000002</c:v>
                </c:pt>
                <c:pt idx="425">
                  <c:v>2195</c:v>
                </c:pt>
                <c:pt idx="426">
                  <c:v>1809.5</c:v>
                </c:pt>
                <c:pt idx="427">
                  <c:v>2215.6999999999998</c:v>
                </c:pt>
                <c:pt idx="428">
                  <c:v>2880.7</c:v>
                </c:pt>
                <c:pt idx="429">
                  <c:v>2709.1</c:v>
                </c:pt>
                <c:pt idx="430">
                  <c:v>2653.2</c:v>
                </c:pt>
                <c:pt idx="431">
                  <c:v>4468.3999999999996</c:v>
                </c:pt>
                <c:pt idx="432">
                  <c:v>2338.8000000000002</c:v>
                </c:pt>
                <c:pt idx="433">
                  <c:v>2519.4</c:v>
                </c:pt>
                <c:pt idx="434">
                  <c:v>2667.8</c:v>
                </c:pt>
                <c:pt idx="435">
                  <c:v>2571.6</c:v>
                </c:pt>
                <c:pt idx="436">
                  <c:v>3784.1</c:v>
                </c:pt>
                <c:pt idx="437">
                  <c:v>5362.6</c:v>
                </c:pt>
                <c:pt idx="438">
                  <c:v>5523.9</c:v>
                </c:pt>
                <c:pt idx="439">
                  <c:v>5682.2</c:v>
                </c:pt>
                <c:pt idx="440">
                  <c:v>4588.3999999999996</c:v>
                </c:pt>
                <c:pt idx="441">
                  <c:v>3923.5</c:v>
                </c:pt>
                <c:pt idx="442">
                  <c:v>2729.3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529536"/>
        <c:axId val="276515072"/>
      </c:lineChart>
      <c:dateAx>
        <c:axId val="276511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76513152"/>
        <c:crosses val="autoZero"/>
        <c:auto val="1"/>
        <c:lblOffset val="100"/>
        <c:baseTimeUnit val="days"/>
        <c:majorUnit val="12"/>
        <c:majorTimeUnit val="months"/>
      </c:dateAx>
      <c:valAx>
        <c:axId val="27651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76511360"/>
        <c:crosses val="autoZero"/>
        <c:crossBetween val="between"/>
      </c:valAx>
      <c:valAx>
        <c:axId val="2765150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76529536"/>
        <c:crosses val="max"/>
        <c:crossBetween val="between"/>
      </c:valAx>
      <c:dateAx>
        <c:axId val="276529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7651507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0.995284601740129</c:v>
                </c:pt>
                <c:pt idx="1">
                  <c:v>0.99298959754903393</c:v>
                </c:pt>
                <c:pt idx="2">
                  <c:v>0.97826428104400176</c:v>
                </c:pt>
                <c:pt idx="3">
                  <c:v>0.91681455138355572</c:v>
                </c:pt>
                <c:pt idx="4">
                  <c:v>0.86519244290911601</c:v>
                </c:pt>
                <c:pt idx="5">
                  <c:v>0.82242183313928774</c:v>
                </c:pt>
                <c:pt idx="6">
                  <c:v>0.77833632725396362</c:v>
                </c:pt>
                <c:pt idx="7">
                  <c:v>0.71232124055683899</c:v>
                </c:pt>
                <c:pt idx="8">
                  <c:v>0.61850100736463642</c:v>
                </c:pt>
                <c:pt idx="9">
                  <c:v>0.54606961485719752</c:v>
                </c:pt>
                <c:pt idx="10">
                  <c:v>0.47827935597078441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0.95782048349020787</c:v>
                </c:pt>
                <c:pt idx="1">
                  <c:v>0.94792663765007823</c:v>
                </c:pt>
                <c:pt idx="2">
                  <c:v>0.92019262049174988</c:v>
                </c:pt>
                <c:pt idx="3">
                  <c:v>0.87164002952333686</c:v>
                </c:pt>
                <c:pt idx="4">
                  <c:v>0.82963344031935504</c:v>
                </c:pt>
                <c:pt idx="5">
                  <c:v>0.76744890191493254</c:v>
                </c:pt>
                <c:pt idx="6">
                  <c:v>0.72981676746096191</c:v>
                </c:pt>
                <c:pt idx="7">
                  <c:v>0.65081813204620076</c:v>
                </c:pt>
                <c:pt idx="8">
                  <c:v>0.57035565491233486</c:v>
                </c:pt>
                <c:pt idx="9">
                  <c:v>0.51781076154324257</c:v>
                </c:pt>
                <c:pt idx="10">
                  <c:v>0.44901580409106984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3.26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0.95782048349020787</c:v>
                </c:pt>
                <c:pt idx="1">
                  <c:v>0.94792663765007823</c:v>
                </c:pt>
                <c:pt idx="2">
                  <c:v>0.92019262049174988</c:v>
                </c:pt>
                <c:pt idx="3">
                  <c:v>0.87164002952333686</c:v>
                </c:pt>
                <c:pt idx="4">
                  <c:v>0.82963344031935504</c:v>
                </c:pt>
                <c:pt idx="5">
                  <c:v>0.36961234182209501</c:v>
                </c:pt>
                <c:pt idx="6">
                  <c:v>0.31625140964563841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980416"/>
        <c:axId val="333981952"/>
      </c:lineChart>
      <c:catAx>
        <c:axId val="3339804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33981952"/>
        <c:crosses val="autoZero"/>
        <c:auto val="1"/>
        <c:lblAlgn val="ctr"/>
        <c:lblOffset val="100"/>
        <c:noMultiLvlLbl val="0"/>
      </c:catAx>
      <c:valAx>
        <c:axId val="33398195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3398041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619126</xdr:colOff>
      <xdr:row>33</xdr:row>
      <xdr:rowOff>123824</xdr:rowOff>
    </xdr:from>
    <xdr:to>
      <xdr:col>13</xdr:col>
      <xdr:colOff>552451</xdr:colOff>
      <xdr:row>36</xdr:row>
      <xdr:rowOff>76200</xdr:rowOff>
    </xdr:to>
    <xdr:sp macro="" textlink="">
      <xdr:nvSpPr>
        <xdr:cNvPr id="4" name="TextBox 3"/>
        <xdr:cNvSpPr txBox="1"/>
      </xdr:nvSpPr>
      <xdr:spPr>
        <a:xfrm>
          <a:off x="7248526" y="5467349"/>
          <a:ext cx="196215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7" autoFormatId="16" applyNumberFormats="0" applyBorderFormats="0" applyFontFormats="0" applyPatternFormats="0" applyAlignmentFormats="0" applyWidthHeightFormats="0">
  <queryTableRefresh nextId="80" unboundColumnsRight="3">
    <queryTableFields count="5">
      <queryTableField id="62" name="AsOfDate" tableColumnId="1"/>
      <queryTableField id="79" name="SeriesNumValu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3" backgroundRefresh="0" adjustColumnWidth="0" connectionId="9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4" backgroundRefresh="0" adjustColumnWidth="0" connectionId="8" autoFormatId="16" applyNumberFormats="0" applyBorderFormats="0" applyFontFormats="0" applyPatternFormats="0" applyAlignmentFormats="0" applyWidthHeightFormats="0">
  <queryTableRefresh nextId="81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5" backgroundRefresh="0" adjustColumnWidth="0" connectionId="7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1" backgroundRefresh="0" adjustColumnWidth="0" connectionId="16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445" tableType="queryTable" totalsRowShown="0" headerRowDxfId="105" dataDxfId="104">
  <tableColumns count="5">
    <tableColumn id="1" uniqueName="1" name="asofdate" queryTableFieldId="62" dataDxfId="45"/>
    <tableColumn id="3" uniqueName="3" name="SeriesNumValue" queryTableFieldId="79" dataDxfId="44" dataCellStyle="Percent"/>
    <tableColumn id="5" uniqueName="5" name="Loan Level" queryTableFieldId="76" dataDxfId="43" dataCellStyle="Percent">
      <calculatedColumnFormula>VLOOKUP(CurrentMtgRatesDataTable825[[#This Row],[asofdate]],I:J,2,0)</calculatedColumnFormula>
    </tableColumn>
    <tableColumn id="2" uniqueName="2" name="With Lowest Rate" queryTableFieldId="78" dataDxfId="42" dataCellStyle="Percent">
      <calculatedColumnFormula>VLOOKUP(CurrentMtgRatesDataTable825[[#This Row],[asofdate]],M:N,2,0)</calculatedColumnFormula>
    </tableColumn>
    <tableColumn id="6" uniqueName="6" name="Refi Index" queryTableFieldId="77" dataDxfId="41" dataCellStyle="Percent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7" name="CurrentMtgRatesDataTable82527141518" displayName="CurrentMtgRatesDataTable82527141518" ref="I2:J1171" tableType="queryTable" totalsRowShown="0" headerRowDxfId="90" dataDxfId="89">
  <tableColumns count="2">
    <tableColumn id="1" uniqueName="1" name="asofdate" queryTableFieldId="62" dataDxfId="40"/>
    <tableColumn id="2" uniqueName="2" name="SeriesNumValue" queryTableFieldId="78" dataDxfId="39" dataCellStyle="Perc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8" name="CurrentMtgRatesDataTable82527141619" displayName="CurrentMtgRatesDataTable82527141619" ref="M2:N1171" tableType="queryTable" totalsRowShown="0" headerRowDxfId="88" dataDxfId="87">
  <tableColumns count="2">
    <tableColumn id="1" uniqueName="1" name="asofdate" queryTableFieldId="62" dataDxfId="38"/>
    <tableColumn id="2" uniqueName="2" name="SeriesNumValue" queryTableFieldId="78" dataDxfId="37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9" name="CurrentMtgRatesDataTable82527141720" displayName="CurrentMtgRatesDataTable82527141720" ref="Q2:R1171" tableType="queryTable" totalsRowShown="0" headerRowDxfId="86" dataDxfId="85">
  <tableColumns count="2">
    <tableColumn id="1" uniqueName="1" name="asofdate" queryTableFieldId="62" dataDxfId="36"/>
    <tableColumn id="2" uniqueName="2" name="SeriesNumValue" queryTableFieldId="78" dataDxfId="35" dataCellStyle="Percen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523" displayName="CurrentMtgRatesDataTable82523" ref="B2:C3" tableType="queryTable" totalsRowShown="0" headerRowDxfId="103" dataDxfId="102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5234" displayName="CurrentMtgRatesDataTable825234" ref="F2:P3" tableType="queryTable" totalsRowShown="0" headerRowDxfId="101" dataDxfId="100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9" dataDxfId="98">
  <tableColumns count="11">
    <tableColumn id="1" uniqueName="1" name="refinancible1" queryTableFieldId="101" dataDxfId="21"/>
    <tableColumn id="2" uniqueName="2" name="refinancible2" queryTableFieldId="102" dataDxfId="20"/>
    <tableColumn id="3" uniqueName="3" name="refinancible3" queryTableFieldId="103" dataDxfId="19"/>
    <tableColumn id="4" uniqueName="4" name="refinancible4" queryTableFieldId="104" dataDxfId="18"/>
    <tableColumn id="5" uniqueName="5" name="refinancible5" queryTableFieldId="105" dataDxfId="17"/>
    <tableColumn id="6" uniqueName="6" name="refinancible6" queryTableFieldId="106" dataDxfId="16"/>
    <tableColumn id="7" uniqueName="7" name="refinancible7" queryTableFieldId="107" dataDxfId="15"/>
    <tableColumn id="8" uniqueName="8" name="refinancible8" queryTableFieldId="108" dataDxfId="14"/>
    <tableColumn id="9" uniqueName="9" name="refinancible9" queryTableFieldId="109" dataDxfId="13"/>
    <tableColumn id="10" uniqueName="10" name="refinancible10" queryTableFieldId="110" dataDxfId="12"/>
    <tableColumn id="11" uniqueName="11" name="refinancible11" queryTableFieldId="111" dataDxfId="1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97" dataDxfId="96">
  <tableColumns count="11">
    <tableColumn id="1" uniqueName="1" name="refinancible1" queryTableFieldId="101" dataDxfId="10"/>
    <tableColumn id="2" uniqueName="2" name="refinancible2" queryTableFieldId="102" dataDxfId="9"/>
    <tableColumn id="3" uniqueName="3" name="refinancible3" queryTableFieldId="103" dataDxfId="8"/>
    <tableColumn id="4" uniqueName="4" name="refinancible4" queryTableFieldId="104" dataDxfId="7"/>
    <tableColumn id="5" uniqueName="5" name="refinancible5" queryTableFieldId="105" dataDxfId="6"/>
    <tableColumn id="6" uniqueName="6" name="refinancible6" queryTableFieldId="106" dataDxfId="5"/>
    <tableColumn id="7" uniqueName="7" name="refinancible7" queryTableFieldId="107" dataDxfId="4"/>
    <tableColumn id="8" uniqueName="8" name="refinancible8" queryTableFieldId="108" dataDxfId="3"/>
    <tableColumn id="9" uniqueName="9" name="refinancible9" queryTableFieldId="109" dataDxfId="2"/>
    <tableColumn id="10" uniqueName="10" name="refinancible10" queryTableFieldId="110" dataDxfId="1"/>
    <tableColumn id="11" uniqueName="11" name="refinancible11" queryTableFieldId="111" dataDxfId="0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1" name="CurrentMtgRatesDataTable825234682" displayName="CurrentMtgRatesDataTable825234682" ref="F31:P32" tableType="queryTable" totalsRowShown="0" headerRowDxfId="95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9" name="CurrentMtgRatesDataTable810" displayName="CurrentMtgRatesDataTable810" ref="S4:U8" tableType="queryTable" totalsRowShown="0" headerRowDxfId="94" dataDxfId="93">
  <tableColumns count="3">
    <tableColumn id="10" uniqueName="10" name="AsOfDate" queryTableFieldId="51" dataDxfId="48" dataCellStyle="Normal 2 7"/>
    <tableColumn id="5" uniqueName="5" name="SeriesNumValue" queryTableFieldId="68" dataDxfId="47" dataCellStyle="Normal 2 7"/>
    <tableColumn id="1" uniqueName="1" name="TickerName" queryTableFieldId="82" dataDxfId="46" dataCellStyle="Normal 2 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0" name="CurrentMtgRatesDataTable811" displayName="CurrentMtgRatesDataTable811" ref="A4:M41" tableType="queryTable" totalsRowShown="0" headerRowDxfId="92" dataDxfId="91">
  <tableColumns count="13">
    <tableColumn id="10" uniqueName="10" name="AsOfDate" queryTableFieldId="51" dataDxfId="61" dataCellStyle="Normal 2 7"/>
    <tableColumn id="5" uniqueName="5" name="SeriesNumValue" queryTableFieldId="68" dataDxfId="60"/>
    <tableColumn id="1" uniqueName="1" name="Rate" queryTableFieldId="69" dataDxfId="59"/>
    <tableColumn id="2" uniqueName="2" name="Weekday" queryTableFieldId="70" dataDxfId="58" dataCellStyle="Normal 2 7">
      <calculatedColumnFormula>WEEKDAY(A5,14)</calculatedColumnFormula>
    </tableColumn>
    <tableColumn id="3" uniqueName="3" name="Weight" queryTableFieldId="75" dataDxfId="57" dataCellStyle="Normal 2 7">
      <calculatedColumnFormula>VLOOKUP(D5,P$5:Q$11,2,FALSE)</calculatedColumnFormula>
    </tableColumn>
    <tableColumn id="4" uniqueName="4" name="Counter" queryTableFieldId="74" dataDxfId="56" dataCellStyle="Normal 2 7">
      <calculatedColumnFormula>IF(AND(D5&gt;D4,F4&lt;6),F4+1,1)</calculatedColumnFormula>
    </tableColumn>
    <tableColumn id="6" uniqueName="6" name="Accumulated Weighted CC" queryTableFieldId="73" dataDxfId="55" dataCellStyle="Normal 2 7">
      <calculatedColumnFormula>IF(F5&gt;F4,G4+B5*E5,B5*E5)</calculatedColumnFormula>
    </tableColumn>
    <tableColumn id="7" uniqueName="7" name="AccumulatedWeight" queryTableFieldId="72" dataDxfId="54" dataCellStyle="Normal 2 7">
      <calculatedColumnFormula>IF(AND(F5&lt;6,F5&gt;F4),E5+H4,E5)</calculatedColumnFormula>
    </tableColumn>
    <tableColumn id="8" uniqueName="8" name="WA CC" queryTableFieldId="71" dataDxfId="53" dataCellStyle="Normal 2 7">
      <calculatedColumnFormula>IF(F5&gt;F6,G5/H5,0)</calculatedColumnFormula>
    </tableColumn>
    <tableColumn id="9" uniqueName="9" name="Servicing Spread" queryTableFieldId="76" dataDxfId="52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51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50" dataCellStyle="Normal 2 7">
      <calculatedColumnFormula>CurrentMtgRatesDataTable811[[#This Row],[Servicing Spread Non-Zero]]-K4</calculatedColumnFormula>
    </tableColumn>
    <tableColumn id="15" uniqueName="15" name="Survey Rate 1m chg" queryTableFieldId="81" dataDxfId="49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zoomScaleNormal="100" workbookViewId="0">
      <selection activeCell="F65" sqref="F65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19" width="8.42578125" style="6" customWidth="1"/>
    <col min="20" max="20" width="10.710937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42549</v>
      </c>
    </row>
    <row r="3" spans="3:29">
      <c r="Z3" s="2" t="s">
        <v>19</v>
      </c>
      <c r="AA3" s="19" t="s">
        <v>119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Market\2016-06\Refinancible Universe 2016-06-28.pdf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42522</v>
      </c>
      <c r="AB9" s="68" t="s">
        <v>67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42491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96</v>
      </c>
      <c r="AA13" s="14">
        <f>IF(WEEKDAY(CurrentCloseDate,2)&lt;4,CurrentCloseDate-WEEKDAY(CurrentCloseDate,2)-3,CurrentCloseDate-WEEKDAY(CurrentCloseDate,2)+4)</f>
        <v>42544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8" spans="3:20">
      <c r="O38" s="37" t="s">
        <v>93</v>
      </c>
      <c r="P38" s="37"/>
      <c r="Q38" s="80">
        <f>'Function Of Rate'!C8</f>
        <v>2.2924928729045799</v>
      </c>
      <c r="S38" s="38" t="s">
        <v>94</v>
      </c>
      <c r="T38" s="80">
        <f>'Function Of Rate'!C9</f>
        <v>0.97208037975313788</v>
      </c>
    </row>
    <row r="39" spans="3:20" ht="15.75" thickBot="1">
      <c r="C39" s="5" t="s">
        <v>30</v>
      </c>
      <c r="E39" s="26"/>
      <c r="F39" s="27"/>
      <c r="J39" s="38" t="s">
        <v>68</v>
      </c>
      <c r="K39" s="82">
        <f>CurrentMtgRatesDataTable82523[SeriesNumValue]</f>
        <v>3.46</v>
      </c>
      <c r="L39" s="38" t="s">
        <v>58</v>
      </c>
      <c r="M39" s="61">
        <f>CurrentMtgRatesDataTable82523[AsOfDate]</f>
        <v>42544</v>
      </c>
      <c r="O39" s="37" t="s">
        <v>95</v>
      </c>
      <c r="P39" s="37"/>
      <c r="Q39" s="81">
        <f>ImpliedRate</f>
        <v>3.2645732526577178</v>
      </c>
      <c r="S39" s="38" t="s">
        <v>58</v>
      </c>
      <c r="T39" s="69">
        <f>CurrentCloseDate</f>
        <v>42549</v>
      </c>
    </row>
    <row r="40" spans="3:20" s="33" customFormat="1" ht="13.5" customHeight="1">
      <c r="C40" s="44"/>
      <c r="D40" s="123" t="s">
        <v>25</v>
      </c>
      <c r="E40" s="124"/>
      <c r="F40" s="125"/>
      <c r="G40" s="126" t="s">
        <v>22</v>
      </c>
      <c r="H40" s="127"/>
      <c r="I40" s="128"/>
      <c r="J40" s="62" t="s">
        <v>65</v>
      </c>
      <c r="K40" s="129" t="s">
        <v>28</v>
      </c>
      <c r="L40" s="127"/>
      <c r="M40" s="128"/>
      <c r="O40" s="55"/>
      <c r="P40" s="127" t="s">
        <v>25</v>
      </c>
      <c r="Q40" s="128"/>
      <c r="R40" s="129" t="s">
        <v>22</v>
      </c>
      <c r="S40" s="128"/>
      <c r="T40" s="121" t="s">
        <v>65</v>
      </c>
    </row>
    <row r="41" spans="3:20" s="33" customFormat="1" ht="13.5" customHeight="1">
      <c r="C41" s="45" t="s">
        <v>29</v>
      </c>
      <c r="D41" s="39" t="s">
        <v>27</v>
      </c>
      <c r="E41" s="28" t="s">
        <v>12</v>
      </c>
      <c r="F41" s="40" t="s">
        <v>13</v>
      </c>
      <c r="G41" s="84" t="s">
        <v>27</v>
      </c>
      <c r="H41" s="28" t="s">
        <v>12</v>
      </c>
      <c r="I41" s="40" t="s">
        <v>13</v>
      </c>
      <c r="J41" s="63" t="s">
        <v>66</v>
      </c>
      <c r="K41" s="39" t="s">
        <v>27</v>
      </c>
      <c r="L41" s="28" t="s">
        <v>12</v>
      </c>
      <c r="M41" s="40" t="s">
        <v>13</v>
      </c>
      <c r="O41" s="39" t="s">
        <v>54</v>
      </c>
      <c r="P41" s="28" t="s">
        <v>55</v>
      </c>
      <c r="Q41" s="40" t="s">
        <v>56</v>
      </c>
      <c r="R41" s="39" t="s">
        <v>55</v>
      </c>
      <c r="S41" s="40" t="s">
        <v>56</v>
      </c>
      <c r="T41" s="122"/>
    </row>
    <row r="42" spans="3:20" s="33" customFormat="1" ht="13.5" customHeight="1">
      <c r="C42" s="46">
        <f>Query!B3</f>
        <v>42544</v>
      </c>
      <c r="D42" s="48">
        <f>Query!C3</f>
        <v>0.69110725210000001</v>
      </c>
      <c r="E42" s="34">
        <f>Query!C7</f>
        <v>0.62190941929999999</v>
      </c>
      <c r="F42" s="49">
        <f>Query!C16</f>
        <v>0.56749132749999998</v>
      </c>
      <c r="G42" s="85">
        <f>Query!D3</f>
        <v>0.63229653730000002</v>
      </c>
      <c r="H42" s="34">
        <f>Query!D3-Query!D6</f>
        <v>5.7976506499999969E-2</v>
      </c>
      <c r="I42" s="49">
        <f>Query!D3-Query!D16</f>
        <v>8.7890863900000005E-2</v>
      </c>
      <c r="J42" s="49">
        <f>Query!G3</f>
        <v>0</v>
      </c>
      <c r="K42" s="34" t="e">
        <f ca="1">Query!F3</f>
        <v>#N/A</v>
      </c>
      <c r="L42" s="49" t="e">
        <f ca="1">(Query!F7-Query!F3)/Query!F3</f>
        <v>#N/A</v>
      </c>
      <c r="M42" s="49" t="e">
        <f ca="1">(Query!F16-Query!F3)/Query!F3</f>
        <v>#N/A</v>
      </c>
      <c r="O42" s="41" t="s">
        <v>48</v>
      </c>
      <c r="P42" s="34">
        <f>'Function Of Rate'!F$16</f>
        <v>0.995284601740129</v>
      </c>
      <c r="Q42" s="49">
        <f t="shared" ref="Q42:Q45" si="0">P42-$P$47</f>
        <v>0.17286276860084127</v>
      </c>
      <c r="R42" s="58">
        <f>'Function Of Rate'!F$17</f>
        <v>0.95782048349020787</v>
      </c>
      <c r="S42" s="49">
        <f t="shared" ref="S42:S45" si="1">R42-$R$47</f>
        <v>0.19037158157527534</v>
      </c>
      <c r="T42" s="49">
        <f>'Function Of Rate'!F18</f>
        <v>0.95782048349020787</v>
      </c>
    </row>
    <row r="43" spans="3:20" s="33" customFormat="1" ht="13.5" customHeight="1">
      <c r="C43" s="46">
        <f>Query!B4</f>
        <v>42537</v>
      </c>
      <c r="D43" s="48">
        <f>Query!C4</f>
        <v>0.73739072439999997</v>
      </c>
      <c r="E43" s="34">
        <f>Query!C8</f>
        <v>0.66521365170000002</v>
      </c>
      <c r="F43" s="49">
        <f>Query!C17</f>
        <v>0.54737976219999995</v>
      </c>
      <c r="G43" s="85">
        <f>Query!D4</f>
        <v>0.66402058939999997</v>
      </c>
      <c r="H43" s="34">
        <f>Query!D4-Query!D7</f>
        <v>7.4769582599999995E-2</v>
      </c>
      <c r="I43" s="49">
        <f>Query!D4-Query!D17</f>
        <v>0.12523201309999998</v>
      </c>
      <c r="J43" s="64">
        <f>Query!E4</f>
        <v>0.30688655190000003</v>
      </c>
      <c r="K43" s="52">
        <f ca="1">Query!F4</f>
        <v>2081.1999999999998</v>
      </c>
      <c r="L43" s="34">
        <f ca="1">(Query!F8-Query!F4)/Query!F4</f>
        <v>-0.10325773592158365</v>
      </c>
      <c r="M43" s="49">
        <f ca="1">(Query!F17-Query!F4)/Query!F4</f>
        <v>-0.1623582548529694</v>
      </c>
      <c r="O43" s="41" t="s">
        <v>47</v>
      </c>
      <c r="P43" s="34">
        <f>'Function Of Rate'!G$16</f>
        <v>0.99298959754903393</v>
      </c>
      <c r="Q43" s="49">
        <f t="shared" si="0"/>
        <v>0.17056776440974619</v>
      </c>
      <c r="R43" s="58">
        <f>'Function Of Rate'!G$17</f>
        <v>0.94792663765007823</v>
      </c>
      <c r="S43" s="49">
        <f t="shared" si="1"/>
        <v>0.18047773573514569</v>
      </c>
      <c r="T43" s="49">
        <f>'Function Of Rate'!G18</f>
        <v>0.94792663765007823</v>
      </c>
    </row>
    <row r="44" spans="3:20" s="33" customFormat="1" ht="13.5" customHeight="1">
      <c r="C44" s="46">
        <f>Query!B5</f>
        <v>42530</v>
      </c>
      <c r="D44" s="48">
        <f>Query!C5</f>
        <v>0.66438425379999999</v>
      </c>
      <c r="E44" s="34">
        <f>Query!C9</f>
        <v>0.71267394809999995</v>
      </c>
      <c r="F44" s="49">
        <f>Query!C18</f>
        <v>0.58587521639999995</v>
      </c>
      <c r="G44" s="85">
        <f>Query!D5</f>
        <v>0.62663630719999996</v>
      </c>
      <c r="H44" s="34">
        <f>Query!D5-Query!D8</f>
        <v>-6.7102519000000749E-3</v>
      </c>
      <c r="I44" s="49">
        <f>Query!D5-Query!D18</f>
        <v>5.6817836100000019E-2</v>
      </c>
      <c r="J44" s="64">
        <f>Query!E5</f>
        <v>2.196012E-4</v>
      </c>
      <c r="K44" s="52">
        <f ca="1">Query!F5</f>
        <v>1967.5</v>
      </c>
      <c r="L44" s="34">
        <f ca="1">(Query!F9-Query!F5)/Query!F5</f>
        <v>-5.9872935196950423E-2</v>
      </c>
      <c r="M44" s="49">
        <f ca="1">(Query!F18-Query!F5)/Query!F5</f>
        <v>-6.4193138500635308E-2</v>
      </c>
      <c r="O44" s="41" t="s">
        <v>46</v>
      </c>
      <c r="P44" s="34">
        <f>'Function Of Rate'!H$16</f>
        <v>0.97826428104400176</v>
      </c>
      <c r="Q44" s="49">
        <f t="shared" si="0"/>
        <v>0.15584244790471402</v>
      </c>
      <c r="R44" s="58">
        <f>'Function Of Rate'!H$17</f>
        <v>0.92019262049174988</v>
      </c>
      <c r="S44" s="49">
        <f t="shared" si="1"/>
        <v>0.15274371857681734</v>
      </c>
      <c r="T44" s="49">
        <f>'Function Of Rate'!H18</f>
        <v>0.92019262049174988</v>
      </c>
    </row>
    <row r="45" spans="3:20" s="33" customFormat="1" ht="13.5" customHeight="1">
      <c r="C45" s="46">
        <f>Query!B6</f>
        <v>42523</v>
      </c>
      <c r="D45" s="48">
        <f>Query!C6</f>
        <v>0.58526010230000003</v>
      </c>
      <c r="E45" s="34">
        <f>Query!C10</f>
        <v>0.62371322269999996</v>
      </c>
      <c r="F45" s="49">
        <f>Query!C19</f>
        <v>0.62315819090000002</v>
      </c>
      <c r="G45" s="85">
        <f>Query!D6</f>
        <v>0.57432003080000005</v>
      </c>
      <c r="H45" s="34">
        <f>Query!D6-Query!D9</f>
        <v>-6.7377891999999995E-2</v>
      </c>
      <c r="I45" s="49">
        <f>Query!D6-Query!D19</f>
        <v>-5.0309635999999935E-3</v>
      </c>
      <c r="J45" s="64">
        <f>Query!E6</f>
        <v>0</v>
      </c>
      <c r="K45" s="52">
        <f ca="1">Query!F6</f>
        <v>1922.8</v>
      </c>
      <c r="L45" s="34">
        <f ca="1">(Query!F10-Query!F6)/Query!F6</f>
        <v>-5.762429789889742E-2</v>
      </c>
      <c r="M45" s="49">
        <f ca="1">(Query!F19-Query!F6)/Query!F6</f>
        <v>2.7043894320782432E-3</v>
      </c>
      <c r="O45" s="41" t="s">
        <v>45</v>
      </c>
      <c r="P45" s="34">
        <f>'Function Of Rate'!I$16</f>
        <v>0.91681455138355572</v>
      </c>
      <c r="Q45" s="49">
        <f t="shared" si="0"/>
        <v>9.4392718244267981E-2</v>
      </c>
      <c r="R45" s="58">
        <f>'Function Of Rate'!I$17</f>
        <v>0.87164002952333686</v>
      </c>
      <c r="S45" s="49">
        <f t="shared" si="1"/>
        <v>0.10419112760840432</v>
      </c>
      <c r="T45" s="49">
        <f>'Function Of Rate'!I18</f>
        <v>0.87164002952333686</v>
      </c>
    </row>
    <row r="46" spans="3:20" s="33" customFormat="1" ht="13.5" customHeight="1">
      <c r="C46" s="46">
        <f>Query!B7</f>
        <v>42516</v>
      </c>
      <c r="D46" s="48">
        <f>Query!C7</f>
        <v>0.62190941929999999</v>
      </c>
      <c r="E46" s="34">
        <f>Query!C11</f>
        <v>0.57406643820000003</v>
      </c>
      <c r="F46" s="49">
        <f>Query!C20</f>
        <v>0.62152081729999997</v>
      </c>
      <c r="G46" s="85">
        <f>Query!D7</f>
        <v>0.58925100679999998</v>
      </c>
      <c r="H46" s="34">
        <f>Query!D7-Query!D10</f>
        <v>-1.02223850000005E-3</v>
      </c>
      <c r="I46" s="49">
        <f>Query!D7-Query!D20</f>
        <v>7.1522828000000205E-3</v>
      </c>
      <c r="J46" s="64">
        <f>Query!E7</f>
        <v>0</v>
      </c>
      <c r="K46" s="52">
        <f ca="1">Query!F7</f>
        <v>1770.1</v>
      </c>
      <c r="L46" s="34">
        <f ca="1">(Query!F11-Query!F7)/Query!F7</f>
        <v>1.2315688379187719E-2</v>
      </c>
      <c r="M46" s="49">
        <f ca="1">(Query!F20-Query!F7)/Query!F7</f>
        <v>0.12586859499463318</v>
      </c>
      <c r="O46" s="41" t="s">
        <v>44</v>
      </c>
      <c r="P46" s="34">
        <f>'Function Of Rate'!J$16</f>
        <v>0.86519244290911601</v>
      </c>
      <c r="Q46" s="49">
        <f>P46-$P$47</f>
        <v>4.2770609769828272E-2</v>
      </c>
      <c r="R46" s="58">
        <f>'Function Of Rate'!J$17</f>
        <v>0.82963344031935504</v>
      </c>
      <c r="S46" s="49">
        <f>R46-$R$47</f>
        <v>6.2184538404422507E-2</v>
      </c>
      <c r="T46" s="49">
        <f>'Function Of Rate'!J18</f>
        <v>0.82963344031935504</v>
      </c>
    </row>
    <row r="47" spans="3:20" s="33" customFormat="1" ht="13.5" customHeight="1">
      <c r="C47" s="46">
        <f>Query!B8</f>
        <v>42509</v>
      </c>
      <c r="D47" s="48">
        <f>Query!C8</f>
        <v>0.66521365170000002</v>
      </c>
      <c r="E47" s="34">
        <f>Query!C12</f>
        <v>0.64436269310000005</v>
      </c>
      <c r="F47" s="49">
        <f>Query!C21</f>
        <v>0.61975450249999997</v>
      </c>
      <c r="G47" s="85">
        <f>Query!D8</f>
        <v>0.63334655910000004</v>
      </c>
      <c r="H47" s="34">
        <f>Query!D8-Query!D11</f>
        <v>6.5960849300000013E-2</v>
      </c>
      <c r="I47" s="49">
        <f>Query!D8-Query!D21</f>
        <v>5.1686407100000054E-2</v>
      </c>
      <c r="J47" s="64">
        <f>Query!E8</f>
        <v>0</v>
      </c>
      <c r="K47" s="52">
        <f ca="1">Query!F8</f>
        <v>1866.3</v>
      </c>
      <c r="L47" s="34">
        <f ca="1">(Query!F12-Query!F8)/Query!F8</f>
        <v>2.3468895675936321E-2</v>
      </c>
      <c r="M47" s="49">
        <f ca="1">(Query!F21-Query!F8)/Query!F8</f>
        <v>0.12516744360499391</v>
      </c>
      <c r="O47" s="56">
        <f>'Function Of Rate'!$K$15</f>
        <v>3.2645732526577178</v>
      </c>
      <c r="P47" s="54">
        <f>'Function Of Rate'!K$16</f>
        <v>0.82242183313928774</v>
      </c>
      <c r="Q47" s="57" t="s">
        <v>57</v>
      </c>
      <c r="R47" s="59">
        <f>'Function Of Rate'!K$17</f>
        <v>0.76744890191493254</v>
      </c>
      <c r="S47" s="57" t="s">
        <v>57</v>
      </c>
      <c r="T47" s="57">
        <f>'Function Of Rate'!K18</f>
        <v>0.36961234182209501</v>
      </c>
    </row>
    <row r="48" spans="3:20" s="33" customFormat="1" ht="13.5" customHeight="1">
      <c r="C48" s="46">
        <f>Query!B9</f>
        <v>42502</v>
      </c>
      <c r="D48" s="48">
        <f>Query!C9</f>
        <v>0.71267394809999995</v>
      </c>
      <c r="E48" s="34">
        <f>Query!C13</f>
        <v>0.69672383459999998</v>
      </c>
      <c r="F48" s="49">
        <f>Query!C22</f>
        <v>0.61975450249999997</v>
      </c>
      <c r="G48" s="85">
        <f>Query!D9</f>
        <v>0.64169792280000004</v>
      </c>
      <c r="H48" s="34">
        <f>Query!D9-Query!D12</f>
        <v>1.9356922400000087E-2</v>
      </c>
      <c r="I48" s="49">
        <f>Query!D9-Query!D22</f>
        <v>6.0037770800000057E-2</v>
      </c>
      <c r="J48" s="64">
        <f>Query!E9</f>
        <v>0.2844667655</v>
      </c>
      <c r="K48" s="52">
        <f ca="1">Query!F9</f>
        <v>1849.7</v>
      </c>
      <c r="L48" s="34">
        <f ca="1">(Query!F13-Query!F9)/Query!F9</f>
        <v>0.1205060280045412</v>
      </c>
      <c r="M48" s="49">
        <f ca="1">(Query!F22-Query!F9)/Query!F9</f>
        <v>0.26588095366816239</v>
      </c>
      <c r="O48" s="41" t="s">
        <v>49</v>
      </c>
      <c r="P48" s="34">
        <f>'Function Of Rate'!L$16</f>
        <v>0.77833632725396362</v>
      </c>
      <c r="Q48" s="49">
        <f t="shared" ref="Q48:Q52" si="2">P48-$P$47</f>
        <v>-4.4085505885324117E-2</v>
      </c>
      <c r="R48" s="58">
        <f>'Function Of Rate'!L$17</f>
        <v>0.72981676746096191</v>
      </c>
      <c r="S48" s="49">
        <f>R48-$R$47</f>
        <v>-3.7632134453970623E-2</v>
      </c>
      <c r="T48" s="49">
        <f>'Function Of Rate'!L18</f>
        <v>0.31625140964563841</v>
      </c>
    </row>
    <row r="49" spans="3:20" s="33" customFormat="1" ht="13.5" customHeight="1">
      <c r="C49" s="46">
        <f>Query!B10</f>
        <v>42495</v>
      </c>
      <c r="D49" s="48">
        <f>Query!C10</f>
        <v>0.62371322269999996</v>
      </c>
      <c r="E49" s="34">
        <f>Query!C14</f>
        <v>0.68664584439999998</v>
      </c>
      <c r="F49" s="49">
        <f>Query!C23</f>
        <v>0.53918901320000001</v>
      </c>
      <c r="G49" s="85">
        <f>Query!D10</f>
        <v>0.59027324530000003</v>
      </c>
      <c r="H49" s="34">
        <f>Query!D10-Query!D13</f>
        <v>-4.052784619999994E-2</v>
      </c>
      <c r="I49" s="49">
        <f>Query!D10-Query!D23</f>
        <v>4.8957017600000041E-2</v>
      </c>
      <c r="J49" s="64">
        <f>Query!E10</f>
        <v>0</v>
      </c>
      <c r="K49" s="52">
        <f ca="1">Query!F10</f>
        <v>1812</v>
      </c>
      <c r="L49" s="34">
        <f ca="1">(Query!F14-Query!F10)/Query!F10</f>
        <v>0.13747240618101539</v>
      </c>
      <c r="M49" s="49">
        <f ca="1">(Query!F23-Query!F10)/Query!F10</f>
        <v>0.11225165562913912</v>
      </c>
      <c r="O49" s="41" t="s">
        <v>50</v>
      </c>
      <c r="P49" s="34">
        <f>'Function Of Rate'!M$16</f>
        <v>0.71232124055683899</v>
      </c>
      <c r="Q49" s="49">
        <f t="shared" si="2"/>
        <v>-0.11010059258244875</v>
      </c>
      <c r="R49" s="58">
        <f>'Function Of Rate'!M$17</f>
        <v>0.65081813204620076</v>
      </c>
      <c r="S49" s="49">
        <f t="shared" ref="S49:S52" si="3">R49-$R$47</f>
        <v>-0.11663076986873178</v>
      </c>
      <c r="T49" s="49">
        <f>'Function Of Rate'!M18</f>
        <v>0</v>
      </c>
    </row>
    <row r="50" spans="3:20" s="33" customFormat="1" ht="13.5" customHeight="1">
      <c r="C50" s="46">
        <f>Query!B11</f>
        <v>42488</v>
      </c>
      <c r="D50" s="48">
        <f>Query!C11</f>
        <v>0.57406643820000003</v>
      </c>
      <c r="E50" s="34">
        <f>Query!C15</f>
        <v>0.56749132749999998</v>
      </c>
      <c r="F50" s="49">
        <f>Query!C24</f>
        <v>0.50272537399999995</v>
      </c>
      <c r="G50" s="85">
        <f>Query!D11</f>
        <v>0.56738570980000003</v>
      </c>
      <c r="H50" s="34">
        <f>Query!D11-Query!D14</f>
        <v>-6.0818468999999986E-2</v>
      </c>
      <c r="I50" s="49">
        <f>Query!D11-Query!D24</f>
        <v>8.5664409399999975E-2</v>
      </c>
      <c r="J50" s="64">
        <f>Query!E11</f>
        <v>0</v>
      </c>
      <c r="K50" s="52">
        <f ca="1">Query!F11</f>
        <v>1791.9</v>
      </c>
      <c r="L50" s="34">
        <f ca="1">(Query!F15-Query!F11)/Query!F11</f>
        <v>1.3114571125620849E-2</v>
      </c>
      <c r="M50" s="49">
        <f ca="1">(Query!F24-Query!F11)/Query!F11</f>
        <v>-3.6441765723533782E-2</v>
      </c>
      <c r="O50" s="41" t="s">
        <v>51</v>
      </c>
      <c r="P50" s="34">
        <f>'Function Of Rate'!N$16</f>
        <v>0.61850100736463642</v>
      </c>
      <c r="Q50" s="49">
        <f t="shared" si="2"/>
        <v>-0.20392082577465132</v>
      </c>
      <c r="R50" s="58">
        <f>'Function Of Rate'!N$17</f>
        <v>0.57035565491233486</v>
      </c>
      <c r="S50" s="49">
        <f t="shared" si="3"/>
        <v>-0.19709324700259767</v>
      </c>
      <c r="T50" s="49">
        <f>'Function Of Rate'!N18</f>
        <v>0</v>
      </c>
    </row>
    <row r="51" spans="3:20" s="33" customFormat="1" ht="13.5" customHeight="1" thickBot="1">
      <c r="C51" s="47">
        <f>Query!B12</f>
        <v>42481</v>
      </c>
      <c r="D51" s="50">
        <f>Query!C12</f>
        <v>0.64436269310000005</v>
      </c>
      <c r="E51" s="43">
        <f>Query!C16</f>
        <v>0.56749132749999998</v>
      </c>
      <c r="F51" s="51">
        <f>Query!C25</f>
        <v>0.49753910080000002</v>
      </c>
      <c r="G51" s="86">
        <f>Query!D12</f>
        <v>0.62234100039999996</v>
      </c>
      <c r="H51" s="43">
        <f>Query!D12-Query!D15</f>
        <v>7.7935326999999943E-2</v>
      </c>
      <c r="I51" s="51">
        <f>Query!D12-Query!D25</f>
        <v>0.14305364289999989</v>
      </c>
      <c r="J51" s="65">
        <f>Query!E12</f>
        <v>0</v>
      </c>
      <c r="K51" s="53">
        <f ca="1">Query!F12</f>
        <v>1910.1</v>
      </c>
      <c r="L51" s="43">
        <f ca="1">(Query!F16-Query!F12)/Query!F12</f>
        <v>-0.12486257264017592</v>
      </c>
      <c r="M51" s="51">
        <f ca="1">(Query!F25-Query!F12)/Query!F12</f>
        <v>-9.1984712842259481E-2</v>
      </c>
      <c r="O51" s="41" t="s">
        <v>52</v>
      </c>
      <c r="P51" s="34">
        <f>'Function Of Rate'!O$16</f>
        <v>0.54606961485719752</v>
      </c>
      <c r="Q51" s="49">
        <f t="shared" si="2"/>
        <v>-0.27635221828209022</v>
      </c>
      <c r="R51" s="58">
        <f>'Function Of Rate'!O$17</f>
        <v>0.51781076154324257</v>
      </c>
      <c r="S51" s="49">
        <f t="shared" si="3"/>
        <v>-0.24963814037168996</v>
      </c>
      <c r="T51" s="49">
        <f>'Function Of Rate'!O18</f>
        <v>0</v>
      </c>
    </row>
    <row r="52" spans="3:20" ht="13.5" customHeight="1" thickBot="1">
      <c r="C52" s="36" t="s">
        <v>60</v>
      </c>
      <c r="H52"/>
      <c r="I52"/>
      <c r="J52"/>
      <c r="L52"/>
      <c r="M52" s="83" t="s">
        <v>62</v>
      </c>
      <c r="O52" s="42" t="s">
        <v>53</v>
      </c>
      <c r="P52" s="43">
        <f>'Function Of Rate'!P$16</f>
        <v>0.47827935597078441</v>
      </c>
      <c r="Q52" s="51">
        <f t="shared" si="2"/>
        <v>-0.34414247716850332</v>
      </c>
      <c r="R52" s="60">
        <f>'Function Of Rate'!P$17</f>
        <v>0.44901580409106984</v>
      </c>
      <c r="S52" s="51">
        <f t="shared" si="3"/>
        <v>-0.3184330978238627</v>
      </c>
      <c r="T52" s="51">
        <f>'Function Of Rate'!P18</f>
        <v>0</v>
      </c>
    </row>
    <row r="53" spans="3:20" ht="12" customHeight="1">
      <c r="C53" s="36" t="s">
        <v>59</v>
      </c>
      <c r="O53" s="119" t="s">
        <v>92</v>
      </c>
      <c r="P53" s="119"/>
      <c r="Q53" s="119"/>
      <c r="R53" s="119"/>
      <c r="S53" s="119"/>
      <c r="T53" s="119"/>
    </row>
    <row r="54" spans="3:20">
      <c r="O54" s="120"/>
      <c r="P54" s="120"/>
      <c r="Q54" s="120"/>
      <c r="R54" s="120"/>
      <c r="S54" s="120"/>
      <c r="T54" s="120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7">
    <mergeCell ref="O53:T54"/>
    <mergeCell ref="T40:T41"/>
    <mergeCell ref="D40:F40"/>
    <mergeCell ref="G40:I40"/>
    <mergeCell ref="K40:M40"/>
    <mergeCell ref="P40:Q40"/>
    <mergeCell ref="R40:S40"/>
  </mergeCells>
  <conditionalFormatting sqref="E42:F51">
    <cfRule type="cellIs" dxfId="84" priority="31" operator="lessThan">
      <formula>0</formula>
    </cfRule>
  </conditionalFormatting>
  <conditionalFormatting sqref="H42:H51">
    <cfRule type="cellIs" dxfId="83" priority="30" operator="lessThan">
      <formula>0</formula>
    </cfRule>
  </conditionalFormatting>
  <conditionalFormatting sqref="L42:L51">
    <cfRule type="cellIs" dxfId="82" priority="29" operator="lessThan">
      <formula>0</formula>
    </cfRule>
  </conditionalFormatting>
  <conditionalFormatting sqref="I42:J51">
    <cfRule type="cellIs" dxfId="81" priority="28" operator="lessThan">
      <formula>0</formula>
    </cfRule>
  </conditionalFormatting>
  <conditionalFormatting sqref="M42:M51">
    <cfRule type="cellIs" dxfId="80" priority="27" operator="lessThan">
      <formula>0</formula>
    </cfRule>
  </conditionalFormatting>
  <conditionalFormatting sqref="D42:M51">
    <cfRule type="containsErrors" dxfId="79" priority="25">
      <formula>ISERROR(D42)</formula>
    </cfRule>
    <cfRule type="containsErrors" priority="26">
      <formula>ISERROR(D42)</formula>
    </cfRule>
  </conditionalFormatting>
  <conditionalFormatting sqref="Q42:Q52">
    <cfRule type="cellIs" dxfId="78" priority="24" operator="lessThan">
      <formula>0</formula>
    </cfRule>
  </conditionalFormatting>
  <conditionalFormatting sqref="Q42:Q52">
    <cfRule type="containsErrors" dxfId="77" priority="22">
      <formula>ISERROR(Q42)</formula>
    </cfRule>
    <cfRule type="containsErrors" priority="23">
      <formula>ISERROR(Q42)</formula>
    </cfRule>
  </conditionalFormatting>
  <conditionalFormatting sqref="P42:Q42 P42:P52">
    <cfRule type="cellIs" dxfId="76" priority="21" operator="lessThan">
      <formula>0</formula>
    </cfRule>
  </conditionalFormatting>
  <conditionalFormatting sqref="P42:Q42 P42:P52">
    <cfRule type="containsErrors" dxfId="75" priority="19">
      <formula>ISERROR(P42)</formula>
    </cfRule>
    <cfRule type="containsErrors" priority="20">
      <formula>ISERROR(P42)</formula>
    </cfRule>
  </conditionalFormatting>
  <conditionalFormatting sqref="R42:S42 R43:R52">
    <cfRule type="containsErrors" dxfId="74" priority="13">
      <formula>ISERROR(R42)</formula>
    </cfRule>
    <cfRule type="containsErrors" priority="14">
      <formula>ISERROR(R42)</formula>
    </cfRule>
  </conditionalFormatting>
  <conditionalFormatting sqref="S42:S52">
    <cfRule type="cellIs" dxfId="73" priority="18" operator="lessThan">
      <formula>0</formula>
    </cfRule>
  </conditionalFormatting>
  <conditionalFormatting sqref="S42:S52">
    <cfRule type="containsErrors" dxfId="72" priority="16">
      <formula>ISERROR(S42)</formula>
    </cfRule>
    <cfRule type="containsErrors" priority="17">
      <formula>ISERROR(S42)</formula>
    </cfRule>
  </conditionalFormatting>
  <conditionalFormatting sqref="R42:S42 R43:R52">
    <cfRule type="cellIs" dxfId="71" priority="15" operator="lessThan">
      <formula>0</formula>
    </cfRule>
  </conditionalFormatting>
  <conditionalFormatting sqref="T42">
    <cfRule type="containsErrors" dxfId="70" priority="6">
      <formula>ISERROR(T42)</formula>
    </cfRule>
    <cfRule type="containsErrors" priority="7">
      <formula>ISERROR(T42)</formula>
    </cfRule>
  </conditionalFormatting>
  <conditionalFormatting sqref="T42:T52">
    <cfRule type="cellIs" dxfId="69" priority="11" operator="lessThan">
      <formula>0</formula>
    </cfRule>
  </conditionalFormatting>
  <conditionalFormatting sqref="T42:T52">
    <cfRule type="containsErrors" dxfId="68" priority="9">
      <formula>ISERROR(T42)</formula>
    </cfRule>
    <cfRule type="containsErrors" priority="10">
      <formula>ISERROR(T42)</formula>
    </cfRule>
  </conditionalFormatting>
  <conditionalFormatting sqref="T42">
    <cfRule type="cellIs" dxfId="67" priority="8" operator="lessThan">
      <formula>0</formula>
    </cfRule>
  </conditionalFormatting>
  <conditionalFormatting sqref="M42:M50">
    <cfRule type="cellIs" dxfId="66" priority="5" operator="lessThan">
      <formula>0</formula>
    </cfRule>
  </conditionalFormatting>
  <conditionalFormatting sqref="H42:H51">
    <cfRule type="cellIs" dxfId="65" priority="4" operator="lessThan">
      <formula>0</formula>
    </cfRule>
  </conditionalFormatting>
  <conditionalFormatting sqref="K42">
    <cfRule type="cellIs" dxfId="64" priority="3" operator="lessThan">
      <formula>0</formula>
    </cfRule>
  </conditionalFormatting>
  <conditionalFormatting sqref="L42">
    <cfRule type="cellIs" dxfId="63" priority="2" operator="lessThan">
      <formula>0</formula>
    </cfRule>
  </conditionalFormatting>
  <conditionalFormatting sqref="K42">
    <cfRule type="cellIs" dxfId="62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71" orientation="landscape" horizontalDpi="1200" verticalDpi="1200" r:id="rId5"/>
  <headerFooter scaleWithDoc="0">
    <oddHeader>&amp;L&amp;G&amp;C&amp;"-,Bold"&amp;10&amp;K2E398A
&amp;15Refinancible Universe&amp;R&amp;"-,Bold"&amp;10&amp;K2E398A
As of 06/28/2016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1171"/>
  <sheetViews>
    <sheetView tabSelected="1" zoomScaleNormal="100" workbookViewId="0">
      <selection activeCell="Y14" sqref="Y14"/>
    </sheetView>
  </sheetViews>
  <sheetFormatPr defaultRowHeight="15"/>
  <cols>
    <col min="2" max="2" width="10.42578125" bestFit="1" customWidth="1"/>
    <col min="3" max="3" width="10.42578125" style="132" customWidth="1"/>
    <col min="7" max="7" width="10.7109375" bestFit="1" customWidth="1"/>
    <col min="8" max="8" width="17.5703125" bestFit="1" customWidth="1"/>
    <col min="10" max="10" width="9.140625" style="131"/>
    <col min="14" max="16" width="9.140625" style="131"/>
    <col min="20" max="20" width="9.140625" style="131"/>
  </cols>
  <sheetData>
    <row r="1" spans="2:20">
      <c r="B1" t="s">
        <v>25</v>
      </c>
      <c r="I1" t="s">
        <v>24</v>
      </c>
      <c r="M1" t="s">
        <v>65</v>
      </c>
      <c r="Q1" t="s">
        <v>141</v>
      </c>
    </row>
    <row r="2" spans="2:20">
      <c r="B2" s="6" t="s">
        <v>140</v>
      </c>
      <c r="C2" s="29" t="s">
        <v>32</v>
      </c>
      <c r="D2" s="6" t="s">
        <v>22</v>
      </c>
      <c r="E2" s="6" t="s">
        <v>63</v>
      </c>
      <c r="F2" s="6" t="s">
        <v>61</v>
      </c>
      <c r="I2" t="s">
        <v>140</v>
      </c>
      <c r="J2" s="97" t="s">
        <v>32</v>
      </c>
      <c r="M2" s="6" t="s">
        <v>140</v>
      </c>
      <c r="N2" s="97" t="s">
        <v>32</v>
      </c>
      <c r="O2" s="97"/>
      <c r="P2" s="97"/>
      <c r="Q2" s="6" t="s">
        <v>140</v>
      </c>
      <c r="R2" s="97" t="s">
        <v>32</v>
      </c>
      <c r="T2"/>
    </row>
    <row r="3" spans="2:20">
      <c r="B3" s="18">
        <v>42544</v>
      </c>
      <c r="C3" s="29">
        <v>0.69110725210000001</v>
      </c>
      <c r="D3" s="29">
        <f>VLOOKUP(CurrentMtgRatesDataTable825[[#This Row],[asofdate]],I:J,2,0)</f>
        <v>0.63229653730000002</v>
      </c>
      <c r="E3" s="29">
        <f>VLOOKUP(CurrentMtgRatesDataTable825[[#This Row],[asofdate]],M:N,2,0)</f>
        <v>0</v>
      </c>
      <c r="F3" s="31" t="e">
        <f ca="1">VLOOKUP(CurrentMtgRatesDataTable825[[#This Row],[asofdate]]+1,Bloomberg!B:C,2,0)</f>
        <v>#N/A</v>
      </c>
      <c r="I3" s="18">
        <v>42544</v>
      </c>
      <c r="J3" s="130">
        <v>0.63229653730000002</v>
      </c>
      <c r="M3" s="18">
        <v>42544</v>
      </c>
      <c r="N3" s="130">
        <v>0</v>
      </c>
      <c r="O3" s="130"/>
      <c r="P3" s="130"/>
      <c r="Q3" s="18">
        <v>42544</v>
      </c>
      <c r="R3" s="130">
        <v>0.29603398609999998</v>
      </c>
      <c r="T3"/>
    </row>
    <row r="4" spans="2:20">
      <c r="B4" s="91">
        <v>42537</v>
      </c>
      <c r="C4" s="92">
        <v>0.73739072439999997</v>
      </c>
      <c r="D4" s="92">
        <f>VLOOKUP(CurrentMtgRatesDataTable825[[#This Row],[asofdate]],I:J,2,0)</f>
        <v>0.66402058939999997</v>
      </c>
      <c r="E4" s="92">
        <f>VLOOKUP(CurrentMtgRatesDataTable825[[#This Row],[asofdate]],M:N,2,0)</f>
        <v>0.30688655190000003</v>
      </c>
      <c r="F4" s="93">
        <f ca="1">VLOOKUP(CurrentMtgRatesDataTable825[[#This Row],[asofdate]]+1,Bloomberg!B:C,2,0)</f>
        <v>2081.1999999999998</v>
      </c>
      <c r="I4" s="115">
        <v>42537</v>
      </c>
      <c r="J4" s="130">
        <v>0.66402058939999997</v>
      </c>
      <c r="M4" s="115">
        <v>42537</v>
      </c>
      <c r="N4" s="130">
        <v>0.30688655190000003</v>
      </c>
      <c r="O4" s="130"/>
      <c r="P4" s="130"/>
      <c r="Q4" s="115">
        <v>42537</v>
      </c>
      <c r="R4" s="130">
        <v>0.3231848464</v>
      </c>
      <c r="T4"/>
    </row>
    <row r="5" spans="2:20">
      <c r="B5" s="91">
        <v>42530</v>
      </c>
      <c r="C5" s="92">
        <v>0.66438425379999999</v>
      </c>
      <c r="D5" s="92">
        <f>VLOOKUP(CurrentMtgRatesDataTable825[[#This Row],[asofdate]],I:J,2,0)</f>
        <v>0.62663630719999996</v>
      </c>
      <c r="E5" s="92">
        <f>VLOOKUP(CurrentMtgRatesDataTable825[[#This Row],[asofdate]],M:N,2,0)</f>
        <v>2.196012E-4</v>
      </c>
      <c r="F5" s="93">
        <f ca="1">VLOOKUP(CurrentMtgRatesDataTable825[[#This Row],[asofdate]]+1,Bloomberg!B:C,2,0)</f>
        <v>1967.5</v>
      </c>
      <c r="I5" s="115">
        <v>42530</v>
      </c>
      <c r="J5" s="130">
        <v>0.62663630719999996</v>
      </c>
      <c r="M5" s="115">
        <v>42530</v>
      </c>
      <c r="N5" s="130">
        <v>2.196012E-4</v>
      </c>
      <c r="O5" s="130"/>
      <c r="P5" s="130"/>
      <c r="Q5" s="115">
        <v>42530</v>
      </c>
      <c r="R5" s="130">
        <v>0.29154228319999997</v>
      </c>
      <c r="T5"/>
    </row>
    <row r="6" spans="2:20">
      <c r="B6" s="91">
        <v>42523</v>
      </c>
      <c r="C6" s="92">
        <v>0.58526010230000003</v>
      </c>
      <c r="D6" s="92">
        <f>VLOOKUP(CurrentMtgRatesDataTable825[[#This Row],[asofdate]],I:J,2,0)</f>
        <v>0.57432003080000005</v>
      </c>
      <c r="E6" s="92">
        <f>VLOOKUP(CurrentMtgRatesDataTable825[[#This Row],[asofdate]],M:N,2,0)</f>
        <v>0</v>
      </c>
      <c r="F6" s="93">
        <f ca="1">VLOOKUP(CurrentMtgRatesDataTable825[[#This Row],[asofdate]]+1,Bloomberg!B:C,2,0)</f>
        <v>1922.8</v>
      </c>
      <c r="I6" s="115">
        <v>42523</v>
      </c>
      <c r="J6" s="130">
        <v>0.57432003080000005</v>
      </c>
      <c r="M6" s="115">
        <v>42523</v>
      </c>
      <c r="N6" s="130">
        <v>0</v>
      </c>
      <c r="O6" s="130"/>
      <c r="P6" s="130"/>
      <c r="Q6" s="115">
        <v>42523</v>
      </c>
      <c r="R6" s="130">
        <v>0.24658262720000002</v>
      </c>
      <c r="T6"/>
    </row>
    <row r="7" spans="2:20">
      <c r="B7" s="91">
        <v>42516</v>
      </c>
      <c r="C7" s="92">
        <v>0.62190941929999999</v>
      </c>
      <c r="D7" s="92">
        <f>VLOOKUP(CurrentMtgRatesDataTable825[[#This Row],[asofdate]],I:J,2,0)</f>
        <v>0.58925100679999998</v>
      </c>
      <c r="E7" s="92">
        <f>VLOOKUP(CurrentMtgRatesDataTable825[[#This Row],[asofdate]],M:N,2,0)</f>
        <v>0</v>
      </c>
      <c r="F7" s="93">
        <f ca="1">VLOOKUP(CurrentMtgRatesDataTable825[[#This Row],[asofdate]]+1,Bloomberg!B:C,2,0)</f>
        <v>1770.1</v>
      </c>
      <c r="I7" s="115">
        <v>42516</v>
      </c>
      <c r="J7" s="130">
        <v>0.58925100679999998</v>
      </c>
      <c r="M7" s="115">
        <v>42516</v>
      </c>
      <c r="N7" s="130">
        <v>0</v>
      </c>
      <c r="O7" s="130"/>
      <c r="P7" s="130"/>
      <c r="Q7" s="115">
        <v>42516</v>
      </c>
      <c r="R7" s="130">
        <v>0.25614855920000001</v>
      </c>
      <c r="T7"/>
    </row>
    <row r="8" spans="2:20">
      <c r="B8" s="91">
        <v>42509</v>
      </c>
      <c r="C8" s="92">
        <v>0.66521365170000002</v>
      </c>
      <c r="D8" s="92">
        <f>VLOOKUP(CurrentMtgRatesDataTable825[[#This Row],[asofdate]],I:J,2,0)</f>
        <v>0.63334655910000004</v>
      </c>
      <c r="E8" s="92">
        <f>VLOOKUP(CurrentMtgRatesDataTable825[[#This Row],[asofdate]],M:N,2,0)</f>
        <v>0</v>
      </c>
      <c r="F8" s="93">
        <f ca="1">VLOOKUP(CurrentMtgRatesDataTable825[[#This Row],[asofdate]]+1,Bloomberg!B:C,2,0)</f>
        <v>1866.3</v>
      </c>
      <c r="I8" s="115">
        <v>42509</v>
      </c>
      <c r="J8" s="130">
        <v>0.63334655910000004</v>
      </c>
      <c r="M8" s="115">
        <v>42509</v>
      </c>
      <c r="N8" s="130">
        <v>0</v>
      </c>
      <c r="O8" s="130"/>
      <c r="P8" s="130"/>
      <c r="Q8" s="115">
        <v>42509</v>
      </c>
      <c r="R8" s="130">
        <v>0.28823591269999999</v>
      </c>
      <c r="T8"/>
    </row>
    <row r="9" spans="2:20">
      <c r="B9" s="91">
        <v>42502</v>
      </c>
      <c r="C9" s="92">
        <v>0.71267394809999995</v>
      </c>
      <c r="D9" s="92">
        <f>VLOOKUP(CurrentMtgRatesDataTable825[[#This Row],[asofdate]],I:J,2,0)</f>
        <v>0.64169792280000004</v>
      </c>
      <c r="E9" s="92">
        <f>VLOOKUP(CurrentMtgRatesDataTable825[[#This Row],[asofdate]],M:N,2,0)</f>
        <v>0.2844667655</v>
      </c>
      <c r="F9" s="93">
        <f ca="1">VLOOKUP(CurrentMtgRatesDataTable825[[#This Row],[asofdate]]+1,Bloomberg!B:C,2,0)</f>
        <v>1849.7</v>
      </c>
      <c r="I9" s="115">
        <v>42502</v>
      </c>
      <c r="J9" s="130">
        <v>0.64169792280000004</v>
      </c>
      <c r="M9" s="115">
        <v>42502</v>
      </c>
      <c r="N9" s="130">
        <v>0.2844667655</v>
      </c>
      <c r="O9" s="130"/>
      <c r="P9" s="130"/>
      <c r="Q9" s="115">
        <v>42502</v>
      </c>
      <c r="R9" s="130">
        <v>0.29953785770000002</v>
      </c>
      <c r="T9"/>
    </row>
    <row r="10" spans="2:20">
      <c r="B10" s="91">
        <v>42495</v>
      </c>
      <c r="C10" s="92">
        <v>0.62371322269999996</v>
      </c>
      <c r="D10" s="92">
        <f>VLOOKUP(CurrentMtgRatesDataTable825[[#This Row],[asofdate]],I:J,2,0)</f>
        <v>0.59027324530000003</v>
      </c>
      <c r="E10" s="92">
        <f>VLOOKUP(CurrentMtgRatesDataTable825[[#This Row],[asofdate]],M:N,2,0)</f>
        <v>0</v>
      </c>
      <c r="F10" s="93">
        <f ca="1">VLOOKUP(CurrentMtgRatesDataTable825[[#This Row],[asofdate]]+1,Bloomberg!B:C,2,0)</f>
        <v>1812</v>
      </c>
      <c r="I10" s="115">
        <v>42495</v>
      </c>
      <c r="J10" s="130">
        <v>0.59027324530000003</v>
      </c>
      <c r="M10" s="115">
        <v>42495</v>
      </c>
      <c r="N10" s="130">
        <v>0</v>
      </c>
      <c r="O10" s="130"/>
      <c r="P10" s="130"/>
      <c r="Q10" s="115">
        <v>42495</v>
      </c>
      <c r="R10" s="130">
        <v>0.26121759630000002</v>
      </c>
      <c r="T10"/>
    </row>
    <row r="11" spans="2:20">
      <c r="B11" s="91">
        <v>42488</v>
      </c>
      <c r="C11" s="92">
        <v>0.57406643820000003</v>
      </c>
      <c r="D11" s="92">
        <f>VLOOKUP(CurrentMtgRatesDataTable825[[#This Row],[asofdate]],I:J,2,0)</f>
        <v>0.56738570980000003</v>
      </c>
      <c r="E11" s="92">
        <f>VLOOKUP(CurrentMtgRatesDataTable825[[#This Row],[asofdate]],M:N,2,0)</f>
        <v>0</v>
      </c>
      <c r="F11" s="93">
        <f ca="1">VLOOKUP(CurrentMtgRatesDataTable825[[#This Row],[asofdate]]+1,Bloomberg!B:C,2,0)</f>
        <v>1791.9</v>
      </c>
      <c r="I11" s="115">
        <v>42488</v>
      </c>
      <c r="J11" s="130">
        <v>0.56738570980000003</v>
      </c>
      <c r="M11" s="115">
        <v>42488</v>
      </c>
      <c r="N11" s="130">
        <v>0</v>
      </c>
      <c r="O11" s="130"/>
      <c r="P11" s="130"/>
      <c r="Q11" s="115">
        <v>42488</v>
      </c>
      <c r="R11" s="130">
        <v>6.7427045199999994E-2</v>
      </c>
      <c r="T11"/>
    </row>
    <row r="12" spans="2:20">
      <c r="B12" s="91">
        <v>42481</v>
      </c>
      <c r="C12" s="92">
        <v>0.64436269310000005</v>
      </c>
      <c r="D12" s="92">
        <f>VLOOKUP(CurrentMtgRatesDataTable825[[#This Row],[asofdate]],I:J,2,0)</f>
        <v>0.62234100039999996</v>
      </c>
      <c r="E12" s="92">
        <f>VLOOKUP(CurrentMtgRatesDataTable825[[#This Row],[asofdate]],M:N,2,0)</f>
        <v>0</v>
      </c>
      <c r="F12" s="93">
        <f ca="1">VLOOKUP(CurrentMtgRatesDataTable825[[#This Row],[asofdate]]+1,Bloomberg!B:C,2,0)</f>
        <v>1910.1</v>
      </c>
      <c r="I12" s="115">
        <v>42481</v>
      </c>
      <c r="J12" s="130">
        <v>0.62234100039999996</v>
      </c>
      <c r="M12" s="115">
        <v>42481</v>
      </c>
      <c r="N12" s="130">
        <v>0</v>
      </c>
      <c r="O12" s="130"/>
      <c r="P12" s="130"/>
      <c r="Q12" s="115">
        <v>42481</v>
      </c>
      <c r="R12" s="130">
        <v>0.27404515070000002</v>
      </c>
      <c r="T12"/>
    </row>
    <row r="13" spans="2:20">
      <c r="B13" s="91">
        <v>42474</v>
      </c>
      <c r="C13" s="92">
        <v>0.69672383459999998</v>
      </c>
      <c r="D13" s="92">
        <f>VLOOKUP(CurrentMtgRatesDataTable825[[#This Row],[asofdate]],I:J,2,0)</f>
        <v>0.63080109149999997</v>
      </c>
      <c r="E13" s="92">
        <f>VLOOKUP(CurrentMtgRatesDataTable825[[#This Row],[asofdate]],M:N,2,0)</f>
        <v>0.26905119960000001</v>
      </c>
      <c r="F13" s="93">
        <f ca="1">VLOOKUP(CurrentMtgRatesDataTable825[[#This Row],[asofdate]]+1,Bloomberg!B:C,2,0)</f>
        <v>2072.6</v>
      </c>
      <c r="I13" s="115">
        <v>42474</v>
      </c>
      <c r="J13" s="130">
        <v>0.63080109149999997</v>
      </c>
      <c r="M13" s="115">
        <v>42474</v>
      </c>
      <c r="N13" s="130">
        <v>0.26905119960000001</v>
      </c>
      <c r="O13" s="130"/>
      <c r="P13" s="130"/>
      <c r="Q13" s="115">
        <v>42474</v>
      </c>
      <c r="R13" s="130">
        <v>0.28374614799999998</v>
      </c>
      <c r="T13"/>
    </row>
    <row r="14" spans="2:20">
      <c r="B14" s="91">
        <v>42467</v>
      </c>
      <c r="C14" s="92">
        <v>0.68664584439999998</v>
      </c>
      <c r="D14" s="92">
        <f>VLOOKUP(CurrentMtgRatesDataTable825[[#This Row],[asofdate]],I:J,2,0)</f>
        <v>0.62820417880000001</v>
      </c>
      <c r="E14" s="92">
        <f>VLOOKUP(CurrentMtgRatesDataTable825[[#This Row],[asofdate]],M:N,2,0)</f>
        <v>0.26649742840000001</v>
      </c>
      <c r="F14" s="93">
        <f ca="1">VLOOKUP(CurrentMtgRatesDataTable825[[#This Row],[asofdate]]+1,Bloomberg!B:C,2,0)</f>
        <v>2061.1</v>
      </c>
      <c r="I14" s="115">
        <v>42467</v>
      </c>
      <c r="J14" s="130">
        <v>0.62820417880000001</v>
      </c>
      <c r="M14" s="115">
        <v>42467</v>
      </c>
      <c r="N14" s="130">
        <v>0.26649742840000001</v>
      </c>
      <c r="O14" s="130"/>
      <c r="P14" s="130"/>
      <c r="Q14" s="115">
        <v>42467</v>
      </c>
      <c r="R14" s="130">
        <v>0.27836232100000002</v>
      </c>
      <c r="T14"/>
    </row>
    <row r="15" spans="2:20">
      <c r="B15" s="91">
        <v>42460</v>
      </c>
      <c r="C15" s="92">
        <v>0.56749132749999998</v>
      </c>
      <c r="D15" s="92">
        <f>VLOOKUP(CurrentMtgRatesDataTable825[[#This Row],[asofdate]],I:J,2,0)</f>
        <v>0.54440567340000001</v>
      </c>
      <c r="E15" s="92">
        <f>VLOOKUP(CurrentMtgRatesDataTable825[[#This Row],[asofdate]],M:N,2,0)</f>
        <v>0</v>
      </c>
      <c r="F15" s="93">
        <f ca="1">VLOOKUP(CurrentMtgRatesDataTable825[[#This Row],[asofdate]]+1,Bloomberg!B:C,2,0)</f>
        <v>1815.4</v>
      </c>
      <c r="I15" s="115">
        <v>42460</v>
      </c>
      <c r="J15" s="130">
        <v>0.54440567340000001</v>
      </c>
      <c r="M15" s="115">
        <v>42460</v>
      </c>
      <c r="N15" s="130">
        <v>0</v>
      </c>
      <c r="O15" s="130"/>
      <c r="P15" s="130"/>
      <c r="Q15" s="115">
        <v>42460</v>
      </c>
      <c r="R15" s="130">
        <v>4.9843355999999998E-2</v>
      </c>
      <c r="T15"/>
    </row>
    <row r="16" spans="2:20">
      <c r="B16" s="91">
        <v>42453</v>
      </c>
      <c r="C16" s="92">
        <v>0.56749132749999998</v>
      </c>
      <c r="D16" s="92">
        <f>VLOOKUP(CurrentMtgRatesDataTable825[[#This Row],[asofdate]],I:J,2,0)</f>
        <v>0.54440567340000001</v>
      </c>
      <c r="E16" s="92">
        <f>VLOOKUP(CurrentMtgRatesDataTable825[[#This Row],[asofdate]],M:N,2,0)</f>
        <v>0</v>
      </c>
      <c r="F16" s="93">
        <f ca="1">VLOOKUP(CurrentMtgRatesDataTable825[[#This Row],[asofdate]]+1,Bloomberg!B:C,2,0)</f>
        <v>1671.6</v>
      </c>
      <c r="I16" s="115">
        <v>42453</v>
      </c>
      <c r="J16" s="130">
        <v>0.54440567340000001</v>
      </c>
      <c r="M16" s="115">
        <v>42453</v>
      </c>
      <c r="N16" s="130">
        <v>0</v>
      </c>
      <c r="O16" s="130"/>
      <c r="P16" s="130"/>
      <c r="Q16" s="115">
        <v>42453</v>
      </c>
      <c r="R16" s="130">
        <v>0.2031771</v>
      </c>
      <c r="T16"/>
    </row>
    <row r="17" spans="2:20">
      <c r="B17" s="91">
        <v>42446</v>
      </c>
      <c r="C17" s="92">
        <v>0.54737976219999995</v>
      </c>
      <c r="D17" s="92">
        <f>VLOOKUP(CurrentMtgRatesDataTable825[[#This Row],[asofdate]],I:J,2,0)</f>
        <v>0.53878857629999999</v>
      </c>
      <c r="E17" s="92">
        <f>VLOOKUP(CurrentMtgRatesDataTable825[[#This Row],[asofdate]],M:N,2,0)</f>
        <v>0</v>
      </c>
      <c r="F17" s="93">
        <f ca="1">VLOOKUP(CurrentMtgRatesDataTable825[[#This Row],[asofdate]]+1,Bloomberg!B:C,2,0)</f>
        <v>1743.3</v>
      </c>
      <c r="I17" s="115">
        <v>42446</v>
      </c>
      <c r="J17" s="130">
        <v>0.53878857629999999</v>
      </c>
      <c r="M17" s="115">
        <v>42446</v>
      </c>
      <c r="N17" s="130">
        <v>0</v>
      </c>
      <c r="O17" s="130"/>
      <c r="P17" s="130"/>
      <c r="Q17" s="115">
        <v>42446</v>
      </c>
      <c r="R17" s="130">
        <v>4.2037071199999998E-2</v>
      </c>
      <c r="T17"/>
    </row>
    <row r="18" spans="2:20">
      <c r="B18" s="91">
        <v>42439</v>
      </c>
      <c r="C18" s="92">
        <v>0.58587521639999995</v>
      </c>
      <c r="D18" s="92">
        <f>VLOOKUP(CurrentMtgRatesDataTable825[[#This Row],[asofdate]],I:J,2,0)</f>
        <v>0.56981847109999995</v>
      </c>
      <c r="E18" s="92">
        <f>VLOOKUP(CurrentMtgRatesDataTable825[[#This Row],[asofdate]],M:N,2,0)</f>
        <v>0</v>
      </c>
      <c r="F18" s="93">
        <f ca="1">VLOOKUP(CurrentMtgRatesDataTable825[[#This Row],[asofdate]]+1,Bloomberg!B:C,2,0)</f>
        <v>1841.2</v>
      </c>
      <c r="I18" s="115">
        <v>42439</v>
      </c>
      <c r="J18" s="130">
        <v>0.56981847109999995</v>
      </c>
      <c r="M18" s="115">
        <v>42439</v>
      </c>
      <c r="N18" s="130">
        <v>0</v>
      </c>
      <c r="O18" s="130"/>
      <c r="P18" s="130"/>
      <c r="Q18" s="115">
        <v>42439</v>
      </c>
      <c r="R18" s="130">
        <v>0.2267590142</v>
      </c>
      <c r="T18"/>
    </row>
    <row r="19" spans="2:20">
      <c r="B19" s="91">
        <v>42432</v>
      </c>
      <c r="C19" s="92">
        <v>0.62315819090000002</v>
      </c>
      <c r="D19" s="92">
        <f>VLOOKUP(CurrentMtgRatesDataTable825[[#This Row],[asofdate]],I:J,2,0)</f>
        <v>0.57935099440000004</v>
      </c>
      <c r="E19" s="92">
        <f>VLOOKUP(CurrentMtgRatesDataTable825[[#This Row],[asofdate]],M:N,2,0)</f>
        <v>5.7145894099999997E-2</v>
      </c>
      <c r="F19" s="93">
        <f ca="1">VLOOKUP(CurrentMtgRatesDataTable825[[#This Row],[asofdate]]+1,Bloomberg!B:C,2,0)</f>
        <v>1928</v>
      </c>
      <c r="I19" s="115">
        <v>42432</v>
      </c>
      <c r="J19" s="130">
        <v>0.57935099440000004</v>
      </c>
      <c r="M19" s="115">
        <v>42432</v>
      </c>
      <c r="N19" s="130">
        <v>5.7145894099999997E-2</v>
      </c>
      <c r="O19" s="130"/>
      <c r="P19" s="130"/>
      <c r="Q19" s="115">
        <v>42432</v>
      </c>
      <c r="R19" s="130">
        <v>0.23816616020000003</v>
      </c>
      <c r="T19"/>
    </row>
    <row r="20" spans="2:20">
      <c r="B20" s="91">
        <v>42425</v>
      </c>
      <c r="C20" s="92">
        <v>0.62152081729999997</v>
      </c>
      <c r="D20" s="92">
        <f>VLOOKUP(CurrentMtgRatesDataTable825[[#This Row],[asofdate]],I:J,2,0)</f>
        <v>0.58209872399999996</v>
      </c>
      <c r="E20" s="92">
        <f>VLOOKUP(CurrentMtgRatesDataTable825[[#This Row],[asofdate]],M:N,2,0)</f>
        <v>5.1230928299999999E-2</v>
      </c>
      <c r="F20" s="93">
        <f ca="1">VLOOKUP(CurrentMtgRatesDataTable825[[#This Row],[asofdate]]+1,Bloomberg!B:C,2,0)</f>
        <v>1992.9</v>
      </c>
      <c r="I20" s="115">
        <v>42425</v>
      </c>
      <c r="J20" s="130">
        <v>0.58209872399999996</v>
      </c>
      <c r="M20" s="115">
        <v>42425</v>
      </c>
      <c r="N20" s="130">
        <v>5.1230928299999999E-2</v>
      </c>
      <c r="O20" s="130"/>
      <c r="P20" s="130"/>
      <c r="Q20" s="115">
        <v>42425</v>
      </c>
      <c r="R20" s="130">
        <v>0.23417131099999999</v>
      </c>
      <c r="T20"/>
    </row>
    <row r="21" spans="2:20">
      <c r="B21" s="91">
        <v>42418</v>
      </c>
      <c r="C21" s="92">
        <v>0.61975450249999997</v>
      </c>
      <c r="D21" s="92">
        <f>VLOOKUP(CurrentMtgRatesDataTable825[[#This Row],[asofdate]],I:J,2,0)</f>
        <v>0.58166015199999999</v>
      </c>
      <c r="E21" s="92">
        <f>VLOOKUP(CurrentMtgRatesDataTable825[[#This Row],[asofdate]],M:N,2,0)</f>
        <v>0</v>
      </c>
      <c r="F21" s="93">
        <f ca="1">VLOOKUP(CurrentMtgRatesDataTable825[[#This Row],[asofdate]]+1,Bloomberg!B:C,2,0)</f>
        <v>2099.9</v>
      </c>
      <c r="I21" s="115">
        <v>42418</v>
      </c>
      <c r="J21" s="130">
        <v>0.58166015199999999</v>
      </c>
      <c r="M21" s="115">
        <v>42418</v>
      </c>
      <c r="N21" s="130">
        <v>0</v>
      </c>
      <c r="O21" s="130"/>
      <c r="P21" s="130"/>
      <c r="Q21" s="115">
        <v>42418</v>
      </c>
      <c r="R21" s="130">
        <v>0.23187807120000001</v>
      </c>
      <c r="T21"/>
    </row>
    <row r="22" spans="2:20">
      <c r="B22" s="91">
        <v>42411</v>
      </c>
      <c r="C22" s="92">
        <v>0.61975450249999997</v>
      </c>
      <c r="D22" s="92">
        <f>VLOOKUP(CurrentMtgRatesDataTable825[[#This Row],[asofdate]],I:J,2,0)</f>
        <v>0.58166015199999999</v>
      </c>
      <c r="E22" s="92">
        <f>VLOOKUP(CurrentMtgRatesDataTable825[[#This Row],[asofdate]],M:N,2,0)</f>
        <v>5.1085709700000002E-2</v>
      </c>
      <c r="F22" s="93">
        <f ca="1">VLOOKUP(CurrentMtgRatesDataTable825[[#This Row],[asofdate]]+1,Bloomberg!B:C,2,0)</f>
        <v>2341.5</v>
      </c>
      <c r="I22" s="115">
        <v>42411</v>
      </c>
      <c r="J22" s="130">
        <v>0.58166015199999999</v>
      </c>
      <c r="M22" s="115">
        <v>42411</v>
      </c>
      <c r="N22" s="130">
        <v>5.1085709700000002E-2</v>
      </c>
      <c r="O22" s="130"/>
      <c r="P22" s="130"/>
      <c r="Q22" s="115">
        <v>42411</v>
      </c>
      <c r="R22" s="130">
        <v>0.23383256720000001</v>
      </c>
      <c r="T22"/>
    </row>
    <row r="23" spans="2:20">
      <c r="B23" s="91">
        <v>42404</v>
      </c>
      <c r="C23" s="92">
        <v>0.53918901320000001</v>
      </c>
      <c r="D23" s="92">
        <f>VLOOKUP(CurrentMtgRatesDataTable825[[#This Row],[asofdate]],I:J,2,0)</f>
        <v>0.54131622769999999</v>
      </c>
      <c r="E23" s="92">
        <f>VLOOKUP(CurrentMtgRatesDataTable825[[#This Row],[asofdate]],M:N,2,0)</f>
        <v>3.1734090600000001E-2</v>
      </c>
      <c r="F23" s="93">
        <f ca="1">VLOOKUP(CurrentMtgRatesDataTable825[[#This Row],[asofdate]]+1,Bloomberg!B:C,2,0)</f>
        <v>2015.4</v>
      </c>
      <c r="I23" s="115">
        <v>42404</v>
      </c>
      <c r="J23" s="130">
        <v>0.54131622769999999</v>
      </c>
      <c r="M23" s="115">
        <v>42404</v>
      </c>
      <c r="N23" s="130">
        <v>3.1734090600000001E-2</v>
      </c>
      <c r="O23" s="130"/>
      <c r="P23" s="130"/>
      <c r="Q23" s="115">
        <v>42404</v>
      </c>
      <c r="R23" s="130">
        <v>0.1952732136</v>
      </c>
      <c r="T23"/>
    </row>
    <row r="24" spans="2:20">
      <c r="B24" s="91">
        <v>42397</v>
      </c>
      <c r="C24" s="92">
        <v>0.50272537399999995</v>
      </c>
      <c r="D24" s="92">
        <f>VLOOKUP(CurrentMtgRatesDataTable825[[#This Row],[asofdate]],I:J,2,0)</f>
        <v>0.48172130040000005</v>
      </c>
      <c r="E24" s="92">
        <f>VLOOKUP(CurrentMtgRatesDataTable825[[#This Row],[asofdate]],M:N,2,0)</f>
        <v>3.3333785999999999E-3</v>
      </c>
      <c r="F24" s="93">
        <f ca="1">VLOOKUP(CurrentMtgRatesDataTable825[[#This Row],[asofdate]]+1,Bloomberg!B:C,2,0)</f>
        <v>1726.6</v>
      </c>
      <c r="I24" s="115">
        <v>42397</v>
      </c>
      <c r="J24" s="130">
        <v>0.48172130040000005</v>
      </c>
      <c r="M24" s="115">
        <v>42397</v>
      </c>
      <c r="N24" s="130">
        <v>3.3333785999999999E-3</v>
      </c>
      <c r="O24" s="130"/>
      <c r="P24" s="130"/>
      <c r="Q24" s="115">
        <v>42397</v>
      </c>
      <c r="R24" s="130">
        <v>1.7591301199999999E-2</v>
      </c>
      <c r="T24"/>
    </row>
    <row r="25" spans="2:20">
      <c r="B25" s="91">
        <v>42390</v>
      </c>
      <c r="C25" s="92">
        <v>0.49753910080000002</v>
      </c>
      <c r="D25" s="92">
        <f>VLOOKUP(CurrentMtgRatesDataTable825[[#This Row],[asofdate]],I:J,2,0)</f>
        <v>0.47928735750000007</v>
      </c>
      <c r="E25" s="92">
        <f>VLOOKUP(CurrentMtgRatesDataTable825[[#This Row],[asofdate]],M:N,2,0)</f>
        <v>3.3044493000000002E-3</v>
      </c>
      <c r="F25" s="93">
        <f ca="1">VLOOKUP(CurrentMtgRatesDataTable825[[#This Row],[asofdate]]+1,Bloomberg!B:C,2,0)</f>
        <v>1734.4</v>
      </c>
      <c r="I25" s="115">
        <v>42390</v>
      </c>
      <c r="J25" s="130">
        <v>0.47928735750000007</v>
      </c>
      <c r="M25" s="115">
        <v>42390</v>
      </c>
      <c r="N25" s="130">
        <v>3.3044493000000002E-3</v>
      </c>
      <c r="O25" s="130"/>
      <c r="P25" s="130"/>
      <c r="Q25" s="115">
        <v>42390</v>
      </c>
      <c r="R25" s="130">
        <v>1.7296221699999999E-2</v>
      </c>
      <c r="T25"/>
    </row>
    <row r="26" spans="2:20">
      <c r="B26" s="91">
        <v>42383</v>
      </c>
      <c r="C26" s="92">
        <v>0.46815197920000007</v>
      </c>
      <c r="D26" s="92">
        <f>VLOOKUP(CurrentMtgRatesDataTable825[[#This Row],[asofdate]],I:J,2,0)</f>
        <v>0.41526002010000002</v>
      </c>
      <c r="E26" s="92">
        <f>VLOOKUP(CurrentMtgRatesDataTable825[[#This Row],[asofdate]],M:N,2,0)</f>
        <v>5.448769E-4</v>
      </c>
      <c r="F26" s="93">
        <f ca="1">VLOOKUP(CurrentMtgRatesDataTable825[[#This Row],[asofdate]]+1,Bloomberg!B:C,2,0)</f>
        <v>1544.6</v>
      </c>
      <c r="I26" s="115">
        <v>42383</v>
      </c>
      <c r="J26" s="130">
        <v>0.41526002010000002</v>
      </c>
      <c r="M26" s="115">
        <v>42383</v>
      </c>
      <c r="N26" s="130">
        <v>5.448769E-4</v>
      </c>
      <c r="O26" s="130"/>
      <c r="P26" s="130"/>
      <c r="Q26" s="115">
        <v>42383</v>
      </c>
      <c r="R26" s="130">
        <v>6.2010661000000003E-3</v>
      </c>
      <c r="T26"/>
    </row>
    <row r="27" spans="2:20">
      <c r="B27" s="91">
        <v>42376</v>
      </c>
      <c r="C27" s="92">
        <v>0.44756382090000002</v>
      </c>
      <c r="D27" s="92">
        <f>VLOOKUP(CurrentMtgRatesDataTable825[[#This Row],[asofdate]],I:J,2,0)</f>
        <v>0.40781420359999998</v>
      </c>
      <c r="E27" s="92">
        <f>VLOOKUP(CurrentMtgRatesDataTable825[[#This Row],[asofdate]],M:N,2,0)</f>
        <v>0</v>
      </c>
      <c r="F27" s="93">
        <f ca="1">VLOOKUP(CurrentMtgRatesDataTable825[[#This Row],[asofdate]]+1,Bloomberg!B:C,2,0)</f>
        <v>1273.8</v>
      </c>
      <c r="I27" s="115">
        <v>42376</v>
      </c>
      <c r="J27" s="130">
        <v>0.40781420359999998</v>
      </c>
      <c r="M27" s="115">
        <v>42376</v>
      </c>
      <c r="N27" s="130">
        <v>0</v>
      </c>
      <c r="O27" s="130"/>
      <c r="P27" s="130"/>
      <c r="Q27" s="115">
        <v>42376</v>
      </c>
      <c r="R27" s="130">
        <v>3.0047211000000002E-3</v>
      </c>
      <c r="T27"/>
    </row>
    <row r="28" spans="2:20">
      <c r="B28" s="91">
        <v>42369</v>
      </c>
      <c r="C28" s="92">
        <v>0.43826473589999998</v>
      </c>
      <c r="D28" s="92">
        <f>VLOOKUP(CurrentMtgRatesDataTable825[[#This Row],[asofdate]],I:J,2,0)</f>
        <v>0.3831685655</v>
      </c>
      <c r="E28" s="92">
        <f>VLOOKUP(CurrentMtgRatesDataTable825[[#This Row],[asofdate]],M:N,2,0)</f>
        <v>0</v>
      </c>
      <c r="F28" s="93">
        <f ca="1">VLOOKUP(CurrentMtgRatesDataTable825[[#This Row],[asofdate]]+1,Bloomberg!B:C,2,0)</f>
        <v>1020.5</v>
      </c>
      <c r="I28" s="115">
        <v>42369</v>
      </c>
      <c r="J28" s="130">
        <v>0.3831685655</v>
      </c>
      <c r="M28" s="115">
        <v>42369</v>
      </c>
      <c r="N28" s="130">
        <v>0</v>
      </c>
      <c r="O28" s="130"/>
      <c r="P28" s="130"/>
      <c r="Q28" s="115">
        <v>42369</v>
      </c>
      <c r="R28" s="130">
        <v>4.7134729999999999E-4</v>
      </c>
      <c r="T28"/>
    </row>
    <row r="29" spans="2:20">
      <c r="B29" s="91">
        <v>42362</v>
      </c>
      <c r="C29" s="92">
        <v>0.4601935942</v>
      </c>
      <c r="D29" s="92">
        <f>VLOOKUP(CurrentMtgRatesDataTable825[[#This Row],[asofdate]],I:J,2,0)</f>
        <v>0.41543361070000001</v>
      </c>
      <c r="E29" s="92">
        <f>VLOOKUP(CurrentMtgRatesDataTable825[[#This Row],[asofdate]],M:N,2,0)</f>
        <v>0</v>
      </c>
      <c r="F29" s="93">
        <f ca="1">VLOOKUP(CurrentMtgRatesDataTable825[[#This Row],[asofdate]]+1,Bloomberg!B:C,2,0)</f>
        <v>1174.0999999999999</v>
      </c>
      <c r="I29" s="115">
        <v>42362</v>
      </c>
      <c r="J29" s="130">
        <v>0.41543361070000001</v>
      </c>
      <c r="M29" s="115">
        <v>42362</v>
      </c>
      <c r="N29" s="130">
        <v>0</v>
      </c>
      <c r="O29" s="130"/>
      <c r="P29" s="130"/>
      <c r="Q29" s="115">
        <v>42362</v>
      </c>
      <c r="R29" s="130">
        <v>3.7034997000000001E-3</v>
      </c>
      <c r="T29"/>
    </row>
    <row r="30" spans="2:20">
      <c r="B30" s="91">
        <v>42355</v>
      </c>
      <c r="C30" s="92">
        <v>0.45605562830000002</v>
      </c>
      <c r="D30" s="92">
        <f>VLOOKUP(CurrentMtgRatesDataTable825[[#This Row],[asofdate]],I:J,2,0)</f>
        <v>0.41475858059999998</v>
      </c>
      <c r="E30" s="92">
        <f>VLOOKUP(CurrentMtgRatesDataTable825[[#This Row],[asofdate]],M:N,2,0)</f>
        <v>0</v>
      </c>
      <c r="F30" s="93">
        <f ca="1">VLOOKUP(CurrentMtgRatesDataTable825[[#This Row],[asofdate]]+1,Bloomberg!B:C,2,0)</f>
        <v>1667.4</v>
      </c>
      <c r="I30" s="115">
        <v>42355</v>
      </c>
      <c r="J30" s="130">
        <v>0.41475858059999998</v>
      </c>
      <c r="M30" s="115">
        <v>42355</v>
      </c>
      <c r="N30" s="130">
        <v>0</v>
      </c>
      <c r="O30" s="130"/>
      <c r="P30" s="130"/>
      <c r="Q30" s="115">
        <v>42355</v>
      </c>
      <c r="R30" s="130">
        <v>2.1328380000000002E-3</v>
      </c>
      <c r="T30"/>
    </row>
    <row r="31" spans="2:20">
      <c r="B31" s="91">
        <v>42348</v>
      </c>
      <c r="C31" s="92">
        <v>0.46652962419999999</v>
      </c>
      <c r="D31" s="92">
        <f>VLOOKUP(CurrentMtgRatesDataTable825[[#This Row],[asofdate]],I:J,2,0)</f>
        <v>0.41671533789999998</v>
      </c>
      <c r="E31" s="92">
        <f>VLOOKUP(CurrentMtgRatesDataTable825[[#This Row],[asofdate]],M:N,2,0)</f>
        <v>0</v>
      </c>
      <c r="F31" s="93">
        <f ca="1">VLOOKUP(CurrentMtgRatesDataTable825[[#This Row],[asofdate]]+1,Bloomberg!B:C,2,0)</f>
        <v>1470.6</v>
      </c>
      <c r="I31" s="115">
        <v>42348</v>
      </c>
      <c r="J31" s="130">
        <v>0.41671533789999998</v>
      </c>
      <c r="M31" s="115">
        <v>42348</v>
      </c>
      <c r="N31" s="130">
        <v>0</v>
      </c>
      <c r="O31" s="130"/>
      <c r="P31" s="130"/>
      <c r="Q31" s="115">
        <v>42348</v>
      </c>
      <c r="R31" s="130">
        <v>3.7282702000000002E-3</v>
      </c>
      <c r="T31"/>
    </row>
    <row r="32" spans="2:20">
      <c r="B32" s="91">
        <v>42341</v>
      </c>
      <c r="C32" s="92">
        <v>0.47347711400000003</v>
      </c>
      <c r="D32" s="92">
        <f>VLOOKUP(CurrentMtgRatesDataTable825[[#This Row],[asofdate]],I:J,2,0)</f>
        <v>0.42119163279999999</v>
      </c>
      <c r="E32" s="92">
        <f>VLOOKUP(CurrentMtgRatesDataTable825[[#This Row],[asofdate]],M:N,2,0)</f>
        <v>0</v>
      </c>
      <c r="F32" s="93">
        <f ca="1">VLOOKUP(CurrentMtgRatesDataTable825[[#This Row],[asofdate]]+1,Bloomberg!B:C,2,0)</f>
        <v>1451.5</v>
      </c>
      <c r="I32" s="115">
        <v>42341</v>
      </c>
      <c r="J32" s="130">
        <v>0.42119163279999999</v>
      </c>
      <c r="M32" s="115">
        <v>42341</v>
      </c>
      <c r="N32" s="130">
        <v>0</v>
      </c>
      <c r="O32" s="130"/>
      <c r="P32" s="130"/>
      <c r="Q32" s="115">
        <v>42341</v>
      </c>
      <c r="R32" s="130">
        <v>3.8999424000000001E-3</v>
      </c>
      <c r="T32"/>
    </row>
    <row r="33" spans="2:20">
      <c r="B33" s="91">
        <v>42333</v>
      </c>
      <c r="C33" s="92">
        <v>0.46308653259999999</v>
      </c>
      <c r="D33" s="92">
        <f>VLOOKUP(CurrentMtgRatesDataTable825[[#This Row],[asofdate]],I:J,2,0)</f>
        <v>0.42287417910000002</v>
      </c>
      <c r="E33" s="92">
        <f>VLOOKUP(CurrentMtgRatesDataTable825[[#This Row],[asofdate]],M:N,2,0)</f>
        <v>0</v>
      </c>
      <c r="F33" s="93">
        <f ca="1">VLOOKUP(CurrentMtgRatesDataTable825[[#This Row],[asofdate]]+1,Bloomberg!B:C,2,0)</f>
        <v>1410.2</v>
      </c>
      <c r="I33" s="115">
        <v>42333</v>
      </c>
      <c r="J33" s="130">
        <v>0.42287417910000002</v>
      </c>
      <c r="M33" s="115">
        <v>42333</v>
      </c>
      <c r="N33" s="130">
        <v>0</v>
      </c>
      <c r="O33" s="130"/>
      <c r="P33" s="130"/>
      <c r="Q33" s="115">
        <v>42333</v>
      </c>
      <c r="R33" s="130">
        <v>2.5040428E-3</v>
      </c>
      <c r="T33"/>
    </row>
    <row r="34" spans="2:20">
      <c r="B34" s="91">
        <v>42327</v>
      </c>
      <c r="C34" s="92">
        <v>0.46443630479999998</v>
      </c>
      <c r="D34" s="92">
        <f>VLOOKUP(CurrentMtgRatesDataTable825[[#This Row],[asofdate]],I:J,2,0)</f>
        <v>0.42345495970000002</v>
      </c>
      <c r="E34" s="92">
        <f>VLOOKUP(CurrentMtgRatesDataTable825[[#This Row],[asofdate]],M:N,2,0)</f>
        <v>0</v>
      </c>
      <c r="F34" s="93">
        <f ca="1">VLOOKUP(CurrentMtgRatesDataTable825[[#This Row],[asofdate]]+1,Bloomberg!B:C,2,0)</f>
        <v>1489</v>
      </c>
      <c r="I34" s="115">
        <v>42327</v>
      </c>
      <c r="J34" s="130">
        <v>0.42345495970000002</v>
      </c>
      <c r="M34" s="115">
        <v>42327</v>
      </c>
      <c r="N34" s="130">
        <v>0</v>
      </c>
      <c r="O34" s="130"/>
      <c r="P34" s="130"/>
      <c r="Q34" s="115">
        <v>42327</v>
      </c>
      <c r="R34" s="130">
        <v>2.5053662999999999E-3</v>
      </c>
      <c r="T34"/>
    </row>
    <row r="35" spans="2:20">
      <c r="B35" s="91">
        <v>42320</v>
      </c>
      <c r="C35" s="92">
        <v>0.45997040150000001</v>
      </c>
      <c r="D35" s="92">
        <f>VLOOKUP(CurrentMtgRatesDataTable825[[#This Row],[asofdate]],I:J,2,0)</f>
        <v>0.39698461699999998</v>
      </c>
      <c r="E35" s="92">
        <f>VLOOKUP(CurrentMtgRatesDataTable825[[#This Row],[asofdate]],M:N,2,0)</f>
        <v>0</v>
      </c>
      <c r="F35" s="93">
        <f ca="1">VLOOKUP(CurrentMtgRatesDataTable825[[#This Row],[asofdate]]+1,Bloomberg!B:C,2,0)</f>
        <v>1528.7</v>
      </c>
      <c r="I35" s="115">
        <v>42320</v>
      </c>
      <c r="J35" s="130">
        <v>0.39698461699999998</v>
      </c>
      <c r="M35" s="115">
        <v>42320</v>
      </c>
      <c r="N35" s="130">
        <v>0</v>
      </c>
      <c r="O35" s="130"/>
      <c r="P35" s="130"/>
      <c r="Q35" s="115">
        <v>42320</v>
      </c>
      <c r="R35" s="130">
        <v>1.9502083E-3</v>
      </c>
      <c r="T35"/>
    </row>
    <row r="36" spans="2:20">
      <c r="B36" s="91">
        <v>42313</v>
      </c>
      <c r="C36" s="92">
        <v>0.49677707599999998</v>
      </c>
      <c r="D36" s="92">
        <f>VLOOKUP(CurrentMtgRatesDataTable825[[#This Row],[asofdate]],I:J,2,0)</f>
        <v>0.45637168340000001</v>
      </c>
      <c r="E36" s="92">
        <f>VLOOKUP(CurrentMtgRatesDataTable825[[#This Row],[asofdate]],M:N,2,0)</f>
        <v>0</v>
      </c>
      <c r="F36" s="93">
        <f ca="1">VLOOKUP(CurrentMtgRatesDataTable825[[#This Row],[asofdate]]+1,Bloomberg!B:C,2,0)</f>
        <v>1514.1</v>
      </c>
      <c r="I36" s="115">
        <v>42313</v>
      </c>
      <c r="J36" s="130">
        <v>0.45637168340000001</v>
      </c>
      <c r="M36" s="115">
        <v>42313</v>
      </c>
      <c r="N36" s="130">
        <v>0</v>
      </c>
      <c r="O36" s="130"/>
      <c r="P36" s="130"/>
      <c r="Q36" s="115">
        <v>42313</v>
      </c>
      <c r="R36" s="130">
        <v>6.5558735999999996E-3</v>
      </c>
      <c r="T36"/>
    </row>
    <row r="37" spans="2:20">
      <c r="B37" s="91">
        <v>42306</v>
      </c>
      <c r="C37" s="92">
        <v>0.55261651649999999</v>
      </c>
      <c r="D37" s="92">
        <f>VLOOKUP(CurrentMtgRatesDataTable825[[#This Row],[asofdate]],I:J,2,0)</f>
        <v>0.53284943490000003</v>
      </c>
      <c r="E37" s="92">
        <f>VLOOKUP(CurrentMtgRatesDataTable825[[#This Row],[asofdate]],M:N,2,0)</f>
        <v>0</v>
      </c>
      <c r="F37" s="93">
        <f ca="1">VLOOKUP(CurrentMtgRatesDataTable825[[#This Row],[asofdate]]+1,Bloomberg!B:C,2,0)</f>
        <v>1548.6</v>
      </c>
      <c r="I37" s="115">
        <v>42306</v>
      </c>
      <c r="J37" s="130">
        <v>0.53284943490000003</v>
      </c>
      <c r="M37" s="115">
        <v>42306</v>
      </c>
      <c r="N37" s="130">
        <v>0</v>
      </c>
      <c r="O37" s="130"/>
      <c r="P37" s="130"/>
      <c r="Q37" s="115">
        <v>42306</v>
      </c>
      <c r="R37" s="130">
        <v>1.6887394600000001E-2</v>
      </c>
      <c r="T37"/>
    </row>
    <row r="38" spans="2:20">
      <c r="B38" s="91">
        <v>42299</v>
      </c>
      <c r="C38" s="92">
        <v>0.52706745170000002</v>
      </c>
      <c r="D38" s="92">
        <f>VLOOKUP(CurrentMtgRatesDataTable825[[#This Row],[asofdate]],I:J,2,0)</f>
        <v>0.50641637490000002</v>
      </c>
      <c r="E38" s="92">
        <f>VLOOKUP(CurrentMtgRatesDataTable825[[#This Row],[asofdate]],M:N,2,0)</f>
        <v>0</v>
      </c>
      <c r="F38" s="93">
        <f ca="1">VLOOKUP(CurrentMtgRatesDataTable825[[#This Row],[asofdate]]+1,Bloomberg!B:C,2,0)</f>
        <v>1544.8</v>
      </c>
      <c r="I38" s="115">
        <v>42299</v>
      </c>
      <c r="J38" s="130">
        <v>0.50641637490000002</v>
      </c>
      <c r="M38" s="115">
        <v>42299</v>
      </c>
      <c r="N38" s="130">
        <v>0</v>
      </c>
      <c r="O38" s="130"/>
      <c r="P38" s="130"/>
      <c r="Q38" s="115">
        <v>42299</v>
      </c>
      <c r="R38" s="130">
        <v>1.2722163599999999E-2</v>
      </c>
      <c r="T38"/>
    </row>
    <row r="39" spans="2:20">
      <c r="B39" s="91">
        <v>42292</v>
      </c>
      <c r="C39" s="92">
        <v>0.52130362860000001</v>
      </c>
      <c r="D39" s="92">
        <f>VLOOKUP(CurrentMtgRatesDataTable825[[#This Row],[asofdate]],I:J,2,0)</f>
        <v>0.50022693870000001</v>
      </c>
      <c r="E39" s="92">
        <f>VLOOKUP(CurrentMtgRatesDataTable825[[#This Row],[asofdate]],M:N,2,0)</f>
        <v>0</v>
      </c>
      <c r="F39" s="93">
        <f ca="1">VLOOKUP(CurrentMtgRatesDataTable825[[#This Row],[asofdate]]+1,Bloomberg!B:C,2,0)</f>
        <v>1575.3</v>
      </c>
      <c r="I39" s="115">
        <v>42292</v>
      </c>
      <c r="J39" s="130">
        <v>0.50022693870000001</v>
      </c>
      <c r="M39" s="115">
        <v>42292</v>
      </c>
      <c r="N39" s="130">
        <v>0</v>
      </c>
      <c r="O39" s="130"/>
      <c r="P39" s="130"/>
      <c r="Q39" s="115">
        <v>42292</v>
      </c>
      <c r="R39" s="130">
        <v>8.9844881000000001E-3</v>
      </c>
      <c r="T39"/>
    </row>
    <row r="40" spans="2:20">
      <c r="B40" s="91">
        <v>42285</v>
      </c>
      <c r="C40" s="92">
        <v>0.55261651649999999</v>
      </c>
      <c r="D40" s="92">
        <f>VLOOKUP(CurrentMtgRatesDataTable825[[#This Row],[asofdate]],I:J,2,0)</f>
        <v>0.53284943490000003</v>
      </c>
      <c r="E40" s="92">
        <f>VLOOKUP(CurrentMtgRatesDataTable825[[#This Row],[asofdate]],M:N,2,0)</f>
        <v>8.6672647999999995E-3</v>
      </c>
      <c r="F40" s="93">
        <f ca="1">VLOOKUP(CurrentMtgRatesDataTable825[[#This Row],[asofdate]]+1,Bloomberg!B:C,2,0)</f>
        <v>1534.5</v>
      </c>
      <c r="I40" s="115">
        <v>42285</v>
      </c>
      <c r="J40" s="130">
        <v>0.53284943490000003</v>
      </c>
      <c r="M40" s="115">
        <v>42285</v>
      </c>
      <c r="N40" s="130">
        <v>8.6672647999999995E-3</v>
      </c>
      <c r="O40" s="130"/>
      <c r="P40" s="130"/>
      <c r="Q40" s="115">
        <v>42285</v>
      </c>
      <c r="R40" s="130">
        <v>1.6887394600000001E-2</v>
      </c>
      <c r="T40"/>
    </row>
    <row r="41" spans="2:20">
      <c r="B41" s="91">
        <v>42278</v>
      </c>
      <c r="C41" s="92">
        <v>0.51208600950000005</v>
      </c>
      <c r="D41" s="92">
        <f>VLOOKUP(CurrentMtgRatesDataTable825[[#This Row],[asofdate]],I:J,2,0)</f>
        <v>0.49720172820000003</v>
      </c>
      <c r="E41" s="92">
        <f>VLOOKUP(CurrentMtgRatesDataTable825[[#This Row],[asofdate]],M:N,2,0)</f>
        <v>1.7827444999999999E-3</v>
      </c>
      <c r="F41" s="93">
        <f ca="1">VLOOKUP(CurrentMtgRatesDataTable825[[#This Row],[asofdate]]+1,Bloomberg!B:C,2,0)</f>
        <v>2071.6</v>
      </c>
      <c r="I41" s="115">
        <v>42278</v>
      </c>
      <c r="J41" s="130">
        <v>0.49720172820000003</v>
      </c>
      <c r="M41" s="115">
        <v>42278</v>
      </c>
      <c r="N41" s="130">
        <v>1.7827444999999999E-3</v>
      </c>
      <c r="O41" s="130"/>
      <c r="P41" s="130"/>
      <c r="Q41" s="115">
        <v>42278</v>
      </c>
      <c r="R41" s="130">
        <v>8.5607423000000002E-3</v>
      </c>
      <c r="T41"/>
    </row>
    <row r="42" spans="2:20">
      <c r="B42" s="91">
        <v>42271</v>
      </c>
      <c r="C42" s="92">
        <v>0.51399076759999995</v>
      </c>
      <c r="D42" s="92">
        <f>VLOOKUP(CurrentMtgRatesDataTable825[[#This Row],[asofdate]],I:J,2,0)</f>
        <v>0.4667430393</v>
      </c>
      <c r="E42" s="92">
        <f>VLOOKUP(CurrentMtgRatesDataTable825[[#This Row],[asofdate]],M:N,2,0)</f>
        <v>7.4039299999999994E-5</v>
      </c>
      <c r="F42" s="93">
        <f ca="1">VLOOKUP(CurrentMtgRatesDataTable825[[#This Row],[asofdate]]+1,Bloomberg!B:C,2,0)</f>
        <v>1589.5</v>
      </c>
      <c r="I42" s="115">
        <v>42271</v>
      </c>
      <c r="J42" s="130">
        <v>0.4667430393</v>
      </c>
      <c r="M42" s="115">
        <v>42271</v>
      </c>
      <c r="N42" s="130">
        <v>7.4039299999999994E-5</v>
      </c>
      <c r="O42" s="130"/>
      <c r="P42" s="130"/>
      <c r="Q42" s="115">
        <v>42271</v>
      </c>
      <c r="R42" s="130">
        <v>2.6883557000000002E-3</v>
      </c>
      <c r="T42"/>
    </row>
    <row r="43" spans="2:20">
      <c r="B43" s="91">
        <v>42264</v>
      </c>
      <c r="C43" s="92">
        <v>0.5083323126</v>
      </c>
      <c r="D43" s="92">
        <f>VLOOKUP(CurrentMtgRatesDataTable825[[#This Row],[asofdate]],I:J,2,0)</f>
        <v>0.46378838439999998</v>
      </c>
      <c r="E43" s="92">
        <f>VLOOKUP(CurrentMtgRatesDataTable825[[#This Row],[asofdate]],M:N,2,0)</f>
        <v>0</v>
      </c>
      <c r="F43" s="93">
        <f ca="1">VLOOKUP(CurrentMtgRatesDataTable825[[#This Row],[asofdate]]+1,Bloomberg!B:C,2,0)</f>
        <v>1759.9</v>
      </c>
      <c r="I43" s="115">
        <v>42264</v>
      </c>
      <c r="J43" s="130">
        <v>0.46378838439999998</v>
      </c>
      <c r="M43" s="115">
        <v>42264</v>
      </c>
      <c r="N43" s="130">
        <v>0</v>
      </c>
      <c r="O43" s="130"/>
      <c r="P43" s="130"/>
      <c r="Q43" s="115">
        <v>42264</v>
      </c>
      <c r="R43" s="130">
        <v>2.1280814000000001E-3</v>
      </c>
      <c r="T43"/>
    </row>
    <row r="44" spans="2:20">
      <c r="B44" s="91">
        <v>42257</v>
      </c>
      <c r="C44" s="92">
        <v>0.51043465129999999</v>
      </c>
      <c r="D44" s="92">
        <f>VLOOKUP(CurrentMtgRatesDataTable825[[#This Row],[asofdate]],I:J,2,0)</f>
        <v>0.46538467929999999</v>
      </c>
      <c r="E44" s="92">
        <f>VLOOKUP(CurrentMtgRatesDataTable825[[#This Row],[asofdate]],M:N,2,0)</f>
        <v>0</v>
      </c>
      <c r="F44" s="93">
        <f ca="1">VLOOKUP(CurrentMtgRatesDataTable825[[#This Row],[asofdate]]+1,Bloomberg!B:C,2,0)</f>
        <v>1473.7</v>
      </c>
      <c r="I44" s="115">
        <v>42257</v>
      </c>
      <c r="J44" s="130">
        <v>0.46538467929999999</v>
      </c>
      <c r="M44" s="115">
        <v>42257</v>
      </c>
      <c r="N44" s="130">
        <v>0</v>
      </c>
      <c r="O44" s="130"/>
      <c r="P44" s="130"/>
      <c r="Q44" s="115">
        <v>42257</v>
      </c>
      <c r="R44" s="130">
        <v>2.6022055E-3</v>
      </c>
      <c r="T44"/>
    </row>
    <row r="45" spans="2:20">
      <c r="B45" s="91">
        <v>42250</v>
      </c>
      <c r="C45" s="92">
        <v>0.5127782193</v>
      </c>
      <c r="D45" s="92">
        <f>VLOOKUP(CurrentMtgRatesDataTable825[[#This Row],[asofdate]],I:J,2,0)</f>
        <v>0.46628192260000001</v>
      </c>
      <c r="E45" s="92">
        <f>VLOOKUP(CurrentMtgRatesDataTable825[[#This Row],[asofdate]],M:N,2,0)</f>
        <v>0</v>
      </c>
      <c r="F45" s="93">
        <f ca="1">VLOOKUP(CurrentMtgRatesDataTable825[[#This Row],[asofdate]]+1,Bloomberg!B:C,2,0)</f>
        <v>1626.9</v>
      </c>
      <c r="I45" s="115">
        <v>42250</v>
      </c>
      <c r="J45" s="130">
        <v>0.46628192260000001</v>
      </c>
      <c r="M45" s="115">
        <v>42250</v>
      </c>
      <c r="N45" s="130">
        <v>0</v>
      </c>
      <c r="O45" s="130"/>
      <c r="P45" s="130"/>
      <c r="Q45" s="115">
        <v>42250</v>
      </c>
      <c r="R45" s="130">
        <v>2.5424555000000001E-3</v>
      </c>
      <c r="T45"/>
    </row>
    <row r="46" spans="2:20">
      <c r="B46" s="91">
        <v>42243</v>
      </c>
      <c r="C46" s="92">
        <v>0.53856859050000006</v>
      </c>
      <c r="D46" s="92">
        <f>VLOOKUP(CurrentMtgRatesDataTable825[[#This Row],[asofdate]],I:J,2,0)</f>
        <v>0.50782718149999995</v>
      </c>
      <c r="E46" s="92">
        <f>VLOOKUP(CurrentMtgRatesDataTable825[[#This Row],[asofdate]],M:N,2,0)</f>
        <v>1.1738189E-3</v>
      </c>
      <c r="F46" s="93">
        <f ca="1">VLOOKUP(CurrentMtgRatesDataTable825[[#This Row],[asofdate]]+1,Bloomberg!B:C,2,0)</f>
        <v>1857.7</v>
      </c>
      <c r="I46" s="115">
        <v>42243</v>
      </c>
      <c r="J46" s="130">
        <v>0.50782718149999995</v>
      </c>
      <c r="M46" s="115">
        <v>42243</v>
      </c>
      <c r="N46" s="130">
        <v>1.1738189E-3</v>
      </c>
      <c r="O46" s="130"/>
      <c r="P46" s="130"/>
      <c r="Q46" s="115">
        <v>42243</v>
      </c>
      <c r="R46" s="130">
        <v>3.8897602E-3</v>
      </c>
      <c r="T46"/>
    </row>
    <row r="47" spans="2:20">
      <c r="B47" s="91">
        <v>42236</v>
      </c>
      <c r="C47" s="92">
        <v>0.51646033650000001</v>
      </c>
      <c r="D47" s="92">
        <f>VLOOKUP(CurrentMtgRatesDataTable825[[#This Row],[asofdate]],I:J,2,0)</f>
        <v>0.4481756871</v>
      </c>
      <c r="E47" s="92">
        <f>VLOOKUP(CurrentMtgRatesDataTable825[[#This Row],[asofdate]],M:N,2,0)</f>
        <v>0</v>
      </c>
      <c r="F47" s="93">
        <f ca="1">VLOOKUP(CurrentMtgRatesDataTable825[[#This Row],[asofdate]]+1,Bloomberg!B:C,2,0)</f>
        <v>1545.5</v>
      </c>
      <c r="I47" s="115">
        <v>42236</v>
      </c>
      <c r="J47" s="130">
        <v>0.4481756871</v>
      </c>
      <c r="M47" s="115">
        <v>42236</v>
      </c>
      <c r="N47" s="130">
        <v>0</v>
      </c>
      <c r="O47" s="130"/>
      <c r="P47" s="130"/>
      <c r="Q47" s="115">
        <v>42236</v>
      </c>
      <c r="R47" s="130">
        <v>1.2478017E-3</v>
      </c>
      <c r="T47"/>
    </row>
    <row r="48" spans="2:20">
      <c r="B48" s="91">
        <v>42229</v>
      </c>
      <c r="C48" s="92">
        <v>0.51316667250000003</v>
      </c>
      <c r="D48" s="92">
        <f>VLOOKUP(CurrentMtgRatesDataTable825[[#This Row],[asofdate]],I:J,2,0)</f>
        <v>0.44692809999999999</v>
      </c>
      <c r="E48" s="92">
        <f>VLOOKUP(CurrentMtgRatesDataTable825[[#This Row],[asofdate]],M:N,2,0)</f>
        <v>0</v>
      </c>
      <c r="F48" s="93">
        <f ca="1">VLOOKUP(CurrentMtgRatesDataTable825[[#This Row],[asofdate]]+1,Bloomberg!B:C,2,0)</f>
        <v>1561.2</v>
      </c>
      <c r="I48" s="115">
        <v>42229</v>
      </c>
      <c r="J48" s="130">
        <v>0.44692809999999999</v>
      </c>
      <c r="M48" s="115">
        <v>42229</v>
      </c>
      <c r="N48" s="130">
        <v>0</v>
      </c>
      <c r="O48" s="130"/>
      <c r="P48" s="130"/>
      <c r="Q48" s="115">
        <v>42229</v>
      </c>
      <c r="R48" s="130">
        <v>1.2033200999999999E-3</v>
      </c>
      <c r="T48"/>
    </row>
    <row r="49" spans="2:20">
      <c r="B49" s="91">
        <v>42222</v>
      </c>
      <c r="C49" s="92">
        <v>0.52075028860000006</v>
      </c>
      <c r="D49" s="92">
        <f>VLOOKUP(CurrentMtgRatesDataTable825[[#This Row],[asofdate]],I:J,2,0)</f>
        <v>0.47307575430000004</v>
      </c>
      <c r="E49" s="92">
        <f>VLOOKUP(CurrentMtgRatesDataTable825[[#This Row],[asofdate]],M:N,2,0)</f>
        <v>2.6231900000000001E-4</v>
      </c>
      <c r="F49" s="93">
        <f ca="1">VLOOKUP(CurrentMtgRatesDataTable825[[#This Row],[asofdate]]+1,Bloomberg!B:C,2,0)</f>
        <v>1455.2</v>
      </c>
      <c r="I49" s="115">
        <v>42222</v>
      </c>
      <c r="J49" s="130">
        <v>0.47307575430000004</v>
      </c>
      <c r="M49" s="115">
        <v>42222</v>
      </c>
      <c r="N49" s="130">
        <v>2.6231900000000001E-4</v>
      </c>
      <c r="O49" s="130"/>
      <c r="P49" s="130"/>
      <c r="Q49" s="115">
        <v>42222</v>
      </c>
      <c r="R49" s="130">
        <v>1.7238742999999999E-3</v>
      </c>
      <c r="T49"/>
    </row>
    <row r="50" spans="2:20">
      <c r="B50" s="91">
        <v>42215</v>
      </c>
      <c r="C50" s="92">
        <v>0.50568140959999996</v>
      </c>
      <c r="D50" s="92">
        <f>VLOOKUP(CurrentMtgRatesDataTable825[[#This Row],[asofdate]],I:J,2,0)</f>
        <v>0.42803975230000002</v>
      </c>
      <c r="E50" s="92">
        <f>VLOOKUP(CurrentMtgRatesDataTable825[[#This Row],[asofdate]],M:N,2,0)</f>
        <v>1.2230900000000002E-5</v>
      </c>
      <c r="F50" s="93">
        <f ca="1">VLOOKUP(CurrentMtgRatesDataTable825[[#This Row],[asofdate]]+1,Bloomberg!B:C,2,0)</f>
        <v>1418</v>
      </c>
      <c r="I50" s="115">
        <v>42215</v>
      </c>
      <c r="J50" s="130">
        <v>0.42803975230000002</v>
      </c>
      <c r="M50" s="115">
        <v>42215</v>
      </c>
      <c r="N50" s="130">
        <v>1.2230900000000002E-5</v>
      </c>
      <c r="O50" s="130"/>
      <c r="P50" s="130"/>
      <c r="Q50" s="115">
        <v>42215</v>
      </c>
      <c r="R50" s="130">
        <v>6.1178580000000005E-4</v>
      </c>
      <c r="T50"/>
    </row>
    <row r="51" spans="2:20">
      <c r="B51" s="91">
        <v>42208</v>
      </c>
      <c r="C51" s="92">
        <v>0.47440443860000003</v>
      </c>
      <c r="D51" s="92">
        <f>VLOOKUP(CurrentMtgRatesDataTable825[[#This Row],[asofdate]],I:J,2,0)</f>
        <v>0.3977182071</v>
      </c>
      <c r="E51" s="92">
        <f>VLOOKUP(CurrentMtgRatesDataTable825[[#This Row],[asofdate]],M:N,2,0)</f>
        <v>0</v>
      </c>
      <c r="F51" s="93">
        <f ca="1">VLOOKUP(CurrentMtgRatesDataTable825[[#This Row],[asofdate]]+1,Bloomberg!B:C,2,0)</f>
        <v>1339.9</v>
      </c>
      <c r="I51" s="115">
        <v>42208</v>
      </c>
      <c r="J51" s="130">
        <v>0.3977182071</v>
      </c>
      <c r="M51" s="115">
        <v>42208</v>
      </c>
      <c r="N51" s="130">
        <v>0</v>
      </c>
      <c r="O51" s="130"/>
      <c r="P51" s="130"/>
      <c r="Q51" s="115">
        <v>42208</v>
      </c>
      <c r="R51" s="130">
        <v>2.7958969999999998E-4</v>
      </c>
      <c r="T51"/>
    </row>
    <row r="52" spans="2:20">
      <c r="B52" s="91">
        <v>42201</v>
      </c>
      <c r="C52" s="92">
        <v>0.43913389889999999</v>
      </c>
      <c r="D52" s="92">
        <f>VLOOKUP(CurrentMtgRatesDataTable825[[#This Row],[asofdate]],I:J,2,0)</f>
        <v>0.39016922900000001</v>
      </c>
      <c r="E52" s="92">
        <f>VLOOKUP(CurrentMtgRatesDataTable825[[#This Row],[asofdate]],M:N,2,0)</f>
        <v>0</v>
      </c>
      <c r="F52" s="93">
        <f ca="1">VLOOKUP(CurrentMtgRatesDataTable825[[#This Row],[asofdate]]+1,Bloomberg!B:C,2,0)</f>
        <v>1305.5999999999999</v>
      </c>
      <c r="I52" s="115">
        <v>42201</v>
      </c>
      <c r="J52" s="130">
        <v>0.39016922900000001</v>
      </c>
      <c r="M52" s="115">
        <v>42201</v>
      </c>
      <c r="N52" s="130">
        <v>0</v>
      </c>
      <c r="O52" s="130"/>
      <c r="P52" s="130"/>
      <c r="Q52" s="115">
        <v>42201</v>
      </c>
      <c r="R52" s="130">
        <v>2.279929E-4</v>
      </c>
      <c r="T52"/>
    </row>
    <row r="53" spans="2:20">
      <c r="B53" s="91">
        <v>42194</v>
      </c>
      <c r="C53" s="92">
        <v>0.47440443860000003</v>
      </c>
      <c r="D53" s="92">
        <f>VLOOKUP(CurrentMtgRatesDataTable825[[#This Row],[asofdate]],I:J,2,0)</f>
        <v>0.3977182071</v>
      </c>
      <c r="E53" s="92">
        <f>VLOOKUP(CurrentMtgRatesDataTable825[[#This Row],[asofdate]],M:N,2,0)</f>
        <v>8.1397999999999996E-6</v>
      </c>
      <c r="F53" s="93">
        <f ca="1">VLOOKUP(CurrentMtgRatesDataTable825[[#This Row],[asofdate]]+1,Bloomberg!B:C,2,0)</f>
        <v>1332.4</v>
      </c>
      <c r="I53" s="115">
        <v>42194</v>
      </c>
      <c r="J53" s="130">
        <v>0.3977182071</v>
      </c>
      <c r="M53" s="115">
        <v>42194</v>
      </c>
      <c r="N53" s="130">
        <v>8.1397999999999996E-6</v>
      </c>
      <c r="O53" s="130"/>
      <c r="P53" s="130"/>
      <c r="Q53" s="115">
        <v>42194</v>
      </c>
      <c r="R53" s="130">
        <v>4.2772040000000001E-4</v>
      </c>
      <c r="T53"/>
    </row>
    <row r="54" spans="2:20">
      <c r="B54" s="91">
        <v>42187</v>
      </c>
      <c r="C54" s="92">
        <v>0.44790079249999998</v>
      </c>
      <c r="D54" s="92">
        <f>VLOOKUP(CurrentMtgRatesDataTable825[[#This Row],[asofdate]],I:J,2,0)</f>
        <v>0.39205869529999998</v>
      </c>
      <c r="E54" s="92">
        <f>VLOOKUP(CurrentMtgRatesDataTable825[[#This Row],[asofdate]],M:N,2,0)</f>
        <v>0</v>
      </c>
      <c r="F54" s="93">
        <f ca="1">VLOOKUP(CurrentMtgRatesDataTable825[[#This Row],[asofdate]]+1,Bloomberg!B:C,2,0)</f>
        <v>1299.9000000000001</v>
      </c>
      <c r="I54" s="115">
        <v>42187</v>
      </c>
      <c r="J54" s="130">
        <v>0.39205869529999998</v>
      </c>
      <c r="M54" s="115">
        <v>42187</v>
      </c>
      <c r="N54" s="130">
        <v>0</v>
      </c>
      <c r="O54" s="130"/>
      <c r="P54" s="130"/>
      <c r="Q54" s="115">
        <v>42187</v>
      </c>
      <c r="R54" s="130">
        <v>2.3109220000000003E-4</v>
      </c>
      <c r="T54"/>
    </row>
    <row r="55" spans="2:20">
      <c r="B55" s="91">
        <v>42180</v>
      </c>
      <c r="C55" s="92">
        <v>0.48073830760000003</v>
      </c>
      <c r="D55" s="92">
        <f>VLOOKUP(CurrentMtgRatesDataTable825[[#This Row],[asofdate]],I:J,2,0)</f>
        <v>0.40187540360000001</v>
      </c>
      <c r="E55" s="92">
        <f>VLOOKUP(CurrentMtgRatesDataTable825[[#This Row],[asofdate]],M:N,2,0)</f>
        <v>0</v>
      </c>
      <c r="F55" s="93">
        <f ca="1">VLOOKUP(CurrentMtgRatesDataTable825[[#This Row],[asofdate]]+1,Bloomberg!B:C,2,0)</f>
        <v>1246.0999999999999</v>
      </c>
      <c r="I55" s="115">
        <v>42180</v>
      </c>
      <c r="J55" s="130">
        <v>0.40187540360000001</v>
      </c>
      <c r="M55" s="115">
        <v>42180</v>
      </c>
      <c r="N55" s="130">
        <v>0</v>
      </c>
      <c r="O55" s="130"/>
      <c r="P55" s="130"/>
      <c r="Q55" s="115">
        <v>42180</v>
      </c>
      <c r="R55" s="130">
        <v>2.4672490000000001E-4</v>
      </c>
      <c r="T55"/>
    </row>
    <row r="56" spans="2:20">
      <c r="B56" s="91">
        <v>42173</v>
      </c>
      <c r="C56" s="92">
        <v>0.49111985940000003</v>
      </c>
      <c r="D56" s="92">
        <f>VLOOKUP(CurrentMtgRatesDataTable825[[#This Row],[asofdate]],I:J,2,0)</f>
        <v>0.42709455569999999</v>
      </c>
      <c r="E56" s="92">
        <f>VLOOKUP(CurrentMtgRatesDataTable825[[#This Row],[asofdate]],M:N,2,0)</f>
        <v>0</v>
      </c>
      <c r="F56" s="93">
        <f ca="1">VLOOKUP(CurrentMtgRatesDataTable825[[#This Row],[asofdate]]+1,Bloomberg!B:C,2,0)</f>
        <v>1318.3</v>
      </c>
      <c r="I56" s="115">
        <v>42173</v>
      </c>
      <c r="J56" s="130">
        <v>0.42709455569999999</v>
      </c>
      <c r="M56" s="115">
        <v>42173</v>
      </c>
      <c r="N56" s="130">
        <v>0</v>
      </c>
      <c r="O56" s="130"/>
      <c r="P56" s="130"/>
      <c r="Q56" s="115">
        <v>42173</v>
      </c>
      <c r="R56" s="130">
        <v>3.3476369999999999E-4</v>
      </c>
      <c r="T56"/>
    </row>
    <row r="57" spans="2:20">
      <c r="B57" s="91">
        <v>42166</v>
      </c>
      <c r="C57" s="92">
        <v>0.48288613810000003</v>
      </c>
      <c r="D57" s="92">
        <f>VLOOKUP(CurrentMtgRatesDataTable825[[#This Row],[asofdate]],I:J,2,0)</f>
        <v>0.40253946489999998</v>
      </c>
      <c r="E57" s="92">
        <f>VLOOKUP(CurrentMtgRatesDataTable825[[#This Row],[asofdate]],M:N,2,0)</f>
        <v>0</v>
      </c>
      <c r="F57" s="93">
        <f ca="1">VLOOKUP(CurrentMtgRatesDataTable825[[#This Row],[asofdate]]+1,Bloomberg!B:C,2,0)</f>
        <v>1273.4000000000001</v>
      </c>
      <c r="I57" s="115">
        <v>42166</v>
      </c>
      <c r="J57" s="130">
        <v>0.40253946489999998</v>
      </c>
      <c r="M57" s="115">
        <v>42166</v>
      </c>
      <c r="N57" s="130">
        <v>0</v>
      </c>
      <c r="O57" s="130"/>
      <c r="P57" s="130"/>
      <c r="Q57" s="115">
        <v>42166</v>
      </c>
      <c r="R57" s="130">
        <v>2.4672490000000001E-4</v>
      </c>
      <c r="T57"/>
    </row>
    <row r="58" spans="2:20">
      <c r="B58" s="91">
        <v>42159</v>
      </c>
      <c r="C58" s="92">
        <v>0.55088825549999998</v>
      </c>
      <c r="D58" s="92">
        <f>VLOOKUP(CurrentMtgRatesDataTable825[[#This Row],[asofdate]],I:J,2,0)</f>
        <v>0.4947158505</v>
      </c>
      <c r="E58" s="92">
        <f>VLOOKUP(CurrentMtgRatesDataTable825[[#This Row],[asofdate]],M:N,2,0)</f>
        <v>0</v>
      </c>
      <c r="F58" s="93">
        <f ca="1">VLOOKUP(CurrentMtgRatesDataTable825[[#This Row],[asofdate]]+1,Bloomberg!B:C,2,0)</f>
        <v>1342.4</v>
      </c>
      <c r="I58" s="115">
        <v>42159</v>
      </c>
      <c r="J58" s="130">
        <v>0.4947158505</v>
      </c>
      <c r="M58" s="115">
        <v>42159</v>
      </c>
      <c r="N58" s="130">
        <v>0</v>
      </c>
      <c r="O58" s="130"/>
      <c r="P58" s="130"/>
      <c r="Q58" s="115">
        <v>42159</v>
      </c>
      <c r="R58" s="130">
        <v>6.7233240000000001E-4</v>
      </c>
      <c r="T58"/>
    </row>
    <row r="59" spans="2:20">
      <c r="B59" s="91">
        <v>42152</v>
      </c>
      <c r="C59" s="92">
        <v>0.55937409220000001</v>
      </c>
      <c r="D59" s="92">
        <f>VLOOKUP(CurrentMtgRatesDataTable825[[#This Row],[asofdate]],I:J,2,0)</f>
        <v>0.50042601269999998</v>
      </c>
      <c r="E59" s="92">
        <f>VLOOKUP(CurrentMtgRatesDataTable825[[#This Row],[asofdate]],M:N,2,0)</f>
        <v>0</v>
      </c>
      <c r="F59" s="93">
        <f ca="1">VLOOKUP(CurrentMtgRatesDataTable825[[#This Row],[asofdate]]+1,Bloomberg!B:C,2,0)</f>
        <v>1233.9000000000001</v>
      </c>
      <c r="I59" s="115">
        <v>42152</v>
      </c>
      <c r="J59" s="130">
        <v>0.50042601269999998</v>
      </c>
      <c r="M59" s="115">
        <v>42152</v>
      </c>
      <c r="N59" s="130">
        <v>0</v>
      </c>
      <c r="O59" s="130"/>
      <c r="P59" s="130"/>
      <c r="Q59" s="115">
        <v>42152</v>
      </c>
      <c r="R59" s="130">
        <v>9.922666000000001E-4</v>
      </c>
      <c r="T59"/>
    </row>
    <row r="60" spans="2:20">
      <c r="B60" s="91">
        <v>42145</v>
      </c>
      <c r="C60" s="92">
        <v>0.56072373549999999</v>
      </c>
      <c r="D60" s="92">
        <f>VLOOKUP(CurrentMtgRatesDataTable825[[#This Row],[asofdate]],I:J,2,0)</f>
        <v>0.50117343599999997</v>
      </c>
      <c r="E60" s="92">
        <f>VLOOKUP(CurrentMtgRatesDataTable825[[#This Row],[asofdate]],M:N,2,0)</f>
        <v>0</v>
      </c>
      <c r="F60" s="93">
        <f ca="1">VLOOKUP(CurrentMtgRatesDataTable825[[#This Row],[asofdate]]+1,Bloomberg!B:C,2,0)</f>
        <v>1408.1</v>
      </c>
      <c r="I60" s="115">
        <v>42145</v>
      </c>
      <c r="J60" s="130">
        <v>0.50117343599999997</v>
      </c>
      <c r="M60" s="115">
        <v>42145</v>
      </c>
      <c r="N60" s="130">
        <v>0</v>
      </c>
      <c r="O60" s="130"/>
      <c r="P60" s="130"/>
      <c r="Q60" s="115">
        <v>42145</v>
      </c>
      <c r="R60" s="130">
        <v>9.9403300000000007E-4</v>
      </c>
      <c r="T60"/>
    </row>
    <row r="61" spans="2:20">
      <c r="B61" s="91">
        <v>42138</v>
      </c>
      <c r="C61" s="92">
        <v>0.56853067779999999</v>
      </c>
      <c r="D61" s="92">
        <f>VLOOKUP(CurrentMtgRatesDataTable825[[#This Row],[asofdate]],I:J,2,0)</f>
        <v>0.53059425589999998</v>
      </c>
      <c r="E61" s="92">
        <f>VLOOKUP(CurrentMtgRatesDataTable825[[#This Row],[asofdate]],M:N,2,0)</f>
        <v>0</v>
      </c>
      <c r="F61" s="93">
        <f ca="1">VLOOKUP(CurrentMtgRatesDataTable825[[#This Row],[asofdate]]+1,Bloomberg!B:C,2,0)</f>
        <v>1448.8</v>
      </c>
      <c r="I61" s="115">
        <v>42138</v>
      </c>
      <c r="J61" s="130">
        <v>0.53059425589999998</v>
      </c>
      <c r="M61" s="115">
        <v>42138</v>
      </c>
      <c r="N61" s="130">
        <v>0</v>
      </c>
      <c r="O61" s="130"/>
      <c r="P61" s="130"/>
      <c r="Q61" s="115">
        <v>42138</v>
      </c>
      <c r="R61" s="130">
        <v>1.3725467999999999E-3</v>
      </c>
      <c r="T61"/>
    </row>
    <row r="62" spans="2:20">
      <c r="B62" s="91">
        <v>42131</v>
      </c>
      <c r="C62" s="92">
        <v>0.58376029039999999</v>
      </c>
      <c r="D62" s="92">
        <f>VLOOKUP(CurrentMtgRatesDataTable825[[#This Row],[asofdate]],I:J,2,0)</f>
        <v>0.53834307189999997</v>
      </c>
      <c r="E62" s="92">
        <f>VLOOKUP(CurrentMtgRatesDataTable825[[#This Row],[asofdate]],M:N,2,0)</f>
        <v>0</v>
      </c>
      <c r="F62" s="93">
        <f ca="1">VLOOKUP(CurrentMtgRatesDataTable825[[#This Row],[asofdate]]+1,Bloomberg!B:C,2,0)</f>
        <v>1477.8</v>
      </c>
      <c r="I62" s="115">
        <v>42131</v>
      </c>
      <c r="J62" s="130">
        <v>0.53834307189999997</v>
      </c>
      <c r="M62" s="115">
        <v>42131</v>
      </c>
      <c r="N62" s="130">
        <v>0</v>
      </c>
      <c r="O62" s="130"/>
      <c r="P62" s="130"/>
      <c r="Q62" s="115">
        <v>42131</v>
      </c>
      <c r="R62" s="130">
        <v>3.6102309000000002E-3</v>
      </c>
      <c r="T62"/>
    </row>
    <row r="63" spans="2:20">
      <c r="B63" s="91">
        <v>42124</v>
      </c>
      <c r="C63" s="92">
        <v>0.66572470230000003</v>
      </c>
      <c r="D63" s="92">
        <f>VLOOKUP(CurrentMtgRatesDataTable825[[#This Row],[asofdate]],I:J,2,0)</f>
        <v>0.60320264899999998</v>
      </c>
      <c r="E63" s="92">
        <f>VLOOKUP(CurrentMtgRatesDataTable825[[#This Row],[asofdate]],M:N,2,0)</f>
        <v>0</v>
      </c>
      <c r="F63" s="93">
        <f ca="1">VLOOKUP(CurrentMtgRatesDataTable825[[#This Row],[asofdate]]+1,Bloomberg!B:C,2,0)</f>
        <v>1559.4</v>
      </c>
      <c r="I63" s="115">
        <v>42124</v>
      </c>
      <c r="J63" s="130">
        <v>0.60320264899999998</v>
      </c>
      <c r="M63" s="115">
        <v>42124</v>
      </c>
      <c r="N63" s="130">
        <v>0</v>
      </c>
      <c r="O63" s="130"/>
      <c r="P63" s="130"/>
      <c r="Q63" s="115">
        <v>42124</v>
      </c>
      <c r="R63" s="130">
        <v>0.1684494299</v>
      </c>
      <c r="T63"/>
    </row>
    <row r="64" spans="2:20">
      <c r="B64" s="91">
        <v>42117</v>
      </c>
      <c r="C64" s="92">
        <v>0.67757498279999995</v>
      </c>
      <c r="D64" s="92">
        <f>VLOOKUP(CurrentMtgRatesDataTable825[[#This Row],[asofdate]],I:J,2,0)</f>
        <v>0.63060989000000001</v>
      </c>
      <c r="E64" s="92">
        <f>VLOOKUP(CurrentMtgRatesDataTable825[[#This Row],[asofdate]],M:N,2,0)</f>
        <v>2.5004665E-3</v>
      </c>
      <c r="F64" s="93">
        <f ca="1">VLOOKUP(CurrentMtgRatesDataTable825[[#This Row],[asofdate]]+1,Bloomberg!B:C,2,0)</f>
        <v>1723</v>
      </c>
      <c r="I64" s="115">
        <v>42117</v>
      </c>
      <c r="J64" s="130">
        <v>0.63060989000000001</v>
      </c>
      <c r="M64" s="115">
        <v>42117</v>
      </c>
      <c r="N64" s="130">
        <v>2.5004665E-3</v>
      </c>
      <c r="O64" s="130"/>
      <c r="P64" s="130"/>
      <c r="Q64" s="115">
        <v>42117</v>
      </c>
      <c r="R64" s="130">
        <v>0.18959361860000001</v>
      </c>
      <c r="T64"/>
    </row>
    <row r="65" spans="2:20">
      <c r="B65" s="91">
        <v>42110</v>
      </c>
      <c r="C65" s="92">
        <v>0.65561679309999998</v>
      </c>
      <c r="D65" s="92">
        <f>VLOOKUP(CurrentMtgRatesDataTable825[[#This Row],[asofdate]],I:J,2,0)</f>
        <v>0.6009824386</v>
      </c>
      <c r="E65" s="92">
        <f>VLOOKUP(CurrentMtgRatesDataTable825[[#This Row],[asofdate]],M:N,2,0)</f>
        <v>0</v>
      </c>
      <c r="F65" s="93">
        <f ca="1">VLOOKUP(CurrentMtgRatesDataTable825[[#This Row],[asofdate]]+1,Bloomberg!B:C,2,0)</f>
        <v>1817</v>
      </c>
      <c r="I65" s="115">
        <v>42110</v>
      </c>
      <c r="J65" s="130">
        <v>0.6009824386</v>
      </c>
      <c r="M65" s="115">
        <v>42110</v>
      </c>
      <c r="N65" s="130">
        <v>0</v>
      </c>
      <c r="O65" s="130"/>
      <c r="P65" s="130"/>
      <c r="Q65" s="115">
        <v>42110</v>
      </c>
      <c r="R65" s="130">
        <v>0.16713277909999999</v>
      </c>
      <c r="T65"/>
    </row>
    <row r="66" spans="2:20">
      <c r="B66" s="91">
        <v>42103</v>
      </c>
      <c r="C66" s="92">
        <v>0.6753411037</v>
      </c>
      <c r="D66" s="92">
        <f>VLOOKUP(CurrentMtgRatesDataTable825[[#This Row],[asofdate]],I:J,2,0)</f>
        <v>0.62876545900000003</v>
      </c>
      <c r="E66" s="92">
        <f>VLOOKUP(CurrentMtgRatesDataTable825[[#This Row],[asofdate]],M:N,2,0)</f>
        <v>2.4475238999999999E-3</v>
      </c>
      <c r="F66" s="93">
        <f ca="1">VLOOKUP(CurrentMtgRatesDataTable825[[#This Row],[asofdate]]+1,Bloomberg!B:C,2,0)</f>
        <v>1804.6</v>
      </c>
      <c r="I66" s="115">
        <v>42103</v>
      </c>
      <c r="J66" s="130">
        <v>0.62876545900000003</v>
      </c>
      <c r="M66" s="115">
        <v>42103</v>
      </c>
      <c r="N66" s="130">
        <v>2.4475238999999999E-3</v>
      </c>
      <c r="O66" s="130"/>
      <c r="P66" s="130"/>
      <c r="Q66" s="115">
        <v>42103</v>
      </c>
      <c r="R66" s="130">
        <v>0.1873139328</v>
      </c>
      <c r="T66"/>
    </row>
    <row r="67" spans="2:20">
      <c r="B67" s="91">
        <v>42096</v>
      </c>
      <c r="C67" s="92">
        <v>0.64494356100000005</v>
      </c>
      <c r="D67" s="92">
        <f>VLOOKUP(CurrentMtgRatesDataTable825[[#This Row],[asofdate]],I:J,2,0)</f>
        <v>0.59976270369999996</v>
      </c>
      <c r="E67" s="92">
        <f>VLOOKUP(CurrentMtgRatesDataTable825[[#This Row],[asofdate]],M:N,2,0)</f>
        <v>0</v>
      </c>
      <c r="F67" s="93">
        <f ca="1">VLOOKUP(CurrentMtgRatesDataTable825[[#This Row],[asofdate]]+1,Bloomberg!B:C,2,0)</f>
        <v>1854.7</v>
      </c>
      <c r="I67" s="115">
        <v>42096</v>
      </c>
      <c r="J67" s="130">
        <v>0.59976270369999996</v>
      </c>
      <c r="M67" s="115">
        <v>42096</v>
      </c>
      <c r="N67" s="130">
        <v>0</v>
      </c>
      <c r="O67" s="130"/>
      <c r="P67" s="130"/>
      <c r="Q67" s="115">
        <v>42096</v>
      </c>
      <c r="R67" s="130">
        <v>0.16610413060000001</v>
      </c>
      <c r="T67"/>
    </row>
    <row r="68" spans="2:20">
      <c r="B68" s="91">
        <v>42089</v>
      </c>
      <c r="C68" s="92">
        <v>0.66455052820000005</v>
      </c>
      <c r="D68" s="92">
        <f>VLOOKUP(CurrentMtgRatesDataTable825[[#This Row],[asofdate]],I:J,2,0)</f>
        <v>0.61008927769999999</v>
      </c>
      <c r="E68" s="92">
        <f>VLOOKUP(CurrentMtgRatesDataTable825[[#This Row],[asofdate]],M:N,2,0)</f>
        <v>1.608499E-4</v>
      </c>
      <c r="F68" s="93">
        <f ca="1">VLOOKUP(CurrentMtgRatesDataTable825[[#This Row],[asofdate]]+1,Bloomberg!B:C,2,0)</f>
        <v>1941.6</v>
      </c>
      <c r="I68" s="115">
        <v>42089</v>
      </c>
      <c r="J68" s="130">
        <v>0.61008927769999999</v>
      </c>
      <c r="M68" s="115">
        <v>42089</v>
      </c>
      <c r="N68" s="130">
        <v>1.608499E-4</v>
      </c>
      <c r="O68" s="130"/>
      <c r="P68" s="130"/>
      <c r="Q68" s="115">
        <v>42089</v>
      </c>
      <c r="R68" s="130">
        <v>0.16740534970000001</v>
      </c>
      <c r="T68"/>
    </row>
    <row r="69" spans="2:20">
      <c r="B69" s="91">
        <v>42082</v>
      </c>
      <c r="C69" s="92">
        <v>0.60650027699999998</v>
      </c>
      <c r="D69" s="92">
        <f>VLOOKUP(CurrentMtgRatesDataTable825[[#This Row],[asofdate]],I:J,2,0)</f>
        <v>0.57408284430000001</v>
      </c>
      <c r="E69" s="92">
        <f>VLOOKUP(CurrentMtgRatesDataTable825[[#This Row],[asofdate]],M:N,2,0)</f>
        <v>0</v>
      </c>
      <c r="F69" s="93">
        <f ca="1">VLOOKUP(CurrentMtgRatesDataTable825[[#This Row],[asofdate]]+1,Bloomberg!B:C,2,0)</f>
        <v>1860.8</v>
      </c>
      <c r="I69" s="115">
        <v>42082</v>
      </c>
      <c r="J69" s="130">
        <v>0.57408284430000001</v>
      </c>
      <c r="M69" s="115">
        <v>42082</v>
      </c>
      <c r="N69" s="130">
        <v>0</v>
      </c>
      <c r="O69" s="130"/>
      <c r="P69" s="130"/>
      <c r="Q69" s="115">
        <v>42082</v>
      </c>
      <c r="R69" s="130">
        <v>0.1449887732</v>
      </c>
      <c r="T69"/>
    </row>
    <row r="70" spans="2:20">
      <c r="B70" s="91">
        <v>42075</v>
      </c>
      <c r="C70" s="92">
        <v>0.57938694099999999</v>
      </c>
      <c r="D70" s="92">
        <f>VLOOKUP(CurrentMtgRatesDataTable825[[#This Row],[asofdate]],I:J,2,0)</f>
        <v>0.51014898689999999</v>
      </c>
      <c r="E70" s="92">
        <f>VLOOKUP(CurrentMtgRatesDataTable825[[#This Row],[asofdate]],M:N,2,0)</f>
        <v>0</v>
      </c>
      <c r="F70" s="93">
        <f ca="1">VLOOKUP(CurrentMtgRatesDataTable825[[#This Row],[asofdate]]+1,Bloomberg!B:C,2,0)</f>
        <v>1623.6</v>
      </c>
      <c r="I70" s="115">
        <v>42075</v>
      </c>
      <c r="J70" s="130">
        <v>0.51014898689999999</v>
      </c>
      <c r="M70" s="115">
        <v>42075</v>
      </c>
      <c r="N70" s="130">
        <v>0</v>
      </c>
      <c r="O70" s="130"/>
      <c r="P70" s="130"/>
      <c r="Q70" s="115">
        <v>42075</v>
      </c>
      <c r="R70" s="130">
        <v>0.1083162191</v>
      </c>
      <c r="T70"/>
    </row>
    <row r="71" spans="2:20">
      <c r="B71" s="91">
        <v>42068</v>
      </c>
      <c r="C71" s="92">
        <v>0.6189085366</v>
      </c>
      <c r="D71" s="92">
        <f>VLOOKUP(CurrentMtgRatesDataTable825[[#This Row],[asofdate]],I:J,2,0)</f>
        <v>0.57815914199999996</v>
      </c>
      <c r="E71" s="92">
        <f>VLOOKUP(CurrentMtgRatesDataTable825[[#This Row],[asofdate]],M:N,2,0)</f>
        <v>0</v>
      </c>
      <c r="F71" s="93">
        <f ca="1">VLOOKUP(CurrentMtgRatesDataTable825[[#This Row],[asofdate]]+1,Bloomberg!B:C,2,0)</f>
        <v>1685.7</v>
      </c>
      <c r="I71" s="115">
        <v>42068</v>
      </c>
      <c r="J71" s="130">
        <v>0.57815914199999996</v>
      </c>
      <c r="M71" s="115">
        <v>42068</v>
      </c>
      <c r="N71" s="130">
        <v>0</v>
      </c>
      <c r="O71" s="130"/>
      <c r="P71" s="130"/>
      <c r="Q71" s="115">
        <v>42068</v>
      </c>
      <c r="R71" s="130">
        <v>0.14748581329999999</v>
      </c>
      <c r="T71"/>
    </row>
    <row r="72" spans="2:20">
      <c r="B72" s="91">
        <v>42061</v>
      </c>
      <c r="C72" s="92">
        <v>0.60790429349999997</v>
      </c>
      <c r="D72" s="92">
        <f>VLOOKUP(CurrentMtgRatesDataTable825[[#This Row],[asofdate]],I:J,2,0)</f>
        <v>0.5537142075</v>
      </c>
      <c r="E72" s="92">
        <f>VLOOKUP(CurrentMtgRatesDataTable825[[#This Row],[asofdate]],M:N,2,0)</f>
        <v>0</v>
      </c>
      <c r="F72" s="93">
        <f ca="1">VLOOKUP(CurrentMtgRatesDataTable825[[#This Row],[asofdate]]+1,Bloomberg!B:C,2,0)</f>
        <v>1740.3</v>
      </c>
      <c r="I72" s="115">
        <v>42061</v>
      </c>
      <c r="J72" s="130">
        <v>0.5537142075</v>
      </c>
      <c r="M72" s="115">
        <v>42061</v>
      </c>
      <c r="N72" s="130">
        <v>0</v>
      </c>
      <c r="O72" s="130"/>
      <c r="P72" s="130"/>
      <c r="Q72" s="115">
        <v>42061</v>
      </c>
      <c r="R72" s="130">
        <v>0.1283141562</v>
      </c>
      <c r="T72"/>
    </row>
    <row r="73" spans="2:20">
      <c r="B73" s="91">
        <v>42054</v>
      </c>
      <c r="C73" s="92">
        <v>0.6216344452</v>
      </c>
      <c r="D73" s="92">
        <f>VLOOKUP(CurrentMtgRatesDataTable825[[#This Row],[asofdate]],I:J,2,0)</f>
        <v>0.58276120539999998</v>
      </c>
      <c r="E73" s="92">
        <f>VLOOKUP(CurrentMtgRatesDataTable825[[#This Row],[asofdate]],M:N,2,0)</f>
        <v>0</v>
      </c>
      <c r="F73" s="93">
        <f ca="1">VLOOKUP(CurrentMtgRatesDataTable825[[#This Row],[asofdate]]+1,Bloomberg!B:C,2,0)</f>
        <v>1703.1</v>
      </c>
      <c r="I73" s="115">
        <v>42054</v>
      </c>
      <c r="J73" s="130">
        <v>0.58276120539999998</v>
      </c>
      <c r="M73" s="115">
        <v>42054</v>
      </c>
      <c r="N73" s="130">
        <v>0</v>
      </c>
      <c r="O73" s="130"/>
      <c r="P73" s="130"/>
      <c r="Q73" s="115">
        <v>42054</v>
      </c>
      <c r="R73" s="130">
        <v>0.1446313645</v>
      </c>
      <c r="T73"/>
    </row>
    <row r="74" spans="2:20">
      <c r="B74" s="91">
        <v>42047</v>
      </c>
      <c r="C74" s="92">
        <v>0.66744400930000003</v>
      </c>
      <c r="D74" s="92">
        <f>VLOOKUP(CurrentMtgRatesDataTable825[[#This Row],[asofdate]],I:J,2,0)</f>
        <v>0.61553641429999995</v>
      </c>
      <c r="E74" s="92">
        <f>VLOOKUP(CurrentMtgRatesDataTable825[[#This Row],[asofdate]],M:N,2,0)</f>
        <v>0</v>
      </c>
      <c r="F74" s="93">
        <f ca="1">VLOOKUP(CurrentMtgRatesDataTable825[[#This Row],[asofdate]]+1,Bloomberg!B:C,2,0)</f>
        <v>1904.2</v>
      </c>
      <c r="I74" s="115">
        <v>42047</v>
      </c>
      <c r="J74" s="130">
        <v>0.61553641429999995</v>
      </c>
      <c r="M74" s="115">
        <v>42047</v>
      </c>
      <c r="N74" s="130">
        <v>0</v>
      </c>
      <c r="O74" s="130"/>
      <c r="P74" s="130"/>
      <c r="Q74" s="115">
        <v>42047</v>
      </c>
      <c r="R74" s="130">
        <v>0.16619450729999999</v>
      </c>
      <c r="T74"/>
    </row>
    <row r="75" spans="2:20">
      <c r="B75" s="91">
        <v>42040</v>
      </c>
      <c r="C75" s="92">
        <v>0.70511625659999999</v>
      </c>
      <c r="D75" s="92">
        <f>VLOOKUP(CurrentMtgRatesDataTable825[[#This Row],[asofdate]],I:J,2,0)</f>
        <v>0.64767949680000003</v>
      </c>
      <c r="E75" s="92">
        <f>VLOOKUP(CurrentMtgRatesDataTable825[[#This Row],[asofdate]],M:N,2,0)</f>
        <v>0.18166743839999999</v>
      </c>
      <c r="F75" s="93">
        <f ca="1">VLOOKUP(CurrentMtgRatesDataTable825[[#This Row],[asofdate]]+1,Bloomberg!B:C,2,0)</f>
        <v>2291.3000000000002</v>
      </c>
      <c r="I75" s="115">
        <v>42040</v>
      </c>
      <c r="J75" s="130">
        <v>0.64767949680000003</v>
      </c>
      <c r="M75" s="115">
        <v>42040</v>
      </c>
      <c r="N75" s="130">
        <v>0.18166743839999999</v>
      </c>
      <c r="O75" s="130"/>
      <c r="P75" s="130"/>
      <c r="Q75" s="115">
        <v>42040</v>
      </c>
      <c r="R75" s="130">
        <v>0.18792449059999999</v>
      </c>
      <c r="T75"/>
    </row>
    <row r="76" spans="2:20">
      <c r="B76" s="91">
        <v>42033</v>
      </c>
      <c r="C76" s="92">
        <v>0.65188653600000002</v>
      </c>
      <c r="D76" s="92">
        <f>VLOOKUP(CurrentMtgRatesDataTable825[[#This Row],[asofdate]],I:J,2,0)</f>
        <v>0.61924009550000003</v>
      </c>
      <c r="E76" s="92">
        <f>VLOOKUP(CurrentMtgRatesDataTable825[[#This Row],[asofdate]],M:N,2,0)</f>
        <v>0</v>
      </c>
      <c r="F76" s="93">
        <f ca="1">VLOOKUP(CurrentMtgRatesDataTable825[[#This Row],[asofdate]]+1,Bloomberg!B:C,2,0)</f>
        <v>2584.8000000000002</v>
      </c>
      <c r="I76" s="115">
        <v>42033</v>
      </c>
      <c r="J76" s="130">
        <v>0.61924009550000003</v>
      </c>
      <c r="M76" s="115">
        <v>42033</v>
      </c>
      <c r="N76" s="130">
        <v>0</v>
      </c>
      <c r="O76" s="130"/>
      <c r="P76" s="130"/>
      <c r="Q76" s="115">
        <v>42033</v>
      </c>
      <c r="R76" s="130">
        <v>0.1572286852</v>
      </c>
      <c r="T76"/>
    </row>
    <row r="77" spans="2:20">
      <c r="B77" s="91">
        <v>42026</v>
      </c>
      <c r="C77" s="92">
        <v>0.65294239229999995</v>
      </c>
      <c r="D77" s="92">
        <f>VLOOKUP(CurrentMtgRatesDataTable825[[#This Row],[asofdate]],I:J,2,0)</f>
        <v>0.61962164819999999</v>
      </c>
      <c r="E77" s="92">
        <f>VLOOKUP(CurrentMtgRatesDataTable825[[#This Row],[asofdate]],M:N,2,0)</f>
        <v>0.1537746354</v>
      </c>
      <c r="F77" s="93">
        <f ca="1">VLOOKUP(CurrentMtgRatesDataTable825[[#This Row],[asofdate]]+1,Bloomberg!B:C,2,0)</f>
        <v>2572.3000000000002</v>
      </c>
      <c r="I77" s="115">
        <v>42026</v>
      </c>
      <c r="J77" s="130">
        <v>0.61962164819999999</v>
      </c>
      <c r="M77" s="115">
        <v>42026</v>
      </c>
      <c r="N77" s="130">
        <v>0.1537746354</v>
      </c>
      <c r="O77" s="130"/>
      <c r="P77" s="130"/>
      <c r="Q77" s="115">
        <v>42026</v>
      </c>
      <c r="R77" s="130">
        <v>0.15858242340000001</v>
      </c>
      <c r="T77"/>
    </row>
    <row r="78" spans="2:20">
      <c r="B78" s="91">
        <v>42019</v>
      </c>
      <c r="C78" s="92">
        <v>0.65188653600000002</v>
      </c>
      <c r="D78" s="92">
        <f>VLOOKUP(CurrentMtgRatesDataTable825[[#This Row],[asofdate]],I:J,2,0)</f>
        <v>0.61924009550000003</v>
      </c>
      <c r="E78" s="92">
        <f>VLOOKUP(CurrentMtgRatesDataTable825[[#This Row],[asofdate]],M:N,2,0)</f>
        <v>0.1536612413</v>
      </c>
      <c r="F78" s="93">
        <f ca="1">VLOOKUP(CurrentMtgRatesDataTable825[[#This Row],[asofdate]]+1,Bloomberg!B:C,2,0)</f>
        <v>2799.3</v>
      </c>
      <c r="I78" s="115">
        <v>42019</v>
      </c>
      <c r="J78" s="130">
        <v>0.61924009550000003</v>
      </c>
      <c r="M78" s="115">
        <v>42019</v>
      </c>
      <c r="N78" s="130">
        <v>0.1536612413</v>
      </c>
      <c r="O78" s="130"/>
      <c r="P78" s="130"/>
      <c r="Q78" s="115">
        <v>42019</v>
      </c>
      <c r="R78" s="130">
        <v>0.1584462643</v>
      </c>
      <c r="T78"/>
    </row>
    <row r="79" spans="2:20">
      <c r="B79" s="91">
        <v>42012</v>
      </c>
      <c r="C79" s="92">
        <v>0.62245046879999999</v>
      </c>
      <c r="D79" s="92">
        <f>VLOOKUP(CurrentMtgRatesDataTable825[[#This Row],[asofdate]],I:J,2,0)</f>
        <v>0.56867868060000004</v>
      </c>
      <c r="E79" s="92">
        <f>VLOOKUP(CurrentMtgRatesDataTable825[[#This Row],[asofdate]],M:N,2,0)</f>
        <v>0.1242832545</v>
      </c>
      <c r="F79" s="93">
        <f ca="1">VLOOKUP(CurrentMtgRatesDataTable825[[#This Row],[asofdate]]+1,Bloomberg!B:C,2,0)</f>
        <v>2271.5</v>
      </c>
      <c r="I79" s="115">
        <v>42012</v>
      </c>
      <c r="J79" s="130">
        <v>0.56867868060000004</v>
      </c>
      <c r="M79" s="115">
        <v>42012</v>
      </c>
      <c r="N79" s="130">
        <v>0.1242832545</v>
      </c>
      <c r="O79" s="130"/>
      <c r="P79" s="130"/>
      <c r="Q79" s="115">
        <v>42012</v>
      </c>
      <c r="R79" s="130">
        <v>0.1273646118</v>
      </c>
      <c r="T79"/>
    </row>
    <row r="80" spans="2:20">
      <c r="B80" s="91">
        <v>42004</v>
      </c>
      <c r="C80" s="92">
        <v>0.57197514790000004</v>
      </c>
      <c r="D80" s="92">
        <f>VLOOKUP(CurrentMtgRatesDataTable825[[#This Row],[asofdate]],I:J,2,0)</f>
        <v>0.50653217370000003</v>
      </c>
      <c r="E80" s="92">
        <f>VLOOKUP(CurrentMtgRatesDataTable825[[#This Row],[asofdate]],M:N,2,0)</f>
        <v>0</v>
      </c>
      <c r="F80" s="93">
        <f ca="1">VLOOKUP(CurrentMtgRatesDataTable825[[#This Row],[asofdate]]+1,Bloomberg!B:C,2,0)</f>
        <v>1347.6</v>
      </c>
      <c r="I80" s="115">
        <v>42004</v>
      </c>
      <c r="J80" s="130">
        <v>0.50653217370000003</v>
      </c>
      <c r="M80" s="115">
        <v>42004</v>
      </c>
      <c r="N80" s="130">
        <v>0</v>
      </c>
      <c r="O80" s="130"/>
      <c r="P80" s="130"/>
      <c r="Q80" s="115">
        <v>42004</v>
      </c>
      <c r="R80" s="130">
        <v>8.6651293800000001E-2</v>
      </c>
      <c r="T80"/>
    </row>
    <row r="81" spans="2:20">
      <c r="B81" s="91">
        <v>41997</v>
      </c>
      <c r="C81" s="92">
        <v>0.58686510540000003</v>
      </c>
      <c r="D81" s="92">
        <f>VLOOKUP(CurrentMtgRatesDataTable825[[#This Row],[asofdate]],I:J,2,0)</f>
        <v>0.53702438590000001</v>
      </c>
      <c r="E81" s="92">
        <f>VLOOKUP(CurrentMtgRatesDataTable825[[#This Row],[asofdate]],M:N,2,0)</f>
        <v>0</v>
      </c>
      <c r="F81" s="93">
        <f ca="1">VLOOKUP(CurrentMtgRatesDataTable825[[#This Row],[asofdate]]+1,Bloomberg!B:C,2,0)</f>
        <v>1164.2</v>
      </c>
      <c r="I81" s="115">
        <v>41997</v>
      </c>
      <c r="J81" s="130">
        <v>0.53702438590000001</v>
      </c>
      <c r="M81" s="115">
        <v>41997</v>
      </c>
      <c r="N81" s="130">
        <v>0</v>
      </c>
      <c r="O81" s="130"/>
      <c r="P81" s="130"/>
      <c r="Q81" s="115">
        <v>41997</v>
      </c>
      <c r="R81" s="130">
        <v>0.10126768060000001</v>
      </c>
      <c r="T81"/>
    </row>
    <row r="82" spans="2:20">
      <c r="B82" s="91">
        <v>41991</v>
      </c>
      <c r="C82" s="92">
        <v>0.60122657710000005</v>
      </c>
      <c r="D82" s="92">
        <f>VLOOKUP(CurrentMtgRatesDataTable825[[#This Row],[asofdate]],I:J,2,0)</f>
        <v>0.5408396526</v>
      </c>
      <c r="E82" s="92">
        <f>VLOOKUP(CurrentMtgRatesDataTable825[[#This Row],[asofdate]],M:N,2,0)</f>
        <v>0.1023458956</v>
      </c>
      <c r="F82" s="93">
        <f ca="1">VLOOKUP(CurrentMtgRatesDataTable825[[#This Row],[asofdate]]+1,Bloomberg!B:C,2,0)</f>
        <v>1538.7</v>
      </c>
      <c r="I82" s="115">
        <v>41991</v>
      </c>
      <c r="J82" s="130">
        <v>0.5408396526</v>
      </c>
      <c r="M82" s="115">
        <v>41991</v>
      </c>
      <c r="N82" s="130">
        <v>0.1023458956</v>
      </c>
      <c r="O82" s="130"/>
      <c r="P82" s="130"/>
      <c r="Q82" s="115">
        <v>41991</v>
      </c>
      <c r="R82" s="130">
        <v>0.10451944790000001</v>
      </c>
      <c r="T82"/>
    </row>
    <row r="83" spans="2:20">
      <c r="B83" s="91">
        <v>41984</v>
      </c>
      <c r="C83" s="92">
        <v>0.55996065370000003</v>
      </c>
      <c r="D83" s="92">
        <f>VLOOKUP(CurrentMtgRatesDataTable825[[#This Row],[asofdate]],I:J,2,0)</f>
        <v>0.50243916320000004</v>
      </c>
      <c r="E83" s="92">
        <f>VLOOKUP(CurrentMtgRatesDataTable825[[#This Row],[asofdate]],M:N,2,0)</f>
        <v>0</v>
      </c>
      <c r="F83" s="93">
        <f ca="1">VLOOKUP(CurrentMtgRatesDataTable825[[#This Row],[asofdate]]+1,Bloomberg!B:C,2,0)</f>
        <v>1518.8</v>
      </c>
      <c r="I83" s="115">
        <v>41984</v>
      </c>
      <c r="J83" s="130">
        <v>0.50243916320000004</v>
      </c>
      <c r="M83" s="115">
        <v>41984</v>
      </c>
      <c r="N83" s="130">
        <v>0</v>
      </c>
      <c r="O83" s="130"/>
      <c r="P83" s="130"/>
      <c r="Q83" s="115">
        <v>41984</v>
      </c>
      <c r="R83" s="130">
        <v>8.4487762800000005E-2</v>
      </c>
      <c r="T83"/>
    </row>
    <row r="84" spans="2:20">
      <c r="B84" s="91">
        <v>41977</v>
      </c>
      <c r="C84" s="92">
        <v>0.57286099140000002</v>
      </c>
      <c r="D84" s="92">
        <f>VLOOKUP(CurrentMtgRatesDataTable825[[#This Row],[asofdate]],I:J,2,0)</f>
        <v>0.50697530140000002</v>
      </c>
      <c r="E84" s="92">
        <f>VLOOKUP(CurrentMtgRatesDataTable825[[#This Row],[asofdate]],M:N,2,0)</f>
        <v>8.5560241400000001E-2</v>
      </c>
      <c r="F84" s="93">
        <f ca="1">VLOOKUP(CurrentMtgRatesDataTable825[[#This Row],[asofdate]]+1,Bloomberg!B:C,2,0)</f>
        <v>1548.6</v>
      </c>
      <c r="I84" s="115">
        <v>41977</v>
      </c>
      <c r="J84" s="130">
        <v>0.50697530140000002</v>
      </c>
      <c r="M84" s="115">
        <v>41977</v>
      </c>
      <c r="N84" s="130">
        <v>8.5560241400000001E-2</v>
      </c>
      <c r="O84" s="130"/>
      <c r="P84" s="130"/>
      <c r="Q84" s="115">
        <v>41977</v>
      </c>
      <c r="R84" s="130">
        <v>8.6751430899999996E-2</v>
      </c>
      <c r="T84"/>
    </row>
    <row r="85" spans="2:20">
      <c r="B85" s="91">
        <v>41969</v>
      </c>
      <c r="C85" s="92">
        <v>0.55246831159999998</v>
      </c>
      <c r="D85" s="92">
        <f>VLOOKUP(CurrentMtgRatesDataTable825[[#This Row],[asofdate]],I:J,2,0)</f>
        <v>0.48229909360000001</v>
      </c>
      <c r="E85" s="92">
        <f>VLOOKUP(CurrentMtgRatesDataTable825[[#This Row],[asofdate]],M:N,2,0)</f>
        <v>5.4104000000000002E-5</v>
      </c>
      <c r="F85" s="93" t="e">
        <f ca="1">VLOOKUP(CurrentMtgRatesDataTable825[[#This Row],[asofdate]]+1,Bloomberg!B:C,2,0)</f>
        <v>#N/A</v>
      </c>
      <c r="I85" s="115">
        <v>41969</v>
      </c>
      <c r="J85" s="130">
        <v>0.48229909360000001</v>
      </c>
      <c r="M85" s="115">
        <v>41969</v>
      </c>
      <c r="N85" s="130">
        <v>5.4104000000000002E-5</v>
      </c>
      <c r="O85" s="130"/>
      <c r="P85" s="130"/>
      <c r="Q85" s="115">
        <v>41969</v>
      </c>
      <c r="R85" s="130">
        <v>6.7707112400000005E-2</v>
      </c>
      <c r="T85"/>
    </row>
    <row r="86" spans="2:20">
      <c r="B86" s="91">
        <v>41963</v>
      </c>
      <c r="C86" s="92">
        <v>0.53954613890000003</v>
      </c>
      <c r="D86" s="92">
        <f>VLOOKUP(CurrentMtgRatesDataTable825[[#This Row],[asofdate]],I:J,2,0)</f>
        <v>0.48084575689999998</v>
      </c>
      <c r="E86" s="92">
        <f>VLOOKUP(CurrentMtgRatesDataTable825[[#This Row],[asofdate]],M:N,2,0)</f>
        <v>5.35251E-5</v>
      </c>
      <c r="F86" s="93">
        <f ca="1">VLOOKUP(CurrentMtgRatesDataTable825[[#This Row],[asofdate]]+1,Bloomberg!B:C,2,0)</f>
        <v>1547.9</v>
      </c>
      <c r="I86" s="115">
        <v>41963</v>
      </c>
      <c r="J86" s="130">
        <v>0.48084575689999998</v>
      </c>
      <c r="M86" s="115">
        <v>41963</v>
      </c>
      <c r="N86" s="130">
        <v>5.35251E-5</v>
      </c>
      <c r="O86" s="130"/>
      <c r="P86" s="130"/>
      <c r="Q86" s="115">
        <v>41963</v>
      </c>
      <c r="R86" s="130">
        <v>6.6589140500000005E-2</v>
      </c>
      <c r="T86"/>
    </row>
    <row r="87" spans="2:20">
      <c r="B87" s="91">
        <v>41956</v>
      </c>
      <c r="C87" s="92">
        <v>0.5252620683</v>
      </c>
      <c r="D87" s="92">
        <f>VLOOKUP(CurrentMtgRatesDataTable825[[#This Row],[asofdate]],I:J,2,0)</f>
        <v>0.45502691080000002</v>
      </c>
      <c r="E87" s="92">
        <f>VLOOKUP(CurrentMtgRatesDataTable825[[#This Row],[asofdate]],M:N,2,0)</f>
        <v>3.8752399999999998E-5</v>
      </c>
      <c r="F87" s="93">
        <f ca="1">VLOOKUP(CurrentMtgRatesDataTable825[[#This Row],[asofdate]]+1,Bloomberg!B:C,2,0)</f>
        <v>1563.2</v>
      </c>
      <c r="I87" s="115">
        <v>41956</v>
      </c>
      <c r="J87" s="130">
        <v>0.45502691080000002</v>
      </c>
      <c r="M87" s="115">
        <v>41956</v>
      </c>
      <c r="N87" s="130">
        <v>3.8752399999999998E-5</v>
      </c>
      <c r="O87" s="130"/>
      <c r="P87" s="130"/>
      <c r="Q87" s="115">
        <v>41956</v>
      </c>
      <c r="R87" s="130">
        <v>5.5975736900000003E-2</v>
      </c>
      <c r="T87"/>
    </row>
    <row r="88" spans="2:20">
      <c r="B88" s="91">
        <v>41949</v>
      </c>
      <c r="C88" s="92">
        <v>0.52046110349999997</v>
      </c>
      <c r="D88" s="92">
        <f>VLOOKUP(CurrentMtgRatesDataTable825[[#This Row],[asofdate]],I:J,2,0)</f>
        <v>0.45356757110000001</v>
      </c>
      <c r="E88" s="92">
        <f>VLOOKUP(CurrentMtgRatesDataTable825[[#This Row],[asofdate]],M:N,2,0)</f>
        <v>0</v>
      </c>
      <c r="F88" s="93">
        <f ca="1">VLOOKUP(CurrentMtgRatesDataTable825[[#This Row],[asofdate]]+1,Bloomberg!B:C,2,0)</f>
        <v>1565.3</v>
      </c>
      <c r="I88" s="115">
        <v>41949</v>
      </c>
      <c r="J88" s="130">
        <v>0.45356757110000001</v>
      </c>
      <c r="M88" s="115">
        <v>41949</v>
      </c>
      <c r="N88" s="130">
        <v>0</v>
      </c>
      <c r="O88" s="130"/>
      <c r="P88" s="130"/>
      <c r="Q88" s="115">
        <v>41949</v>
      </c>
      <c r="R88" s="130">
        <v>5.4808828800000001E-2</v>
      </c>
      <c r="T88"/>
    </row>
    <row r="89" spans="2:20">
      <c r="B89" s="91">
        <v>41942</v>
      </c>
      <c r="C89" s="92">
        <v>0.55654596300000003</v>
      </c>
      <c r="D89" s="92">
        <f>VLOOKUP(CurrentMtgRatesDataTable825[[#This Row],[asofdate]],I:J,2,0)</f>
        <v>0.49063416859999998</v>
      </c>
      <c r="E89" s="92">
        <f>VLOOKUP(CurrentMtgRatesDataTable825[[#This Row],[asofdate]],M:N,2,0)</f>
        <v>0</v>
      </c>
      <c r="F89" s="93">
        <f ca="1">VLOOKUP(CurrentMtgRatesDataTable825[[#This Row],[asofdate]]+1,Bloomberg!B:C,2,0)</f>
        <v>1604.8</v>
      </c>
      <c r="I89" s="115">
        <v>41942</v>
      </c>
      <c r="J89" s="130">
        <v>0.49063416859999998</v>
      </c>
      <c r="M89" s="115">
        <v>41942</v>
      </c>
      <c r="N89" s="130">
        <v>0</v>
      </c>
      <c r="O89" s="130"/>
      <c r="P89" s="130"/>
      <c r="Q89" s="115">
        <v>41942</v>
      </c>
      <c r="R89" s="130">
        <v>6.58072299E-2</v>
      </c>
      <c r="T89"/>
    </row>
    <row r="90" spans="2:20">
      <c r="B90" s="91">
        <v>41935</v>
      </c>
      <c r="C90" s="92">
        <v>0.58478850640000002</v>
      </c>
      <c r="D90" s="92">
        <f>VLOOKUP(CurrentMtgRatesDataTable825[[#This Row],[asofdate]],I:J,2,0)</f>
        <v>0.52082276189999999</v>
      </c>
      <c r="E90" s="92">
        <f>VLOOKUP(CurrentMtgRatesDataTable825[[#This Row],[asofdate]],M:N,2,0)</f>
        <v>7.97003981E-2</v>
      </c>
      <c r="F90" s="93">
        <f ca="1">VLOOKUP(CurrentMtgRatesDataTable825[[#This Row],[asofdate]]+1,Bloomberg!B:C,2,0)</f>
        <v>1713.6</v>
      </c>
      <c r="I90" s="115">
        <v>41935</v>
      </c>
      <c r="J90" s="130">
        <v>0.52082276189999999</v>
      </c>
      <c r="M90" s="115">
        <v>41935</v>
      </c>
      <c r="N90" s="130">
        <v>7.97003981E-2</v>
      </c>
      <c r="O90" s="130"/>
      <c r="P90" s="130"/>
      <c r="Q90" s="115">
        <v>41935</v>
      </c>
      <c r="R90" s="130">
        <v>8.0790795400000004E-2</v>
      </c>
      <c r="T90"/>
    </row>
    <row r="91" spans="2:20">
      <c r="B91" s="91">
        <v>41928</v>
      </c>
      <c r="C91" s="92">
        <v>0.56305944959999998</v>
      </c>
      <c r="D91" s="92">
        <f>VLOOKUP(CurrentMtgRatesDataTable825[[#This Row],[asofdate]],I:J,2,0)</f>
        <v>0.49136233779999999</v>
      </c>
      <c r="E91" s="92">
        <f>VLOOKUP(CurrentMtgRatesDataTable825[[#This Row],[asofdate]],M:N,2,0)</f>
        <v>6.5095605900000006E-2</v>
      </c>
      <c r="F91" s="93">
        <f ca="1">VLOOKUP(CurrentMtgRatesDataTable825[[#This Row],[asofdate]]+1,Bloomberg!B:C,2,0)</f>
        <v>1898.2</v>
      </c>
      <c r="I91" s="115">
        <v>41928</v>
      </c>
      <c r="J91" s="130">
        <v>0.49136233779999999</v>
      </c>
      <c r="M91" s="115">
        <v>41928</v>
      </c>
      <c r="N91" s="130">
        <v>6.5095605900000006E-2</v>
      </c>
      <c r="O91" s="130"/>
      <c r="P91" s="130"/>
      <c r="Q91" s="115">
        <v>41928</v>
      </c>
      <c r="R91" s="130">
        <v>6.6342163999999995E-2</v>
      </c>
      <c r="T91"/>
    </row>
    <row r="92" spans="2:20">
      <c r="B92" s="91">
        <v>41921</v>
      </c>
      <c r="C92" s="92">
        <v>0.45280738259999997</v>
      </c>
      <c r="D92" s="92">
        <f>VLOOKUP(CurrentMtgRatesDataTable825[[#This Row],[asofdate]],I:J,2,0)</f>
        <v>0.43077950129999998</v>
      </c>
      <c r="E92" s="92">
        <f>VLOOKUP(CurrentMtgRatesDataTable825[[#This Row],[asofdate]],M:N,2,0)</f>
        <v>1.9032899999999999E-5</v>
      </c>
      <c r="F92" s="93">
        <f ca="1">VLOOKUP(CurrentMtgRatesDataTable825[[#This Row],[asofdate]]+1,Bloomberg!B:C,2,0)</f>
        <v>1560.6</v>
      </c>
      <c r="I92" s="115">
        <v>41921</v>
      </c>
      <c r="J92" s="130">
        <v>0.43077950129999998</v>
      </c>
      <c r="M92" s="115">
        <v>41921</v>
      </c>
      <c r="N92" s="130">
        <v>1.9032899999999999E-5</v>
      </c>
      <c r="O92" s="130"/>
      <c r="P92" s="130"/>
      <c r="Q92" s="115">
        <v>41921</v>
      </c>
      <c r="R92" s="130">
        <v>3.7750656600000002E-2</v>
      </c>
      <c r="T92"/>
    </row>
    <row r="93" spans="2:20">
      <c r="B93" s="91">
        <v>41914</v>
      </c>
      <c r="C93" s="92">
        <v>0.4272770092</v>
      </c>
      <c r="D93" s="92">
        <f>VLOOKUP(CurrentMtgRatesDataTable825[[#This Row],[asofdate]],I:J,2,0)</f>
        <v>0.40648641540000002</v>
      </c>
      <c r="E93" s="92">
        <f>VLOOKUP(CurrentMtgRatesDataTable825[[#This Row],[asofdate]],M:N,2,0)</f>
        <v>0</v>
      </c>
      <c r="F93" s="93">
        <f ca="1">VLOOKUP(CurrentMtgRatesDataTable825[[#This Row],[asofdate]]+1,Bloomberg!B:C,2,0)</f>
        <v>1387.1</v>
      </c>
      <c r="I93" s="115">
        <v>41914</v>
      </c>
      <c r="J93" s="130">
        <v>0.40648641540000002</v>
      </c>
      <c r="M93" s="115">
        <v>41914</v>
      </c>
      <c r="N93" s="130">
        <v>0</v>
      </c>
      <c r="O93" s="130"/>
      <c r="P93" s="130"/>
      <c r="Q93" s="115">
        <v>41914</v>
      </c>
      <c r="R93" s="130">
        <v>4.4517187000000001E-3</v>
      </c>
      <c r="T93"/>
    </row>
    <row r="94" spans="2:20">
      <c r="B94" s="91">
        <v>41907</v>
      </c>
      <c r="C94" s="92">
        <v>0.42206701070000002</v>
      </c>
      <c r="D94" s="92">
        <f>VLOOKUP(CurrentMtgRatesDataTable825[[#This Row],[asofdate]],I:J,2,0)</f>
        <v>0.39404085370000003</v>
      </c>
      <c r="E94" s="92">
        <f>VLOOKUP(CurrentMtgRatesDataTable825[[#This Row],[asofdate]],M:N,2,0)</f>
        <v>0</v>
      </c>
      <c r="F94" s="93">
        <f ca="1">VLOOKUP(CurrentMtgRatesDataTable825[[#This Row],[asofdate]]+1,Bloomberg!B:C,2,0)</f>
        <v>1326.2</v>
      </c>
      <c r="I94" s="115">
        <v>41907</v>
      </c>
      <c r="J94" s="130">
        <v>0.39404085370000003</v>
      </c>
      <c r="M94" s="115">
        <v>41907</v>
      </c>
      <c r="N94" s="130">
        <v>0</v>
      </c>
      <c r="O94" s="130"/>
      <c r="P94" s="130"/>
      <c r="Q94" s="115">
        <v>41907</v>
      </c>
      <c r="R94" s="130">
        <v>1.0817228000000001E-3</v>
      </c>
      <c r="T94"/>
    </row>
    <row r="95" spans="2:20">
      <c r="B95" s="91">
        <v>41900</v>
      </c>
      <c r="C95" s="92">
        <v>0.41612475189999998</v>
      </c>
      <c r="D95" s="92">
        <f>VLOOKUP(CurrentMtgRatesDataTable825[[#This Row],[asofdate]],I:J,2,0)</f>
        <v>0.39207927710000001</v>
      </c>
      <c r="E95" s="92">
        <f>VLOOKUP(CurrentMtgRatesDataTable825[[#This Row],[asofdate]],M:N,2,0)</f>
        <v>0</v>
      </c>
      <c r="F95" s="93">
        <f ca="1">VLOOKUP(CurrentMtgRatesDataTable825[[#This Row],[asofdate]]+1,Bloomberg!B:C,2,0)</f>
        <v>1335.1</v>
      </c>
      <c r="I95" s="115">
        <v>41900</v>
      </c>
      <c r="J95" s="130">
        <v>0.39207927710000001</v>
      </c>
      <c r="M95" s="115">
        <v>41900</v>
      </c>
      <c r="N95" s="130">
        <v>0</v>
      </c>
      <c r="O95" s="130"/>
      <c r="P95" s="130"/>
      <c r="Q95" s="115">
        <v>41900</v>
      </c>
      <c r="R95" s="130">
        <v>1.0672454E-3</v>
      </c>
      <c r="T95"/>
    </row>
    <row r="96" spans="2:20">
      <c r="B96" s="91">
        <v>41893</v>
      </c>
      <c r="C96" s="92">
        <v>0.4603927558</v>
      </c>
      <c r="D96" s="92">
        <f>VLOOKUP(CurrentMtgRatesDataTable825[[#This Row],[asofdate]],I:J,2,0)</f>
        <v>0.43877924870000001</v>
      </c>
      <c r="E96" s="92">
        <f>VLOOKUP(CurrentMtgRatesDataTable825[[#This Row],[asofdate]],M:N,2,0)</f>
        <v>0</v>
      </c>
      <c r="F96" s="93">
        <f ca="1">VLOOKUP(CurrentMtgRatesDataTable825[[#This Row],[asofdate]]+1,Bloomberg!B:C,2,0)</f>
        <v>1398.4</v>
      </c>
      <c r="I96" s="115">
        <v>41893</v>
      </c>
      <c r="J96" s="130">
        <v>0.43877924870000001</v>
      </c>
      <c r="M96" s="115">
        <v>41893</v>
      </c>
      <c r="N96" s="130">
        <v>0</v>
      </c>
      <c r="O96" s="130"/>
      <c r="P96" s="130"/>
      <c r="Q96" s="115">
        <v>41893</v>
      </c>
      <c r="R96" s="130">
        <v>3.5835296099999997E-2</v>
      </c>
      <c r="T96"/>
    </row>
    <row r="97" spans="2:20">
      <c r="B97" s="91">
        <v>41886</v>
      </c>
      <c r="C97" s="92">
        <v>0.47501733540000002</v>
      </c>
      <c r="D97" s="92">
        <f>VLOOKUP(CurrentMtgRatesDataTable825[[#This Row],[asofdate]],I:J,2,0)</f>
        <v>0.4400792899</v>
      </c>
      <c r="E97" s="92">
        <f>VLOOKUP(CurrentMtgRatesDataTable825[[#This Row],[asofdate]],M:N,2,0)</f>
        <v>0</v>
      </c>
      <c r="F97" s="93">
        <f ca="1">VLOOKUP(CurrentMtgRatesDataTable825[[#This Row],[asofdate]]+1,Bloomberg!B:C,2,0)</f>
        <v>1275.8</v>
      </c>
      <c r="I97" s="115">
        <v>41886</v>
      </c>
      <c r="J97" s="130">
        <v>0.4400792899</v>
      </c>
      <c r="M97" s="115">
        <v>41886</v>
      </c>
      <c r="N97" s="130">
        <v>0</v>
      </c>
      <c r="O97" s="130"/>
      <c r="P97" s="130"/>
      <c r="Q97" s="115">
        <v>41886</v>
      </c>
      <c r="R97" s="130">
        <v>3.6285921499999998E-2</v>
      </c>
      <c r="T97"/>
    </row>
    <row r="98" spans="2:20">
      <c r="B98" s="91">
        <v>41879</v>
      </c>
      <c r="C98" s="92">
        <v>0.47917420760000007</v>
      </c>
      <c r="D98" s="92">
        <f>VLOOKUP(CurrentMtgRatesDataTable825[[#This Row],[asofdate]],I:J,2,0)</f>
        <v>0.44570419890000001</v>
      </c>
      <c r="E98" s="92">
        <f>VLOOKUP(CurrentMtgRatesDataTable825[[#This Row],[asofdate]],M:N,2,0)</f>
        <v>0</v>
      </c>
      <c r="F98" s="93">
        <f ca="1">VLOOKUP(CurrentMtgRatesDataTable825[[#This Row],[asofdate]]+1,Bloomberg!B:C,2,0)</f>
        <v>1436</v>
      </c>
      <c r="I98" s="115">
        <v>41879</v>
      </c>
      <c r="J98" s="130">
        <v>0.44570419890000001</v>
      </c>
      <c r="M98" s="115">
        <v>41879</v>
      </c>
      <c r="N98" s="130">
        <v>0</v>
      </c>
      <c r="O98" s="130"/>
      <c r="P98" s="130"/>
      <c r="Q98" s="115">
        <v>41879</v>
      </c>
      <c r="R98" s="130">
        <v>3.3991505900000003E-2</v>
      </c>
      <c r="T98"/>
    </row>
    <row r="99" spans="2:20">
      <c r="B99" s="91">
        <v>41872</v>
      </c>
      <c r="C99" s="92">
        <v>0.47917420760000007</v>
      </c>
      <c r="D99" s="92">
        <f>VLOOKUP(CurrentMtgRatesDataTable825[[#This Row],[asofdate]],I:J,2,0)</f>
        <v>0.44570419890000001</v>
      </c>
      <c r="E99" s="92">
        <f>VLOOKUP(CurrentMtgRatesDataTable825[[#This Row],[asofdate]],M:N,2,0)</f>
        <v>3.3566371999999997E-2</v>
      </c>
      <c r="F99" s="93">
        <f ca="1">VLOOKUP(CurrentMtgRatesDataTable825[[#This Row],[asofdate]]+1,Bloomberg!B:C,2,0)</f>
        <v>1439.4</v>
      </c>
      <c r="I99" s="115">
        <v>41872</v>
      </c>
      <c r="J99" s="130">
        <v>0.44570419890000001</v>
      </c>
      <c r="M99" s="115">
        <v>41872</v>
      </c>
      <c r="N99" s="130">
        <v>3.3566371999999997E-2</v>
      </c>
      <c r="O99" s="130"/>
      <c r="P99" s="130"/>
      <c r="Q99" s="115">
        <v>41872</v>
      </c>
      <c r="R99" s="130">
        <v>3.4152590300000001E-2</v>
      </c>
      <c r="T99"/>
    </row>
    <row r="100" spans="2:20">
      <c r="B100" s="91">
        <v>41865</v>
      </c>
      <c r="C100" s="92">
        <v>0.45188748220000008</v>
      </c>
      <c r="D100" s="92">
        <f>VLOOKUP(CurrentMtgRatesDataTable825[[#This Row],[asofdate]],I:J,2,0)</f>
        <v>0.42251047959999999</v>
      </c>
      <c r="E100" s="92">
        <f>VLOOKUP(CurrentMtgRatesDataTable825[[#This Row],[asofdate]],M:N,2,0)</f>
        <v>3.7045100000000002E-5</v>
      </c>
      <c r="F100" s="93">
        <f ca="1">VLOOKUP(CurrentMtgRatesDataTable825[[#This Row],[asofdate]]+1,Bloomberg!B:C,2,0)</f>
        <v>1404.9</v>
      </c>
      <c r="I100" s="115">
        <v>41865</v>
      </c>
      <c r="J100" s="130">
        <v>0.42251047959999999</v>
      </c>
      <c r="M100" s="115">
        <v>41865</v>
      </c>
      <c r="N100" s="130">
        <v>3.7045100000000002E-5</v>
      </c>
      <c r="O100" s="130"/>
      <c r="P100" s="130"/>
      <c r="Q100" s="115">
        <v>41865</v>
      </c>
      <c r="R100" s="130">
        <v>2.55482595E-2</v>
      </c>
      <c r="T100"/>
    </row>
    <row r="101" spans="2:20">
      <c r="B101" s="91">
        <v>41858</v>
      </c>
      <c r="C101" s="92">
        <v>0.43261818860000001</v>
      </c>
      <c r="D101" s="92">
        <f>VLOOKUP(CurrentMtgRatesDataTable825[[#This Row],[asofdate]],I:J,2,0)</f>
        <v>0.40082625799999999</v>
      </c>
      <c r="E101" s="92">
        <f>VLOOKUP(CurrentMtgRatesDataTable825[[#This Row],[asofdate]],M:N,2,0)</f>
        <v>0</v>
      </c>
      <c r="F101" s="93">
        <f ca="1">VLOOKUP(CurrentMtgRatesDataTable825[[#This Row],[asofdate]]+1,Bloomberg!B:C,2,0)</f>
        <v>1342.6</v>
      </c>
      <c r="I101" s="115">
        <v>41858</v>
      </c>
      <c r="J101" s="130">
        <v>0.40082625799999999</v>
      </c>
      <c r="M101" s="115">
        <v>41858</v>
      </c>
      <c r="N101" s="130">
        <v>0</v>
      </c>
      <c r="O101" s="130"/>
      <c r="P101" s="130"/>
      <c r="Q101" s="115">
        <v>41858</v>
      </c>
      <c r="R101" s="130">
        <v>1.7283762099999999E-2</v>
      </c>
      <c r="T101"/>
    </row>
    <row r="102" spans="2:20">
      <c r="B102" s="91">
        <v>41851</v>
      </c>
      <c r="C102" s="92">
        <v>0.45832464029999997</v>
      </c>
      <c r="D102" s="92">
        <f>VLOOKUP(CurrentMtgRatesDataTable825[[#This Row],[asofdate]],I:J,2,0)</f>
        <v>0.42743833689999999</v>
      </c>
      <c r="E102" s="92">
        <f>VLOOKUP(CurrentMtgRatesDataTable825[[#This Row],[asofdate]],M:N,2,0)</f>
        <v>0</v>
      </c>
      <c r="F102" s="93">
        <f ca="1">VLOOKUP(CurrentMtgRatesDataTable825[[#This Row],[asofdate]]+1,Bloomberg!B:C,2,0)</f>
        <v>1373.9</v>
      </c>
      <c r="I102" s="115">
        <v>41851</v>
      </c>
      <c r="J102" s="130">
        <v>0.42743833689999999</v>
      </c>
      <c r="M102" s="115">
        <v>41851</v>
      </c>
      <c r="N102" s="130">
        <v>0</v>
      </c>
      <c r="O102" s="130"/>
      <c r="P102" s="130"/>
      <c r="Q102" s="115">
        <v>41851</v>
      </c>
      <c r="R102" s="130">
        <v>2.30179571E-2</v>
      </c>
      <c r="T102"/>
    </row>
    <row r="103" spans="2:20">
      <c r="B103" s="91">
        <v>41844</v>
      </c>
      <c r="C103" s="92">
        <v>0.45300038799999998</v>
      </c>
      <c r="D103" s="92">
        <f>VLOOKUP(CurrentMtgRatesDataTable825[[#This Row],[asofdate]],I:J,2,0)</f>
        <v>0.42661541759999999</v>
      </c>
      <c r="E103" s="92">
        <f>VLOOKUP(CurrentMtgRatesDataTable825[[#This Row],[asofdate]],M:N,2,0)</f>
        <v>0</v>
      </c>
      <c r="F103" s="93">
        <f ca="1">VLOOKUP(CurrentMtgRatesDataTable825[[#This Row],[asofdate]]+1,Bloomberg!B:C,2,0)</f>
        <v>1327.5</v>
      </c>
      <c r="I103" s="115">
        <v>41844</v>
      </c>
      <c r="J103" s="130">
        <v>0.42661541759999999</v>
      </c>
      <c r="M103" s="115">
        <v>41844</v>
      </c>
      <c r="N103" s="130">
        <v>0</v>
      </c>
      <c r="O103" s="130"/>
      <c r="P103" s="130"/>
      <c r="Q103" s="115">
        <v>41844</v>
      </c>
      <c r="R103" s="130">
        <v>2.2488169999999998E-2</v>
      </c>
      <c r="T103"/>
    </row>
    <row r="104" spans="2:20">
      <c r="B104" s="91">
        <v>41837</v>
      </c>
      <c r="C104" s="92">
        <v>0.45300038799999998</v>
      </c>
      <c r="D104" s="92">
        <f>VLOOKUP(CurrentMtgRatesDataTable825[[#This Row],[asofdate]],I:J,2,0)</f>
        <v>0.42661541759999999</v>
      </c>
      <c r="E104" s="92">
        <f>VLOOKUP(CurrentMtgRatesDataTable825[[#This Row],[asofdate]],M:N,2,0)</f>
        <v>0</v>
      </c>
      <c r="F104" s="93">
        <f ca="1">VLOOKUP(CurrentMtgRatesDataTable825[[#This Row],[asofdate]]+1,Bloomberg!B:C,2,0)</f>
        <v>1400.7</v>
      </c>
      <c r="I104" s="115">
        <v>41837</v>
      </c>
      <c r="J104" s="130">
        <v>0.42661541759999999</v>
      </c>
      <c r="M104" s="115">
        <v>41837</v>
      </c>
      <c r="N104" s="130">
        <v>0</v>
      </c>
      <c r="O104" s="130"/>
      <c r="P104" s="130"/>
      <c r="Q104" s="115">
        <v>41837</v>
      </c>
      <c r="R104" s="130">
        <v>2.2488169999999998E-2</v>
      </c>
      <c r="T104"/>
    </row>
    <row r="105" spans="2:20">
      <c r="B105" s="91">
        <v>41830</v>
      </c>
      <c r="C105" s="92">
        <v>0.43581013750000003</v>
      </c>
      <c r="D105" s="92">
        <f>VLOOKUP(CurrentMtgRatesDataTable825[[#This Row],[asofdate]],I:J,2,0)</f>
        <v>0.4059467591</v>
      </c>
      <c r="E105" s="92">
        <f>VLOOKUP(CurrentMtgRatesDataTable825[[#This Row],[asofdate]],M:N,2,0)</f>
        <v>0</v>
      </c>
      <c r="F105" s="93">
        <f ca="1">VLOOKUP(CurrentMtgRatesDataTable825[[#This Row],[asofdate]]+1,Bloomberg!B:C,2,0)</f>
        <v>1329.7</v>
      </c>
      <c r="I105" s="115">
        <v>41830</v>
      </c>
      <c r="J105" s="130">
        <v>0.4059467591</v>
      </c>
      <c r="M105" s="115">
        <v>41830</v>
      </c>
      <c r="N105" s="130">
        <v>0</v>
      </c>
      <c r="O105" s="130"/>
      <c r="P105" s="130"/>
      <c r="Q105" s="115">
        <v>41830</v>
      </c>
      <c r="R105" s="130">
        <v>1.53662698E-2</v>
      </c>
      <c r="T105"/>
    </row>
    <row r="106" spans="2:20">
      <c r="B106" s="91">
        <v>41823</v>
      </c>
      <c r="C106" s="92">
        <v>0.47300173340000007</v>
      </c>
      <c r="D106" s="92">
        <f>VLOOKUP(CurrentMtgRatesDataTable825[[#This Row],[asofdate]],I:J,2,0)</f>
        <v>0.44867642769999999</v>
      </c>
      <c r="E106" s="92">
        <f>VLOOKUP(CurrentMtgRatesDataTable825[[#This Row],[asofdate]],M:N,2,0)</f>
        <v>2.9636230199999999E-2</v>
      </c>
      <c r="F106" s="93">
        <f ca="1">VLOOKUP(CurrentMtgRatesDataTable825[[#This Row],[asofdate]]+1,Bloomberg!B:C,2,0)</f>
        <v>1346.8</v>
      </c>
      <c r="I106" s="115">
        <v>41823</v>
      </c>
      <c r="J106" s="130">
        <v>0.44867642769999999</v>
      </c>
      <c r="M106" s="115">
        <v>41823</v>
      </c>
      <c r="N106" s="130">
        <v>2.9636230199999999E-2</v>
      </c>
      <c r="O106" s="130"/>
      <c r="P106" s="130"/>
      <c r="Q106" s="115">
        <v>41823</v>
      </c>
      <c r="R106" s="130">
        <v>3.0136103599999998E-2</v>
      </c>
      <c r="T106"/>
    </row>
    <row r="107" spans="2:20">
      <c r="B107" s="91">
        <v>41816</v>
      </c>
      <c r="C107" s="92">
        <v>0.46249723409999999</v>
      </c>
      <c r="D107" s="92">
        <f>VLOOKUP(CurrentMtgRatesDataTable825[[#This Row],[asofdate]],I:J,2,0)</f>
        <v>0.42867166039999999</v>
      </c>
      <c r="E107" s="92">
        <f>VLOOKUP(CurrentMtgRatesDataTable825[[#This Row],[asofdate]],M:N,2,0)</f>
        <v>0</v>
      </c>
      <c r="F107" s="93">
        <f ca="1">VLOOKUP(CurrentMtgRatesDataTable825[[#This Row],[asofdate]]+1,Bloomberg!B:C,2,0)</f>
        <v>1341.8</v>
      </c>
      <c r="I107" s="115">
        <v>41816</v>
      </c>
      <c r="J107" s="130">
        <v>0.42867166039999999</v>
      </c>
      <c r="M107" s="115">
        <v>41816</v>
      </c>
      <c r="N107" s="130">
        <v>0</v>
      </c>
      <c r="O107" s="130"/>
      <c r="P107" s="130"/>
      <c r="Q107" s="115">
        <v>41816</v>
      </c>
      <c r="R107" s="130">
        <v>1.9671418699999998E-2</v>
      </c>
      <c r="T107"/>
    </row>
    <row r="108" spans="2:20">
      <c r="B108" s="91">
        <v>41809</v>
      </c>
      <c r="C108" s="92">
        <v>0.43961901780000001</v>
      </c>
      <c r="D108" s="92">
        <f>VLOOKUP(CurrentMtgRatesDataTable825[[#This Row],[asofdate]],I:J,2,0)</f>
        <v>0.40777675969999999</v>
      </c>
      <c r="E108" s="92">
        <f>VLOOKUP(CurrentMtgRatesDataTable825[[#This Row],[asofdate]],M:N,2,0)</f>
        <v>0</v>
      </c>
      <c r="F108" s="93">
        <f ca="1">VLOOKUP(CurrentMtgRatesDataTable825[[#This Row],[asofdate]]+1,Bloomberg!B:C,2,0)</f>
        <v>1333.5</v>
      </c>
      <c r="I108" s="115">
        <v>41809</v>
      </c>
      <c r="J108" s="130">
        <v>0.40777675969999999</v>
      </c>
      <c r="M108" s="115">
        <v>41809</v>
      </c>
      <c r="N108" s="130">
        <v>0</v>
      </c>
      <c r="O108" s="130"/>
      <c r="P108" s="130"/>
      <c r="Q108" s="115">
        <v>41809</v>
      </c>
      <c r="R108" s="130">
        <v>1.32202901E-2</v>
      </c>
      <c r="T108"/>
    </row>
    <row r="109" spans="2:20">
      <c r="B109" s="91">
        <v>41802</v>
      </c>
      <c r="C109" s="92">
        <v>0.4340808639</v>
      </c>
      <c r="D109" s="92">
        <f>VLOOKUP(CurrentMtgRatesDataTable825[[#This Row],[asofdate]],I:J,2,0)</f>
        <v>0.40622358260000002</v>
      </c>
      <c r="E109" s="92">
        <f>VLOOKUP(CurrentMtgRatesDataTable825[[#This Row],[asofdate]],M:N,2,0)</f>
        <v>0</v>
      </c>
      <c r="F109" s="93">
        <f ca="1">VLOOKUP(CurrentMtgRatesDataTable825[[#This Row],[asofdate]]+1,Bloomberg!B:C,2,0)</f>
        <v>1321.3</v>
      </c>
      <c r="I109" s="115">
        <v>41802</v>
      </c>
      <c r="J109" s="130">
        <v>0.40622358260000002</v>
      </c>
      <c r="M109" s="115">
        <v>41802</v>
      </c>
      <c r="N109" s="130">
        <v>0</v>
      </c>
      <c r="O109" s="130"/>
      <c r="P109" s="130"/>
      <c r="Q109" s="115">
        <v>41802</v>
      </c>
      <c r="R109" s="130">
        <v>1.2623503499999999E-2</v>
      </c>
      <c r="T109"/>
    </row>
    <row r="110" spans="2:20">
      <c r="B110" s="91">
        <v>41795</v>
      </c>
      <c r="C110" s="92">
        <v>0.46249723409999999</v>
      </c>
      <c r="D110" s="92">
        <f>VLOOKUP(CurrentMtgRatesDataTable825[[#This Row],[asofdate]],I:J,2,0)</f>
        <v>0.42867166039999999</v>
      </c>
      <c r="E110" s="92">
        <f>VLOOKUP(CurrentMtgRatesDataTable825[[#This Row],[asofdate]],M:N,2,0)</f>
        <v>1.9336270799999999E-2</v>
      </c>
      <c r="F110" s="93">
        <f ca="1">VLOOKUP(CurrentMtgRatesDataTable825[[#This Row],[asofdate]]+1,Bloomberg!B:C,2,0)</f>
        <v>1516.9</v>
      </c>
      <c r="I110" s="115">
        <v>41795</v>
      </c>
      <c r="J110" s="130">
        <v>0.42867166039999999</v>
      </c>
      <c r="M110" s="115">
        <v>41795</v>
      </c>
      <c r="N110" s="130">
        <v>1.9336270799999999E-2</v>
      </c>
      <c r="O110" s="130"/>
      <c r="P110" s="130"/>
      <c r="Q110" s="115">
        <v>41795</v>
      </c>
      <c r="R110" s="130">
        <v>1.96890295E-2</v>
      </c>
      <c r="T110"/>
    </row>
    <row r="111" spans="2:20">
      <c r="B111" s="91">
        <v>41788</v>
      </c>
      <c r="C111" s="92">
        <v>0.4603570615</v>
      </c>
      <c r="D111" s="92">
        <f>VLOOKUP(CurrentMtgRatesDataTable825[[#This Row],[asofdate]],I:J,2,0)</f>
        <v>0.42749998970000003</v>
      </c>
      <c r="E111" s="92">
        <f>VLOOKUP(CurrentMtgRatesDataTable825[[#This Row],[asofdate]],M:N,2,0)</f>
        <v>1.5762900199999999E-2</v>
      </c>
      <c r="F111" s="93">
        <f ca="1">VLOOKUP(CurrentMtgRatesDataTable825[[#This Row],[asofdate]]+1,Bloomberg!B:C,2,0)</f>
        <v>1382.6</v>
      </c>
      <c r="I111" s="115">
        <v>41788</v>
      </c>
      <c r="J111" s="130">
        <v>0.42749998970000003</v>
      </c>
      <c r="M111" s="115">
        <v>41788</v>
      </c>
      <c r="N111" s="130">
        <v>1.5762900199999999E-2</v>
      </c>
      <c r="O111" s="130"/>
      <c r="P111" s="130"/>
      <c r="Q111" s="115">
        <v>41788</v>
      </c>
      <c r="R111" s="130">
        <v>1.60394271E-2</v>
      </c>
      <c r="T111"/>
    </row>
    <row r="112" spans="2:20">
      <c r="B112" s="91">
        <v>41781</v>
      </c>
      <c r="C112" s="92">
        <v>0.45250652359999999</v>
      </c>
      <c r="D112" s="92">
        <f>VLOOKUP(CurrentMtgRatesDataTable825[[#This Row],[asofdate]],I:J,2,0)</f>
        <v>0.42656838860000001</v>
      </c>
      <c r="E112" s="92">
        <f>VLOOKUP(CurrentMtgRatesDataTable825[[#This Row],[asofdate]],M:N,2,0)</f>
        <v>1.17439009E-2</v>
      </c>
      <c r="F112" s="93">
        <f ca="1">VLOOKUP(CurrentMtgRatesDataTable825[[#This Row],[asofdate]]+1,Bloomberg!B:C,2,0)</f>
        <v>1453.4</v>
      </c>
      <c r="I112" s="115">
        <v>41781</v>
      </c>
      <c r="J112" s="130">
        <v>0.42656838860000001</v>
      </c>
      <c r="M112" s="115">
        <v>41781</v>
      </c>
      <c r="N112" s="130">
        <v>1.17439009E-2</v>
      </c>
      <c r="O112" s="130"/>
      <c r="P112" s="130"/>
      <c r="Q112" s="115">
        <v>41781</v>
      </c>
      <c r="R112" s="130">
        <v>1.5686025700000002E-2</v>
      </c>
      <c r="T112"/>
    </row>
    <row r="113" spans="2:20">
      <c r="B113" s="91">
        <v>41774</v>
      </c>
      <c r="C113" s="92">
        <v>0.4365815019</v>
      </c>
      <c r="D113" s="92">
        <f>VLOOKUP(CurrentMtgRatesDataTable825[[#This Row],[asofdate]],I:J,2,0)</f>
        <v>0.40649016360000001</v>
      </c>
      <c r="E113" s="92">
        <f>VLOOKUP(CurrentMtgRatesDataTable825[[#This Row],[asofdate]],M:N,2,0)</f>
        <v>7.9300269999999992E-3</v>
      </c>
      <c r="F113" s="93">
        <f ca="1">VLOOKUP(CurrentMtgRatesDataTable825[[#This Row],[asofdate]]+1,Bloomberg!B:C,2,0)</f>
        <v>1460.6</v>
      </c>
      <c r="I113" s="115">
        <v>41774</v>
      </c>
      <c r="J113" s="130">
        <v>0.40649016360000001</v>
      </c>
      <c r="M113" s="115">
        <v>41774</v>
      </c>
      <c r="N113" s="130">
        <v>7.9300269999999992E-3</v>
      </c>
      <c r="O113" s="130"/>
      <c r="P113" s="130"/>
      <c r="Q113" s="115">
        <v>41774</v>
      </c>
      <c r="R113" s="130">
        <v>1.05214531E-2</v>
      </c>
      <c r="T113"/>
    </row>
    <row r="114" spans="2:20">
      <c r="B114" s="91">
        <v>41767</v>
      </c>
      <c r="C114" s="92">
        <v>0.4351546436</v>
      </c>
      <c r="D114" s="92">
        <f>VLOOKUP(CurrentMtgRatesDataTable825[[#This Row],[asofdate]],I:J,2,0)</f>
        <v>0.40578681059999999</v>
      </c>
      <c r="E114" s="92">
        <f>VLOOKUP(CurrentMtgRatesDataTable825[[#This Row],[asofdate]],M:N,2,0)</f>
        <v>5.7357874999999997E-3</v>
      </c>
      <c r="F114" s="93">
        <f ca="1">VLOOKUP(CurrentMtgRatesDataTable825[[#This Row],[asofdate]]+1,Bloomberg!B:C,2,0)</f>
        <v>1400.9</v>
      </c>
      <c r="I114" s="115">
        <v>41767</v>
      </c>
      <c r="J114" s="130">
        <v>0.40578681059999999</v>
      </c>
      <c r="M114" s="115">
        <v>41767</v>
      </c>
      <c r="N114" s="130">
        <v>5.7357874999999997E-3</v>
      </c>
      <c r="O114" s="130"/>
      <c r="P114" s="130"/>
      <c r="Q114" s="115">
        <v>41767</v>
      </c>
      <c r="R114" s="130">
        <v>1.0483459699999999E-2</v>
      </c>
      <c r="T114"/>
    </row>
    <row r="115" spans="2:20">
      <c r="B115" s="91">
        <v>41760</v>
      </c>
      <c r="C115" s="92">
        <v>0.41818183310000001</v>
      </c>
      <c r="D115" s="92">
        <f>VLOOKUP(CurrentMtgRatesDataTable825[[#This Row],[asofdate]],I:J,2,0)</f>
        <v>0.36400559960000001</v>
      </c>
      <c r="E115" s="92">
        <f>VLOOKUP(CurrentMtgRatesDataTable825[[#This Row],[asofdate]],M:N,2,0)</f>
        <v>0</v>
      </c>
      <c r="F115" s="93">
        <f ca="1">VLOOKUP(CurrentMtgRatesDataTable825[[#This Row],[asofdate]]+1,Bloomberg!B:C,2,0)</f>
        <v>1323.9</v>
      </c>
      <c r="I115" s="115">
        <v>41760</v>
      </c>
      <c r="J115" s="130">
        <v>0.36400559960000001</v>
      </c>
      <c r="M115" s="115">
        <v>41760</v>
      </c>
      <c r="N115" s="130">
        <v>0</v>
      </c>
      <c r="O115" s="130"/>
      <c r="P115" s="130"/>
      <c r="Q115" s="115">
        <v>41760</v>
      </c>
      <c r="R115" s="130">
        <v>4.4909529000000002E-3</v>
      </c>
      <c r="T115"/>
    </row>
    <row r="116" spans="2:20">
      <c r="B116" s="91">
        <v>41753</v>
      </c>
      <c r="C116" s="92">
        <v>0.41633136129999998</v>
      </c>
      <c r="D116" s="92">
        <f>VLOOKUP(CurrentMtgRatesDataTable825[[#This Row],[asofdate]],I:J,2,0)</f>
        <v>0.36234091489999998</v>
      </c>
      <c r="E116" s="92">
        <f>VLOOKUP(CurrentMtgRatesDataTable825[[#This Row],[asofdate]],M:N,2,0)</f>
        <v>0</v>
      </c>
      <c r="F116" s="93">
        <f ca="1">VLOOKUP(CurrentMtgRatesDataTable825[[#This Row],[asofdate]]+1,Bloomberg!B:C,2,0)</f>
        <v>1298.0999999999999</v>
      </c>
      <c r="I116" s="115">
        <v>41753</v>
      </c>
      <c r="J116" s="130">
        <v>0.36234091489999998</v>
      </c>
      <c r="M116" s="115">
        <v>41753</v>
      </c>
      <c r="N116" s="130">
        <v>0</v>
      </c>
      <c r="O116" s="130"/>
      <c r="P116" s="130"/>
      <c r="Q116" s="115">
        <v>41753</v>
      </c>
      <c r="R116" s="130">
        <v>2.7504809999999999E-3</v>
      </c>
      <c r="T116"/>
    </row>
    <row r="117" spans="2:20">
      <c r="B117" s="91">
        <v>41746</v>
      </c>
      <c r="C117" s="92">
        <v>0.42192053759999998</v>
      </c>
      <c r="D117" s="92">
        <f>VLOOKUP(CurrentMtgRatesDataTable825[[#This Row],[asofdate]],I:J,2,0)</f>
        <v>0.36364135050000002</v>
      </c>
      <c r="E117" s="92">
        <f>VLOOKUP(CurrentMtgRatesDataTable825[[#This Row],[asofdate]],M:N,2,0)</f>
        <v>3.8373790000000002E-4</v>
      </c>
      <c r="F117" s="93">
        <f ca="1">VLOOKUP(CurrentMtgRatesDataTable825[[#This Row],[asofdate]]+1,Bloomberg!B:C,2,0)</f>
        <v>1370.9</v>
      </c>
      <c r="I117" s="115">
        <v>41746</v>
      </c>
      <c r="J117" s="130">
        <v>0.36364135050000002</v>
      </c>
      <c r="M117" s="115">
        <v>41746</v>
      </c>
      <c r="N117" s="130">
        <v>3.8373790000000002E-4</v>
      </c>
      <c r="O117" s="130"/>
      <c r="P117" s="130"/>
      <c r="Q117" s="115">
        <v>41746</v>
      </c>
      <c r="R117" s="130">
        <v>4.0369202999999999E-3</v>
      </c>
      <c r="T117"/>
    </row>
    <row r="118" spans="2:20">
      <c r="B118" s="91">
        <v>41739</v>
      </c>
      <c r="C118" s="92">
        <v>0.405089643</v>
      </c>
      <c r="D118" s="92">
        <f>VLOOKUP(CurrentMtgRatesDataTable825[[#This Row],[asofdate]],I:J,2,0)</f>
        <v>0.33916080189999998</v>
      </c>
      <c r="E118" s="92">
        <f>VLOOKUP(CurrentMtgRatesDataTable825[[#This Row],[asofdate]],M:N,2,0)</f>
        <v>1.23647E-5</v>
      </c>
      <c r="F118" s="93">
        <f ca="1">VLOOKUP(CurrentMtgRatesDataTable825[[#This Row],[asofdate]]+1,Bloomberg!B:C,2,0)</f>
        <v>1429.9</v>
      </c>
      <c r="I118" s="115">
        <v>41739</v>
      </c>
      <c r="J118" s="130">
        <v>0.33916080189999998</v>
      </c>
      <c r="M118" s="115">
        <v>41739</v>
      </c>
      <c r="N118" s="130">
        <v>1.23647E-5</v>
      </c>
      <c r="O118" s="130"/>
      <c r="P118" s="130"/>
      <c r="Q118" s="115">
        <v>41739</v>
      </c>
      <c r="R118" s="130">
        <v>1.9011290000000001E-3</v>
      </c>
      <c r="T118"/>
    </row>
    <row r="119" spans="2:20">
      <c r="B119" s="91">
        <v>41732</v>
      </c>
      <c r="C119" s="92">
        <v>0.36524447539999999</v>
      </c>
      <c r="D119" s="92">
        <f>VLOOKUP(CurrentMtgRatesDataTable825[[#This Row],[asofdate]],I:J,2,0)</f>
        <v>0.31220021279999999</v>
      </c>
      <c r="E119" s="92">
        <f>VLOOKUP(CurrentMtgRatesDataTable825[[#This Row],[asofdate]],M:N,2,0)</f>
        <v>0</v>
      </c>
      <c r="F119" s="93">
        <f ca="1">VLOOKUP(CurrentMtgRatesDataTable825[[#This Row],[asofdate]]+1,Bloomberg!B:C,2,0)</f>
        <v>1324.7</v>
      </c>
      <c r="I119" s="115">
        <v>41732</v>
      </c>
      <c r="J119" s="130">
        <v>0.31220021279999999</v>
      </c>
      <c r="M119" s="115">
        <v>41732</v>
      </c>
      <c r="N119" s="130">
        <v>0</v>
      </c>
      <c r="O119" s="130"/>
      <c r="P119" s="130"/>
      <c r="Q119" s="115">
        <v>41732</v>
      </c>
      <c r="R119" s="130">
        <v>8.6125899999999996E-4</v>
      </c>
      <c r="T119"/>
    </row>
    <row r="120" spans="2:20">
      <c r="B120" s="91">
        <v>41725</v>
      </c>
      <c r="C120" s="92">
        <v>0.39560129970000002</v>
      </c>
      <c r="D120" s="92">
        <f>VLOOKUP(CurrentMtgRatesDataTable825[[#This Row],[asofdate]],I:J,2,0)</f>
        <v>0.34336021719999998</v>
      </c>
      <c r="E120" s="92">
        <f>VLOOKUP(CurrentMtgRatesDataTable825[[#This Row],[asofdate]],M:N,2,0)</f>
        <v>0</v>
      </c>
      <c r="F120" s="93">
        <f ca="1">VLOOKUP(CurrentMtgRatesDataTable825[[#This Row],[asofdate]]+1,Bloomberg!B:C,2,0)</f>
        <v>1383.5</v>
      </c>
      <c r="I120" s="115">
        <v>41725</v>
      </c>
      <c r="J120" s="130">
        <v>0.34336021719999998</v>
      </c>
      <c r="M120" s="115">
        <v>41725</v>
      </c>
      <c r="N120" s="130">
        <v>0</v>
      </c>
      <c r="O120" s="130"/>
      <c r="P120" s="130"/>
      <c r="Q120" s="115">
        <v>41725</v>
      </c>
      <c r="R120" s="130">
        <v>1.5209316000000001E-3</v>
      </c>
      <c r="T120"/>
    </row>
    <row r="121" spans="2:20">
      <c r="B121" s="91">
        <v>41718</v>
      </c>
      <c r="C121" s="92">
        <v>0.42429527379999998</v>
      </c>
      <c r="D121" s="92">
        <f>VLOOKUP(CurrentMtgRatesDataTable825[[#This Row],[asofdate]],I:J,2,0)</f>
        <v>0.36887988770000002</v>
      </c>
      <c r="E121" s="92">
        <f>VLOOKUP(CurrentMtgRatesDataTable825[[#This Row],[asofdate]],M:N,2,0)</f>
        <v>0</v>
      </c>
      <c r="F121" s="93">
        <f ca="1">VLOOKUP(CurrentMtgRatesDataTable825[[#This Row],[asofdate]]+1,Bloomberg!B:C,2,0)</f>
        <v>1426.3</v>
      </c>
      <c r="I121" s="115">
        <v>41718</v>
      </c>
      <c r="J121" s="130">
        <v>0.36887988770000002</v>
      </c>
      <c r="M121" s="115">
        <v>41718</v>
      </c>
      <c r="N121" s="130">
        <v>0</v>
      </c>
      <c r="O121" s="130"/>
      <c r="P121" s="130"/>
      <c r="Q121" s="115">
        <v>41718</v>
      </c>
      <c r="R121" s="130">
        <v>3.1422589000000001E-3</v>
      </c>
      <c r="T121"/>
    </row>
    <row r="122" spans="2:20">
      <c r="B122" s="91">
        <v>41711</v>
      </c>
      <c r="C122" s="92">
        <v>0.4093796113</v>
      </c>
      <c r="D122" s="92">
        <f>VLOOKUP(CurrentMtgRatesDataTable825[[#This Row],[asofdate]],I:J,2,0)</f>
        <v>0.34496826310000001</v>
      </c>
      <c r="E122" s="92">
        <f>VLOOKUP(CurrentMtgRatesDataTable825[[#This Row],[asofdate]],M:N,2,0)</f>
        <v>0</v>
      </c>
      <c r="F122" s="93">
        <f ca="1">VLOOKUP(CurrentMtgRatesDataTable825[[#This Row],[asofdate]]+1,Bloomberg!B:C,2,0)</f>
        <v>1552.1</v>
      </c>
      <c r="I122" s="115">
        <v>41711</v>
      </c>
      <c r="J122" s="130">
        <v>0.34496826310000001</v>
      </c>
      <c r="M122" s="115">
        <v>41711</v>
      </c>
      <c r="N122" s="130">
        <v>0</v>
      </c>
      <c r="O122" s="130"/>
      <c r="P122" s="130"/>
      <c r="Q122" s="115">
        <v>41711</v>
      </c>
      <c r="R122" s="130">
        <v>1.5497656E-3</v>
      </c>
      <c r="T122"/>
    </row>
    <row r="123" spans="2:20">
      <c r="B123" s="91">
        <v>41704</v>
      </c>
      <c r="C123" s="92">
        <v>0.42657243919999999</v>
      </c>
      <c r="D123" s="92">
        <f>VLOOKUP(CurrentMtgRatesDataTable825[[#This Row],[asofdate]],I:J,2,0)</f>
        <v>0.36942482259999998</v>
      </c>
      <c r="E123" s="92">
        <f>VLOOKUP(CurrentMtgRatesDataTable825[[#This Row],[asofdate]],M:N,2,0)</f>
        <v>0</v>
      </c>
      <c r="F123" s="93">
        <f ca="1">VLOOKUP(CurrentMtgRatesDataTable825[[#This Row],[asofdate]]+1,Bloomberg!B:C,2,0)</f>
        <v>1528</v>
      </c>
      <c r="I123" s="115">
        <v>41704</v>
      </c>
      <c r="J123" s="130">
        <v>0.36942482259999998</v>
      </c>
      <c r="M123" s="115">
        <v>41704</v>
      </c>
      <c r="N123" s="130">
        <v>0</v>
      </c>
      <c r="O123" s="130"/>
      <c r="P123" s="130"/>
      <c r="Q123" s="115">
        <v>41704</v>
      </c>
      <c r="R123" s="130">
        <v>3.1871104000000001E-3</v>
      </c>
      <c r="T123"/>
    </row>
    <row r="124" spans="2:20">
      <c r="B124" s="91">
        <v>41697</v>
      </c>
      <c r="C124" s="92">
        <v>0.40589301350000001</v>
      </c>
      <c r="D124" s="92">
        <f>VLOOKUP(CurrentMtgRatesDataTable825[[#This Row],[asofdate]],I:J,2,0)</f>
        <v>0.35133351429999998</v>
      </c>
      <c r="E124" s="92">
        <f>VLOOKUP(CurrentMtgRatesDataTable825[[#This Row],[asofdate]],M:N,2,0)</f>
        <v>0</v>
      </c>
      <c r="F124" s="93">
        <f ca="1">VLOOKUP(CurrentMtgRatesDataTable825[[#This Row],[asofdate]]+1,Bloomberg!B:C,2,0)</f>
        <v>1600.6</v>
      </c>
      <c r="I124" s="115">
        <v>41697</v>
      </c>
      <c r="J124" s="130">
        <v>0.35133351429999998</v>
      </c>
      <c r="M124" s="115">
        <v>41697</v>
      </c>
      <c r="N124" s="130">
        <v>0</v>
      </c>
      <c r="O124" s="130"/>
      <c r="P124" s="130"/>
      <c r="Q124" s="115">
        <v>41697</v>
      </c>
      <c r="R124" s="130">
        <v>1.2179790999999999E-3</v>
      </c>
      <c r="T124"/>
    </row>
    <row r="125" spans="2:20">
      <c r="B125" s="91">
        <v>41690</v>
      </c>
      <c r="C125" s="92">
        <v>0.42341179159999998</v>
      </c>
      <c r="D125" s="92">
        <f>VLOOKUP(CurrentMtgRatesDataTable825[[#This Row],[asofdate]],I:J,2,0)</f>
        <v>0.35336059069999998</v>
      </c>
      <c r="E125" s="92">
        <f>VLOOKUP(CurrentMtgRatesDataTable825[[#This Row],[asofdate]],M:N,2,0)</f>
        <v>0</v>
      </c>
      <c r="F125" s="93">
        <f ca="1">VLOOKUP(CurrentMtgRatesDataTable825[[#This Row],[asofdate]]+1,Bloomberg!B:C,2,0)</f>
        <v>1442.3</v>
      </c>
      <c r="I125" s="115">
        <v>41690</v>
      </c>
      <c r="J125" s="130">
        <v>0.35336059069999998</v>
      </c>
      <c r="M125" s="115">
        <v>41690</v>
      </c>
      <c r="N125" s="130">
        <v>0</v>
      </c>
      <c r="O125" s="130"/>
      <c r="P125" s="130"/>
      <c r="Q125" s="115">
        <v>41690</v>
      </c>
      <c r="R125" s="130">
        <v>1.7492553E-3</v>
      </c>
      <c r="T125"/>
    </row>
    <row r="126" spans="2:20">
      <c r="B126" s="91">
        <v>41683</v>
      </c>
      <c r="C126" s="92">
        <v>0.43449214590000002</v>
      </c>
      <c r="D126" s="92">
        <f>VLOOKUP(CurrentMtgRatesDataTable825[[#This Row],[asofdate]],I:J,2,0)</f>
        <v>0.37664429049999998</v>
      </c>
      <c r="E126" s="92">
        <f>VLOOKUP(CurrentMtgRatesDataTable825[[#This Row],[asofdate]],M:N,2,0)</f>
        <v>0</v>
      </c>
      <c r="F126" s="93">
        <f ca="1">VLOOKUP(CurrentMtgRatesDataTable825[[#This Row],[asofdate]]+1,Bloomberg!B:C,2,0)</f>
        <v>1650.6</v>
      </c>
      <c r="I126" s="115">
        <v>41683</v>
      </c>
      <c r="J126" s="130">
        <v>0.37664429049999998</v>
      </c>
      <c r="M126" s="115">
        <v>41683</v>
      </c>
      <c r="N126" s="130">
        <v>0</v>
      </c>
      <c r="O126" s="130"/>
      <c r="P126" s="130"/>
      <c r="Q126" s="115">
        <v>41683</v>
      </c>
      <c r="R126" s="130">
        <v>2.7459873999999998E-3</v>
      </c>
      <c r="T126"/>
    </row>
    <row r="127" spans="2:20">
      <c r="B127" s="91">
        <v>41676</v>
      </c>
      <c r="C127" s="92">
        <v>0.44358880369999998</v>
      </c>
      <c r="D127" s="92">
        <f>VLOOKUP(CurrentMtgRatesDataTable825[[#This Row],[asofdate]],I:J,2,0)</f>
        <v>0.40240560060000002</v>
      </c>
      <c r="E127" s="92">
        <f>VLOOKUP(CurrentMtgRatesDataTable825[[#This Row],[asofdate]],M:N,2,0)</f>
        <v>1.4348052E-3</v>
      </c>
      <c r="F127" s="93">
        <f ca="1">VLOOKUP(CurrentMtgRatesDataTable825[[#This Row],[asofdate]]+1,Bloomberg!B:C,2,0)</f>
        <v>1674.2</v>
      </c>
      <c r="I127" s="115">
        <v>41676</v>
      </c>
      <c r="J127" s="130">
        <v>0.40240560060000002</v>
      </c>
      <c r="M127" s="115">
        <v>41676</v>
      </c>
      <c r="N127" s="130">
        <v>1.4348052E-3</v>
      </c>
      <c r="O127" s="130"/>
      <c r="P127" s="130"/>
      <c r="Q127" s="115">
        <v>41676</v>
      </c>
      <c r="R127" s="130">
        <v>4.1986916999999999E-3</v>
      </c>
      <c r="T127"/>
    </row>
    <row r="128" spans="2:20">
      <c r="B128" s="91">
        <v>41669</v>
      </c>
      <c r="C128" s="92">
        <v>0.43663152700000002</v>
      </c>
      <c r="D128" s="92">
        <f>VLOOKUP(CurrentMtgRatesDataTable825[[#This Row],[asofdate]],I:J,2,0)</f>
        <v>0.38332880260000002</v>
      </c>
      <c r="E128" s="92">
        <f>VLOOKUP(CurrentMtgRatesDataTable825[[#This Row],[asofdate]],M:N,2,0)</f>
        <v>5.7224559999999997E-4</v>
      </c>
      <c r="F128" s="93">
        <f ca="1">VLOOKUP(CurrentMtgRatesDataTable825[[#This Row],[asofdate]]+1,Bloomberg!B:C,2,0)</f>
        <v>1667.5</v>
      </c>
      <c r="I128" s="115">
        <v>41669</v>
      </c>
      <c r="J128" s="130">
        <v>0.38332880260000002</v>
      </c>
      <c r="M128" s="115">
        <v>41669</v>
      </c>
      <c r="N128" s="130">
        <v>5.7224559999999997E-4</v>
      </c>
      <c r="O128" s="130"/>
      <c r="P128" s="130"/>
      <c r="Q128" s="115">
        <v>41669</v>
      </c>
      <c r="R128" s="130">
        <v>2.1653044E-3</v>
      </c>
      <c r="T128"/>
    </row>
    <row r="129" spans="2:20">
      <c r="B129" s="91">
        <v>41662</v>
      </c>
      <c r="C129" s="92">
        <v>0.40374447559999999</v>
      </c>
      <c r="D129" s="92">
        <f>VLOOKUP(CurrentMtgRatesDataTable825[[#This Row],[asofdate]],I:J,2,0)</f>
        <v>0.33320664849999998</v>
      </c>
      <c r="E129" s="92">
        <f>VLOOKUP(CurrentMtgRatesDataTable825[[#This Row],[asofdate]],M:N,2,0)</f>
        <v>2.914956E-4</v>
      </c>
      <c r="F129" s="93">
        <f ca="1">VLOOKUP(CurrentMtgRatesDataTable825[[#This Row],[asofdate]]+1,Bloomberg!B:C,2,0)</f>
        <v>1601.2</v>
      </c>
      <c r="I129" s="115">
        <v>41662</v>
      </c>
      <c r="J129" s="130">
        <v>0.33320664849999998</v>
      </c>
      <c r="M129" s="115">
        <v>41662</v>
      </c>
      <c r="N129" s="130">
        <v>2.914956E-4</v>
      </c>
      <c r="O129" s="130"/>
      <c r="P129" s="130"/>
      <c r="Q129" s="115">
        <v>41662</v>
      </c>
      <c r="R129" s="130">
        <v>1.0005254999999999E-3</v>
      </c>
      <c r="T129"/>
    </row>
    <row r="130" spans="2:20">
      <c r="B130" s="91">
        <v>41655</v>
      </c>
      <c r="C130" s="92">
        <v>0.38746977710000002</v>
      </c>
      <c r="D130" s="92">
        <f>VLOOKUP(CurrentMtgRatesDataTable825[[#This Row],[asofdate]],I:J,2,0)</f>
        <v>0.33271002300000002</v>
      </c>
      <c r="E130" s="92">
        <f>VLOOKUP(CurrentMtgRatesDataTable825[[#This Row],[asofdate]],M:N,2,0)</f>
        <v>7.5507000000000004E-6</v>
      </c>
      <c r="F130" s="93">
        <f ca="1">VLOOKUP(CurrentMtgRatesDataTable825[[#This Row],[asofdate]]+1,Bloomberg!B:C,2,0)</f>
        <v>1675.8</v>
      </c>
      <c r="I130" s="115">
        <v>41655</v>
      </c>
      <c r="J130" s="130">
        <v>0.33271002300000002</v>
      </c>
      <c r="M130" s="115">
        <v>41655</v>
      </c>
      <c r="N130" s="130">
        <v>7.5507000000000004E-6</v>
      </c>
      <c r="O130" s="130"/>
      <c r="P130" s="130"/>
      <c r="Q130" s="115">
        <v>41655</v>
      </c>
      <c r="R130" s="130">
        <v>9.4387099999999999E-4</v>
      </c>
      <c r="T130"/>
    </row>
    <row r="131" spans="2:20">
      <c r="B131" s="91">
        <v>41648</v>
      </c>
      <c r="C131" s="92">
        <v>0.3220703956</v>
      </c>
      <c r="D131" s="92">
        <f>VLOOKUP(CurrentMtgRatesDataTable825[[#This Row],[asofdate]],I:J,2,0)</f>
        <v>0.3057643518</v>
      </c>
      <c r="E131" s="92">
        <f>VLOOKUP(CurrentMtgRatesDataTable825[[#This Row],[asofdate]],M:N,2,0)</f>
        <v>4.5013999999999998E-6</v>
      </c>
      <c r="F131" s="93">
        <f ca="1">VLOOKUP(CurrentMtgRatesDataTable825[[#This Row],[asofdate]]+1,Bloomberg!B:C,2,0)</f>
        <v>1507</v>
      </c>
      <c r="I131" s="115">
        <v>41648</v>
      </c>
      <c r="J131" s="130">
        <v>0.3057643518</v>
      </c>
      <c r="M131" s="115">
        <v>41648</v>
      </c>
      <c r="N131" s="130">
        <v>4.5013999999999998E-6</v>
      </c>
      <c r="O131" s="130"/>
      <c r="P131" s="130"/>
      <c r="Q131" s="115">
        <v>41648</v>
      </c>
      <c r="R131" s="130">
        <v>4.2450890000000002E-4</v>
      </c>
      <c r="T131"/>
    </row>
    <row r="132" spans="2:20">
      <c r="B132" s="91">
        <v>41641</v>
      </c>
      <c r="C132" s="92">
        <v>0.30843777030000002</v>
      </c>
      <c r="D132" s="92">
        <f>VLOOKUP(CurrentMtgRatesDataTable825[[#This Row],[asofdate]],I:J,2,0)</f>
        <v>0.29098791769999999</v>
      </c>
      <c r="E132" s="92">
        <f>VLOOKUP(CurrentMtgRatesDataTable825[[#This Row],[asofdate]],M:N,2,0)</f>
        <v>0</v>
      </c>
      <c r="F132" s="93">
        <f ca="1">VLOOKUP(CurrentMtgRatesDataTable825[[#This Row],[asofdate]]+1,Bloomberg!B:C,2,0)</f>
        <v>1352.7</v>
      </c>
      <c r="I132" s="115">
        <v>41641</v>
      </c>
      <c r="J132" s="130">
        <v>0.29098791769999999</v>
      </c>
      <c r="M132" s="115">
        <v>41641</v>
      </c>
      <c r="N132" s="130">
        <v>0</v>
      </c>
      <c r="O132" s="130"/>
      <c r="P132" s="130"/>
      <c r="Q132" s="115">
        <v>41641</v>
      </c>
      <c r="R132" s="130">
        <v>2.8858790000000002E-4</v>
      </c>
      <c r="T132"/>
    </row>
    <row r="133" spans="2:20">
      <c r="B133" s="91">
        <v>41634</v>
      </c>
      <c r="C133" s="92">
        <v>0.34940203609999998</v>
      </c>
      <c r="D133" s="92">
        <f>VLOOKUP(CurrentMtgRatesDataTable825[[#This Row],[asofdate]],I:J,2,0)</f>
        <v>0.32358042170000001</v>
      </c>
      <c r="E133" s="92">
        <f>VLOOKUP(CurrentMtgRatesDataTable825[[#This Row],[asofdate]],M:N,2,0)</f>
        <v>0</v>
      </c>
      <c r="F133" s="93">
        <f ca="1">VLOOKUP(CurrentMtgRatesDataTable825[[#This Row],[asofdate]]+1,Bloomberg!B:C,2,0)</f>
        <v>1277.8</v>
      </c>
      <c r="I133" s="115">
        <v>41634</v>
      </c>
      <c r="J133" s="130">
        <v>0.32358042170000001</v>
      </c>
      <c r="M133" s="115">
        <v>41634</v>
      </c>
      <c r="N133" s="130">
        <v>0</v>
      </c>
      <c r="O133" s="130"/>
      <c r="P133" s="130"/>
      <c r="Q133" s="115">
        <v>41634</v>
      </c>
      <c r="R133" s="130">
        <v>3.251269E-4</v>
      </c>
      <c r="T133"/>
    </row>
    <row r="134" spans="2:20">
      <c r="B134" s="91">
        <v>41627</v>
      </c>
      <c r="C134" s="92">
        <v>0.35812637130000002</v>
      </c>
      <c r="D134" s="92">
        <f>VLOOKUP(CurrentMtgRatesDataTable825[[#This Row],[asofdate]],I:J,2,0)</f>
        <v>0.32405487960000001</v>
      </c>
      <c r="E134" s="92">
        <f>VLOOKUP(CurrentMtgRatesDataTable825[[#This Row],[asofdate]],M:N,2,0)</f>
        <v>0</v>
      </c>
      <c r="F134" s="93">
        <f ca="1">VLOOKUP(CurrentMtgRatesDataTable825[[#This Row],[asofdate]]+1,Bloomberg!B:C,2,0)</f>
        <v>1426.7</v>
      </c>
      <c r="I134" s="115">
        <v>41627</v>
      </c>
      <c r="J134" s="130">
        <v>0.32405487960000001</v>
      </c>
      <c r="M134" s="115">
        <v>41627</v>
      </c>
      <c r="N134" s="130">
        <v>0</v>
      </c>
      <c r="O134" s="130"/>
      <c r="P134" s="130"/>
      <c r="Q134" s="115">
        <v>41627</v>
      </c>
      <c r="R134" s="130">
        <v>4.0954339999999998E-4</v>
      </c>
      <c r="T134"/>
    </row>
    <row r="135" spans="2:20">
      <c r="B135" s="91">
        <v>41620</v>
      </c>
      <c r="C135" s="92">
        <v>0.39281664100000002</v>
      </c>
      <c r="D135" s="92">
        <f>VLOOKUP(CurrentMtgRatesDataTable825[[#This Row],[asofdate]],I:J,2,0)</f>
        <v>0.34946915589999999</v>
      </c>
      <c r="E135" s="92">
        <f>VLOOKUP(CurrentMtgRatesDataTable825[[#This Row],[asofdate]],M:N,2,0)</f>
        <v>0</v>
      </c>
      <c r="F135" s="93">
        <f ca="1">VLOOKUP(CurrentMtgRatesDataTable825[[#This Row],[asofdate]]+1,Bloomberg!B:C,2,0)</f>
        <v>1529.8</v>
      </c>
      <c r="I135" s="115">
        <v>41620</v>
      </c>
      <c r="J135" s="130">
        <v>0.34946915589999999</v>
      </c>
      <c r="M135" s="115">
        <v>41620</v>
      </c>
      <c r="N135" s="130">
        <v>0</v>
      </c>
      <c r="O135" s="130"/>
      <c r="P135" s="130"/>
      <c r="Q135" s="115">
        <v>41620</v>
      </c>
      <c r="R135" s="130">
        <v>5.8953909999999996E-4</v>
      </c>
      <c r="T135"/>
    </row>
    <row r="136" spans="2:20">
      <c r="B136" s="91">
        <v>41613</v>
      </c>
      <c r="C136" s="92">
        <v>0.4009432476</v>
      </c>
      <c r="D136" s="92">
        <f>VLOOKUP(CurrentMtgRatesDataTable825[[#This Row],[asofdate]],I:J,2,0)</f>
        <v>0.34983606179999999</v>
      </c>
      <c r="E136" s="92">
        <f>VLOOKUP(CurrentMtgRatesDataTable825[[#This Row],[asofdate]],M:N,2,0)</f>
        <v>0</v>
      </c>
      <c r="F136" s="93">
        <f ca="1">VLOOKUP(CurrentMtgRatesDataTable825[[#This Row],[asofdate]]+1,Bloomberg!B:C,2,0)</f>
        <v>1599.4</v>
      </c>
      <c r="I136" s="115">
        <v>41613</v>
      </c>
      <c r="J136" s="130">
        <v>0.34983606179999999</v>
      </c>
      <c r="M136" s="115">
        <v>41613</v>
      </c>
      <c r="N136" s="130">
        <v>0</v>
      </c>
      <c r="O136" s="130"/>
      <c r="P136" s="130"/>
      <c r="Q136" s="115">
        <v>41613</v>
      </c>
      <c r="R136" s="130">
        <v>5.6739439999999996E-4</v>
      </c>
      <c r="T136"/>
    </row>
    <row r="137" spans="2:20">
      <c r="B137" s="91">
        <v>41605</v>
      </c>
      <c r="C137" s="92">
        <v>0.4676333728</v>
      </c>
      <c r="D137" s="92">
        <f>VLOOKUP(CurrentMtgRatesDataTable825[[#This Row],[asofdate]],I:J,2,0)</f>
        <v>0.41345442960000001</v>
      </c>
      <c r="E137" s="92">
        <f>VLOOKUP(CurrentMtgRatesDataTable825[[#This Row],[asofdate]],M:N,2,0)</f>
        <v>0</v>
      </c>
      <c r="F137" s="93" t="e">
        <f ca="1">VLOOKUP(CurrentMtgRatesDataTable825[[#This Row],[asofdate]]+1,Bloomberg!B:C,2,0)</f>
        <v>#N/A</v>
      </c>
      <c r="I137" s="115">
        <v>41605</v>
      </c>
      <c r="J137" s="130">
        <v>0.41345442960000001</v>
      </c>
      <c r="M137" s="115">
        <v>41605</v>
      </c>
      <c r="N137" s="130">
        <v>0</v>
      </c>
      <c r="O137" s="130"/>
      <c r="P137" s="130"/>
      <c r="Q137" s="115">
        <v>41605</v>
      </c>
      <c r="R137" s="130">
        <v>7.5008080000000003E-4</v>
      </c>
      <c r="T137"/>
    </row>
    <row r="138" spans="2:20">
      <c r="B138" s="91">
        <v>41599</v>
      </c>
      <c r="C138" s="92">
        <v>0.48126520820000007</v>
      </c>
      <c r="D138" s="92">
        <f>VLOOKUP(CurrentMtgRatesDataTable825[[#This Row],[asofdate]],I:J,2,0)</f>
        <v>0.43926277450000001</v>
      </c>
      <c r="E138" s="92">
        <f>VLOOKUP(CurrentMtgRatesDataTable825[[#This Row],[asofdate]],M:N,2,0)</f>
        <v>0</v>
      </c>
      <c r="F138" s="93">
        <f ca="1">VLOOKUP(CurrentMtgRatesDataTable825[[#This Row],[asofdate]]+1,Bloomberg!B:C,2,0)</f>
        <v>1917.2</v>
      </c>
      <c r="I138" s="115">
        <v>41599</v>
      </c>
      <c r="J138" s="130">
        <v>0.43926277450000001</v>
      </c>
      <c r="M138" s="115">
        <v>41599</v>
      </c>
      <c r="N138" s="130">
        <v>0</v>
      </c>
      <c r="O138" s="130"/>
      <c r="P138" s="130"/>
      <c r="Q138" s="115">
        <v>41599</v>
      </c>
      <c r="R138" s="130">
        <v>1.2986059999999999E-3</v>
      </c>
      <c r="T138"/>
    </row>
    <row r="139" spans="2:20">
      <c r="B139" s="91">
        <v>41592</v>
      </c>
      <c r="C139" s="92">
        <v>0.44823077639999998</v>
      </c>
      <c r="D139" s="92">
        <f>VLOOKUP(CurrentMtgRatesDataTable825[[#This Row],[asofdate]],I:J,2,0)</f>
        <v>0.3881478364</v>
      </c>
      <c r="E139" s="92">
        <f>VLOOKUP(CurrentMtgRatesDataTable825[[#This Row],[asofdate]],M:N,2,0)</f>
        <v>0</v>
      </c>
      <c r="F139" s="93">
        <f ca="1">VLOOKUP(CurrentMtgRatesDataTable825[[#This Row],[asofdate]]+1,Bloomberg!B:C,2,0)</f>
        <v>1903.5</v>
      </c>
      <c r="I139" s="115">
        <v>41592</v>
      </c>
      <c r="J139" s="130">
        <v>0.3881478364</v>
      </c>
      <c r="M139" s="115">
        <v>41592</v>
      </c>
      <c r="N139" s="130">
        <v>0</v>
      </c>
      <c r="O139" s="130"/>
      <c r="P139" s="130"/>
      <c r="Q139" s="115">
        <v>41592</v>
      </c>
      <c r="R139" s="130">
        <v>4.2373589999999999E-4</v>
      </c>
      <c r="T139"/>
    </row>
    <row r="140" spans="2:20">
      <c r="B140" s="91">
        <v>41585</v>
      </c>
      <c r="C140" s="92">
        <v>0.48554576319999998</v>
      </c>
      <c r="D140" s="92">
        <f>VLOOKUP(CurrentMtgRatesDataTable825[[#This Row],[asofdate]],I:J,2,0)</f>
        <v>0.45419206680000002</v>
      </c>
      <c r="E140" s="92">
        <f>VLOOKUP(CurrentMtgRatesDataTable825[[#This Row],[asofdate]],M:N,2,0)</f>
        <v>0</v>
      </c>
      <c r="F140" s="93">
        <f ca="1">VLOOKUP(CurrentMtgRatesDataTable825[[#This Row],[asofdate]]+1,Bloomberg!B:C,2,0)</f>
        <v>2056.9</v>
      </c>
      <c r="I140" s="115">
        <v>41585</v>
      </c>
      <c r="J140" s="130">
        <v>0.45419206680000002</v>
      </c>
      <c r="M140" s="115">
        <v>41585</v>
      </c>
      <c r="N140" s="130">
        <v>0</v>
      </c>
      <c r="O140" s="130"/>
      <c r="P140" s="130"/>
      <c r="Q140" s="115">
        <v>41585</v>
      </c>
      <c r="R140" s="130">
        <v>1.9713356E-3</v>
      </c>
      <c r="T140"/>
    </row>
    <row r="141" spans="2:20">
      <c r="B141" s="91">
        <v>41578</v>
      </c>
      <c r="C141" s="92">
        <v>0.51712393739999996</v>
      </c>
      <c r="D141" s="92">
        <f>VLOOKUP(CurrentMtgRatesDataTable825[[#This Row],[asofdate]],I:J,2,0)</f>
        <v>0.48311372540000008</v>
      </c>
      <c r="E141" s="92">
        <f>VLOOKUP(CurrentMtgRatesDataTable825[[#This Row],[asofdate]],M:N,2,0)</f>
        <v>1.0423364E-3</v>
      </c>
      <c r="F141" s="93">
        <f ca="1">VLOOKUP(CurrentMtgRatesDataTable825[[#This Row],[asofdate]]+1,Bloomberg!B:C,2,0)</f>
        <v>2105.6</v>
      </c>
      <c r="I141" s="115">
        <v>41578</v>
      </c>
      <c r="J141" s="130">
        <v>0.48311372540000008</v>
      </c>
      <c r="M141" s="115">
        <v>41578</v>
      </c>
      <c r="N141" s="130">
        <v>1.0423364E-3</v>
      </c>
      <c r="O141" s="130"/>
      <c r="P141" s="130"/>
      <c r="Q141" s="115">
        <v>41578</v>
      </c>
      <c r="R141" s="130">
        <v>1.2472223E-3</v>
      </c>
      <c r="T141"/>
    </row>
    <row r="142" spans="2:20">
      <c r="B142" s="91">
        <v>41571</v>
      </c>
      <c r="C142" s="92">
        <v>0.50130776170000002</v>
      </c>
      <c r="D142" s="92">
        <f>VLOOKUP(CurrentMtgRatesDataTable825[[#This Row],[asofdate]],I:J,2,0)</f>
        <v>0.46681751339999999</v>
      </c>
      <c r="E142" s="92">
        <f>VLOOKUP(CurrentMtgRatesDataTable825[[#This Row],[asofdate]],M:N,2,0)</f>
        <v>6.657124999999999E-4</v>
      </c>
      <c r="F142" s="93">
        <f ca="1">VLOOKUP(CurrentMtgRatesDataTable825[[#This Row],[asofdate]]+1,Bloomberg!B:C,2,0)</f>
        <v>2211.8000000000002</v>
      </c>
      <c r="I142" s="115">
        <v>41571</v>
      </c>
      <c r="J142" s="130">
        <v>0.46681751339999999</v>
      </c>
      <c r="M142" s="115">
        <v>41571</v>
      </c>
      <c r="N142" s="130">
        <v>6.657124999999999E-4</v>
      </c>
      <c r="O142" s="130"/>
      <c r="P142" s="130"/>
      <c r="Q142" s="115">
        <v>41571</v>
      </c>
      <c r="R142" s="130">
        <v>7.9651050000000001E-4</v>
      </c>
      <c r="T142"/>
    </row>
    <row r="143" spans="2:20">
      <c r="B143" s="91">
        <v>41564</v>
      </c>
      <c r="C143" s="92">
        <v>0.48108700180000008</v>
      </c>
      <c r="D143" s="92">
        <f>VLOOKUP(CurrentMtgRatesDataTable825[[#This Row],[asofdate]],I:J,2,0)</f>
        <v>0.42500863700000002</v>
      </c>
      <c r="E143" s="92">
        <f>VLOOKUP(CurrentMtgRatesDataTable825[[#This Row],[asofdate]],M:N,2,0)</f>
        <v>0</v>
      </c>
      <c r="F143" s="93">
        <f ca="1">VLOOKUP(CurrentMtgRatesDataTable825[[#This Row],[asofdate]]+1,Bloomberg!B:C,2,0)</f>
        <v>2033.7</v>
      </c>
      <c r="I143" s="115">
        <v>41564</v>
      </c>
      <c r="J143" s="130">
        <v>0.42500863700000002</v>
      </c>
      <c r="M143" s="115">
        <v>41564</v>
      </c>
      <c r="N143" s="130">
        <v>0</v>
      </c>
      <c r="O143" s="130"/>
      <c r="P143" s="130"/>
      <c r="Q143" s="115">
        <v>41564</v>
      </c>
      <c r="R143" s="130">
        <v>2.6763429999999999E-4</v>
      </c>
      <c r="T143"/>
    </row>
    <row r="144" spans="2:20">
      <c r="B144" s="91">
        <v>41557</v>
      </c>
      <c r="C144" s="92">
        <v>0.49111867190000003</v>
      </c>
      <c r="D144" s="92">
        <f>VLOOKUP(CurrentMtgRatesDataTable825[[#This Row],[asofdate]],I:J,2,0)</f>
        <v>0.45036933280000002</v>
      </c>
      <c r="E144" s="92">
        <f>VLOOKUP(CurrentMtgRatesDataTable825[[#This Row],[asofdate]],M:N,2,0)</f>
        <v>0</v>
      </c>
      <c r="F144" s="93">
        <f ca="1">VLOOKUP(CurrentMtgRatesDataTable825[[#This Row],[asofdate]]+1,Bloomberg!B:C,2,0)</f>
        <v>2102.6999999999998</v>
      </c>
      <c r="I144" s="115">
        <v>41557</v>
      </c>
      <c r="J144" s="130">
        <v>0.45036933280000002</v>
      </c>
      <c r="M144" s="115">
        <v>41557</v>
      </c>
      <c r="N144" s="130">
        <v>0</v>
      </c>
      <c r="O144" s="130"/>
      <c r="P144" s="130"/>
      <c r="Q144" s="115">
        <v>41557</v>
      </c>
      <c r="R144" s="130">
        <v>4.333532E-4</v>
      </c>
      <c r="T144"/>
    </row>
    <row r="145" spans="2:20">
      <c r="B145" s="91">
        <v>41550</v>
      </c>
      <c r="C145" s="92">
        <v>0.49244499819999998</v>
      </c>
      <c r="D145" s="92">
        <f>VLOOKUP(CurrentMtgRatesDataTable825[[#This Row],[asofdate]],I:J,2,0)</f>
        <v>0.4507968094</v>
      </c>
      <c r="E145" s="92">
        <f>VLOOKUP(CurrentMtgRatesDataTable825[[#This Row],[asofdate]],M:N,2,0)</f>
        <v>3.2431819999999999E-4</v>
      </c>
      <c r="F145" s="93">
        <f ca="1">VLOOKUP(CurrentMtgRatesDataTable825[[#This Row],[asofdate]]+1,Bloomberg!B:C,2,0)</f>
        <v>2025.3</v>
      </c>
      <c r="I145" s="115">
        <v>41550</v>
      </c>
      <c r="J145" s="130">
        <v>0.4507968094</v>
      </c>
      <c r="M145" s="115">
        <v>41550</v>
      </c>
      <c r="N145" s="130">
        <v>3.2431819999999999E-4</v>
      </c>
      <c r="O145" s="130"/>
      <c r="P145" s="130"/>
      <c r="Q145" s="115">
        <v>41550</v>
      </c>
      <c r="R145" s="130">
        <v>4.1454790000000001E-4</v>
      </c>
      <c r="T145"/>
    </row>
    <row r="146" spans="2:20">
      <c r="B146" s="91">
        <v>41543</v>
      </c>
      <c r="C146" s="92">
        <v>0.48977048720000005</v>
      </c>
      <c r="D146" s="92">
        <f>VLOOKUP(CurrentMtgRatesDataTable825[[#This Row],[asofdate]],I:J,2,0)</f>
        <v>0.43720376859999999</v>
      </c>
      <c r="E146" s="92">
        <f>VLOOKUP(CurrentMtgRatesDataTable825[[#This Row],[asofdate]],M:N,2,0)</f>
        <v>1.00191E-5</v>
      </c>
      <c r="F146" s="93">
        <f ca="1">VLOOKUP(CurrentMtgRatesDataTable825[[#This Row],[asofdate]]+1,Bloomberg!B:C,2,0)</f>
        <v>1956.6</v>
      </c>
      <c r="I146" s="115">
        <v>41543</v>
      </c>
      <c r="J146" s="130">
        <v>0.43720376859999999</v>
      </c>
      <c r="M146" s="115">
        <v>41543</v>
      </c>
      <c r="N146" s="130">
        <v>1.00191E-5</v>
      </c>
      <c r="O146" s="130"/>
      <c r="P146" s="130"/>
      <c r="Q146" s="115">
        <v>41543</v>
      </c>
      <c r="R146" s="130">
        <v>4.4069100000000008E-5</v>
      </c>
      <c r="T146"/>
    </row>
    <row r="147" spans="2:20">
      <c r="B147" s="91">
        <v>41536</v>
      </c>
      <c r="C147" s="92">
        <v>0.37065214549999997</v>
      </c>
      <c r="D147" s="92">
        <f>VLOOKUP(CurrentMtgRatesDataTable825[[#This Row],[asofdate]],I:J,2,0)</f>
        <v>0.35393778970000001</v>
      </c>
      <c r="E147" s="92">
        <f>VLOOKUP(CurrentMtgRatesDataTable825[[#This Row],[asofdate]],M:N,2,0)</f>
        <v>3.5779999999999999E-7</v>
      </c>
      <c r="F147" s="93">
        <f ca="1">VLOOKUP(CurrentMtgRatesDataTable825[[#This Row],[asofdate]]+1,Bloomberg!B:C,2,0)</f>
        <v>1922.9</v>
      </c>
      <c r="I147" s="115">
        <v>41536</v>
      </c>
      <c r="J147" s="130">
        <v>0.35393778970000001</v>
      </c>
      <c r="M147" s="115">
        <v>41536</v>
      </c>
      <c r="N147" s="130">
        <v>3.5779999999999999E-7</v>
      </c>
      <c r="O147" s="130"/>
      <c r="P147" s="130"/>
      <c r="Q147" s="115">
        <v>41536</v>
      </c>
      <c r="R147" s="130">
        <v>7.8880999999999999E-6</v>
      </c>
      <c r="T147"/>
    </row>
    <row r="148" spans="2:20">
      <c r="B148" s="91">
        <v>41529</v>
      </c>
      <c r="C148" s="92">
        <v>0.3430871942</v>
      </c>
      <c r="D148" s="92">
        <f>VLOOKUP(CurrentMtgRatesDataTable825[[#This Row],[asofdate]],I:J,2,0)</f>
        <v>0.32245062009999997</v>
      </c>
      <c r="E148" s="92">
        <f>VLOOKUP(CurrentMtgRatesDataTable825[[#This Row],[asofdate]],M:N,2,0)</f>
        <v>0</v>
      </c>
      <c r="F148" s="93">
        <f ca="1">VLOOKUP(CurrentMtgRatesDataTable825[[#This Row],[asofdate]]+1,Bloomberg!B:C,2,0)</f>
        <v>1814</v>
      </c>
      <c r="I148" s="115">
        <v>41529</v>
      </c>
      <c r="J148" s="130">
        <v>0.32245062009999997</v>
      </c>
      <c r="M148" s="115">
        <v>41529</v>
      </c>
      <c r="N148" s="130">
        <v>0</v>
      </c>
      <c r="O148" s="130"/>
      <c r="P148" s="130"/>
      <c r="Q148" s="115">
        <v>41529</v>
      </c>
      <c r="R148" s="130">
        <v>1.6727999999999999E-6</v>
      </c>
      <c r="T148"/>
    </row>
    <row r="149" spans="2:20">
      <c r="B149" s="91">
        <v>41522</v>
      </c>
      <c r="C149" s="92">
        <v>0.34744397290000001</v>
      </c>
      <c r="D149" s="92">
        <f>VLOOKUP(CurrentMtgRatesDataTable825[[#This Row],[asofdate]],I:J,2,0)</f>
        <v>0.33545963779999999</v>
      </c>
      <c r="E149" s="92">
        <f>VLOOKUP(CurrentMtgRatesDataTable825[[#This Row],[asofdate]],M:N,2,0)</f>
        <v>0</v>
      </c>
      <c r="F149" s="93">
        <f ca="1">VLOOKUP(CurrentMtgRatesDataTable825[[#This Row],[asofdate]]+1,Bloomberg!B:C,2,0)</f>
        <v>1512.9</v>
      </c>
      <c r="I149" s="115">
        <v>41522</v>
      </c>
      <c r="J149" s="130">
        <v>0.33545963779999999</v>
      </c>
      <c r="M149" s="115">
        <v>41522</v>
      </c>
      <c r="N149" s="130">
        <v>0</v>
      </c>
      <c r="O149" s="130"/>
      <c r="P149" s="130"/>
      <c r="Q149" s="115">
        <v>41522</v>
      </c>
      <c r="R149" s="130">
        <v>6.0324E-6</v>
      </c>
      <c r="T149"/>
    </row>
    <row r="150" spans="2:20">
      <c r="B150" s="91">
        <v>41515</v>
      </c>
      <c r="C150" s="92">
        <v>0.3789545641</v>
      </c>
      <c r="D150" s="92">
        <f>VLOOKUP(CurrentMtgRatesDataTable825[[#This Row],[asofdate]],I:J,2,0)</f>
        <v>0.36572713959999997</v>
      </c>
      <c r="E150" s="92">
        <f>VLOOKUP(CurrentMtgRatesDataTable825[[#This Row],[asofdate]],M:N,2,0)</f>
        <v>0</v>
      </c>
      <c r="F150" s="93">
        <f ca="1">VLOOKUP(CurrentMtgRatesDataTable825[[#This Row],[asofdate]]+1,Bloomberg!B:C,2,0)</f>
        <v>1909</v>
      </c>
      <c r="I150" s="115">
        <v>41515</v>
      </c>
      <c r="J150" s="130">
        <v>0.36572713959999997</v>
      </c>
      <c r="M150" s="115">
        <v>41515</v>
      </c>
      <c r="N150" s="130">
        <v>0</v>
      </c>
      <c r="O150" s="130"/>
      <c r="P150" s="130"/>
      <c r="Q150" s="115">
        <v>41515</v>
      </c>
      <c r="R150" s="130">
        <v>5.6934000000000004E-6</v>
      </c>
      <c r="T150"/>
    </row>
    <row r="151" spans="2:20">
      <c r="B151" s="91">
        <v>41508</v>
      </c>
      <c r="C151" s="92">
        <v>0.35381697849999999</v>
      </c>
      <c r="D151" s="92">
        <f>VLOOKUP(CurrentMtgRatesDataTable825[[#This Row],[asofdate]],I:J,2,0)</f>
        <v>0.33414567940000001</v>
      </c>
      <c r="E151" s="92">
        <f>VLOOKUP(CurrentMtgRatesDataTable825[[#This Row],[asofdate]],M:N,2,0)</f>
        <v>0</v>
      </c>
      <c r="F151" s="93">
        <f ca="1">VLOOKUP(CurrentMtgRatesDataTable825[[#This Row],[asofdate]]+1,Bloomberg!B:C,2,0)</f>
        <v>1842.6</v>
      </c>
      <c r="I151" s="115">
        <v>41508</v>
      </c>
      <c r="J151" s="130">
        <v>0.33414567940000001</v>
      </c>
      <c r="M151" s="115">
        <v>41508</v>
      </c>
      <c r="N151" s="130">
        <v>0</v>
      </c>
      <c r="O151" s="130"/>
      <c r="P151" s="130"/>
      <c r="Q151" s="115">
        <v>41508</v>
      </c>
      <c r="R151" s="130">
        <v>2.9668000000000001E-6</v>
      </c>
      <c r="T151"/>
    </row>
    <row r="152" spans="2:20">
      <c r="B152" s="91">
        <v>41501</v>
      </c>
      <c r="C152" s="92">
        <v>0.46056392039999999</v>
      </c>
      <c r="D152" s="92">
        <f>VLOOKUP(CurrentMtgRatesDataTable825[[#This Row],[asofdate]],I:J,2,0)</f>
        <v>0.39641450410000001</v>
      </c>
      <c r="E152" s="92">
        <f>VLOOKUP(CurrentMtgRatesDataTable825[[#This Row],[asofdate]],M:N,2,0)</f>
        <v>0</v>
      </c>
      <c r="F152" s="93">
        <f ca="1">VLOOKUP(CurrentMtgRatesDataTable825[[#This Row],[asofdate]]+1,Bloomberg!B:C,2,0)</f>
        <v>1935.1</v>
      </c>
      <c r="I152" s="115">
        <v>41501</v>
      </c>
      <c r="J152" s="130">
        <v>0.39641450410000001</v>
      </c>
      <c r="M152" s="115">
        <v>41501</v>
      </c>
      <c r="N152" s="130">
        <v>0</v>
      </c>
      <c r="O152" s="130"/>
      <c r="P152" s="130"/>
      <c r="Q152" s="115">
        <v>41501</v>
      </c>
      <c r="R152" s="130">
        <v>9.7079999999999992E-6</v>
      </c>
      <c r="T152"/>
    </row>
    <row r="153" spans="2:20">
      <c r="B153" s="91">
        <v>41494</v>
      </c>
      <c r="C153" s="92">
        <v>0.46056392039999999</v>
      </c>
      <c r="D153" s="92">
        <f>VLOOKUP(CurrentMtgRatesDataTable825[[#This Row],[asofdate]],I:J,2,0)</f>
        <v>0.39641450410000001</v>
      </c>
      <c r="E153" s="92">
        <f>VLOOKUP(CurrentMtgRatesDataTable825[[#This Row],[asofdate]],M:N,2,0)</f>
        <v>0</v>
      </c>
      <c r="F153" s="93">
        <f ca="1">VLOOKUP(CurrentMtgRatesDataTable825[[#This Row],[asofdate]]+1,Bloomberg!B:C,2,0)</f>
        <v>2110.6</v>
      </c>
      <c r="I153" s="115">
        <v>41494</v>
      </c>
      <c r="J153" s="130">
        <v>0.39641450410000001</v>
      </c>
      <c r="M153" s="115">
        <v>41494</v>
      </c>
      <c r="N153" s="130">
        <v>0</v>
      </c>
      <c r="O153" s="130"/>
      <c r="P153" s="130"/>
      <c r="Q153" s="115">
        <v>41494</v>
      </c>
      <c r="R153" s="130">
        <v>1.6226999999999999E-5</v>
      </c>
      <c r="T153"/>
    </row>
    <row r="154" spans="2:20">
      <c r="B154" s="91">
        <v>41487</v>
      </c>
      <c r="C154" s="92">
        <v>0.47029827790000001</v>
      </c>
      <c r="D154" s="92">
        <f>VLOOKUP(CurrentMtgRatesDataTable825[[#This Row],[asofdate]],I:J,2,0)</f>
        <v>0.39677024059999999</v>
      </c>
      <c r="E154" s="92">
        <f>VLOOKUP(CurrentMtgRatesDataTable825[[#This Row],[asofdate]],M:N,2,0)</f>
        <v>0</v>
      </c>
      <c r="F154" s="93">
        <f ca="1">VLOOKUP(CurrentMtgRatesDataTable825[[#This Row],[asofdate]]+1,Bloomberg!B:C,2,0)</f>
        <v>2228.9</v>
      </c>
      <c r="I154" s="115">
        <v>41487</v>
      </c>
      <c r="J154" s="130">
        <v>0.39677024059999999</v>
      </c>
      <c r="M154" s="115">
        <v>41487</v>
      </c>
      <c r="N154" s="130">
        <v>0</v>
      </c>
      <c r="O154" s="130"/>
      <c r="P154" s="130"/>
      <c r="Q154" s="115">
        <v>41487</v>
      </c>
      <c r="R154" s="130">
        <v>1.6114199999999999E-5</v>
      </c>
      <c r="T154"/>
    </row>
    <row r="155" spans="2:20">
      <c r="B155" s="91">
        <v>41480</v>
      </c>
      <c r="C155" s="92">
        <v>0.5197386289</v>
      </c>
      <c r="D155" s="92">
        <f>VLOOKUP(CurrentMtgRatesDataTable825[[#This Row],[asofdate]],I:J,2,0)</f>
        <v>0.4442214464</v>
      </c>
      <c r="E155" s="92">
        <f>VLOOKUP(CurrentMtgRatesDataTable825[[#This Row],[asofdate]],M:N,2,0)</f>
        <v>0</v>
      </c>
      <c r="F155" s="93">
        <f ca="1">VLOOKUP(CurrentMtgRatesDataTable825[[#This Row],[asofdate]]+1,Bloomberg!B:C,2,0)</f>
        <v>2218.3000000000002</v>
      </c>
      <c r="I155" s="115">
        <v>41480</v>
      </c>
      <c r="J155" s="130">
        <v>0.4442214464</v>
      </c>
      <c r="M155" s="115">
        <v>41480</v>
      </c>
      <c r="N155" s="130">
        <v>0</v>
      </c>
      <c r="O155" s="130"/>
      <c r="P155" s="130"/>
      <c r="Q155" s="115">
        <v>41480</v>
      </c>
      <c r="R155" s="130">
        <v>1.3372400000000001E-5</v>
      </c>
      <c r="T155"/>
    </row>
    <row r="156" spans="2:20">
      <c r="B156" s="91">
        <v>41473</v>
      </c>
      <c r="C156" s="92">
        <v>0.50054843439999996</v>
      </c>
      <c r="D156" s="92">
        <f>VLOOKUP(CurrentMtgRatesDataTable825[[#This Row],[asofdate]],I:J,2,0)</f>
        <v>0.44205305090000002</v>
      </c>
      <c r="E156" s="92">
        <f>VLOOKUP(CurrentMtgRatesDataTable825[[#This Row],[asofdate]],M:N,2,0)</f>
        <v>0</v>
      </c>
      <c r="F156" s="93">
        <f ca="1">VLOOKUP(CurrentMtgRatesDataTable825[[#This Row],[asofdate]]+1,Bloomberg!B:C,2,0)</f>
        <v>2288</v>
      </c>
      <c r="I156" s="115">
        <v>41473</v>
      </c>
      <c r="J156" s="130">
        <v>0.44205305090000002</v>
      </c>
      <c r="M156" s="115">
        <v>41473</v>
      </c>
      <c r="N156" s="130">
        <v>0</v>
      </c>
      <c r="O156" s="130"/>
      <c r="P156" s="130"/>
      <c r="Q156" s="115">
        <v>41473</v>
      </c>
      <c r="R156" s="130">
        <v>1.1374700000000001E-5</v>
      </c>
      <c r="T156"/>
    </row>
    <row r="157" spans="2:20">
      <c r="B157" s="91">
        <v>41466</v>
      </c>
      <c r="C157" s="92">
        <v>0.38419434810000003</v>
      </c>
      <c r="D157" s="92">
        <f>VLOOKUP(CurrentMtgRatesDataTable825[[#This Row],[asofdate]],I:J,2,0)</f>
        <v>0.36389579640000003</v>
      </c>
      <c r="E157" s="92">
        <f>VLOOKUP(CurrentMtgRatesDataTable825[[#This Row],[asofdate]],M:N,2,0)</f>
        <v>0</v>
      </c>
      <c r="F157" s="93">
        <f ca="1">VLOOKUP(CurrentMtgRatesDataTable825[[#This Row],[asofdate]]+1,Bloomberg!B:C,2,0)</f>
        <v>2242.1999999999998</v>
      </c>
      <c r="I157" s="115">
        <v>41466</v>
      </c>
      <c r="J157" s="130">
        <v>0.36389579640000003</v>
      </c>
      <c r="M157" s="115">
        <v>41466</v>
      </c>
      <c r="N157" s="130">
        <v>0</v>
      </c>
      <c r="O157" s="130"/>
      <c r="P157" s="130"/>
      <c r="Q157" s="115">
        <v>41466</v>
      </c>
      <c r="R157" s="130">
        <v>2.6485999999999999E-6</v>
      </c>
      <c r="T157"/>
    </row>
    <row r="158" spans="2:20">
      <c r="B158" s="91">
        <v>41458</v>
      </c>
      <c r="C158" s="92">
        <v>0.53319254169999997</v>
      </c>
      <c r="D158" s="92">
        <f>VLOOKUP(CurrentMtgRatesDataTable825[[#This Row],[asofdate]],I:J,2,0)</f>
        <v>0.47101926550000006</v>
      </c>
      <c r="E158" s="92">
        <f>VLOOKUP(CurrentMtgRatesDataTable825[[#This Row],[asofdate]],M:N,2,0)</f>
        <v>0</v>
      </c>
      <c r="F158" s="93" t="e">
        <f ca="1">VLOOKUP(CurrentMtgRatesDataTable825[[#This Row],[asofdate]]+1,Bloomberg!B:C,2,0)</f>
        <v>#N/A</v>
      </c>
      <c r="I158" s="115">
        <v>41458</v>
      </c>
      <c r="J158" s="130">
        <v>0.47101926550000006</v>
      </c>
      <c r="M158" s="115">
        <v>41458</v>
      </c>
      <c r="N158" s="130">
        <v>0</v>
      </c>
      <c r="O158" s="130"/>
      <c r="P158" s="130"/>
      <c r="Q158" s="115">
        <v>41458</v>
      </c>
      <c r="R158" s="130">
        <v>2.4788900000000002E-5</v>
      </c>
      <c r="T158"/>
    </row>
    <row r="159" spans="2:20">
      <c r="B159" s="91">
        <v>41452</v>
      </c>
      <c r="C159" s="92">
        <v>0.41905135049999997</v>
      </c>
      <c r="D159" s="92">
        <f>VLOOKUP(CurrentMtgRatesDataTable825[[#This Row],[asofdate]],I:J,2,0)</f>
        <v>0.39165461709999999</v>
      </c>
      <c r="E159" s="92">
        <f>VLOOKUP(CurrentMtgRatesDataTable825[[#This Row],[asofdate]],M:N,2,0)</f>
        <v>0</v>
      </c>
      <c r="F159" s="93">
        <f ca="1">VLOOKUP(CurrentMtgRatesDataTable825[[#This Row],[asofdate]]+1,Bloomberg!B:C,2,0)</f>
        <v>2573.4</v>
      </c>
      <c r="I159" s="115">
        <v>41452</v>
      </c>
      <c r="J159" s="130">
        <v>0.39165461709999999</v>
      </c>
      <c r="M159" s="115">
        <v>41452</v>
      </c>
      <c r="N159" s="130">
        <v>0</v>
      </c>
      <c r="O159" s="130"/>
      <c r="P159" s="130"/>
      <c r="Q159" s="115">
        <v>41452</v>
      </c>
      <c r="R159" s="130">
        <v>1.731E-6</v>
      </c>
      <c r="T159"/>
    </row>
    <row r="160" spans="2:20">
      <c r="B160" s="91">
        <v>41445</v>
      </c>
      <c r="C160" s="92">
        <v>0.64225059019999997</v>
      </c>
      <c r="D160" s="92">
        <f>VLOOKUP(CurrentMtgRatesDataTable825[[#This Row],[asofdate]],I:J,2,0)</f>
        <v>0.58487392220000001</v>
      </c>
      <c r="E160" s="92">
        <f>VLOOKUP(CurrentMtgRatesDataTable825[[#This Row],[asofdate]],M:N,2,0)</f>
        <v>0</v>
      </c>
      <c r="F160" s="93">
        <f ca="1">VLOOKUP(CurrentMtgRatesDataTable825[[#This Row],[asofdate]]+1,Bloomberg!B:C,2,0)</f>
        <v>3040.1</v>
      </c>
      <c r="I160" s="115">
        <v>41445</v>
      </c>
      <c r="J160" s="130">
        <v>0.58487392220000001</v>
      </c>
      <c r="M160" s="115">
        <v>41445</v>
      </c>
      <c r="N160" s="130">
        <v>0</v>
      </c>
      <c r="O160" s="130"/>
      <c r="P160" s="130"/>
      <c r="Q160" s="115">
        <v>41445</v>
      </c>
      <c r="R160" s="130">
        <v>1.097799E-4</v>
      </c>
      <c r="T160"/>
    </row>
    <row r="161" spans="2:20">
      <c r="B161" s="91">
        <v>41438</v>
      </c>
      <c r="C161" s="92">
        <v>0.63399052840000003</v>
      </c>
      <c r="D161" s="92">
        <f>VLOOKUP(CurrentMtgRatesDataTable825[[#This Row],[asofdate]],I:J,2,0)</f>
        <v>0.58336114490000002</v>
      </c>
      <c r="E161" s="92">
        <f>VLOOKUP(CurrentMtgRatesDataTable825[[#This Row],[asofdate]],M:N,2,0)</f>
        <v>0</v>
      </c>
      <c r="F161" s="93">
        <f ca="1">VLOOKUP(CurrentMtgRatesDataTable825[[#This Row],[asofdate]]+1,Bloomberg!B:C,2,0)</f>
        <v>3214.4</v>
      </c>
      <c r="I161" s="115">
        <v>41438</v>
      </c>
      <c r="J161" s="130">
        <v>0.58336114490000002</v>
      </c>
      <c r="M161" s="115">
        <v>41438</v>
      </c>
      <c r="N161" s="130">
        <v>0</v>
      </c>
      <c r="O161" s="130"/>
      <c r="P161" s="130"/>
      <c r="Q161" s="115">
        <v>41438</v>
      </c>
      <c r="R161" s="130">
        <v>1.0584839999999999E-4</v>
      </c>
      <c r="T161"/>
    </row>
    <row r="162" spans="2:20">
      <c r="B162" s="91">
        <v>41431</v>
      </c>
      <c r="C162" s="92">
        <v>0.65588630510000001</v>
      </c>
      <c r="D162" s="92">
        <f>VLOOKUP(CurrentMtgRatesDataTable825[[#This Row],[asofdate]],I:J,2,0)</f>
        <v>0.60264990890000003</v>
      </c>
      <c r="E162" s="92">
        <f>VLOOKUP(CurrentMtgRatesDataTable825[[#This Row],[asofdate]],M:N,2,0)</f>
        <v>0</v>
      </c>
      <c r="F162" s="93">
        <f ca="1">VLOOKUP(CurrentMtgRatesDataTable825[[#This Row],[asofdate]]+1,Bloomberg!B:C,2,0)</f>
        <v>3339.8</v>
      </c>
      <c r="I162" s="115">
        <v>41431</v>
      </c>
      <c r="J162" s="130">
        <v>0.60264990890000003</v>
      </c>
      <c r="M162" s="115">
        <v>41431</v>
      </c>
      <c r="N162" s="130">
        <v>0</v>
      </c>
      <c r="O162" s="130"/>
      <c r="P162" s="130"/>
      <c r="Q162" s="115">
        <v>41431</v>
      </c>
      <c r="R162" s="130">
        <v>1.4563609999999999E-4</v>
      </c>
      <c r="T162"/>
    </row>
    <row r="163" spans="2:20">
      <c r="B163" s="91">
        <v>41424</v>
      </c>
      <c r="C163" s="92">
        <v>0.70560329119999998</v>
      </c>
      <c r="D163" s="92">
        <f>VLOOKUP(CurrentMtgRatesDataTable825[[#This Row],[asofdate]],I:J,2,0)</f>
        <v>0.64136812509999996</v>
      </c>
      <c r="E163" s="92">
        <f>VLOOKUP(CurrentMtgRatesDataTable825[[#This Row],[asofdate]],M:N,2,0)</f>
        <v>0</v>
      </c>
      <c r="F163" s="93">
        <f ca="1">VLOOKUP(CurrentMtgRatesDataTable825[[#This Row],[asofdate]]+1,Bloomberg!B:C,2,0)</f>
        <v>3163.6</v>
      </c>
      <c r="I163" s="115">
        <v>41424</v>
      </c>
      <c r="J163" s="130">
        <v>0.64136812509999996</v>
      </c>
      <c r="M163" s="115">
        <v>41424</v>
      </c>
      <c r="N163" s="130">
        <v>0</v>
      </c>
      <c r="O163" s="130"/>
      <c r="P163" s="130"/>
      <c r="Q163" s="115">
        <v>41424</v>
      </c>
      <c r="R163" s="130">
        <v>1.8729679999999999E-4</v>
      </c>
      <c r="T163"/>
    </row>
    <row r="164" spans="2:20">
      <c r="B164" s="91">
        <v>41417</v>
      </c>
      <c r="C164" s="92">
        <v>0.74422638649999995</v>
      </c>
      <c r="D164" s="92">
        <f>VLOOKUP(CurrentMtgRatesDataTable825[[#This Row],[asofdate]],I:J,2,0)</f>
        <v>0.70907111909999998</v>
      </c>
      <c r="E164" s="92">
        <f>VLOOKUP(CurrentMtgRatesDataTable825[[#This Row],[asofdate]],M:N,2,0)</f>
        <v>0</v>
      </c>
      <c r="F164" s="93">
        <f ca="1">VLOOKUP(CurrentMtgRatesDataTable825[[#This Row],[asofdate]]+1,Bloomberg!B:C,2,0)</f>
        <v>3709.4</v>
      </c>
      <c r="I164" s="115">
        <v>41417</v>
      </c>
      <c r="J164" s="130">
        <v>0.70907111909999998</v>
      </c>
      <c r="M164" s="115">
        <v>41417</v>
      </c>
      <c r="N164" s="130">
        <v>0</v>
      </c>
      <c r="O164" s="130"/>
      <c r="P164" s="130"/>
      <c r="Q164" s="115">
        <v>41417</v>
      </c>
      <c r="R164" s="130">
        <v>8.693657E-4</v>
      </c>
      <c r="T164"/>
    </row>
    <row r="165" spans="2:20">
      <c r="B165" s="91">
        <v>41410</v>
      </c>
      <c r="C165" s="92">
        <v>0.77052889550000003</v>
      </c>
      <c r="D165" s="92">
        <f>VLOOKUP(CurrentMtgRatesDataTable825[[#This Row],[asofdate]],I:J,2,0)</f>
        <v>0.74298206099999997</v>
      </c>
      <c r="E165" s="92">
        <f>VLOOKUP(CurrentMtgRatesDataTable825[[#This Row],[asofdate]],M:N,2,0)</f>
        <v>0</v>
      </c>
      <c r="F165" s="93">
        <f ca="1">VLOOKUP(CurrentMtgRatesDataTable825[[#This Row],[asofdate]]+1,Bloomberg!B:C,2,0)</f>
        <v>4241.5</v>
      </c>
      <c r="I165" s="115">
        <v>41410</v>
      </c>
      <c r="J165" s="130">
        <v>0.74298206099999997</v>
      </c>
      <c r="M165" s="115">
        <v>41410</v>
      </c>
      <c r="N165" s="130">
        <v>0</v>
      </c>
      <c r="O165" s="130"/>
      <c r="P165" s="130"/>
      <c r="Q165" s="115">
        <v>41410</v>
      </c>
      <c r="R165" s="130">
        <v>3.7372027E-3</v>
      </c>
      <c r="T165"/>
    </row>
    <row r="166" spans="2:20">
      <c r="B166" s="91">
        <v>41403</v>
      </c>
      <c r="C166" s="92">
        <v>0.83206605730000005</v>
      </c>
      <c r="D166" s="92">
        <f>VLOOKUP(CurrentMtgRatesDataTable825[[#This Row],[asofdate]],I:J,2,0)</f>
        <v>0.77243230529999996</v>
      </c>
      <c r="E166" s="92">
        <f>VLOOKUP(CurrentMtgRatesDataTable825[[#This Row],[asofdate]],M:N,2,0)</f>
        <v>0</v>
      </c>
      <c r="F166" s="93">
        <f ca="1">VLOOKUP(CurrentMtgRatesDataTable825[[#This Row],[asofdate]]+1,Bloomberg!B:C,2,0)</f>
        <v>4797.2</v>
      </c>
      <c r="I166" s="115">
        <v>41403</v>
      </c>
      <c r="J166" s="130">
        <v>0.77243230529999996</v>
      </c>
      <c r="M166" s="115">
        <v>41403</v>
      </c>
      <c r="N166" s="130">
        <v>0</v>
      </c>
      <c r="O166" s="130"/>
      <c r="P166" s="130"/>
      <c r="Q166" s="115">
        <v>41403</v>
      </c>
      <c r="R166" s="130">
        <v>9.1322767000000006E-3</v>
      </c>
      <c r="T166"/>
    </row>
    <row r="167" spans="2:20">
      <c r="B167" s="91">
        <v>41396</v>
      </c>
      <c r="C167" s="92">
        <v>0.84815010540000002</v>
      </c>
      <c r="D167" s="92">
        <f>VLOOKUP(CurrentMtgRatesDataTable825[[#This Row],[asofdate]],I:J,2,0)</f>
        <v>0.79686832949999997</v>
      </c>
      <c r="E167" s="92">
        <f>VLOOKUP(CurrentMtgRatesDataTable825[[#This Row],[asofdate]],M:N,2,0)</f>
        <v>5.2293966000000001E-3</v>
      </c>
      <c r="F167" s="93">
        <f ca="1">VLOOKUP(CurrentMtgRatesDataTable825[[#This Row],[asofdate]]+1,Bloomberg!B:C,2,0)</f>
        <v>5279.9</v>
      </c>
      <c r="I167" s="115">
        <v>41396</v>
      </c>
      <c r="J167" s="130">
        <v>0.79686832949999997</v>
      </c>
      <c r="M167" s="115">
        <v>41396</v>
      </c>
      <c r="N167" s="130">
        <v>5.2293966000000001E-3</v>
      </c>
      <c r="O167" s="130"/>
      <c r="P167" s="130"/>
      <c r="Q167" s="115">
        <v>41396</v>
      </c>
      <c r="R167" s="130">
        <v>0.79671017649999998</v>
      </c>
      <c r="T167"/>
    </row>
    <row r="168" spans="2:20">
      <c r="B168" s="91">
        <v>41389</v>
      </c>
      <c r="C168" s="92">
        <v>0.85248188820000004</v>
      </c>
      <c r="D168" s="92">
        <f>VLOOKUP(CurrentMtgRatesDataTable825[[#This Row],[asofdate]],I:J,2,0)</f>
        <v>0.78999699400000001</v>
      </c>
      <c r="E168" s="92">
        <f>VLOOKUP(CurrentMtgRatesDataTable825[[#This Row],[asofdate]],M:N,2,0)</f>
        <v>0</v>
      </c>
      <c r="F168" s="93">
        <f ca="1">VLOOKUP(CurrentMtgRatesDataTable825[[#This Row],[asofdate]]+1,Bloomberg!B:C,2,0)</f>
        <v>4854.1000000000004</v>
      </c>
      <c r="I168" s="115">
        <v>41389</v>
      </c>
      <c r="J168" s="130">
        <v>0.78999699400000001</v>
      </c>
      <c r="M168" s="115">
        <v>41389</v>
      </c>
      <c r="N168" s="130">
        <v>0</v>
      </c>
      <c r="O168" s="130"/>
      <c r="P168" s="130"/>
      <c r="Q168" s="115">
        <v>41389</v>
      </c>
      <c r="R168" s="130">
        <v>6.9385708000000001E-3</v>
      </c>
      <c r="T168"/>
    </row>
    <row r="169" spans="2:20">
      <c r="B169" s="91">
        <v>41382</v>
      </c>
      <c r="C169" s="92">
        <v>0.85701176970000004</v>
      </c>
      <c r="D169" s="92">
        <f>VLOOKUP(CurrentMtgRatesDataTable825[[#This Row],[asofdate]],I:J,2,0)</f>
        <v>0.79094335059999998</v>
      </c>
      <c r="E169" s="92">
        <f>VLOOKUP(CurrentMtgRatesDataTable825[[#This Row],[asofdate]],M:N,2,0)</f>
        <v>2.1059732999999998E-3</v>
      </c>
      <c r="F169" s="93">
        <f ca="1">VLOOKUP(CurrentMtgRatesDataTable825[[#This Row],[asofdate]]+1,Bloomberg!B:C,2,0)</f>
        <v>4672.1000000000004</v>
      </c>
      <c r="I169" s="115">
        <v>41382</v>
      </c>
      <c r="J169" s="130">
        <v>0.79094335059999998</v>
      </c>
      <c r="M169" s="115">
        <v>41382</v>
      </c>
      <c r="N169" s="130">
        <v>2.1059732999999998E-3</v>
      </c>
      <c r="O169" s="130"/>
      <c r="P169" s="130"/>
      <c r="Q169" s="115">
        <v>41382</v>
      </c>
      <c r="R169" s="130">
        <v>1.0720968000000001E-2</v>
      </c>
      <c r="T169"/>
    </row>
    <row r="170" spans="2:20">
      <c r="B170" s="91">
        <v>41375</v>
      </c>
      <c r="C170" s="92">
        <v>0.8378961063</v>
      </c>
      <c r="D170" s="92">
        <f>VLOOKUP(CurrentMtgRatesDataTable825[[#This Row],[asofdate]],I:J,2,0)</f>
        <v>0.76837408689999998</v>
      </c>
      <c r="E170" s="92">
        <f>VLOOKUP(CurrentMtgRatesDataTable825[[#This Row],[asofdate]],M:N,2,0)</f>
        <v>1.4715691000000001E-3</v>
      </c>
      <c r="F170" s="93">
        <f ca="1">VLOOKUP(CurrentMtgRatesDataTable825[[#This Row],[asofdate]]+1,Bloomberg!B:C,2,0)</f>
        <v>4726.8999999999996</v>
      </c>
      <c r="I170" s="115">
        <v>41375</v>
      </c>
      <c r="J170" s="130">
        <v>0.76837408689999998</v>
      </c>
      <c r="M170" s="115">
        <v>41375</v>
      </c>
      <c r="N170" s="130">
        <v>1.4715691000000001E-3</v>
      </c>
      <c r="O170" s="130"/>
      <c r="P170" s="130"/>
      <c r="Q170" s="115">
        <v>41375</v>
      </c>
      <c r="R170" s="130">
        <v>4.8411004999999998E-3</v>
      </c>
      <c r="T170"/>
    </row>
    <row r="171" spans="2:20">
      <c r="B171" s="91">
        <v>41368</v>
      </c>
      <c r="C171" s="92">
        <v>0.77384529670000002</v>
      </c>
      <c r="D171" s="92">
        <f>VLOOKUP(CurrentMtgRatesDataTable825[[#This Row],[asofdate]],I:J,2,0)</f>
        <v>0.74351076270000005</v>
      </c>
      <c r="E171" s="92">
        <f>VLOOKUP(CurrentMtgRatesDataTable825[[#This Row],[asofdate]],M:N,2,0)</f>
        <v>0</v>
      </c>
      <c r="F171" s="93">
        <f ca="1">VLOOKUP(CurrentMtgRatesDataTable825[[#This Row],[asofdate]]+1,Bloomberg!B:C,2,0)</f>
        <v>4528.8999999999996</v>
      </c>
      <c r="I171" s="115">
        <v>41368</v>
      </c>
      <c r="J171" s="130">
        <v>0.74351076270000005</v>
      </c>
      <c r="M171" s="115">
        <v>41368</v>
      </c>
      <c r="N171" s="130">
        <v>0</v>
      </c>
      <c r="O171" s="130"/>
      <c r="P171" s="130"/>
      <c r="Q171" s="115">
        <v>41368</v>
      </c>
      <c r="R171" s="130">
        <v>1.8700698000000001E-3</v>
      </c>
      <c r="T171"/>
    </row>
    <row r="172" spans="2:20">
      <c r="B172" s="91">
        <v>41361</v>
      </c>
      <c r="C172" s="92">
        <v>0.79003622439999999</v>
      </c>
      <c r="D172" s="92">
        <f>VLOOKUP(CurrentMtgRatesDataTable825[[#This Row],[asofdate]],I:J,2,0)</f>
        <v>0.74832071290000002</v>
      </c>
      <c r="E172" s="92">
        <f>VLOOKUP(CurrentMtgRatesDataTable825[[#This Row],[asofdate]],M:N,2,0)</f>
        <v>0</v>
      </c>
      <c r="F172" s="93">
        <f ca="1">VLOOKUP(CurrentMtgRatesDataTable825[[#This Row],[asofdate]]+1,Bloomberg!B:C,2,0)</f>
        <v>4119.2</v>
      </c>
      <c r="I172" s="115">
        <v>41361</v>
      </c>
      <c r="J172" s="130">
        <v>0.74832071290000002</v>
      </c>
      <c r="M172" s="115">
        <v>41361</v>
      </c>
      <c r="N172" s="130">
        <v>0</v>
      </c>
      <c r="O172" s="130"/>
      <c r="P172" s="130"/>
      <c r="Q172" s="115">
        <v>41361</v>
      </c>
      <c r="R172" s="130">
        <v>8.0177180000000001E-4</v>
      </c>
      <c r="T172"/>
    </row>
    <row r="173" spans="2:20">
      <c r="B173" s="91">
        <v>41354</v>
      </c>
      <c r="C173" s="92">
        <v>0.7957816351</v>
      </c>
      <c r="D173" s="92">
        <f>VLOOKUP(CurrentMtgRatesDataTable825[[#This Row],[asofdate]],I:J,2,0)</f>
        <v>0.76428627579999997</v>
      </c>
      <c r="E173" s="92">
        <f>VLOOKUP(CurrentMtgRatesDataTable825[[#This Row],[asofdate]],M:N,2,0)</f>
        <v>0</v>
      </c>
      <c r="F173" s="93">
        <f ca="1">VLOOKUP(CurrentMtgRatesDataTable825[[#This Row],[asofdate]]+1,Bloomberg!B:C,2,0)</f>
        <v>4412.8999999999996</v>
      </c>
      <c r="I173" s="115">
        <v>41354</v>
      </c>
      <c r="J173" s="130">
        <v>0.76428627579999997</v>
      </c>
      <c r="M173" s="115">
        <v>41354</v>
      </c>
      <c r="N173" s="130">
        <v>0</v>
      </c>
      <c r="O173" s="130"/>
      <c r="P173" s="130"/>
      <c r="Q173" s="115">
        <v>41354</v>
      </c>
      <c r="R173" s="130">
        <v>1.1878606E-3</v>
      </c>
      <c r="T173"/>
    </row>
    <row r="174" spans="2:20">
      <c r="B174" s="91">
        <v>41347</v>
      </c>
      <c r="C174" s="92">
        <v>0.77394611589999995</v>
      </c>
      <c r="D174" s="92">
        <f>VLOOKUP(CurrentMtgRatesDataTable825[[#This Row],[asofdate]],I:J,2,0)</f>
        <v>0.73420571180000005</v>
      </c>
      <c r="E174" s="92">
        <f>VLOOKUP(CurrentMtgRatesDataTable825[[#This Row],[asofdate]],M:N,2,0)</f>
        <v>0</v>
      </c>
      <c r="F174" s="93">
        <f ca="1">VLOOKUP(CurrentMtgRatesDataTable825[[#This Row],[asofdate]]+1,Bloomberg!B:C,2,0)</f>
        <v>4111.3</v>
      </c>
      <c r="I174" s="115">
        <v>41347</v>
      </c>
      <c r="J174" s="130">
        <v>0.73420571180000005</v>
      </c>
      <c r="M174" s="115">
        <v>41347</v>
      </c>
      <c r="N174" s="130">
        <v>0</v>
      </c>
      <c r="O174" s="130"/>
      <c r="P174" s="130"/>
      <c r="Q174" s="115">
        <v>41347</v>
      </c>
      <c r="R174" s="130">
        <v>5.728234E-4</v>
      </c>
      <c r="T174"/>
    </row>
    <row r="175" spans="2:20">
      <c r="B175" s="91">
        <v>41340</v>
      </c>
      <c r="C175" s="92">
        <v>0.81171450180000004</v>
      </c>
      <c r="D175" s="92">
        <f>VLOOKUP(CurrentMtgRatesDataTable825[[#This Row],[asofdate]],I:J,2,0)</f>
        <v>0.76834204949999996</v>
      </c>
      <c r="E175" s="92">
        <f>VLOOKUP(CurrentMtgRatesDataTable825[[#This Row],[asofdate]],M:N,2,0)</f>
        <v>4.1444319999999998E-4</v>
      </c>
      <c r="F175" s="93">
        <f ca="1">VLOOKUP(CurrentMtgRatesDataTable825[[#This Row],[asofdate]]+1,Bloomberg!B:C,2,0)</f>
        <v>4485.2</v>
      </c>
      <c r="I175" s="115">
        <v>41340</v>
      </c>
      <c r="J175" s="130">
        <v>0.76834204949999996</v>
      </c>
      <c r="M175" s="115">
        <v>41340</v>
      </c>
      <c r="N175" s="130">
        <v>4.1444319999999998E-4</v>
      </c>
      <c r="O175" s="130"/>
      <c r="P175" s="130"/>
      <c r="Q175" s="115">
        <v>41340</v>
      </c>
      <c r="R175" s="130">
        <v>2.7074109999999998E-3</v>
      </c>
      <c r="T175"/>
    </row>
    <row r="176" spans="2:20">
      <c r="B176" s="91">
        <v>41333</v>
      </c>
      <c r="C176" s="92">
        <v>0.8270727792</v>
      </c>
      <c r="D176" s="92">
        <f>VLOOKUP(CurrentMtgRatesDataTable825[[#This Row],[asofdate]],I:J,2,0)</f>
        <v>0.7869967283</v>
      </c>
      <c r="E176" s="92">
        <f>VLOOKUP(CurrentMtgRatesDataTable825[[#This Row],[asofdate]],M:N,2,0)</f>
        <v>1.7306500000000001E-5</v>
      </c>
      <c r="F176" s="93">
        <f ca="1">VLOOKUP(CurrentMtgRatesDataTable825[[#This Row],[asofdate]]+1,Bloomberg!B:C,2,0)</f>
        <v>4724.8999999999996</v>
      </c>
      <c r="I176" s="115">
        <v>41333</v>
      </c>
      <c r="J176" s="130">
        <v>0.7869967283</v>
      </c>
      <c r="M176" s="115">
        <v>41333</v>
      </c>
      <c r="N176" s="130">
        <v>1.7306500000000001E-5</v>
      </c>
      <c r="O176" s="130"/>
      <c r="P176" s="130"/>
      <c r="Q176" s="115">
        <v>41333</v>
      </c>
      <c r="R176" s="130">
        <v>1.8279983000000001E-3</v>
      </c>
      <c r="T176"/>
    </row>
    <row r="177" spans="2:20">
      <c r="B177" s="91">
        <v>41326</v>
      </c>
      <c r="C177" s="92">
        <v>0.81160085719999997</v>
      </c>
      <c r="D177" s="92">
        <f>VLOOKUP(CurrentMtgRatesDataTable825[[#This Row],[asofdate]],I:J,2,0)</f>
        <v>0.76942029720000005</v>
      </c>
      <c r="E177" s="92">
        <f>VLOOKUP(CurrentMtgRatesDataTable825[[#This Row],[asofdate]],M:N,2,0)</f>
        <v>0</v>
      </c>
      <c r="F177" s="93">
        <f ca="1">VLOOKUP(CurrentMtgRatesDataTable825[[#This Row],[asofdate]]+1,Bloomberg!B:C,2,0)</f>
        <v>4136.3</v>
      </c>
      <c r="I177" s="115">
        <v>41326</v>
      </c>
      <c r="J177" s="130">
        <v>0.76942029720000005</v>
      </c>
      <c r="M177" s="115">
        <v>41326</v>
      </c>
      <c r="N177" s="130">
        <v>0</v>
      </c>
      <c r="O177" s="130"/>
      <c r="P177" s="130"/>
      <c r="Q177" s="115">
        <v>41326</v>
      </c>
      <c r="R177" s="130">
        <v>1.1744309000000001E-3</v>
      </c>
      <c r="T177"/>
    </row>
    <row r="178" spans="2:20">
      <c r="B178" s="91">
        <v>41319</v>
      </c>
      <c r="C178" s="92">
        <v>0.81835686620000003</v>
      </c>
      <c r="D178" s="92">
        <f>VLOOKUP(CurrentMtgRatesDataTable825[[#This Row],[asofdate]],I:J,2,0)</f>
        <v>0.78596707669999999</v>
      </c>
      <c r="E178" s="92">
        <f>VLOOKUP(CurrentMtgRatesDataTable825[[#This Row],[asofdate]],M:N,2,0)</f>
        <v>0</v>
      </c>
      <c r="F178" s="93">
        <f ca="1">VLOOKUP(CurrentMtgRatesDataTable825[[#This Row],[asofdate]]+1,Bloomberg!B:C,2,0)</f>
        <v>4261.8</v>
      </c>
      <c r="I178" s="115">
        <v>41319</v>
      </c>
      <c r="J178" s="130">
        <v>0.78596707669999999</v>
      </c>
      <c r="M178" s="115">
        <v>41319</v>
      </c>
      <c r="N178" s="130">
        <v>0</v>
      </c>
      <c r="O178" s="130"/>
      <c r="P178" s="130"/>
      <c r="Q178" s="115">
        <v>41319</v>
      </c>
      <c r="R178" s="130">
        <v>1.8188139000000002E-3</v>
      </c>
      <c r="T178"/>
    </row>
    <row r="179" spans="2:20">
      <c r="B179" s="91">
        <v>41312</v>
      </c>
      <c r="C179" s="92">
        <v>0.81835686620000003</v>
      </c>
      <c r="D179" s="92">
        <f>VLOOKUP(CurrentMtgRatesDataTable825[[#This Row],[asofdate]],I:J,2,0)</f>
        <v>0.78596707669999999</v>
      </c>
      <c r="E179" s="92">
        <f>VLOOKUP(CurrentMtgRatesDataTable825[[#This Row],[asofdate]],M:N,2,0)</f>
        <v>0</v>
      </c>
      <c r="F179" s="93">
        <f ca="1">VLOOKUP(CurrentMtgRatesDataTable825[[#This Row],[asofdate]]+1,Bloomberg!B:C,2,0)</f>
        <v>4284.3</v>
      </c>
      <c r="I179" s="115">
        <v>41312</v>
      </c>
      <c r="J179" s="130">
        <v>0.78596707669999999</v>
      </c>
      <c r="M179" s="115">
        <v>41312</v>
      </c>
      <c r="N179" s="130">
        <v>0</v>
      </c>
      <c r="O179" s="130"/>
      <c r="P179" s="130"/>
      <c r="Q179" s="115">
        <v>41312</v>
      </c>
      <c r="R179" s="130">
        <v>1.8016234000000002E-3</v>
      </c>
      <c r="T179"/>
    </row>
    <row r="180" spans="2:20">
      <c r="B180" s="91">
        <v>41305</v>
      </c>
      <c r="C180" s="92">
        <v>0.84241989009999996</v>
      </c>
      <c r="D180" s="92">
        <f>VLOOKUP(CurrentMtgRatesDataTable825[[#This Row],[asofdate]],I:J,2,0)</f>
        <v>0.80135399939999996</v>
      </c>
      <c r="E180" s="92">
        <f>VLOOKUP(CurrentMtgRatesDataTable825[[#This Row],[asofdate]],M:N,2,0)</f>
        <v>0</v>
      </c>
      <c r="F180" s="93">
        <f ca="1">VLOOKUP(CurrentMtgRatesDataTable825[[#This Row],[asofdate]]+1,Bloomberg!B:C,2,0)</f>
        <v>4579</v>
      </c>
      <c r="I180" s="115">
        <v>41305</v>
      </c>
      <c r="J180" s="130">
        <v>0.80135399939999996</v>
      </c>
      <c r="M180" s="115">
        <v>41305</v>
      </c>
      <c r="N180" s="130">
        <v>0</v>
      </c>
      <c r="O180" s="130"/>
      <c r="P180" s="130"/>
      <c r="Q180" s="115">
        <v>41305</v>
      </c>
      <c r="R180" s="130">
        <v>1.2356666000000001E-3</v>
      </c>
      <c r="T180"/>
    </row>
    <row r="181" spans="2:20">
      <c r="B181" s="91">
        <v>41298</v>
      </c>
      <c r="C181" s="92">
        <v>0.90997267329999998</v>
      </c>
      <c r="D181" s="92">
        <f>VLOOKUP(CurrentMtgRatesDataTable825[[#This Row],[asofdate]],I:J,2,0)</f>
        <v>0.84448029719999995</v>
      </c>
      <c r="E181" s="92">
        <f>VLOOKUP(CurrentMtgRatesDataTable825[[#This Row],[asofdate]],M:N,2,0)</f>
        <v>0</v>
      </c>
      <c r="F181" s="93">
        <f ca="1">VLOOKUP(CurrentMtgRatesDataTable825[[#This Row],[asofdate]]+1,Bloomberg!B:C,2,0)</f>
        <v>4433.6000000000004</v>
      </c>
      <c r="I181" s="115">
        <v>41298</v>
      </c>
      <c r="J181" s="130">
        <v>0.84448029719999995</v>
      </c>
      <c r="M181" s="115">
        <v>41298</v>
      </c>
      <c r="N181" s="130">
        <v>0</v>
      </c>
      <c r="O181" s="130"/>
      <c r="P181" s="130"/>
      <c r="Q181" s="115">
        <v>41298</v>
      </c>
      <c r="R181" s="130">
        <v>5.6133948999999997E-3</v>
      </c>
      <c r="T181"/>
    </row>
    <row r="182" spans="2:20">
      <c r="B182" s="91">
        <v>41291</v>
      </c>
      <c r="C182" s="92">
        <v>0.923612459</v>
      </c>
      <c r="D182" s="92">
        <f>VLOOKUP(CurrentMtgRatesDataTable825[[#This Row],[asofdate]],I:J,2,0)</f>
        <v>0.86335462829999998</v>
      </c>
      <c r="E182" s="92">
        <f>VLOOKUP(CurrentMtgRatesDataTable825[[#This Row],[asofdate]],M:N,2,0)</f>
        <v>0</v>
      </c>
      <c r="F182" s="93">
        <f ca="1">VLOOKUP(CurrentMtgRatesDataTable825[[#This Row],[asofdate]]+1,Bloomberg!B:C,2,0)</f>
        <v>4937.3999999999996</v>
      </c>
      <c r="I182" s="115">
        <v>41291</v>
      </c>
      <c r="J182" s="130">
        <v>0.86335462829999998</v>
      </c>
      <c r="M182" s="115">
        <v>41291</v>
      </c>
      <c r="N182" s="130">
        <v>0</v>
      </c>
      <c r="O182" s="130"/>
      <c r="P182" s="130"/>
      <c r="Q182" s="115">
        <v>41291</v>
      </c>
      <c r="R182" s="130">
        <v>0.86332672129999999</v>
      </c>
      <c r="T182"/>
    </row>
    <row r="183" spans="2:20">
      <c r="B183" s="91">
        <v>41284</v>
      </c>
      <c r="C183" s="92">
        <v>0.91705235539999996</v>
      </c>
      <c r="D183" s="92">
        <f>VLOOKUP(CurrentMtgRatesDataTable825[[#This Row],[asofdate]],I:J,2,0)</f>
        <v>0.84701127040000002</v>
      </c>
      <c r="E183" s="92">
        <f>VLOOKUP(CurrentMtgRatesDataTable825[[#This Row],[asofdate]],M:N,2,0)</f>
        <v>0</v>
      </c>
      <c r="F183" s="93">
        <f ca="1">VLOOKUP(CurrentMtgRatesDataTable825[[#This Row],[asofdate]]+1,Bloomberg!B:C,2,0)</f>
        <v>4554.3999999999996</v>
      </c>
      <c r="I183" s="115">
        <v>41284</v>
      </c>
      <c r="J183" s="130">
        <v>0.84701127040000002</v>
      </c>
      <c r="M183" s="115">
        <v>41284</v>
      </c>
      <c r="N183" s="130">
        <v>0</v>
      </c>
      <c r="O183" s="130"/>
      <c r="P183" s="130"/>
      <c r="Q183" s="115">
        <v>41284</v>
      </c>
      <c r="R183" s="130">
        <v>5.7415477999999999E-3</v>
      </c>
      <c r="T183"/>
    </row>
    <row r="184" spans="2:20">
      <c r="B184" s="91">
        <v>41277</v>
      </c>
      <c r="C184" s="92">
        <v>0.92991876559999997</v>
      </c>
      <c r="D184" s="92">
        <f>VLOOKUP(CurrentMtgRatesDataTable825[[#This Row],[asofdate]],I:J,2,0)</f>
        <v>0.8673857989</v>
      </c>
      <c r="E184" s="92">
        <f>VLOOKUP(CurrentMtgRatesDataTable825[[#This Row],[asofdate]],M:N,2,0)</f>
        <v>0</v>
      </c>
      <c r="F184" s="93">
        <f ca="1">VLOOKUP(CurrentMtgRatesDataTable825[[#This Row],[asofdate]]+1,Bloomberg!B:C,2,0)</f>
        <v>3896.4</v>
      </c>
      <c r="I184" s="115">
        <v>41277</v>
      </c>
      <c r="J184" s="130">
        <v>0.8673857989</v>
      </c>
      <c r="M184" s="115">
        <v>41277</v>
      </c>
      <c r="N184" s="130">
        <v>0</v>
      </c>
      <c r="O184" s="130"/>
      <c r="P184" s="130"/>
      <c r="Q184" s="115">
        <v>41277</v>
      </c>
      <c r="R184" s="130">
        <v>0.86713239769999995</v>
      </c>
      <c r="T184"/>
    </row>
    <row r="185" spans="2:20">
      <c r="B185" s="91">
        <v>41270</v>
      </c>
      <c r="C185" s="92">
        <v>0.9551047989</v>
      </c>
      <c r="D185" s="92">
        <f>VLOOKUP(CurrentMtgRatesDataTable825[[#This Row],[asofdate]],I:J,2,0)</f>
        <v>0.89225158500000001</v>
      </c>
      <c r="E185" s="92">
        <f>VLOOKUP(CurrentMtgRatesDataTable825[[#This Row],[asofdate]],M:N,2,0)</f>
        <v>0</v>
      </c>
      <c r="F185" s="93">
        <f ca="1">VLOOKUP(CurrentMtgRatesDataTable825[[#This Row],[asofdate]]+1,Bloomberg!B:C,2,0)</f>
        <v>3488.9</v>
      </c>
      <c r="I185" s="115">
        <v>41270</v>
      </c>
      <c r="J185" s="130">
        <v>0.89225158500000001</v>
      </c>
      <c r="M185" s="115">
        <v>41270</v>
      </c>
      <c r="N185" s="130">
        <v>0</v>
      </c>
      <c r="O185" s="130"/>
      <c r="P185" s="130"/>
      <c r="Q185" s="115">
        <v>41270</v>
      </c>
      <c r="R185" s="130">
        <v>0.89223126149999998</v>
      </c>
      <c r="T185"/>
    </row>
    <row r="186" spans="2:20">
      <c r="B186" s="91">
        <v>41263</v>
      </c>
      <c r="C186" s="92">
        <v>0.95216101900000005</v>
      </c>
      <c r="D186" s="92">
        <f>VLOOKUP(CurrentMtgRatesDataTable825[[#This Row],[asofdate]],I:J,2,0)</f>
        <v>0.89030787629999997</v>
      </c>
      <c r="E186" s="92">
        <f>VLOOKUP(CurrentMtgRatesDataTable825[[#This Row],[asofdate]],M:N,2,0)</f>
        <v>0</v>
      </c>
      <c r="F186" s="93">
        <f ca="1">VLOOKUP(CurrentMtgRatesDataTable825[[#This Row],[asofdate]]+1,Bloomberg!B:C,2,0)</f>
        <v>3983.2</v>
      </c>
      <c r="I186" s="115">
        <v>41263</v>
      </c>
      <c r="J186" s="130">
        <v>0.89030787629999997</v>
      </c>
      <c r="M186" s="115">
        <v>41263</v>
      </c>
      <c r="N186" s="130">
        <v>0</v>
      </c>
      <c r="O186" s="130"/>
      <c r="P186" s="130"/>
      <c r="Q186" s="115">
        <v>41263</v>
      </c>
      <c r="R186" s="130">
        <v>0.89028689569999997</v>
      </c>
      <c r="T186"/>
    </row>
    <row r="187" spans="2:20">
      <c r="B187" s="91">
        <v>41256</v>
      </c>
      <c r="C187" s="92">
        <v>0.9571673316</v>
      </c>
      <c r="D187" s="92">
        <f>VLOOKUP(CurrentMtgRatesDataTable825[[#This Row],[asofdate]],I:J,2,0)</f>
        <v>0.90756086059999996</v>
      </c>
      <c r="E187" s="92">
        <f>VLOOKUP(CurrentMtgRatesDataTable825[[#This Row],[asofdate]],M:N,2,0)</f>
        <v>2.061412E-4</v>
      </c>
      <c r="F187" s="93">
        <f ca="1">VLOOKUP(CurrentMtgRatesDataTable825[[#This Row],[asofdate]]+1,Bloomberg!B:C,2,0)</f>
        <v>4564.3999999999996</v>
      </c>
      <c r="I187" s="115">
        <v>41256</v>
      </c>
      <c r="J187" s="130">
        <v>0.90756086059999996</v>
      </c>
      <c r="M187" s="115">
        <v>41256</v>
      </c>
      <c r="N187" s="130">
        <v>2.061412E-4</v>
      </c>
      <c r="O187" s="130"/>
      <c r="P187" s="130"/>
      <c r="Q187" s="115">
        <v>41256</v>
      </c>
      <c r="R187" s="130">
        <v>0.90754307509999999</v>
      </c>
      <c r="T187"/>
    </row>
    <row r="188" spans="2:20">
      <c r="B188" s="91">
        <v>41249</v>
      </c>
      <c r="C188" s="92">
        <v>0.95613736699999996</v>
      </c>
      <c r="D188" s="92">
        <f>VLOOKUP(CurrentMtgRatesDataTable825[[#This Row],[asofdate]],I:J,2,0)</f>
        <v>0.89308967149999996</v>
      </c>
      <c r="E188" s="92">
        <f>VLOOKUP(CurrentMtgRatesDataTable825[[#This Row],[asofdate]],M:N,2,0)</f>
        <v>0</v>
      </c>
      <c r="F188" s="93">
        <f ca="1">VLOOKUP(CurrentMtgRatesDataTable825[[#This Row],[asofdate]]+1,Bloomberg!B:C,2,0)</f>
        <v>5368.1</v>
      </c>
      <c r="I188" s="115">
        <v>41249</v>
      </c>
      <c r="J188" s="130">
        <v>0.89308967149999996</v>
      </c>
      <c r="M188" s="115">
        <v>41249</v>
      </c>
      <c r="N188" s="130">
        <v>0</v>
      </c>
      <c r="O188" s="130"/>
      <c r="P188" s="130"/>
      <c r="Q188" s="115">
        <v>41249</v>
      </c>
      <c r="R188" s="130">
        <v>0.89290404879999996</v>
      </c>
      <c r="T188"/>
    </row>
    <row r="189" spans="2:20">
      <c r="B189" s="91">
        <v>41242</v>
      </c>
      <c r="C189" s="92">
        <v>0.97473352089999998</v>
      </c>
      <c r="D189" s="92">
        <f>VLOOKUP(CurrentMtgRatesDataTable825[[#This Row],[asofdate]],I:J,2,0)</f>
        <v>0.91340603359999994</v>
      </c>
      <c r="E189" s="92">
        <f>VLOOKUP(CurrentMtgRatesDataTable825[[#This Row],[asofdate]],M:N,2,0)</f>
        <v>0</v>
      </c>
      <c r="F189" s="93">
        <f ca="1">VLOOKUP(CurrentMtgRatesDataTable825[[#This Row],[asofdate]]+1,Bloomberg!B:C,2,0)</f>
        <v>4943</v>
      </c>
      <c r="I189" s="115">
        <v>41242</v>
      </c>
      <c r="J189" s="130">
        <v>0.91340603359999994</v>
      </c>
      <c r="M189" s="115">
        <v>41242</v>
      </c>
      <c r="N189" s="130">
        <v>0</v>
      </c>
      <c r="O189" s="130"/>
      <c r="P189" s="130"/>
      <c r="Q189" s="115">
        <v>41242</v>
      </c>
      <c r="R189" s="130">
        <v>0.91339134359999996</v>
      </c>
      <c r="T189"/>
    </row>
    <row r="190" spans="2:20">
      <c r="B190" s="91">
        <v>41234</v>
      </c>
      <c r="C190" s="92">
        <v>0.9764940312</v>
      </c>
      <c r="D190" s="92">
        <f>VLOOKUP(CurrentMtgRatesDataTable825[[#This Row],[asofdate]],I:J,2,0)</f>
        <v>0.92811980329999999</v>
      </c>
      <c r="E190" s="92">
        <f>VLOOKUP(CurrentMtgRatesDataTable825[[#This Row],[asofdate]],M:N,2,0)</f>
        <v>0.9281076654</v>
      </c>
      <c r="F190" s="93" t="e">
        <f ca="1">VLOOKUP(CurrentMtgRatesDataTable825[[#This Row],[asofdate]]+1,Bloomberg!B:C,2,0)</f>
        <v>#N/A</v>
      </c>
      <c r="I190" s="115">
        <v>41234</v>
      </c>
      <c r="J190" s="130">
        <v>0.92811980329999999</v>
      </c>
      <c r="M190" s="115">
        <v>41234</v>
      </c>
      <c r="N190" s="130">
        <v>0.9281076654</v>
      </c>
      <c r="O190" s="130"/>
      <c r="P190" s="130"/>
      <c r="Q190" s="115">
        <v>41234</v>
      </c>
      <c r="R190" s="130">
        <v>0.9281076654</v>
      </c>
      <c r="T190"/>
    </row>
    <row r="191" spans="2:20">
      <c r="B191" s="91">
        <v>41228</v>
      </c>
      <c r="C191" s="92">
        <v>0.97531301500000001</v>
      </c>
      <c r="D191" s="92">
        <f>VLOOKUP(CurrentMtgRatesDataTable825[[#This Row],[asofdate]],I:J,2,0)</f>
        <v>0.91410815519999999</v>
      </c>
      <c r="E191" s="92">
        <f>VLOOKUP(CurrentMtgRatesDataTable825[[#This Row],[asofdate]],M:N,2,0)</f>
        <v>6.9942099999999996E-5</v>
      </c>
      <c r="F191" s="93">
        <f ca="1">VLOOKUP(CurrentMtgRatesDataTable825[[#This Row],[asofdate]]+1,Bloomberg!B:C,2,0)</f>
        <v>4702.3999999999996</v>
      </c>
      <c r="I191" s="115">
        <v>41228</v>
      </c>
      <c r="J191" s="130">
        <v>0.91410815519999999</v>
      </c>
      <c r="M191" s="115">
        <v>41228</v>
      </c>
      <c r="N191" s="130">
        <v>6.9942099999999996E-5</v>
      </c>
      <c r="O191" s="130"/>
      <c r="P191" s="130"/>
      <c r="Q191" s="115">
        <v>41228</v>
      </c>
      <c r="R191" s="130">
        <v>0.9140931699</v>
      </c>
      <c r="T191"/>
    </row>
    <row r="192" spans="2:20">
      <c r="B192" s="91">
        <v>41221</v>
      </c>
      <c r="C192" s="92">
        <v>0.96601170540000003</v>
      </c>
      <c r="D192" s="92">
        <f>VLOOKUP(CurrentMtgRatesDataTable825[[#This Row],[asofdate]],I:J,2,0)</f>
        <v>0.89565651040000005</v>
      </c>
      <c r="E192" s="92">
        <f>VLOOKUP(CurrentMtgRatesDataTable825[[#This Row],[asofdate]],M:N,2,0)</f>
        <v>0</v>
      </c>
      <c r="F192" s="93">
        <f ca="1">VLOOKUP(CurrentMtgRatesDataTable825[[#This Row],[asofdate]]+1,Bloomberg!B:C,2,0)</f>
        <v>4856.1000000000004</v>
      </c>
      <c r="I192" s="115">
        <v>41221</v>
      </c>
      <c r="J192" s="130">
        <v>0.89565651040000005</v>
      </c>
      <c r="M192" s="115">
        <v>41221</v>
      </c>
      <c r="N192" s="130">
        <v>0</v>
      </c>
      <c r="O192" s="130"/>
      <c r="P192" s="130"/>
      <c r="Q192" s="115">
        <v>41221</v>
      </c>
      <c r="R192" s="130">
        <v>0.89563676619999999</v>
      </c>
      <c r="T192"/>
    </row>
    <row r="193" spans="2:20">
      <c r="B193" s="91">
        <v>41214</v>
      </c>
      <c r="C193" s="92">
        <v>0.96726730959999996</v>
      </c>
      <c r="D193" s="92">
        <f>VLOOKUP(CurrentMtgRatesDataTable825[[#This Row],[asofdate]],I:J,2,0)</f>
        <v>0.8960141707</v>
      </c>
      <c r="E193" s="92">
        <f>VLOOKUP(CurrentMtgRatesDataTable825[[#This Row],[asofdate]],M:N,2,0)</f>
        <v>0</v>
      </c>
      <c r="F193" s="93">
        <f ca="1">VLOOKUP(CurrentMtgRatesDataTable825[[#This Row],[asofdate]]+1,Bloomberg!B:C,2,0)</f>
        <v>4297.7</v>
      </c>
      <c r="I193" s="115">
        <v>41214</v>
      </c>
      <c r="J193" s="130">
        <v>0.8960141707</v>
      </c>
      <c r="M193" s="115">
        <v>41214</v>
      </c>
      <c r="N193" s="130">
        <v>0</v>
      </c>
      <c r="O193" s="130"/>
      <c r="P193" s="130"/>
      <c r="Q193" s="115">
        <v>41214</v>
      </c>
      <c r="R193" s="130">
        <v>0.89593566410000003</v>
      </c>
      <c r="T193"/>
    </row>
    <row r="194" spans="2:20">
      <c r="B194" s="91">
        <v>41207</v>
      </c>
      <c r="C194" s="92">
        <v>0.97626253559999998</v>
      </c>
      <c r="D194" s="92">
        <f>VLOOKUP(CurrentMtgRatesDataTable825[[#This Row],[asofdate]],I:J,2,0)</f>
        <v>0.90786686940000005</v>
      </c>
      <c r="E194" s="92">
        <f>VLOOKUP(CurrentMtgRatesDataTable825[[#This Row],[asofdate]],M:N,2,0)</f>
        <v>0</v>
      </c>
      <c r="F194" s="93">
        <f ca="1">VLOOKUP(CurrentMtgRatesDataTable825[[#This Row],[asofdate]]+1,Bloomberg!B:C,2,0)</f>
        <v>4550.7</v>
      </c>
      <c r="I194" s="115">
        <v>41207</v>
      </c>
      <c r="J194" s="130">
        <v>0.90786686940000005</v>
      </c>
      <c r="M194" s="115">
        <v>41207</v>
      </c>
      <c r="N194" s="130">
        <v>0</v>
      </c>
      <c r="O194" s="130"/>
      <c r="P194" s="130"/>
      <c r="Q194" s="115">
        <v>41207</v>
      </c>
      <c r="R194" s="130">
        <v>0.90785050069999995</v>
      </c>
      <c r="T194"/>
    </row>
    <row r="195" spans="2:20">
      <c r="B195" s="91">
        <v>41200</v>
      </c>
      <c r="C195" s="92">
        <v>0.98348944029999996</v>
      </c>
      <c r="D195" s="92">
        <f>VLOOKUP(CurrentMtgRatesDataTable825[[#This Row],[asofdate]],I:J,2,0)</f>
        <v>0.92469153400000004</v>
      </c>
      <c r="E195" s="92">
        <f>VLOOKUP(CurrentMtgRatesDataTable825[[#This Row],[asofdate]],M:N,2,0)</f>
        <v>0</v>
      </c>
      <c r="F195" s="93">
        <f ca="1">VLOOKUP(CurrentMtgRatesDataTable825[[#This Row],[asofdate]]+1,Bloomberg!B:C,2,0)</f>
        <v>4847.2</v>
      </c>
      <c r="I195" s="115">
        <v>41200</v>
      </c>
      <c r="J195" s="130">
        <v>0.92469153400000004</v>
      </c>
      <c r="M195" s="115">
        <v>41200</v>
      </c>
      <c r="N195" s="130">
        <v>0</v>
      </c>
      <c r="O195" s="130"/>
      <c r="P195" s="130"/>
      <c r="Q195" s="115">
        <v>41200</v>
      </c>
      <c r="R195" s="130">
        <v>0.92467963080000004</v>
      </c>
      <c r="T195"/>
    </row>
    <row r="196" spans="2:20">
      <c r="B196" s="91">
        <v>41193</v>
      </c>
      <c r="C196" s="92">
        <v>0.97996203599999998</v>
      </c>
      <c r="D196" s="92">
        <f>VLOOKUP(CurrentMtgRatesDataTable825[[#This Row],[asofdate]],I:J,2,0)</f>
        <v>0.91035407680000002</v>
      </c>
      <c r="E196" s="92">
        <f>VLOOKUP(CurrentMtgRatesDataTable825[[#This Row],[asofdate]],M:N,2,0)</f>
        <v>0</v>
      </c>
      <c r="F196" s="93">
        <f ca="1">VLOOKUP(CurrentMtgRatesDataTable825[[#This Row],[asofdate]]+1,Bloomberg!B:C,2,0)</f>
        <v>5572.2</v>
      </c>
      <c r="I196" s="115">
        <v>41193</v>
      </c>
      <c r="J196" s="130">
        <v>0.91035407680000002</v>
      </c>
      <c r="M196" s="115">
        <v>41193</v>
      </c>
      <c r="N196" s="130">
        <v>0</v>
      </c>
      <c r="O196" s="130"/>
      <c r="P196" s="130"/>
      <c r="Q196" s="115">
        <v>41193</v>
      </c>
      <c r="R196" s="130">
        <v>0.91033834270000002</v>
      </c>
      <c r="T196"/>
    </row>
    <row r="197" spans="2:20">
      <c r="B197" s="91">
        <v>41186</v>
      </c>
      <c r="C197" s="92">
        <v>0.98524810240000005</v>
      </c>
      <c r="D197" s="92">
        <f>VLOOKUP(CurrentMtgRatesDataTable825[[#This Row],[asofdate]],I:J,2,0)</f>
        <v>0.92832683660000004</v>
      </c>
      <c r="E197" s="92">
        <f>VLOOKUP(CurrentMtgRatesDataTable825[[#This Row],[asofdate]],M:N,2,0)</f>
        <v>0.92807978840000005</v>
      </c>
      <c r="F197" s="93">
        <f ca="1">VLOOKUP(CurrentMtgRatesDataTable825[[#This Row],[asofdate]]+1,Bloomberg!B:C,2,0)</f>
        <v>5892.5</v>
      </c>
      <c r="I197" s="115">
        <v>41186</v>
      </c>
      <c r="J197" s="130">
        <v>0.92832683660000004</v>
      </c>
      <c r="M197" s="115">
        <v>41186</v>
      </c>
      <c r="N197" s="130">
        <v>0.92807978840000005</v>
      </c>
      <c r="O197" s="130"/>
      <c r="P197" s="130"/>
      <c r="Q197" s="115">
        <v>41186</v>
      </c>
      <c r="R197" s="130">
        <v>0.92807978840000005</v>
      </c>
      <c r="T197"/>
    </row>
    <row r="198" spans="2:20">
      <c r="B198" s="91">
        <v>41179</v>
      </c>
      <c r="C198" s="92">
        <v>0.99079643949999996</v>
      </c>
      <c r="D198" s="92">
        <f>VLOOKUP(CurrentMtgRatesDataTable825[[#This Row],[asofdate]],I:J,2,0)</f>
        <v>0.93535924380000002</v>
      </c>
      <c r="E198" s="92">
        <f>VLOOKUP(CurrentMtgRatesDataTable825[[#This Row],[asofdate]],M:N,2,0)</f>
        <v>0.935348391</v>
      </c>
      <c r="F198" s="93">
        <f ca="1">VLOOKUP(CurrentMtgRatesDataTable825[[#This Row],[asofdate]]+1,Bloomberg!B:C,2,0)</f>
        <v>5965.5</v>
      </c>
      <c r="I198" s="115">
        <v>41179</v>
      </c>
      <c r="J198" s="130">
        <v>0.93535924380000002</v>
      </c>
      <c r="M198" s="115">
        <v>41179</v>
      </c>
      <c r="N198" s="130">
        <v>0.935348391</v>
      </c>
      <c r="O198" s="130"/>
      <c r="P198" s="130"/>
      <c r="Q198" s="115">
        <v>41179</v>
      </c>
      <c r="R198" s="130">
        <v>0.935348391</v>
      </c>
      <c r="T198"/>
    </row>
    <row r="199" spans="2:20">
      <c r="B199" s="91">
        <v>41172</v>
      </c>
      <c r="C199" s="92">
        <v>0.96606144380000003</v>
      </c>
      <c r="D199" s="92">
        <f>VLOOKUP(CurrentMtgRatesDataTable825[[#This Row],[asofdate]],I:J,2,0)</f>
        <v>0.90080109230000005</v>
      </c>
      <c r="E199" s="92">
        <f>VLOOKUP(CurrentMtgRatesDataTable825[[#This Row],[asofdate]],M:N,2,0)</f>
        <v>0.90078150499999998</v>
      </c>
      <c r="F199" s="93">
        <f ca="1">VLOOKUP(CurrentMtgRatesDataTable825[[#This Row],[asofdate]]+1,Bloomberg!B:C,2,0)</f>
        <v>4979</v>
      </c>
      <c r="I199" s="115">
        <v>41172</v>
      </c>
      <c r="J199" s="130">
        <v>0.90080109230000005</v>
      </c>
      <c r="M199" s="115">
        <v>41172</v>
      </c>
      <c r="N199" s="130">
        <v>0.90078150499999998</v>
      </c>
      <c r="O199" s="130"/>
      <c r="P199" s="130"/>
      <c r="Q199" s="115">
        <v>41172</v>
      </c>
      <c r="R199" s="130">
        <v>0.90078150499999998</v>
      </c>
      <c r="T199"/>
    </row>
    <row r="200" spans="2:20">
      <c r="B200" s="91">
        <v>41165</v>
      </c>
      <c r="C200" s="92">
        <v>0.92682323200000005</v>
      </c>
      <c r="D200" s="92">
        <f>VLOOKUP(CurrentMtgRatesDataTable825[[#This Row],[asofdate]],I:J,2,0)</f>
        <v>0.88554902749999997</v>
      </c>
      <c r="E200" s="92">
        <f>VLOOKUP(CurrentMtgRatesDataTable825[[#This Row],[asofdate]],M:N,2,0)</f>
        <v>1.3565838E-3</v>
      </c>
      <c r="F200" s="93">
        <f ca="1">VLOOKUP(CurrentMtgRatesDataTable825[[#This Row],[asofdate]]+1,Bloomberg!B:C,2,0)</f>
        <v>4823.3</v>
      </c>
      <c r="I200" s="115">
        <v>41165</v>
      </c>
      <c r="J200" s="130">
        <v>0.88554902749999997</v>
      </c>
      <c r="M200" s="115">
        <v>41165</v>
      </c>
      <c r="N200" s="130">
        <v>1.3565838E-3</v>
      </c>
      <c r="O200" s="130"/>
      <c r="P200" s="130"/>
      <c r="Q200" s="115">
        <v>41165</v>
      </c>
      <c r="R200" s="130">
        <v>0.88552599899999995</v>
      </c>
      <c r="T200"/>
    </row>
    <row r="201" spans="2:20">
      <c r="B201" s="91">
        <v>41158</v>
      </c>
      <c r="C201" s="92">
        <v>0.9200088891</v>
      </c>
      <c r="D201" s="92">
        <f>VLOOKUP(CurrentMtgRatesDataTable825[[#This Row],[asofdate]],I:J,2,0)</f>
        <v>0.88336087799999996</v>
      </c>
      <c r="E201" s="92">
        <f>VLOOKUP(CurrentMtgRatesDataTable825[[#This Row],[asofdate]],M:N,2,0)</f>
        <v>0</v>
      </c>
      <c r="F201" s="93">
        <f ca="1">VLOOKUP(CurrentMtgRatesDataTable825[[#This Row],[asofdate]]+1,Bloomberg!B:C,2,0)</f>
        <v>4779.1000000000004</v>
      </c>
      <c r="I201" s="115">
        <v>41158</v>
      </c>
      <c r="J201" s="130">
        <v>0.88336087799999996</v>
      </c>
      <c r="M201" s="115">
        <v>41158</v>
      </c>
      <c r="N201" s="130">
        <v>0</v>
      </c>
      <c r="O201" s="130"/>
      <c r="P201" s="130"/>
      <c r="Q201" s="115">
        <v>41158</v>
      </c>
      <c r="R201" s="130">
        <v>0.88326700709999995</v>
      </c>
      <c r="T201"/>
    </row>
    <row r="202" spans="2:20">
      <c r="B202" s="91">
        <v>41151</v>
      </c>
      <c r="C202" s="92">
        <v>0.92614215509999998</v>
      </c>
      <c r="D202" s="92">
        <f>VLOOKUP(CurrentMtgRatesDataTable825[[#This Row],[asofdate]],I:J,2,0)</f>
        <v>0.89044873329999996</v>
      </c>
      <c r="E202" s="92">
        <f>VLOOKUP(CurrentMtgRatesDataTable825[[#This Row],[asofdate]],M:N,2,0)</f>
        <v>0</v>
      </c>
      <c r="F202" s="93">
        <f ca="1">VLOOKUP(CurrentMtgRatesDataTable825[[#This Row],[asofdate]]+1,Bloomberg!B:C,2,0)</f>
        <v>4274.8</v>
      </c>
      <c r="I202" s="115">
        <v>41151</v>
      </c>
      <c r="J202" s="130">
        <v>0.89044873329999996</v>
      </c>
      <c r="M202" s="115">
        <v>41151</v>
      </c>
      <c r="N202" s="130">
        <v>0</v>
      </c>
      <c r="O202" s="130"/>
      <c r="P202" s="130"/>
      <c r="Q202" s="115">
        <v>41151</v>
      </c>
      <c r="R202" s="130">
        <v>0.89042659729999996</v>
      </c>
      <c r="T202"/>
    </row>
    <row r="203" spans="2:20">
      <c r="B203" s="91">
        <v>41144</v>
      </c>
      <c r="C203" s="92">
        <v>0.90777467359999997</v>
      </c>
      <c r="D203" s="92">
        <f>VLOOKUP(CurrentMtgRatesDataTable825[[#This Row],[asofdate]],I:J,2,0)</f>
        <v>0.86385856969999997</v>
      </c>
      <c r="E203" s="92">
        <f>VLOOKUP(CurrentMtgRatesDataTable825[[#This Row],[asofdate]],M:N,2,0)</f>
        <v>0</v>
      </c>
      <c r="F203" s="93">
        <f ca="1">VLOOKUP(CurrentMtgRatesDataTable825[[#This Row],[asofdate]]+1,Bloomberg!B:C,2,0)</f>
        <v>4414.6000000000004</v>
      </c>
      <c r="I203" s="115">
        <v>41144</v>
      </c>
      <c r="J203" s="130">
        <v>0.86385856969999997</v>
      </c>
      <c r="M203" s="115">
        <v>41144</v>
      </c>
      <c r="N203" s="130">
        <v>0</v>
      </c>
      <c r="O203" s="130"/>
      <c r="P203" s="130"/>
      <c r="Q203" s="115">
        <v>41144</v>
      </c>
      <c r="R203" s="130">
        <v>0.86383307760000005</v>
      </c>
      <c r="T203"/>
    </row>
    <row r="204" spans="2:20">
      <c r="B204" s="91">
        <v>41137</v>
      </c>
      <c r="C204" s="92">
        <v>0.92191374270000004</v>
      </c>
      <c r="D204" s="92">
        <f>VLOOKUP(CurrentMtgRatesDataTable825[[#This Row],[asofdate]],I:J,2,0)</f>
        <v>0.87702114900000017</v>
      </c>
      <c r="E204" s="92">
        <f>VLOOKUP(CurrentMtgRatesDataTable825[[#This Row],[asofdate]],M:N,2,0)</f>
        <v>0</v>
      </c>
      <c r="F204" s="93">
        <f ca="1">VLOOKUP(CurrentMtgRatesDataTable825[[#This Row],[asofdate]]+1,Bloomberg!B:C,2,0)</f>
        <v>4671.1000000000004</v>
      </c>
      <c r="I204" s="115">
        <v>41137</v>
      </c>
      <c r="J204" s="130">
        <v>0.87702114900000017</v>
      </c>
      <c r="M204" s="115">
        <v>41137</v>
      </c>
      <c r="N204" s="130">
        <v>0</v>
      </c>
      <c r="O204" s="130"/>
      <c r="P204" s="130"/>
      <c r="Q204" s="115">
        <v>41137</v>
      </c>
      <c r="R204" s="130">
        <v>0.87699596440000005</v>
      </c>
      <c r="T204"/>
    </row>
    <row r="205" spans="2:20">
      <c r="B205" s="91">
        <v>41130</v>
      </c>
      <c r="C205" s="92">
        <v>0.92614215509999998</v>
      </c>
      <c r="D205" s="92">
        <f>VLOOKUP(CurrentMtgRatesDataTable825[[#This Row],[asofdate]],I:J,2,0)</f>
        <v>0.89044873329999996</v>
      </c>
      <c r="E205" s="92">
        <f>VLOOKUP(CurrentMtgRatesDataTable825[[#This Row],[asofdate]],M:N,2,0)</f>
        <v>0</v>
      </c>
      <c r="F205" s="93">
        <f ca="1">VLOOKUP(CurrentMtgRatesDataTable825[[#This Row],[asofdate]]+1,Bloomberg!B:C,2,0)</f>
        <v>5172.2</v>
      </c>
      <c r="I205" s="115">
        <v>41130</v>
      </c>
      <c r="J205" s="130">
        <v>0.89044873329999996</v>
      </c>
      <c r="M205" s="115">
        <v>41130</v>
      </c>
      <c r="N205" s="130">
        <v>0</v>
      </c>
      <c r="O205" s="130"/>
      <c r="P205" s="130"/>
      <c r="Q205" s="115">
        <v>41130</v>
      </c>
      <c r="R205" s="130">
        <v>0.89042659729999996</v>
      </c>
      <c r="T205"/>
    </row>
    <row r="206" spans="2:20">
      <c r="B206" s="91">
        <v>41123</v>
      </c>
      <c r="C206" s="92">
        <v>0.92974026580000002</v>
      </c>
      <c r="D206" s="92">
        <f>VLOOKUP(CurrentMtgRatesDataTable825[[#This Row],[asofdate]],I:J,2,0)</f>
        <v>0.89176466350000005</v>
      </c>
      <c r="E206" s="92">
        <f>VLOOKUP(CurrentMtgRatesDataTable825[[#This Row],[asofdate]],M:N,2,0)</f>
        <v>0</v>
      </c>
      <c r="F206" s="93">
        <f ca="1">VLOOKUP(CurrentMtgRatesDataTable825[[#This Row],[asofdate]]+1,Bloomberg!B:C,2,0)</f>
        <v>5444.3</v>
      </c>
      <c r="I206" s="115">
        <v>41123</v>
      </c>
      <c r="J206" s="130">
        <v>0.89176466350000005</v>
      </c>
      <c r="M206" s="115">
        <v>41123</v>
      </c>
      <c r="N206" s="130">
        <v>0</v>
      </c>
      <c r="O206" s="130"/>
      <c r="P206" s="130"/>
      <c r="Q206" s="115">
        <v>41123</v>
      </c>
      <c r="R206" s="130">
        <v>0.89163810899999996</v>
      </c>
      <c r="T206"/>
    </row>
    <row r="207" spans="2:20">
      <c r="B207" s="91">
        <v>41116</v>
      </c>
      <c r="C207" s="92">
        <v>0.96472332770000002</v>
      </c>
      <c r="D207" s="92">
        <f>VLOOKUP(CurrentMtgRatesDataTable825[[#This Row],[asofdate]],I:J,2,0)</f>
        <v>0.9159699536</v>
      </c>
      <c r="E207" s="92">
        <f>VLOOKUP(CurrentMtgRatesDataTable825[[#This Row],[asofdate]],M:N,2,0)</f>
        <v>0.91595412320000003</v>
      </c>
      <c r="F207" s="93">
        <f ca="1">VLOOKUP(CurrentMtgRatesDataTable825[[#This Row],[asofdate]]+1,Bloomberg!B:C,2,0)</f>
        <v>5492.1</v>
      </c>
      <c r="I207" s="115">
        <v>41116</v>
      </c>
      <c r="J207" s="130">
        <v>0.9159699536</v>
      </c>
      <c r="M207" s="115">
        <v>41116</v>
      </c>
      <c r="N207" s="130">
        <v>0.91595412320000003</v>
      </c>
      <c r="O207" s="130"/>
      <c r="P207" s="130"/>
      <c r="Q207" s="115">
        <v>41116</v>
      </c>
      <c r="R207" s="130">
        <v>0.91595412320000003</v>
      </c>
      <c r="T207"/>
    </row>
    <row r="208" spans="2:20">
      <c r="B208" s="91">
        <v>41109</v>
      </c>
      <c r="C208" s="92">
        <v>0.94931230209999995</v>
      </c>
      <c r="D208" s="92">
        <f>VLOOKUP(CurrentMtgRatesDataTable825[[#This Row],[asofdate]],I:J,2,0)</f>
        <v>0.90463870229999999</v>
      </c>
      <c r="E208" s="92">
        <f>VLOOKUP(CurrentMtgRatesDataTable825[[#This Row],[asofdate]],M:N,2,0)</f>
        <v>0.90462039660000004</v>
      </c>
      <c r="F208" s="93">
        <f ca="1">VLOOKUP(CurrentMtgRatesDataTable825[[#This Row],[asofdate]]+1,Bloomberg!B:C,2,0)</f>
        <v>5383.1</v>
      </c>
      <c r="I208" s="115">
        <v>41109</v>
      </c>
      <c r="J208" s="130">
        <v>0.90463870229999999</v>
      </c>
      <c r="M208" s="115">
        <v>41109</v>
      </c>
      <c r="N208" s="130">
        <v>0.90462039660000004</v>
      </c>
      <c r="O208" s="130"/>
      <c r="P208" s="130"/>
      <c r="Q208" s="115">
        <v>41109</v>
      </c>
      <c r="R208" s="130">
        <v>0.90462039660000004</v>
      </c>
      <c r="T208"/>
    </row>
    <row r="209" spans="2:20">
      <c r="B209" s="91">
        <v>41102</v>
      </c>
      <c r="C209" s="92">
        <v>0.94357465549999997</v>
      </c>
      <c r="D209" s="92">
        <f>VLOOKUP(CurrentMtgRatesDataTable825[[#This Row],[asofdate]],I:J,2,0)</f>
        <v>0.90263301100000004</v>
      </c>
      <c r="E209" s="92">
        <f>VLOOKUP(CurrentMtgRatesDataTable825[[#This Row],[asofdate]],M:N,2,0)</f>
        <v>0.90261395929999999</v>
      </c>
      <c r="F209" s="93">
        <f ca="1">VLOOKUP(CurrentMtgRatesDataTable825[[#This Row],[asofdate]]+1,Bloomberg!B:C,2,0)</f>
        <v>5246.8</v>
      </c>
      <c r="I209" s="115">
        <v>41102</v>
      </c>
      <c r="J209" s="130">
        <v>0.90263301100000004</v>
      </c>
      <c r="M209" s="115">
        <v>41102</v>
      </c>
      <c r="N209" s="130">
        <v>0.90261395929999999</v>
      </c>
      <c r="O209" s="130"/>
      <c r="P209" s="130"/>
      <c r="Q209" s="115">
        <v>41102</v>
      </c>
      <c r="R209" s="130">
        <v>0.90261395929999999</v>
      </c>
      <c r="T209"/>
    </row>
    <row r="210" spans="2:20">
      <c r="B210" s="91">
        <v>41095</v>
      </c>
      <c r="C210" s="92">
        <v>0.92555007190000005</v>
      </c>
      <c r="D210" s="92">
        <f>VLOOKUP(CurrentMtgRatesDataTable825[[#This Row],[asofdate]],I:J,2,0)</f>
        <v>0.87835773870000011</v>
      </c>
      <c r="E210" s="92">
        <f>VLOOKUP(CurrentMtgRatesDataTable825[[#This Row],[asofdate]],M:N,2,0)</f>
        <v>0.87826553819999997</v>
      </c>
      <c r="F210" s="93">
        <f ca="1">VLOOKUP(CurrentMtgRatesDataTable825[[#This Row],[asofdate]]+1,Bloomberg!B:C,2,0)</f>
        <v>4267.8999999999996</v>
      </c>
      <c r="I210" s="115">
        <v>41095</v>
      </c>
      <c r="J210" s="130">
        <v>0.87835773870000011</v>
      </c>
      <c r="M210" s="115">
        <v>41095</v>
      </c>
      <c r="N210" s="130">
        <v>0.87826553819999997</v>
      </c>
      <c r="O210" s="130"/>
      <c r="P210" s="130"/>
      <c r="Q210" s="115">
        <v>41095</v>
      </c>
      <c r="R210" s="130">
        <v>0.87826553819999997</v>
      </c>
      <c r="T210"/>
    </row>
    <row r="211" spans="2:20">
      <c r="B211" s="91">
        <v>41088</v>
      </c>
      <c r="C211" s="92">
        <v>0.9311727138</v>
      </c>
      <c r="D211" s="92">
        <f>VLOOKUP(CurrentMtgRatesDataTable825[[#This Row],[asofdate]],I:J,2,0)</f>
        <v>0.87682347260000015</v>
      </c>
      <c r="E211" s="92">
        <f>VLOOKUP(CurrentMtgRatesDataTable825[[#This Row],[asofdate]],M:N,2,0)</f>
        <v>0</v>
      </c>
      <c r="F211" s="93">
        <f ca="1">VLOOKUP(CurrentMtgRatesDataTable825[[#This Row],[asofdate]]+1,Bloomberg!B:C,2,0)</f>
        <v>4372.2</v>
      </c>
      <c r="I211" s="115">
        <v>41088</v>
      </c>
      <c r="J211" s="130">
        <v>0.87682347260000015</v>
      </c>
      <c r="M211" s="115">
        <v>41088</v>
      </c>
      <c r="N211" s="130">
        <v>0</v>
      </c>
      <c r="O211" s="130"/>
      <c r="P211" s="130"/>
      <c r="Q211" s="115">
        <v>41088</v>
      </c>
      <c r="R211" s="130">
        <v>0.87680139130000012</v>
      </c>
      <c r="T211"/>
    </row>
    <row r="212" spans="2:20">
      <c r="B212" s="91">
        <v>41081</v>
      </c>
      <c r="C212" s="92">
        <v>0.9311727138</v>
      </c>
      <c r="D212" s="92">
        <f>VLOOKUP(CurrentMtgRatesDataTable825[[#This Row],[asofdate]],I:J,2,0)</f>
        <v>0.87682347260000015</v>
      </c>
      <c r="E212" s="92">
        <f>VLOOKUP(CurrentMtgRatesDataTable825[[#This Row],[asofdate]],M:N,2,0)</f>
        <v>0.87680139130000012</v>
      </c>
      <c r="F212" s="93">
        <f ca="1">VLOOKUP(CurrentMtgRatesDataTable825[[#This Row],[asofdate]]+1,Bloomberg!B:C,2,0)</f>
        <v>4585.8</v>
      </c>
      <c r="I212" s="115">
        <v>41081</v>
      </c>
      <c r="J212" s="130">
        <v>0.87682347260000015</v>
      </c>
      <c r="M212" s="115">
        <v>41081</v>
      </c>
      <c r="N212" s="130">
        <v>0.87680139130000012</v>
      </c>
      <c r="O212" s="130"/>
      <c r="P212" s="130"/>
      <c r="Q212" s="115">
        <v>41081</v>
      </c>
      <c r="R212" s="130">
        <v>0.87680139130000012</v>
      </c>
      <c r="T212"/>
    </row>
    <row r="213" spans="2:20">
      <c r="B213" s="91">
        <v>41074</v>
      </c>
      <c r="C213" s="92">
        <v>0.9257422542</v>
      </c>
      <c r="D213" s="92">
        <f>VLOOKUP(CurrentMtgRatesDataTable825[[#This Row],[asofdate]],I:J,2,0)</f>
        <v>0.86092016650000003</v>
      </c>
      <c r="E213" s="92">
        <f>VLOOKUP(CurrentMtgRatesDataTable825[[#This Row],[asofdate]],M:N,2,0)</f>
        <v>0</v>
      </c>
      <c r="F213" s="93">
        <f ca="1">VLOOKUP(CurrentMtgRatesDataTable825[[#This Row],[asofdate]]+1,Bloomberg!B:C,2,0)</f>
        <v>4719.6000000000004</v>
      </c>
      <c r="I213" s="115">
        <v>41074</v>
      </c>
      <c r="J213" s="130">
        <v>0.86092016650000003</v>
      </c>
      <c r="M213" s="115">
        <v>41074</v>
      </c>
      <c r="N213" s="130">
        <v>0</v>
      </c>
      <c r="O213" s="130"/>
      <c r="P213" s="130"/>
      <c r="Q213" s="115">
        <v>41074</v>
      </c>
      <c r="R213" s="130">
        <v>0.86089525339999995</v>
      </c>
      <c r="T213"/>
    </row>
    <row r="214" spans="2:20">
      <c r="B214" s="91">
        <v>41067</v>
      </c>
      <c r="C214" s="92">
        <v>0.93002670949999999</v>
      </c>
      <c r="D214" s="92">
        <f>VLOOKUP(CurrentMtgRatesDataTable825[[#This Row],[asofdate]],I:J,2,0)</f>
        <v>0.87650509779999997</v>
      </c>
      <c r="E214" s="92">
        <f>VLOOKUP(CurrentMtgRatesDataTable825[[#This Row],[asofdate]],M:N,2,0)</f>
        <v>0.87641126130000013</v>
      </c>
      <c r="F214" s="93">
        <f ca="1">VLOOKUP(CurrentMtgRatesDataTable825[[#This Row],[asofdate]]+1,Bloomberg!B:C,2,0)</f>
        <v>5590</v>
      </c>
      <c r="I214" s="115">
        <v>41067</v>
      </c>
      <c r="J214" s="130">
        <v>0.87650509779999997</v>
      </c>
      <c r="M214" s="115">
        <v>41067</v>
      </c>
      <c r="N214" s="130">
        <v>0.87641126130000013</v>
      </c>
      <c r="O214" s="130"/>
      <c r="P214" s="130"/>
      <c r="Q214" s="115">
        <v>41067</v>
      </c>
      <c r="R214" s="130">
        <v>0.87641126130000013</v>
      </c>
      <c r="T214"/>
    </row>
    <row r="215" spans="2:20">
      <c r="B215" s="91">
        <v>41060</v>
      </c>
      <c r="C215" s="92">
        <v>0.93017900080000004</v>
      </c>
      <c r="D215" s="92">
        <f>VLOOKUP(CurrentMtgRatesDataTable825[[#This Row],[asofdate]],I:J,2,0)</f>
        <v>0.83986035569999995</v>
      </c>
      <c r="E215" s="92">
        <f>VLOOKUP(CurrentMtgRatesDataTable825[[#This Row],[asofdate]],M:N,2,0)</f>
        <v>0.83983334480000005</v>
      </c>
      <c r="F215" s="93">
        <f ca="1">VLOOKUP(CurrentMtgRatesDataTable825[[#This Row],[asofdate]]+1,Bloomberg!B:C,2,0)</f>
        <v>4736</v>
      </c>
      <c r="I215" s="115">
        <v>41060</v>
      </c>
      <c r="J215" s="130">
        <v>0.83986035569999995</v>
      </c>
      <c r="M215" s="115">
        <v>41060</v>
      </c>
      <c r="N215" s="130">
        <v>0.83983334480000005</v>
      </c>
      <c r="O215" s="130"/>
      <c r="P215" s="130"/>
      <c r="Q215" s="115">
        <v>41060</v>
      </c>
      <c r="R215" s="130">
        <v>0.83983334480000005</v>
      </c>
      <c r="T215"/>
    </row>
    <row r="216" spans="2:20">
      <c r="B216" s="91">
        <v>41053</v>
      </c>
      <c r="C216" s="92">
        <v>0.92576029410000005</v>
      </c>
      <c r="D216" s="92">
        <f>VLOOKUP(CurrentMtgRatesDataTable825[[#This Row],[asofdate]],I:J,2,0)</f>
        <v>0.83690507839999995</v>
      </c>
      <c r="E216" s="92">
        <f>VLOOKUP(CurrentMtgRatesDataTable825[[#This Row],[asofdate]],M:N,2,0)</f>
        <v>0</v>
      </c>
      <c r="F216" s="93">
        <f ca="1">VLOOKUP(CurrentMtgRatesDataTable825[[#This Row],[asofdate]]+1,Bloomberg!B:C,2,0)</f>
        <v>4675.8999999999996</v>
      </c>
      <c r="I216" s="115">
        <v>41053</v>
      </c>
      <c r="J216" s="130">
        <v>0.83690507839999995</v>
      </c>
      <c r="M216" s="115">
        <v>41053</v>
      </c>
      <c r="N216" s="130">
        <v>0</v>
      </c>
      <c r="O216" s="130"/>
      <c r="P216" s="130"/>
      <c r="Q216" s="115">
        <v>41053</v>
      </c>
      <c r="R216" s="130">
        <v>0.8368782226</v>
      </c>
      <c r="T216"/>
    </row>
    <row r="217" spans="2:20">
      <c r="B217" s="91">
        <v>41046</v>
      </c>
      <c r="C217" s="92">
        <v>0.9281576024</v>
      </c>
      <c r="D217" s="92">
        <f>VLOOKUP(CurrentMtgRatesDataTable825[[#This Row],[asofdate]],I:J,2,0)</f>
        <v>0.83832866309999998</v>
      </c>
      <c r="E217" s="92">
        <f>VLOOKUP(CurrentMtgRatesDataTable825[[#This Row],[asofdate]],M:N,2,0)</f>
        <v>0.83830150820000005</v>
      </c>
      <c r="F217" s="93">
        <f ca="1">VLOOKUP(CurrentMtgRatesDataTable825[[#This Row],[asofdate]]+1,Bloomberg!B:C,2,0)</f>
        <v>4732</v>
      </c>
      <c r="I217" s="115">
        <v>41046</v>
      </c>
      <c r="J217" s="130">
        <v>0.83832866309999998</v>
      </c>
      <c r="M217" s="115">
        <v>41046</v>
      </c>
      <c r="N217" s="130">
        <v>0.83830150820000005</v>
      </c>
      <c r="O217" s="130"/>
      <c r="P217" s="130"/>
      <c r="Q217" s="115">
        <v>41046</v>
      </c>
      <c r="R217" s="130">
        <v>0.83830150820000005</v>
      </c>
      <c r="T217"/>
    </row>
    <row r="218" spans="2:20">
      <c r="B218" s="91">
        <v>41039</v>
      </c>
      <c r="C218" s="92">
        <v>0.9223358317</v>
      </c>
      <c r="D218" s="92">
        <f>VLOOKUP(CurrentMtgRatesDataTable825[[#This Row],[asofdate]],I:J,2,0)</f>
        <v>0.81733943220000005</v>
      </c>
      <c r="E218" s="92">
        <f>VLOOKUP(CurrentMtgRatesDataTable825[[#This Row],[asofdate]],M:N,2,0)</f>
        <v>0.81730839639999997</v>
      </c>
      <c r="F218" s="93">
        <f ca="1">VLOOKUP(CurrentMtgRatesDataTable825[[#This Row],[asofdate]]+1,Bloomberg!B:C,2,0)</f>
        <v>4482</v>
      </c>
      <c r="I218" s="115">
        <v>41039</v>
      </c>
      <c r="J218" s="130">
        <v>0.81733943220000005</v>
      </c>
      <c r="M218" s="115">
        <v>41039</v>
      </c>
      <c r="N218" s="130">
        <v>0.81730839639999997</v>
      </c>
      <c r="O218" s="130"/>
      <c r="P218" s="130"/>
      <c r="Q218" s="115">
        <v>41039</v>
      </c>
      <c r="R218" s="130">
        <v>0.81730839639999997</v>
      </c>
      <c r="T218"/>
    </row>
    <row r="219" spans="2:20">
      <c r="B219" s="91">
        <v>41032</v>
      </c>
      <c r="C219" s="92">
        <v>0.91391156110000005</v>
      </c>
      <c r="D219" s="92">
        <f>VLOOKUP(CurrentMtgRatesDataTable825[[#This Row],[asofdate]],I:J,2,0)</f>
        <v>0.81132074830000001</v>
      </c>
      <c r="E219" s="92">
        <f>VLOOKUP(CurrentMtgRatesDataTable825[[#This Row],[asofdate]],M:N,2,0)</f>
        <v>0.81120579599999998</v>
      </c>
      <c r="F219" s="93">
        <f ca="1">VLOOKUP(CurrentMtgRatesDataTable825[[#This Row],[asofdate]]+1,Bloomberg!B:C,2,0)</f>
        <v>3924.4</v>
      </c>
      <c r="I219" s="115">
        <v>41032</v>
      </c>
      <c r="J219" s="130">
        <v>0.81132074830000001</v>
      </c>
      <c r="M219" s="115">
        <v>41032</v>
      </c>
      <c r="N219" s="130">
        <v>0.81120579599999998</v>
      </c>
      <c r="O219" s="130"/>
      <c r="P219" s="130"/>
      <c r="Q219" s="115">
        <v>41032</v>
      </c>
      <c r="R219" s="130">
        <v>0.81120579599999998</v>
      </c>
      <c r="T219"/>
    </row>
    <row r="220" spans="2:20">
      <c r="B220" s="91">
        <v>41025</v>
      </c>
      <c r="C220" s="92">
        <v>0.91450049570000003</v>
      </c>
      <c r="D220" s="92">
        <f>VLOOKUP(CurrentMtgRatesDataTable825[[#This Row],[asofdate]],I:J,2,0)</f>
        <v>0.8034289067</v>
      </c>
      <c r="E220" s="92">
        <f>VLOOKUP(CurrentMtgRatesDataTable825[[#This Row],[asofdate]],M:N,2,0)</f>
        <v>0</v>
      </c>
      <c r="F220" s="93">
        <f ca="1">VLOOKUP(CurrentMtgRatesDataTable825[[#This Row],[asofdate]]+1,Bloomberg!B:C,2,0)</f>
        <v>3856</v>
      </c>
      <c r="I220" s="115">
        <v>41025</v>
      </c>
      <c r="J220" s="130">
        <v>0.8034289067</v>
      </c>
      <c r="M220" s="115">
        <v>41025</v>
      </c>
      <c r="N220" s="130">
        <v>0</v>
      </c>
      <c r="O220" s="130"/>
      <c r="P220" s="130"/>
      <c r="Q220" s="115">
        <v>41025</v>
      </c>
      <c r="R220" s="130">
        <v>0.80339735970000004</v>
      </c>
      <c r="T220"/>
    </row>
    <row r="221" spans="2:20">
      <c r="B221" s="91">
        <v>41018</v>
      </c>
      <c r="C221" s="92">
        <v>0.88678583040000003</v>
      </c>
      <c r="D221" s="92">
        <f>VLOOKUP(CurrentMtgRatesDataTable825[[#This Row],[asofdate]],I:J,2,0)</f>
        <v>0.78677306449999995</v>
      </c>
      <c r="E221" s="92">
        <f>VLOOKUP(CurrentMtgRatesDataTable825[[#This Row],[asofdate]],M:N,2,0)</f>
        <v>0</v>
      </c>
      <c r="F221" s="93">
        <f ca="1">VLOOKUP(CurrentMtgRatesDataTable825[[#This Row],[asofdate]]+1,Bloomberg!B:C,2,0)</f>
        <v>3892.2</v>
      </c>
      <c r="I221" s="115">
        <v>41018</v>
      </c>
      <c r="J221" s="130">
        <v>0.78677306449999995</v>
      </c>
      <c r="M221" s="115">
        <v>41018</v>
      </c>
      <c r="N221" s="130">
        <v>0</v>
      </c>
      <c r="O221" s="130"/>
      <c r="P221" s="130"/>
      <c r="Q221" s="115">
        <v>41018</v>
      </c>
      <c r="R221" s="130">
        <v>0.7867426193</v>
      </c>
      <c r="T221"/>
    </row>
    <row r="222" spans="2:20">
      <c r="B222" s="91">
        <v>41011</v>
      </c>
      <c r="C222" s="92">
        <v>0.91450049570000003</v>
      </c>
      <c r="D222" s="92">
        <f>VLOOKUP(CurrentMtgRatesDataTable825[[#This Row],[asofdate]],I:J,2,0)</f>
        <v>0.8034289067</v>
      </c>
      <c r="E222" s="92">
        <f>VLOOKUP(CurrentMtgRatesDataTable825[[#This Row],[asofdate]],M:N,2,0)</f>
        <v>0.80339735970000004</v>
      </c>
      <c r="F222" s="93">
        <f ca="1">VLOOKUP(CurrentMtgRatesDataTable825[[#This Row],[asofdate]]+1,Bloomberg!B:C,2,0)</f>
        <v>4144.3</v>
      </c>
      <c r="I222" s="115">
        <v>41011</v>
      </c>
      <c r="J222" s="130">
        <v>0.8034289067</v>
      </c>
      <c r="M222" s="115">
        <v>41011</v>
      </c>
      <c r="N222" s="130">
        <v>0.80339735970000004</v>
      </c>
      <c r="O222" s="130"/>
      <c r="P222" s="130"/>
      <c r="Q222" s="115">
        <v>41011</v>
      </c>
      <c r="R222" s="130">
        <v>0.80339735970000004</v>
      </c>
      <c r="T222"/>
    </row>
    <row r="223" spans="2:20">
      <c r="B223" s="91">
        <v>41004</v>
      </c>
      <c r="C223" s="92">
        <v>0.86090378059999995</v>
      </c>
      <c r="D223" s="92">
        <f>VLOOKUP(CurrentMtgRatesDataTable825[[#This Row],[asofdate]],I:J,2,0)</f>
        <v>0.76447569309999996</v>
      </c>
      <c r="E223" s="92">
        <f>VLOOKUP(CurrentMtgRatesDataTable825[[#This Row],[asofdate]],M:N,2,0)</f>
        <v>0</v>
      </c>
      <c r="F223" s="93">
        <f ca="1">VLOOKUP(CurrentMtgRatesDataTable825[[#This Row],[asofdate]]+1,Bloomberg!B:C,2,0)</f>
        <v>3549.3</v>
      </c>
      <c r="I223" s="115">
        <v>41004</v>
      </c>
      <c r="J223" s="130">
        <v>0.76447569309999996</v>
      </c>
      <c r="M223" s="115">
        <v>41004</v>
      </c>
      <c r="N223" s="130">
        <v>0</v>
      </c>
      <c r="O223" s="130"/>
      <c r="P223" s="130"/>
      <c r="Q223" s="115">
        <v>41004</v>
      </c>
      <c r="R223" s="130">
        <v>1.7660772999999999E-3</v>
      </c>
      <c r="T223"/>
    </row>
    <row r="224" spans="2:20">
      <c r="B224" s="91">
        <v>40997</v>
      </c>
      <c r="C224" s="92">
        <v>0.87346071420000015</v>
      </c>
      <c r="D224" s="92">
        <f>VLOOKUP(CurrentMtgRatesDataTable825[[#This Row],[asofdate]],I:J,2,0)</f>
        <v>0.76999415959999995</v>
      </c>
      <c r="E224" s="92">
        <f>VLOOKUP(CurrentMtgRatesDataTable825[[#This Row],[asofdate]],M:N,2,0)</f>
        <v>0</v>
      </c>
      <c r="F224" s="93">
        <f ca="1">VLOOKUP(CurrentMtgRatesDataTable825[[#This Row],[asofdate]]+1,Bloomberg!B:C,2,0)</f>
        <v>3699.5</v>
      </c>
      <c r="I224" s="115">
        <v>40997</v>
      </c>
      <c r="J224" s="130">
        <v>0.76999415959999995</v>
      </c>
      <c r="M224" s="115">
        <v>40997</v>
      </c>
      <c r="N224" s="130">
        <v>0</v>
      </c>
      <c r="O224" s="130"/>
      <c r="P224" s="130"/>
      <c r="Q224" s="115">
        <v>40997</v>
      </c>
      <c r="R224" s="130">
        <v>1.0400513000000001E-3</v>
      </c>
      <c r="T224"/>
    </row>
    <row r="225" spans="2:20">
      <c r="B225" s="91">
        <v>40990</v>
      </c>
      <c r="C225" s="92">
        <v>0.82287769379999998</v>
      </c>
      <c r="D225" s="92">
        <f>VLOOKUP(CurrentMtgRatesDataTable825[[#This Row],[asofdate]],I:J,2,0)</f>
        <v>0.72909925509999995</v>
      </c>
      <c r="E225" s="92">
        <f>VLOOKUP(CurrentMtgRatesDataTable825[[#This Row],[asofdate]],M:N,2,0)</f>
        <v>0</v>
      </c>
      <c r="F225" s="93">
        <f ca="1">VLOOKUP(CurrentMtgRatesDataTable825[[#This Row],[asofdate]]+1,Bloomberg!B:C,2,0)</f>
        <v>3588.4</v>
      </c>
      <c r="I225" s="115">
        <v>40990</v>
      </c>
      <c r="J225" s="130">
        <v>0.72909925509999995</v>
      </c>
      <c r="M225" s="115">
        <v>40990</v>
      </c>
      <c r="N225" s="130">
        <v>0</v>
      </c>
      <c r="O225" s="130"/>
      <c r="P225" s="130"/>
      <c r="Q225" s="115">
        <v>40990</v>
      </c>
      <c r="R225" s="130">
        <v>4.8803479999999998E-4</v>
      </c>
      <c r="T225"/>
    </row>
    <row r="226" spans="2:20">
      <c r="B226" s="91">
        <v>40983</v>
      </c>
      <c r="C226" s="92">
        <v>0.89619507860000003</v>
      </c>
      <c r="D226" s="92">
        <f>VLOOKUP(CurrentMtgRatesDataTable825[[#This Row],[asofdate]],I:J,2,0)</f>
        <v>0.79237017499999995</v>
      </c>
      <c r="E226" s="92">
        <f>VLOOKUP(CurrentMtgRatesDataTable825[[#This Row],[asofdate]],M:N,2,0)</f>
        <v>0</v>
      </c>
      <c r="F226" s="93">
        <f ca="1">VLOOKUP(CurrentMtgRatesDataTable825[[#This Row],[asofdate]]+1,Bloomberg!B:C,2,0)</f>
        <v>3715.2</v>
      </c>
      <c r="I226" s="115">
        <v>40983</v>
      </c>
      <c r="J226" s="130">
        <v>0.79237017499999995</v>
      </c>
      <c r="M226" s="115">
        <v>40983</v>
      </c>
      <c r="N226" s="130">
        <v>0</v>
      </c>
      <c r="O226" s="130"/>
      <c r="P226" s="130"/>
      <c r="Q226" s="115">
        <v>40983</v>
      </c>
      <c r="R226" s="130">
        <v>0.79234198489999996</v>
      </c>
      <c r="T226"/>
    </row>
    <row r="227" spans="2:20">
      <c r="B227" s="91">
        <v>40976</v>
      </c>
      <c r="C227" s="92">
        <v>0.91423594050000001</v>
      </c>
      <c r="D227" s="92">
        <f>VLOOKUP(CurrentMtgRatesDataTable825[[#This Row],[asofdate]],I:J,2,0)</f>
        <v>0.79525017919999996</v>
      </c>
      <c r="E227" s="92">
        <f>VLOOKUP(CurrentMtgRatesDataTable825[[#This Row],[asofdate]],M:N,2,0)</f>
        <v>2.1742500000000004E-5</v>
      </c>
      <c r="F227" s="93">
        <f ca="1">VLOOKUP(CurrentMtgRatesDataTable825[[#This Row],[asofdate]]+1,Bloomberg!B:C,2,0)</f>
        <v>4063.4</v>
      </c>
      <c r="I227" s="115">
        <v>40976</v>
      </c>
      <c r="J227" s="130">
        <v>0.79525017919999996</v>
      </c>
      <c r="M227" s="115">
        <v>40976</v>
      </c>
      <c r="N227" s="130">
        <v>2.1742500000000004E-5</v>
      </c>
      <c r="O227" s="130"/>
      <c r="P227" s="130"/>
      <c r="Q227" s="115">
        <v>40976</v>
      </c>
      <c r="R227" s="130">
        <v>0.79522232680000005</v>
      </c>
      <c r="T227"/>
    </row>
    <row r="228" spans="2:20">
      <c r="B228" s="91">
        <v>40969</v>
      </c>
      <c r="C228" s="92">
        <v>0.90460748329999996</v>
      </c>
      <c r="D228" s="92">
        <f>VLOOKUP(CurrentMtgRatesDataTable825[[#This Row],[asofdate]],I:J,2,0)</f>
        <v>0.79406819989999999</v>
      </c>
      <c r="E228" s="92">
        <f>VLOOKUP(CurrentMtgRatesDataTable825[[#This Row],[asofdate]],M:N,2,0)</f>
        <v>0</v>
      </c>
      <c r="F228" s="93">
        <f ca="1">VLOOKUP(CurrentMtgRatesDataTable825[[#This Row],[asofdate]]+1,Bloomberg!B:C,2,0)</f>
        <v>4277.6000000000004</v>
      </c>
      <c r="I228" s="115">
        <v>40969</v>
      </c>
      <c r="J228" s="130">
        <v>0.79406819989999999</v>
      </c>
      <c r="M228" s="115">
        <v>40969</v>
      </c>
      <c r="N228" s="130">
        <v>0</v>
      </c>
      <c r="O228" s="130"/>
      <c r="P228" s="130"/>
      <c r="Q228" s="115">
        <v>40969</v>
      </c>
      <c r="R228" s="130">
        <v>0.79401839910000005</v>
      </c>
      <c r="T228"/>
    </row>
    <row r="229" spans="2:20">
      <c r="B229" s="91">
        <v>40962</v>
      </c>
      <c r="C229" s="92">
        <v>0.89783619709999996</v>
      </c>
      <c r="D229" s="92">
        <f>VLOOKUP(CurrentMtgRatesDataTable825[[#This Row],[asofdate]],I:J,2,0)</f>
        <v>0.78677879350000002</v>
      </c>
      <c r="E229" s="92">
        <f>VLOOKUP(CurrentMtgRatesDataTable825[[#This Row],[asofdate]],M:N,2,0)</f>
        <v>0</v>
      </c>
      <c r="F229" s="93">
        <f ca="1">VLOOKUP(CurrentMtgRatesDataTable825[[#This Row],[asofdate]]+1,Bloomberg!B:C,2,0)</f>
        <v>4379.1000000000004</v>
      </c>
      <c r="I229" s="115">
        <v>40962</v>
      </c>
      <c r="J229" s="130">
        <v>0.78677879350000002</v>
      </c>
      <c r="M229" s="115">
        <v>40962</v>
      </c>
      <c r="N229" s="130">
        <v>0</v>
      </c>
      <c r="O229" s="130"/>
      <c r="P229" s="130"/>
      <c r="Q229" s="115">
        <v>40962</v>
      </c>
      <c r="R229" s="130">
        <v>0.78675289839999996</v>
      </c>
      <c r="T229"/>
    </row>
    <row r="230" spans="2:20">
      <c r="B230" s="91">
        <v>40955</v>
      </c>
      <c r="C230" s="92">
        <v>0.93603696439999995</v>
      </c>
      <c r="D230" s="92">
        <f>VLOOKUP(CurrentMtgRatesDataTable825[[#This Row],[asofdate]],I:J,2,0)</f>
        <v>0.81682312189999995</v>
      </c>
      <c r="E230" s="92">
        <f>VLOOKUP(CurrentMtgRatesDataTable825[[#This Row],[asofdate]],M:N,2,0)</f>
        <v>0</v>
      </c>
      <c r="F230" s="93">
        <f ca="1">VLOOKUP(CurrentMtgRatesDataTable825[[#This Row],[asofdate]]+1,Bloomberg!B:C,2,0)</f>
        <v>4466.8999999999996</v>
      </c>
      <c r="I230" s="115">
        <v>40955</v>
      </c>
      <c r="J230" s="130">
        <v>0.81682312189999995</v>
      </c>
      <c r="M230" s="115">
        <v>40955</v>
      </c>
      <c r="N230" s="130">
        <v>0</v>
      </c>
      <c r="O230" s="130"/>
      <c r="P230" s="130"/>
      <c r="Q230" s="115">
        <v>40955</v>
      </c>
      <c r="R230" s="130">
        <v>0.81679852819999998</v>
      </c>
      <c r="T230"/>
    </row>
    <row r="231" spans="2:20">
      <c r="B231" s="91">
        <v>40948</v>
      </c>
      <c r="C231" s="92">
        <v>0.93603696439999995</v>
      </c>
      <c r="D231" s="92">
        <f>VLOOKUP(CurrentMtgRatesDataTable825[[#This Row],[asofdate]],I:J,2,0)</f>
        <v>0.81682312189999995</v>
      </c>
      <c r="E231" s="92">
        <f>VLOOKUP(CurrentMtgRatesDataTable825[[#This Row],[asofdate]],M:N,2,0)</f>
        <v>0</v>
      </c>
      <c r="F231" s="93">
        <f ca="1">VLOOKUP(CurrentMtgRatesDataTable825[[#This Row],[asofdate]]+1,Bloomberg!B:C,2,0)</f>
        <v>4716.1000000000004</v>
      </c>
      <c r="I231" s="115">
        <v>40948</v>
      </c>
      <c r="J231" s="130">
        <v>0.81682312189999995</v>
      </c>
      <c r="M231" s="115">
        <v>40948</v>
      </c>
      <c r="N231" s="130">
        <v>0</v>
      </c>
      <c r="O231" s="130"/>
      <c r="P231" s="130"/>
      <c r="Q231" s="115">
        <v>40948</v>
      </c>
      <c r="R231" s="130">
        <v>0.81679852819999998</v>
      </c>
      <c r="T231"/>
    </row>
    <row r="232" spans="2:20">
      <c r="B232" s="91">
        <v>40941</v>
      </c>
      <c r="C232" s="92">
        <v>0.93603696439999995</v>
      </c>
      <c r="D232" s="92">
        <f>VLOOKUP(CurrentMtgRatesDataTable825[[#This Row],[asofdate]],I:J,2,0)</f>
        <v>0.81682312189999995</v>
      </c>
      <c r="E232" s="92">
        <f>VLOOKUP(CurrentMtgRatesDataTable825[[#This Row],[asofdate]],M:N,2,0)</f>
        <v>0</v>
      </c>
      <c r="F232" s="93">
        <f ca="1">VLOOKUP(CurrentMtgRatesDataTable825[[#This Row],[asofdate]]+1,Bloomberg!B:C,2,0)</f>
        <v>4617.1000000000004</v>
      </c>
      <c r="I232" s="115">
        <v>40941</v>
      </c>
      <c r="J232" s="130">
        <v>0.81682312189999995</v>
      </c>
      <c r="M232" s="115">
        <v>40941</v>
      </c>
      <c r="N232" s="130">
        <v>0</v>
      </c>
      <c r="O232" s="130"/>
      <c r="P232" s="130"/>
      <c r="Q232" s="115">
        <v>40941</v>
      </c>
      <c r="R232" s="130">
        <v>0.81672062599999995</v>
      </c>
      <c r="T232"/>
    </row>
    <row r="233" spans="2:20">
      <c r="B233" s="91">
        <v>40934</v>
      </c>
      <c r="C233" s="92">
        <v>0.90360872039999995</v>
      </c>
      <c r="D233" s="92">
        <f>VLOOKUP(CurrentMtgRatesDataTable825[[#This Row],[asofdate]],I:J,2,0)</f>
        <v>0.79482617889999996</v>
      </c>
      <c r="E233" s="92">
        <f>VLOOKUP(CurrentMtgRatesDataTable825[[#This Row],[asofdate]],M:N,2,0)</f>
        <v>0</v>
      </c>
      <c r="F233" s="93">
        <f ca="1">VLOOKUP(CurrentMtgRatesDataTable825[[#This Row],[asofdate]]+1,Bloomberg!B:C,2,0)</f>
        <v>4184.3</v>
      </c>
      <c r="I233" s="115">
        <v>40934</v>
      </c>
      <c r="J233" s="130">
        <v>0.79482617889999996</v>
      </c>
      <c r="M233" s="115">
        <v>40934</v>
      </c>
      <c r="N233" s="130">
        <v>0</v>
      </c>
      <c r="O233" s="130"/>
      <c r="P233" s="130"/>
      <c r="Q233" s="115">
        <v>40934</v>
      </c>
      <c r="R233" s="130">
        <v>0.79480169020000002</v>
      </c>
      <c r="T233"/>
    </row>
    <row r="234" spans="2:20">
      <c r="B234" s="91">
        <v>40927</v>
      </c>
      <c r="C234" s="92">
        <v>0.93403008239999996</v>
      </c>
      <c r="D234" s="92">
        <f>VLOOKUP(CurrentMtgRatesDataTable825[[#This Row],[asofdate]],I:J,2,0)</f>
        <v>0.81589622309999998</v>
      </c>
      <c r="E234" s="92">
        <f>VLOOKUP(CurrentMtgRatesDataTable825[[#This Row],[asofdate]],M:N,2,0)</f>
        <v>0</v>
      </c>
      <c r="F234" s="93">
        <f ca="1">VLOOKUP(CurrentMtgRatesDataTable825[[#This Row],[asofdate]]+1,Bloomberg!B:C,2,0)</f>
        <v>4326.3999999999996</v>
      </c>
      <c r="I234" s="115">
        <v>40927</v>
      </c>
      <c r="J234" s="130">
        <v>0.81589622309999998</v>
      </c>
      <c r="M234" s="115">
        <v>40927</v>
      </c>
      <c r="N234" s="130">
        <v>0</v>
      </c>
      <c r="O234" s="130"/>
      <c r="P234" s="130"/>
      <c r="Q234" s="115">
        <v>40927</v>
      </c>
      <c r="R234" s="130">
        <v>0.81587214029999999</v>
      </c>
      <c r="T234"/>
    </row>
    <row r="235" spans="2:20">
      <c r="B235" s="91">
        <v>40920</v>
      </c>
      <c r="C235" s="92">
        <v>0.94694427430000006</v>
      </c>
      <c r="D235" s="92">
        <f>VLOOKUP(CurrentMtgRatesDataTable825[[#This Row],[asofdate]],I:J,2,0)</f>
        <v>0.82557419580000002</v>
      </c>
      <c r="E235" s="92">
        <f>VLOOKUP(CurrentMtgRatesDataTable825[[#This Row],[asofdate]],M:N,2,0)</f>
        <v>0.82555159239999998</v>
      </c>
      <c r="F235" s="93">
        <f ca="1">VLOOKUP(CurrentMtgRatesDataTable825[[#This Row],[asofdate]]+1,Bloomberg!B:C,2,0)</f>
        <v>4626.5</v>
      </c>
      <c r="I235" s="115">
        <v>40920</v>
      </c>
      <c r="J235" s="130">
        <v>0.82557419580000002</v>
      </c>
      <c r="M235" s="115">
        <v>40920</v>
      </c>
      <c r="N235" s="130">
        <v>0.82555159239999998</v>
      </c>
      <c r="O235" s="130"/>
      <c r="P235" s="130"/>
      <c r="Q235" s="115">
        <v>40920</v>
      </c>
      <c r="R235" s="130">
        <v>0.82555159239999998</v>
      </c>
      <c r="T235"/>
    </row>
    <row r="236" spans="2:20">
      <c r="B236" s="91">
        <v>40913</v>
      </c>
      <c r="C236" s="92">
        <v>0.92199370189999996</v>
      </c>
      <c r="D236" s="92">
        <f>VLOOKUP(CurrentMtgRatesDataTable825[[#This Row],[asofdate]],I:J,2,0)</f>
        <v>0.81311794920000002</v>
      </c>
      <c r="E236" s="92">
        <f>VLOOKUP(CurrentMtgRatesDataTable825[[#This Row],[asofdate]],M:N,2,0)</f>
        <v>0</v>
      </c>
      <c r="F236" s="93">
        <f ca="1">VLOOKUP(CurrentMtgRatesDataTable825[[#This Row],[asofdate]]+1,Bloomberg!B:C,2,0)</f>
        <v>3668.3</v>
      </c>
      <c r="I236" s="115">
        <v>40913</v>
      </c>
      <c r="J236" s="130">
        <v>0.81311794920000002</v>
      </c>
      <c r="M236" s="115">
        <v>40913</v>
      </c>
      <c r="N236" s="130">
        <v>0</v>
      </c>
      <c r="O236" s="130"/>
      <c r="P236" s="130"/>
      <c r="Q236" s="115">
        <v>40913</v>
      </c>
      <c r="R236" s="130">
        <v>0.81306843449999999</v>
      </c>
      <c r="T236"/>
    </row>
    <row r="237" spans="2:20">
      <c r="B237" s="91">
        <v>40906</v>
      </c>
      <c r="C237" s="92">
        <v>0.92714012680000002</v>
      </c>
      <c r="D237" s="92">
        <f>VLOOKUP(CurrentMtgRatesDataTable825[[#This Row],[asofdate]],I:J,2,0)</f>
        <v>0.82761677320000004</v>
      </c>
      <c r="E237" s="92">
        <f>VLOOKUP(CurrentMtgRatesDataTable825[[#This Row],[asofdate]],M:N,2,0)</f>
        <v>0</v>
      </c>
      <c r="F237" s="93">
        <f ca="1">VLOOKUP(CurrentMtgRatesDataTable825[[#This Row],[asofdate]]+1,Bloomberg!B:C,2,0)</f>
        <v>3608.1</v>
      </c>
      <c r="I237" s="115">
        <v>40906</v>
      </c>
      <c r="J237" s="130">
        <v>0.82761677320000004</v>
      </c>
      <c r="M237" s="115">
        <v>40906</v>
      </c>
      <c r="N237" s="130">
        <v>0</v>
      </c>
      <c r="O237" s="130"/>
      <c r="P237" s="130"/>
      <c r="Q237" s="115">
        <v>40906</v>
      </c>
      <c r="R237" s="130">
        <v>0.82759405100000005</v>
      </c>
      <c r="T237"/>
    </row>
    <row r="238" spans="2:20">
      <c r="B238" s="91">
        <v>40899</v>
      </c>
      <c r="C238" s="92">
        <v>0.94080842779999996</v>
      </c>
      <c r="D238" s="92">
        <f>VLOOKUP(CurrentMtgRatesDataTable825[[#This Row],[asofdate]],I:J,2,0)</f>
        <v>0.83051129830000003</v>
      </c>
      <c r="E238" s="92">
        <f>VLOOKUP(CurrentMtgRatesDataTable825[[#This Row],[asofdate]],M:N,2,0)</f>
        <v>0.830488738</v>
      </c>
      <c r="F238" s="93">
        <f ca="1">VLOOKUP(CurrentMtgRatesDataTable825[[#This Row],[asofdate]]+1,Bloomberg!B:C,2,0)</f>
        <v>3684.5</v>
      </c>
      <c r="I238" s="115">
        <v>40899</v>
      </c>
      <c r="J238" s="130">
        <v>0.83051129830000003</v>
      </c>
      <c r="M238" s="115">
        <v>40899</v>
      </c>
      <c r="N238" s="130">
        <v>0.830488738</v>
      </c>
      <c r="O238" s="130"/>
      <c r="P238" s="130"/>
      <c r="Q238" s="115">
        <v>40899</v>
      </c>
      <c r="R238" s="130">
        <v>0.830488738</v>
      </c>
      <c r="T238"/>
    </row>
    <row r="239" spans="2:20">
      <c r="B239" s="91">
        <v>40892</v>
      </c>
      <c r="C239" s="92">
        <v>0.92183011619999999</v>
      </c>
      <c r="D239" s="92">
        <f>VLOOKUP(CurrentMtgRatesDataTable825[[#This Row],[asofdate]],I:J,2,0)</f>
        <v>0.81140619059999997</v>
      </c>
      <c r="E239" s="92">
        <f>VLOOKUP(CurrentMtgRatesDataTable825[[#This Row],[asofdate]],M:N,2,0)</f>
        <v>1.3569425E-3</v>
      </c>
      <c r="F239" s="93">
        <f ca="1">VLOOKUP(CurrentMtgRatesDataTable825[[#This Row],[asofdate]]+1,Bloomberg!B:C,2,0)</f>
        <v>3676.1</v>
      </c>
      <c r="I239" s="115">
        <v>40892</v>
      </c>
      <c r="J239" s="130">
        <v>0.81140619059999997</v>
      </c>
      <c r="M239" s="115">
        <v>40892</v>
      </c>
      <c r="N239" s="130">
        <v>1.3569425E-3</v>
      </c>
      <c r="O239" s="130"/>
      <c r="P239" s="130"/>
      <c r="Q239" s="115">
        <v>40892</v>
      </c>
      <c r="R239" s="130">
        <v>0.81138436970000005</v>
      </c>
      <c r="T239"/>
    </row>
    <row r="240" spans="2:20">
      <c r="B240" s="91">
        <v>40885</v>
      </c>
      <c r="C240" s="92">
        <v>0.90637092699999999</v>
      </c>
      <c r="D240" s="92">
        <f>VLOOKUP(CurrentMtgRatesDataTable825[[#This Row],[asofdate]],I:J,2,0)</f>
        <v>0.8066320361</v>
      </c>
      <c r="E240" s="92">
        <f>VLOOKUP(CurrentMtgRatesDataTable825[[#This Row],[asofdate]],M:N,2,0)</f>
        <v>1.142524E-4</v>
      </c>
      <c r="F240" s="93">
        <f ca="1">VLOOKUP(CurrentMtgRatesDataTable825[[#This Row],[asofdate]]+1,Bloomberg!B:C,2,0)</f>
        <v>3708.6</v>
      </c>
      <c r="I240" s="115">
        <v>40885</v>
      </c>
      <c r="J240" s="130">
        <v>0.8066320361</v>
      </c>
      <c r="M240" s="115">
        <v>40885</v>
      </c>
      <c r="N240" s="130">
        <v>1.142524E-4</v>
      </c>
      <c r="O240" s="130"/>
      <c r="P240" s="130"/>
      <c r="Q240" s="115">
        <v>40885</v>
      </c>
      <c r="R240" s="130">
        <v>0.80660984030000005</v>
      </c>
      <c r="T240"/>
    </row>
    <row r="241" spans="2:20">
      <c r="B241" s="91">
        <v>40878</v>
      </c>
      <c r="C241" s="92">
        <v>0.90190909860000001</v>
      </c>
      <c r="D241" s="92">
        <f>VLOOKUP(CurrentMtgRatesDataTable825[[#This Row],[asofdate]],I:J,2,0)</f>
        <v>0.8061458252</v>
      </c>
      <c r="E241" s="92">
        <f>VLOOKUP(CurrentMtgRatesDataTable825[[#This Row],[asofdate]],M:N,2,0)</f>
        <v>0</v>
      </c>
      <c r="F241" s="93">
        <f ca="1">VLOOKUP(CurrentMtgRatesDataTable825[[#This Row],[asofdate]]+1,Bloomberg!B:C,2,0)</f>
        <v>3394.7</v>
      </c>
      <c r="I241" s="115">
        <v>40878</v>
      </c>
      <c r="J241" s="130">
        <v>0.8061458252</v>
      </c>
      <c r="M241" s="115">
        <v>40878</v>
      </c>
      <c r="N241" s="130">
        <v>0</v>
      </c>
      <c r="O241" s="130"/>
      <c r="P241" s="130"/>
      <c r="Q241" s="115">
        <v>40878</v>
      </c>
      <c r="R241" s="130">
        <v>0.80600962949999999</v>
      </c>
      <c r="T241"/>
    </row>
    <row r="242" spans="2:20">
      <c r="B242" s="91">
        <v>40870</v>
      </c>
      <c r="C242" s="92">
        <v>0.92150528340000004</v>
      </c>
      <c r="D242" s="92">
        <f>VLOOKUP(CurrentMtgRatesDataTable825[[#This Row],[asofdate]],I:J,2,0)</f>
        <v>0.82430845949999998</v>
      </c>
      <c r="E242" s="92">
        <f>VLOOKUP(CurrentMtgRatesDataTable825[[#This Row],[asofdate]],M:N,2,0)</f>
        <v>1.8926290000000003E-4</v>
      </c>
      <c r="F242" s="93" t="e">
        <f ca="1">VLOOKUP(CurrentMtgRatesDataTable825[[#This Row],[asofdate]]+1,Bloomberg!B:C,2,0)</f>
        <v>#N/A</v>
      </c>
      <c r="I242" s="115">
        <v>40870</v>
      </c>
      <c r="J242" s="130">
        <v>0.82430845949999998</v>
      </c>
      <c r="M242" s="115">
        <v>40870</v>
      </c>
      <c r="N242" s="130">
        <v>1.8926290000000003E-4</v>
      </c>
      <c r="O242" s="130"/>
      <c r="P242" s="130"/>
      <c r="Q242" s="115">
        <v>40870</v>
      </c>
      <c r="R242" s="130">
        <v>0.82428877489999997</v>
      </c>
      <c r="T242"/>
    </row>
    <row r="243" spans="2:20">
      <c r="B243" s="91">
        <v>40864</v>
      </c>
      <c r="C243" s="92">
        <v>0.9118126714</v>
      </c>
      <c r="D243" s="92">
        <f>VLOOKUP(CurrentMtgRatesDataTable825[[#This Row],[asofdate]],I:J,2,0)</f>
        <v>0.82078579289999998</v>
      </c>
      <c r="E243" s="92">
        <f>VLOOKUP(CurrentMtgRatesDataTable825[[#This Row],[asofdate]],M:N,2,0)</f>
        <v>0</v>
      </c>
      <c r="F243" s="93">
        <f ca="1">VLOOKUP(CurrentMtgRatesDataTable825[[#This Row],[asofdate]]+1,Bloomberg!B:C,2,0)</f>
        <v>3466.8</v>
      </c>
      <c r="I243" s="115">
        <v>40864</v>
      </c>
      <c r="J243" s="130">
        <v>0.82078579289999998</v>
      </c>
      <c r="M243" s="115">
        <v>40864</v>
      </c>
      <c r="N243" s="130">
        <v>0</v>
      </c>
      <c r="O243" s="130"/>
      <c r="P243" s="130"/>
      <c r="Q243" s="115">
        <v>40864</v>
      </c>
      <c r="R243" s="130">
        <v>0.82076592839999996</v>
      </c>
      <c r="T243"/>
    </row>
    <row r="244" spans="2:20">
      <c r="B244" s="91">
        <v>40857</v>
      </c>
      <c r="C244" s="92">
        <v>0.91600406219999997</v>
      </c>
      <c r="D244" s="92">
        <f>VLOOKUP(CurrentMtgRatesDataTable825[[#This Row],[asofdate]],I:J,2,0)</f>
        <v>0.82126380830000001</v>
      </c>
      <c r="E244" s="92">
        <f>VLOOKUP(CurrentMtgRatesDataTable825[[#This Row],[asofdate]],M:N,2,0)</f>
        <v>1.8805710000000003E-4</v>
      </c>
      <c r="F244" s="93">
        <f ca="1">VLOOKUP(CurrentMtgRatesDataTable825[[#This Row],[asofdate]]+1,Bloomberg!B:C,2,0)</f>
        <v>3664.5</v>
      </c>
      <c r="I244" s="115">
        <v>40857</v>
      </c>
      <c r="J244" s="130">
        <v>0.82126380830000001</v>
      </c>
      <c r="M244" s="115">
        <v>40857</v>
      </c>
      <c r="N244" s="130">
        <v>1.8805710000000003E-4</v>
      </c>
      <c r="O244" s="130"/>
      <c r="P244" s="130"/>
      <c r="Q244" s="115">
        <v>40857</v>
      </c>
      <c r="R244" s="130">
        <v>0.82124413969999999</v>
      </c>
      <c r="T244"/>
    </row>
    <row r="245" spans="2:20">
      <c r="B245" s="91">
        <v>40850</v>
      </c>
      <c r="C245" s="92">
        <v>0.9118126714</v>
      </c>
      <c r="D245" s="92">
        <f>VLOOKUP(CurrentMtgRatesDataTable825[[#This Row],[asofdate]],I:J,2,0)</f>
        <v>0.82078579289999998</v>
      </c>
      <c r="E245" s="92">
        <f>VLOOKUP(CurrentMtgRatesDataTable825[[#This Row],[asofdate]],M:N,2,0)</f>
        <v>0</v>
      </c>
      <c r="F245" s="93">
        <f ca="1">VLOOKUP(CurrentMtgRatesDataTable825[[#This Row],[asofdate]]+1,Bloomberg!B:C,2,0)</f>
        <v>4137.6000000000004</v>
      </c>
      <c r="I245" s="115">
        <v>40850</v>
      </c>
      <c r="J245" s="130">
        <v>0.82078579289999998</v>
      </c>
      <c r="M245" s="115">
        <v>40850</v>
      </c>
      <c r="N245" s="130">
        <v>0</v>
      </c>
      <c r="O245" s="130"/>
      <c r="P245" s="130"/>
      <c r="Q245" s="115">
        <v>40850</v>
      </c>
      <c r="R245" s="130">
        <v>0.82057806970000002</v>
      </c>
      <c r="T245"/>
    </row>
    <row r="246" spans="2:20">
      <c r="B246" s="91">
        <v>40843</v>
      </c>
      <c r="C246" s="92">
        <v>0.87336853640000012</v>
      </c>
      <c r="D246" s="92">
        <f>VLOOKUP(CurrentMtgRatesDataTable825[[#This Row],[asofdate]],I:J,2,0)</f>
        <v>0.7903811664</v>
      </c>
      <c r="E246" s="92">
        <f>VLOOKUP(CurrentMtgRatesDataTable825[[#This Row],[asofdate]],M:N,2,0)</f>
        <v>0</v>
      </c>
      <c r="F246" s="93">
        <f ca="1">VLOOKUP(CurrentMtgRatesDataTable825[[#This Row],[asofdate]]+1,Bloomberg!B:C,2,0)</f>
        <v>3695</v>
      </c>
      <c r="I246" s="115">
        <v>40843</v>
      </c>
      <c r="J246" s="130">
        <v>0.7903811664</v>
      </c>
      <c r="M246" s="115">
        <v>40843</v>
      </c>
      <c r="N246" s="130">
        <v>0</v>
      </c>
      <c r="O246" s="130"/>
      <c r="P246" s="130"/>
      <c r="Q246" s="115">
        <v>40843</v>
      </c>
      <c r="R246" s="130">
        <v>0.79036593970000002</v>
      </c>
      <c r="T246"/>
    </row>
    <row r="247" spans="2:20">
      <c r="B247" s="91">
        <v>40836</v>
      </c>
      <c r="C247" s="92">
        <v>0.87116842570000008</v>
      </c>
      <c r="D247" s="92">
        <f>VLOOKUP(CurrentMtgRatesDataTable825[[#This Row],[asofdate]],I:J,2,0)</f>
        <v>0.79024660690000004</v>
      </c>
      <c r="E247" s="92">
        <f>VLOOKUP(CurrentMtgRatesDataTable825[[#This Row],[asofdate]],M:N,2,0)</f>
        <v>0</v>
      </c>
      <c r="F247" s="93">
        <f ca="1">VLOOKUP(CurrentMtgRatesDataTable825[[#This Row],[asofdate]]+1,Bloomberg!B:C,2,0)</f>
        <v>3719.3</v>
      </c>
      <c r="I247" s="115">
        <v>40836</v>
      </c>
      <c r="J247" s="130">
        <v>0.79024660690000004</v>
      </c>
      <c r="M247" s="115">
        <v>40836</v>
      </c>
      <c r="N247" s="130">
        <v>0</v>
      </c>
      <c r="O247" s="130"/>
      <c r="P247" s="130"/>
      <c r="Q247" s="115">
        <v>40836</v>
      </c>
      <c r="R247" s="130">
        <v>0.79023149569999995</v>
      </c>
      <c r="T247"/>
    </row>
    <row r="248" spans="2:20">
      <c r="B248" s="91">
        <v>40829</v>
      </c>
      <c r="C248" s="92">
        <v>0.86920384979999998</v>
      </c>
      <c r="D248" s="92">
        <f>VLOOKUP(CurrentMtgRatesDataTable825[[#This Row],[asofdate]],I:J,2,0)</f>
        <v>0.77495922829999997</v>
      </c>
      <c r="E248" s="92">
        <f>VLOOKUP(CurrentMtgRatesDataTable825[[#This Row],[asofdate]],M:N,2,0)</f>
        <v>0</v>
      </c>
      <c r="F248" s="93">
        <f ca="1">VLOOKUP(CurrentMtgRatesDataTable825[[#This Row],[asofdate]]+1,Bloomberg!B:C,2,0)</f>
        <v>3553.2</v>
      </c>
      <c r="I248" s="115">
        <v>40829</v>
      </c>
      <c r="J248" s="130">
        <v>0.77495922829999997</v>
      </c>
      <c r="M248" s="115">
        <v>40829</v>
      </c>
      <c r="N248" s="130">
        <v>0</v>
      </c>
      <c r="O248" s="130"/>
      <c r="P248" s="130"/>
      <c r="Q248" s="115">
        <v>40829</v>
      </c>
      <c r="R248" s="130">
        <v>0.77494347910000005</v>
      </c>
      <c r="T248"/>
    </row>
    <row r="249" spans="2:20">
      <c r="B249" s="91">
        <v>40822</v>
      </c>
      <c r="C249" s="92">
        <v>0.93408887910000005</v>
      </c>
      <c r="D249" s="92">
        <f>VLOOKUP(CurrentMtgRatesDataTable825[[#This Row],[asofdate]],I:J,2,0)</f>
        <v>0.83660536610000003</v>
      </c>
      <c r="E249" s="92">
        <f>VLOOKUP(CurrentMtgRatesDataTable825[[#This Row],[asofdate]],M:N,2,0)</f>
        <v>0.83641698470000003</v>
      </c>
      <c r="F249" s="93">
        <f ca="1">VLOOKUP(CurrentMtgRatesDataTable825[[#This Row],[asofdate]]+1,Bloomberg!B:C,2,0)</f>
        <v>4251.1000000000004</v>
      </c>
      <c r="I249" s="115">
        <v>40822</v>
      </c>
      <c r="J249" s="130">
        <v>0.83660536610000003</v>
      </c>
      <c r="M249" s="115">
        <v>40822</v>
      </c>
      <c r="N249" s="130">
        <v>0.83641698470000003</v>
      </c>
      <c r="O249" s="130"/>
      <c r="P249" s="130"/>
      <c r="Q249" s="115">
        <v>40822</v>
      </c>
      <c r="R249" s="130">
        <v>0.83641698470000003</v>
      </c>
      <c r="T249"/>
    </row>
    <row r="250" spans="2:20">
      <c r="B250" s="91">
        <v>40815</v>
      </c>
      <c r="C250" s="92">
        <v>0.91462717179999997</v>
      </c>
      <c r="D250" s="92">
        <f>VLOOKUP(CurrentMtgRatesDataTable825[[#This Row],[asofdate]],I:J,2,0)</f>
        <v>0.83291884810000005</v>
      </c>
      <c r="E250" s="92">
        <f>VLOOKUP(CurrentMtgRatesDataTable825[[#This Row],[asofdate]],M:N,2,0)</f>
        <v>0.83290245399999996</v>
      </c>
      <c r="F250" s="93">
        <f ca="1">VLOOKUP(CurrentMtgRatesDataTable825[[#This Row],[asofdate]]+1,Bloomberg!B:C,2,0)</f>
        <v>4241.8</v>
      </c>
      <c r="I250" s="115">
        <v>40815</v>
      </c>
      <c r="J250" s="130">
        <v>0.83291884810000005</v>
      </c>
      <c r="M250" s="115">
        <v>40815</v>
      </c>
      <c r="N250" s="130">
        <v>0.83290245399999996</v>
      </c>
      <c r="O250" s="130"/>
      <c r="P250" s="130"/>
      <c r="Q250" s="115">
        <v>40815</v>
      </c>
      <c r="R250" s="130">
        <v>0.83290245399999996</v>
      </c>
      <c r="T250"/>
    </row>
    <row r="251" spans="2:20">
      <c r="B251" s="91">
        <v>40808</v>
      </c>
      <c r="C251" s="92">
        <v>0.88675076370000006</v>
      </c>
      <c r="D251" s="92">
        <f>VLOOKUP(CurrentMtgRatesDataTable825[[#This Row],[asofdate]],I:J,2,0)</f>
        <v>0.79842057590000004</v>
      </c>
      <c r="E251" s="92">
        <f>VLOOKUP(CurrentMtgRatesDataTable825[[#This Row],[asofdate]],M:N,2,0)</f>
        <v>0</v>
      </c>
      <c r="F251" s="93">
        <f ca="1">VLOOKUP(CurrentMtgRatesDataTable825[[#This Row],[asofdate]]+1,Bloomberg!B:C,2,0)</f>
        <v>4512.1000000000004</v>
      </c>
      <c r="I251" s="115">
        <v>40808</v>
      </c>
      <c r="J251" s="130">
        <v>0.79842057590000004</v>
      </c>
      <c r="M251" s="115">
        <v>40808</v>
      </c>
      <c r="N251" s="130">
        <v>0</v>
      </c>
      <c r="O251" s="130"/>
      <c r="P251" s="130"/>
      <c r="Q251" s="115">
        <v>40808</v>
      </c>
      <c r="R251" s="130">
        <v>0.79840746299999998</v>
      </c>
      <c r="T251"/>
    </row>
    <row r="252" spans="2:20">
      <c r="B252" s="91">
        <v>40801</v>
      </c>
      <c r="C252" s="92">
        <v>0.88675076370000006</v>
      </c>
      <c r="D252" s="92">
        <f>VLOOKUP(CurrentMtgRatesDataTable825[[#This Row],[asofdate]],I:J,2,0)</f>
        <v>0.79842057590000004</v>
      </c>
      <c r="E252" s="92">
        <f>VLOOKUP(CurrentMtgRatesDataTable825[[#This Row],[asofdate]],M:N,2,0)</f>
        <v>0.79840746299999998</v>
      </c>
      <c r="F252" s="93">
        <f ca="1">VLOOKUP(CurrentMtgRatesDataTable825[[#This Row],[asofdate]]+1,Bloomberg!B:C,2,0)</f>
        <v>4033.8</v>
      </c>
      <c r="I252" s="115">
        <v>40801</v>
      </c>
      <c r="J252" s="130">
        <v>0.79842057590000004</v>
      </c>
      <c r="M252" s="115">
        <v>40801</v>
      </c>
      <c r="N252" s="130">
        <v>0.79840746299999998</v>
      </c>
      <c r="O252" s="130"/>
      <c r="P252" s="130"/>
      <c r="Q252" s="115">
        <v>40801</v>
      </c>
      <c r="R252" s="130">
        <v>0.79840746299999998</v>
      </c>
      <c r="T252"/>
    </row>
    <row r="253" spans="2:20">
      <c r="B253" s="91">
        <v>40794</v>
      </c>
      <c r="C253" s="92">
        <v>0.87807825780000015</v>
      </c>
      <c r="D253" s="92">
        <f>VLOOKUP(CurrentMtgRatesDataTable825[[#This Row],[asofdate]],I:J,2,0)</f>
        <v>0.79337813010000002</v>
      </c>
      <c r="E253" s="92">
        <f>VLOOKUP(CurrentMtgRatesDataTable825[[#This Row],[asofdate]],M:N,2,0)</f>
        <v>0.79336326020000003</v>
      </c>
      <c r="F253" s="93">
        <f ca="1">VLOOKUP(CurrentMtgRatesDataTable825[[#This Row],[asofdate]]+1,Bloomberg!B:C,2,0)</f>
        <v>3571.7</v>
      </c>
      <c r="I253" s="115">
        <v>40794</v>
      </c>
      <c r="J253" s="130">
        <v>0.79337813010000002</v>
      </c>
      <c r="M253" s="115">
        <v>40794</v>
      </c>
      <c r="N253" s="130">
        <v>0.79336326020000003</v>
      </c>
      <c r="O253" s="130"/>
      <c r="P253" s="130"/>
      <c r="Q253" s="115">
        <v>40794</v>
      </c>
      <c r="R253" s="130">
        <v>0.79336326020000003</v>
      </c>
      <c r="T253"/>
    </row>
    <row r="254" spans="2:20">
      <c r="B254" s="91">
        <v>40787</v>
      </c>
      <c r="C254" s="92">
        <v>0.85485404639999996</v>
      </c>
      <c r="D254" s="92">
        <f>VLOOKUP(CurrentMtgRatesDataTable825[[#This Row],[asofdate]],I:J,2,0)</f>
        <v>0.74656444600000005</v>
      </c>
      <c r="E254" s="92">
        <f>VLOOKUP(CurrentMtgRatesDataTable825[[#This Row],[asofdate]],M:N,2,0)</f>
        <v>0</v>
      </c>
      <c r="F254" s="93">
        <f ca="1">VLOOKUP(CurrentMtgRatesDataTable825[[#This Row],[asofdate]]+1,Bloomberg!B:C,2,0)</f>
        <v>3372</v>
      </c>
      <c r="I254" s="115">
        <v>40787</v>
      </c>
      <c r="J254" s="130">
        <v>0.74656444600000005</v>
      </c>
      <c r="M254" s="115">
        <v>40787</v>
      </c>
      <c r="N254" s="130">
        <v>0</v>
      </c>
      <c r="O254" s="130"/>
      <c r="P254" s="130"/>
      <c r="Q254" s="115">
        <v>40787</v>
      </c>
      <c r="R254" s="130">
        <v>0.74648771319999996</v>
      </c>
      <c r="T254"/>
    </row>
    <row r="255" spans="2:20">
      <c r="B255" s="91">
        <v>40780</v>
      </c>
      <c r="C255" s="92">
        <v>0.8550708561</v>
      </c>
      <c r="D255" s="92">
        <f>VLOOKUP(CurrentMtgRatesDataTable825[[#This Row],[asofdate]],I:J,2,0)</f>
        <v>0.74831768210000005</v>
      </c>
      <c r="E255" s="92">
        <f>VLOOKUP(CurrentMtgRatesDataTable825[[#This Row],[asofdate]],M:N,2,0)</f>
        <v>0</v>
      </c>
      <c r="F255" s="93">
        <f ca="1">VLOOKUP(CurrentMtgRatesDataTable825[[#This Row],[asofdate]]+1,Bloomberg!B:C,2,0)</f>
        <v>3601.3</v>
      </c>
      <c r="I255" s="115">
        <v>40780</v>
      </c>
      <c r="J255" s="130">
        <v>0.74831768210000005</v>
      </c>
      <c r="M255" s="115">
        <v>40780</v>
      </c>
      <c r="N255" s="130">
        <v>0</v>
      </c>
      <c r="O255" s="130"/>
      <c r="P255" s="130"/>
      <c r="Q255" s="115">
        <v>40780</v>
      </c>
      <c r="R255" s="130">
        <v>0.74829940930000005</v>
      </c>
      <c r="T255"/>
    </row>
    <row r="256" spans="2:20">
      <c r="B256" s="91">
        <v>40773</v>
      </c>
      <c r="C256" s="92">
        <v>0.87116807839999999</v>
      </c>
      <c r="D256" s="92">
        <f>VLOOKUP(CurrentMtgRatesDataTable825[[#This Row],[asofdate]],I:J,2,0)</f>
        <v>0.77918159070000004</v>
      </c>
      <c r="E256" s="92">
        <f>VLOOKUP(CurrentMtgRatesDataTable825[[#This Row],[asofdate]],M:N,2,0)</f>
        <v>0.77916685399999996</v>
      </c>
      <c r="F256" s="93">
        <f ca="1">VLOOKUP(CurrentMtgRatesDataTable825[[#This Row],[asofdate]]+1,Bloomberg!B:C,2,0)</f>
        <v>4110.8</v>
      </c>
      <c r="I256" s="115">
        <v>40773</v>
      </c>
      <c r="J256" s="130">
        <v>0.77918159070000004</v>
      </c>
      <c r="M256" s="115">
        <v>40773</v>
      </c>
      <c r="N256" s="130">
        <v>0.77916685399999996</v>
      </c>
      <c r="O256" s="130"/>
      <c r="P256" s="130"/>
      <c r="Q256" s="115">
        <v>40773</v>
      </c>
      <c r="R256" s="130">
        <v>0.77916685399999996</v>
      </c>
      <c r="T256"/>
    </row>
    <row r="257" spans="2:20">
      <c r="B257" s="91">
        <v>40766</v>
      </c>
      <c r="C257" s="92">
        <v>0.81358477029999998</v>
      </c>
      <c r="D257" s="92">
        <f>VLOOKUP(CurrentMtgRatesDataTable825[[#This Row],[asofdate]],I:J,2,0)</f>
        <v>0.71226119700000001</v>
      </c>
      <c r="E257" s="92">
        <f>VLOOKUP(CurrentMtgRatesDataTable825[[#This Row],[asofdate]],M:N,2,0)</f>
        <v>2.4178990099999999E-2</v>
      </c>
      <c r="F257" s="93">
        <f ca="1">VLOOKUP(CurrentMtgRatesDataTable825[[#This Row],[asofdate]]+1,Bloomberg!B:C,2,0)</f>
        <v>4184.3999999999996</v>
      </c>
      <c r="I257" s="115">
        <v>40766</v>
      </c>
      <c r="J257" s="130">
        <v>0.71226119700000001</v>
      </c>
      <c r="M257" s="115">
        <v>40766</v>
      </c>
      <c r="N257" s="130">
        <v>2.4178990099999999E-2</v>
      </c>
      <c r="O257" s="130"/>
      <c r="P257" s="130"/>
      <c r="Q257" s="115">
        <v>40766</v>
      </c>
      <c r="R257" s="130">
        <v>0.71224306630000001</v>
      </c>
      <c r="T257"/>
    </row>
    <row r="258" spans="2:20">
      <c r="B258" s="91">
        <v>40759</v>
      </c>
      <c r="C258" s="92">
        <v>0.70925319720000002</v>
      </c>
      <c r="D258" s="92">
        <f>VLOOKUP(CurrentMtgRatesDataTable825[[#This Row],[asofdate]],I:J,2,0)</f>
        <v>0.63704711950000004</v>
      </c>
      <c r="E258" s="92">
        <f>VLOOKUP(CurrentMtgRatesDataTable825[[#This Row],[asofdate]],M:N,2,0)</f>
        <v>1.26126242E-2</v>
      </c>
      <c r="F258" s="93">
        <f ca="1">VLOOKUP(CurrentMtgRatesDataTable825[[#This Row],[asofdate]]+1,Bloomberg!B:C,2,0)</f>
        <v>3880.9</v>
      </c>
      <c r="I258" s="115">
        <v>40759</v>
      </c>
      <c r="J258" s="130">
        <v>0.63704711950000004</v>
      </c>
      <c r="M258" s="115">
        <v>40759</v>
      </c>
      <c r="N258" s="130">
        <v>1.26126242E-2</v>
      </c>
      <c r="O258" s="130"/>
      <c r="P258" s="130"/>
      <c r="Q258" s="115">
        <v>40759</v>
      </c>
      <c r="R258" s="130">
        <v>0.6369486822</v>
      </c>
      <c r="T258"/>
    </row>
    <row r="259" spans="2:20">
      <c r="B259" s="91">
        <v>40752</v>
      </c>
      <c r="C259" s="92">
        <v>0.57395904259999997</v>
      </c>
      <c r="D259" s="92">
        <f>VLOOKUP(CurrentMtgRatesDataTable825[[#This Row],[asofdate]],I:J,2,0)</f>
        <v>0.58384791359999999</v>
      </c>
      <c r="E259" s="92">
        <f>VLOOKUP(CurrentMtgRatesDataTable825[[#This Row],[asofdate]],M:N,2,0)</f>
        <v>0</v>
      </c>
      <c r="F259" s="93">
        <f ca="1">VLOOKUP(CurrentMtgRatesDataTable825[[#This Row],[asofdate]]+1,Bloomberg!B:C,2,0)</f>
        <v>2974.1</v>
      </c>
      <c r="I259" s="115">
        <v>40752</v>
      </c>
      <c r="J259" s="130">
        <v>0.58384791359999999</v>
      </c>
      <c r="M259" s="115">
        <v>40752</v>
      </c>
      <c r="N259" s="130">
        <v>0</v>
      </c>
      <c r="O259" s="130"/>
      <c r="P259" s="130"/>
      <c r="Q259" s="115">
        <v>40752</v>
      </c>
      <c r="R259" s="130">
        <v>5.0448213999999998E-3</v>
      </c>
      <c r="T259"/>
    </row>
    <row r="260" spans="2:20">
      <c r="B260" s="91">
        <v>40745</v>
      </c>
      <c r="C260" s="92">
        <v>0.59331865890000002</v>
      </c>
      <c r="D260" s="92">
        <f>VLOOKUP(CurrentMtgRatesDataTable825[[#This Row],[asofdate]],I:J,2,0)</f>
        <v>0.58834884700000001</v>
      </c>
      <c r="E260" s="92">
        <f>VLOOKUP(CurrentMtgRatesDataTable825[[#This Row],[asofdate]],M:N,2,0)</f>
        <v>0</v>
      </c>
      <c r="F260" s="93">
        <f ca="1">VLOOKUP(CurrentMtgRatesDataTable825[[#This Row],[asofdate]]+1,Bloomberg!B:C,2,0)</f>
        <v>2769.6</v>
      </c>
      <c r="I260" s="115">
        <v>40745</v>
      </c>
      <c r="J260" s="130">
        <v>0.58834884700000001</v>
      </c>
      <c r="M260" s="115">
        <v>40745</v>
      </c>
      <c r="N260" s="130">
        <v>0</v>
      </c>
      <c r="O260" s="130"/>
      <c r="P260" s="130"/>
      <c r="Q260" s="115">
        <v>40745</v>
      </c>
      <c r="R260" s="130">
        <v>5.2483534999999996E-3</v>
      </c>
      <c r="T260"/>
    </row>
    <row r="261" spans="2:20">
      <c r="B261" s="91">
        <v>40738</v>
      </c>
      <c r="C261" s="92">
        <v>0.5990050468</v>
      </c>
      <c r="D261" s="92">
        <f>VLOOKUP(CurrentMtgRatesDataTable825[[#This Row],[asofdate]],I:J,2,0)</f>
        <v>0.60388450410000005</v>
      </c>
      <c r="E261" s="92">
        <f>VLOOKUP(CurrentMtgRatesDataTable825[[#This Row],[asofdate]],M:N,2,0)</f>
        <v>3.0790400000000003E-5</v>
      </c>
      <c r="F261" s="93">
        <f ca="1">VLOOKUP(CurrentMtgRatesDataTable825[[#This Row],[asofdate]]+1,Bloomberg!B:C,2,0)</f>
        <v>2923.8</v>
      </c>
      <c r="I261" s="115">
        <v>40738</v>
      </c>
      <c r="J261" s="130">
        <v>0.60388450410000005</v>
      </c>
      <c r="M261" s="115">
        <v>40738</v>
      </c>
      <c r="N261" s="130">
        <v>3.0790400000000003E-5</v>
      </c>
      <c r="O261" s="130"/>
      <c r="P261" s="130"/>
      <c r="Q261" s="115">
        <v>40738</v>
      </c>
      <c r="R261" s="130">
        <v>7.4002171000000002E-3</v>
      </c>
      <c r="T261"/>
    </row>
    <row r="262" spans="2:20">
      <c r="B262" s="91">
        <v>40731</v>
      </c>
      <c r="C262" s="92">
        <v>0.56769820100000001</v>
      </c>
      <c r="D262" s="92">
        <f>VLOOKUP(CurrentMtgRatesDataTable825[[#This Row],[asofdate]],I:J,2,0)</f>
        <v>0.56570427590000005</v>
      </c>
      <c r="E262" s="92">
        <f>VLOOKUP(CurrentMtgRatesDataTable825[[#This Row],[asofdate]],M:N,2,0)</f>
        <v>0</v>
      </c>
      <c r="F262" s="93">
        <f ca="1">VLOOKUP(CurrentMtgRatesDataTable825[[#This Row],[asofdate]]+1,Bloomberg!B:C,2,0)</f>
        <v>2362.6999999999998</v>
      </c>
      <c r="I262" s="115">
        <v>40731</v>
      </c>
      <c r="J262" s="130">
        <v>0.56570427590000005</v>
      </c>
      <c r="M262" s="115">
        <v>40731</v>
      </c>
      <c r="N262" s="130">
        <v>0</v>
      </c>
      <c r="O262" s="130"/>
      <c r="P262" s="130"/>
      <c r="Q262" s="115">
        <v>40731</v>
      </c>
      <c r="R262" s="130">
        <v>3.8639739E-3</v>
      </c>
      <c r="T262"/>
    </row>
    <row r="263" spans="2:20">
      <c r="B263" s="91">
        <v>40724</v>
      </c>
      <c r="C263" s="92">
        <v>0.60115341759999996</v>
      </c>
      <c r="D263" s="92">
        <f>VLOOKUP(CurrentMtgRatesDataTable825[[#This Row],[asofdate]],I:J,2,0)</f>
        <v>0.60588870009999996</v>
      </c>
      <c r="E263" s="92">
        <f>VLOOKUP(CurrentMtgRatesDataTable825[[#This Row],[asofdate]],M:N,2,0)</f>
        <v>0</v>
      </c>
      <c r="F263" s="93">
        <f ca="1">VLOOKUP(CurrentMtgRatesDataTable825[[#This Row],[asofdate]]+1,Bloomberg!B:C,2,0)</f>
        <v>2527.5</v>
      </c>
      <c r="I263" s="115">
        <v>40724</v>
      </c>
      <c r="J263" s="130">
        <v>0.60588870009999996</v>
      </c>
      <c r="M263" s="115">
        <v>40724</v>
      </c>
      <c r="N263" s="130">
        <v>0</v>
      </c>
      <c r="O263" s="130"/>
      <c r="P263" s="130"/>
      <c r="Q263" s="115">
        <v>40724</v>
      </c>
      <c r="R263" s="130">
        <v>5.4026478000000003E-3</v>
      </c>
      <c r="T263"/>
    </row>
    <row r="264" spans="2:20">
      <c r="B264" s="91">
        <v>40717</v>
      </c>
      <c r="C264" s="92">
        <v>0.59310645480000002</v>
      </c>
      <c r="D264" s="92">
        <f>VLOOKUP(CurrentMtgRatesDataTable825[[#This Row],[asofdate]],I:J,2,0)</f>
        <v>0.59097363839999995</v>
      </c>
      <c r="E264" s="92">
        <f>VLOOKUP(CurrentMtgRatesDataTable825[[#This Row],[asofdate]],M:N,2,0)</f>
        <v>0</v>
      </c>
      <c r="F264" s="93">
        <f ca="1">VLOOKUP(CurrentMtgRatesDataTable825[[#This Row],[asofdate]]+1,Bloomberg!B:C,2,0)</f>
        <v>2809.5</v>
      </c>
      <c r="I264" s="115">
        <v>40717</v>
      </c>
      <c r="J264" s="130">
        <v>0.59097363839999995</v>
      </c>
      <c r="M264" s="115">
        <v>40717</v>
      </c>
      <c r="N264" s="130">
        <v>0</v>
      </c>
      <c r="O264" s="130"/>
      <c r="P264" s="130"/>
      <c r="Q264" s="115">
        <v>40717</v>
      </c>
      <c r="R264" s="130">
        <v>4.2508548000000004E-3</v>
      </c>
      <c r="T264"/>
    </row>
    <row r="265" spans="2:20">
      <c r="B265" s="91">
        <v>40710</v>
      </c>
      <c r="C265" s="92">
        <v>0.60999447849999999</v>
      </c>
      <c r="D265" s="92">
        <f>VLOOKUP(CurrentMtgRatesDataTable825[[#This Row],[asofdate]],I:J,2,0)</f>
        <v>0.60674265890000001</v>
      </c>
      <c r="E265" s="92">
        <f>VLOOKUP(CurrentMtgRatesDataTable825[[#This Row],[asofdate]],M:N,2,0)</f>
        <v>0</v>
      </c>
      <c r="F265" s="93">
        <f ca="1">VLOOKUP(CurrentMtgRatesDataTable825[[#This Row],[asofdate]]+1,Bloomberg!B:C,2,0)</f>
        <v>2857.9</v>
      </c>
      <c r="I265" s="115">
        <v>40710</v>
      </c>
      <c r="J265" s="130">
        <v>0.60674265890000001</v>
      </c>
      <c r="M265" s="115">
        <v>40710</v>
      </c>
      <c r="N265" s="130">
        <v>0</v>
      </c>
      <c r="O265" s="130"/>
      <c r="P265" s="130"/>
      <c r="Q265" s="115">
        <v>40710</v>
      </c>
      <c r="R265" s="130">
        <v>5.4689739000000001E-3</v>
      </c>
      <c r="T265"/>
    </row>
    <row r="266" spans="2:20">
      <c r="B266" s="91">
        <v>40703</v>
      </c>
      <c r="C266" s="92">
        <v>0.62022243639999997</v>
      </c>
      <c r="D266" s="92">
        <f>VLOOKUP(CurrentMtgRatesDataTable825[[#This Row],[asofdate]],I:J,2,0)</f>
        <v>0.60698646280000002</v>
      </c>
      <c r="E266" s="92">
        <f>VLOOKUP(CurrentMtgRatesDataTable825[[#This Row],[asofdate]],M:N,2,0)</f>
        <v>3.8651415000000001E-3</v>
      </c>
      <c r="F266" s="93">
        <f ca="1">VLOOKUP(CurrentMtgRatesDataTable825[[#This Row],[asofdate]]+1,Bloomberg!B:C,2,0)</f>
        <v>3101.7</v>
      </c>
      <c r="I266" s="115">
        <v>40703</v>
      </c>
      <c r="J266" s="130">
        <v>0.60698646280000002</v>
      </c>
      <c r="M266" s="115">
        <v>40703</v>
      </c>
      <c r="N266" s="130">
        <v>3.8651415000000001E-3</v>
      </c>
      <c r="O266" s="130"/>
      <c r="P266" s="130"/>
      <c r="Q266" s="115">
        <v>40703</v>
      </c>
      <c r="R266" s="130">
        <v>5.4808193000000002E-3</v>
      </c>
      <c r="T266"/>
    </row>
    <row r="267" spans="2:20">
      <c r="B267" s="91">
        <v>40696</v>
      </c>
      <c r="C267" s="92">
        <v>0.59310645480000002</v>
      </c>
      <c r="D267" s="92">
        <f>VLOOKUP(CurrentMtgRatesDataTable825[[#This Row],[asofdate]],I:J,2,0)</f>
        <v>0.59097363839999995</v>
      </c>
      <c r="E267" s="92">
        <f>VLOOKUP(CurrentMtgRatesDataTable825[[#This Row],[asofdate]],M:N,2,0)</f>
        <v>3.0079733999999999E-3</v>
      </c>
      <c r="F267" s="93">
        <f ca="1">VLOOKUP(CurrentMtgRatesDataTable825[[#This Row],[asofdate]]+1,Bloomberg!B:C,2,0)</f>
        <v>2648</v>
      </c>
      <c r="I267" s="115">
        <v>40696</v>
      </c>
      <c r="J267" s="130">
        <v>0.59097363839999995</v>
      </c>
      <c r="M267" s="115">
        <v>40696</v>
      </c>
      <c r="N267" s="130">
        <v>3.0079733999999999E-3</v>
      </c>
      <c r="O267" s="130"/>
      <c r="P267" s="130"/>
      <c r="Q267" s="115">
        <v>40696</v>
      </c>
      <c r="R267" s="130">
        <v>4.2099418999999999E-3</v>
      </c>
      <c r="T267"/>
    </row>
    <row r="268" spans="2:20">
      <c r="B268" s="91">
        <v>40689</v>
      </c>
      <c r="C268" s="92">
        <v>0.57348259489999998</v>
      </c>
      <c r="D268" s="92">
        <f>VLOOKUP(CurrentMtgRatesDataTable825[[#This Row],[asofdate]],I:J,2,0)</f>
        <v>0.57397086610000003</v>
      </c>
      <c r="E268" s="92">
        <f>VLOOKUP(CurrentMtgRatesDataTable825[[#This Row],[asofdate]],M:N,2,0)</f>
        <v>9.6633050000000001E-4</v>
      </c>
      <c r="F268" s="93">
        <f ca="1">VLOOKUP(CurrentMtgRatesDataTable825[[#This Row],[asofdate]]+1,Bloomberg!B:C,2,0)</f>
        <v>2619.6999999999998</v>
      </c>
      <c r="I268" s="115">
        <v>40689</v>
      </c>
      <c r="J268" s="130">
        <v>0.57397086610000003</v>
      </c>
      <c r="M268" s="115">
        <v>40689</v>
      </c>
      <c r="N268" s="130">
        <v>9.6633050000000001E-4</v>
      </c>
      <c r="O268" s="130"/>
      <c r="P268" s="130"/>
      <c r="Q268" s="115">
        <v>40689</v>
      </c>
      <c r="R268" s="130">
        <v>1.7436814999999999E-3</v>
      </c>
      <c r="T268"/>
    </row>
    <row r="269" spans="2:20">
      <c r="B269" s="91">
        <v>40682</v>
      </c>
      <c r="C269" s="92">
        <v>0.5705515565</v>
      </c>
      <c r="D269" s="92">
        <f>VLOOKUP(CurrentMtgRatesDataTable825[[#This Row],[asofdate]],I:J,2,0)</f>
        <v>0.57236589810000005</v>
      </c>
      <c r="E269" s="92">
        <f>VLOOKUP(CurrentMtgRatesDataTable825[[#This Row],[asofdate]],M:N,2,0)</f>
        <v>9.5316439999999997E-4</v>
      </c>
      <c r="F269" s="93">
        <f ca="1">VLOOKUP(CurrentMtgRatesDataTable825[[#This Row],[asofdate]]+1,Bloomberg!B:C,2,0)</f>
        <v>2764.6</v>
      </c>
      <c r="I269" s="115">
        <v>40682</v>
      </c>
      <c r="J269" s="130">
        <v>0.57236589810000005</v>
      </c>
      <c r="M269" s="115">
        <v>40682</v>
      </c>
      <c r="N269" s="130">
        <v>9.5316439999999997E-4</v>
      </c>
      <c r="O269" s="130"/>
      <c r="P269" s="130"/>
      <c r="Q269" s="115">
        <v>40682</v>
      </c>
      <c r="R269" s="130">
        <v>1.7274497000000001E-3</v>
      </c>
      <c r="T269"/>
    </row>
    <row r="270" spans="2:20">
      <c r="B270" s="91">
        <v>40675</v>
      </c>
      <c r="C270" s="92">
        <v>0.56672128300000002</v>
      </c>
      <c r="D270" s="92">
        <f>VLOOKUP(CurrentMtgRatesDataTable825[[#This Row],[asofdate]],I:J,2,0)</f>
        <v>0.57084324220000005</v>
      </c>
      <c r="E270" s="92">
        <f>VLOOKUP(CurrentMtgRatesDataTable825[[#This Row],[asofdate]],M:N,2,0)</f>
        <v>9.49525E-4</v>
      </c>
      <c r="F270" s="93">
        <f ca="1">VLOOKUP(CurrentMtgRatesDataTable825[[#This Row],[asofdate]]+1,Bloomberg!B:C,2,0)</f>
        <v>2742.2</v>
      </c>
      <c r="I270" s="115">
        <v>40675</v>
      </c>
      <c r="J270" s="130">
        <v>0.57084324220000005</v>
      </c>
      <c r="M270" s="115">
        <v>40675</v>
      </c>
      <c r="N270" s="130">
        <v>9.49525E-4</v>
      </c>
      <c r="O270" s="130"/>
      <c r="P270" s="130"/>
      <c r="Q270" s="115">
        <v>40675</v>
      </c>
      <c r="R270" s="130">
        <v>1.7191680999999999E-3</v>
      </c>
      <c r="T270"/>
    </row>
    <row r="271" spans="2:20">
      <c r="B271" s="91">
        <v>40668</v>
      </c>
      <c r="C271" s="92">
        <v>0.55010519989999995</v>
      </c>
      <c r="D271" s="92">
        <f>VLOOKUP(CurrentMtgRatesDataTable825[[#This Row],[asofdate]],I:J,2,0)</f>
        <v>0.54152063220000002</v>
      </c>
      <c r="E271" s="92">
        <f>VLOOKUP(CurrentMtgRatesDataTable825[[#This Row],[asofdate]],M:N,2,0)</f>
        <v>4.295093E-4</v>
      </c>
      <c r="F271" s="93">
        <f ca="1">VLOOKUP(CurrentMtgRatesDataTable825[[#This Row],[asofdate]]+1,Bloomberg!B:C,2,0)</f>
        <v>2414.9</v>
      </c>
      <c r="I271" s="115">
        <v>40668</v>
      </c>
      <c r="J271" s="130">
        <v>0.54152063220000002</v>
      </c>
      <c r="M271" s="115">
        <v>40668</v>
      </c>
      <c r="N271" s="130">
        <v>4.295093E-4</v>
      </c>
      <c r="O271" s="130"/>
      <c r="P271" s="130"/>
      <c r="Q271" s="115">
        <v>40668</v>
      </c>
      <c r="R271" s="130">
        <v>8.1981839999999996E-4</v>
      </c>
      <c r="T271"/>
    </row>
    <row r="272" spans="2:20">
      <c r="B272" s="91">
        <v>40661</v>
      </c>
      <c r="C272" s="92">
        <v>0.53473553439999999</v>
      </c>
      <c r="D272" s="92">
        <f>VLOOKUP(CurrentMtgRatesDataTable825[[#This Row],[asofdate]],I:J,2,0)</f>
        <v>0.53058626149999999</v>
      </c>
      <c r="E272" s="92">
        <f>VLOOKUP(CurrentMtgRatesDataTable825[[#This Row],[asofdate]],M:N,2,0)</f>
        <v>4.3211E-6</v>
      </c>
      <c r="F272" s="93">
        <f ca="1">VLOOKUP(CurrentMtgRatesDataTable825[[#This Row],[asofdate]]+1,Bloomberg!B:C,2,0)</f>
        <v>2220.1</v>
      </c>
      <c r="I272" s="115">
        <v>40661</v>
      </c>
      <c r="J272" s="130">
        <v>0.53058626149999999</v>
      </c>
      <c r="M272" s="115">
        <v>40661</v>
      </c>
      <c r="N272" s="130">
        <v>4.3211E-6</v>
      </c>
      <c r="O272" s="130"/>
      <c r="P272" s="130"/>
      <c r="Q272" s="115">
        <v>40661</v>
      </c>
      <c r="R272" s="130">
        <v>2.459594E-4</v>
      </c>
      <c r="T272"/>
    </row>
    <row r="273" spans="2:20">
      <c r="B273" s="91">
        <v>40654</v>
      </c>
      <c r="C273" s="92">
        <v>0.52727126680000003</v>
      </c>
      <c r="D273" s="92">
        <f>VLOOKUP(CurrentMtgRatesDataTable825[[#This Row],[asofdate]],I:J,2,0)</f>
        <v>0.529569964</v>
      </c>
      <c r="E273" s="92">
        <f>VLOOKUP(CurrentMtgRatesDataTable825[[#This Row],[asofdate]],M:N,2,0)</f>
        <v>4.3211E-6</v>
      </c>
      <c r="F273" s="93">
        <f ca="1">VLOOKUP(CurrentMtgRatesDataTable825[[#This Row],[asofdate]]+1,Bloomberg!B:C,2,0)</f>
        <v>2091.4</v>
      </c>
      <c r="I273" s="115">
        <v>40654</v>
      </c>
      <c r="J273" s="130">
        <v>0.529569964</v>
      </c>
      <c r="M273" s="115">
        <v>40654</v>
      </c>
      <c r="N273" s="130">
        <v>4.3211E-6</v>
      </c>
      <c r="O273" s="130"/>
      <c r="P273" s="130"/>
      <c r="Q273" s="115">
        <v>40654</v>
      </c>
      <c r="R273" s="130">
        <v>2.441136E-4</v>
      </c>
      <c r="T273"/>
    </row>
    <row r="274" spans="2:20">
      <c r="B274" s="91">
        <v>40647</v>
      </c>
      <c r="C274" s="92">
        <v>0.49577828569999999</v>
      </c>
      <c r="D274" s="92">
        <f>VLOOKUP(CurrentMtgRatesDataTable825[[#This Row],[asofdate]],I:J,2,0)</f>
        <v>0.50893139949999999</v>
      </c>
      <c r="E274" s="92">
        <f>VLOOKUP(CurrentMtgRatesDataTable825[[#This Row],[asofdate]],M:N,2,0)</f>
        <v>0</v>
      </c>
      <c r="F274" s="93">
        <f ca="1">VLOOKUP(CurrentMtgRatesDataTable825[[#This Row],[asofdate]]+1,Bloomberg!B:C,2,0)</f>
        <v>2065.3000000000002</v>
      </c>
      <c r="I274" s="115">
        <v>40647</v>
      </c>
      <c r="J274" s="130">
        <v>0.50893139949999999</v>
      </c>
      <c r="M274" s="115">
        <v>40647</v>
      </c>
      <c r="N274" s="130">
        <v>0</v>
      </c>
      <c r="O274" s="130"/>
      <c r="P274" s="130"/>
      <c r="Q274" s="115">
        <v>40647</v>
      </c>
      <c r="R274" s="130">
        <v>7.0255399999999998E-5</v>
      </c>
      <c r="T274"/>
    </row>
    <row r="275" spans="2:20">
      <c r="B275" s="91">
        <v>40640</v>
      </c>
      <c r="C275" s="92">
        <v>0.50344599359999997</v>
      </c>
      <c r="D275" s="92">
        <f>VLOOKUP(CurrentMtgRatesDataTable825[[#This Row],[asofdate]],I:J,2,0)</f>
        <v>0.51267998920000002</v>
      </c>
      <c r="E275" s="92">
        <f>VLOOKUP(CurrentMtgRatesDataTable825[[#This Row],[asofdate]],M:N,2,0)</f>
        <v>0</v>
      </c>
      <c r="F275" s="93">
        <f ca="1">VLOOKUP(CurrentMtgRatesDataTable825[[#This Row],[asofdate]]+1,Bloomberg!B:C,2,0)</f>
        <v>2010.6</v>
      </c>
      <c r="I275" s="115">
        <v>40640</v>
      </c>
      <c r="J275" s="130">
        <v>0.51267998920000002</v>
      </c>
      <c r="M275" s="115">
        <v>40640</v>
      </c>
      <c r="N275" s="130">
        <v>0</v>
      </c>
      <c r="O275" s="130"/>
      <c r="P275" s="130"/>
      <c r="Q275" s="115">
        <v>40640</v>
      </c>
      <c r="R275" s="130">
        <v>6.8381599999999996E-5</v>
      </c>
      <c r="T275"/>
    </row>
    <row r="276" spans="2:20">
      <c r="B276" s="91">
        <v>40633</v>
      </c>
      <c r="C276" s="92">
        <v>0.52375787650000005</v>
      </c>
      <c r="D276" s="92">
        <f>VLOOKUP(CurrentMtgRatesDataTable825[[#This Row],[asofdate]],I:J,2,0)</f>
        <v>0.52857622039999996</v>
      </c>
      <c r="E276" s="92">
        <f>VLOOKUP(CurrentMtgRatesDataTable825[[#This Row],[asofdate]],M:N,2,0)</f>
        <v>0</v>
      </c>
      <c r="F276" s="93">
        <f ca="1">VLOOKUP(CurrentMtgRatesDataTable825[[#This Row],[asofdate]]+1,Bloomberg!B:C,2,0)</f>
        <v>2194.4</v>
      </c>
      <c r="I276" s="115">
        <v>40633</v>
      </c>
      <c r="J276" s="130">
        <v>0.52857622039999996</v>
      </c>
      <c r="M276" s="115">
        <v>40633</v>
      </c>
      <c r="N276" s="130">
        <v>0</v>
      </c>
      <c r="O276" s="130"/>
      <c r="P276" s="130"/>
      <c r="Q276" s="115">
        <v>40633</v>
      </c>
      <c r="R276" s="130">
        <v>6.8061700000000006E-5</v>
      </c>
      <c r="T276"/>
    </row>
    <row r="277" spans="2:20">
      <c r="B277" s="91">
        <v>40626</v>
      </c>
      <c r="C277" s="92">
        <v>0.53978755850000004</v>
      </c>
      <c r="D277" s="92">
        <f>VLOOKUP(CurrentMtgRatesDataTable825[[#This Row],[asofdate]],I:J,2,0)</f>
        <v>0.54507029809999996</v>
      </c>
      <c r="E277" s="92">
        <f>VLOOKUP(CurrentMtgRatesDataTable825[[#This Row],[asofdate]],M:N,2,0)</f>
        <v>0</v>
      </c>
      <c r="F277" s="93">
        <f ca="1">VLOOKUP(CurrentMtgRatesDataTable825[[#This Row],[asofdate]]+1,Bloomberg!B:C,2,0)</f>
        <v>2350.6999999999998</v>
      </c>
      <c r="I277" s="115">
        <v>40626</v>
      </c>
      <c r="J277" s="130">
        <v>0.54507029809999996</v>
      </c>
      <c r="M277" s="115">
        <v>40626</v>
      </c>
      <c r="N277" s="130">
        <v>0</v>
      </c>
      <c r="O277" s="130"/>
      <c r="P277" s="130"/>
      <c r="Q277" s="115">
        <v>40626</v>
      </c>
      <c r="R277" s="130">
        <v>1.752143E-4</v>
      </c>
      <c r="T277"/>
    </row>
    <row r="278" spans="2:20">
      <c r="B278" s="91">
        <v>40619</v>
      </c>
      <c r="C278" s="92">
        <v>0.56208097560000003</v>
      </c>
      <c r="D278" s="92">
        <f>VLOOKUP(CurrentMtgRatesDataTable825[[#This Row],[asofdate]],I:J,2,0)</f>
        <v>0.56219164870000005</v>
      </c>
      <c r="E278" s="92">
        <f>VLOOKUP(CurrentMtgRatesDataTable825[[#This Row],[asofdate]],M:N,2,0)</f>
        <v>2.2781200000000005E-5</v>
      </c>
      <c r="F278" s="93">
        <f ca="1">VLOOKUP(CurrentMtgRatesDataTable825[[#This Row],[asofdate]]+1,Bloomberg!B:C,2,0)</f>
        <v>2620.8000000000002</v>
      </c>
      <c r="I278" s="115">
        <v>40619</v>
      </c>
      <c r="J278" s="130">
        <v>0.56219164870000005</v>
      </c>
      <c r="M278" s="115">
        <v>40619</v>
      </c>
      <c r="N278" s="130">
        <v>2.2781200000000005E-5</v>
      </c>
      <c r="O278" s="130"/>
      <c r="P278" s="130"/>
      <c r="Q278" s="115">
        <v>40619</v>
      </c>
      <c r="R278" s="130">
        <v>4.507925E-4</v>
      </c>
      <c r="T278"/>
    </row>
    <row r="279" spans="2:20">
      <c r="B279" s="94">
        <v>40612</v>
      </c>
      <c r="C279" s="95">
        <v>0.5148197189</v>
      </c>
      <c r="D279" s="95">
        <f>VLOOKUP(CurrentMtgRatesDataTable825[[#This Row],[asofdate]],I:J,2,0)</f>
        <v>0.52634717639999995</v>
      </c>
      <c r="E279" s="95">
        <f>VLOOKUP(CurrentMtgRatesDataTable825[[#This Row],[asofdate]],M:N,2,0)</f>
        <v>0</v>
      </c>
      <c r="F279" s="96">
        <f ca="1">VLOOKUP(CurrentMtgRatesDataTable825[[#This Row],[asofdate]]+1,Bloomberg!B:C,2,0)</f>
        <v>2563.6</v>
      </c>
      <c r="I279" s="115">
        <v>40612</v>
      </c>
      <c r="J279" s="130">
        <v>0.52634717639999995</v>
      </c>
      <c r="M279" s="115">
        <v>40612</v>
      </c>
      <c r="N279" s="130">
        <v>0</v>
      </c>
      <c r="O279" s="130"/>
      <c r="P279" s="130"/>
      <c r="Q279" s="115">
        <v>40612</v>
      </c>
      <c r="R279" s="130">
        <v>6.7790400000000001E-5</v>
      </c>
      <c r="T279"/>
    </row>
    <row r="280" spans="2:20">
      <c r="B280" s="98">
        <v>40605</v>
      </c>
      <c r="C280" s="99">
        <v>0.51942399480000001</v>
      </c>
      <c r="D280" s="99">
        <f>VLOOKUP(CurrentMtgRatesDataTable825[[#This Row],[asofdate]],I:J,2,0)</f>
        <v>0.5279836094</v>
      </c>
      <c r="E280" s="99">
        <f>VLOOKUP(CurrentMtgRatesDataTable825[[#This Row],[asofdate]],M:N,2,0)</f>
        <v>0</v>
      </c>
      <c r="F280" s="100">
        <f ca="1">VLOOKUP(CurrentMtgRatesDataTable825[[#This Row],[asofdate]]+1,Bloomberg!B:C,2,0)</f>
        <v>2539.4</v>
      </c>
      <c r="I280" s="115">
        <v>40605</v>
      </c>
      <c r="J280" s="130">
        <v>0.5279836094</v>
      </c>
      <c r="M280" s="115">
        <v>40605</v>
      </c>
      <c r="N280" s="130">
        <v>0</v>
      </c>
      <c r="O280" s="130"/>
      <c r="P280" s="130"/>
      <c r="Q280" s="115">
        <v>40605</v>
      </c>
      <c r="R280" s="130">
        <v>6.8061700000000006E-5</v>
      </c>
      <c r="T280"/>
    </row>
    <row r="281" spans="2:20">
      <c r="B281" s="101">
        <v>40598</v>
      </c>
      <c r="C281" s="102">
        <v>0.508720438</v>
      </c>
      <c r="D281" s="102">
        <f>VLOOKUP(CurrentMtgRatesDataTable825[[#This Row],[asofdate]],I:J,2,0)</f>
        <v>0.51712340239999999</v>
      </c>
      <c r="E281" s="102">
        <f>VLOOKUP(CurrentMtgRatesDataTable825[[#This Row],[asofdate]],M:N,2,0)</f>
        <v>0</v>
      </c>
      <c r="F281" s="103">
        <f ca="1">VLOOKUP(CurrentMtgRatesDataTable825[[#This Row],[asofdate]]+1,Bloomberg!B:C,2,0)</f>
        <v>2155.5</v>
      </c>
      <c r="I281" s="115">
        <v>40598</v>
      </c>
      <c r="J281" s="130">
        <v>0.51712340239999999</v>
      </c>
      <c r="M281" s="115">
        <v>40598</v>
      </c>
      <c r="N281" s="130">
        <v>0</v>
      </c>
      <c r="O281" s="130"/>
      <c r="P281" s="130"/>
      <c r="Q281" s="115">
        <v>40598</v>
      </c>
      <c r="R281" s="130">
        <v>3.87933E-5</v>
      </c>
      <c r="T281"/>
    </row>
    <row r="282" spans="2:20">
      <c r="B282" s="101">
        <v>40591</v>
      </c>
      <c r="C282" s="102">
        <v>0.47639406890000002</v>
      </c>
      <c r="D282" s="102">
        <f>VLOOKUP(CurrentMtgRatesDataTable825[[#This Row],[asofdate]],I:J,2,0)</f>
        <v>0.48985835570000003</v>
      </c>
      <c r="E282" s="102">
        <f>VLOOKUP(CurrentMtgRatesDataTable825[[#This Row],[asofdate]],M:N,2,0)</f>
        <v>0</v>
      </c>
      <c r="F282" s="103">
        <f ca="1">VLOOKUP(CurrentMtgRatesDataTable825[[#This Row],[asofdate]]+1,Bloomberg!B:C,2,0)</f>
        <v>2325.3000000000002</v>
      </c>
      <c r="I282" s="115">
        <v>40591</v>
      </c>
      <c r="J282" s="130">
        <v>0.48985835570000003</v>
      </c>
      <c r="M282" s="115">
        <v>40591</v>
      </c>
      <c r="N282" s="130">
        <v>0</v>
      </c>
      <c r="O282" s="130"/>
      <c r="P282" s="130"/>
      <c r="Q282" s="115">
        <v>40591</v>
      </c>
      <c r="R282" s="130">
        <v>2.3976100000000002E-5</v>
      </c>
      <c r="T282"/>
    </row>
    <row r="283" spans="2:20">
      <c r="B283" s="101">
        <v>40584</v>
      </c>
      <c r="C283" s="102">
        <v>0.45403412139999999</v>
      </c>
      <c r="D283" s="102">
        <f>VLOOKUP(CurrentMtgRatesDataTable825[[#This Row],[asofdate]],I:J,2,0)</f>
        <v>0.46490756020000001</v>
      </c>
      <c r="E283" s="102">
        <f>VLOOKUP(CurrentMtgRatesDataTable825[[#This Row],[asofdate]],M:N,2,0)</f>
        <v>0</v>
      </c>
      <c r="F283" s="103">
        <f ca="1">VLOOKUP(CurrentMtgRatesDataTable825[[#This Row],[asofdate]]+1,Bloomberg!B:C,2,0)</f>
        <v>1953.2</v>
      </c>
      <c r="I283" s="115">
        <v>40584</v>
      </c>
      <c r="J283" s="130">
        <v>0.46490756020000001</v>
      </c>
      <c r="M283" s="115">
        <v>40584</v>
      </c>
      <c r="N283" s="130">
        <v>0</v>
      </c>
      <c r="O283" s="130"/>
      <c r="P283" s="130"/>
      <c r="Q283" s="115">
        <v>40584</v>
      </c>
      <c r="R283" s="130">
        <v>1.7607900000000001E-5</v>
      </c>
      <c r="T283"/>
    </row>
    <row r="284" spans="2:20">
      <c r="B284" s="101">
        <v>40577</v>
      </c>
      <c r="C284" s="102">
        <v>0.5489494976</v>
      </c>
      <c r="D284" s="102">
        <f>VLOOKUP(CurrentMtgRatesDataTable825[[#This Row],[asofdate]],I:J,2,0)</f>
        <v>0.54654675470000003</v>
      </c>
      <c r="E284" s="102">
        <f>VLOOKUP(CurrentMtgRatesDataTable825[[#This Row],[asofdate]],M:N,2,0)</f>
        <v>0</v>
      </c>
      <c r="F284" s="103">
        <f ca="1">VLOOKUP(CurrentMtgRatesDataTable825[[#This Row],[asofdate]]+1,Bloomberg!B:C,2,0)</f>
        <v>2190.4</v>
      </c>
      <c r="I284" s="115">
        <v>40577</v>
      </c>
      <c r="J284" s="130">
        <v>0.54654675470000003</v>
      </c>
      <c r="M284" s="115">
        <v>40577</v>
      </c>
      <c r="N284" s="130">
        <v>0</v>
      </c>
      <c r="O284" s="130"/>
      <c r="P284" s="130"/>
      <c r="Q284" s="115">
        <v>40577</v>
      </c>
      <c r="R284" s="130">
        <v>1.0595339999999999E-4</v>
      </c>
      <c r="T284"/>
    </row>
    <row r="285" spans="2:20">
      <c r="B285" s="108">
        <v>40570</v>
      </c>
      <c r="C285" s="109">
        <v>0.58888948990000001</v>
      </c>
      <c r="D285" s="109">
        <f>VLOOKUP(CurrentMtgRatesDataTable825[[#This Row],[asofdate]],I:J,2,0)</f>
        <v>0.58133855670000001</v>
      </c>
      <c r="E285" s="109">
        <f>VLOOKUP(CurrentMtgRatesDataTable825[[#This Row],[asofdate]],M:N,2,0)</f>
        <v>0</v>
      </c>
      <c r="F285" s="110">
        <f ca="1">VLOOKUP(CurrentMtgRatesDataTable825[[#This Row],[asofdate]]+1,Bloomberg!B:C,2,0)</f>
        <v>2371.1</v>
      </c>
      <c r="I285" s="115">
        <v>40570</v>
      </c>
      <c r="J285" s="130">
        <v>0.58133855670000001</v>
      </c>
      <c r="M285" s="115">
        <v>40570</v>
      </c>
      <c r="N285" s="130">
        <v>0</v>
      </c>
      <c r="O285" s="130"/>
      <c r="P285" s="130"/>
      <c r="Q285" s="115">
        <v>40570</v>
      </c>
      <c r="R285" s="130">
        <v>1.2575109999999999E-4</v>
      </c>
      <c r="T285"/>
    </row>
    <row r="286" spans="2:20">
      <c r="B286" s="108">
        <v>40563</v>
      </c>
      <c r="C286" s="109">
        <v>0.60501972319999997</v>
      </c>
      <c r="D286" s="109">
        <f>VLOOKUP(CurrentMtgRatesDataTable825[[#This Row],[asofdate]],I:J,2,0)</f>
        <v>0.58325702479999997</v>
      </c>
      <c r="E286" s="109">
        <f>VLOOKUP(CurrentMtgRatesDataTable825[[#This Row],[asofdate]],M:N,2,0)</f>
        <v>0</v>
      </c>
      <c r="F286" s="110">
        <f ca="1">VLOOKUP(CurrentMtgRatesDataTable825[[#This Row],[asofdate]]+1,Bloomberg!B:C,2,0)</f>
        <v>2129.6999999999998</v>
      </c>
      <c r="I286" s="115">
        <v>40563</v>
      </c>
      <c r="J286" s="130">
        <v>0.58325702479999997</v>
      </c>
      <c r="M286" s="115">
        <v>40563</v>
      </c>
      <c r="N286" s="130">
        <v>0</v>
      </c>
      <c r="O286" s="130"/>
      <c r="P286" s="130"/>
      <c r="Q286" s="115">
        <v>40563</v>
      </c>
      <c r="R286" s="130">
        <v>2.7941290000000002E-4</v>
      </c>
      <c r="T286"/>
    </row>
    <row r="287" spans="2:20">
      <c r="B287" s="115">
        <v>40556</v>
      </c>
      <c r="C287" s="116">
        <v>0.6205579832</v>
      </c>
      <c r="D287" s="116">
        <f>VLOOKUP(CurrentMtgRatesDataTable825[[#This Row],[asofdate]],I:J,2,0)</f>
        <v>0.60116222669999997</v>
      </c>
      <c r="E287" s="116">
        <f>VLOOKUP(CurrentMtgRatesDataTable825[[#This Row],[asofdate]],M:N,2,0)</f>
        <v>3.4087999999999999E-6</v>
      </c>
      <c r="F287" s="117">
        <f ca="1">VLOOKUP(CurrentMtgRatesDataTable825[[#This Row],[asofdate]]+1,Bloomberg!B:C,2,0)</f>
        <v>2528.6999999999998</v>
      </c>
      <c r="I287" s="115">
        <v>40556</v>
      </c>
      <c r="J287" s="130">
        <v>0.60116222669999997</v>
      </c>
      <c r="M287" s="115">
        <v>40556</v>
      </c>
      <c r="N287" s="130">
        <v>3.4087999999999999E-6</v>
      </c>
      <c r="O287" s="130"/>
      <c r="P287" s="130"/>
      <c r="Q287" s="115">
        <v>40556</v>
      </c>
      <c r="R287" s="130">
        <v>4.067427E-4</v>
      </c>
      <c r="T287"/>
    </row>
    <row r="288" spans="2:20">
      <c r="B288" s="115">
        <v>40549</v>
      </c>
      <c r="C288" s="116">
        <v>0.59347128179999997</v>
      </c>
      <c r="D288" s="116">
        <f>VLOOKUP(CurrentMtgRatesDataTable825[[#This Row],[asofdate]],I:J,2,0)</f>
        <v>0.58148518429999996</v>
      </c>
      <c r="E288" s="116">
        <f>VLOOKUP(CurrentMtgRatesDataTable825[[#This Row],[asofdate]],M:N,2,0)</f>
        <v>0</v>
      </c>
      <c r="F288" s="117">
        <f ca="1">VLOOKUP(CurrentMtgRatesDataTable825[[#This Row],[asofdate]]+1,Bloomberg!B:C,2,0)</f>
        <v>2344.3000000000002</v>
      </c>
      <c r="I288" s="115">
        <v>40549</v>
      </c>
      <c r="J288" s="130">
        <v>0.58148518429999996</v>
      </c>
      <c r="M288" s="115">
        <v>40549</v>
      </c>
      <c r="N288" s="130">
        <v>0</v>
      </c>
      <c r="O288" s="130"/>
      <c r="P288" s="130"/>
      <c r="Q288" s="115">
        <v>40549</v>
      </c>
      <c r="R288" s="130">
        <v>2.7164890000000002E-4</v>
      </c>
      <c r="T288"/>
    </row>
    <row r="289" spans="2:20">
      <c r="B289" s="115">
        <v>40542</v>
      </c>
      <c r="C289" s="116">
        <v>0.56063199370000005</v>
      </c>
      <c r="D289" s="116">
        <f>VLOOKUP(CurrentMtgRatesDataTable825[[#This Row],[asofdate]],I:J,2,0)</f>
        <v>0.57125989649999998</v>
      </c>
      <c r="E289" s="116">
        <f>VLOOKUP(CurrentMtgRatesDataTable825[[#This Row],[asofdate]],M:N,2,0)</f>
        <v>0</v>
      </c>
      <c r="F289" s="117">
        <f ca="1">VLOOKUP(CurrentMtgRatesDataTable825[[#This Row],[asofdate]]+1,Bloomberg!B:C,2,0)</f>
        <v>2249.6</v>
      </c>
      <c r="I289" s="115">
        <v>40542</v>
      </c>
      <c r="J289" s="130">
        <v>0.57125989649999998</v>
      </c>
      <c r="M289" s="115">
        <v>40542</v>
      </c>
      <c r="N289" s="130">
        <v>0</v>
      </c>
      <c r="O289" s="130"/>
      <c r="P289" s="130"/>
      <c r="Q289" s="115">
        <v>40542</v>
      </c>
      <c r="R289" s="130">
        <v>1.1514540000000001E-4</v>
      </c>
      <c r="T289"/>
    </row>
    <row r="290" spans="2:20">
      <c r="B290" s="115">
        <v>40535</v>
      </c>
      <c r="C290" s="116">
        <v>0.60318650750000002</v>
      </c>
      <c r="D290" s="116">
        <f>VLOOKUP(CurrentMtgRatesDataTable825[[#This Row],[asofdate]],I:J,2,0)</f>
        <v>0.59675222760000002</v>
      </c>
      <c r="E290" s="116">
        <f>VLOOKUP(CurrentMtgRatesDataTable825[[#This Row],[asofdate]],M:N,2,0)</f>
        <v>0</v>
      </c>
      <c r="F290" s="117">
        <f ca="1">VLOOKUP(CurrentMtgRatesDataTable825[[#This Row],[asofdate]]+1,Bloomberg!B:C,2,0)</f>
        <v>2185.5</v>
      </c>
      <c r="I290" s="115">
        <v>40535</v>
      </c>
      <c r="J290" s="130">
        <v>0.59675222760000002</v>
      </c>
      <c r="M290" s="115">
        <v>40535</v>
      </c>
      <c r="N290" s="130">
        <v>0</v>
      </c>
      <c r="O290" s="130"/>
      <c r="P290" s="130"/>
      <c r="Q290" s="115">
        <v>40535</v>
      </c>
      <c r="R290" s="130">
        <v>2.180665E-4</v>
      </c>
      <c r="T290"/>
    </row>
    <row r="291" spans="2:20">
      <c r="B291" s="115">
        <v>40528</v>
      </c>
      <c r="C291" s="116">
        <v>0.58904679879999999</v>
      </c>
      <c r="D291" s="116">
        <f>VLOOKUP(CurrentMtgRatesDataTable825[[#This Row],[asofdate]],I:J,2,0)</f>
        <v>0.57757226409999995</v>
      </c>
      <c r="E291" s="116">
        <f>VLOOKUP(CurrentMtgRatesDataTable825[[#This Row],[asofdate]],M:N,2,0)</f>
        <v>0</v>
      </c>
      <c r="F291" s="117">
        <f ca="1">VLOOKUP(CurrentMtgRatesDataTable825[[#This Row],[asofdate]]+1,Bloomberg!B:C,2,0)</f>
        <v>2319.9</v>
      </c>
      <c r="I291" s="115">
        <v>40528</v>
      </c>
      <c r="J291" s="130">
        <v>0.57757226409999995</v>
      </c>
      <c r="M291" s="115">
        <v>40528</v>
      </c>
      <c r="N291" s="130">
        <v>0</v>
      </c>
      <c r="O291" s="130"/>
      <c r="P291" s="130"/>
      <c r="Q291" s="115">
        <v>40528</v>
      </c>
      <c r="R291" s="130">
        <v>1.217348E-4</v>
      </c>
      <c r="T291"/>
    </row>
    <row r="292" spans="2:20">
      <c r="B292" s="115">
        <v>40521</v>
      </c>
      <c r="C292" s="116">
        <v>0.67175467840000003</v>
      </c>
      <c r="D292" s="116">
        <f>VLOOKUP(CurrentMtgRatesDataTable825[[#This Row],[asofdate]],I:J,2,0)</f>
        <v>0.65605300519999998</v>
      </c>
      <c r="E292" s="116">
        <f>VLOOKUP(CurrentMtgRatesDataTable825[[#This Row],[asofdate]],M:N,2,0)</f>
        <v>0</v>
      </c>
      <c r="F292" s="117">
        <f ca="1">VLOOKUP(CurrentMtgRatesDataTable825[[#This Row],[asofdate]]+1,Bloomberg!B:C,2,0)</f>
        <v>3067.3</v>
      </c>
      <c r="I292" s="115">
        <v>40521</v>
      </c>
      <c r="J292" s="130">
        <v>0.65605300519999998</v>
      </c>
      <c r="M292" s="115">
        <v>40521</v>
      </c>
      <c r="N292" s="130">
        <v>0</v>
      </c>
      <c r="O292" s="130"/>
      <c r="P292" s="130"/>
      <c r="Q292" s="115">
        <v>40521</v>
      </c>
      <c r="R292" s="130">
        <v>6.9437969999999998E-4</v>
      </c>
      <c r="T292"/>
    </row>
    <row r="293" spans="2:20">
      <c r="B293" s="115">
        <v>40514</v>
      </c>
      <c r="C293" s="116">
        <v>0.73298549680000002</v>
      </c>
      <c r="D293" s="116">
        <f>VLOOKUP(CurrentMtgRatesDataTable825[[#This Row],[asofdate]],I:J,2,0)</f>
        <v>0.69918673009999999</v>
      </c>
      <c r="E293" s="116">
        <f>VLOOKUP(CurrentMtgRatesDataTable825[[#This Row],[asofdate]],M:N,2,0)</f>
        <v>0</v>
      </c>
      <c r="F293" s="117">
        <f ca="1">VLOOKUP(CurrentMtgRatesDataTable825[[#This Row],[asofdate]]+1,Bloomberg!B:C,2,0)</f>
        <v>3066.2</v>
      </c>
      <c r="I293" s="115">
        <v>40514</v>
      </c>
      <c r="J293" s="130">
        <v>0.69918673009999999</v>
      </c>
      <c r="M293" s="115">
        <v>40514</v>
      </c>
      <c r="N293" s="130">
        <v>0</v>
      </c>
      <c r="O293" s="130"/>
      <c r="P293" s="130"/>
      <c r="Q293" s="115">
        <v>40514</v>
      </c>
      <c r="R293" s="130">
        <v>1.3575178E-3</v>
      </c>
      <c r="T293"/>
    </row>
    <row r="294" spans="2:20">
      <c r="B294" s="115">
        <v>40506</v>
      </c>
      <c r="C294" s="116">
        <v>0.82198260339999996</v>
      </c>
      <c r="D294" s="116">
        <f>VLOOKUP(CurrentMtgRatesDataTable825[[#This Row],[asofdate]],I:J,2,0)</f>
        <v>0.75475562129999996</v>
      </c>
      <c r="E294" s="116">
        <f>VLOOKUP(CurrentMtgRatesDataTable825[[#This Row],[asofdate]],M:N,2,0)</f>
        <v>0</v>
      </c>
      <c r="F294" s="117" t="e">
        <f ca="1">VLOOKUP(CurrentMtgRatesDataTable825[[#This Row],[asofdate]]+1,Bloomberg!B:C,2,0)</f>
        <v>#N/A</v>
      </c>
      <c r="I294" s="115">
        <v>40506</v>
      </c>
      <c r="J294" s="130">
        <v>0.75475562129999996</v>
      </c>
      <c r="M294" s="115">
        <v>40506</v>
      </c>
      <c r="N294" s="130">
        <v>0</v>
      </c>
      <c r="O294" s="130"/>
      <c r="P294" s="130"/>
      <c r="Q294" s="115">
        <v>40506</v>
      </c>
      <c r="R294" s="130">
        <v>4.1857947000000003E-3</v>
      </c>
      <c r="T294"/>
    </row>
    <row r="295" spans="2:20">
      <c r="B295" s="115">
        <v>40500</v>
      </c>
      <c r="C295" s="116">
        <v>0.79909835509999994</v>
      </c>
      <c r="D295" s="116">
        <f>VLOOKUP(CurrentMtgRatesDataTable825[[#This Row],[asofdate]],I:J,2,0)</f>
        <v>0.75447953670000001</v>
      </c>
      <c r="E295" s="116">
        <f>VLOOKUP(CurrentMtgRatesDataTable825[[#This Row],[asofdate]],M:N,2,0)</f>
        <v>0</v>
      </c>
      <c r="F295" s="117">
        <f ca="1">VLOOKUP(CurrentMtgRatesDataTable825[[#This Row],[asofdate]]+1,Bloomberg!B:C,2,0)</f>
        <v>4009.2</v>
      </c>
      <c r="I295" s="115">
        <v>40500</v>
      </c>
      <c r="J295" s="130">
        <v>0.75447953670000001</v>
      </c>
      <c r="M295" s="115">
        <v>40500</v>
      </c>
      <c r="N295" s="130">
        <v>0</v>
      </c>
      <c r="O295" s="130"/>
      <c r="P295" s="130"/>
      <c r="Q295" s="115">
        <v>40500</v>
      </c>
      <c r="R295" s="130">
        <v>4.1800915000000001E-3</v>
      </c>
      <c r="T295"/>
    </row>
    <row r="296" spans="2:20">
      <c r="B296" s="115">
        <v>40493</v>
      </c>
      <c r="C296" s="116">
        <v>0.94834647279999995</v>
      </c>
      <c r="D296" s="116">
        <f>VLOOKUP(CurrentMtgRatesDataTable825[[#This Row],[asofdate]],I:J,2,0)</f>
        <v>0.8785058455000001</v>
      </c>
      <c r="E296" s="116">
        <f>VLOOKUP(CurrentMtgRatesDataTable825[[#This Row],[asofdate]],M:N,2,0)</f>
        <v>0.87849900790000013</v>
      </c>
      <c r="F296" s="117">
        <f ca="1">VLOOKUP(CurrentMtgRatesDataTable825[[#This Row],[asofdate]]+1,Bloomberg!B:C,2,0)</f>
        <v>4015.2</v>
      </c>
      <c r="I296" s="115">
        <v>40493</v>
      </c>
      <c r="J296" s="130">
        <v>0.8785058455000001</v>
      </c>
      <c r="M296" s="115">
        <v>40493</v>
      </c>
      <c r="N296" s="130">
        <v>0.87849900790000013</v>
      </c>
      <c r="O296" s="130"/>
      <c r="P296" s="130"/>
      <c r="Q296" s="115">
        <v>40493</v>
      </c>
      <c r="R296" s="130">
        <v>0.87849900790000013</v>
      </c>
      <c r="T296"/>
    </row>
    <row r="297" spans="2:20">
      <c r="B297" s="115">
        <v>40486</v>
      </c>
      <c r="C297" s="116">
        <v>0.93243236860000001</v>
      </c>
      <c r="D297" s="116">
        <f>VLOOKUP(CurrentMtgRatesDataTable825[[#This Row],[asofdate]],I:J,2,0)</f>
        <v>0.83169925109999998</v>
      </c>
      <c r="E297" s="116">
        <f>VLOOKUP(CurrentMtgRatesDataTable825[[#This Row],[asofdate]],M:N,2,0)</f>
        <v>0</v>
      </c>
      <c r="F297" s="117">
        <f ca="1">VLOOKUP(CurrentMtgRatesDataTable825[[#This Row],[asofdate]]+1,Bloomberg!B:C,2,0)</f>
        <v>4836.3999999999996</v>
      </c>
      <c r="I297" s="115">
        <v>40486</v>
      </c>
      <c r="J297" s="130">
        <v>0.83169925109999998</v>
      </c>
      <c r="M297" s="115">
        <v>40486</v>
      </c>
      <c r="N297" s="130">
        <v>0</v>
      </c>
      <c r="O297" s="130"/>
      <c r="P297" s="130"/>
      <c r="Q297" s="115">
        <v>40486</v>
      </c>
      <c r="R297" s="130">
        <v>0.83158081500000003</v>
      </c>
      <c r="T297"/>
    </row>
    <row r="298" spans="2:20">
      <c r="B298" s="115">
        <v>40479</v>
      </c>
      <c r="C298" s="116">
        <v>0.95074042540000003</v>
      </c>
      <c r="D298" s="116">
        <f>VLOOKUP(CurrentMtgRatesDataTable825[[#This Row],[asofdate]],I:J,2,0)</f>
        <v>0.87353389479999999</v>
      </c>
      <c r="E298" s="116">
        <f>VLOOKUP(CurrentMtgRatesDataTable825[[#This Row],[asofdate]],M:N,2,0)</f>
        <v>0</v>
      </c>
      <c r="F298" s="117">
        <f ca="1">VLOOKUP(CurrentMtgRatesDataTable825[[#This Row],[asofdate]]+1,Bloomberg!B:C,2,0)</f>
        <v>4568.1000000000004</v>
      </c>
      <c r="I298" s="115">
        <v>40479</v>
      </c>
      <c r="J298" s="130">
        <v>0.87353389479999999</v>
      </c>
      <c r="M298" s="115">
        <v>40479</v>
      </c>
      <c r="N298" s="130">
        <v>0</v>
      </c>
      <c r="O298" s="130"/>
      <c r="P298" s="130"/>
      <c r="Q298" s="115">
        <v>40479</v>
      </c>
      <c r="R298" s="130">
        <v>0.87352285470000002</v>
      </c>
      <c r="T298"/>
    </row>
    <row r="299" spans="2:20">
      <c r="B299" s="115">
        <v>40472</v>
      </c>
      <c r="C299" s="116">
        <v>0.9515616254</v>
      </c>
      <c r="D299" s="116">
        <f>VLOOKUP(CurrentMtgRatesDataTable825[[#This Row],[asofdate]],I:J,2,0)</f>
        <v>0.87406466520000015</v>
      </c>
      <c r="E299" s="116">
        <f>VLOOKUP(CurrentMtgRatesDataTable825[[#This Row],[asofdate]],M:N,2,0)</f>
        <v>0</v>
      </c>
      <c r="F299" s="117">
        <f ca="1">VLOOKUP(CurrentMtgRatesDataTable825[[#This Row],[asofdate]]+1,Bloomberg!B:C,2,0)</f>
        <v>4904.2</v>
      </c>
      <c r="I299" s="115">
        <v>40472</v>
      </c>
      <c r="J299" s="130">
        <v>0.87406466520000015</v>
      </c>
      <c r="M299" s="115">
        <v>40472</v>
      </c>
      <c r="N299" s="130">
        <v>0</v>
      </c>
      <c r="O299" s="130"/>
      <c r="P299" s="130"/>
      <c r="Q299" s="115">
        <v>40472</v>
      </c>
      <c r="R299" s="130">
        <v>0.87405301849999995</v>
      </c>
      <c r="T299"/>
    </row>
    <row r="300" spans="2:20">
      <c r="B300" s="115">
        <v>40465</v>
      </c>
      <c r="C300" s="116">
        <v>0.95265037860000001</v>
      </c>
      <c r="D300" s="116">
        <f>VLOOKUP(CurrentMtgRatesDataTable825[[#This Row],[asofdate]],I:J,2,0)</f>
        <v>0.87669213730000006</v>
      </c>
      <c r="E300" s="116">
        <f>VLOOKUP(CurrentMtgRatesDataTable825[[#This Row],[asofdate]],M:N,2,0)</f>
        <v>0.87668126219999998</v>
      </c>
      <c r="F300" s="117">
        <f ca="1">VLOOKUP(CurrentMtgRatesDataTable825[[#This Row],[asofdate]]+1,Bloomberg!B:C,2,0)</f>
        <v>4768.6000000000004</v>
      </c>
      <c r="I300" s="115">
        <v>40465</v>
      </c>
      <c r="J300" s="130">
        <v>0.87669213730000006</v>
      </c>
      <c r="M300" s="115">
        <v>40465</v>
      </c>
      <c r="N300" s="130">
        <v>0.87668126219999998</v>
      </c>
      <c r="O300" s="130"/>
      <c r="P300" s="130"/>
      <c r="Q300" s="115">
        <v>40465</v>
      </c>
      <c r="R300" s="130">
        <v>0.87668126219999998</v>
      </c>
      <c r="T300"/>
    </row>
    <row r="301" spans="2:20">
      <c r="B301" s="115">
        <v>40458</v>
      </c>
      <c r="C301" s="116">
        <v>0.93741406800000004</v>
      </c>
      <c r="D301" s="116">
        <f>VLOOKUP(CurrentMtgRatesDataTable825[[#This Row],[asofdate]],I:J,2,0)</f>
        <v>0.84608171109999997</v>
      </c>
      <c r="E301" s="116">
        <f>VLOOKUP(CurrentMtgRatesDataTable825[[#This Row],[asofdate]],M:N,2,0)</f>
        <v>0.84601650620000002</v>
      </c>
      <c r="F301" s="117">
        <f ca="1">VLOOKUP(CurrentMtgRatesDataTable825[[#This Row],[asofdate]]+1,Bloomberg!B:C,2,0)</f>
        <v>5455.4</v>
      </c>
      <c r="I301" s="115">
        <v>40458</v>
      </c>
      <c r="J301" s="130">
        <v>0.84608171109999997</v>
      </c>
      <c r="M301" s="115">
        <v>40458</v>
      </c>
      <c r="N301" s="130">
        <v>0.84601650620000002</v>
      </c>
      <c r="O301" s="130"/>
      <c r="P301" s="130"/>
      <c r="Q301" s="115">
        <v>40458</v>
      </c>
      <c r="R301" s="130">
        <v>0.84601650620000002</v>
      </c>
      <c r="T301"/>
    </row>
    <row r="302" spans="2:20">
      <c r="B302" s="115">
        <v>40451</v>
      </c>
      <c r="C302" s="116">
        <v>0.92460704859999998</v>
      </c>
      <c r="D302" s="116">
        <f>VLOOKUP(CurrentMtgRatesDataTable825[[#This Row],[asofdate]],I:J,2,0)</f>
        <v>0.82257295500000005</v>
      </c>
      <c r="E302" s="116">
        <f>VLOOKUP(CurrentMtgRatesDataTable825[[#This Row],[asofdate]],M:N,2,0)</f>
        <v>0</v>
      </c>
      <c r="F302" s="117">
        <f ca="1">VLOOKUP(CurrentMtgRatesDataTable825[[#This Row],[asofdate]]+1,Bloomberg!B:C,2,0)</f>
        <v>4395.5</v>
      </c>
      <c r="I302" s="115">
        <v>40451</v>
      </c>
      <c r="J302" s="130">
        <v>0.82257295500000005</v>
      </c>
      <c r="M302" s="115">
        <v>40451</v>
      </c>
      <c r="N302" s="130">
        <v>0</v>
      </c>
      <c r="O302" s="130"/>
      <c r="P302" s="130"/>
      <c r="Q302" s="115">
        <v>40451</v>
      </c>
      <c r="R302" s="130">
        <v>0.82255319569999996</v>
      </c>
      <c r="T302"/>
    </row>
    <row r="303" spans="2:20">
      <c r="B303" s="115">
        <v>40444</v>
      </c>
      <c r="C303" s="116">
        <v>0.91580087529999998</v>
      </c>
      <c r="D303" s="116">
        <f>VLOOKUP(CurrentMtgRatesDataTable825[[#This Row],[asofdate]],I:J,2,0)</f>
        <v>0.82067381179999999</v>
      </c>
      <c r="E303" s="116">
        <f>VLOOKUP(CurrentMtgRatesDataTable825[[#This Row],[asofdate]],M:N,2,0)</f>
        <v>0</v>
      </c>
      <c r="F303" s="117">
        <f ca="1">VLOOKUP(CurrentMtgRatesDataTable825[[#This Row],[asofdate]]+1,Bloomberg!B:C,2,0)</f>
        <v>4549.3</v>
      </c>
      <c r="I303" s="115">
        <v>40444</v>
      </c>
      <c r="J303" s="130">
        <v>0.82067381179999999</v>
      </c>
      <c r="M303" s="115">
        <v>40444</v>
      </c>
      <c r="N303" s="130">
        <v>0</v>
      </c>
      <c r="O303" s="130"/>
      <c r="P303" s="130"/>
      <c r="Q303" s="115">
        <v>40444</v>
      </c>
      <c r="R303" s="130">
        <v>0.82065378529999999</v>
      </c>
      <c r="T303"/>
    </row>
    <row r="304" spans="2:20">
      <c r="B304" s="115">
        <v>40437</v>
      </c>
      <c r="C304" s="116">
        <v>0.91580087529999998</v>
      </c>
      <c r="D304" s="116">
        <f>VLOOKUP(CurrentMtgRatesDataTable825[[#This Row],[asofdate]],I:J,2,0)</f>
        <v>0.82067381179999999</v>
      </c>
      <c r="E304" s="116">
        <f>VLOOKUP(CurrentMtgRatesDataTable825[[#This Row],[asofdate]],M:N,2,0)</f>
        <v>0</v>
      </c>
      <c r="F304" s="117">
        <f ca="1">VLOOKUP(CurrentMtgRatesDataTable825[[#This Row],[asofdate]]+1,Bloomberg!B:C,2,0)</f>
        <v>4624.6000000000004</v>
      </c>
      <c r="I304" s="115">
        <v>40437</v>
      </c>
      <c r="J304" s="130">
        <v>0.82067381179999999</v>
      </c>
      <c r="M304" s="115">
        <v>40437</v>
      </c>
      <c r="N304" s="130">
        <v>0</v>
      </c>
      <c r="O304" s="130"/>
      <c r="P304" s="130"/>
      <c r="Q304" s="115">
        <v>40437</v>
      </c>
      <c r="R304" s="130">
        <v>0.82065378529999999</v>
      </c>
      <c r="T304"/>
    </row>
    <row r="305" spans="2:20">
      <c r="B305" s="115">
        <v>40430</v>
      </c>
      <c r="C305" s="116">
        <v>0.92336794280000001</v>
      </c>
      <c r="D305" s="116">
        <f>VLOOKUP(CurrentMtgRatesDataTable825[[#This Row],[asofdate]],I:J,2,0)</f>
        <v>0.82251853900000005</v>
      </c>
      <c r="E305" s="116">
        <f>VLOOKUP(CurrentMtgRatesDataTable825[[#This Row],[asofdate]],M:N,2,0)</f>
        <v>0</v>
      </c>
      <c r="F305" s="117">
        <f ca="1">VLOOKUP(CurrentMtgRatesDataTable825[[#This Row],[asofdate]]+1,Bloomberg!B:C,2,0)</f>
        <v>4663.8</v>
      </c>
      <c r="I305" s="115">
        <v>40430</v>
      </c>
      <c r="J305" s="130">
        <v>0.82251853900000005</v>
      </c>
      <c r="M305" s="115">
        <v>40430</v>
      </c>
      <c r="N305" s="130">
        <v>0</v>
      </c>
      <c r="O305" s="130"/>
      <c r="P305" s="130"/>
      <c r="Q305" s="115">
        <v>40430</v>
      </c>
      <c r="R305" s="130">
        <v>0.82249875709999998</v>
      </c>
      <c r="T305"/>
    </row>
    <row r="306" spans="2:20">
      <c r="B306" s="115">
        <v>40423</v>
      </c>
      <c r="C306" s="116">
        <v>0.93385942560000001</v>
      </c>
      <c r="D306" s="116">
        <f>VLOOKUP(CurrentMtgRatesDataTable825[[#This Row],[asofdate]],I:J,2,0)</f>
        <v>0.85995861939999996</v>
      </c>
      <c r="E306" s="116">
        <f>VLOOKUP(CurrentMtgRatesDataTable825[[#This Row],[asofdate]],M:N,2,0)</f>
        <v>0.8595783092</v>
      </c>
      <c r="F306" s="117">
        <f ca="1">VLOOKUP(CurrentMtgRatesDataTable825[[#This Row],[asofdate]]+1,Bloomberg!B:C,2,0)</f>
        <v>5214.6000000000004</v>
      </c>
      <c r="I306" s="115">
        <v>40423</v>
      </c>
      <c r="J306" s="130">
        <v>0.85995861939999996</v>
      </c>
      <c r="M306" s="115">
        <v>40423</v>
      </c>
      <c r="N306" s="130">
        <v>0.8595783092</v>
      </c>
      <c r="O306" s="130"/>
      <c r="P306" s="130"/>
      <c r="Q306" s="115">
        <v>40423</v>
      </c>
      <c r="R306" s="130">
        <v>0.8595783092</v>
      </c>
      <c r="T306"/>
    </row>
    <row r="307" spans="2:20">
      <c r="B307" s="115">
        <v>40416</v>
      </c>
      <c r="C307" s="116">
        <v>0.92103950720000005</v>
      </c>
      <c r="D307" s="116">
        <f>VLOOKUP(CurrentMtgRatesDataTable825[[#This Row],[asofdate]],I:J,2,0)</f>
        <v>0.83768871420000002</v>
      </c>
      <c r="E307" s="116">
        <f>VLOOKUP(CurrentMtgRatesDataTable825[[#This Row],[asofdate]],M:N,2,0)</f>
        <v>0.83767788539999999</v>
      </c>
      <c r="F307" s="117">
        <f ca="1">VLOOKUP(CurrentMtgRatesDataTable825[[#This Row],[asofdate]]+1,Bloomberg!B:C,2,0)</f>
        <v>5431.5</v>
      </c>
      <c r="I307" s="115">
        <v>40416</v>
      </c>
      <c r="J307" s="130">
        <v>0.83768871420000002</v>
      </c>
      <c r="M307" s="115">
        <v>40416</v>
      </c>
      <c r="N307" s="130">
        <v>0.83767788539999999</v>
      </c>
      <c r="O307" s="130"/>
      <c r="P307" s="130"/>
      <c r="Q307" s="115">
        <v>40416</v>
      </c>
      <c r="R307" s="130">
        <v>0.83767788539999999</v>
      </c>
      <c r="T307"/>
    </row>
    <row r="308" spans="2:20">
      <c r="B308" s="115">
        <v>40409</v>
      </c>
      <c r="C308" s="116">
        <v>0.86898326420000005</v>
      </c>
      <c r="D308" s="116">
        <f>VLOOKUP(CurrentMtgRatesDataTable825[[#This Row],[asofdate]],I:J,2,0)</f>
        <v>0.80876442169999996</v>
      </c>
      <c r="E308" s="116">
        <f>VLOOKUP(CurrentMtgRatesDataTable825[[#This Row],[asofdate]],M:N,2,0)</f>
        <v>0.80875793200000001</v>
      </c>
      <c r="F308" s="117">
        <f ca="1">VLOOKUP(CurrentMtgRatesDataTable825[[#This Row],[asofdate]]+1,Bloomberg!B:C,2,0)</f>
        <v>5260.7</v>
      </c>
      <c r="I308" s="115">
        <v>40409</v>
      </c>
      <c r="J308" s="130">
        <v>0.80876442169999996</v>
      </c>
      <c r="M308" s="115">
        <v>40409</v>
      </c>
      <c r="N308" s="130">
        <v>0.80875793200000001</v>
      </c>
      <c r="O308" s="130"/>
      <c r="P308" s="130"/>
      <c r="Q308" s="115">
        <v>40409</v>
      </c>
      <c r="R308" s="130">
        <v>0.80875793200000001</v>
      </c>
      <c r="T308"/>
    </row>
    <row r="309" spans="2:20">
      <c r="B309" s="115">
        <v>40402</v>
      </c>
      <c r="C309" s="116">
        <v>0.83410549239999998</v>
      </c>
      <c r="D309" s="116">
        <f>VLOOKUP(CurrentMtgRatesDataTable825[[#This Row],[asofdate]],I:J,2,0)</f>
        <v>0.80814767710000002</v>
      </c>
      <c r="E309" s="116">
        <f>VLOOKUP(CurrentMtgRatesDataTable825[[#This Row],[asofdate]],M:N,2,0)</f>
        <v>0.80814178439999995</v>
      </c>
      <c r="F309" s="117">
        <f ca="1">VLOOKUP(CurrentMtgRatesDataTable825[[#This Row],[asofdate]]+1,Bloomberg!B:C,2,0)</f>
        <v>4940.8999999999996</v>
      </c>
      <c r="I309" s="115">
        <v>40402</v>
      </c>
      <c r="J309" s="130">
        <v>0.80814767710000002</v>
      </c>
      <c r="M309" s="115">
        <v>40402</v>
      </c>
      <c r="N309" s="130">
        <v>0.80814178439999995</v>
      </c>
      <c r="O309" s="130"/>
      <c r="P309" s="130"/>
      <c r="Q309" s="115">
        <v>40402</v>
      </c>
      <c r="R309" s="130">
        <v>0.80814178439999995</v>
      </c>
      <c r="T309"/>
    </row>
    <row r="310" spans="2:20">
      <c r="B310" s="115">
        <v>40395</v>
      </c>
      <c r="C310" s="116">
        <v>0.78585671720000005</v>
      </c>
      <c r="D310" s="116">
        <f>VLOOKUP(CurrentMtgRatesDataTable825[[#This Row],[asofdate]],I:J,2,0)</f>
        <v>0.77128568099999995</v>
      </c>
      <c r="E310" s="116">
        <f>VLOOKUP(CurrentMtgRatesDataTable825[[#This Row],[asofdate]],M:N,2,0)</f>
        <v>0.77103122199999996</v>
      </c>
      <c r="F310" s="117">
        <f ca="1">VLOOKUP(CurrentMtgRatesDataTable825[[#This Row],[asofdate]]+1,Bloomberg!B:C,2,0)</f>
        <v>4147.1000000000004</v>
      </c>
      <c r="I310" s="115">
        <v>40395</v>
      </c>
      <c r="J310" s="130">
        <v>0.77128568099999995</v>
      </c>
      <c r="M310" s="115">
        <v>40395</v>
      </c>
      <c r="N310" s="130">
        <v>0.77103122199999996</v>
      </c>
      <c r="O310" s="130"/>
      <c r="P310" s="130"/>
      <c r="Q310" s="115">
        <v>40395</v>
      </c>
      <c r="R310" s="130">
        <v>0.77103122199999996</v>
      </c>
      <c r="T310"/>
    </row>
    <row r="311" spans="2:20">
      <c r="B311" s="115">
        <v>40388</v>
      </c>
      <c r="C311" s="116">
        <v>0.75383836250000003</v>
      </c>
      <c r="D311" s="116">
        <f>VLOOKUP(CurrentMtgRatesDataTable825[[#This Row],[asofdate]],I:J,2,0)</f>
        <v>0.76292758309999997</v>
      </c>
      <c r="E311" s="116">
        <f>VLOOKUP(CurrentMtgRatesDataTable825[[#This Row],[asofdate]],M:N,2,0)</f>
        <v>0.76295205990000003</v>
      </c>
      <c r="F311" s="117">
        <f ca="1">VLOOKUP(CurrentMtgRatesDataTable825[[#This Row],[asofdate]]+1,Bloomberg!B:C,2,0)</f>
        <v>4155.5</v>
      </c>
      <c r="I311" s="115">
        <v>40388</v>
      </c>
      <c r="J311" s="130">
        <v>0.76292758309999997</v>
      </c>
      <c r="M311" s="115">
        <v>40388</v>
      </c>
      <c r="N311" s="130">
        <v>0.76295205990000003</v>
      </c>
      <c r="O311" s="130"/>
      <c r="P311" s="130"/>
      <c r="Q311" s="115">
        <v>40388</v>
      </c>
      <c r="R311" s="130">
        <v>0.76295205990000003</v>
      </c>
      <c r="T311"/>
    </row>
    <row r="312" spans="2:20">
      <c r="B312" s="115">
        <v>40381</v>
      </c>
      <c r="C312" s="116">
        <v>0.74772968299999998</v>
      </c>
      <c r="D312" s="116">
        <f>VLOOKUP(CurrentMtgRatesDataTable825[[#This Row],[asofdate]],I:J,2,0)</f>
        <v>0.76211849809999999</v>
      </c>
      <c r="E312" s="116">
        <f>VLOOKUP(CurrentMtgRatesDataTable825[[#This Row],[asofdate]],M:N,2,0)</f>
        <v>0.76214313</v>
      </c>
      <c r="F312" s="117">
        <f ca="1">VLOOKUP(CurrentMtgRatesDataTable825[[#This Row],[asofdate]]+1,Bloomberg!B:C,2,0)</f>
        <v>4097.3</v>
      </c>
      <c r="I312" s="115">
        <v>40381</v>
      </c>
      <c r="J312" s="130">
        <v>0.76211849809999999</v>
      </c>
      <c r="M312" s="115">
        <v>40381</v>
      </c>
      <c r="N312" s="130">
        <v>0.76214313</v>
      </c>
      <c r="O312" s="130"/>
      <c r="P312" s="130"/>
      <c r="Q312" s="115">
        <v>40381</v>
      </c>
      <c r="R312" s="130">
        <v>0.76214313</v>
      </c>
      <c r="T312"/>
    </row>
    <row r="313" spans="2:20">
      <c r="B313" s="115">
        <v>40374</v>
      </c>
      <c r="C313" s="116">
        <v>0.74536445709999999</v>
      </c>
      <c r="D313" s="116">
        <f>VLOOKUP(CurrentMtgRatesDataTable825[[#This Row],[asofdate]],I:J,2,0)</f>
        <v>0.76124590260000002</v>
      </c>
      <c r="E313" s="116">
        <f>VLOOKUP(CurrentMtgRatesDataTable825[[#This Row],[asofdate]],M:N,2,0)</f>
        <v>0</v>
      </c>
      <c r="F313" s="117">
        <f ca="1">VLOOKUP(CurrentMtgRatesDataTable825[[#This Row],[asofdate]]+1,Bloomberg!B:C,2,0)</f>
        <v>4345.3999999999996</v>
      </c>
      <c r="I313" s="115">
        <v>40374</v>
      </c>
      <c r="J313" s="130">
        <v>0.76124590260000002</v>
      </c>
      <c r="M313" s="115">
        <v>40374</v>
      </c>
      <c r="N313" s="130">
        <v>0</v>
      </c>
      <c r="O313" s="130"/>
      <c r="P313" s="130"/>
      <c r="Q313" s="115">
        <v>40374</v>
      </c>
      <c r="R313" s="130">
        <v>0.76127916539999996</v>
      </c>
      <c r="T313"/>
    </row>
    <row r="314" spans="2:20">
      <c r="B314" s="115">
        <v>40367</v>
      </c>
      <c r="C314" s="116">
        <v>0.74536445709999999</v>
      </c>
      <c r="D314" s="116">
        <f>VLOOKUP(CurrentMtgRatesDataTable825[[#This Row],[asofdate]],I:J,2,0)</f>
        <v>0.76124590260000002</v>
      </c>
      <c r="E314" s="116">
        <f>VLOOKUP(CurrentMtgRatesDataTable825[[#This Row],[asofdate]],M:N,2,0)</f>
        <v>0.76127916539999996</v>
      </c>
      <c r="F314" s="117">
        <f ca="1">VLOOKUP(CurrentMtgRatesDataTable825[[#This Row],[asofdate]]+1,Bloomberg!B:C,2,0)</f>
        <v>3925.8</v>
      </c>
      <c r="I314" s="115">
        <v>40367</v>
      </c>
      <c r="J314" s="130">
        <v>0.76124590260000002</v>
      </c>
      <c r="M314" s="115">
        <v>40367</v>
      </c>
      <c r="N314" s="130">
        <v>0.76127916539999996</v>
      </c>
      <c r="O314" s="130"/>
      <c r="P314" s="130"/>
      <c r="Q314" s="115">
        <v>40367</v>
      </c>
      <c r="R314" s="130">
        <v>0.76127916539999996</v>
      </c>
      <c r="T314"/>
    </row>
    <row r="315" spans="2:20">
      <c r="B315" s="115">
        <v>40360</v>
      </c>
      <c r="C315" s="116">
        <v>0.74344977459999995</v>
      </c>
      <c r="D315" s="116">
        <f>VLOOKUP(CurrentMtgRatesDataTable825[[#This Row],[asofdate]],I:J,2,0)</f>
        <v>0.74099265550000004</v>
      </c>
      <c r="E315" s="116">
        <f>VLOOKUP(CurrentMtgRatesDataTable825[[#This Row],[asofdate]],M:N,2,0)</f>
        <v>0.74095838449999996</v>
      </c>
      <c r="F315" s="117">
        <f ca="1">VLOOKUP(CurrentMtgRatesDataTable825[[#This Row],[asofdate]]+1,Bloomberg!B:C,2,0)</f>
        <v>3925.9</v>
      </c>
      <c r="I315" s="115">
        <v>40360</v>
      </c>
      <c r="J315" s="130">
        <v>0.74099265550000004</v>
      </c>
      <c r="M315" s="115">
        <v>40360</v>
      </c>
      <c r="N315" s="130">
        <v>0.74095838449999996</v>
      </c>
      <c r="O315" s="130"/>
      <c r="P315" s="130"/>
      <c r="Q315" s="115">
        <v>40360</v>
      </c>
      <c r="R315" s="130">
        <v>0.74095838449999996</v>
      </c>
      <c r="T315"/>
    </row>
    <row r="316" spans="2:20">
      <c r="B316" s="115">
        <v>40353</v>
      </c>
      <c r="C316" s="116">
        <v>0.72851500570000005</v>
      </c>
      <c r="D316" s="116">
        <f>VLOOKUP(CurrentMtgRatesDataTable825[[#This Row],[asofdate]],I:J,2,0)</f>
        <v>0.7235605061</v>
      </c>
      <c r="E316" s="116">
        <f>VLOOKUP(CurrentMtgRatesDataTable825[[#This Row],[asofdate]],M:N,2,0)</f>
        <v>0.72360327089999998</v>
      </c>
      <c r="F316" s="117">
        <f ca="1">VLOOKUP(CurrentMtgRatesDataTable825[[#This Row],[asofdate]]+1,Bloomberg!B:C,2,0)</f>
        <v>3546.2</v>
      </c>
      <c r="I316" s="115">
        <v>40353</v>
      </c>
      <c r="J316" s="130">
        <v>0.7235605061</v>
      </c>
      <c r="M316" s="115">
        <v>40353</v>
      </c>
      <c r="N316" s="130">
        <v>0.72360327089999998</v>
      </c>
      <c r="O316" s="130"/>
      <c r="P316" s="130"/>
      <c r="Q316" s="115">
        <v>40353</v>
      </c>
      <c r="R316" s="130">
        <v>0.72360327089999998</v>
      </c>
      <c r="T316"/>
    </row>
    <row r="317" spans="2:20">
      <c r="B317" s="115">
        <v>40346</v>
      </c>
      <c r="C317" s="116">
        <v>0.71486622489999996</v>
      </c>
      <c r="D317" s="116">
        <f>VLOOKUP(CurrentMtgRatesDataTable825[[#This Row],[asofdate]],I:J,2,0)</f>
        <v>0.70330276270000003</v>
      </c>
      <c r="E317" s="116">
        <f>VLOOKUP(CurrentMtgRatesDataTable825[[#This Row],[asofdate]],M:N,2,0)</f>
        <v>0</v>
      </c>
      <c r="F317" s="117">
        <f ca="1">VLOOKUP(CurrentMtgRatesDataTable825[[#This Row],[asofdate]]+1,Bloomberg!B:C,2,0)</f>
        <v>3107.1</v>
      </c>
      <c r="I317" s="115">
        <v>40346</v>
      </c>
      <c r="J317" s="130">
        <v>0.70330276270000003</v>
      </c>
      <c r="M317" s="115">
        <v>40346</v>
      </c>
      <c r="N317" s="130">
        <v>0</v>
      </c>
      <c r="O317" s="130"/>
      <c r="P317" s="130"/>
      <c r="Q317" s="115">
        <v>40346</v>
      </c>
      <c r="R317" s="130">
        <v>0.7033472181</v>
      </c>
      <c r="T317"/>
    </row>
    <row r="318" spans="2:20">
      <c r="B318" s="115">
        <v>40339</v>
      </c>
      <c r="C318" s="116">
        <v>0.72048233520000005</v>
      </c>
      <c r="D318" s="116">
        <f>VLOOKUP(CurrentMtgRatesDataTable825[[#This Row],[asofdate]],I:J,2,0)</f>
        <v>0.70507020519999997</v>
      </c>
      <c r="E318" s="116">
        <f>VLOOKUP(CurrentMtgRatesDataTable825[[#This Row],[asofdate]],M:N,2,0)</f>
        <v>8.9007627999999998E-3</v>
      </c>
      <c r="F318" s="117">
        <f ca="1">VLOOKUP(CurrentMtgRatesDataTable825[[#This Row],[asofdate]]+1,Bloomberg!B:C,2,0)</f>
        <v>3387.8</v>
      </c>
      <c r="I318" s="115">
        <v>40339</v>
      </c>
      <c r="J318" s="130">
        <v>0.70507020519999997</v>
      </c>
      <c r="M318" s="115">
        <v>40339</v>
      </c>
      <c r="N318" s="130">
        <v>8.9007627999999998E-3</v>
      </c>
      <c r="O318" s="130"/>
      <c r="P318" s="130"/>
      <c r="Q318" s="115">
        <v>40339</v>
      </c>
      <c r="R318" s="130">
        <v>0.70511369130000001</v>
      </c>
      <c r="T318"/>
    </row>
    <row r="319" spans="2:20">
      <c r="B319" s="115">
        <v>40332</v>
      </c>
      <c r="C319" s="116">
        <v>0.68469003900000003</v>
      </c>
      <c r="D319" s="116">
        <f>VLOOKUP(CurrentMtgRatesDataTable825[[#This Row],[asofdate]],I:J,2,0)</f>
        <v>0.68308270429999995</v>
      </c>
      <c r="E319" s="116">
        <f>VLOOKUP(CurrentMtgRatesDataTable825[[#This Row],[asofdate]],M:N,2,0)</f>
        <v>0</v>
      </c>
      <c r="F319" s="117">
        <f ca="1">VLOOKUP(CurrentMtgRatesDataTable825[[#This Row],[asofdate]]+1,Bloomberg!B:C,2,0)</f>
        <v>2781.6</v>
      </c>
      <c r="I319" s="115">
        <v>40332</v>
      </c>
      <c r="J319" s="130">
        <v>0.68308270429999995</v>
      </c>
      <c r="M319" s="115">
        <v>40332</v>
      </c>
      <c r="N319" s="130">
        <v>0</v>
      </c>
      <c r="O319" s="130"/>
      <c r="P319" s="130"/>
      <c r="Q319" s="115">
        <v>40332</v>
      </c>
      <c r="R319" s="130">
        <v>0.68294508980000002</v>
      </c>
      <c r="T319"/>
    </row>
    <row r="320" spans="2:20">
      <c r="B320" s="115">
        <v>40325</v>
      </c>
      <c r="C320" s="116">
        <v>0.70986019460000005</v>
      </c>
      <c r="D320" s="116">
        <f>VLOOKUP(CurrentMtgRatesDataTable825[[#This Row],[asofdate]],I:J,2,0)</f>
        <v>0.69742454840000001</v>
      </c>
      <c r="E320" s="116">
        <f>VLOOKUP(CurrentMtgRatesDataTable825[[#This Row],[asofdate]],M:N,2,0)</f>
        <v>3.6171073000000002E-3</v>
      </c>
      <c r="F320" s="117">
        <f ca="1">VLOOKUP(CurrentMtgRatesDataTable825[[#This Row],[asofdate]]+1,Bloomberg!B:C,2,0)</f>
        <v>3239.2</v>
      </c>
      <c r="I320" s="115">
        <v>40325</v>
      </c>
      <c r="J320" s="130">
        <v>0.69742454840000001</v>
      </c>
      <c r="M320" s="115">
        <v>40325</v>
      </c>
      <c r="N320" s="130">
        <v>3.6171073000000002E-3</v>
      </c>
      <c r="O320" s="130"/>
      <c r="P320" s="130"/>
      <c r="Q320" s="115">
        <v>40325</v>
      </c>
      <c r="R320" s="130">
        <v>0.69746715989999997</v>
      </c>
      <c r="T320"/>
    </row>
    <row r="321" spans="2:20">
      <c r="B321" s="115">
        <v>40318</v>
      </c>
      <c r="C321" s="116">
        <v>0.6807497723</v>
      </c>
      <c r="D321" s="116">
        <f>VLOOKUP(CurrentMtgRatesDataTable825[[#This Row],[asofdate]],I:J,2,0)</f>
        <v>0.67388407520000004</v>
      </c>
      <c r="E321" s="116">
        <f>VLOOKUP(CurrentMtgRatesDataTable825[[#This Row],[asofdate]],M:N,2,0)</f>
        <v>1.8994548999999999E-3</v>
      </c>
      <c r="F321" s="117">
        <f ca="1">VLOOKUP(CurrentMtgRatesDataTable825[[#This Row],[asofdate]]+1,Bloomberg!B:C,2,0)</f>
        <v>3154.9</v>
      </c>
      <c r="I321" s="115">
        <v>40318</v>
      </c>
      <c r="J321" s="130">
        <v>0.67388407520000004</v>
      </c>
      <c r="M321" s="115">
        <v>40318</v>
      </c>
      <c r="N321" s="130">
        <v>1.8994548999999999E-3</v>
      </c>
      <c r="O321" s="130"/>
      <c r="P321" s="130"/>
      <c r="Q321" s="115">
        <v>40318</v>
      </c>
      <c r="R321" s="130">
        <v>0.67392174719999998</v>
      </c>
      <c r="T321"/>
    </row>
    <row r="322" spans="2:20">
      <c r="B322" s="115">
        <v>40311</v>
      </c>
      <c r="C322" s="116">
        <v>0.63168664299999999</v>
      </c>
      <c r="D322" s="116">
        <f>VLOOKUP(CurrentMtgRatesDataTable825[[#This Row],[asofdate]],I:J,2,0)</f>
        <v>0.6466666673</v>
      </c>
      <c r="E322" s="116">
        <f>VLOOKUP(CurrentMtgRatesDataTable825[[#This Row],[asofdate]],M:N,2,0)</f>
        <v>2.9471480000000001E-4</v>
      </c>
      <c r="F322" s="117">
        <f ca="1">VLOOKUP(CurrentMtgRatesDataTable825[[#This Row],[asofdate]]+1,Bloomberg!B:C,2,0)</f>
        <v>2668.6</v>
      </c>
      <c r="I322" s="115">
        <v>40311</v>
      </c>
      <c r="J322" s="130">
        <v>0.6466666673</v>
      </c>
      <c r="M322" s="115">
        <v>40311</v>
      </c>
      <c r="N322" s="130">
        <v>2.9471480000000001E-4</v>
      </c>
      <c r="O322" s="130"/>
      <c r="P322" s="130"/>
      <c r="Q322" s="115">
        <v>40311</v>
      </c>
      <c r="R322" s="130">
        <v>1.7426468099999998E-2</v>
      </c>
      <c r="T322"/>
    </row>
    <row r="323" spans="2:20">
      <c r="B323" s="115">
        <v>40304</v>
      </c>
      <c r="C323" s="116">
        <v>0.58772384690000001</v>
      </c>
      <c r="D323" s="116">
        <f>VLOOKUP(CurrentMtgRatesDataTable825[[#This Row],[asofdate]],I:J,2,0)</f>
        <v>0.60828599319999999</v>
      </c>
      <c r="E323" s="116">
        <f>VLOOKUP(CurrentMtgRatesDataTable825[[#This Row],[asofdate]],M:N,2,0)</f>
        <v>5.6751000000000009E-6</v>
      </c>
      <c r="F323" s="117">
        <f ca="1">VLOOKUP(CurrentMtgRatesDataTable825[[#This Row],[asofdate]]+1,Bloomberg!B:C,2,0)</f>
        <v>2303.6</v>
      </c>
      <c r="I323" s="115">
        <v>40304</v>
      </c>
      <c r="J323" s="130">
        <v>0.60828599319999999</v>
      </c>
      <c r="M323" s="115">
        <v>40304</v>
      </c>
      <c r="N323" s="130">
        <v>5.6751000000000009E-6</v>
      </c>
      <c r="O323" s="130"/>
      <c r="P323" s="130"/>
      <c r="Q323" s="115">
        <v>40304</v>
      </c>
      <c r="R323" s="130">
        <v>1.2717029000000001E-3</v>
      </c>
      <c r="T323"/>
    </row>
    <row r="324" spans="2:20">
      <c r="B324" s="115">
        <v>40297</v>
      </c>
      <c r="C324" s="116">
        <v>0.56863720760000003</v>
      </c>
      <c r="D324" s="116">
        <f>VLOOKUP(CurrentMtgRatesDataTable825[[#This Row],[asofdate]],I:J,2,0)</f>
        <v>0.59002327259999998</v>
      </c>
      <c r="E324" s="116">
        <f>VLOOKUP(CurrentMtgRatesDataTable825[[#This Row],[asofdate]],M:N,2,0)</f>
        <v>0</v>
      </c>
      <c r="F324" s="117">
        <f ca="1">VLOOKUP(CurrentMtgRatesDataTable825[[#This Row],[asofdate]]+1,Bloomberg!B:C,2,0)</f>
        <v>1953.3</v>
      </c>
      <c r="I324" s="115">
        <v>40297</v>
      </c>
      <c r="J324" s="130">
        <v>0.59002327259999998</v>
      </c>
      <c r="M324" s="115">
        <v>40297</v>
      </c>
      <c r="N324" s="130">
        <v>0</v>
      </c>
      <c r="O324" s="130"/>
      <c r="P324" s="130"/>
      <c r="Q324" s="115">
        <v>40297</v>
      </c>
      <c r="R324" s="130">
        <v>2.9468639999999998E-4</v>
      </c>
      <c r="T324"/>
    </row>
    <row r="325" spans="2:20">
      <c r="B325" s="115">
        <v>40290</v>
      </c>
      <c r="C325" s="116">
        <v>0.56287953099999999</v>
      </c>
      <c r="D325" s="116">
        <f>VLOOKUP(CurrentMtgRatesDataTable825[[#This Row],[asofdate]],I:J,2,0)</f>
        <v>0.58672429169999996</v>
      </c>
      <c r="E325" s="116">
        <f>VLOOKUP(CurrentMtgRatesDataTable825[[#This Row],[asofdate]],M:N,2,0)</f>
        <v>0</v>
      </c>
      <c r="F325" s="117">
        <f ca="1">VLOOKUP(CurrentMtgRatesDataTable825[[#This Row],[asofdate]]+1,Bloomberg!B:C,2,0)</f>
        <v>1984.5</v>
      </c>
      <c r="I325" s="115">
        <v>40290</v>
      </c>
      <c r="J325" s="130">
        <v>0.58672429169999996</v>
      </c>
      <c r="M325" s="115">
        <v>40290</v>
      </c>
      <c r="N325" s="130">
        <v>0</v>
      </c>
      <c r="O325" s="130"/>
      <c r="P325" s="130"/>
      <c r="Q325" s="115">
        <v>40290</v>
      </c>
      <c r="R325" s="130">
        <v>2.9192680000000003E-4</v>
      </c>
      <c r="T325"/>
    </row>
    <row r="326" spans="2:20">
      <c r="B326" s="115">
        <v>40283</v>
      </c>
      <c r="C326" s="116">
        <v>0.57665684220000002</v>
      </c>
      <c r="D326" s="116">
        <f>VLOOKUP(CurrentMtgRatesDataTable825[[#This Row],[asofdate]],I:J,2,0)</f>
        <v>0.5951682895</v>
      </c>
      <c r="E326" s="116">
        <f>VLOOKUP(CurrentMtgRatesDataTable825[[#This Row],[asofdate]],M:N,2,0)</f>
        <v>0</v>
      </c>
      <c r="F326" s="117">
        <f ca="1">VLOOKUP(CurrentMtgRatesDataTable825[[#This Row],[asofdate]]+1,Bloomberg!B:C,2,0)</f>
        <v>2217</v>
      </c>
      <c r="I326" s="115">
        <v>40283</v>
      </c>
      <c r="J326" s="130">
        <v>0.5951682895</v>
      </c>
      <c r="M326" s="115">
        <v>40283</v>
      </c>
      <c r="N326" s="130">
        <v>0</v>
      </c>
      <c r="O326" s="130"/>
      <c r="P326" s="130"/>
      <c r="Q326" s="115">
        <v>40283</v>
      </c>
      <c r="R326" s="130">
        <v>6.7993339999999989E-4</v>
      </c>
      <c r="T326"/>
    </row>
    <row r="327" spans="2:20">
      <c r="B327" s="115">
        <v>40276</v>
      </c>
      <c r="C327" s="116">
        <v>0.50387103229999997</v>
      </c>
      <c r="D327" s="116">
        <f>VLOOKUP(CurrentMtgRatesDataTable825[[#This Row],[asofdate]],I:J,2,0)</f>
        <v>0.53152003339999998</v>
      </c>
      <c r="E327" s="116">
        <f>VLOOKUP(CurrentMtgRatesDataTable825[[#This Row],[asofdate]],M:N,2,0)</f>
        <v>0</v>
      </c>
      <c r="F327" s="117">
        <f ca="1">VLOOKUP(CurrentMtgRatesDataTable825[[#This Row],[asofdate]]+1,Bloomberg!B:C,2,0)</f>
        <v>1892.5</v>
      </c>
      <c r="I327" s="115">
        <v>40276</v>
      </c>
      <c r="J327" s="130">
        <v>0.53152003339999998</v>
      </c>
      <c r="M327" s="115">
        <v>40276</v>
      </c>
      <c r="N327" s="130">
        <v>0</v>
      </c>
      <c r="O327" s="130"/>
      <c r="P327" s="130"/>
      <c r="Q327" s="115">
        <v>40276</v>
      </c>
      <c r="R327" s="130">
        <v>3.2240799999999998E-5</v>
      </c>
      <c r="T327"/>
    </row>
    <row r="328" spans="2:20">
      <c r="B328" s="115">
        <v>40269</v>
      </c>
      <c r="C328" s="116">
        <v>0.55408346909999995</v>
      </c>
      <c r="D328" s="116">
        <f>VLOOKUP(CurrentMtgRatesDataTable825[[#This Row],[asofdate]],I:J,2,0)</f>
        <v>0.57205809490000004</v>
      </c>
      <c r="E328" s="116">
        <f>VLOOKUP(CurrentMtgRatesDataTable825[[#This Row],[asofdate]],M:N,2,0)</f>
        <v>0</v>
      </c>
      <c r="F328" s="117">
        <f ca="1">VLOOKUP(CurrentMtgRatesDataTable825[[#This Row],[asofdate]]+1,Bloomberg!B:C,2,0)</f>
        <v>2051.3000000000002</v>
      </c>
      <c r="I328" s="115">
        <v>40269</v>
      </c>
      <c r="J328" s="130">
        <v>0.57205809490000004</v>
      </c>
      <c r="M328" s="115">
        <v>40269</v>
      </c>
      <c r="N328" s="130">
        <v>0</v>
      </c>
      <c r="O328" s="130"/>
      <c r="P328" s="130"/>
      <c r="Q328" s="115">
        <v>40269</v>
      </c>
      <c r="R328" s="130">
        <v>1.615617E-4</v>
      </c>
      <c r="T328"/>
    </row>
    <row r="329" spans="2:20">
      <c r="B329" s="115">
        <v>40262</v>
      </c>
      <c r="C329" s="116">
        <v>0.6445245879</v>
      </c>
      <c r="D329" s="116">
        <f>VLOOKUP(CurrentMtgRatesDataTable825[[#This Row],[asofdate]],I:J,2,0)</f>
        <v>0.65739584390000005</v>
      </c>
      <c r="E329" s="116">
        <f>VLOOKUP(CurrentMtgRatesDataTable825[[#This Row],[asofdate]],M:N,2,0)</f>
        <v>0</v>
      </c>
      <c r="F329" s="117">
        <f ca="1">VLOOKUP(CurrentMtgRatesDataTable825[[#This Row],[asofdate]]+1,Bloomberg!B:C,2,0)</f>
        <v>2577.1999999999998</v>
      </c>
      <c r="I329" s="115">
        <v>40262</v>
      </c>
      <c r="J329" s="130">
        <v>0.65739584390000005</v>
      </c>
      <c r="M329" s="115">
        <v>40262</v>
      </c>
      <c r="N329" s="130">
        <v>0</v>
      </c>
      <c r="O329" s="130"/>
      <c r="P329" s="130"/>
      <c r="Q329" s="115">
        <v>40262</v>
      </c>
      <c r="R329" s="130">
        <v>1.8597026000000002E-3</v>
      </c>
      <c r="T329"/>
    </row>
    <row r="330" spans="2:20">
      <c r="B330" s="115">
        <v>40255</v>
      </c>
      <c r="C330" s="116">
        <v>0.64585810600000004</v>
      </c>
      <c r="D330" s="116">
        <f>VLOOKUP(CurrentMtgRatesDataTable825[[#This Row],[asofdate]],I:J,2,0)</f>
        <v>0.65825550310000003</v>
      </c>
      <c r="E330" s="116">
        <f>VLOOKUP(CurrentMtgRatesDataTable825[[#This Row],[asofdate]],M:N,2,0)</f>
        <v>0</v>
      </c>
      <c r="F330" s="117">
        <f ca="1">VLOOKUP(CurrentMtgRatesDataTable825[[#This Row],[asofdate]]+1,Bloomberg!B:C,2,0)</f>
        <v>2617.6999999999998</v>
      </c>
      <c r="I330" s="115">
        <v>40255</v>
      </c>
      <c r="J330" s="130">
        <v>0.65825550310000003</v>
      </c>
      <c r="M330" s="115">
        <v>40255</v>
      </c>
      <c r="N330" s="130">
        <v>0</v>
      </c>
      <c r="O330" s="130"/>
      <c r="P330" s="130"/>
      <c r="Q330" s="115">
        <v>40255</v>
      </c>
      <c r="R330" s="130">
        <v>8.1109384E-3</v>
      </c>
      <c r="T330"/>
    </row>
    <row r="331" spans="2:20">
      <c r="B331" s="115">
        <v>40248</v>
      </c>
      <c r="C331" s="116">
        <v>0.65681393619999995</v>
      </c>
      <c r="D331" s="116">
        <f>VLOOKUP(CurrentMtgRatesDataTable825[[#This Row],[asofdate]],I:J,2,0)</f>
        <v>0.67713837769999996</v>
      </c>
      <c r="E331" s="116">
        <f>VLOOKUP(CurrentMtgRatesDataTable825[[#This Row],[asofdate]],M:N,2,0)</f>
        <v>0</v>
      </c>
      <c r="F331" s="117">
        <f ca="1">VLOOKUP(CurrentMtgRatesDataTable825[[#This Row],[asofdate]]+1,Bloomberg!B:C,2,0)</f>
        <v>2847.2</v>
      </c>
      <c r="I331" s="115">
        <v>40248</v>
      </c>
      <c r="J331" s="130">
        <v>0.67713837769999996</v>
      </c>
      <c r="M331" s="115">
        <v>40248</v>
      </c>
      <c r="N331" s="130">
        <v>0</v>
      </c>
      <c r="O331" s="130"/>
      <c r="P331" s="130"/>
      <c r="Q331" s="115">
        <v>40248</v>
      </c>
      <c r="R331" s="130">
        <v>1.18532042E-2</v>
      </c>
      <c r="T331"/>
    </row>
    <row r="332" spans="2:20">
      <c r="B332" s="115">
        <v>40241</v>
      </c>
      <c r="C332" s="116">
        <v>0.64074062669999998</v>
      </c>
      <c r="D332" s="116">
        <f>VLOOKUP(CurrentMtgRatesDataTable825[[#This Row],[asofdate]],I:J,2,0)</f>
        <v>0.6548459458</v>
      </c>
      <c r="E332" s="116">
        <f>VLOOKUP(CurrentMtgRatesDataTable825[[#This Row],[asofdate]],M:N,2,0)</f>
        <v>0</v>
      </c>
      <c r="F332" s="117">
        <f ca="1">VLOOKUP(CurrentMtgRatesDataTable825[[#This Row],[asofdate]]+1,Bloomberg!B:C,2,0)</f>
        <v>2937.6</v>
      </c>
      <c r="I332" s="115">
        <v>40241</v>
      </c>
      <c r="J332" s="130">
        <v>0.6548459458</v>
      </c>
      <c r="M332" s="115">
        <v>40241</v>
      </c>
      <c r="N332" s="130">
        <v>0</v>
      </c>
      <c r="O332" s="130"/>
      <c r="P332" s="130"/>
      <c r="Q332" s="115">
        <v>40241</v>
      </c>
      <c r="R332" s="130">
        <v>8.0942342999999993E-3</v>
      </c>
      <c r="T332"/>
    </row>
    <row r="333" spans="2:20">
      <c r="B333" s="115">
        <v>40234</v>
      </c>
      <c r="C333" s="116">
        <v>0.61413878499999996</v>
      </c>
      <c r="D333" s="116">
        <f>VLOOKUP(CurrentMtgRatesDataTable825[[#This Row],[asofdate]],I:J,2,0)</f>
        <v>0.6355630457</v>
      </c>
      <c r="E333" s="116">
        <f>VLOOKUP(CurrentMtgRatesDataTable825[[#This Row],[asofdate]],M:N,2,0)</f>
        <v>0</v>
      </c>
      <c r="F333" s="117">
        <f ca="1">VLOOKUP(CurrentMtgRatesDataTable825[[#This Row],[asofdate]]+1,Bloomberg!B:C,2,0)</f>
        <v>2971.5</v>
      </c>
      <c r="I333" s="115">
        <v>40234</v>
      </c>
      <c r="J333" s="130">
        <v>0.6355630457</v>
      </c>
      <c r="M333" s="115">
        <v>40234</v>
      </c>
      <c r="N333" s="130">
        <v>0</v>
      </c>
      <c r="O333" s="130"/>
      <c r="P333" s="130"/>
      <c r="Q333" s="115">
        <v>40234</v>
      </c>
      <c r="R333" s="130">
        <v>2.6490880000000001E-4</v>
      </c>
      <c r="T333"/>
    </row>
    <row r="334" spans="2:20">
      <c r="B334" s="115">
        <v>40227</v>
      </c>
      <c r="C334" s="116">
        <v>0.68641483309999995</v>
      </c>
      <c r="D334" s="116">
        <f>VLOOKUP(CurrentMtgRatesDataTable825[[#This Row],[asofdate]],I:J,2,0)</f>
        <v>0.70305248779999996</v>
      </c>
      <c r="E334" s="116">
        <f>VLOOKUP(CurrentMtgRatesDataTable825[[#This Row],[asofdate]],M:N,2,0)</f>
        <v>1.2029E-5</v>
      </c>
      <c r="F334" s="117">
        <f ca="1">VLOOKUP(CurrentMtgRatesDataTable825[[#This Row],[asofdate]]+1,Bloomberg!B:C,2,0)</f>
        <v>2474.9</v>
      </c>
      <c r="I334" s="115">
        <v>40227</v>
      </c>
      <c r="J334" s="130">
        <v>0.70305248779999996</v>
      </c>
      <c r="M334" s="115">
        <v>40227</v>
      </c>
      <c r="N334" s="130">
        <v>1.2029E-5</v>
      </c>
      <c r="O334" s="130"/>
      <c r="P334" s="130"/>
      <c r="Q334" s="115">
        <v>40227</v>
      </c>
      <c r="R334" s="130">
        <v>1.5519953899999999E-2</v>
      </c>
      <c r="T334"/>
    </row>
    <row r="335" spans="2:20">
      <c r="B335" s="115">
        <v>40220</v>
      </c>
      <c r="C335" s="116">
        <v>0.65499093070000003</v>
      </c>
      <c r="D335" s="116">
        <f>VLOOKUP(CurrentMtgRatesDataTable825[[#This Row],[asofdate]],I:J,2,0)</f>
        <v>0.67221846299999999</v>
      </c>
      <c r="E335" s="116">
        <f>VLOOKUP(CurrentMtgRatesDataTable825[[#This Row],[asofdate]],M:N,2,0)</f>
        <v>0</v>
      </c>
      <c r="F335" s="117">
        <f ca="1">VLOOKUP(CurrentMtgRatesDataTable825[[#This Row],[asofdate]]+1,Bloomberg!B:C,2,0)</f>
        <v>2781.2</v>
      </c>
      <c r="I335" s="115">
        <v>40220</v>
      </c>
      <c r="J335" s="130">
        <v>0.67221846299999999</v>
      </c>
      <c r="M335" s="115">
        <v>40220</v>
      </c>
      <c r="N335" s="130">
        <v>0</v>
      </c>
      <c r="O335" s="130"/>
      <c r="P335" s="130"/>
      <c r="Q335" s="115">
        <v>40220</v>
      </c>
      <c r="R335" s="130">
        <v>7.9416000999999996E-3</v>
      </c>
      <c r="T335"/>
    </row>
    <row r="336" spans="2:20">
      <c r="B336" s="115">
        <v>40213</v>
      </c>
      <c r="C336" s="116">
        <v>0.63505398229999999</v>
      </c>
      <c r="D336" s="116">
        <f>VLOOKUP(CurrentMtgRatesDataTable825[[#This Row],[asofdate]],I:J,2,0)</f>
        <v>0.66032668179999998</v>
      </c>
      <c r="E336" s="116">
        <f>VLOOKUP(CurrentMtgRatesDataTable825[[#This Row],[asofdate]],M:N,2,0)</f>
        <v>0</v>
      </c>
      <c r="F336" s="117">
        <f ca="1">VLOOKUP(CurrentMtgRatesDataTable825[[#This Row],[asofdate]]+1,Bloomberg!B:C,2,0)</f>
        <v>2807.8</v>
      </c>
      <c r="I336" s="115">
        <v>40213</v>
      </c>
      <c r="J336" s="130">
        <v>0.66032668179999998</v>
      </c>
      <c r="M336" s="115">
        <v>40213</v>
      </c>
      <c r="N336" s="130">
        <v>0</v>
      </c>
      <c r="O336" s="130"/>
      <c r="P336" s="130"/>
      <c r="Q336" s="115">
        <v>40213</v>
      </c>
      <c r="R336" s="130">
        <v>1.5017113999999999E-3</v>
      </c>
      <c r="T336"/>
    </row>
    <row r="337" spans="2:20">
      <c r="B337" s="115">
        <v>40206</v>
      </c>
      <c r="C337" s="116">
        <v>0.68432757779999998</v>
      </c>
      <c r="D337" s="116">
        <f>VLOOKUP(CurrentMtgRatesDataTable825[[#This Row],[asofdate]],I:J,2,0)</f>
        <v>0.69423377870000003</v>
      </c>
      <c r="E337" s="116">
        <f>VLOOKUP(CurrentMtgRatesDataTable825[[#This Row],[asofdate]],M:N,2,0)</f>
        <v>0</v>
      </c>
      <c r="F337" s="117">
        <f ca="1">VLOOKUP(CurrentMtgRatesDataTable825[[#This Row],[asofdate]]+1,Bloomberg!B:C,2,0)</f>
        <v>2763.6</v>
      </c>
      <c r="I337" s="115">
        <v>40206</v>
      </c>
      <c r="J337" s="130">
        <v>0.69423377870000003</v>
      </c>
      <c r="M337" s="115">
        <v>40206</v>
      </c>
      <c r="N337" s="130">
        <v>0</v>
      </c>
      <c r="O337" s="130"/>
      <c r="P337" s="130"/>
      <c r="Q337" s="115">
        <v>40206</v>
      </c>
      <c r="R337" s="130">
        <v>7.3673740000000003E-3</v>
      </c>
      <c r="T337"/>
    </row>
    <row r="338" spans="2:20">
      <c r="B338" s="115">
        <v>40199</v>
      </c>
      <c r="C338" s="116">
        <v>0.66395755720000005</v>
      </c>
      <c r="D338" s="116">
        <f>VLOOKUP(CurrentMtgRatesDataTable825[[#This Row],[asofdate]],I:J,2,0)</f>
        <v>0.68028804070000004</v>
      </c>
      <c r="E338" s="116">
        <f>VLOOKUP(CurrentMtgRatesDataTable825[[#This Row],[asofdate]],M:N,2,0)</f>
        <v>0</v>
      </c>
      <c r="F338" s="117">
        <f ca="1">VLOOKUP(CurrentMtgRatesDataTable825[[#This Row],[asofdate]]+1,Bloomberg!B:C,2,0)</f>
        <v>2192.1</v>
      </c>
      <c r="I338" s="115">
        <v>40199</v>
      </c>
      <c r="J338" s="130">
        <v>0.68028804070000004</v>
      </c>
      <c r="M338" s="115">
        <v>40199</v>
      </c>
      <c r="N338" s="130">
        <v>0</v>
      </c>
      <c r="O338" s="130"/>
      <c r="P338" s="130"/>
      <c r="Q338" s="115">
        <v>40199</v>
      </c>
      <c r="R338" s="130">
        <v>7.3323073999999999E-3</v>
      </c>
      <c r="T338"/>
    </row>
    <row r="339" spans="2:20">
      <c r="B339" s="115">
        <v>40192</v>
      </c>
      <c r="C339" s="116">
        <v>0.62543256140000003</v>
      </c>
      <c r="D339" s="116">
        <f>VLOOKUP(CurrentMtgRatesDataTable825[[#This Row],[asofdate]],I:J,2,0)</f>
        <v>0.64568973490000003</v>
      </c>
      <c r="E339" s="116">
        <f>VLOOKUP(CurrentMtgRatesDataTable825[[#This Row],[asofdate]],M:N,2,0)</f>
        <v>0</v>
      </c>
      <c r="F339" s="117">
        <f ca="1">VLOOKUP(CurrentMtgRatesDataTable825[[#This Row],[asofdate]]+1,Bloomberg!B:C,2,0)</f>
        <v>2638.2</v>
      </c>
      <c r="I339" s="115">
        <v>40192</v>
      </c>
      <c r="J339" s="130">
        <v>0.64568973490000003</v>
      </c>
      <c r="M339" s="115">
        <v>40192</v>
      </c>
      <c r="N339" s="130">
        <v>0</v>
      </c>
      <c r="O339" s="130"/>
      <c r="P339" s="130"/>
      <c r="Q339" s="115">
        <v>40192</v>
      </c>
      <c r="R339" s="130">
        <v>5.125997E-4</v>
      </c>
      <c r="T339"/>
    </row>
    <row r="340" spans="2:20">
      <c r="B340" s="115">
        <v>40185</v>
      </c>
      <c r="C340" s="116">
        <v>0.60621552560000003</v>
      </c>
      <c r="D340" s="116">
        <f>VLOOKUP(CurrentMtgRatesDataTable825[[#This Row],[asofdate]],I:J,2,0)</f>
        <v>0.62467013979999997</v>
      </c>
      <c r="E340" s="116">
        <f>VLOOKUP(CurrentMtgRatesDataTable825[[#This Row],[asofdate]],M:N,2,0)</f>
        <v>0</v>
      </c>
      <c r="F340" s="117">
        <f ca="1">VLOOKUP(CurrentMtgRatesDataTable825[[#This Row],[asofdate]]+1,Bloomberg!B:C,2,0)</f>
        <v>2430</v>
      </c>
      <c r="I340" s="115">
        <v>40185</v>
      </c>
      <c r="J340" s="130">
        <v>0.62467013979999997</v>
      </c>
      <c r="M340" s="115">
        <v>40185</v>
      </c>
      <c r="N340" s="130">
        <v>0</v>
      </c>
      <c r="O340" s="130"/>
      <c r="P340" s="130"/>
      <c r="Q340" s="115">
        <v>40185</v>
      </c>
      <c r="R340" s="130">
        <v>3.354365E-4</v>
      </c>
      <c r="T340"/>
    </row>
    <row r="341" spans="2:20">
      <c r="B341" s="115">
        <v>40178</v>
      </c>
      <c r="C341" s="116">
        <v>0.58858815880000004</v>
      </c>
      <c r="D341" s="116">
        <f>VLOOKUP(CurrentMtgRatesDataTable825[[#This Row],[asofdate]],I:J,2,0)</f>
        <v>0.60269502220000004</v>
      </c>
      <c r="E341" s="116">
        <f>VLOOKUP(CurrentMtgRatesDataTable825[[#This Row],[asofdate]],M:N,2,0)</f>
        <v>0</v>
      </c>
      <c r="F341" s="117">
        <f ca="1">VLOOKUP(CurrentMtgRatesDataTable825[[#This Row],[asofdate]]+1,Bloomberg!B:C,2,0)</f>
        <v>2021.1</v>
      </c>
      <c r="I341" s="115">
        <v>40178</v>
      </c>
      <c r="J341" s="130">
        <v>0.60269502220000004</v>
      </c>
      <c r="M341" s="115">
        <v>40178</v>
      </c>
      <c r="N341" s="130">
        <v>0</v>
      </c>
      <c r="O341" s="130"/>
      <c r="P341" s="130"/>
      <c r="Q341" s="115">
        <v>40178</v>
      </c>
      <c r="R341" s="130">
        <v>1.3941899999999999E-5</v>
      </c>
      <c r="T341"/>
    </row>
    <row r="342" spans="2:20">
      <c r="B342" s="115">
        <v>40171</v>
      </c>
      <c r="C342" s="116">
        <v>0.64531897579999997</v>
      </c>
      <c r="D342" s="116">
        <f>VLOOKUP(CurrentMtgRatesDataTable825[[#This Row],[asofdate]],I:J,2,0)</f>
        <v>0.66173262710000003</v>
      </c>
      <c r="E342" s="116">
        <f>VLOOKUP(CurrentMtgRatesDataTable825[[#This Row],[asofdate]],M:N,2,0)</f>
        <v>0</v>
      </c>
      <c r="F342" s="117">
        <f ca="1">VLOOKUP(CurrentMtgRatesDataTable825[[#This Row],[asofdate]]+1,Bloomberg!B:C,2,0)</f>
        <v>2038.4</v>
      </c>
      <c r="I342" s="115">
        <v>40171</v>
      </c>
      <c r="J342" s="130">
        <v>0.66173262710000003</v>
      </c>
      <c r="M342" s="115">
        <v>40171</v>
      </c>
      <c r="N342" s="130">
        <v>0</v>
      </c>
      <c r="O342" s="130"/>
      <c r="P342" s="130"/>
      <c r="Q342" s="115">
        <v>40171</v>
      </c>
      <c r="R342" s="130">
        <v>7.6324699999999999E-4</v>
      </c>
      <c r="T342"/>
    </row>
    <row r="343" spans="2:20">
      <c r="B343" s="115">
        <v>40164</v>
      </c>
      <c r="C343" s="116">
        <v>0.71195240599999998</v>
      </c>
      <c r="D343" s="116">
        <f>VLOOKUP(CurrentMtgRatesDataTable825[[#This Row],[asofdate]],I:J,2,0)</f>
        <v>0.72694464729999997</v>
      </c>
      <c r="E343" s="116">
        <f>VLOOKUP(CurrentMtgRatesDataTable825[[#This Row],[asofdate]],M:N,2,0)</f>
        <v>0</v>
      </c>
      <c r="F343" s="117">
        <f ca="1">VLOOKUP(CurrentMtgRatesDataTable825[[#This Row],[asofdate]]+1,Bloomberg!B:C,2,0)</f>
        <v>2988.7</v>
      </c>
      <c r="I343" s="115">
        <v>40164</v>
      </c>
      <c r="J343" s="130">
        <v>0.72694464729999997</v>
      </c>
      <c r="M343" s="115">
        <v>40164</v>
      </c>
      <c r="N343" s="130">
        <v>0</v>
      </c>
      <c r="O343" s="130"/>
      <c r="P343" s="130"/>
      <c r="Q343" s="115">
        <v>40164</v>
      </c>
      <c r="R343" s="130">
        <v>1.26402865E-2</v>
      </c>
      <c r="T343"/>
    </row>
    <row r="344" spans="2:20">
      <c r="B344" s="115">
        <v>40157</v>
      </c>
      <c r="C344" s="116">
        <v>0.77762352670000001</v>
      </c>
      <c r="D344" s="116">
        <f>VLOOKUP(CurrentMtgRatesDataTable825[[#This Row],[asofdate]],I:J,2,0)</f>
        <v>0.77484347180000002</v>
      </c>
      <c r="E344" s="116">
        <f>VLOOKUP(CurrentMtgRatesDataTable825[[#This Row],[asofdate]],M:N,2,0)</f>
        <v>0</v>
      </c>
      <c r="F344" s="117">
        <f ca="1">VLOOKUP(CurrentMtgRatesDataTable825[[#This Row],[asofdate]]+1,Bloomberg!B:C,2,0)</f>
        <v>3354</v>
      </c>
      <c r="I344" s="115">
        <v>40157</v>
      </c>
      <c r="J344" s="130">
        <v>0.77484347180000002</v>
      </c>
      <c r="M344" s="115">
        <v>40157</v>
      </c>
      <c r="N344" s="130">
        <v>0</v>
      </c>
      <c r="O344" s="130"/>
      <c r="P344" s="130"/>
      <c r="Q344" s="115">
        <v>40157</v>
      </c>
      <c r="R344" s="130">
        <v>0.77487696129999994</v>
      </c>
      <c r="T344"/>
    </row>
    <row r="345" spans="2:20">
      <c r="B345" s="115">
        <v>40150</v>
      </c>
      <c r="C345" s="116">
        <v>0.79405461349999995</v>
      </c>
      <c r="D345" s="116">
        <f>VLOOKUP(CurrentMtgRatesDataTable825[[#This Row],[asofdate]],I:J,2,0)</f>
        <v>0.79178966220000002</v>
      </c>
      <c r="E345" s="116">
        <f>VLOOKUP(CurrentMtgRatesDataTable825[[#This Row],[asofdate]],M:N,2,0)</f>
        <v>0.79182101829999996</v>
      </c>
      <c r="F345" s="117">
        <f ca="1">VLOOKUP(CurrentMtgRatesDataTable825[[#This Row],[asofdate]]+1,Bloomberg!B:C,2,0)</f>
        <v>3312.7</v>
      </c>
      <c r="I345" s="115">
        <v>40150</v>
      </c>
      <c r="J345" s="130">
        <v>0.79178966220000002</v>
      </c>
      <c r="M345" s="115">
        <v>40150</v>
      </c>
      <c r="N345" s="130">
        <v>0.79182101829999996</v>
      </c>
      <c r="O345" s="130"/>
      <c r="P345" s="130"/>
      <c r="Q345" s="115">
        <v>40150</v>
      </c>
      <c r="R345" s="130">
        <v>0.79182101829999996</v>
      </c>
      <c r="T345"/>
    </row>
    <row r="346" spans="2:20">
      <c r="B346" s="115">
        <v>40142</v>
      </c>
      <c r="C346" s="116">
        <v>0.78805376930000004</v>
      </c>
      <c r="D346" s="116">
        <f>VLOOKUP(CurrentMtgRatesDataTable825[[#This Row],[asofdate]],I:J,2,0)</f>
        <v>0.78923868119999996</v>
      </c>
      <c r="E346" s="116">
        <f>VLOOKUP(CurrentMtgRatesDataTable825[[#This Row],[asofdate]],M:N,2,0)</f>
        <v>1.7464750599999999E-2</v>
      </c>
      <c r="F346" s="117" t="e">
        <f ca="1">VLOOKUP(CurrentMtgRatesDataTable825[[#This Row],[asofdate]]+1,Bloomberg!B:C,2,0)</f>
        <v>#N/A</v>
      </c>
      <c r="I346" s="115">
        <v>40142</v>
      </c>
      <c r="J346" s="130">
        <v>0.78923868119999996</v>
      </c>
      <c r="M346" s="115">
        <v>40142</v>
      </c>
      <c r="N346" s="130">
        <v>1.7464750599999999E-2</v>
      </c>
      <c r="O346" s="130"/>
      <c r="P346" s="130"/>
      <c r="Q346" s="115">
        <v>40142</v>
      </c>
      <c r="R346" s="130">
        <v>0.78926948910000005</v>
      </c>
      <c r="T346"/>
    </row>
    <row r="347" spans="2:20">
      <c r="B347" s="115">
        <v>40136</v>
      </c>
      <c r="C347" s="116">
        <v>0.77244808050000002</v>
      </c>
      <c r="D347" s="116">
        <f>VLOOKUP(CurrentMtgRatesDataTable825[[#This Row],[asofdate]],I:J,2,0)</f>
        <v>0.77040720750000002</v>
      </c>
      <c r="E347" s="116">
        <f>VLOOKUP(CurrentMtgRatesDataTable825[[#This Row],[asofdate]],M:N,2,0)</f>
        <v>8.4279416000000006E-3</v>
      </c>
      <c r="F347" s="117">
        <f ca="1">VLOOKUP(CurrentMtgRatesDataTable825[[#This Row],[asofdate]]+1,Bloomberg!B:C,2,0)</f>
        <v>2815.1</v>
      </c>
      <c r="I347" s="115">
        <v>40136</v>
      </c>
      <c r="J347" s="130">
        <v>0.77040720750000002</v>
      </c>
      <c r="M347" s="115">
        <v>40136</v>
      </c>
      <c r="N347" s="130">
        <v>8.4279416000000006E-3</v>
      </c>
      <c r="O347" s="130"/>
      <c r="P347" s="130"/>
      <c r="Q347" s="115">
        <v>40136</v>
      </c>
      <c r="R347" s="130">
        <v>0.77043178379999999</v>
      </c>
      <c r="T347"/>
    </row>
    <row r="348" spans="2:20">
      <c r="B348" s="115">
        <v>40129</v>
      </c>
      <c r="C348" s="116">
        <v>0.73860401099999995</v>
      </c>
      <c r="D348" s="116">
        <f>VLOOKUP(CurrentMtgRatesDataTable825[[#This Row],[asofdate]],I:J,2,0)</f>
        <v>0.74775831650000002</v>
      </c>
      <c r="E348" s="116">
        <f>VLOOKUP(CurrentMtgRatesDataTable825[[#This Row],[asofdate]],M:N,2,0)</f>
        <v>0</v>
      </c>
      <c r="F348" s="117">
        <f ca="1">VLOOKUP(CurrentMtgRatesDataTable825[[#This Row],[asofdate]]+1,Bloomberg!B:C,2,0)</f>
        <v>3117</v>
      </c>
      <c r="I348" s="115">
        <v>40129</v>
      </c>
      <c r="J348" s="130">
        <v>0.74775831650000002</v>
      </c>
      <c r="M348" s="115">
        <v>40129</v>
      </c>
      <c r="N348" s="130">
        <v>0</v>
      </c>
      <c r="O348" s="130"/>
      <c r="P348" s="130"/>
      <c r="Q348" s="115">
        <v>40129</v>
      </c>
      <c r="R348" s="130">
        <v>0.747663572</v>
      </c>
      <c r="T348"/>
    </row>
    <row r="349" spans="2:20">
      <c r="B349" s="115">
        <v>40122</v>
      </c>
      <c r="C349" s="116">
        <v>0.69334613379999999</v>
      </c>
      <c r="D349" s="116">
        <f>VLOOKUP(CurrentMtgRatesDataTable825[[#This Row],[asofdate]],I:J,2,0)</f>
        <v>0.70960038569999995</v>
      </c>
      <c r="E349" s="116">
        <f>VLOOKUP(CurrentMtgRatesDataTable825[[#This Row],[asofdate]],M:N,2,0)</f>
        <v>0</v>
      </c>
      <c r="F349" s="117">
        <f ca="1">VLOOKUP(CurrentMtgRatesDataTable825[[#This Row],[asofdate]]+1,Bloomberg!B:C,2,0)</f>
        <v>2996</v>
      </c>
      <c r="I349" s="115">
        <v>40122</v>
      </c>
      <c r="J349" s="130">
        <v>0.70960038569999995</v>
      </c>
      <c r="M349" s="115">
        <v>40122</v>
      </c>
      <c r="N349" s="130">
        <v>0</v>
      </c>
      <c r="O349" s="130"/>
      <c r="P349" s="130"/>
      <c r="Q349" s="115">
        <v>40122</v>
      </c>
      <c r="R349" s="130">
        <v>9.4062940000000008E-3</v>
      </c>
      <c r="T349"/>
    </row>
    <row r="350" spans="2:20">
      <c r="B350" s="115">
        <v>40115</v>
      </c>
      <c r="C350" s="116">
        <v>0.68194236509999995</v>
      </c>
      <c r="D350" s="116">
        <f>VLOOKUP(CurrentMtgRatesDataTable825[[#This Row],[asofdate]],I:J,2,0)</f>
        <v>0.70441895249999997</v>
      </c>
      <c r="E350" s="116">
        <f>VLOOKUP(CurrentMtgRatesDataTable825[[#This Row],[asofdate]],M:N,2,0)</f>
        <v>0</v>
      </c>
      <c r="F350" s="117">
        <f ca="1">VLOOKUP(CurrentMtgRatesDataTable825[[#This Row],[asofdate]]+1,Bloomberg!B:C,2,0)</f>
        <v>2715.2</v>
      </c>
      <c r="I350" s="115">
        <v>40115</v>
      </c>
      <c r="J350" s="130">
        <v>0.70441895249999997</v>
      </c>
      <c r="M350" s="115">
        <v>40115</v>
      </c>
      <c r="N350" s="130">
        <v>0</v>
      </c>
      <c r="O350" s="130"/>
      <c r="P350" s="130"/>
      <c r="Q350" s="115">
        <v>40115</v>
      </c>
      <c r="R350" s="130">
        <v>4.9326667000000003E-3</v>
      </c>
      <c r="T350"/>
    </row>
    <row r="351" spans="2:20">
      <c r="B351" s="115">
        <v>40108</v>
      </c>
      <c r="C351" s="116">
        <v>0.70027208269999996</v>
      </c>
      <c r="D351" s="116">
        <f>VLOOKUP(CurrentMtgRatesDataTable825[[#This Row],[asofdate]],I:J,2,0)</f>
        <v>0.72756030579999997</v>
      </c>
      <c r="E351" s="116">
        <f>VLOOKUP(CurrentMtgRatesDataTable825[[#This Row],[asofdate]],M:N,2,0)</f>
        <v>0</v>
      </c>
      <c r="F351" s="117">
        <f ca="1">VLOOKUP(CurrentMtgRatesDataTable825[[#This Row],[asofdate]]+1,Bloomberg!B:C,2,0)</f>
        <v>2304</v>
      </c>
      <c r="I351" s="115">
        <v>40108</v>
      </c>
      <c r="J351" s="130">
        <v>0.72756030579999997</v>
      </c>
      <c r="M351" s="115">
        <v>40108</v>
      </c>
      <c r="N351" s="130">
        <v>0</v>
      </c>
      <c r="O351" s="130"/>
      <c r="P351" s="130"/>
      <c r="Q351" s="115">
        <v>40108</v>
      </c>
      <c r="R351" s="130">
        <v>8.2292375999999997E-3</v>
      </c>
      <c r="T351"/>
    </row>
    <row r="352" spans="2:20">
      <c r="B352" s="115">
        <v>40101</v>
      </c>
      <c r="C352" s="116">
        <v>0.74934790669999995</v>
      </c>
      <c r="D352" s="116">
        <f>VLOOKUP(CurrentMtgRatesDataTable825[[#This Row],[asofdate]],I:J,2,0)</f>
        <v>0.768372108</v>
      </c>
      <c r="E352" s="116">
        <f>VLOOKUP(CurrentMtgRatesDataTable825[[#This Row],[asofdate]],M:N,2,0)</f>
        <v>0</v>
      </c>
      <c r="F352" s="117">
        <f ca="1">VLOOKUP(CurrentMtgRatesDataTable825[[#This Row],[asofdate]]+1,Bloomberg!B:C,2,0)</f>
        <v>2774.7</v>
      </c>
      <c r="I352" s="115">
        <v>40101</v>
      </c>
      <c r="J352" s="130">
        <v>0.768372108</v>
      </c>
      <c r="M352" s="115">
        <v>40101</v>
      </c>
      <c r="N352" s="130">
        <v>0</v>
      </c>
      <c r="O352" s="130"/>
      <c r="P352" s="130"/>
      <c r="Q352" s="115">
        <v>40101</v>
      </c>
      <c r="R352" s="130">
        <v>0.76839137859999995</v>
      </c>
      <c r="T352"/>
    </row>
    <row r="353" spans="2:20">
      <c r="B353" s="115">
        <v>40094</v>
      </c>
      <c r="C353" s="116">
        <v>0.77259198549999997</v>
      </c>
      <c r="D353" s="116">
        <f>VLOOKUP(CurrentMtgRatesDataTable825[[#This Row],[asofdate]],I:J,2,0)</f>
        <v>0.79042688480000001</v>
      </c>
      <c r="E353" s="116">
        <f>VLOOKUP(CurrentMtgRatesDataTable825[[#This Row],[asofdate]],M:N,2,0)</f>
        <v>5.3882499999999998E-3</v>
      </c>
      <c r="F353" s="117">
        <f ca="1">VLOOKUP(CurrentMtgRatesDataTable825[[#This Row],[asofdate]]+1,Bloomberg!B:C,2,0)</f>
        <v>3280.3</v>
      </c>
      <c r="I353" s="115">
        <v>40094</v>
      </c>
      <c r="J353" s="130">
        <v>0.79042688480000001</v>
      </c>
      <c r="M353" s="115">
        <v>40094</v>
      </c>
      <c r="N353" s="130">
        <v>5.3882499999999998E-3</v>
      </c>
      <c r="O353" s="130"/>
      <c r="P353" s="130"/>
      <c r="Q353" s="115">
        <v>40094</v>
      </c>
      <c r="R353" s="130">
        <v>0.79045908549999999</v>
      </c>
      <c r="T353"/>
    </row>
    <row r="354" spans="2:20">
      <c r="B354" s="115">
        <v>40087</v>
      </c>
      <c r="C354" s="116">
        <v>0.73905376229999997</v>
      </c>
      <c r="D354" s="116">
        <f>VLOOKUP(CurrentMtgRatesDataTable825[[#This Row],[asofdate]],I:J,2,0)</f>
        <v>0.76424793329999996</v>
      </c>
      <c r="E354" s="116">
        <f>VLOOKUP(CurrentMtgRatesDataTable825[[#This Row],[asofdate]],M:N,2,0)</f>
        <v>4.1859721000000001E-3</v>
      </c>
      <c r="F354" s="117">
        <f ca="1">VLOOKUP(CurrentMtgRatesDataTable825[[#This Row],[asofdate]]+1,Bloomberg!B:C,2,0)</f>
        <v>3230.9</v>
      </c>
      <c r="I354" s="115">
        <v>40087</v>
      </c>
      <c r="J354" s="130">
        <v>0.76424793329999996</v>
      </c>
      <c r="M354" s="115">
        <v>40087</v>
      </c>
      <c r="N354" s="130">
        <v>4.1859721000000001E-3</v>
      </c>
      <c r="O354" s="130"/>
      <c r="P354" s="130"/>
      <c r="Q354" s="115">
        <v>40087</v>
      </c>
      <c r="R354" s="130">
        <v>0.76420351740000003</v>
      </c>
      <c r="T354"/>
    </row>
    <row r="355" spans="2:20">
      <c r="B355" s="115">
        <v>40080</v>
      </c>
      <c r="C355" s="116">
        <v>0.7101193495</v>
      </c>
      <c r="D355" s="116">
        <f>VLOOKUP(CurrentMtgRatesDataTable825[[#This Row],[asofdate]],I:J,2,0)</f>
        <v>0.73044929209999998</v>
      </c>
      <c r="E355" s="116">
        <f>VLOOKUP(CurrentMtgRatesDataTable825[[#This Row],[asofdate]],M:N,2,0)</f>
        <v>1.882552E-3</v>
      </c>
      <c r="F355" s="117">
        <f ca="1">VLOOKUP(CurrentMtgRatesDataTable825[[#This Row],[asofdate]]+1,Bloomberg!B:C,2,0)</f>
        <v>2655.8</v>
      </c>
      <c r="I355" s="115">
        <v>40080</v>
      </c>
      <c r="J355" s="130">
        <v>0.73044929209999998</v>
      </c>
      <c r="M355" s="115">
        <v>40080</v>
      </c>
      <c r="N355" s="130">
        <v>1.882552E-3</v>
      </c>
      <c r="O355" s="130"/>
      <c r="P355" s="130"/>
      <c r="Q355" s="115">
        <v>40080</v>
      </c>
      <c r="R355" s="130">
        <v>1.51329173E-2</v>
      </c>
      <c r="T355"/>
    </row>
    <row r="356" spans="2:20">
      <c r="B356" s="115">
        <v>40073</v>
      </c>
      <c r="C356" s="116">
        <v>0.69825520549999998</v>
      </c>
      <c r="D356" s="116">
        <f>VLOOKUP(CurrentMtgRatesDataTable825[[#This Row],[asofdate]],I:J,2,0)</f>
        <v>0.72287040550000004</v>
      </c>
      <c r="E356" s="116">
        <f>VLOOKUP(CurrentMtgRatesDataTable825[[#This Row],[asofdate]],M:N,2,0)</f>
        <v>1.8440702000000002E-3</v>
      </c>
      <c r="F356" s="117">
        <f ca="1">VLOOKUP(CurrentMtgRatesDataTable825[[#This Row],[asofdate]]+1,Bloomberg!B:C,2,0)</f>
        <v>2632.2</v>
      </c>
      <c r="I356" s="115">
        <v>40073</v>
      </c>
      <c r="J356" s="130">
        <v>0.72287040550000004</v>
      </c>
      <c r="M356" s="115">
        <v>40073</v>
      </c>
      <c r="N356" s="130">
        <v>1.8440702000000002E-3</v>
      </c>
      <c r="O356" s="130"/>
      <c r="P356" s="130"/>
      <c r="Q356" s="115">
        <v>40073</v>
      </c>
      <c r="R356" s="130">
        <v>9.0398625000000007E-3</v>
      </c>
      <c r="T356"/>
    </row>
    <row r="357" spans="2:20">
      <c r="B357" s="115">
        <v>40066</v>
      </c>
      <c r="C357" s="116">
        <v>0.68080495220000004</v>
      </c>
      <c r="D357" s="116">
        <f>VLOOKUP(CurrentMtgRatesDataTable825[[#This Row],[asofdate]],I:J,2,0)</f>
        <v>0.71195266859999995</v>
      </c>
      <c r="E357" s="116">
        <f>VLOOKUP(CurrentMtgRatesDataTable825[[#This Row],[asofdate]],M:N,2,0)</f>
        <v>1.8238699E-3</v>
      </c>
      <c r="F357" s="117">
        <f ca="1">VLOOKUP(CurrentMtgRatesDataTable825[[#This Row],[asofdate]]+1,Bloomberg!B:C,2,0)</f>
        <v>2216.3000000000002</v>
      </c>
      <c r="I357" s="115">
        <v>40066</v>
      </c>
      <c r="J357" s="130">
        <v>0.71195266859999995</v>
      </c>
      <c r="M357" s="115">
        <v>40066</v>
      </c>
      <c r="N357" s="130">
        <v>1.8238699E-3</v>
      </c>
      <c r="O357" s="130"/>
      <c r="P357" s="130"/>
      <c r="Q357" s="115">
        <v>40066</v>
      </c>
      <c r="R357" s="130">
        <v>9.0105779000000004E-3</v>
      </c>
      <c r="T357"/>
    </row>
    <row r="358" spans="2:20">
      <c r="B358" s="115">
        <v>40059</v>
      </c>
      <c r="C358" s="116">
        <v>0.67081675360000004</v>
      </c>
      <c r="D358" s="116">
        <f>VLOOKUP(CurrentMtgRatesDataTable825[[#This Row],[asofdate]],I:J,2,0)</f>
        <v>0.69597172249999995</v>
      </c>
      <c r="E358" s="116">
        <f>VLOOKUP(CurrentMtgRatesDataTable825[[#This Row],[asofdate]],M:N,2,0)</f>
        <v>1.4198030000000001E-3</v>
      </c>
      <c r="F358" s="117">
        <f ca="1">VLOOKUP(CurrentMtgRatesDataTable825[[#This Row],[asofdate]]+1,Bloomberg!B:C,2,0)</f>
        <v>2383.6999999999998</v>
      </c>
      <c r="I358" s="115">
        <v>40059</v>
      </c>
      <c r="J358" s="130">
        <v>0.69597172249999995</v>
      </c>
      <c r="M358" s="115">
        <v>40059</v>
      </c>
      <c r="N358" s="130">
        <v>1.4198030000000001E-3</v>
      </c>
      <c r="O358" s="130"/>
      <c r="P358" s="130"/>
      <c r="Q358" s="115">
        <v>40059</v>
      </c>
      <c r="R358" s="130">
        <v>7.4750987999999997E-3</v>
      </c>
      <c r="T358"/>
    </row>
    <row r="359" spans="2:20">
      <c r="B359" s="115">
        <v>40052</v>
      </c>
      <c r="C359" s="116">
        <v>0.65629975750000002</v>
      </c>
      <c r="D359" s="116">
        <f>VLOOKUP(CurrentMtgRatesDataTable825[[#This Row],[asofdate]],I:J,2,0)</f>
        <v>0.68787756899999997</v>
      </c>
      <c r="E359" s="116">
        <f>VLOOKUP(CurrentMtgRatesDataTable825[[#This Row],[asofdate]],M:N,2,0)</f>
        <v>0</v>
      </c>
      <c r="F359" s="117">
        <f ca="1">VLOOKUP(CurrentMtgRatesDataTable825[[#This Row],[asofdate]]+1,Bloomberg!B:C,2,0)</f>
        <v>1955.9</v>
      </c>
      <c r="I359" s="115">
        <v>40052</v>
      </c>
      <c r="J359" s="130">
        <v>0.68787756899999997</v>
      </c>
      <c r="M359" s="115">
        <v>40052</v>
      </c>
      <c r="N359" s="130">
        <v>0</v>
      </c>
      <c r="O359" s="130"/>
      <c r="P359" s="130"/>
      <c r="Q359" s="115">
        <v>40052</v>
      </c>
      <c r="R359" s="130">
        <v>3.8280061000000002E-3</v>
      </c>
      <c r="T359"/>
    </row>
    <row r="360" spans="2:20">
      <c r="B360" s="115">
        <v>40045</v>
      </c>
      <c r="C360" s="116">
        <v>0.67752276570000003</v>
      </c>
      <c r="D360" s="116">
        <f>VLOOKUP(CurrentMtgRatesDataTable825[[#This Row],[asofdate]],I:J,2,0)</f>
        <v>0.71911560149999998</v>
      </c>
      <c r="E360" s="116">
        <f>VLOOKUP(CurrentMtgRatesDataTable825[[#This Row],[asofdate]],M:N,2,0)</f>
        <v>7.3150190000000005E-4</v>
      </c>
      <c r="F360" s="117">
        <f ca="1">VLOOKUP(CurrentMtgRatesDataTable825[[#This Row],[asofdate]]+1,Bloomberg!B:C,2,0)</f>
        <v>1983.2</v>
      </c>
      <c r="I360" s="115">
        <v>40045</v>
      </c>
      <c r="J360" s="130">
        <v>0.71911560149999998</v>
      </c>
      <c r="M360" s="115">
        <v>40045</v>
      </c>
      <c r="N360" s="130">
        <v>7.3150190000000005E-4</v>
      </c>
      <c r="O360" s="130"/>
      <c r="P360" s="130"/>
      <c r="Q360" s="115">
        <v>40045</v>
      </c>
      <c r="R360" s="130">
        <v>6.7441365000000001E-3</v>
      </c>
      <c r="T360"/>
    </row>
    <row r="361" spans="2:20">
      <c r="B361" s="115">
        <v>40038</v>
      </c>
      <c r="C361" s="116">
        <v>0.56350972649999997</v>
      </c>
      <c r="D361" s="116">
        <f>VLOOKUP(CurrentMtgRatesDataTable825[[#This Row],[asofdate]],I:J,2,0)</f>
        <v>0.5942714322</v>
      </c>
      <c r="E361" s="116">
        <f>VLOOKUP(CurrentMtgRatesDataTable825[[#This Row],[asofdate]],M:N,2,0)</f>
        <v>0</v>
      </c>
      <c r="F361" s="117">
        <f ca="1">VLOOKUP(CurrentMtgRatesDataTable825[[#This Row],[asofdate]]+1,Bloomberg!B:C,2,0)</f>
        <v>1782.2</v>
      </c>
      <c r="I361" s="115">
        <v>40038</v>
      </c>
      <c r="J361" s="130">
        <v>0.5942714322</v>
      </c>
      <c r="M361" s="115">
        <v>40038</v>
      </c>
      <c r="N361" s="130">
        <v>0</v>
      </c>
      <c r="O361" s="130"/>
      <c r="P361" s="130"/>
      <c r="Q361" s="115">
        <v>40038</v>
      </c>
      <c r="R361" s="130">
        <v>1.407658E-3</v>
      </c>
      <c r="T361"/>
    </row>
    <row r="362" spans="2:20">
      <c r="B362" s="115">
        <v>40031</v>
      </c>
      <c r="C362" s="116">
        <v>0.62840261080000004</v>
      </c>
      <c r="D362" s="116">
        <f>VLOOKUP(CurrentMtgRatesDataTable825[[#This Row],[asofdate]],I:J,2,0)</f>
        <v>0.67630454740000001</v>
      </c>
      <c r="E362" s="116">
        <f>VLOOKUP(CurrentMtgRatesDataTable825[[#This Row],[asofdate]],M:N,2,0)</f>
        <v>0</v>
      </c>
      <c r="F362" s="117">
        <f ca="1">VLOOKUP(CurrentMtgRatesDataTable825[[#This Row],[asofdate]]+1,Bloomberg!B:C,2,0)</f>
        <v>1659.1</v>
      </c>
      <c r="I362" s="115">
        <v>40031</v>
      </c>
      <c r="J362" s="130">
        <v>0.67630454740000001</v>
      </c>
      <c r="M362" s="115">
        <v>40031</v>
      </c>
      <c r="N362" s="130">
        <v>0</v>
      </c>
      <c r="O362" s="130"/>
      <c r="P362" s="130"/>
      <c r="Q362" s="115">
        <v>40031</v>
      </c>
      <c r="R362" s="130">
        <v>3.6532496000000001E-3</v>
      </c>
      <c r="T362"/>
    </row>
    <row r="363" spans="2:20">
      <c r="B363" s="115">
        <v>40024</v>
      </c>
      <c r="C363" s="116">
        <v>0.63187604159999999</v>
      </c>
      <c r="D363" s="116">
        <f>VLOOKUP(CurrentMtgRatesDataTable825[[#This Row],[asofdate]],I:J,2,0)</f>
        <v>0.67072310170000005</v>
      </c>
      <c r="E363" s="116">
        <f>VLOOKUP(CurrentMtgRatesDataTable825[[#This Row],[asofdate]],M:N,2,0)</f>
        <v>0</v>
      </c>
      <c r="F363" s="117">
        <f ca="1">VLOOKUP(CurrentMtgRatesDataTable825[[#This Row],[asofdate]]+1,Bloomberg!B:C,2,0)</f>
        <v>1826</v>
      </c>
      <c r="I363" s="115">
        <v>40024</v>
      </c>
      <c r="J363" s="130">
        <v>0.67072310170000005</v>
      </c>
      <c r="M363" s="115">
        <v>40024</v>
      </c>
      <c r="N363" s="130">
        <v>0</v>
      </c>
      <c r="O363" s="130"/>
      <c r="P363" s="130"/>
      <c r="Q363" s="115">
        <v>40024</v>
      </c>
      <c r="R363" s="130">
        <v>2.0640286000000001E-3</v>
      </c>
      <c r="T363"/>
    </row>
    <row r="364" spans="2:20">
      <c r="B364" s="115">
        <v>40017</v>
      </c>
      <c r="C364" s="116">
        <v>0.65469587100000004</v>
      </c>
      <c r="D364" s="116">
        <f>VLOOKUP(CurrentMtgRatesDataTable825[[#This Row],[asofdate]],I:J,2,0)</f>
        <v>0.69678739609999996</v>
      </c>
      <c r="E364" s="116">
        <f>VLOOKUP(CurrentMtgRatesDataTable825[[#This Row],[asofdate]],M:N,2,0)</f>
        <v>0</v>
      </c>
      <c r="F364" s="117">
        <f ca="1">VLOOKUP(CurrentMtgRatesDataTable825[[#This Row],[asofdate]]+1,Bloomberg!B:C,2,0)</f>
        <v>1702.7</v>
      </c>
      <c r="I364" s="115">
        <v>40017</v>
      </c>
      <c r="J364" s="130">
        <v>0.69678739609999996</v>
      </c>
      <c r="M364" s="115">
        <v>40017</v>
      </c>
      <c r="N364" s="130">
        <v>0</v>
      </c>
      <c r="O364" s="130"/>
      <c r="P364" s="130"/>
      <c r="Q364" s="115">
        <v>40017</v>
      </c>
      <c r="R364" s="130">
        <v>2.4396846999999999E-3</v>
      </c>
      <c r="T364"/>
    </row>
    <row r="365" spans="2:20">
      <c r="B365" s="115">
        <v>40010</v>
      </c>
      <c r="C365" s="116">
        <v>0.68774564520000003</v>
      </c>
      <c r="D365" s="116">
        <f>VLOOKUP(CurrentMtgRatesDataTable825[[#This Row],[asofdate]],I:J,2,0)</f>
        <v>0.71116433310000005</v>
      </c>
      <c r="E365" s="116">
        <f>VLOOKUP(CurrentMtgRatesDataTable825[[#This Row],[asofdate]],M:N,2,0)</f>
        <v>6.1317399999999997E-5</v>
      </c>
      <c r="F365" s="117">
        <f ca="1">VLOOKUP(CurrentMtgRatesDataTable825[[#This Row],[asofdate]]+1,Bloomberg!B:C,2,0)</f>
        <v>1982.8</v>
      </c>
      <c r="I365" s="115">
        <v>40010</v>
      </c>
      <c r="J365" s="130">
        <v>0.71116433310000005</v>
      </c>
      <c r="M365" s="115">
        <v>40010</v>
      </c>
      <c r="N365" s="130">
        <v>6.1317399999999997E-5</v>
      </c>
      <c r="O365" s="130"/>
      <c r="P365" s="130"/>
      <c r="Q365" s="115">
        <v>40010</v>
      </c>
      <c r="R365" s="130">
        <v>4.5963966000000002E-3</v>
      </c>
      <c r="T365"/>
    </row>
    <row r="366" spans="2:20">
      <c r="B366" s="115">
        <v>40003</v>
      </c>
      <c r="C366" s="116">
        <v>0.65469587100000004</v>
      </c>
      <c r="D366" s="116">
        <f>VLOOKUP(CurrentMtgRatesDataTable825[[#This Row],[asofdate]],I:J,2,0)</f>
        <v>0.69678739609999996</v>
      </c>
      <c r="E366" s="116">
        <f>VLOOKUP(CurrentMtgRatesDataTable825[[#This Row],[asofdate]],M:N,2,0)</f>
        <v>5.5602200000000001E-5</v>
      </c>
      <c r="F366" s="117">
        <f ca="1">VLOOKUP(CurrentMtgRatesDataTable825[[#This Row],[asofdate]]+1,Bloomberg!B:C,2,0)</f>
        <v>1915.5</v>
      </c>
      <c r="I366" s="115">
        <v>40003</v>
      </c>
      <c r="J366" s="130">
        <v>0.69678739609999996</v>
      </c>
      <c r="M366" s="115">
        <v>40003</v>
      </c>
      <c r="N366" s="130">
        <v>5.5602200000000001E-5</v>
      </c>
      <c r="O366" s="130"/>
      <c r="P366" s="130"/>
      <c r="Q366" s="115">
        <v>40003</v>
      </c>
      <c r="R366" s="130">
        <v>2.4396846999999999E-3</v>
      </c>
      <c r="T366"/>
    </row>
    <row r="367" spans="2:20">
      <c r="B367" s="115">
        <v>39996</v>
      </c>
      <c r="C367" s="116">
        <v>0.56899485500000002</v>
      </c>
      <c r="D367" s="116">
        <f>VLOOKUP(CurrentMtgRatesDataTable825[[#This Row],[asofdate]],I:J,2,0)</f>
        <v>0.60429288550000004</v>
      </c>
      <c r="E367" s="116">
        <f>VLOOKUP(CurrentMtgRatesDataTable825[[#This Row],[asofdate]],M:N,2,0)</f>
        <v>0</v>
      </c>
      <c r="F367" s="117">
        <f ca="1">VLOOKUP(CurrentMtgRatesDataTable825[[#This Row],[asofdate]]+1,Bloomberg!B:C,2,0)</f>
        <v>1583.5</v>
      </c>
      <c r="I367" s="115">
        <v>39996</v>
      </c>
      <c r="J367" s="130">
        <v>0.60429288550000004</v>
      </c>
      <c r="M367" s="115">
        <v>39996</v>
      </c>
      <c r="N367" s="130">
        <v>0</v>
      </c>
      <c r="O367" s="130"/>
      <c r="P367" s="130"/>
      <c r="Q367" s="115">
        <v>39996</v>
      </c>
      <c r="R367" s="130">
        <v>1.6449741E-3</v>
      </c>
      <c r="T367"/>
    </row>
    <row r="368" spans="2:20">
      <c r="B368" s="115">
        <v>39989</v>
      </c>
      <c r="C368" s="116">
        <v>0.5060874809</v>
      </c>
      <c r="D368" s="116">
        <f>VLOOKUP(CurrentMtgRatesDataTable825[[#This Row],[asofdate]],I:J,2,0)</f>
        <v>0.53936109320000003</v>
      </c>
      <c r="E368" s="116">
        <f>VLOOKUP(CurrentMtgRatesDataTable825[[#This Row],[asofdate]],M:N,2,0)</f>
        <v>0</v>
      </c>
      <c r="F368" s="117">
        <f ca="1">VLOOKUP(CurrentMtgRatesDataTable825[[#This Row],[asofdate]]+1,Bloomberg!B:C,2,0)</f>
        <v>1328.1</v>
      </c>
      <c r="I368" s="115">
        <v>39989</v>
      </c>
      <c r="J368" s="130">
        <v>0.53936109320000003</v>
      </c>
      <c r="M368" s="115">
        <v>39989</v>
      </c>
      <c r="N368" s="130">
        <v>0</v>
      </c>
      <c r="O368" s="130"/>
      <c r="P368" s="130"/>
      <c r="Q368" s="115">
        <v>39989</v>
      </c>
      <c r="R368" s="130">
        <v>4.422645E-4</v>
      </c>
      <c r="T368"/>
    </row>
    <row r="369" spans="2:20">
      <c r="B369" s="115">
        <v>39982</v>
      </c>
      <c r="C369" s="116">
        <v>0.5459267511</v>
      </c>
      <c r="D369" s="116">
        <f>VLOOKUP(CurrentMtgRatesDataTable825[[#This Row],[asofdate]],I:J,2,0)</f>
        <v>0.58454767249999995</v>
      </c>
      <c r="E369" s="116">
        <f>VLOOKUP(CurrentMtgRatesDataTable825[[#This Row],[asofdate]],M:N,2,0)</f>
        <v>0</v>
      </c>
      <c r="F369" s="117">
        <f ca="1">VLOOKUP(CurrentMtgRatesDataTable825[[#This Row],[asofdate]]+1,Bloomberg!B:C,2,0)</f>
        <v>1504.6</v>
      </c>
      <c r="I369" s="115">
        <v>39982</v>
      </c>
      <c r="J369" s="130">
        <v>0.58454767249999995</v>
      </c>
      <c r="M369" s="115">
        <v>39982</v>
      </c>
      <c r="N369" s="130">
        <v>0</v>
      </c>
      <c r="O369" s="130"/>
      <c r="P369" s="130"/>
      <c r="Q369" s="115">
        <v>39982</v>
      </c>
      <c r="R369" s="130">
        <v>5.4072379999999995E-4</v>
      </c>
      <c r="T369"/>
    </row>
    <row r="370" spans="2:20">
      <c r="B370" s="115">
        <v>39975</v>
      </c>
      <c r="C370" s="116">
        <v>0.3809668907</v>
      </c>
      <c r="D370" s="116">
        <f>VLOOKUP(CurrentMtgRatesDataTable825[[#This Row],[asofdate]],I:J,2,0)</f>
        <v>0.42999902099999998</v>
      </c>
      <c r="E370" s="116">
        <f>VLOOKUP(CurrentMtgRatesDataTable825[[#This Row],[asofdate]],M:N,2,0)</f>
        <v>0</v>
      </c>
      <c r="F370" s="117">
        <f ca="1">VLOOKUP(CurrentMtgRatesDataTable825[[#This Row],[asofdate]]+1,Bloomberg!B:C,2,0)</f>
        <v>1482.7</v>
      </c>
      <c r="I370" s="115">
        <v>39975</v>
      </c>
      <c r="J370" s="130">
        <v>0.42999902099999998</v>
      </c>
      <c r="M370" s="115">
        <v>39975</v>
      </c>
      <c r="N370" s="130">
        <v>0</v>
      </c>
      <c r="O370" s="130"/>
      <c r="P370" s="130"/>
      <c r="Q370" s="115">
        <v>39975</v>
      </c>
      <c r="R370" s="130">
        <v>2.6793020000000001E-4</v>
      </c>
      <c r="T370"/>
    </row>
    <row r="371" spans="2:20">
      <c r="B371" s="115">
        <v>39968</v>
      </c>
      <c r="C371" s="116">
        <v>0.61185159430000002</v>
      </c>
      <c r="D371" s="116">
        <f>VLOOKUP(CurrentMtgRatesDataTable825[[#This Row],[asofdate]],I:J,2,0)</f>
        <v>0.63826923999999996</v>
      </c>
      <c r="E371" s="116">
        <f>VLOOKUP(CurrentMtgRatesDataTable825[[#This Row],[asofdate]],M:N,2,0)</f>
        <v>0</v>
      </c>
      <c r="F371" s="117">
        <f ca="1">VLOOKUP(CurrentMtgRatesDataTable825[[#This Row],[asofdate]]+1,Bloomberg!B:C,2,0)</f>
        <v>2156.5</v>
      </c>
      <c r="I371" s="115">
        <v>39968</v>
      </c>
      <c r="J371" s="130">
        <v>0.63826923999999996</v>
      </c>
      <c r="M371" s="115">
        <v>39968</v>
      </c>
      <c r="N371" s="130">
        <v>0</v>
      </c>
      <c r="O371" s="130"/>
      <c r="P371" s="130"/>
      <c r="Q371" s="115">
        <v>39968</v>
      </c>
      <c r="R371" s="130">
        <v>6.9875139999999998E-4</v>
      </c>
      <c r="T371"/>
    </row>
    <row r="372" spans="2:20">
      <c r="B372" s="115">
        <v>39961</v>
      </c>
      <c r="C372" s="116">
        <v>0.89171080709999995</v>
      </c>
      <c r="D372" s="116">
        <f>VLOOKUP(CurrentMtgRatesDataTable825[[#This Row],[asofdate]],I:J,2,0)</f>
        <v>0.91704575720000003</v>
      </c>
      <c r="E372" s="116">
        <f>VLOOKUP(CurrentMtgRatesDataTable825[[#This Row],[asofdate]],M:N,2,0)</f>
        <v>0</v>
      </c>
      <c r="F372" s="117">
        <f ca="1">VLOOKUP(CurrentMtgRatesDataTable825[[#This Row],[asofdate]]+1,Bloomberg!B:C,2,0)</f>
        <v>2583</v>
      </c>
      <c r="I372" s="115">
        <v>39961</v>
      </c>
      <c r="J372" s="130">
        <v>0.91704575720000003</v>
      </c>
      <c r="M372" s="115">
        <v>39961</v>
      </c>
      <c r="N372" s="130">
        <v>0</v>
      </c>
      <c r="O372" s="130"/>
      <c r="P372" s="130"/>
      <c r="Q372" s="115">
        <v>39961</v>
      </c>
      <c r="R372" s="130">
        <v>0.91703471479999998</v>
      </c>
      <c r="T372"/>
    </row>
    <row r="373" spans="2:20">
      <c r="B373" s="115">
        <v>39954</v>
      </c>
      <c r="C373" s="116">
        <v>0.91709385860000003</v>
      </c>
      <c r="D373" s="116">
        <f>VLOOKUP(CurrentMtgRatesDataTable825[[#This Row],[asofdate]],I:J,2,0)</f>
        <v>0.95044574390000003</v>
      </c>
      <c r="E373" s="116">
        <f>VLOOKUP(CurrentMtgRatesDataTable825[[#This Row],[asofdate]],M:N,2,0)</f>
        <v>0</v>
      </c>
      <c r="F373" s="117">
        <f ca="1">VLOOKUP(CurrentMtgRatesDataTable825[[#This Row],[asofdate]]+1,Bloomberg!B:C,2,0)</f>
        <v>3590.1</v>
      </c>
      <c r="I373" s="115">
        <v>39954</v>
      </c>
      <c r="J373" s="130">
        <v>0.95044574390000003</v>
      </c>
      <c r="M373" s="115">
        <v>39954</v>
      </c>
      <c r="N373" s="130">
        <v>0</v>
      </c>
      <c r="O373" s="130"/>
      <c r="P373" s="130"/>
      <c r="Q373" s="115">
        <v>39954</v>
      </c>
      <c r="R373" s="130">
        <v>0.95023078650000004</v>
      </c>
      <c r="T373"/>
    </row>
    <row r="374" spans="2:20">
      <c r="B374" s="115">
        <v>39947</v>
      </c>
      <c r="C374" s="116">
        <v>0.90920854770000004</v>
      </c>
      <c r="D374" s="116">
        <f>VLOOKUP(CurrentMtgRatesDataTable825[[#This Row],[asofdate]],I:J,2,0)</f>
        <v>0.9382914872</v>
      </c>
      <c r="E374" s="116">
        <f>VLOOKUP(CurrentMtgRatesDataTable825[[#This Row],[asofdate]],M:N,2,0)</f>
        <v>0</v>
      </c>
      <c r="F374" s="117">
        <f ca="1">VLOOKUP(CurrentMtgRatesDataTable825[[#This Row],[asofdate]]+1,Bloomberg!B:C,2,0)</f>
        <v>4586.2</v>
      </c>
      <c r="I374" s="115">
        <v>39947</v>
      </c>
      <c r="J374" s="130">
        <v>0.9382914872</v>
      </c>
      <c r="M374" s="115">
        <v>39947</v>
      </c>
      <c r="N374" s="130">
        <v>0</v>
      </c>
      <c r="O374" s="130"/>
      <c r="P374" s="130"/>
      <c r="Q374" s="115">
        <v>39947</v>
      </c>
      <c r="R374" s="130">
        <v>0.9382895819</v>
      </c>
      <c r="T374"/>
    </row>
    <row r="375" spans="2:20">
      <c r="B375" s="115">
        <v>39940</v>
      </c>
      <c r="C375" s="116">
        <v>0.90879210379999997</v>
      </c>
      <c r="D375" s="116">
        <f>VLOOKUP(CurrentMtgRatesDataTable825[[#This Row],[asofdate]],I:J,2,0)</f>
        <v>0.93819874619999999</v>
      </c>
      <c r="E375" s="116">
        <f>VLOOKUP(CurrentMtgRatesDataTable825[[#This Row],[asofdate]],M:N,2,0)</f>
        <v>0</v>
      </c>
      <c r="F375" s="117">
        <f ca="1">VLOOKUP(CurrentMtgRatesDataTable825[[#This Row],[asofdate]]+1,Bloomberg!B:C,2,0)</f>
        <v>4353.1000000000004</v>
      </c>
      <c r="I375" s="115">
        <v>39940</v>
      </c>
      <c r="J375" s="130">
        <v>0.93819874619999999</v>
      </c>
      <c r="M375" s="115">
        <v>39940</v>
      </c>
      <c r="N375" s="130">
        <v>0</v>
      </c>
      <c r="O375" s="130"/>
      <c r="P375" s="130"/>
      <c r="Q375" s="115">
        <v>39940</v>
      </c>
      <c r="R375" s="130">
        <v>0.93819680849999998</v>
      </c>
      <c r="T375"/>
    </row>
    <row r="376" spans="2:20">
      <c r="B376" s="115">
        <v>39933</v>
      </c>
      <c r="C376" s="116">
        <v>0.95820903840000005</v>
      </c>
      <c r="D376" s="116">
        <f>VLOOKUP(CurrentMtgRatesDataTable825[[#This Row],[asofdate]],I:J,2,0)</f>
        <v>0.96780518839999996</v>
      </c>
      <c r="E376" s="116">
        <f>VLOOKUP(CurrentMtgRatesDataTable825[[#This Row],[asofdate]],M:N,2,0)</f>
        <v>0</v>
      </c>
      <c r="F376" s="117">
        <f ca="1">VLOOKUP(CurrentMtgRatesDataTable825[[#This Row],[asofdate]]+1,Bloomberg!B:C,2,0)</f>
        <v>5084.2</v>
      </c>
      <c r="I376" s="115">
        <v>39933</v>
      </c>
      <c r="J376" s="130">
        <v>0.96780518839999996</v>
      </c>
      <c r="M376" s="115">
        <v>39933</v>
      </c>
      <c r="N376" s="130">
        <v>0</v>
      </c>
      <c r="O376" s="130"/>
      <c r="P376" s="130"/>
      <c r="Q376" s="115">
        <v>39933</v>
      </c>
      <c r="R376" s="130">
        <v>0.96773525760000001</v>
      </c>
      <c r="T376"/>
    </row>
    <row r="377" spans="2:20">
      <c r="B377" s="115">
        <v>39926</v>
      </c>
      <c r="C377" s="116">
        <v>0.95465763439999995</v>
      </c>
      <c r="D377" s="116">
        <f>VLOOKUP(CurrentMtgRatesDataTable825[[#This Row],[asofdate]],I:J,2,0)</f>
        <v>0.96668737410000005</v>
      </c>
      <c r="E377" s="116">
        <f>VLOOKUP(CurrentMtgRatesDataTable825[[#This Row],[asofdate]],M:N,2,0)</f>
        <v>0</v>
      </c>
      <c r="F377" s="117">
        <f ca="1">VLOOKUP(CurrentMtgRatesDataTable825[[#This Row],[asofdate]]+1,Bloomberg!B:C,2,0)</f>
        <v>4957.8999999999996</v>
      </c>
      <c r="I377" s="115">
        <v>39926</v>
      </c>
      <c r="J377" s="130">
        <v>0.96668737410000005</v>
      </c>
      <c r="M377" s="115">
        <v>39926</v>
      </c>
      <c r="N377" s="130">
        <v>0</v>
      </c>
      <c r="O377" s="130"/>
      <c r="P377" s="130"/>
      <c r="Q377" s="115">
        <v>39926</v>
      </c>
      <c r="R377" s="130">
        <v>0.96668307070000004</v>
      </c>
      <c r="T377"/>
    </row>
    <row r="378" spans="2:20">
      <c r="B378" s="115">
        <v>39919</v>
      </c>
      <c r="C378" s="116">
        <v>0.95712912230000002</v>
      </c>
      <c r="D378" s="116">
        <f>VLOOKUP(CurrentMtgRatesDataTable825[[#This Row],[asofdate]],I:J,2,0)</f>
        <v>0.96711777980000002</v>
      </c>
      <c r="E378" s="116">
        <f>VLOOKUP(CurrentMtgRatesDataTable825[[#This Row],[asofdate]],M:N,2,0)</f>
        <v>0</v>
      </c>
      <c r="F378" s="117">
        <f ca="1">VLOOKUP(CurrentMtgRatesDataTable825[[#This Row],[asofdate]]+1,Bloomberg!B:C,2,0)</f>
        <v>6547.2</v>
      </c>
      <c r="I378" s="115">
        <v>39919</v>
      </c>
      <c r="J378" s="130">
        <v>0.96711777980000002</v>
      </c>
      <c r="M378" s="115">
        <v>39919</v>
      </c>
      <c r="N378" s="130">
        <v>0</v>
      </c>
      <c r="O378" s="130"/>
      <c r="P378" s="130"/>
      <c r="Q378" s="115">
        <v>39919</v>
      </c>
      <c r="R378" s="130">
        <v>0.96711362749999996</v>
      </c>
      <c r="T378"/>
    </row>
    <row r="379" spans="2:20">
      <c r="B379" s="115">
        <v>39912</v>
      </c>
      <c r="C379" s="116">
        <v>0.94094154419999998</v>
      </c>
      <c r="D379" s="116">
        <f>VLOOKUP(CurrentMtgRatesDataTable825[[#This Row],[asofdate]],I:J,2,0)</f>
        <v>0.95133847890000001</v>
      </c>
      <c r="E379" s="116">
        <f>VLOOKUP(CurrentMtgRatesDataTable825[[#This Row],[asofdate]],M:N,2,0)</f>
        <v>0</v>
      </c>
      <c r="F379" s="117">
        <f ca="1">VLOOKUP(CurrentMtgRatesDataTable825[[#This Row],[asofdate]]+1,Bloomberg!B:C,2,0)</f>
        <v>6127.3</v>
      </c>
      <c r="I379" s="115">
        <v>39912</v>
      </c>
      <c r="J379" s="130">
        <v>0.95133847890000001</v>
      </c>
      <c r="M379" s="115">
        <v>39912</v>
      </c>
      <c r="N379" s="130">
        <v>0</v>
      </c>
      <c r="O379" s="130"/>
      <c r="P379" s="130"/>
      <c r="Q379" s="115">
        <v>39912</v>
      </c>
      <c r="R379" s="130">
        <v>0.9513298858</v>
      </c>
      <c r="T379"/>
    </row>
    <row r="380" spans="2:20">
      <c r="B380" s="115">
        <v>39905</v>
      </c>
      <c r="C380" s="116">
        <v>0.95820903840000005</v>
      </c>
      <c r="D380" s="116">
        <f>VLOOKUP(CurrentMtgRatesDataTable825[[#This Row],[asofdate]],I:J,2,0)</f>
        <v>0.96780518839999996</v>
      </c>
      <c r="E380" s="116">
        <f>VLOOKUP(CurrentMtgRatesDataTable825[[#This Row],[asofdate]],M:N,2,0)</f>
        <v>0.96773525760000001</v>
      </c>
      <c r="F380" s="117">
        <f ca="1">VLOOKUP(CurrentMtgRatesDataTable825[[#This Row],[asofdate]]+1,Bloomberg!B:C,2,0)</f>
        <v>6734.2</v>
      </c>
      <c r="I380" s="115">
        <v>39905</v>
      </c>
      <c r="J380" s="130">
        <v>0.96780518839999996</v>
      </c>
      <c r="M380" s="115">
        <v>39905</v>
      </c>
      <c r="N380" s="130">
        <v>0.96773525760000001</v>
      </c>
      <c r="O380" s="130"/>
      <c r="P380" s="130"/>
      <c r="Q380" s="115">
        <v>39905</v>
      </c>
      <c r="R380" s="130">
        <v>0.96773525760000001</v>
      </c>
      <c r="T380"/>
    </row>
    <row r="381" spans="2:20">
      <c r="B381" s="115">
        <v>39898</v>
      </c>
      <c r="C381" s="116">
        <v>0.95896771780000001</v>
      </c>
      <c r="D381" s="116">
        <f>VLOOKUP(CurrentMtgRatesDataTable825[[#This Row],[asofdate]],I:J,2,0)</f>
        <v>0.95662948010000004</v>
      </c>
      <c r="E381" s="116">
        <f>VLOOKUP(CurrentMtgRatesDataTable825[[#This Row],[asofdate]],M:N,2,0)</f>
        <v>0.95662482240000002</v>
      </c>
      <c r="F381" s="117">
        <f ca="1">VLOOKUP(CurrentMtgRatesDataTable825[[#This Row],[asofdate]]+1,Bloomberg!B:C,2,0)</f>
        <v>6522</v>
      </c>
      <c r="I381" s="115">
        <v>39898</v>
      </c>
      <c r="J381" s="130">
        <v>0.95662948010000004</v>
      </c>
      <c r="M381" s="115">
        <v>39898</v>
      </c>
      <c r="N381" s="130">
        <v>0.95662482240000002</v>
      </c>
      <c r="O381" s="130"/>
      <c r="P381" s="130"/>
      <c r="Q381" s="115">
        <v>39898</v>
      </c>
      <c r="R381" s="130">
        <v>0.95662482240000002</v>
      </c>
      <c r="T381"/>
    </row>
    <row r="382" spans="2:20">
      <c r="B382" s="115">
        <v>39891</v>
      </c>
      <c r="C382" s="116">
        <v>0.90097231310000003</v>
      </c>
      <c r="D382" s="116">
        <f>VLOOKUP(CurrentMtgRatesDataTable825[[#This Row],[asofdate]],I:J,2,0)</f>
        <v>0.89917207740000005</v>
      </c>
      <c r="E382" s="116">
        <f>VLOOKUP(CurrentMtgRatesDataTable825[[#This Row],[asofdate]],M:N,2,0)</f>
        <v>3.6109559999999996E-4</v>
      </c>
      <c r="F382" s="117">
        <f ca="1">VLOOKUP(CurrentMtgRatesDataTable825[[#This Row],[asofdate]]+1,Bloomberg!B:C,2,0)</f>
        <v>6374.7</v>
      </c>
      <c r="I382" s="115">
        <v>39891</v>
      </c>
      <c r="J382" s="130">
        <v>0.89917207740000005</v>
      </c>
      <c r="M382" s="115">
        <v>39891</v>
      </c>
      <c r="N382" s="130">
        <v>3.6109559999999996E-4</v>
      </c>
      <c r="O382" s="130"/>
      <c r="P382" s="130"/>
      <c r="Q382" s="115">
        <v>39891</v>
      </c>
      <c r="R382" s="130">
        <v>0.89907836969999999</v>
      </c>
      <c r="T382"/>
    </row>
    <row r="383" spans="2:20">
      <c r="B383" s="115">
        <v>39884</v>
      </c>
      <c r="C383" s="116">
        <v>0.87167889590000014</v>
      </c>
      <c r="D383" s="116">
        <f>VLOOKUP(CurrentMtgRatesDataTable825[[#This Row],[asofdate]],I:J,2,0)</f>
        <v>0.86878816510000001</v>
      </c>
      <c r="E383" s="116">
        <f>VLOOKUP(CurrentMtgRatesDataTable825[[#This Row],[asofdate]],M:N,2,0)</f>
        <v>3.4018710000000002E-4</v>
      </c>
      <c r="F383" s="117">
        <f ca="1">VLOOKUP(CurrentMtgRatesDataTable825[[#This Row],[asofdate]]+1,Bloomberg!B:C,2,0)</f>
        <v>4428.1000000000004</v>
      </c>
      <c r="I383" s="115">
        <v>39884</v>
      </c>
      <c r="J383" s="130">
        <v>0.86878816510000001</v>
      </c>
      <c r="M383" s="115">
        <v>39884</v>
      </c>
      <c r="N383" s="130">
        <v>3.4018710000000002E-4</v>
      </c>
      <c r="O383" s="130"/>
      <c r="P383" s="130"/>
      <c r="Q383" s="115">
        <v>39884</v>
      </c>
      <c r="R383" s="130">
        <v>0.86873115099999998</v>
      </c>
      <c r="T383"/>
    </row>
    <row r="384" spans="2:20">
      <c r="B384" s="115">
        <v>39877</v>
      </c>
      <c r="C384" s="116">
        <v>0.78597676670000005</v>
      </c>
      <c r="D384" s="116">
        <f>VLOOKUP(CurrentMtgRatesDataTable825[[#This Row],[asofdate]],I:J,2,0)</f>
        <v>0.78972320240000005</v>
      </c>
      <c r="E384" s="116">
        <f>VLOOKUP(CurrentMtgRatesDataTable825[[#This Row],[asofdate]],M:N,2,0)</f>
        <v>0</v>
      </c>
      <c r="F384" s="117">
        <f ca="1">VLOOKUP(CurrentMtgRatesDataTable825[[#This Row],[asofdate]]+1,Bloomberg!B:C,2,0)</f>
        <v>3352.8</v>
      </c>
      <c r="I384" s="115">
        <v>39877</v>
      </c>
      <c r="J384" s="130">
        <v>0.78972320240000005</v>
      </c>
      <c r="M384" s="115">
        <v>39877</v>
      </c>
      <c r="N384" s="130">
        <v>0</v>
      </c>
      <c r="O384" s="130"/>
      <c r="P384" s="130"/>
      <c r="Q384" s="115">
        <v>39877</v>
      </c>
      <c r="R384" s="130">
        <v>0.78969731409999999</v>
      </c>
      <c r="T384"/>
    </row>
    <row r="385" spans="2:20">
      <c r="B385" s="115">
        <v>39870</v>
      </c>
      <c r="C385" s="116">
        <v>0.85195386939999995</v>
      </c>
      <c r="D385" s="116">
        <f>VLOOKUP(CurrentMtgRatesDataTable825[[#This Row],[asofdate]],I:J,2,0)</f>
        <v>0.85338869260000005</v>
      </c>
      <c r="E385" s="116">
        <f>VLOOKUP(CurrentMtgRatesDataTable825[[#This Row],[asofdate]],M:N,2,0)</f>
        <v>0</v>
      </c>
      <c r="F385" s="117">
        <f ca="1">VLOOKUP(CurrentMtgRatesDataTable825[[#This Row],[asofdate]]+1,Bloomberg!B:C,2,0)</f>
        <v>2945.5</v>
      </c>
      <c r="I385" s="115">
        <v>39870</v>
      </c>
      <c r="J385" s="130">
        <v>0.85338869260000005</v>
      </c>
      <c r="M385" s="115">
        <v>39870</v>
      </c>
      <c r="N385" s="130">
        <v>0</v>
      </c>
      <c r="O385" s="130"/>
      <c r="P385" s="130"/>
      <c r="Q385" s="115">
        <v>39870</v>
      </c>
      <c r="R385" s="130">
        <v>0.85325570760000002</v>
      </c>
      <c r="T385"/>
    </row>
    <row r="386" spans="2:20">
      <c r="B386" s="115">
        <v>39863</v>
      </c>
      <c r="C386" s="116">
        <v>0.87232807749999997</v>
      </c>
      <c r="D386" s="116">
        <f>VLOOKUP(CurrentMtgRatesDataTable825[[#This Row],[asofdate]],I:J,2,0)</f>
        <v>0.86644801189999998</v>
      </c>
      <c r="E386" s="116">
        <f>VLOOKUP(CurrentMtgRatesDataTable825[[#This Row],[asofdate]],M:N,2,0)</f>
        <v>0</v>
      </c>
      <c r="F386" s="117">
        <f ca="1">VLOOKUP(CurrentMtgRatesDataTable825[[#This Row],[asofdate]]+1,Bloomberg!B:C,2,0)</f>
        <v>3531.5</v>
      </c>
      <c r="I386" s="115">
        <v>39863</v>
      </c>
      <c r="J386" s="130">
        <v>0.86644801189999998</v>
      </c>
      <c r="M386" s="115">
        <v>39863</v>
      </c>
      <c r="N386" s="130">
        <v>0</v>
      </c>
      <c r="O386" s="130"/>
      <c r="P386" s="130"/>
      <c r="Q386" s="115">
        <v>39863</v>
      </c>
      <c r="R386" s="130">
        <v>0.86630603630000003</v>
      </c>
      <c r="T386"/>
    </row>
    <row r="387" spans="2:20">
      <c r="B387" s="115">
        <v>39856</v>
      </c>
      <c r="C387" s="116">
        <v>0.78575978540000002</v>
      </c>
      <c r="D387" s="116">
        <f>VLOOKUP(CurrentMtgRatesDataTable825[[#This Row],[asofdate]],I:J,2,0)</f>
        <v>0.78839131539999996</v>
      </c>
      <c r="E387" s="116">
        <f>VLOOKUP(CurrentMtgRatesDataTable825[[#This Row],[asofdate]],M:N,2,0)</f>
        <v>0</v>
      </c>
      <c r="F387" s="117">
        <f ca="1">VLOOKUP(CurrentMtgRatesDataTable825[[#This Row],[asofdate]]+1,Bloomberg!B:C,2,0)</f>
        <v>4564.5</v>
      </c>
      <c r="I387" s="115">
        <v>39856</v>
      </c>
      <c r="J387" s="130">
        <v>0.78839131539999996</v>
      </c>
      <c r="M387" s="115">
        <v>39856</v>
      </c>
      <c r="N387" s="130">
        <v>0</v>
      </c>
      <c r="O387" s="130"/>
      <c r="P387" s="130"/>
      <c r="Q387" s="115">
        <v>39856</v>
      </c>
      <c r="R387" s="130">
        <v>0.78832157729999996</v>
      </c>
      <c r="T387"/>
    </row>
    <row r="388" spans="2:20">
      <c r="B388" s="115">
        <v>39849</v>
      </c>
      <c r="C388" s="116">
        <v>0.69855204130000004</v>
      </c>
      <c r="D388" s="116">
        <f>VLOOKUP(CurrentMtgRatesDataTable825[[#This Row],[asofdate]],I:J,2,0)</f>
        <v>0.69670158640000002</v>
      </c>
      <c r="E388" s="116">
        <f>VLOOKUP(CurrentMtgRatesDataTable825[[#This Row],[asofdate]],M:N,2,0)</f>
        <v>0</v>
      </c>
      <c r="F388" s="117">
        <f ca="1">VLOOKUP(CurrentMtgRatesDataTable825[[#This Row],[asofdate]]+1,Bloomberg!B:C,2,0)</f>
        <v>2611.1</v>
      </c>
      <c r="I388" s="115">
        <v>39849</v>
      </c>
      <c r="J388" s="130">
        <v>0.69670158640000002</v>
      </c>
      <c r="M388" s="115">
        <v>39849</v>
      </c>
      <c r="N388" s="130">
        <v>0</v>
      </c>
      <c r="O388" s="130"/>
      <c r="P388" s="130"/>
      <c r="Q388" s="115">
        <v>39849</v>
      </c>
      <c r="R388" s="130">
        <v>0.69663565689999996</v>
      </c>
      <c r="T388"/>
    </row>
    <row r="389" spans="2:20">
      <c r="B389" s="115">
        <v>39842</v>
      </c>
      <c r="C389" s="116">
        <v>0.83006388230000006</v>
      </c>
      <c r="D389" s="116">
        <f>VLOOKUP(CurrentMtgRatesDataTable825[[#This Row],[asofdate]],I:J,2,0)</f>
        <v>0.83111971529999995</v>
      </c>
      <c r="E389" s="116">
        <f>VLOOKUP(CurrentMtgRatesDataTable825[[#This Row],[asofdate]],M:N,2,0)</f>
        <v>0</v>
      </c>
      <c r="F389" s="117">
        <f ca="1">VLOOKUP(CurrentMtgRatesDataTable825[[#This Row],[asofdate]]+1,Bloomberg!B:C,2,0)</f>
        <v>3871.3</v>
      </c>
      <c r="I389" s="115">
        <v>39842</v>
      </c>
      <c r="J389" s="130">
        <v>0.83111971529999995</v>
      </c>
      <c r="M389" s="115">
        <v>39842</v>
      </c>
      <c r="N389" s="130">
        <v>0</v>
      </c>
      <c r="O389" s="130"/>
      <c r="P389" s="130"/>
      <c r="Q389" s="115">
        <v>39842</v>
      </c>
      <c r="R389" s="130">
        <v>0.83093630070000002</v>
      </c>
      <c r="T389"/>
    </row>
    <row r="390" spans="2:20">
      <c r="B390" s="115">
        <v>39835</v>
      </c>
      <c r="C390" s="116">
        <v>0.82036723730000005</v>
      </c>
      <c r="D390" s="116">
        <f>VLOOKUP(CurrentMtgRatesDataTable825[[#This Row],[asofdate]],I:J,2,0)</f>
        <v>0.82597915460000004</v>
      </c>
      <c r="E390" s="116">
        <f>VLOOKUP(CurrentMtgRatesDataTable825[[#This Row],[asofdate]],M:N,2,0)</f>
        <v>0</v>
      </c>
      <c r="F390" s="117">
        <f ca="1">VLOOKUP(CurrentMtgRatesDataTable825[[#This Row],[asofdate]]+1,Bloomberg!B:C,2,0)</f>
        <v>3300.6</v>
      </c>
      <c r="I390" s="115">
        <v>39835</v>
      </c>
      <c r="J390" s="130">
        <v>0.82597915460000004</v>
      </c>
      <c r="M390" s="115">
        <v>39835</v>
      </c>
      <c r="N390" s="130">
        <v>0</v>
      </c>
      <c r="O390" s="130"/>
      <c r="P390" s="130"/>
      <c r="Q390" s="115">
        <v>39835</v>
      </c>
      <c r="R390" s="130">
        <v>0.82580071769999996</v>
      </c>
      <c r="T390"/>
    </row>
    <row r="391" spans="2:20">
      <c r="B391" s="115">
        <v>39828</v>
      </c>
      <c r="C391" s="116">
        <v>0.91919160860000004</v>
      </c>
      <c r="D391" s="116">
        <f>VLOOKUP(CurrentMtgRatesDataTable825[[#This Row],[asofdate]],I:J,2,0)</f>
        <v>0.91185734159999998</v>
      </c>
      <c r="E391" s="116">
        <f>VLOOKUP(CurrentMtgRatesDataTable825[[#This Row],[asofdate]],M:N,2,0)</f>
        <v>0.91180757339999996</v>
      </c>
      <c r="F391" s="117">
        <f ca="1">VLOOKUP(CurrentMtgRatesDataTable825[[#This Row],[asofdate]]+1,Bloomberg!B:C,2,0)</f>
        <v>6768.6</v>
      </c>
      <c r="I391" s="115">
        <v>39828</v>
      </c>
      <c r="J391" s="130">
        <v>0.91185734159999998</v>
      </c>
      <c r="M391" s="115">
        <v>39828</v>
      </c>
      <c r="N391" s="130">
        <v>0.91180757339999996</v>
      </c>
      <c r="O391" s="130"/>
      <c r="P391" s="130"/>
      <c r="Q391" s="115">
        <v>39828</v>
      </c>
      <c r="R391" s="130">
        <v>0.91180757339999996</v>
      </c>
      <c r="T391"/>
    </row>
    <row r="392" spans="2:20">
      <c r="B392" s="115">
        <v>39821</v>
      </c>
      <c r="C392" s="116">
        <v>0.90231511019999999</v>
      </c>
      <c r="D392" s="116">
        <f>VLOOKUP(CurrentMtgRatesDataTable825[[#This Row],[asofdate]],I:J,2,0)</f>
        <v>0.89741246799999996</v>
      </c>
      <c r="E392" s="116">
        <f>VLOOKUP(CurrentMtgRatesDataTable825[[#This Row],[asofdate]],M:N,2,0)</f>
        <v>0.89735601710000001</v>
      </c>
      <c r="F392" s="117">
        <f ca="1">VLOOKUP(CurrentMtgRatesDataTable825[[#This Row],[asofdate]]+1,Bloomberg!B:C,2,0)</f>
        <v>7842.7</v>
      </c>
      <c r="I392" s="115">
        <v>39821</v>
      </c>
      <c r="J392" s="130">
        <v>0.89741246799999996</v>
      </c>
      <c r="M392" s="115">
        <v>39821</v>
      </c>
      <c r="N392" s="130">
        <v>0.89735601710000001</v>
      </c>
      <c r="O392" s="130"/>
      <c r="P392" s="130"/>
      <c r="Q392" s="115">
        <v>39821</v>
      </c>
      <c r="R392" s="130">
        <v>0.89735601710000001</v>
      </c>
      <c r="T392"/>
    </row>
    <row r="393" spans="2:20">
      <c r="B393" s="115">
        <v>39813</v>
      </c>
      <c r="C393" s="116">
        <v>0.83297072390000004</v>
      </c>
      <c r="D393" s="116">
        <f>VLOOKUP(CurrentMtgRatesDataTable825[[#This Row],[asofdate]],I:J,2,0)</f>
        <v>0.83232317040000003</v>
      </c>
      <c r="E393" s="116">
        <f>VLOOKUP(CurrentMtgRatesDataTable825[[#This Row],[asofdate]],M:N,2,0)</f>
        <v>0.83225440230000003</v>
      </c>
      <c r="F393" s="117" t="e">
        <f ca="1">VLOOKUP(CurrentMtgRatesDataTable825[[#This Row],[asofdate]]+1,Bloomberg!B:C,2,0)</f>
        <v>#N/A</v>
      </c>
      <c r="I393" s="115">
        <v>39813</v>
      </c>
      <c r="J393" s="130">
        <v>0.83232317040000003</v>
      </c>
      <c r="M393" s="115">
        <v>39813</v>
      </c>
      <c r="N393" s="130">
        <v>0.83225440230000003</v>
      </c>
      <c r="O393" s="130"/>
      <c r="P393" s="130"/>
      <c r="Q393" s="115">
        <v>39813</v>
      </c>
      <c r="R393" s="130">
        <v>0.83225440230000003</v>
      </c>
      <c r="T393"/>
    </row>
    <row r="394" spans="2:20">
      <c r="B394" s="115">
        <v>39806</v>
      </c>
      <c r="C394" s="116">
        <v>0.78653316220000002</v>
      </c>
      <c r="D394" s="116">
        <f>VLOOKUP(CurrentMtgRatesDataTable825[[#This Row],[asofdate]],I:J,2,0)</f>
        <v>0.78997047850000002</v>
      </c>
      <c r="E394" s="116">
        <f>VLOOKUP(CurrentMtgRatesDataTable825[[#This Row],[asofdate]],M:N,2,0)</f>
        <v>0.68221910109999995</v>
      </c>
      <c r="F394" s="117" t="e">
        <f ca="1">VLOOKUP(CurrentMtgRatesDataTable825[[#This Row],[asofdate]]+1,Bloomberg!B:C,2,0)</f>
        <v>#N/A</v>
      </c>
      <c r="I394" s="115">
        <v>39806</v>
      </c>
      <c r="J394" s="130">
        <v>0.78997047850000002</v>
      </c>
      <c r="M394" s="115">
        <v>39806</v>
      </c>
      <c r="N394" s="130">
        <v>0.68221910109999995</v>
      </c>
      <c r="O394" s="130"/>
      <c r="P394" s="130"/>
      <c r="Q394" s="115">
        <v>39806</v>
      </c>
      <c r="R394" s="130">
        <v>0.78993674390000002</v>
      </c>
      <c r="T394"/>
    </row>
    <row r="395" spans="2:20">
      <c r="B395" s="115">
        <v>39800</v>
      </c>
      <c r="C395" s="116">
        <v>0.77118219460000004</v>
      </c>
      <c r="D395" s="116">
        <f>VLOOKUP(CurrentMtgRatesDataTable825[[#This Row],[asofdate]],I:J,2,0)</f>
        <v>0.78364763900000001</v>
      </c>
      <c r="E395" s="116">
        <f>VLOOKUP(CurrentMtgRatesDataTable825[[#This Row],[asofdate]],M:N,2,0)</f>
        <v>0.67708556379999996</v>
      </c>
      <c r="F395" s="117">
        <f ca="1">VLOOKUP(CurrentMtgRatesDataTable825[[#This Row],[asofdate]]+1,Bloomberg!B:C,2,0)</f>
        <v>7098.9</v>
      </c>
      <c r="I395" s="115">
        <v>39800</v>
      </c>
      <c r="J395" s="130">
        <v>0.78364763900000001</v>
      </c>
      <c r="M395" s="115">
        <v>39800</v>
      </c>
      <c r="N395" s="130">
        <v>0.67708556379999996</v>
      </c>
      <c r="O395" s="130"/>
      <c r="P395" s="130"/>
      <c r="Q395" s="115">
        <v>39800</v>
      </c>
      <c r="R395" s="130">
        <v>0.78361411790000002</v>
      </c>
      <c r="T395"/>
    </row>
    <row r="396" spans="2:20">
      <c r="B396" s="115">
        <v>39793</v>
      </c>
      <c r="C396" s="116">
        <v>0.53032542419999995</v>
      </c>
      <c r="D396" s="116">
        <f>VLOOKUP(CurrentMtgRatesDataTable825[[#This Row],[asofdate]],I:J,2,0)</f>
        <v>0.54519970390000005</v>
      </c>
      <c r="E396" s="116">
        <f>VLOOKUP(CurrentMtgRatesDataTable825[[#This Row],[asofdate]],M:N,2,0)</f>
        <v>9.0985881000000005E-2</v>
      </c>
      <c r="F396" s="117">
        <f ca="1">VLOOKUP(CurrentMtgRatesDataTable825[[#This Row],[asofdate]]+1,Bloomberg!B:C,2,0)</f>
        <v>4013.2</v>
      </c>
      <c r="I396" s="115">
        <v>39793</v>
      </c>
      <c r="J396" s="130">
        <v>0.54519970390000005</v>
      </c>
      <c r="M396" s="115">
        <v>39793</v>
      </c>
      <c r="N396" s="130">
        <v>9.0985881000000005E-2</v>
      </c>
      <c r="O396" s="130"/>
      <c r="P396" s="130"/>
      <c r="Q396" s="115">
        <v>39793</v>
      </c>
      <c r="R396" s="130">
        <v>0.54517550680000004</v>
      </c>
      <c r="T396"/>
    </row>
    <row r="397" spans="2:20">
      <c r="B397" s="115">
        <v>39786</v>
      </c>
      <c r="C397" s="116">
        <v>0.47551961080000005</v>
      </c>
      <c r="D397" s="116">
        <f>VLOOKUP(CurrentMtgRatesDataTable825[[#This Row],[asofdate]],I:J,2,0)</f>
        <v>0.49866364270000002</v>
      </c>
      <c r="E397" s="116">
        <f>VLOOKUP(CurrentMtgRatesDataTable825[[#This Row],[asofdate]],M:N,2,0)</f>
        <v>8.3738041200000002E-2</v>
      </c>
      <c r="F397" s="117">
        <f ca="1">VLOOKUP(CurrentMtgRatesDataTable825[[#This Row],[asofdate]]+1,Bloomberg!B:C,2,0)</f>
        <v>3746.9</v>
      </c>
      <c r="I397" s="115">
        <v>39786</v>
      </c>
      <c r="J397" s="130">
        <v>0.49866364270000002</v>
      </c>
      <c r="M397" s="115">
        <v>39786</v>
      </c>
      <c r="N397" s="130">
        <v>8.3738041200000002E-2</v>
      </c>
      <c r="O397" s="130"/>
      <c r="P397" s="130"/>
      <c r="Q397" s="115">
        <v>39786</v>
      </c>
      <c r="R397" s="130">
        <v>0.4238442993</v>
      </c>
      <c r="T397"/>
    </row>
    <row r="398" spans="2:20">
      <c r="B398" s="115">
        <v>39778</v>
      </c>
      <c r="C398" s="116">
        <v>0.20538005379999999</v>
      </c>
      <c r="D398" s="116">
        <f>VLOOKUP(CurrentMtgRatesDataTable825[[#This Row],[asofdate]],I:J,2,0)</f>
        <v>0.2508332667</v>
      </c>
      <c r="E398" s="116">
        <f>VLOOKUP(CurrentMtgRatesDataTable825[[#This Row],[asofdate]],M:N,2,0)</f>
        <v>0</v>
      </c>
      <c r="F398" s="117" t="e">
        <f ca="1">VLOOKUP(CurrentMtgRatesDataTable825[[#This Row],[asofdate]]+1,Bloomberg!B:C,2,0)</f>
        <v>#N/A</v>
      </c>
      <c r="I398" s="115">
        <v>39778</v>
      </c>
      <c r="J398" s="130">
        <v>0.2508332667</v>
      </c>
      <c r="M398" s="115">
        <v>39778</v>
      </c>
      <c r="N398" s="130">
        <v>0</v>
      </c>
      <c r="O398" s="130"/>
      <c r="P398" s="130"/>
      <c r="Q398" s="115">
        <v>39778</v>
      </c>
      <c r="R398" s="130">
        <v>2.9545367900000001E-2</v>
      </c>
      <c r="T398"/>
    </row>
    <row r="399" spans="2:20">
      <c r="B399" s="115">
        <v>39772</v>
      </c>
      <c r="C399" s="116">
        <v>0.17988953639999999</v>
      </c>
      <c r="D399" s="116">
        <f>VLOOKUP(CurrentMtgRatesDataTable825[[#This Row],[asofdate]],I:J,2,0)</f>
        <v>0.22284174370000001</v>
      </c>
      <c r="E399" s="116">
        <f>VLOOKUP(CurrentMtgRatesDataTable825[[#This Row],[asofdate]],M:N,2,0)</f>
        <v>0</v>
      </c>
      <c r="F399" s="117">
        <f ca="1">VLOOKUP(CurrentMtgRatesDataTable825[[#This Row],[asofdate]]+1,Bloomberg!B:C,2,0)</f>
        <v>896.8</v>
      </c>
      <c r="I399" s="115">
        <v>39772</v>
      </c>
      <c r="J399" s="130">
        <v>0.22284174370000001</v>
      </c>
      <c r="M399" s="115">
        <v>39772</v>
      </c>
      <c r="N399" s="130">
        <v>0</v>
      </c>
      <c r="O399" s="130"/>
      <c r="P399" s="130"/>
      <c r="Q399" s="115">
        <v>39772</v>
      </c>
      <c r="R399" s="130">
        <v>2.1773385499999999E-2</v>
      </c>
      <c r="T399"/>
    </row>
    <row r="400" spans="2:20">
      <c r="B400" s="115">
        <v>39765</v>
      </c>
      <c r="C400" s="116">
        <v>0.1469548068</v>
      </c>
      <c r="D400" s="116">
        <f>VLOOKUP(CurrentMtgRatesDataTable825[[#This Row],[asofdate]],I:J,2,0)</f>
        <v>0.18451025460000001</v>
      </c>
      <c r="E400" s="116">
        <f>VLOOKUP(CurrentMtgRatesDataTable825[[#This Row],[asofdate]],M:N,2,0)</f>
        <v>0</v>
      </c>
      <c r="F400" s="117">
        <f ca="1">VLOOKUP(CurrentMtgRatesDataTable825[[#This Row],[asofdate]]+1,Bloomberg!B:C,2,0)</f>
        <v>927.3</v>
      </c>
      <c r="I400" s="115">
        <v>39765</v>
      </c>
      <c r="J400" s="130">
        <v>0.18451025460000001</v>
      </c>
      <c r="M400" s="115">
        <v>39765</v>
      </c>
      <c r="N400" s="130">
        <v>0</v>
      </c>
      <c r="O400" s="130"/>
      <c r="P400" s="130"/>
      <c r="Q400" s="115">
        <v>39765</v>
      </c>
      <c r="R400" s="130">
        <v>1.49714459E-2</v>
      </c>
      <c r="T400"/>
    </row>
    <row r="401" spans="2:20">
      <c r="B401" s="115">
        <v>39758</v>
      </c>
      <c r="C401" s="116">
        <v>0.13712845730000001</v>
      </c>
      <c r="D401" s="116">
        <f>VLOOKUP(CurrentMtgRatesDataTable825[[#This Row],[asofdate]],I:J,2,0)</f>
        <v>0.17519442060000001</v>
      </c>
      <c r="E401" s="116">
        <f>VLOOKUP(CurrentMtgRatesDataTable825[[#This Row],[asofdate]],M:N,2,0)</f>
        <v>0</v>
      </c>
      <c r="F401" s="117">
        <f ca="1">VLOOKUP(CurrentMtgRatesDataTable825[[#This Row],[asofdate]]+1,Bloomberg!B:C,2,0)</f>
        <v>907.7</v>
      </c>
      <c r="I401" s="115">
        <v>39758</v>
      </c>
      <c r="J401" s="130">
        <v>0.17519442060000001</v>
      </c>
      <c r="M401" s="115">
        <v>39758</v>
      </c>
      <c r="N401" s="130">
        <v>0</v>
      </c>
      <c r="O401" s="130"/>
      <c r="P401" s="130"/>
      <c r="Q401" s="115">
        <v>39758</v>
      </c>
      <c r="R401" s="130">
        <v>1.3662998900000001E-2</v>
      </c>
      <c r="T401"/>
    </row>
    <row r="402" spans="2:20">
      <c r="B402" s="115">
        <v>39751</v>
      </c>
      <c r="C402" s="116">
        <v>8.2001154000000007E-2</v>
      </c>
      <c r="D402" s="116">
        <f>VLOOKUP(CurrentMtgRatesDataTable825[[#This Row],[asofdate]],I:J,2,0)</f>
        <v>0.1075199713</v>
      </c>
      <c r="E402" s="116">
        <f>VLOOKUP(CurrentMtgRatesDataTable825[[#This Row],[asofdate]],M:N,2,0)</f>
        <v>0</v>
      </c>
      <c r="F402" s="117">
        <f ca="1">VLOOKUP(CurrentMtgRatesDataTable825[[#This Row],[asofdate]]+1,Bloomberg!B:C,2,0)</f>
        <v>688.8</v>
      </c>
      <c r="I402" s="115">
        <v>39751</v>
      </c>
      <c r="J402" s="130">
        <v>0.1075199713</v>
      </c>
      <c r="M402" s="115">
        <v>39751</v>
      </c>
      <c r="N402" s="130">
        <v>0</v>
      </c>
      <c r="O402" s="130"/>
      <c r="P402" s="130"/>
      <c r="Q402" s="115">
        <v>39751</v>
      </c>
      <c r="R402" s="130">
        <v>2.0620106000000002E-3</v>
      </c>
      <c r="T402"/>
    </row>
    <row r="403" spans="2:20">
      <c r="B403" s="115">
        <v>39744</v>
      </c>
      <c r="C403" s="116">
        <v>0.1852401991</v>
      </c>
      <c r="D403" s="116">
        <f>VLOOKUP(CurrentMtgRatesDataTable825[[#This Row],[asofdate]],I:J,2,0)</f>
        <v>0.22609301970000001</v>
      </c>
      <c r="E403" s="116">
        <f>VLOOKUP(CurrentMtgRatesDataTable825[[#This Row],[asofdate]],M:N,2,0)</f>
        <v>0</v>
      </c>
      <c r="F403" s="117">
        <f ca="1">VLOOKUP(CurrentMtgRatesDataTable825[[#This Row],[asofdate]]+1,Bloomberg!B:C,2,0)</f>
        <v>1135.5999999999999</v>
      </c>
      <c r="I403" s="115">
        <v>39744</v>
      </c>
      <c r="J403" s="130">
        <v>0.22609301970000001</v>
      </c>
      <c r="M403" s="115">
        <v>39744</v>
      </c>
      <c r="N403" s="130">
        <v>0</v>
      </c>
      <c r="O403" s="130"/>
      <c r="P403" s="130"/>
      <c r="Q403" s="115">
        <v>39744</v>
      </c>
      <c r="R403" s="130">
        <v>1.7940324800000001E-2</v>
      </c>
      <c r="T403"/>
    </row>
    <row r="404" spans="2:20">
      <c r="B404" s="115">
        <v>39737</v>
      </c>
      <c r="C404" s="116">
        <v>8.7419545000000001E-2</v>
      </c>
      <c r="D404" s="116">
        <f>VLOOKUP(CurrentMtgRatesDataTable825[[#This Row],[asofdate]],I:J,2,0)</f>
        <v>0.11266400109999999</v>
      </c>
      <c r="E404" s="116">
        <f>VLOOKUP(CurrentMtgRatesDataTable825[[#This Row],[asofdate]],M:N,2,0)</f>
        <v>0</v>
      </c>
      <c r="F404" s="117">
        <f ca="1">VLOOKUP(CurrentMtgRatesDataTable825[[#This Row],[asofdate]]+1,Bloomberg!B:C,2,0)</f>
        <v>798</v>
      </c>
      <c r="I404" s="115">
        <v>39737</v>
      </c>
      <c r="J404" s="130">
        <v>0.11266400109999999</v>
      </c>
      <c r="M404" s="115">
        <v>39737</v>
      </c>
      <c r="N404" s="130">
        <v>0</v>
      </c>
      <c r="O404" s="130"/>
      <c r="P404" s="130"/>
      <c r="Q404" s="115">
        <v>39737</v>
      </c>
      <c r="R404" s="130">
        <v>2.1092658000000002E-3</v>
      </c>
      <c r="T404"/>
    </row>
    <row r="405" spans="2:20">
      <c r="B405" s="115">
        <v>39730</v>
      </c>
      <c r="C405" s="116">
        <v>0.23372308580000001</v>
      </c>
      <c r="D405" s="116">
        <f>VLOOKUP(CurrentMtgRatesDataTable825[[#This Row],[asofdate]],I:J,2,0)</f>
        <v>0.27029255289999998</v>
      </c>
      <c r="E405" s="116">
        <f>VLOOKUP(CurrentMtgRatesDataTable825[[#This Row],[asofdate]],M:N,2,0)</f>
        <v>0</v>
      </c>
      <c r="F405" s="117">
        <f ca="1">VLOOKUP(CurrentMtgRatesDataTable825[[#This Row],[asofdate]]+1,Bloomberg!B:C,2,0)</f>
        <v>1190.8</v>
      </c>
      <c r="I405" s="115">
        <v>39730</v>
      </c>
      <c r="J405" s="130">
        <v>0.27029255289999998</v>
      </c>
      <c r="M405" s="115">
        <v>39730</v>
      </c>
      <c r="N405" s="130">
        <v>0</v>
      </c>
      <c r="O405" s="130"/>
      <c r="P405" s="130"/>
      <c r="Q405" s="115">
        <v>39730</v>
      </c>
      <c r="R405" s="130">
        <v>4.1625742200000003E-2</v>
      </c>
      <c r="T405"/>
    </row>
    <row r="406" spans="2:20">
      <c r="B406" s="115">
        <v>39723</v>
      </c>
      <c r="C406" s="116">
        <v>0.1677361312</v>
      </c>
      <c r="D406" s="116">
        <f>VLOOKUP(CurrentMtgRatesDataTable825[[#This Row],[asofdate]],I:J,2,0)</f>
        <v>0.21754198629999999</v>
      </c>
      <c r="E406" s="116">
        <f>VLOOKUP(CurrentMtgRatesDataTable825[[#This Row],[asofdate]],M:N,2,0)</f>
        <v>0</v>
      </c>
      <c r="F406" s="117">
        <f ca="1">VLOOKUP(CurrentMtgRatesDataTable825[[#This Row],[asofdate]]+1,Bloomberg!B:C,2,0)</f>
        <v>999.6</v>
      </c>
      <c r="I406" s="115">
        <v>39723</v>
      </c>
      <c r="J406" s="130">
        <v>0.21754198629999999</v>
      </c>
      <c r="M406" s="115">
        <v>39723</v>
      </c>
      <c r="N406" s="130">
        <v>0</v>
      </c>
      <c r="O406" s="130"/>
      <c r="P406" s="130"/>
      <c r="Q406" s="115">
        <v>39723</v>
      </c>
      <c r="R406" s="130">
        <v>1.6478596700000001E-2</v>
      </c>
      <c r="T406"/>
    </row>
    <row r="407" spans="2:20">
      <c r="B407" s="115">
        <v>39716</v>
      </c>
      <c r="C407" s="116">
        <v>0.16268158369999999</v>
      </c>
      <c r="D407" s="116">
        <f>VLOOKUP(CurrentMtgRatesDataTable825[[#This Row],[asofdate]],I:J,2,0)</f>
        <v>0.20644072420000001</v>
      </c>
      <c r="E407" s="116">
        <f>VLOOKUP(CurrentMtgRatesDataTable825[[#This Row],[asofdate]],M:N,2,0)</f>
        <v>0</v>
      </c>
      <c r="F407" s="117">
        <f ca="1">VLOOKUP(CurrentMtgRatesDataTable825[[#This Row],[asofdate]]+1,Bloomberg!B:C,2,0)</f>
        <v>1026</v>
      </c>
      <c r="I407" s="115">
        <v>39716</v>
      </c>
      <c r="J407" s="130">
        <v>0.20644072420000001</v>
      </c>
      <c r="M407" s="115">
        <v>39716</v>
      </c>
      <c r="N407" s="130">
        <v>0</v>
      </c>
      <c r="O407" s="130"/>
      <c r="P407" s="130"/>
      <c r="Q407" s="115">
        <v>39716</v>
      </c>
      <c r="R407" s="130">
        <v>1.33154169E-2</v>
      </c>
      <c r="T407"/>
    </row>
    <row r="408" spans="2:20">
      <c r="B408" s="115">
        <v>39709</v>
      </c>
      <c r="C408" s="116">
        <v>0.33812670979999998</v>
      </c>
      <c r="D408" s="116">
        <f>VLOOKUP(CurrentMtgRatesDataTable825[[#This Row],[asofdate]],I:J,2,0)</f>
        <v>0.37922658250000002</v>
      </c>
      <c r="E408" s="116">
        <f>VLOOKUP(CurrentMtgRatesDataTable825[[#This Row],[asofdate]],M:N,2,0)</f>
        <v>3.19365749E-2</v>
      </c>
      <c r="F408" s="117">
        <f ca="1">VLOOKUP(CurrentMtgRatesDataTable825[[#This Row],[asofdate]]+1,Bloomberg!B:C,2,0)</f>
        <v>1756.8</v>
      </c>
      <c r="I408" s="115">
        <v>39709</v>
      </c>
      <c r="J408" s="130">
        <v>0.37922658250000002</v>
      </c>
      <c r="M408" s="115">
        <v>39709</v>
      </c>
      <c r="N408" s="130">
        <v>3.19365749E-2</v>
      </c>
      <c r="O408" s="130"/>
      <c r="P408" s="130"/>
      <c r="Q408" s="115">
        <v>39709</v>
      </c>
      <c r="R408" s="130">
        <v>0.29699088080000002</v>
      </c>
      <c r="T408"/>
    </row>
    <row r="409" spans="2:20">
      <c r="B409" s="115">
        <v>39702</v>
      </c>
      <c r="C409" s="116">
        <v>0.22375450559999999</v>
      </c>
      <c r="D409" s="116">
        <f>VLOOKUP(CurrentMtgRatesDataTable825[[#This Row],[asofdate]],I:J,2,0)</f>
        <v>0.26874650979999998</v>
      </c>
      <c r="E409" s="116">
        <f>VLOOKUP(CurrentMtgRatesDataTable825[[#This Row],[asofdate]],M:N,2,0)</f>
        <v>1.29410889E-2</v>
      </c>
      <c r="F409" s="117">
        <f ca="1">VLOOKUP(CurrentMtgRatesDataTable825[[#This Row],[asofdate]]+1,Bloomberg!B:C,2,0)</f>
        <v>2068.5</v>
      </c>
      <c r="I409" s="115">
        <v>39702</v>
      </c>
      <c r="J409" s="130">
        <v>0.26874650979999998</v>
      </c>
      <c r="M409" s="115">
        <v>39702</v>
      </c>
      <c r="N409" s="130">
        <v>1.29410889E-2</v>
      </c>
      <c r="O409" s="130"/>
      <c r="P409" s="130"/>
      <c r="Q409" s="115">
        <v>39702</v>
      </c>
      <c r="R409" s="130">
        <v>0.2034955198</v>
      </c>
      <c r="T409"/>
    </row>
    <row r="410" spans="2:20">
      <c r="B410" s="115">
        <v>39695</v>
      </c>
      <c r="C410" s="116">
        <v>0.1017859443</v>
      </c>
      <c r="D410" s="116">
        <f>VLOOKUP(CurrentMtgRatesDataTable825[[#This Row],[asofdate]],I:J,2,0)</f>
        <v>0.13095243039999999</v>
      </c>
      <c r="E410" s="116">
        <f>VLOOKUP(CurrentMtgRatesDataTable825[[#This Row],[asofdate]],M:N,2,0)</f>
        <v>9.4261399999999998E-5</v>
      </c>
      <c r="F410" s="117">
        <f ca="1">VLOOKUP(CurrentMtgRatesDataTable825[[#This Row],[asofdate]]+1,Bloomberg!B:C,2,0)</f>
        <v>998.3</v>
      </c>
      <c r="I410" s="115">
        <v>39695</v>
      </c>
      <c r="J410" s="130">
        <v>0.13095243039999999</v>
      </c>
      <c r="M410" s="115">
        <v>39695</v>
      </c>
      <c r="N410" s="130">
        <v>9.4261399999999998E-5</v>
      </c>
      <c r="O410" s="130"/>
      <c r="P410" s="130"/>
      <c r="Q410" s="115">
        <v>39695</v>
      </c>
      <c r="R410" s="130">
        <v>5.6994957000000004E-3</v>
      </c>
      <c r="T410"/>
    </row>
    <row r="411" spans="2:20">
      <c r="B411" s="115">
        <v>39688</v>
      </c>
      <c r="C411" s="116">
        <v>9.9715127299999998E-2</v>
      </c>
      <c r="D411" s="116">
        <f>VLOOKUP(CurrentMtgRatesDataTable825[[#This Row],[asofdate]],I:J,2,0)</f>
        <v>0.13144158189999999</v>
      </c>
      <c r="E411" s="116">
        <f>VLOOKUP(CurrentMtgRatesDataTable825[[#This Row],[asofdate]],M:N,2,0)</f>
        <v>0</v>
      </c>
      <c r="F411" s="117">
        <f ca="1">VLOOKUP(CurrentMtgRatesDataTable825[[#This Row],[asofdate]]+1,Bloomberg!B:C,2,0)</f>
        <v>825</v>
      </c>
      <c r="I411" s="115">
        <v>39688</v>
      </c>
      <c r="J411" s="130">
        <v>0.13144158189999999</v>
      </c>
      <c r="M411" s="115">
        <v>39688</v>
      </c>
      <c r="N411" s="130">
        <v>0</v>
      </c>
      <c r="O411" s="130"/>
      <c r="P411" s="130"/>
      <c r="Q411" s="115">
        <v>39688</v>
      </c>
      <c r="R411" s="130">
        <v>4.3470202000000001E-3</v>
      </c>
      <c r="T411"/>
    </row>
    <row r="412" spans="2:20">
      <c r="B412" s="115">
        <v>39681</v>
      </c>
      <c r="C412" s="116">
        <v>8.1784477600000002E-2</v>
      </c>
      <c r="D412" s="116">
        <f>VLOOKUP(CurrentMtgRatesDataTable825[[#This Row],[asofdate]],I:J,2,0)</f>
        <v>0.1090236047</v>
      </c>
      <c r="E412" s="116">
        <f>VLOOKUP(CurrentMtgRatesDataTable825[[#This Row],[asofdate]],M:N,2,0)</f>
        <v>0</v>
      </c>
      <c r="F412" s="117">
        <f ca="1">VLOOKUP(CurrentMtgRatesDataTable825[[#This Row],[asofdate]]+1,Bloomberg!B:C,2,0)</f>
        <v>793.9</v>
      </c>
      <c r="I412" s="115">
        <v>39681</v>
      </c>
      <c r="J412" s="130">
        <v>0.1090236047</v>
      </c>
      <c r="M412" s="115">
        <v>39681</v>
      </c>
      <c r="N412" s="130">
        <v>0</v>
      </c>
      <c r="O412" s="130"/>
      <c r="P412" s="130"/>
      <c r="Q412" s="115">
        <v>39681</v>
      </c>
      <c r="R412" s="130">
        <v>3.5366915E-3</v>
      </c>
      <c r="T412"/>
    </row>
    <row r="413" spans="2:20">
      <c r="B413" s="115">
        <v>39674</v>
      </c>
      <c r="C413" s="116">
        <v>7.6992391699999996E-2</v>
      </c>
      <c r="D413" s="116">
        <f>VLOOKUP(CurrentMtgRatesDataTable825[[#This Row],[asofdate]],I:J,2,0)</f>
        <v>0.1005900445</v>
      </c>
      <c r="E413" s="116">
        <f>VLOOKUP(CurrentMtgRatesDataTable825[[#This Row],[asofdate]],M:N,2,0)</f>
        <v>0</v>
      </c>
      <c r="F413" s="117">
        <f ca="1">VLOOKUP(CurrentMtgRatesDataTable825[[#This Row],[asofdate]]+1,Bloomberg!B:C,2,0)</f>
        <v>815.2</v>
      </c>
      <c r="I413" s="115">
        <v>39674</v>
      </c>
      <c r="J413" s="130">
        <v>0.1005900445</v>
      </c>
      <c r="M413" s="115">
        <v>39674</v>
      </c>
      <c r="N413" s="130">
        <v>0</v>
      </c>
      <c r="O413" s="130"/>
      <c r="P413" s="130"/>
      <c r="Q413" s="115">
        <v>39674</v>
      </c>
      <c r="R413" s="130">
        <v>1.1530172E-3</v>
      </c>
      <c r="T413"/>
    </row>
    <row r="414" spans="2:20">
      <c r="B414" s="115">
        <v>39667</v>
      </c>
      <c r="C414" s="116">
        <v>7.6992391699999996E-2</v>
      </c>
      <c r="D414" s="116">
        <f>VLOOKUP(CurrentMtgRatesDataTable825[[#This Row],[asofdate]],I:J,2,0)</f>
        <v>0.1005900445</v>
      </c>
      <c r="E414" s="116">
        <f>VLOOKUP(CurrentMtgRatesDataTable825[[#This Row],[asofdate]],M:N,2,0)</f>
        <v>0</v>
      </c>
      <c r="F414" s="117">
        <f ca="1">VLOOKUP(CurrentMtgRatesDataTable825[[#This Row],[asofdate]]+1,Bloomberg!B:C,2,0)</f>
        <v>853.1</v>
      </c>
      <c r="I414" s="115">
        <v>39667</v>
      </c>
      <c r="J414" s="130">
        <v>0.1005900445</v>
      </c>
      <c r="M414" s="115">
        <v>39667</v>
      </c>
      <c r="N414" s="130">
        <v>0</v>
      </c>
      <c r="O414" s="130"/>
      <c r="P414" s="130"/>
      <c r="Q414" s="115">
        <v>39667</v>
      </c>
      <c r="R414" s="130">
        <v>1.1530172E-3</v>
      </c>
      <c r="T414"/>
    </row>
    <row r="415" spans="2:20">
      <c r="B415" s="115">
        <v>39660</v>
      </c>
      <c r="C415" s="116">
        <v>7.8223039200000011E-2</v>
      </c>
      <c r="D415" s="116">
        <f>VLOOKUP(CurrentMtgRatesDataTable825[[#This Row],[asofdate]],I:J,2,0)</f>
        <v>0.10192862680000001</v>
      </c>
      <c r="E415" s="116">
        <f>VLOOKUP(CurrentMtgRatesDataTable825[[#This Row],[asofdate]],M:N,2,0)</f>
        <v>0</v>
      </c>
      <c r="F415" s="117">
        <f ca="1">VLOOKUP(CurrentMtgRatesDataTable825[[#This Row],[asofdate]]+1,Bloomberg!B:C,2,0)</f>
        <v>897.7</v>
      </c>
      <c r="I415" s="115">
        <v>39660</v>
      </c>
      <c r="J415" s="130">
        <v>0.10192862680000001</v>
      </c>
      <c r="M415" s="115">
        <v>39660</v>
      </c>
      <c r="N415" s="130">
        <v>0</v>
      </c>
      <c r="O415" s="130"/>
      <c r="P415" s="130"/>
      <c r="Q415" s="115">
        <v>39660</v>
      </c>
      <c r="R415" s="130">
        <v>1.5464712000000001E-3</v>
      </c>
      <c r="T415"/>
    </row>
    <row r="416" spans="2:20">
      <c r="B416" s="115">
        <v>39653</v>
      </c>
      <c r="C416" s="116">
        <v>6.4039119199999994E-2</v>
      </c>
      <c r="D416" s="116">
        <f>VLOOKUP(CurrentMtgRatesDataTable825[[#This Row],[asofdate]],I:J,2,0)</f>
        <v>8.7809564199999995E-2</v>
      </c>
      <c r="E416" s="116">
        <f>VLOOKUP(CurrentMtgRatesDataTable825[[#This Row],[asofdate]],M:N,2,0)</f>
        <v>0</v>
      </c>
      <c r="F416" s="117">
        <f ca="1">VLOOKUP(CurrentMtgRatesDataTable825[[#This Row],[asofdate]]+1,Bloomberg!B:C,2,0)</f>
        <v>874.1</v>
      </c>
      <c r="I416" s="115">
        <v>39653</v>
      </c>
      <c r="J416" s="130">
        <v>8.7809564199999995E-2</v>
      </c>
      <c r="M416" s="115">
        <v>39653</v>
      </c>
      <c r="N416" s="130">
        <v>0</v>
      </c>
      <c r="O416" s="130"/>
      <c r="P416" s="130"/>
      <c r="Q416" s="115">
        <v>39653</v>
      </c>
      <c r="R416" s="130">
        <v>1.2603665999999999E-3</v>
      </c>
      <c r="T416"/>
    </row>
    <row r="417" spans="2:20">
      <c r="B417" s="115">
        <v>39646</v>
      </c>
      <c r="C417" s="116">
        <v>0.13065492100000001</v>
      </c>
      <c r="D417" s="116">
        <f>VLOOKUP(CurrentMtgRatesDataTable825[[#This Row],[asofdate]],I:J,2,0)</f>
        <v>0.16845758860000001</v>
      </c>
      <c r="E417" s="116">
        <f>VLOOKUP(CurrentMtgRatesDataTable825[[#This Row],[asofdate]],M:N,2,0)</f>
        <v>0</v>
      </c>
      <c r="F417" s="117">
        <f ca="1">VLOOKUP(CurrentMtgRatesDataTable825[[#This Row],[asofdate]]+1,Bloomberg!B:C,2,0)</f>
        <v>1213.9000000000001</v>
      </c>
      <c r="I417" s="115">
        <v>39646</v>
      </c>
      <c r="J417" s="130">
        <v>0.16845758860000001</v>
      </c>
      <c r="M417" s="115">
        <v>39646</v>
      </c>
      <c r="N417" s="130">
        <v>0</v>
      </c>
      <c r="O417" s="130"/>
      <c r="P417" s="130"/>
      <c r="Q417" s="115">
        <v>39646</v>
      </c>
      <c r="R417" s="130">
        <v>5.1440979000000001E-3</v>
      </c>
      <c r="T417"/>
    </row>
    <row r="418" spans="2:20">
      <c r="B418" s="115">
        <v>39639</v>
      </c>
      <c r="C418" s="116">
        <v>0.1050142817</v>
      </c>
      <c r="D418" s="116">
        <f>VLOOKUP(CurrentMtgRatesDataTable825[[#This Row],[asofdate]],I:J,2,0)</f>
        <v>0.13544823440000001</v>
      </c>
      <c r="E418" s="116">
        <f>VLOOKUP(CurrentMtgRatesDataTable825[[#This Row],[asofdate]],M:N,2,0)</f>
        <v>0</v>
      </c>
      <c r="F418" s="117">
        <f ca="1">VLOOKUP(CurrentMtgRatesDataTable825[[#This Row],[asofdate]]+1,Bloomberg!B:C,2,0)</f>
        <v>1270.5999999999999</v>
      </c>
      <c r="I418" s="115">
        <v>39639</v>
      </c>
      <c r="J418" s="130">
        <v>0.13544823440000001</v>
      </c>
      <c r="M418" s="115">
        <v>39639</v>
      </c>
      <c r="N418" s="130">
        <v>0</v>
      </c>
      <c r="O418" s="130"/>
      <c r="P418" s="130"/>
      <c r="Q418" s="115">
        <v>39639</v>
      </c>
      <c r="R418" s="130">
        <v>4.1558315999999998E-3</v>
      </c>
      <c r="T418"/>
    </row>
    <row r="419" spans="2:20">
      <c r="B419" s="115">
        <v>39632</v>
      </c>
      <c r="C419" s="116">
        <v>0.1096612248</v>
      </c>
      <c r="D419" s="116">
        <f>VLOOKUP(CurrentMtgRatesDataTable825[[#This Row],[asofdate]],I:J,2,0)</f>
        <v>0.1433975629</v>
      </c>
      <c r="E419" s="116">
        <f>VLOOKUP(CurrentMtgRatesDataTable825[[#This Row],[asofdate]],M:N,2,0)</f>
        <v>0</v>
      </c>
      <c r="F419" s="117">
        <f ca="1">VLOOKUP(CurrentMtgRatesDataTable825[[#This Row],[asofdate]]+1,Bloomberg!B:C,2,0)</f>
        <v>1166.5</v>
      </c>
      <c r="I419" s="115">
        <v>39632</v>
      </c>
      <c r="J419" s="130">
        <v>0.1433975629</v>
      </c>
      <c r="M419" s="115">
        <v>39632</v>
      </c>
      <c r="N419" s="130">
        <v>0</v>
      </c>
      <c r="O419" s="130"/>
      <c r="P419" s="130"/>
      <c r="Q419" s="115">
        <v>39632</v>
      </c>
      <c r="R419" s="130">
        <v>4.3317863000000003E-3</v>
      </c>
      <c r="T419"/>
    </row>
    <row r="420" spans="2:20">
      <c r="B420" s="115">
        <v>39625</v>
      </c>
      <c r="C420" s="116">
        <v>9.3717454800000002E-2</v>
      </c>
      <c r="D420" s="116">
        <f>VLOOKUP(CurrentMtgRatesDataTable825[[#This Row],[asofdate]],I:J,2,0)</f>
        <v>0.11833090540000002</v>
      </c>
      <c r="E420" s="116">
        <f>VLOOKUP(CurrentMtgRatesDataTable825[[#This Row],[asofdate]],M:N,2,0)</f>
        <v>0</v>
      </c>
      <c r="F420" s="117">
        <f ca="1">VLOOKUP(CurrentMtgRatesDataTable825[[#This Row],[asofdate]]+1,Bloomberg!B:C,2,0)</f>
        <v>1111.3</v>
      </c>
      <c r="I420" s="115">
        <v>39625</v>
      </c>
      <c r="J420" s="130">
        <v>0.11833090540000002</v>
      </c>
      <c r="M420" s="115">
        <v>39625</v>
      </c>
      <c r="N420" s="130">
        <v>0</v>
      </c>
      <c r="O420" s="130"/>
      <c r="P420" s="130"/>
      <c r="Q420" s="115">
        <v>39625</v>
      </c>
      <c r="R420" s="130">
        <v>1.0353853999999999E-3</v>
      </c>
      <c r="T420"/>
    </row>
    <row r="421" spans="2:20">
      <c r="B421" s="115">
        <v>39618</v>
      </c>
      <c r="C421" s="116">
        <v>9.4532943800000005E-2</v>
      </c>
      <c r="D421" s="116">
        <f>VLOOKUP(CurrentMtgRatesDataTable825[[#This Row],[asofdate]],I:J,2,0)</f>
        <v>0.11861937350000001</v>
      </c>
      <c r="E421" s="116">
        <f>VLOOKUP(CurrentMtgRatesDataTable825[[#This Row],[asofdate]],M:N,2,0)</f>
        <v>0</v>
      </c>
      <c r="F421" s="117">
        <f ca="1">VLOOKUP(CurrentMtgRatesDataTable825[[#This Row],[asofdate]]+1,Bloomberg!B:C,2,0)</f>
        <v>1044.5999999999999</v>
      </c>
      <c r="I421" s="115">
        <v>39618</v>
      </c>
      <c r="J421" s="130">
        <v>0.11861937350000001</v>
      </c>
      <c r="M421" s="115">
        <v>39618</v>
      </c>
      <c r="N421" s="130">
        <v>0</v>
      </c>
      <c r="O421" s="130"/>
      <c r="P421" s="130"/>
      <c r="Q421" s="115">
        <v>39618</v>
      </c>
      <c r="R421" s="130">
        <v>1.0355873E-3</v>
      </c>
      <c r="T421"/>
    </row>
    <row r="422" spans="2:20">
      <c r="B422" s="115">
        <v>39611</v>
      </c>
      <c r="C422" s="116">
        <v>0.1123154383</v>
      </c>
      <c r="D422" s="116">
        <f>VLOOKUP(CurrentMtgRatesDataTable825[[#This Row],[asofdate]],I:J,2,0)</f>
        <v>0.1445849994</v>
      </c>
      <c r="E422" s="116">
        <f>VLOOKUP(CurrentMtgRatesDataTable825[[#This Row],[asofdate]],M:N,2,0)</f>
        <v>0</v>
      </c>
      <c r="F422" s="117">
        <f ca="1">VLOOKUP(CurrentMtgRatesDataTable825[[#This Row],[asofdate]]+1,Bloomberg!B:C,2,0)</f>
        <v>1219.7</v>
      </c>
      <c r="I422" s="115">
        <v>39611</v>
      </c>
      <c r="J422" s="130">
        <v>0.1445849994</v>
      </c>
      <c r="M422" s="115">
        <v>39611</v>
      </c>
      <c r="N422" s="130">
        <v>0</v>
      </c>
      <c r="O422" s="130"/>
      <c r="P422" s="130"/>
      <c r="Q422" s="115">
        <v>39611</v>
      </c>
      <c r="R422" s="130">
        <v>1.3281057E-3</v>
      </c>
      <c r="T422"/>
    </row>
    <row r="423" spans="2:20">
      <c r="B423" s="115">
        <v>39604</v>
      </c>
      <c r="C423" s="116">
        <v>0.17810420960000001</v>
      </c>
      <c r="D423" s="116">
        <f>VLOOKUP(CurrentMtgRatesDataTable825[[#This Row],[asofdate]],I:J,2,0)</f>
        <v>0.22676943159999999</v>
      </c>
      <c r="E423" s="116">
        <f>VLOOKUP(CurrentMtgRatesDataTable825[[#This Row],[asofdate]],M:N,2,0)</f>
        <v>0</v>
      </c>
      <c r="F423" s="117">
        <f ca="1">VLOOKUP(CurrentMtgRatesDataTable825[[#This Row],[asofdate]]+1,Bloomberg!B:C,2,0)</f>
        <v>1477.5</v>
      </c>
      <c r="I423" s="115">
        <v>39604</v>
      </c>
      <c r="J423" s="130">
        <v>0.22676943159999999</v>
      </c>
      <c r="M423" s="115">
        <v>39604</v>
      </c>
      <c r="N423" s="130">
        <v>0</v>
      </c>
      <c r="O423" s="130"/>
      <c r="P423" s="130"/>
      <c r="Q423" s="115">
        <v>39604</v>
      </c>
      <c r="R423" s="130">
        <v>6.5142758999999998E-3</v>
      </c>
      <c r="T423"/>
    </row>
    <row r="424" spans="2:20">
      <c r="B424" s="115">
        <v>39597</v>
      </c>
      <c r="C424" s="116">
        <v>0.18416776970000001</v>
      </c>
      <c r="D424" s="116">
        <f>VLOOKUP(CurrentMtgRatesDataTable825[[#This Row],[asofdate]],I:J,2,0)</f>
        <v>0.23222284730000001</v>
      </c>
      <c r="E424" s="116">
        <f>VLOOKUP(CurrentMtgRatesDataTable825[[#This Row],[asofdate]],M:N,2,0)</f>
        <v>0</v>
      </c>
      <c r="F424" s="117">
        <f ca="1">VLOOKUP(CurrentMtgRatesDataTable825[[#This Row],[asofdate]]+1,Bloomberg!B:C,2,0)</f>
        <v>1387.8</v>
      </c>
      <c r="I424" s="115">
        <v>39597</v>
      </c>
      <c r="J424" s="130">
        <v>0.23222284730000001</v>
      </c>
      <c r="M424" s="115">
        <v>39597</v>
      </c>
      <c r="N424" s="130">
        <v>0</v>
      </c>
      <c r="O424" s="130"/>
      <c r="P424" s="130"/>
      <c r="Q424" s="115">
        <v>39597</v>
      </c>
      <c r="R424" s="130">
        <v>3.8501543999999999E-3</v>
      </c>
      <c r="T424"/>
    </row>
    <row r="425" spans="2:20">
      <c r="B425" s="115">
        <v>39590</v>
      </c>
      <c r="C425" s="116">
        <v>0.23849039160000002</v>
      </c>
      <c r="D425" s="116">
        <f>VLOOKUP(CurrentMtgRatesDataTable825[[#This Row],[asofdate]],I:J,2,0)</f>
        <v>0.28332307470000001</v>
      </c>
      <c r="E425" s="116">
        <f>VLOOKUP(CurrentMtgRatesDataTable825[[#This Row],[asofdate]],M:N,2,0)</f>
        <v>0</v>
      </c>
      <c r="F425" s="117">
        <f ca="1">VLOOKUP(CurrentMtgRatesDataTable825[[#This Row],[asofdate]]+1,Bloomberg!B:C,2,0)</f>
        <v>1930.4</v>
      </c>
      <c r="I425" s="115">
        <v>39590</v>
      </c>
      <c r="J425" s="130">
        <v>0.28332307470000001</v>
      </c>
      <c r="M425" s="115">
        <v>39590</v>
      </c>
      <c r="N425" s="130">
        <v>0</v>
      </c>
      <c r="O425" s="130"/>
      <c r="P425" s="130"/>
      <c r="Q425" s="115">
        <v>39590</v>
      </c>
      <c r="R425" s="130">
        <v>2.1854756900000001E-2</v>
      </c>
      <c r="T425"/>
    </row>
    <row r="426" spans="2:20">
      <c r="B426" s="115">
        <v>39583</v>
      </c>
      <c r="C426" s="116">
        <v>0.211388195</v>
      </c>
      <c r="D426" s="116">
        <f>VLOOKUP(CurrentMtgRatesDataTable825[[#This Row],[asofdate]],I:J,2,0)</f>
        <v>0.26083298939999999</v>
      </c>
      <c r="E426" s="116">
        <f>VLOOKUP(CurrentMtgRatesDataTable825[[#This Row],[asofdate]],M:N,2,0)</f>
        <v>0</v>
      </c>
      <c r="F426" s="117">
        <f ca="1">VLOOKUP(CurrentMtgRatesDataTable825[[#This Row],[asofdate]]+1,Bloomberg!B:C,2,0)</f>
        <v>2135.8000000000002</v>
      </c>
      <c r="I426" s="115">
        <v>39583</v>
      </c>
      <c r="J426" s="130">
        <v>0.26083298939999999</v>
      </c>
      <c r="M426" s="115">
        <v>39583</v>
      </c>
      <c r="N426" s="130">
        <v>0</v>
      </c>
      <c r="O426" s="130"/>
      <c r="P426" s="130"/>
      <c r="Q426" s="115">
        <v>39583</v>
      </c>
      <c r="R426" s="130">
        <v>1.1820247799999999E-2</v>
      </c>
      <c r="T426"/>
    </row>
    <row r="427" spans="2:20">
      <c r="B427" s="115">
        <v>39576</v>
      </c>
      <c r="C427" s="116">
        <v>0.2268172108</v>
      </c>
      <c r="D427" s="116">
        <f>VLOOKUP(CurrentMtgRatesDataTable825[[#This Row],[asofdate]],I:J,2,0)</f>
        <v>0.28104430899999999</v>
      </c>
      <c r="E427" s="116">
        <f>VLOOKUP(CurrentMtgRatesDataTable825[[#This Row],[asofdate]],M:N,2,0)</f>
        <v>0</v>
      </c>
      <c r="F427" s="117">
        <f ca="1">VLOOKUP(CurrentMtgRatesDataTable825[[#This Row],[asofdate]]+1,Bloomberg!B:C,2,0)</f>
        <v>2388.8000000000002</v>
      </c>
      <c r="I427" s="115">
        <v>39576</v>
      </c>
      <c r="J427" s="130">
        <v>0.28104430899999999</v>
      </c>
      <c r="M427" s="115">
        <v>39576</v>
      </c>
      <c r="N427" s="130">
        <v>0</v>
      </c>
      <c r="O427" s="130"/>
      <c r="P427" s="130"/>
      <c r="Q427" s="115">
        <v>39576</v>
      </c>
      <c r="R427" s="130">
        <v>2.1851759599999999E-2</v>
      </c>
      <c r="T427"/>
    </row>
    <row r="428" spans="2:20">
      <c r="B428" s="115">
        <v>39569</v>
      </c>
      <c r="C428" s="116">
        <v>0.2021882774</v>
      </c>
      <c r="D428" s="116">
        <f>VLOOKUP(CurrentMtgRatesDataTable825[[#This Row],[asofdate]],I:J,2,0)</f>
        <v>0.25964371089999999</v>
      </c>
      <c r="E428" s="116">
        <f>VLOOKUP(CurrentMtgRatesDataTable825[[#This Row],[asofdate]],M:N,2,0)</f>
        <v>0</v>
      </c>
      <c r="F428" s="117">
        <f ca="1">VLOOKUP(CurrentMtgRatesDataTable825[[#This Row],[asofdate]]+1,Bloomberg!B:C,2,0)</f>
        <v>2195</v>
      </c>
      <c r="I428" s="115">
        <v>39569</v>
      </c>
      <c r="J428" s="130">
        <v>0.25964371089999999</v>
      </c>
      <c r="M428" s="115">
        <v>39569</v>
      </c>
      <c r="N428" s="130">
        <v>0</v>
      </c>
      <c r="O428" s="130"/>
      <c r="P428" s="130"/>
      <c r="Q428" s="115">
        <v>39569</v>
      </c>
      <c r="R428" s="130">
        <v>1.1809742200000001E-2</v>
      </c>
      <c r="T428"/>
    </row>
    <row r="429" spans="2:20">
      <c r="B429" s="115">
        <v>39562</v>
      </c>
      <c r="C429" s="116">
        <v>0.24588021339999999</v>
      </c>
      <c r="D429" s="116">
        <f>VLOOKUP(CurrentMtgRatesDataTable825[[#This Row],[asofdate]],I:J,2,0)</f>
        <v>0.28493703599999998</v>
      </c>
      <c r="E429" s="116">
        <f>VLOOKUP(CurrentMtgRatesDataTable825[[#This Row],[asofdate]],M:N,2,0)</f>
        <v>0</v>
      </c>
      <c r="F429" s="117">
        <f ca="1">VLOOKUP(CurrentMtgRatesDataTable825[[#This Row],[asofdate]]+1,Bloomberg!B:C,2,0)</f>
        <v>1809.5</v>
      </c>
      <c r="I429" s="115">
        <v>39562</v>
      </c>
      <c r="J429" s="130">
        <v>0.28493703599999998</v>
      </c>
      <c r="M429" s="115">
        <v>39562</v>
      </c>
      <c r="N429" s="130">
        <v>0</v>
      </c>
      <c r="O429" s="130"/>
      <c r="P429" s="130"/>
      <c r="Q429" s="115">
        <v>39562</v>
      </c>
      <c r="R429" s="130">
        <v>0.20767634430000001</v>
      </c>
      <c r="T429"/>
    </row>
    <row r="430" spans="2:20">
      <c r="B430" s="115">
        <v>39555</v>
      </c>
      <c r="C430" s="116">
        <v>0.32398856120000002</v>
      </c>
      <c r="D430" s="116">
        <f>VLOOKUP(CurrentMtgRatesDataTable825[[#This Row],[asofdate]],I:J,2,0)</f>
        <v>0.35483239049999998</v>
      </c>
      <c r="E430" s="116">
        <f>VLOOKUP(CurrentMtgRatesDataTable825[[#This Row],[asofdate]],M:N,2,0)</f>
        <v>0</v>
      </c>
      <c r="F430" s="117">
        <f ca="1">VLOOKUP(CurrentMtgRatesDataTable825[[#This Row],[asofdate]]+1,Bloomberg!B:C,2,0)</f>
        <v>2215.6999999999998</v>
      </c>
      <c r="I430" s="115">
        <v>39555</v>
      </c>
      <c r="J430" s="130">
        <v>0.35483239049999998</v>
      </c>
      <c r="M430" s="115">
        <v>39555</v>
      </c>
      <c r="N430" s="130">
        <v>0</v>
      </c>
      <c r="O430" s="130"/>
      <c r="P430" s="130"/>
      <c r="Q430" s="115">
        <v>39555</v>
      </c>
      <c r="R430" s="130">
        <v>0.26324610580000002</v>
      </c>
      <c r="T430"/>
    </row>
    <row r="431" spans="2:20">
      <c r="B431" s="115">
        <v>39548</v>
      </c>
      <c r="C431" s="116">
        <v>0.32398856120000002</v>
      </c>
      <c r="D431" s="116">
        <f>VLOOKUP(CurrentMtgRatesDataTable825[[#This Row],[asofdate]],I:J,2,0)</f>
        <v>0.35483239049999998</v>
      </c>
      <c r="E431" s="116">
        <f>VLOOKUP(CurrentMtgRatesDataTable825[[#This Row],[asofdate]],M:N,2,0)</f>
        <v>0</v>
      </c>
      <c r="F431" s="117">
        <f ca="1">VLOOKUP(CurrentMtgRatesDataTable825[[#This Row],[asofdate]]+1,Bloomberg!B:C,2,0)</f>
        <v>2880.7</v>
      </c>
      <c r="I431" s="115">
        <v>39548</v>
      </c>
      <c r="J431" s="130">
        <v>0.35483239049999998</v>
      </c>
      <c r="M431" s="115">
        <v>39548</v>
      </c>
      <c r="N431" s="130">
        <v>0</v>
      </c>
      <c r="O431" s="130"/>
      <c r="P431" s="130"/>
      <c r="Q431" s="115">
        <v>39548</v>
      </c>
      <c r="R431" s="130">
        <v>0.26324610580000002</v>
      </c>
      <c r="T431"/>
    </row>
    <row r="432" spans="2:20">
      <c r="B432" s="115">
        <v>39541</v>
      </c>
      <c r="C432" s="116">
        <v>0.30497347089999999</v>
      </c>
      <c r="D432" s="116">
        <f>VLOOKUP(CurrentMtgRatesDataTable825[[#This Row],[asofdate]],I:J,2,0)</f>
        <v>0.3298734116</v>
      </c>
      <c r="E432" s="116">
        <f>VLOOKUP(CurrentMtgRatesDataTable825[[#This Row],[asofdate]],M:N,2,0)</f>
        <v>0</v>
      </c>
      <c r="F432" s="117">
        <f ca="1">VLOOKUP(CurrentMtgRatesDataTable825[[#This Row],[asofdate]]+1,Bloomberg!B:C,2,0)</f>
        <v>2709.1</v>
      </c>
      <c r="I432" s="115">
        <v>39541</v>
      </c>
      <c r="J432" s="130">
        <v>0.3298734116</v>
      </c>
      <c r="M432" s="115">
        <v>39541</v>
      </c>
      <c r="N432" s="130">
        <v>0</v>
      </c>
      <c r="O432" s="130"/>
      <c r="P432" s="130"/>
      <c r="Q432" s="115">
        <v>39541</v>
      </c>
      <c r="R432" s="130">
        <v>0.24287441949999999</v>
      </c>
      <c r="T432"/>
    </row>
    <row r="433" spans="2:20">
      <c r="B433" s="115">
        <v>39534</v>
      </c>
      <c r="C433" s="116">
        <v>0.37557161719999999</v>
      </c>
      <c r="D433" s="116">
        <f>VLOOKUP(CurrentMtgRatesDataTable825[[#This Row],[asofdate]],I:J,2,0)</f>
        <v>0.38061787419999998</v>
      </c>
      <c r="E433" s="116">
        <f>VLOOKUP(CurrentMtgRatesDataTable825[[#This Row],[asofdate]],M:N,2,0)</f>
        <v>0</v>
      </c>
      <c r="F433" s="117">
        <f ca="1">VLOOKUP(CurrentMtgRatesDataTable825[[#This Row],[asofdate]]+1,Bloomberg!B:C,2,0)</f>
        <v>2653.2</v>
      </c>
      <c r="I433" s="115">
        <v>39534</v>
      </c>
      <c r="J433" s="130">
        <v>0.38061787419999998</v>
      </c>
      <c r="M433" s="115">
        <v>39534</v>
      </c>
      <c r="N433" s="130">
        <v>0</v>
      </c>
      <c r="O433" s="130"/>
      <c r="P433" s="130"/>
      <c r="Q433" s="115">
        <v>39534</v>
      </c>
      <c r="R433" s="130">
        <v>0.27855394999999999</v>
      </c>
      <c r="T433"/>
    </row>
    <row r="434" spans="2:20">
      <c r="B434" s="115">
        <v>39527</v>
      </c>
      <c r="C434" s="116">
        <v>0.34568552689999998</v>
      </c>
      <c r="D434" s="116">
        <f>VLOOKUP(CurrentMtgRatesDataTable825[[#This Row],[asofdate]],I:J,2,0)</f>
        <v>0.37372234529999998</v>
      </c>
      <c r="E434" s="116">
        <f>VLOOKUP(CurrentMtgRatesDataTable825[[#This Row],[asofdate]],M:N,2,0)</f>
        <v>0</v>
      </c>
      <c r="F434" s="117">
        <f ca="1">VLOOKUP(CurrentMtgRatesDataTable825[[#This Row],[asofdate]]+1,Bloomberg!B:C,2,0)</f>
        <v>4468.3999999999996</v>
      </c>
      <c r="I434" s="115">
        <v>39527</v>
      </c>
      <c r="J434" s="130">
        <v>0.37372234529999998</v>
      </c>
      <c r="M434" s="115">
        <v>39527</v>
      </c>
      <c r="N434" s="130">
        <v>0</v>
      </c>
      <c r="O434" s="130"/>
      <c r="P434" s="130"/>
      <c r="Q434" s="115">
        <v>39527</v>
      </c>
      <c r="R434" s="130">
        <v>0.27596594369999999</v>
      </c>
      <c r="T434"/>
    </row>
    <row r="435" spans="2:20">
      <c r="B435" s="115">
        <v>39520</v>
      </c>
      <c r="C435" s="116">
        <v>0.19488334600000001</v>
      </c>
      <c r="D435" s="116">
        <f>VLOOKUP(CurrentMtgRatesDataTable825[[#This Row],[asofdate]],I:J,2,0)</f>
        <v>0.23448839260000004</v>
      </c>
      <c r="E435" s="116">
        <f>VLOOKUP(CurrentMtgRatesDataTable825[[#This Row],[asofdate]],M:N,2,0)</f>
        <v>0</v>
      </c>
      <c r="F435" s="117">
        <f ca="1">VLOOKUP(CurrentMtgRatesDataTable825[[#This Row],[asofdate]]+1,Bloomberg!B:C,2,0)</f>
        <v>2338.8000000000002</v>
      </c>
      <c r="I435" s="115">
        <v>39520</v>
      </c>
      <c r="J435" s="130">
        <v>0.23448839260000004</v>
      </c>
      <c r="M435" s="115">
        <v>39520</v>
      </c>
      <c r="N435" s="130">
        <v>0</v>
      </c>
      <c r="O435" s="130"/>
      <c r="P435" s="130"/>
      <c r="Q435" s="115">
        <v>39520</v>
      </c>
      <c r="R435" s="130">
        <v>1.49967391E-2</v>
      </c>
      <c r="T435"/>
    </row>
    <row r="436" spans="2:20">
      <c r="B436" s="115">
        <v>39513</v>
      </c>
      <c r="C436" s="116">
        <v>0.24315491440000003</v>
      </c>
      <c r="D436" s="116">
        <f>VLOOKUP(CurrentMtgRatesDataTable825[[#This Row],[asofdate]],I:J,2,0)</f>
        <v>0.28391662909999998</v>
      </c>
      <c r="E436" s="116">
        <f>VLOOKUP(CurrentMtgRatesDataTable825[[#This Row],[asofdate]],M:N,2,0)</f>
        <v>0</v>
      </c>
      <c r="F436" s="117">
        <f ca="1">VLOOKUP(CurrentMtgRatesDataTable825[[#This Row],[asofdate]]+1,Bloomberg!B:C,2,0)</f>
        <v>2519.4</v>
      </c>
      <c r="I436" s="115">
        <v>39513</v>
      </c>
      <c r="J436" s="130">
        <v>0.28391662909999998</v>
      </c>
      <c r="M436" s="115">
        <v>39513</v>
      </c>
      <c r="N436" s="130">
        <v>0</v>
      </c>
      <c r="O436" s="130"/>
      <c r="P436" s="130"/>
      <c r="Q436" s="115">
        <v>39513</v>
      </c>
      <c r="R436" s="130">
        <v>0.20492897060000001</v>
      </c>
      <c r="T436"/>
    </row>
    <row r="437" spans="2:20">
      <c r="B437" s="115">
        <v>39506</v>
      </c>
      <c r="C437" s="116">
        <v>0.15642699030000001</v>
      </c>
      <c r="D437" s="116">
        <f>VLOOKUP(CurrentMtgRatesDataTable825[[#This Row],[asofdate]],I:J,2,0)</f>
        <v>0.19139630090000001</v>
      </c>
      <c r="E437" s="116">
        <f>VLOOKUP(CurrentMtgRatesDataTable825[[#This Row],[asofdate]],M:N,2,0)</f>
        <v>0</v>
      </c>
      <c r="F437" s="117">
        <f ca="1">VLOOKUP(CurrentMtgRatesDataTable825[[#This Row],[asofdate]]+1,Bloomberg!B:C,2,0)</f>
        <v>2667.8</v>
      </c>
      <c r="I437" s="115">
        <v>39506</v>
      </c>
      <c r="J437" s="130">
        <v>0.19139630090000001</v>
      </c>
      <c r="M437" s="115">
        <v>39506</v>
      </c>
      <c r="N437" s="130">
        <v>0</v>
      </c>
      <c r="O437" s="130"/>
      <c r="P437" s="130"/>
      <c r="Q437" s="115">
        <v>39506</v>
      </c>
      <c r="R437" s="130">
        <v>5.5073624999999998E-3</v>
      </c>
      <c r="T437"/>
    </row>
    <row r="438" spans="2:20">
      <c r="B438" s="115">
        <v>39499</v>
      </c>
      <c r="C438" s="116">
        <v>0.22457878040000001</v>
      </c>
      <c r="D438" s="116">
        <f>VLOOKUP(CurrentMtgRatesDataTable825[[#This Row],[asofdate]],I:J,2,0)</f>
        <v>0.24600385410000003</v>
      </c>
      <c r="E438" s="116">
        <f>VLOOKUP(CurrentMtgRatesDataTable825[[#This Row],[asofdate]],M:N,2,0)</f>
        <v>0</v>
      </c>
      <c r="F438" s="117">
        <f ca="1">VLOOKUP(CurrentMtgRatesDataTable825[[#This Row],[asofdate]]+1,Bloomberg!B:C,2,0)</f>
        <v>2571.6</v>
      </c>
      <c r="I438" s="115">
        <v>39499</v>
      </c>
      <c r="J438" s="130">
        <v>0.24600385410000003</v>
      </c>
      <c r="M438" s="115">
        <v>39499</v>
      </c>
      <c r="N438" s="130">
        <v>0</v>
      </c>
      <c r="O438" s="130"/>
      <c r="P438" s="130"/>
      <c r="Q438" s="115">
        <v>39499</v>
      </c>
      <c r="R438" s="130">
        <v>0.17051092370000004</v>
      </c>
      <c r="T438"/>
    </row>
    <row r="439" spans="2:20">
      <c r="B439" s="115">
        <v>39492</v>
      </c>
      <c r="C439" s="116">
        <v>0.46944203969999998</v>
      </c>
      <c r="D439" s="116">
        <f>VLOOKUP(CurrentMtgRatesDataTable825[[#This Row],[asofdate]],I:J,2,0)</f>
        <v>0.45493623130000005</v>
      </c>
      <c r="E439" s="116">
        <f>VLOOKUP(CurrentMtgRatesDataTable825[[#This Row],[asofdate]],M:N,2,0)</f>
        <v>0</v>
      </c>
      <c r="F439" s="117">
        <f ca="1">VLOOKUP(CurrentMtgRatesDataTable825[[#This Row],[asofdate]]+1,Bloomberg!B:C,2,0)</f>
        <v>3784.1</v>
      </c>
      <c r="I439" s="115">
        <v>39492</v>
      </c>
      <c r="J439" s="130">
        <v>0.45493623130000005</v>
      </c>
      <c r="M439" s="115">
        <v>39492</v>
      </c>
      <c r="N439" s="130">
        <v>0</v>
      </c>
      <c r="O439" s="130"/>
      <c r="P439" s="130"/>
      <c r="Q439" s="115">
        <v>39492</v>
      </c>
      <c r="R439" s="130">
        <v>0.33635192619999998</v>
      </c>
      <c r="T439"/>
    </row>
    <row r="440" spans="2:20">
      <c r="B440" s="115">
        <v>39485</v>
      </c>
      <c r="C440" s="116">
        <v>0.51170011849999997</v>
      </c>
      <c r="D440" s="116">
        <f>VLOOKUP(CurrentMtgRatesDataTable825[[#This Row],[asofdate]],I:J,2,0)</f>
        <v>0.51056741819999996</v>
      </c>
      <c r="E440" s="116">
        <f>VLOOKUP(CurrentMtgRatesDataTable825[[#This Row],[asofdate]],M:N,2,0)</f>
        <v>0</v>
      </c>
      <c r="F440" s="117">
        <f ca="1">VLOOKUP(CurrentMtgRatesDataTable825[[#This Row],[asofdate]]+1,Bloomberg!B:C,2,0)</f>
        <v>5362.6</v>
      </c>
      <c r="I440" s="115">
        <v>39485</v>
      </c>
      <c r="J440" s="130">
        <v>0.51056741819999996</v>
      </c>
      <c r="M440" s="115">
        <v>39485</v>
      </c>
      <c r="N440" s="130">
        <v>0</v>
      </c>
      <c r="O440" s="130"/>
      <c r="P440" s="130"/>
      <c r="Q440" s="115">
        <v>39485</v>
      </c>
      <c r="R440" s="130">
        <v>0.41170641790000001</v>
      </c>
      <c r="T440"/>
    </row>
    <row r="441" spans="2:20">
      <c r="B441" s="115">
        <v>39478</v>
      </c>
      <c r="C441" s="116">
        <v>0.49813553370000002</v>
      </c>
      <c r="D441" s="116">
        <f>VLOOKUP(CurrentMtgRatesDataTable825[[#This Row],[asofdate]],I:J,2,0)</f>
        <v>0.49749608789999999</v>
      </c>
      <c r="E441" s="116">
        <f>VLOOKUP(CurrentMtgRatesDataTable825[[#This Row],[asofdate]],M:N,2,0)</f>
        <v>0</v>
      </c>
      <c r="F441" s="117">
        <f ca="1">VLOOKUP(CurrentMtgRatesDataTable825[[#This Row],[asofdate]]+1,Bloomberg!B:C,2,0)</f>
        <v>5523.9</v>
      </c>
      <c r="I441" s="115">
        <v>39478</v>
      </c>
      <c r="J441" s="130">
        <v>0.49749608789999999</v>
      </c>
      <c r="M441" s="115">
        <v>39478</v>
      </c>
      <c r="N441" s="130">
        <v>0</v>
      </c>
      <c r="O441" s="130"/>
      <c r="P441" s="130"/>
      <c r="Q441" s="115">
        <v>39478</v>
      </c>
      <c r="R441" s="130">
        <v>0.38285928120000001</v>
      </c>
      <c r="T441"/>
    </row>
    <row r="442" spans="2:20">
      <c r="B442" s="115">
        <v>39471</v>
      </c>
      <c r="C442" s="116">
        <v>0.68270179529999997</v>
      </c>
      <c r="D442" s="116">
        <f>VLOOKUP(CurrentMtgRatesDataTable825[[#This Row],[asofdate]],I:J,2,0)</f>
        <v>0.66180762579999997</v>
      </c>
      <c r="E442" s="116">
        <f>VLOOKUP(CurrentMtgRatesDataTable825[[#This Row],[asofdate]],M:N,2,0)</f>
        <v>0.49230690290000001</v>
      </c>
      <c r="F442" s="117">
        <f ca="1">VLOOKUP(CurrentMtgRatesDataTable825[[#This Row],[asofdate]]+1,Bloomberg!B:C,2,0)</f>
        <v>5682.2</v>
      </c>
      <c r="I442" s="115">
        <v>39471</v>
      </c>
      <c r="J442" s="130">
        <v>0.66180762579999997</v>
      </c>
      <c r="M442" s="115">
        <v>39471</v>
      </c>
      <c r="N442" s="130">
        <v>0.49230690290000001</v>
      </c>
      <c r="O442" s="130"/>
      <c r="P442" s="130"/>
      <c r="Q442" s="115">
        <v>39471</v>
      </c>
      <c r="R442" s="130">
        <v>0.66163350180000002</v>
      </c>
      <c r="T442"/>
    </row>
    <row r="443" spans="2:20">
      <c r="B443" s="115">
        <v>39464</v>
      </c>
      <c r="C443" s="116">
        <v>0.46799807980000008</v>
      </c>
      <c r="D443" s="116">
        <f>VLOOKUP(CurrentMtgRatesDataTable825[[#This Row],[asofdate]],I:J,2,0)</f>
        <v>0.4496011513</v>
      </c>
      <c r="E443" s="116">
        <f>VLOOKUP(CurrentMtgRatesDataTable825[[#This Row],[asofdate]],M:N,2,0)</f>
        <v>0.31789701500000001</v>
      </c>
      <c r="F443" s="117">
        <f ca="1">VLOOKUP(CurrentMtgRatesDataTable825[[#This Row],[asofdate]]+1,Bloomberg!B:C,2,0)</f>
        <v>4588.3999999999996</v>
      </c>
      <c r="I443" s="115">
        <v>39464</v>
      </c>
      <c r="J443" s="130">
        <v>0.4496011513</v>
      </c>
      <c r="M443" s="115">
        <v>39464</v>
      </c>
      <c r="N443" s="130">
        <v>0.31789701500000001</v>
      </c>
      <c r="O443" s="130"/>
      <c r="P443" s="130"/>
      <c r="Q443" s="115">
        <v>39464</v>
      </c>
      <c r="R443" s="130">
        <v>0.32976146579999999</v>
      </c>
      <c r="T443"/>
    </row>
    <row r="444" spans="2:20">
      <c r="B444" s="115">
        <v>39457</v>
      </c>
      <c r="C444" s="116">
        <v>0.36463177990000001</v>
      </c>
      <c r="D444" s="116">
        <f>VLOOKUP(CurrentMtgRatesDataTable825[[#This Row],[asofdate]],I:J,2,0)</f>
        <v>0.36646240920000001</v>
      </c>
      <c r="E444" s="116">
        <f>VLOOKUP(CurrentMtgRatesDataTable825[[#This Row],[asofdate]],M:N,2,0)</f>
        <v>0.25890370559999998</v>
      </c>
      <c r="F444" s="117">
        <f ca="1">VLOOKUP(CurrentMtgRatesDataTable825[[#This Row],[asofdate]]+1,Bloomberg!B:C,2,0)</f>
        <v>3923.5</v>
      </c>
      <c r="I444" s="115">
        <v>39457</v>
      </c>
      <c r="J444" s="130">
        <v>0.36646240920000001</v>
      </c>
      <c r="M444" s="115">
        <v>39457</v>
      </c>
      <c r="N444" s="130">
        <v>0.25890370559999998</v>
      </c>
      <c r="O444" s="130"/>
      <c r="P444" s="130"/>
      <c r="Q444" s="115">
        <v>39457</v>
      </c>
      <c r="R444" s="130">
        <v>0.26151994560000003</v>
      </c>
      <c r="T444"/>
    </row>
    <row r="445" spans="2:20">
      <c r="B445" s="115">
        <v>39450</v>
      </c>
      <c r="C445" s="116">
        <v>0.22129148269999999</v>
      </c>
      <c r="D445" s="116">
        <f>VLOOKUP(CurrentMtgRatesDataTable825[[#This Row],[asofdate]],I:J,2,0)</f>
        <v>0.23986342090000001</v>
      </c>
      <c r="E445" s="116">
        <f>VLOOKUP(CurrentMtgRatesDataTable825[[#This Row],[asofdate]],M:N,2,0)</f>
        <v>0</v>
      </c>
      <c r="F445" s="117">
        <f ca="1">VLOOKUP(CurrentMtgRatesDataTable825[[#This Row],[asofdate]]+1,Bloomberg!B:C,2,0)</f>
        <v>2729.3</v>
      </c>
      <c r="I445" s="115">
        <v>39450</v>
      </c>
      <c r="J445" s="130">
        <v>0.23986342090000001</v>
      </c>
      <c r="M445" s="115">
        <v>39450</v>
      </c>
      <c r="N445" s="130">
        <v>0</v>
      </c>
      <c r="O445" s="130"/>
      <c r="P445" s="130"/>
      <c r="Q445" s="115">
        <v>39450</v>
      </c>
      <c r="R445" s="130">
        <v>0.16352889400000001</v>
      </c>
      <c r="T445"/>
    </row>
    <row r="446" spans="2:20">
      <c r="I446" s="115">
        <v>39443</v>
      </c>
      <c r="J446" s="130">
        <v>0.21128275790000001</v>
      </c>
      <c r="M446" s="115">
        <v>39443</v>
      </c>
      <c r="N446" s="130">
        <v>0</v>
      </c>
      <c r="O446" s="130"/>
      <c r="P446" s="130"/>
      <c r="Q446" s="115">
        <v>39443</v>
      </c>
      <c r="R446" s="130">
        <v>5.4363377300000001E-2</v>
      </c>
      <c r="T446"/>
    </row>
    <row r="447" spans="2:20">
      <c r="I447" s="115">
        <v>39436</v>
      </c>
      <c r="J447" s="130">
        <v>0.2270216323</v>
      </c>
      <c r="M447" s="115">
        <v>39436</v>
      </c>
      <c r="N447" s="130">
        <v>0</v>
      </c>
      <c r="O447" s="130"/>
      <c r="P447" s="130"/>
      <c r="Q447" s="115">
        <v>39436</v>
      </c>
      <c r="R447" s="130">
        <v>0.15007038789999999</v>
      </c>
      <c r="T447"/>
    </row>
    <row r="448" spans="2:20">
      <c r="I448" s="115">
        <v>39429</v>
      </c>
      <c r="J448" s="130">
        <v>0.22724155190000001</v>
      </c>
      <c r="M448" s="115">
        <v>39429</v>
      </c>
      <c r="N448" s="130">
        <v>0</v>
      </c>
      <c r="O448" s="130"/>
      <c r="P448" s="130"/>
      <c r="Q448" s="115">
        <v>39429</v>
      </c>
      <c r="R448" s="130">
        <v>0.15010813070000001</v>
      </c>
      <c r="T448"/>
    </row>
    <row r="449" spans="9:20">
      <c r="I449" s="115">
        <v>39422</v>
      </c>
      <c r="J449" s="130">
        <v>0.32907284959999999</v>
      </c>
      <c r="M449" s="115">
        <v>39422</v>
      </c>
      <c r="N449" s="130">
        <v>0.22948413409999999</v>
      </c>
      <c r="O449" s="130"/>
      <c r="P449" s="130"/>
      <c r="Q449" s="115">
        <v>39422</v>
      </c>
      <c r="R449" s="130">
        <v>0.23094823070000001</v>
      </c>
      <c r="T449"/>
    </row>
    <row r="450" spans="9:20">
      <c r="I450" s="115">
        <v>39415</v>
      </c>
      <c r="J450" s="130">
        <v>0.21794675390000001</v>
      </c>
      <c r="M450" s="115">
        <v>39415</v>
      </c>
      <c r="N450" s="130">
        <v>5.4805957099999997E-2</v>
      </c>
      <c r="O450" s="130"/>
      <c r="P450" s="130"/>
      <c r="Q450" s="115">
        <v>39415</v>
      </c>
      <c r="R450" s="130">
        <v>0.1382680416</v>
      </c>
      <c r="T450"/>
    </row>
    <row r="451" spans="9:20">
      <c r="I451" s="115">
        <v>39407</v>
      </c>
      <c r="J451" s="130">
        <v>0.1763987668</v>
      </c>
      <c r="M451" s="115">
        <v>39407</v>
      </c>
      <c r="N451" s="130">
        <v>2.6732595099999999E-2</v>
      </c>
      <c r="O451" s="130"/>
      <c r="P451" s="130"/>
      <c r="Q451" s="115">
        <v>39407</v>
      </c>
      <c r="R451" s="130">
        <v>4.1113970899999998E-2</v>
      </c>
      <c r="T451"/>
    </row>
    <row r="452" spans="9:20">
      <c r="I452" s="115">
        <v>39401</v>
      </c>
      <c r="J452" s="130">
        <v>0.17318423920000003</v>
      </c>
      <c r="M452" s="115">
        <v>39401</v>
      </c>
      <c r="N452" s="130">
        <v>0</v>
      </c>
      <c r="O452" s="130"/>
      <c r="P452" s="130"/>
      <c r="Q452" s="115">
        <v>39401</v>
      </c>
      <c r="R452" s="130">
        <v>3.4109192900000002E-2</v>
      </c>
      <c r="T452"/>
    </row>
    <row r="453" spans="9:20">
      <c r="I453" s="115">
        <v>39394</v>
      </c>
      <c r="J453" s="130">
        <v>0.17318423920000003</v>
      </c>
      <c r="M453" s="115">
        <v>39394</v>
      </c>
      <c r="N453" s="130">
        <v>2.6237702500000001E-2</v>
      </c>
      <c r="O453" s="130"/>
      <c r="P453" s="130"/>
      <c r="Q453" s="115">
        <v>39394</v>
      </c>
      <c r="R453" s="130">
        <v>4.00590163E-2</v>
      </c>
      <c r="T453"/>
    </row>
    <row r="454" spans="9:20">
      <c r="I454" s="115">
        <v>39387</v>
      </c>
      <c r="J454" s="130">
        <v>0.17083318740000003</v>
      </c>
      <c r="M454" s="115">
        <v>39387</v>
      </c>
      <c r="N454" s="130">
        <v>2.6036169000000001E-2</v>
      </c>
      <c r="O454" s="130"/>
      <c r="P454" s="130"/>
      <c r="Q454" s="115">
        <v>39387</v>
      </c>
      <c r="R454" s="130">
        <v>3.6524472000000002E-2</v>
      </c>
      <c r="T454"/>
    </row>
    <row r="455" spans="9:20">
      <c r="I455" s="115">
        <v>39380</v>
      </c>
      <c r="J455" s="130">
        <v>0.1319245885</v>
      </c>
      <c r="M455" s="115">
        <v>39380</v>
      </c>
      <c r="N455" s="130">
        <v>0</v>
      </c>
      <c r="O455" s="130"/>
      <c r="P455" s="130"/>
      <c r="Q455" s="115">
        <v>39380</v>
      </c>
      <c r="R455" s="130">
        <v>1.8777923799999999E-2</v>
      </c>
      <c r="T455"/>
    </row>
    <row r="456" spans="9:20">
      <c r="I456" s="115">
        <v>39373</v>
      </c>
      <c r="J456" s="130">
        <v>0.1185916679</v>
      </c>
      <c r="M456" s="115">
        <v>39373</v>
      </c>
      <c r="N456" s="130">
        <v>0</v>
      </c>
      <c r="O456" s="130"/>
      <c r="P456" s="130"/>
      <c r="Q456" s="115">
        <v>39373</v>
      </c>
      <c r="R456" s="130">
        <v>1.41763467E-2</v>
      </c>
      <c r="T456"/>
    </row>
    <row r="457" spans="9:20">
      <c r="I457" s="115">
        <v>39366</v>
      </c>
      <c r="J457" s="130">
        <v>0.12611801850000001</v>
      </c>
      <c r="M457" s="115">
        <v>39366</v>
      </c>
      <c r="N457" s="130">
        <v>0</v>
      </c>
      <c r="O457" s="130"/>
      <c r="P457" s="130"/>
      <c r="Q457" s="115">
        <v>39366</v>
      </c>
      <c r="R457" s="130">
        <v>1.7548401599999999E-2</v>
      </c>
      <c r="T457"/>
    </row>
    <row r="458" spans="9:20">
      <c r="I458" s="115">
        <v>39359</v>
      </c>
      <c r="J458" s="130">
        <v>0.12637846680000001</v>
      </c>
      <c r="M458" s="115">
        <v>39359</v>
      </c>
      <c r="N458" s="130">
        <v>0</v>
      </c>
      <c r="O458" s="130"/>
      <c r="P458" s="130"/>
      <c r="Q458" s="115">
        <v>39359</v>
      </c>
      <c r="R458" s="130">
        <v>1.7550265200000002E-2</v>
      </c>
      <c r="T458"/>
    </row>
    <row r="459" spans="9:20">
      <c r="I459" s="115">
        <v>39352</v>
      </c>
      <c r="J459" s="130">
        <v>0.1152440233</v>
      </c>
      <c r="M459" s="115">
        <v>39352</v>
      </c>
      <c r="N459" s="130">
        <v>0</v>
      </c>
      <c r="O459" s="130"/>
      <c r="P459" s="130"/>
      <c r="Q459" s="115">
        <v>39352</v>
      </c>
      <c r="R459" s="130">
        <v>1.2104595100000001E-2</v>
      </c>
      <c r="T459"/>
    </row>
    <row r="460" spans="9:20">
      <c r="I460" s="115">
        <v>39345</v>
      </c>
      <c r="J460" s="130">
        <v>0.1268390935</v>
      </c>
      <c r="M460" s="115">
        <v>39345</v>
      </c>
      <c r="N460" s="130">
        <v>0</v>
      </c>
      <c r="O460" s="130"/>
      <c r="P460" s="130"/>
      <c r="Q460" s="115">
        <v>39345</v>
      </c>
      <c r="R460" s="130">
        <v>1.3129956599999999E-2</v>
      </c>
      <c r="T460"/>
    </row>
    <row r="461" spans="9:20">
      <c r="I461" s="115">
        <v>39338</v>
      </c>
      <c r="J461" s="130">
        <v>0.14599227819999999</v>
      </c>
      <c r="M461" s="115">
        <v>39338</v>
      </c>
      <c r="N461" s="130">
        <v>7.5074876000000004E-3</v>
      </c>
      <c r="O461" s="130"/>
      <c r="P461" s="130"/>
      <c r="Q461" s="115">
        <v>39338</v>
      </c>
      <c r="R461" s="130">
        <v>1.7740028800000002E-2</v>
      </c>
      <c r="T461"/>
    </row>
    <row r="462" spans="9:20">
      <c r="I462" s="115">
        <v>39331</v>
      </c>
      <c r="J462" s="130">
        <v>0.1019703927</v>
      </c>
      <c r="M462" s="115">
        <v>39331</v>
      </c>
      <c r="N462" s="130">
        <v>0</v>
      </c>
      <c r="O462" s="130"/>
      <c r="P462" s="130"/>
      <c r="Q462" s="115">
        <v>39331</v>
      </c>
      <c r="R462" s="130">
        <v>1.10319849E-2</v>
      </c>
      <c r="T462"/>
    </row>
    <row r="463" spans="9:20">
      <c r="I463" s="115">
        <v>39324</v>
      </c>
      <c r="J463" s="130">
        <v>0.1031555805</v>
      </c>
      <c r="M463" s="115">
        <v>39324</v>
      </c>
      <c r="N463" s="130">
        <v>1.9297123E-3</v>
      </c>
      <c r="O463" s="130"/>
      <c r="P463" s="130"/>
      <c r="Q463" s="115">
        <v>39324</v>
      </c>
      <c r="R463" s="130">
        <v>7.4081816E-3</v>
      </c>
      <c r="T463"/>
    </row>
    <row r="464" spans="9:20">
      <c r="I464" s="115">
        <v>39317</v>
      </c>
      <c r="J464" s="130">
        <v>9.7235891000000005E-2</v>
      </c>
      <c r="M464" s="115">
        <v>39317</v>
      </c>
      <c r="N464" s="130">
        <v>1.7689461E-3</v>
      </c>
      <c r="O464" s="130"/>
      <c r="P464" s="130"/>
      <c r="Q464" s="115">
        <v>39317</v>
      </c>
      <c r="R464" s="130">
        <v>6.7458079000000002E-3</v>
      </c>
      <c r="T464"/>
    </row>
    <row r="465" spans="9:20">
      <c r="I465" s="115">
        <v>39310</v>
      </c>
      <c r="J465" s="130">
        <v>7.5594898800000004E-2</v>
      </c>
      <c r="M465" s="115">
        <v>39310</v>
      </c>
      <c r="N465" s="130">
        <v>0</v>
      </c>
      <c r="O465" s="130"/>
      <c r="P465" s="130"/>
      <c r="Q465" s="115">
        <v>39310</v>
      </c>
      <c r="R465" s="130">
        <v>5.5510304000000003E-3</v>
      </c>
      <c r="T465"/>
    </row>
    <row r="466" spans="9:20">
      <c r="I466" s="115">
        <v>39303</v>
      </c>
      <c r="J466" s="130">
        <v>8.1829768499999997E-2</v>
      </c>
      <c r="M466" s="115">
        <v>39303</v>
      </c>
      <c r="N466" s="130">
        <v>1.1510250000000002E-4</v>
      </c>
      <c r="O466" s="130"/>
      <c r="P466" s="130"/>
      <c r="Q466" s="115">
        <v>39303</v>
      </c>
      <c r="R466" s="130">
        <v>6.0315467999999999E-3</v>
      </c>
      <c r="T466"/>
    </row>
    <row r="467" spans="9:20">
      <c r="I467" s="115">
        <v>39296</v>
      </c>
      <c r="J467" s="130">
        <v>7.2222714500000007E-2</v>
      </c>
      <c r="M467" s="115">
        <v>39296</v>
      </c>
      <c r="N467" s="130">
        <v>0</v>
      </c>
      <c r="O467" s="130"/>
      <c r="P467" s="130"/>
      <c r="Q467" s="115">
        <v>39296</v>
      </c>
      <c r="R467" s="130">
        <v>5.5086342999999998E-3</v>
      </c>
      <c r="T467"/>
    </row>
    <row r="468" spans="9:20">
      <c r="I468" s="115">
        <v>39289</v>
      </c>
      <c r="J468" s="130">
        <v>6.6882321100000003E-2</v>
      </c>
      <c r="M468" s="115">
        <v>39289</v>
      </c>
      <c r="N468" s="130">
        <v>0</v>
      </c>
      <c r="O468" s="130"/>
      <c r="P468" s="130"/>
      <c r="Q468" s="115">
        <v>39289</v>
      </c>
      <c r="R468" s="130">
        <v>2.8111287000000002E-3</v>
      </c>
      <c r="T468"/>
    </row>
    <row r="469" spans="9:20">
      <c r="I469" s="115">
        <v>39282</v>
      </c>
      <c r="J469" s="130">
        <v>6.1271058699999999E-2</v>
      </c>
      <c r="M469" s="115">
        <v>39282</v>
      </c>
      <c r="N469" s="130">
        <v>0</v>
      </c>
      <c r="O469" s="130"/>
      <c r="P469" s="130"/>
      <c r="Q469" s="115">
        <v>39282</v>
      </c>
      <c r="R469" s="130">
        <v>1.1833788E-3</v>
      </c>
      <c r="T469"/>
    </row>
    <row r="470" spans="9:20">
      <c r="I470" s="115">
        <v>39275</v>
      </c>
      <c r="J470" s="130">
        <v>6.1271058699999999E-2</v>
      </c>
      <c r="M470" s="115">
        <v>39275</v>
      </c>
      <c r="N470" s="130">
        <v>0</v>
      </c>
      <c r="O470" s="130"/>
      <c r="P470" s="130"/>
      <c r="Q470" s="115">
        <v>39275</v>
      </c>
      <c r="R470" s="130">
        <v>1.1833788E-3</v>
      </c>
      <c r="T470"/>
    </row>
    <row r="471" spans="9:20">
      <c r="I471" s="115">
        <v>39268</v>
      </c>
      <c r="J471" s="130">
        <v>7.4576732000000007E-2</v>
      </c>
      <c r="M471" s="115">
        <v>39268</v>
      </c>
      <c r="N471" s="130">
        <v>0</v>
      </c>
      <c r="O471" s="130"/>
      <c r="P471" s="130"/>
      <c r="Q471" s="115">
        <v>39268</v>
      </c>
      <c r="R471" s="130">
        <v>3.1055784E-3</v>
      </c>
      <c r="T471"/>
    </row>
    <row r="472" spans="9:20">
      <c r="I472" s="115">
        <v>39261</v>
      </c>
      <c r="J472" s="130">
        <v>6.9587917599999993E-2</v>
      </c>
      <c r="M472" s="115">
        <v>39261</v>
      </c>
      <c r="N472" s="130">
        <v>0</v>
      </c>
      <c r="O472" s="130"/>
      <c r="P472" s="130"/>
      <c r="Q472" s="115">
        <v>39261</v>
      </c>
      <c r="R472" s="130">
        <v>1.0551409000000001E-3</v>
      </c>
      <c r="T472"/>
    </row>
    <row r="473" spans="9:20">
      <c r="I473" s="115">
        <v>39254</v>
      </c>
      <c r="J473" s="130">
        <v>6.1900788999999998E-2</v>
      </c>
      <c r="M473" s="115">
        <v>39254</v>
      </c>
      <c r="N473" s="130">
        <v>0</v>
      </c>
      <c r="O473" s="130"/>
      <c r="P473" s="130"/>
      <c r="Q473" s="115">
        <v>39254</v>
      </c>
      <c r="R473" s="130">
        <v>9.1740479999999998E-4</v>
      </c>
      <c r="T473"/>
    </row>
    <row r="474" spans="9:20">
      <c r="I474" s="115">
        <v>39247</v>
      </c>
      <c r="J474" s="130">
        <v>5.8872569600000008E-2</v>
      </c>
      <c r="M474" s="115">
        <v>39247</v>
      </c>
      <c r="N474" s="130">
        <v>0</v>
      </c>
      <c r="O474" s="130"/>
      <c r="P474" s="130"/>
      <c r="Q474" s="115">
        <v>39247</v>
      </c>
      <c r="R474" s="130">
        <v>8.913568E-4</v>
      </c>
      <c r="T474"/>
    </row>
    <row r="475" spans="9:20">
      <c r="I475" s="115">
        <v>39240</v>
      </c>
      <c r="J475" s="130">
        <v>9.3254880700000001E-2</v>
      </c>
      <c r="M475" s="115">
        <v>39240</v>
      </c>
      <c r="N475" s="130">
        <v>0</v>
      </c>
      <c r="O475" s="130"/>
      <c r="P475" s="130"/>
      <c r="Q475" s="115">
        <v>39240</v>
      </c>
      <c r="R475" s="130">
        <v>1.2659765E-3</v>
      </c>
      <c r="T475"/>
    </row>
    <row r="476" spans="9:20">
      <c r="I476" s="115">
        <v>39233</v>
      </c>
      <c r="J476" s="130">
        <v>0.1158006805</v>
      </c>
      <c r="M476" s="115">
        <v>39233</v>
      </c>
      <c r="N476" s="130">
        <v>0</v>
      </c>
      <c r="O476" s="130"/>
      <c r="P476" s="130"/>
      <c r="Q476" s="115">
        <v>39233</v>
      </c>
      <c r="R476" s="130">
        <v>1.001625E-4</v>
      </c>
      <c r="T476"/>
    </row>
    <row r="477" spans="9:20">
      <c r="I477" s="115">
        <v>39226</v>
      </c>
      <c r="J477" s="130">
        <v>0.12364636170000001</v>
      </c>
      <c r="M477" s="115">
        <v>39226</v>
      </c>
      <c r="N477" s="130">
        <v>0</v>
      </c>
      <c r="O477" s="130"/>
      <c r="P477" s="130"/>
      <c r="Q477" s="115">
        <v>39226</v>
      </c>
      <c r="R477" s="130">
        <v>1.1787154E-3</v>
      </c>
      <c r="T477"/>
    </row>
    <row r="478" spans="9:20">
      <c r="I478" s="115">
        <v>39219</v>
      </c>
      <c r="J478" s="130">
        <v>0.18405285569999999</v>
      </c>
      <c r="M478" s="115">
        <v>39219</v>
      </c>
      <c r="N478" s="130">
        <v>0</v>
      </c>
      <c r="O478" s="130"/>
      <c r="P478" s="130"/>
      <c r="Q478" s="115">
        <v>39219</v>
      </c>
      <c r="R478" s="130">
        <v>1.09481813E-2</v>
      </c>
      <c r="T478"/>
    </row>
    <row r="479" spans="9:20">
      <c r="I479" s="115">
        <v>39212</v>
      </c>
      <c r="J479" s="130">
        <v>0.18881836860000001</v>
      </c>
      <c r="M479" s="115">
        <v>39212</v>
      </c>
      <c r="N479" s="130">
        <v>0</v>
      </c>
      <c r="O479" s="130"/>
      <c r="P479" s="130"/>
      <c r="Q479" s="115">
        <v>39212</v>
      </c>
      <c r="R479" s="130">
        <v>9.7838746300000001E-2</v>
      </c>
      <c r="T479"/>
    </row>
    <row r="480" spans="9:20">
      <c r="I480" s="115">
        <v>39205</v>
      </c>
      <c r="J480" s="130">
        <v>0.1878809344</v>
      </c>
      <c r="M480" s="115">
        <v>39205</v>
      </c>
      <c r="N480" s="130">
        <v>0</v>
      </c>
      <c r="O480" s="130"/>
      <c r="P480" s="130"/>
      <c r="Q480" s="115">
        <v>39205</v>
      </c>
      <c r="R480" s="130">
        <v>1.7355111199999999E-2</v>
      </c>
      <c r="T480"/>
    </row>
    <row r="481" spans="9:20">
      <c r="I481" s="115">
        <v>39198</v>
      </c>
      <c r="J481" s="130">
        <v>0.1885998582</v>
      </c>
      <c r="M481" s="115">
        <v>39198</v>
      </c>
      <c r="N481" s="130">
        <v>0</v>
      </c>
      <c r="O481" s="130"/>
      <c r="P481" s="130"/>
      <c r="Q481" s="115">
        <v>39198</v>
      </c>
      <c r="R481" s="130">
        <v>8.9444755200000003E-2</v>
      </c>
      <c r="T481"/>
    </row>
    <row r="482" spans="9:20">
      <c r="I482" s="115">
        <v>39191</v>
      </c>
      <c r="J482" s="130">
        <v>0.1876142408</v>
      </c>
      <c r="M482" s="115">
        <v>39191</v>
      </c>
      <c r="N482" s="130">
        <v>0</v>
      </c>
      <c r="O482" s="130"/>
      <c r="P482" s="130"/>
      <c r="Q482" s="115">
        <v>39191</v>
      </c>
      <c r="R482" s="130">
        <v>8.9428479500000005E-2</v>
      </c>
      <c r="T482"/>
    </row>
    <row r="483" spans="9:20">
      <c r="I483" s="115">
        <v>39184</v>
      </c>
      <c r="J483" s="130">
        <v>0.16421050800000001</v>
      </c>
      <c r="M483" s="115">
        <v>39184</v>
      </c>
      <c r="N483" s="130">
        <v>0</v>
      </c>
      <c r="O483" s="130"/>
      <c r="P483" s="130"/>
      <c r="Q483" s="115">
        <v>39184</v>
      </c>
      <c r="R483" s="130">
        <v>1.1145530900000001E-2</v>
      </c>
      <c r="T483"/>
    </row>
    <row r="484" spans="9:20">
      <c r="I484" s="115">
        <v>39177</v>
      </c>
      <c r="J484" s="130">
        <v>0.19079298119999999</v>
      </c>
      <c r="M484" s="115">
        <v>39177</v>
      </c>
      <c r="N484" s="130">
        <v>0</v>
      </c>
      <c r="O484" s="130"/>
      <c r="P484" s="130"/>
      <c r="Q484" s="115">
        <v>39177</v>
      </c>
      <c r="R484" s="130">
        <v>9.5747183400000005E-2</v>
      </c>
      <c r="T484"/>
    </row>
    <row r="485" spans="9:20">
      <c r="I485" s="115">
        <v>39170</v>
      </c>
      <c r="J485" s="130">
        <v>0.19175547979999999</v>
      </c>
      <c r="M485" s="115">
        <v>39170</v>
      </c>
      <c r="N485" s="130">
        <v>0</v>
      </c>
      <c r="O485" s="130"/>
      <c r="P485" s="130"/>
      <c r="Q485" s="115">
        <v>39170</v>
      </c>
      <c r="R485" s="130">
        <v>9.3657865100000001E-2</v>
      </c>
      <c r="T485"/>
    </row>
    <row r="486" spans="9:20">
      <c r="I486" s="115">
        <v>39163</v>
      </c>
      <c r="J486" s="130">
        <v>0.19175547979999999</v>
      </c>
      <c r="M486" s="115">
        <v>39163</v>
      </c>
      <c r="N486" s="130">
        <v>0</v>
      </c>
      <c r="O486" s="130"/>
      <c r="P486" s="130"/>
      <c r="Q486" s="115">
        <v>39163</v>
      </c>
      <c r="R486" s="130">
        <v>9.3657865100000001E-2</v>
      </c>
      <c r="T486"/>
    </row>
    <row r="487" spans="9:20">
      <c r="I487" s="115">
        <v>39156</v>
      </c>
      <c r="J487" s="130">
        <v>0.20225870369999999</v>
      </c>
      <c r="M487" s="115">
        <v>39156</v>
      </c>
      <c r="N487" s="130">
        <v>3.5550257000000001E-3</v>
      </c>
      <c r="O487" s="130"/>
      <c r="P487" s="130"/>
      <c r="Q487" s="115">
        <v>39156</v>
      </c>
      <c r="R487" s="130">
        <v>0.10138497959999999</v>
      </c>
      <c r="T487"/>
    </row>
    <row r="488" spans="9:20">
      <c r="I488" s="115">
        <v>39149</v>
      </c>
      <c r="J488" s="130">
        <v>0.1912170876</v>
      </c>
      <c r="M488" s="115">
        <v>39149</v>
      </c>
      <c r="N488" s="130">
        <v>3.2305793E-3</v>
      </c>
      <c r="O488" s="130"/>
      <c r="P488" s="130"/>
      <c r="Q488" s="115">
        <v>39149</v>
      </c>
      <c r="R488" s="130">
        <v>9.36298354E-2</v>
      </c>
      <c r="T488"/>
    </row>
    <row r="489" spans="9:20">
      <c r="I489" s="115">
        <v>39142</v>
      </c>
      <c r="J489" s="130">
        <v>0.18892558540000001</v>
      </c>
      <c r="M489" s="115">
        <v>39142</v>
      </c>
      <c r="N489" s="130">
        <v>2.8149339999999998E-4</v>
      </c>
      <c r="O489" s="130"/>
      <c r="P489" s="130"/>
      <c r="Q489" s="115">
        <v>39142</v>
      </c>
      <c r="R489" s="130">
        <v>9.3349277100000003E-2</v>
      </c>
      <c r="T489"/>
    </row>
    <row r="490" spans="9:20">
      <c r="I490" s="115">
        <v>39135</v>
      </c>
      <c r="J490" s="130">
        <v>0.15935079599999999</v>
      </c>
      <c r="M490" s="115">
        <v>39135</v>
      </c>
      <c r="N490" s="130">
        <v>0</v>
      </c>
      <c r="O490" s="130"/>
      <c r="P490" s="130"/>
      <c r="Q490" s="115">
        <v>39135</v>
      </c>
      <c r="R490" s="130">
        <v>6.4999505799999996E-2</v>
      </c>
      <c r="T490"/>
    </row>
    <row r="491" spans="9:20">
      <c r="I491" s="115">
        <v>39128</v>
      </c>
      <c r="J491" s="130">
        <v>0.14801274519999999</v>
      </c>
      <c r="M491" s="115">
        <v>39128</v>
      </c>
      <c r="N491" s="130">
        <v>0</v>
      </c>
      <c r="O491" s="130"/>
      <c r="P491" s="130"/>
      <c r="Q491" s="115">
        <v>39128</v>
      </c>
      <c r="R491" s="130">
        <v>7.3272481999999998E-3</v>
      </c>
      <c r="T491"/>
    </row>
    <row r="492" spans="9:20">
      <c r="I492" s="115">
        <v>39121</v>
      </c>
      <c r="J492" s="130">
        <v>0.1584191757</v>
      </c>
      <c r="M492" s="115">
        <v>39121</v>
      </c>
      <c r="N492" s="130">
        <v>0</v>
      </c>
      <c r="O492" s="130"/>
      <c r="P492" s="130"/>
      <c r="Q492" s="115">
        <v>39121</v>
      </c>
      <c r="R492" s="130">
        <v>6.4989330900000003E-2</v>
      </c>
      <c r="T492"/>
    </row>
    <row r="493" spans="9:20">
      <c r="I493" s="115">
        <v>39114</v>
      </c>
      <c r="J493" s="130">
        <v>0.12771022839999999</v>
      </c>
      <c r="M493" s="115">
        <v>39114</v>
      </c>
      <c r="N493" s="130">
        <v>0</v>
      </c>
      <c r="O493" s="130"/>
      <c r="P493" s="130"/>
      <c r="Q493" s="115">
        <v>39114</v>
      </c>
      <c r="R493" s="130">
        <v>5.8982440000000004E-3</v>
      </c>
      <c r="T493"/>
    </row>
    <row r="494" spans="9:20">
      <c r="I494" s="115">
        <v>39107</v>
      </c>
      <c r="J494" s="130">
        <v>0.15723633610000001</v>
      </c>
      <c r="M494" s="115">
        <v>39107</v>
      </c>
      <c r="N494" s="130">
        <v>0</v>
      </c>
      <c r="O494" s="130"/>
      <c r="P494" s="130"/>
      <c r="Q494" s="115">
        <v>39107</v>
      </c>
      <c r="R494" s="130">
        <v>6.11004359E-2</v>
      </c>
      <c r="T494"/>
    </row>
    <row r="495" spans="9:20">
      <c r="I495" s="115">
        <v>39100</v>
      </c>
      <c r="J495" s="130">
        <v>0.1605696348</v>
      </c>
      <c r="M495" s="115">
        <v>39100</v>
      </c>
      <c r="N495" s="130">
        <v>0</v>
      </c>
      <c r="O495" s="130"/>
      <c r="P495" s="130"/>
      <c r="Q495" s="115">
        <v>39100</v>
      </c>
      <c r="R495" s="130">
        <v>6.7629059000000005E-2</v>
      </c>
      <c r="T495"/>
    </row>
    <row r="496" spans="9:20">
      <c r="I496" s="115">
        <v>39093</v>
      </c>
      <c r="J496" s="130">
        <v>0.18017072980000004</v>
      </c>
      <c r="M496" s="115">
        <v>39093</v>
      </c>
      <c r="N496" s="130">
        <v>0</v>
      </c>
      <c r="O496" s="130"/>
      <c r="P496" s="130"/>
      <c r="Q496" s="115">
        <v>39093</v>
      </c>
      <c r="R496" s="130">
        <v>8.3247358800000004E-2</v>
      </c>
      <c r="T496"/>
    </row>
    <row r="497" spans="9:20">
      <c r="I497" s="115">
        <v>39086</v>
      </c>
      <c r="J497" s="130">
        <v>0.18489866839999999</v>
      </c>
      <c r="M497" s="115">
        <v>39086</v>
      </c>
      <c r="N497" s="130">
        <v>0</v>
      </c>
      <c r="O497" s="130"/>
      <c r="P497" s="130"/>
      <c r="Q497" s="115">
        <v>39086</v>
      </c>
      <c r="R497" s="130">
        <v>8.4035061199999997E-2</v>
      </c>
      <c r="T497"/>
    </row>
    <row r="498" spans="9:20">
      <c r="I498" s="115">
        <v>39079</v>
      </c>
      <c r="J498" s="130">
        <v>0.17924026590000003</v>
      </c>
      <c r="M498" s="115">
        <v>39079</v>
      </c>
      <c r="N498" s="130">
        <v>0</v>
      </c>
      <c r="O498" s="130"/>
      <c r="P498" s="130"/>
      <c r="Q498" s="115">
        <v>39079</v>
      </c>
      <c r="R498" s="130">
        <v>7.552499330000001E-2</v>
      </c>
      <c r="T498"/>
    </row>
    <row r="499" spans="9:20">
      <c r="I499" s="115">
        <v>39072</v>
      </c>
      <c r="J499" s="130">
        <v>0.1921803198</v>
      </c>
      <c r="M499" s="115">
        <v>39072</v>
      </c>
      <c r="N499" s="130">
        <v>0</v>
      </c>
      <c r="O499" s="130"/>
      <c r="P499" s="130"/>
      <c r="Q499" s="115">
        <v>39072</v>
      </c>
      <c r="R499" s="130">
        <v>8.2821671999999999E-2</v>
      </c>
      <c r="T499"/>
    </row>
    <row r="500" spans="9:20">
      <c r="I500" s="115">
        <v>39065</v>
      </c>
      <c r="J500" s="130">
        <v>0.1928810829</v>
      </c>
      <c r="M500" s="115">
        <v>39065</v>
      </c>
      <c r="N500" s="130">
        <v>8.13227792E-2</v>
      </c>
      <c r="O500" s="130"/>
      <c r="P500" s="130"/>
      <c r="Q500" s="115">
        <v>39065</v>
      </c>
      <c r="R500" s="130">
        <v>8.3657244500000005E-2</v>
      </c>
      <c r="T500"/>
    </row>
    <row r="501" spans="9:20">
      <c r="I501" s="115">
        <v>39058</v>
      </c>
      <c r="J501" s="130">
        <v>0.19175530909999999</v>
      </c>
      <c r="M501" s="115">
        <v>39058</v>
      </c>
      <c r="N501" s="130">
        <v>7.3842977300000001E-2</v>
      </c>
      <c r="O501" s="130"/>
      <c r="P501" s="130"/>
      <c r="Q501" s="115">
        <v>39058</v>
      </c>
      <c r="R501" s="130">
        <v>8.2701184400000002E-2</v>
      </c>
      <c r="T501"/>
    </row>
    <row r="502" spans="9:20">
      <c r="I502" s="115">
        <v>39051</v>
      </c>
      <c r="J502" s="130">
        <v>0.1791556305</v>
      </c>
      <c r="M502" s="115">
        <v>39051</v>
      </c>
      <c r="N502" s="130">
        <v>5.8134928000000002E-2</v>
      </c>
      <c r="O502" s="130"/>
      <c r="P502" s="130"/>
      <c r="Q502" s="115">
        <v>39051</v>
      </c>
      <c r="R502" s="130">
        <v>6.7219071800000002E-2</v>
      </c>
      <c r="T502"/>
    </row>
    <row r="503" spans="9:20">
      <c r="I503" s="115">
        <v>39043</v>
      </c>
      <c r="J503" s="130">
        <v>0.1633430615</v>
      </c>
      <c r="M503" s="115">
        <v>39043</v>
      </c>
      <c r="N503" s="130">
        <v>5.3047178200000003E-2</v>
      </c>
      <c r="O503" s="130"/>
      <c r="P503" s="130"/>
      <c r="Q503" s="115">
        <v>39043</v>
      </c>
      <c r="R503" s="130">
        <v>6.1057611900000003E-2</v>
      </c>
      <c r="T503"/>
    </row>
    <row r="504" spans="9:20">
      <c r="I504" s="115">
        <v>39037</v>
      </c>
      <c r="J504" s="130">
        <v>0.1416641444</v>
      </c>
      <c r="M504" s="115">
        <v>39037</v>
      </c>
      <c r="N504" s="130">
        <v>3.80783523E-2</v>
      </c>
      <c r="O504" s="130"/>
      <c r="P504" s="130"/>
      <c r="Q504" s="115">
        <v>39037</v>
      </c>
      <c r="R504" s="130">
        <v>4.7254418100000001E-2</v>
      </c>
      <c r="T504"/>
    </row>
    <row r="505" spans="9:20">
      <c r="I505" s="115">
        <v>39030</v>
      </c>
      <c r="J505" s="130">
        <v>0.1129237347</v>
      </c>
      <c r="M505" s="115">
        <v>39030</v>
      </c>
      <c r="N505" s="130">
        <v>0</v>
      </c>
      <c r="O505" s="130"/>
      <c r="P505" s="130"/>
      <c r="Q505" s="115">
        <v>39030</v>
      </c>
      <c r="R505" s="130">
        <v>2.7838102699999999E-2</v>
      </c>
      <c r="T505"/>
    </row>
    <row r="506" spans="9:20">
      <c r="I506" s="115">
        <v>39023</v>
      </c>
      <c r="J506" s="130">
        <v>0.13246265509999999</v>
      </c>
      <c r="M506" s="115">
        <v>39023</v>
      </c>
      <c r="N506" s="130">
        <v>0</v>
      </c>
      <c r="O506" s="130"/>
      <c r="P506" s="130"/>
      <c r="Q506" s="115">
        <v>39023</v>
      </c>
      <c r="R506" s="130">
        <v>4.2686293E-2</v>
      </c>
      <c r="T506"/>
    </row>
    <row r="507" spans="9:20">
      <c r="I507" s="115">
        <v>39016</v>
      </c>
      <c r="J507" s="130">
        <v>0.1064863744</v>
      </c>
      <c r="M507" s="115">
        <v>39016</v>
      </c>
      <c r="N507" s="130">
        <v>0</v>
      </c>
      <c r="O507" s="130"/>
      <c r="P507" s="130"/>
      <c r="Q507" s="115">
        <v>39016</v>
      </c>
      <c r="R507" s="130">
        <v>1.9764560300000001E-2</v>
      </c>
      <c r="T507"/>
    </row>
    <row r="508" spans="9:20">
      <c r="I508" s="115">
        <v>39009</v>
      </c>
      <c r="J508" s="130">
        <v>0.10741041950000001</v>
      </c>
      <c r="M508" s="115">
        <v>39009</v>
      </c>
      <c r="N508" s="130">
        <v>0</v>
      </c>
      <c r="O508" s="130"/>
      <c r="P508" s="130"/>
      <c r="Q508" s="115">
        <v>39009</v>
      </c>
      <c r="R508" s="130">
        <v>1.9769747800000001E-2</v>
      </c>
      <c r="T508"/>
    </row>
    <row r="509" spans="9:20">
      <c r="I509" s="115">
        <v>39002</v>
      </c>
      <c r="J509" s="130">
        <v>0.10682015139999999</v>
      </c>
      <c r="M509" s="115">
        <v>39002</v>
      </c>
      <c r="N509" s="130">
        <v>0</v>
      </c>
      <c r="O509" s="130"/>
      <c r="P509" s="130"/>
      <c r="Q509" s="115">
        <v>39002</v>
      </c>
      <c r="R509" s="130">
        <v>1.9765839699999999E-2</v>
      </c>
      <c r="T509"/>
    </row>
    <row r="510" spans="9:20">
      <c r="I510" s="115">
        <v>38995</v>
      </c>
      <c r="J510" s="130">
        <v>0.13228123410000001</v>
      </c>
      <c r="M510" s="115">
        <v>38995</v>
      </c>
      <c r="N510" s="130">
        <v>2.6391100800000001E-2</v>
      </c>
      <c r="O510" s="130"/>
      <c r="P510" s="130"/>
      <c r="Q510" s="115">
        <v>38995</v>
      </c>
      <c r="R510" s="130">
        <v>3.5755981499999999E-2</v>
      </c>
      <c r="T510"/>
    </row>
    <row r="511" spans="9:20">
      <c r="I511" s="115">
        <v>38988</v>
      </c>
      <c r="J511" s="130">
        <v>0.11652360140000001</v>
      </c>
      <c r="M511" s="115">
        <v>38988</v>
      </c>
      <c r="N511" s="130">
        <v>0</v>
      </c>
      <c r="O511" s="130"/>
      <c r="P511" s="130"/>
      <c r="Q511" s="115">
        <v>38988</v>
      </c>
      <c r="R511" s="130">
        <v>2.4531527999999999E-3</v>
      </c>
      <c r="T511"/>
    </row>
    <row r="512" spans="9:20">
      <c r="I512" s="115">
        <v>38981</v>
      </c>
      <c r="J512" s="130">
        <v>0.1006071211</v>
      </c>
      <c r="M512" s="115">
        <v>38981</v>
      </c>
      <c r="N512" s="130">
        <v>0</v>
      </c>
      <c r="O512" s="130"/>
      <c r="P512" s="130"/>
      <c r="Q512" s="115">
        <v>38981</v>
      </c>
      <c r="R512" s="130">
        <v>0</v>
      </c>
      <c r="T512"/>
    </row>
    <row r="513" spans="9:20">
      <c r="I513" s="115">
        <v>38974</v>
      </c>
      <c r="J513" s="130">
        <v>9.6747039199999996E-2</v>
      </c>
      <c r="M513" s="115">
        <v>38974</v>
      </c>
      <c r="N513" s="130">
        <v>0</v>
      </c>
      <c r="O513" s="130"/>
      <c r="P513" s="130"/>
      <c r="Q513" s="115">
        <v>38974</v>
      </c>
      <c r="R513" s="130">
        <v>0</v>
      </c>
      <c r="T513"/>
    </row>
    <row r="514" spans="9:20">
      <c r="I514" s="115">
        <v>38967</v>
      </c>
      <c r="J514" s="130">
        <v>9.3316469700000002E-2</v>
      </c>
      <c r="M514" s="115">
        <v>38967</v>
      </c>
      <c r="N514" s="130">
        <v>0</v>
      </c>
      <c r="O514" s="130"/>
      <c r="P514" s="130"/>
      <c r="Q514" s="115">
        <v>38967</v>
      </c>
      <c r="R514" s="130">
        <v>0</v>
      </c>
      <c r="T514"/>
    </row>
    <row r="515" spans="9:20">
      <c r="I515" s="115">
        <v>38960</v>
      </c>
      <c r="J515" s="130">
        <v>9.9379069799999997E-2</v>
      </c>
      <c r="M515" s="115">
        <v>38960</v>
      </c>
      <c r="N515" s="130">
        <v>0</v>
      </c>
      <c r="O515" s="130"/>
      <c r="P515" s="130"/>
      <c r="Q515" s="115">
        <v>38960</v>
      </c>
      <c r="R515" s="130">
        <v>0</v>
      </c>
      <c r="T515"/>
    </row>
    <row r="516" spans="9:20">
      <c r="I516" s="115">
        <v>38953</v>
      </c>
      <c r="J516" s="130">
        <v>9.3252711799999999E-2</v>
      </c>
      <c r="M516" s="115">
        <v>38953</v>
      </c>
      <c r="N516" s="130">
        <v>0</v>
      </c>
      <c r="O516" s="130"/>
      <c r="P516" s="130"/>
      <c r="Q516" s="115">
        <v>38953</v>
      </c>
      <c r="R516" s="130">
        <v>0</v>
      </c>
      <c r="T516"/>
    </row>
    <row r="517" spans="9:20">
      <c r="I517" s="115">
        <v>38946</v>
      </c>
      <c r="J517" s="130">
        <v>9.19559021E-2</v>
      </c>
      <c r="M517" s="115">
        <v>38946</v>
      </c>
      <c r="N517" s="130">
        <v>0</v>
      </c>
      <c r="O517" s="130"/>
      <c r="P517" s="130"/>
      <c r="Q517" s="115">
        <v>38946</v>
      </c>
      <c r="R517" s="130">
        <v>0</v>
      </c>
      <c r="T517"/>
    </row>
    <row r="518" spans="9:20">
      <c r="I518" s="115">
        <v>38939</v>
      </c>
      <c r="J518" s="130">
        <v>8.5494321400000003E-2</v>
      </c>
      <c r="M518" s="115">
        <v>38939</v>
      </c>
      <c r="N518" s="130">
        <v>0</v>
      </c>
      <c r="O518" s="130"/>
      <c r="P518" s="130"/>
      <c r="Q518" s="115">
        <v>38939</v>
      </c>
      <c r="R518" s="130">
        <v>0</v>
      </c>
      <c r="T518"/>
    </row>
    <row r="519" spans="9:20">
      <c r="I519" s="115">
        <v>38932</v>
      </c>
      <c r="J519" s="130">
        <v>7.402909370000002E-2</v>
      </c>
      <c r="M519" s="115">
        <v>38932</v>
      </c>
      <c r="N519" s="130">
        <v>0</v>
      </c>
      <c r="O519" s="130"/>
      <c r="P519" s="130"/>
      <c r="Q519" s="115">
        <v>38932</v>
      </c>
      <c r="R519" s="130">
        <v>0</v>
      </c>
      <c r="T519"/>
    </row>
    <row r="520" spans="9:20">
      <c r="I520" s="115">
        <v>38925</v>
      </c>
      <c r="J520" s="130">
        <v>6.1944802100000002E-2</v>
      </c>
      <c r="M520" s="115">
        <v>38925</v>
      </c>
      <c r="N520" s="130">
        <v>0</v>
      </c>
      <c r="O520" s="130"/>
      <c r="P520" s="130"/>
      <c r="Q520" s="115">
        <v>38925</v>
      </c>
      <c r="R520" s="130">
        <v>0</v>
      </c>
      <c r="T520"/>
    </row>
    <row r="521" spans="9:20">
      <c r="I521" s="115">
        <v>38918</v>
      </c>
      <c r="J521" s="130">
        <v>4.8378456399999999E-2</v>
      </c>
      <c r="M521" s="115">
        <v>38918</v>
      </c>
      <c r="N521" s="130">
        <v>0</v>
      </c>
      <c r="O521" s="130"/>
      <c r="P521" s="130"/>
      <c r="Q521" s="115">
        <v>38918</v>
      </c>
      <c r="R521" s="130">
        <v>0</v>
      </c>
      <c r="T521"/>
    </row>
    <row r="522" spans="9:20">
      <c r="I522" s="115">
        <v>38911</v>
      </c>
      <c r="J522" s="130">
        <v>5.08857354E-2</v>
      </c>
      <c r="M522" s="115">
        <v>38911</v>
      </c>
      <c r="N522" s="130">
        <v>0</v>
      </c>
      <c r="O522" s="130"/>
      <c r="P522" s="130"/>
      <c r="Q522" s="115">
        <v>38911</v>
      </c>
      <c r="R522" s="130">
        <v>0</v>
      </c>
      <c r="T522"/>
    </row>
    <row r="523" spans="9:20">
      <c r="I523" s="115">
        <v>38904</v>
      </c>
      <c r="J523" s="130">
        <v>4.8959927700000003E-2</v>
      </c>
      <c r="M523" s="115">
        <v>38904</v>
      </c>
      <c r="N523" s="130">
        <v>0</v>
      </c>
      <c r="O523" s="130"/>
      <c r="P523" s="130"/>
      <c r="Q523" s="115">
        <v>38904</v>
      </c>
      <c r="R523" s="130">
        <v>0</v>
      </c>
      <c r="T523"/>
    </row>
    <row r="524" spans="9:20">
      <c r="I524" s="115">
        <v>38897</v>
      </c>
      <c r="J524" s="130">
        <v>5.0114513499999999E-2</v>
      </c>
      <c r="M524" s="115">
        <v>38897</v>
      </c>
      <c r="N524" s="130">
        <v>0</v>
      </c>
      <c r="O524" s="130"/>
      <c r="P524" s="130"/>
      <c r="Q524" s="115">
        <v>38897</v>
      </c>
      <c r="R524" s="130">
        <v>0</v>
      </c>
      <c r="T524"/>
    </row>
    <row r="525" spans="9:20">
      <c r="I525" s="115">
        <v>38890</v>
      </c>
      <c r="J525" s="130">
        <v>5.70834546E-2</v>
      </c>
      <c r="M525" s="115">
        <v>38890</v>
      </c>
      <c r="N525" s="130">
        <v>0</v>
      </c>
      <c r="O525" s="130"/>
      <c r="P525" s="130"/>
      <c r="Q525" s="115">
        <v>38890</v>
      </c>
      <c r="R525" s="130">
        <v>0</v>
      </c>
      <c r="T525"/>
    </row>
    <row r="526" spans="9:20">
      <c r="I526" s="115">
        <v>38883</v>
      </c>
      <c r="J526" s="130">
        <v>6.8617805800000001E-2</v>
      </c>
      <c r="M526" s="115">
        <v>38883</v>
      </c>
      <c r="N526" s="130">
        <v>0</v>
      </c>
      <c r="O526" s="130"/>
      <c r="P526" s="130"/>
      <c r="Q526" s="115">
        <v>38883</v>
      </c>
      <c r="R526" s="130">
        <v>0</v>
      </c>
      <c r="T526"/>
    </row>
    <row r="527" spans="9:20">
      <c r="I527" s="115">
        <v>38876</v>
      </c>
      <c r="J527" s="130">
        <v>6.9815977400000007E-2</v>
      </c>
      <c r="M527" s="115">
        <v>38876</v>
      </c>
      <c r="N527" s="130">
        <v>0</v>
      </c>
      <c r="O527" s="130"/>
      <c r="P527" s="130"/>
      <c r="Q527" s="115">
        <v>38876</v>
      </c>
      <c r="R527" s="130">
        <v>0</v>
      </c>
      <c r="T527"/>
    </row>
    <row r="528" spans="9:20">
      <c r="I528" s="115">
        <v>38869</v>
      </c>
      <c r="J528" s="130">
        <v>6.5767931599999996E-2</v>
      </c>
      <c r="M528" s="115">
        <v>38869</v>
      </c>
      <c r="N528" s="130">
        <v>0</v>
      </c>
      <c r="O528" s="130"/>
      <c r="P528" s="130"/>
      <c r="Q528" s="115">
        <v>38869</v>
      </c>
      <c r="R528" s="130">
        <v>0</v>
      </c>
      <c r="T528"/>
    </row>
    <row r="529" spans="9:20">
      <c r="I529" s="115">
        <v>38862</v>
      </c>
      <c r="J529" s="130">
        <v>7.31368986E-2</v>
      </c>
      <c r="M529" s="115">
        <v>38862</v>
      </c>
      <c r="N529" s="130">
        <v>0</v>
      </c>
      <c r="O529" s="130"/>
      <c r="P529" s="130"/>
      <c r="Q529" s="115">
        <v>38862</v>
      </c>
      <c r="R529" s="130">
        <v>0</v>
      </c>
      <c r="T529"/>
    </row>
    <row r="530" spans="9:20">
      <c r="I530" s="115">
        <v>38855</v>
      </c>
      <c r="J530" s="130">
        <v>7.2498761699999997E-2</v>
      </c>
      <c r="M530" s="115">
        <v>38855</v>
      </c>
      <c r="N530" s="130">
        <v>0</v>
      </c>
      <c r="O530" s="130"/>
      <c r="P530" s="130"/>
      <c r="Q530" s="115">
        <v>38855</v>
      </c>
      <c r="R530" s="130">
        <v>0</v>
      </c>
      <c r="T530"/>
    </row>
    <row r="531" spans="9:20">
      <c r="I531" s="115">
        <v>38848</v>
      </c>
      <c r="J531" s="130">
        <v>7.5903758799999999E-2</v>
      </c>
      <c r="M531" s="115">
        <v>38848</v>
      </c>
      <c r="N531" s="130">
        <v>0</v>
      </c>
      <c r="O531" s="130"/>
      <c r="P531" s="130"/>
      <c r="Q531" s="115">
        <v>38848</v>
      </c>
      <c r="R531" s="130">
        <v>0</v>
      </c>
      <c r="T531"/>
    </row>
    <row r="532" spans="9:20">
      <c r="I532" s="115">
        <v>38841</v>
      </c>
      <c r="J532" s="130">
        <v>7.1117783500000004E-2</v>
      </c>
      <c r="M532" s="115">
        <v>38841</v>
      </c>
      <c r="N532" s="130">
        <v>0</v>
      </c>
      <c r="O532" s="130"/>
      <c r="P532" s="130"/>
      <c r="Q532" s="115">
        <v>38841</v>
      </c>
      <c r="R532" s="130">
        <v>0</v>
      </c>
      <c r="T532"/>
    </row>
    <row r="533" spans="9:20">
      <c r="I533" s="115">
        <v>38834</v>
      </c>
      <c r="J533" s="130">
        <v>7.6669597000000006E-2</v>
      </c>
      <c r="M533" s="115">
        <v>38834</v>
      </c>
      <c r="N533" s="130">
        <v>0</v>
      </c>
      <c r="O533" s="130"/>
      <c r="P533" s="130"/>
      <c r="Q533" s="115">
        <v>38834</v>
      </c>
      <c r="R533" s="130">
        <v>0</v>
      </c>
      <c r="T533"/>
    </row>
    <row r="534" spans="9:20">
      <c r="I534" s="115">
        <v>38827</v>
      </c>
      <c r="J534" s="130">
        <v>8.3260287899999993E-2</v>
      </c>
      <c r="M534" s="115">
        <v>38827</v>
      </c>
      <c r="N534" s="130">
        <v>0</v>
      </c>
      <c r="O534" s="130"/>
      <c r="P534" s="130"/>
      <c r="Q534" s="115">
        <v>38827</v>
      </c>
      <c r="R534" s="130">
        <v>0</v>
      </c>
      <c r="T534"/>
    </row>
    <row r="535" spans="9:20">
      <c r="I535" s="115">
        <v>38820</v>
      </c>
      <c r="J535" s="130">
        <v>8.9686960199999999E-2</v>
      </c>
      <c r="M535" s="115">
        <v>38820</v>
      </c>
      <c r="N535" s="130">
        <v>0</v>
      </c>
      <c r="O535" s="130"/>
      <c r="P535" s="130"/>
      <c r="Q535" s="115">
        <v>38820</v>
      </c>
      <c r="R535" s="130">
        <v>0</v>
      </c>
      <c r="T535"/>
    </row>
    <row r="536" spans="9:20">
      <c r="I536" s="115">
        <v>38813</v>
      </c>
      <c r="J536" s="130">
        <v>9.6442501400000005E-2</v>
      </c>
      <c r="M536" s="115">
        <v>38813</v>
      </c>
      <c r="N536" s="130">
        <v>0</v>
      </c>
      <c r="O536" s="130"/>
      <c r="P536" s="130"/>
      <c r="Q536" s="115">
        <v>38813</v>
      </c>
      <c r="R536" s="130">
        <v>0</v>
      </c>
      <c r="T536"/>
    </row>
    <row r="537" spans="9:20">
      <c r="I537" s="115">
        <v>38806</v>
      </c>
      <c r="J537" s="130">
        <v>0.110747502</v>
      </c>
      <c r="M537" s="115">
        <v>38806</v>
      </c>
      <c r="N537" s="130">
        <v>0</v>
      </c>
      <c r="O537" s="130"/>
      <c r="P537" s="130"/>
      <c r="Q537" s="115">
        <v>38806</v>
      </c>
      <c r="R537" s="130">
        <v>0</v>
      </c>
      <c r="T537"/>
    </row>
    <row r="538" spans="9:20">
      <c r="I538" s="115">
        <v>38799</v>
      </c>
      <c r="J538" s="130">
        <v>0.11107351309999999</v>
      </c>
      <c r="M538" s="115">
        <v>38799</v>
      </c>
      <c r="N538" s="130">
        <v>0</v>
      </c>
      <c r="O538" s="130"/>
      <c r="P538" s="130"/>
      <c r="Q538" s="115">
        <v>38799</v>
      </c>
      <c r="R538" s="130">
        <v>0</v>
      </c>
      <c r="T538"/>
    </row>
    <row r="539" spans="9:20">
      <c r="I539" s="115">
        <v>38792</v>
      </c>
      <c r="J539" s="130">
        <v>0.1066169547</v>
      </c>
      <c r="M539" s="115">
        <v>38792</v>
      </c>
      <c r="N539" s="130">
        <v>0</v>
      </c>
      <c r="O539" s="130"/>
      <c r="P539" s="130"/>
      <c r="Q539" s="115">
        <v>38792</v>
      </c>
      <c r="R539" s="130">
        <v>0</v>
      </c>
      <c r="T539"/>
    </row>
    <row r="540" spans="9:20">
      <c r="I540" s="115">
        <v>38785</v>
      </c>
      <c r="J540" s="130">
        <v>0.1059598413</v>
      </c>
      <c r="M540" s="115">
        <v>38785</v>
      </c>
      <c r="N540" s="130">
        <v>0</v>
      </c>
      <c r="O540" s="130"/>
      <c r="P540" s="130"/>
      <c r="Q540" s="115">
        <v>38785</v>
      </c>
      <c r="R540" s="130">
        <v>0</v>
      </c>
      <c r="T540"/>
    </row>
    <row r="541" spans="9:20">
      <c r="I541" s="115">
        <v>38778</v>
      </c>
      <c r="J541" s="130">
        <v>0.12436064590000001</v>
      </c>
      <c r="M541" s="115">
        <v>38778</v>
      </c>
      <c r="N541" s="130">
        <v>0</v>
      </c>
      <c r="O541" s="130"/>
      <c r="P541" s="130"/>
      <c r="Q541" s="115">
        <v>38778</v>
      </c>
      <c r="R541" s="130">
        <v>3.2252353E-3</v>
      </c>
      <c r="T541"/>
    </row>
    <row r="542" spans="9:20">
      <c r="I542" s="115">
        <v>38771</v>
      </c>
      <c r="J542" s="130">
        <v>0.12276513120000002</v>
      </c>
      <c r="M542" s="115">
        <v>38771</v>
      </c>
      <c r="N542" s="130">
        <v>0</v>
      </c>
      <c r="O542" s="130"/>
      <c r="P542" s="130"/>
      <c r="Q542" s="115">
        <v>38771</v>
      </c>
      <c r="R542" s="130">
        <v>2.4864327E-3</v>
      </c>
      <c r="T542"/>
    </row>
    <row r="543" spans="9:20">
      <c r="I543" s="115">
        <v>38764</v>
      </c>
      <c r="J543" s="130">
        <v>0.1236927947</v>
      </c>
      <c r="M543" s="115">
        <v>38764</v>
      </c>
      <c r="N543" s="130">
        <v>0</v>
      </c>
      <c r="O543" s="130"/>
      <c r="P543" s="130"/>
      <c r="Q543" s="115">
        <v>38764</v>
      </c>
      <c r="R543" s="130">
        <v>3.0757698000000002E-3</v>
      </c>
      <c r="T543"/>
    </row>
    <row r="544" spans="9:20">
      <c r="I544" s="115">
        <v>38757</v>
      </c>
      <c r="J544" s="130">
        <v>0.12534653779999999</v>
      </c>
      <c r="M544" s="115">
        <v>38757</v>
      </c>
      <c r="N544" s="130">
        <v>0</v>
      </c>
      <c r="O544" s="130"/>
      <c r="P544" s="130"/>
      <c r="Q544" s="115">
        <v>38757</v>
      </c>
      <c r="R544" s="130">
        <v>3.1788412E-3</v>
      </c>
      <c r="T544"/>
    </row>
    <row r="545" spans="9:20">
      <c r="I545" s="115">
        <v>38750</v>
      </c>
      <c r="J545" s="130">
        <v>0.13139335050000001</v>
      </c>
      <c r="M545" s="115">
        <v>38750</v>
      </c>
      <c r="N545" s="130">
        <v>0</v>
      </c>
      <c r="O545" s="130"/>
      <c r="P545" s="130"/>
      <c r="Q545" s="115">
        <v>38750</v>
      </c>
      <c r="R545" s="130">
        <v>3.3538255000000001E-3</v>
      </c>
      <c r="T545"/>
    </row>
    <row r="546" spans="9:20">
      <c r="I546" s="115">
        <v>38743</v>
      </c>
      <c r="J546" s="130">
        <v>0.15837079970000001</v>
      </c>
      <c r="M546" s="115">
        <v>38743</v>
      </c>
      <c r="N546" s="130">
        <v>0</v>
      </c>
      <c r="O546" s="130"/>
      <c r="P546" s="130"/>
      <c r="Q546" s="115">
        <v>38743</v>
      </c>
      <c r="R546" s="130">
        <v>3.0193911999999998E-3</v>
      </c>
      <c r="T546"/>
    </row>
    <row r="547" spans="9:20">
      <c r="I547" s="115">
        <v>38736</v>
      </c>
      <c r="J547" s="130">
        <v>0.16057261079999999</v>
      </c>
      <c r="M547" s="115">
        <v>38736</v>
      </c>
      <c r="N547" s="130">
        <v>1.2146595E-3</v>
      </c>
      <c r="O547" s="130"/>
      <c r="P547" s="130"/>
      <c r="Q547" s="115">
        <v>38736</v>
      </c>
      <c r="R547" s="130">
        <v>4.1354883999999998E-3</v>
      </c>
      <c r="T547"/>
    </row>
    <row r="548" spans="9:20">
      <c r="I548" s="115">
        <v>38729</v>
      </c>
      <c r="J548" s="130">
        <v>0.14798519439999999</v>
      </c>
      <c r="M548" s="115">
        <v>38729</v>
      </c>
      <c r="N548" s="130">
        <v>1.0771388999999999E-3</v>
      </c>
      <c r="O548" s="130"/>
      <c r="P548" s="130"/>
      <c r="Q548" s="115">
        <v>38729</v>
      </c>
      <c r="R548" s="130">
        <v>2.5726061999999999E-3</v>
      </c>
      <c r="T548"/>
    </row>
    <row r="549" spans="9:20">
      <c r="I549" s="115">
        <v>38722</v>
      </c>
      <c r="J549" s="130">
        <v>0.13804479019999999</v>
      </c>
      <c r="M549" s="115">
        <v>38722</v>
      </c>
      <c r="N549" s="130">
        <v>1.014842E-3</v>
      </c>
      <c r="O549" s="130"/>
      <c r="P549" s="130"/>
      <c r="Q549" s="115">
        <v>38722</v>
      </c>
      <c r="R549" s="130">
        <v>2.4352301000000001E-3</v>
      </c>
      <c r="T549"/>
    </row>
    <row r="550" spans="9:20">
      <c r="I550" s="115">
        <v>38715</v>
      </c>
      <c r="J550" s="130">
        <v>0.14234017160000001</v>
      </c>
      <c r="M550" s="115">
        <v>38715</v>
      </c>
      <c r="N550" s="130">
        <v>0</v>
      </c>
      <c r="O550" s="130"/>
      <c r="P550" s="130"/>
      <c r="Q550" s="115">
        <v>38715</v>
      </c>
      <c r="R550" s="130">
        <v>1.4457293000000001E-3</v>
      </c>
      <c r="T550"/>
    </row>
    <row r="551" spans="9:20">
      <c r="I551" s="115">
        <v>38708</v>
      </c>
      <c r="J551" s="130">
        <v>0.1321761645</v>
      </c>
      <c r="M551" s="115">
        <v>38708</v>
      </c>
      <c r="N551" s="130">
        <v>0</v>
      </c>
      <c r="O551" s="130"/>
      <c r="P551" s="130"/>
      <c r="Q551" s="115">
        <v>38708</v>
      </c>
      <c r="R551" s="130">
        <v>1.2271807E-3</v>
      </c>
      <c r="T551"/>
    </row>
    <row r="552" spans="9:20">
      <c r="I552" s="115">
        <v>38701</v>
      </c>
      <c r="J552" s="130">
        <v>0.1288560517</v>
      </c>
      <c r="M552" s="115">
        <v>38701</v>
      </c>
      <c r="N552" s="130">
        <v>0</v>
      </c>
      <c r="O552" s="130"/>
      <c r="P552" s="130"/>
      <c r="Q552" s="115">
        <v>38701</v>
      </c>
      <c r="R552" s="130">
        <v>1.1909513999999999E-3</v>
      </c>
      <c r="T552"/>
    </row>
    <row r="553" spans="9:20">
      <c r="I553" s="115">
        <v>38694</v>
      </c>
      <c r="J553" s="130">
        <v>0.12031444250000001</v>
      </c>
      <c r="M553" s="115">
        <v>38694</v>
      </c>
      <c r="N553" s="130">
        <v>0</v>
      </c>
      <c r="O553" s="130"/>
      <c r="P553" s="130"/>
      <c r="Q553" s="115">
        <v>38694</v>
      </c>
      <c r="R553" s="130">
        <v>1.0592392000000001E-3</v>
      </c>
      <c r="T553"/>
    </row>
    <row r="554" spans="9:20">
      <c r="I554" s="115">
        <v>38687</v>
      </c>
      <c r="J554" s="130">
        <v>0.1352279314</v>
      </c>
      <c r="M554" s="115">
        <v>38687</v>
      </c>
      <c r="N554" s="130">
        <v>0</v>
      </c>
      <c r="O554" s="130"/>
      <c r="P554" s="130"/>
      <c r="Q554" s="115">
        <v>38687</v>
      </c>
      <c r="R554" s="130">
        <v>1.3179190999999999E-3</v>
      </c>
      <c r="T554"/>
    </row>
    <row r="555" spans="9:20">
      <c r="I555" s="115">
        <v>38679</v>
      </c>
      <c r="J555" s="130">
        <v>0.1333867124</v>
      </c>
      <c r="M555" s="115">
        <v>38679</v>
      </c>
      <c r="N555" s="130">
        <v>0</v>
      </c>
      <c r="O555" s="130"/>
      <c r="P555" s="130"/>
      <c r="Q555" s="115">
        <v>38679</v>
      </c>
      <c r="R555" s="130">
        <v>6.2874890000000003E-4</v>
      </c>
      <c r="T555"/>
    </row>
    <row r="556" spans="9:20">
      <c r="I556" s="115">
        <v>38673</v>
      </c>
      <c r="J556" s="130">
        <v>0.1206202536</v>
      </c>
      <c r="M556" s="115">
        <v>38673</v>
      </c>
      <c r="N556" s="130">
        <v>0</v>
      </c>
      <c r="O556" s="130"/>
      <c r="P556" s="130"/>
      <c r="Q556" s="115">
        <v>38673</v>
      </c>
      <c r="R556" s="130">
        <v>5.0575309999999999E-4</v>
      </c>
      <c r="T556"/>
    </row>
    <row r="557" spans="9:20">
      <c r="I557" s="115">
        <v>38666</v>
      </c>
      <c r="J557" s="130">
        <v>0.1245496391</v>
      </c>
      <c r="M557" s="115">
        <v>38666</v>
      </c>
      <c r="N557" s="130">
        <v>0</v>
      </c>
      <c r="O557" s="130"/>
      <c r="P557" s="130"/>
      <c r="Q557" s="115">
        <v>38666</v>
      </c>
      <c r="R557" s="130">
        <v>5.5423389999999999E-4</v>
      </c>
      <c r="T557"/>
    </row>
    <row r="558" spans="9:20">
      <c r="I558" s="115">
        <v>38659</v>
      </c>
      <c r="J558" s="130">
        <v>0.13188084050000001</v>
      </c>
      <c r="M558" s="115">
        <v>38659</v>
      </c>
      <c r="N558" s="130">
        <v>0</v>
      </c>
      <c r="O558" s="130"/>
      <c r="P558" s="130"/>
      <c r="Q558" s="115">
        <v>38659</v>
      </c>
      <c r="R558" s="130">
        <v>6.2579669999999999E-4</v>
      </c>
      <c r="T558"/>
    </row>
    <row r="559" spans="9:20">
      <c r="I559" s="115">
        <v>38652</v>
      </c>
      <c r="J559" s="130">
        <v>0.17421555510000003</v>
      </c>
      <c r="M559" s="115">
        <v>38652</v>
      </c>
      <c r="N559" s="130">
        <v>0</v>
      </c>
      <c r="O559" s="130"/>
      <c r="P559" s="130"/>
      <c r="Q559" s="115">
        <v>38652</v>
      </c>
      <c r="R559" s="130">
        <v>9.3794440000000005E-4</v>
      </c>
      <c r="T559"/>
    </row>
    <row r="560" spans="9:20">
      <c r="I560" s="115">
        <v>38645</v>
      </c>
      <c r="J560" s="130">
        <v>0.18289630770000004</v>
      </c>
      <c r="M560" s="115">
        <v>38645</v>
      </c>
      <c r="N560" s="130">
        <v>0</v>
      </c>
      <c r="O560" s="130"/>
      <c r="P560" s="130"/>
      <c r="Q560" s="115">
        <v>38645</v>
      </c>
      <c r="R560" s="130">
        <v>1.1589931999999999E-3</v>
      </c>
      <c r="T560"/>
    </row>
    <row r="561" spans="9:20">
      <c r="I561" s="115">
        <v>38638</v>
      </c>
      <c r="J561" s="130">
        <v>0.19220911260000001</v>
      </c>
      <c r="M561" s="115">
        <v>38638</v>
      </c>
      <c r="N561" s="130">
        <v>0</v>
      </c>
      <c r="O561" s="130"/>
      <c r="P561" s="130"/>
      <c r="Q561" s="115">
        <v>38638</v>
      </c>
      <c r="R561" s="130">
        <v>1.2341428E-3</v>
      </c>
      <c r="T561"/>
    </row>
    <row r="562" spans="9:20">
      <c r="I562" s="115">
        <v>38631</v>
      </c>
      <c r="J562" s="130">
        <v>0.21362242240000001</v>
      </c>
      <c r="M562" s="115">
        <v>38631</v>
      </c>
      <c r="N562" s="130">
        <v>0</v>
      </c>
      <c r="O562" s="130"/>
      <c r="P562" s="130"/>
      <c r="Q562" s="115">
        <v>38631</v>
      </c>
      <c r="R562" s="130">
        <v>1.4434145E-3</v>
      </c>
      <c r="T562"/>
    </row>
    <row r="563" spans="9:20">
      <c r="I563" s="115">
        <v>38624</v>
      </c>
      <c r="J563" s="130">
        <v>0.23963589490000001</v>
      </c>
      <c r="M563" s="115">
        <v>38624</v>
      </c>
      <c r="N563" s="130">
        <v>0</v>
      </c>
      <c r="O563" s="130"/>
      <c r="P563" s="130"/>
      <c r="Q563" s="115">
        <v>38624</v>
      </c>
      <c r="R563" s="130">
        <v>1.6896864000000001E-3</v>
      </c>
      <c r="T563"/>
    </row>
    <row r="564" spans="9:20">
      <c r="I564" s="115">
        <v>38617</v>
      </c>
      <c r="J564" s="130">
        <v>0.26209473420000001</v>
      </c>
      <c r="M564" s="115">
        <v>38617</v>
      </c>
      <c r="N564" s="130">
        <v>0</v>
      </c>
      <c r="O564" s="130"/>
      <c r="P564" s="130"/>
      <c r="Q564" s="115">
        <v>38617</v>
      </c>
      <c r="R564" s="130">
        <v>2.1398132E-3</v>
      </c>
      <c r="T564"/>
    </row>
    <row r="565" spans="9:20">
      <c r="I565" s="115">
        <v>38610</v>
      </c>
      <c r="J565" s="130">
        <v>0.28593316210000003</v>
      </c>
      <c r="M565" s="115">
        <v>38610</v>
      </c>
      <c r="N565" s="130">
        <v>0</v>
      </c>
      <c r="O565" s="130"/>
      <c r="P565" s="130"/>
      <c r="Q565" s="115">
        <v>38610</v>
      </c>
      <c r="R565" s="130">
        <v>1.5360494299999999E-2</v>
      </c>
      <c r="T565"/>
    </row>
    <row r="566" spans="9:20">
      <c r="I566" s="115">
        <v>38603</v>
      </c>
      <c r="J566" s="130">
        <v>0.29881249230000001</v>
      </c>
      <c r="M566" s="115">
        <v>38603</v>
      </c>
      <c r="N566" s="130">
        <v>0</v>
      </c>
      <c r="O566" s="130"/>
      <c r="P566" s="130"/>
      <c r="Q566" s="115">
        <v>38603</v>
      </c>
      <c r="R566" s="130">
        <v>1.6616783699999998E-2</v>
      </c>
      <c r="T566"/>
    </row>
    <row r="567" spans="9:20">
      <c r="I567" s="115">
        <v>38596</v>
      </c>
      <c r="J567" s="130">
        <v>0.29881249230000001</v>
      </c>
      <c r="M567" s="115">
        <v>38596</v>
      </c>
      <c r="N567" s="130">
        <v>0</v>
      </c>
      <c r="O567" s="130"/>
      <c r="P567" s="130"/>
      <c r="Q567" s="115">
        <v>38596</v>
      </c>
      <c r="R567" s="130">
        <v>1.8627229200000001E-2</v>
      </c>
      <c r="T567"/>
    </row>
    <row r="568" spans="9:20">
      <c r="I568" s="115">
        <v>38589</v>
      </c>
      <c r="J568" s="130">
        <v>0.29307864350000001</v>
      </c>
      <c r="M568" s="115">
        <v>38589</v>
      </c>
      <c r="N568" s="130">
        <v>0</v>
      </c>
      <c r="O568" s="130"/>
      <c r="P568" s="130"/>
      <c r="Q568" s="115">
        <v>38589</v>
      </c>
      <c r="R568" s="130">
        <v>1.28161818E-2</v>
      </c>
      <c r="T568"/>
    </row>
    <row r="569" spans="9:20">
      <c r="I569" s="115">
        <v>38582</v>
      </c>
      <c r="J569" s="130">
        <v>0.2843723688</v>
      </c>
      <c r="M569" s="115">
        <v>38582</v>
      </c>
      <c r="N569" s="130">
        <v>0</v>
      </c>
      <c r="O569" s="130"/>
      <c r="P569" s="130"/>
      <c r="Q569" s="115">
        <v>38582</v>
      </c>
      <c r="R569" s="130">
        <v>3.4125867999999998E-3</v>
      </c>
      <c r="T569"/>
    </row>
    <row r="570" spans="9:20">
      <c r="I570" s="115">
        <v>38575</v>
      </c>
      <c r="J570" s="130">
        <v>0.2498738385</v>
      </c>
      <c r="M570" s="115">
        <v>38575</v>
      </c>
      <c r="N570" s="130">
        <v>0</v>
      </c>
      <c r="O570" s="130"/>
      <c r="P570" s="130"/>
      <c r="Q570" s="115">
        <v>38575</v>
      </c>
      <c r="R570" s="130">
        <v>2.1464180000000002E-3</v>
      </c>
      <c r="T570"/>
    </row>
    <row r="571" spans="9:20">
      <c r="I571" s="115">
        <v>38568</v>
      </c>
      <c r="J571" s="130">
        <v>0.26546234740000002</v>
      </c>
      <c r="M571" s="115">
        <v>38568</v>
      </c>
      <c r="N571" s="130">
        <v>0</v>
      </c>
      <c r="O571" s="130"/>
      <c r="P571" s="130"/>
      <c r="Q571" s="115">
        <v>38568</v>
      </c>
      <c r="R571" s="130">
        <v>2.8460933000000002E-3</v>
      </c>
      <c r="T571"/>
    </row>
    <row r="572" spans="9:20">
      <c r="I572" s="115">
        <v>38561</v>
      </c>
      <c r="J572" s="130">
        <v>0.30082707809999998</v>
      </c>
      <c r="M572" s="115">
        <v>38561</v>
      </c>
      <c r="N572" s="130">
        <v>0</v>
      </c>
      <c r="O572" s="130"/>
      <c r="P572" s="130"/>
      <c r="Q572" s="115">
        <v>38561</v>
      </c>
      <c r="R572" s="130">
        <v>9.4380734000000001E-3</v>
      </c>
      <c r="T572"/>
    </row>
    <row r="573" spans="9:20">
      <c r="I573" s="115">
        <v>38554</v>
      </c>
      <c r="J573" s="130">
        <v>0.32741335690000001</v>
      </c>
      <c r="M573" s="115">
        <v>38554</v>
      </c>
      <c r="N573" s="130">
        <v>0</v>
      </c>
      <c r="O573" s="130"/>
      <c r="P573" s="130"/>
      <c r="Q573" s="115">
        <v>38554</v>
      </c>
      <c r="R573" s="130">
        <v>1.47665391E-2</v>
      </c>
      <c r="T573"/>
    </row>
    <row r="574" spans="9:20">
      <c r="I574" s="115">
        <v>38547</v>
      </c>
      <c r="J574" s="130">
        <v>0.34298111879999998</v>
      </c>
      <c r="M574" s="115">
        <v>38547</v>
      </c>
      <c r="N574" s="130">
        <v>0</v>
      </c>
      <c r="O574" s="130"/>
      <c r="P574" s="130"/>
      <c r="Q574" s="115">
        <v>38547</v>
      </c>
      <c r="R574" s="130">
        <v>6.0842687899999998E-2</v>
      </c>
      <c r="T574"/>
    </row>
    <row r="575" spans="9:20">
      <c r="I575" s="115">
        <v>38540</v>
      </c>
      <c r="J575" s="130">
        <v>0.37582338139999999</v>
      </c>
      <c r="M575" s="115">
        <v>38540</v>
      </c>
      <c r="N575" s="130">
        <v>0</v>
      </c>
      <c r="O575" s="130"/>
      <c r="P575" s="130"/>
      <c r="Q575" s="115">
        <v>38540</v>
      </c>
      <c r="R575" s="130">
        <v>6.7109508700000001E-2</v>
      </c>
      <c r="T575"/>
    </row>
    <row r="576" spans="9:20">
      <c r="I576" s="115">
        <v>38533</v>
      </c>
      <c r="J576" s="130">
        <v>0.4665640439</v>
      </c>
      <c r="M576" s="115">
        <v>38533</v>
      </c>
      <c r="N576" s="130">
        <v>8.1078899999999995E-2</v>
      </c>
      <c r="O576" s="130"/>
      <c r="P576" s="130"/>
      <c r="Q576" s="115">
        <v>38533</v>
      </c>
      <c r="R576" s="130">
        <v>0.15362853100000001</v>
      </c>
      <c r="T576"/>
    </row>
    <row r="577" spans="9:20">
      <c r="I577" s="115">
        <v>38526</v>
      </c>
      <c r="J577" s="130">
        <v>0.41940154769999999</v>
      </c>
      <c r="M577" s="115">
        <v>38526</v>
      </c>
      <c r="N577" s="130">
        <v>0</v>
      </c>
      <c r="O577" s="130"/>
      <c r="P577" s="130"/>
      <c r="Q577" s="115">
        <v>38526</v>
      </c>
      <c r="R577" s="130">
        <v>0.12778035239999999</v>
      </c>
      <c r="T577"/>
    </row>
    <row r="578" spans="9:20">
      <c r="I578" s="115">
        <v>38519</v>
      </c>
      <c r="J578" s="130">
        <v>0.3914238833</v>
      </c>
      <c r="M578" s="115">
        <v>38519</v>
      </c>
      <c r="N578" s="130">
        <v>0</v>
      </c>
      <c r="O578" s="130"/>
      <c r="P578" s="130"/>
      <c r="Q578" s="115">
        <v>38519</v>
      </c>
      <c r="R578" s="130">
        <v>0.1101683482</v>
      </c>
      <c r="T578"/>
    </row>
    <row r="579" spans="9:20">
      <c r="I579" s="115">
        <v>38512</v>
      </c>
      <c r="J579" s="130">
        <v>0.42510961060000002</v>
      </c>
      <c r="M579" s="115">
        <v>38512</v>
      </c>
      <c r="N579" s="130">
        <v>7.2465056299999997E-2</v>
      </c>
      <c r="O579" s="130"/>
      <c r="P579" s="130"/>
      <c r="Q579" s="115">
        <v>38512</v>
      </c>
      <c r="R579" s="130">
        <v>0.13297148510000001</v>
      </c>
      <c r="T579"/>
    </row>
    <row r="580" spans="9:20">
      <c r="I580" s="115">
        <v>38505</v>
      </c>
      <c r="J580" s="130">
        <v>0.38180171340000002</v>
      </c>
      <c r="M580" s="115">
        <v>38505</v>
      </c>
      <c r="N580" s="130">
        <v>6.8301179E-3</v>
      </c>
      <c r="O580" s="130"/>
      <c r="P580" s="130"/>
      <c r="Q580" s="115">
        <v>38505</v>
      </c>
      <c r="R580" s="130">
        <v>0.1054600888</v>
      </c>
      <c r="T580"/>
    </row>
    <row r="581" spans="9:20">
      <c r="I581" s="115">
        <v>38498</v>
      </c>
      <c r="J581" s="130">
        <v>0.36934099300000001</v>
      </c>
      <c r="M581" s="115">
        <v>38498</v>
      </c>
      <c r="N581" s="130">
        <v>3.3247204999999999E-3</v>
      </c>
      <c r="O581" s="130"/>
      <c r="P581" s="130"/>
      <c r="Q581" s="115">
        <v>38498</v>
      </c>
      <c r="R581" s="130">
        <v>9.1574159299999999E-2</v>
      </c>
      <c r="T581"/>
    </row>
    <row r="582" spans="9:20">
      <c r="I582" s="115">
        <v>38491</v>
      </c>
      <c r="J582" s="130">
        <v>0.31869332290000002</v>
      </c>
      <c r="M582" s="115">
        <v>38491</v>
      </c>
      <c r="N582" s="130">
        <v>2.9710164000000001E-3</v>
      </c>
      <c r="O582" s="130"/>
      <c r="P582" s="130"/>
      <c r="Q582" s="115">
        <v>38491</v>
      </c>
      <c r="R582" s="130">
        <v>1.49275402E-2</v>
      </c>
      <c r="T582"/>
    </row>
    <row r="583" spans="9:20">
      <c r="I583" s="115">
        <v>38484</v>
      </c>
      <c r="J583" s="130">
        <v>0.31736804909999999</v>
      </c>
      <c r="M583" s="115">
        <v>38484</v>
      </c>
      <c r="N583" s="130">
        <v>2.9476971E-3</v>
      </c>
      <c r="O583" s="130"/>
      <c r="P583" s="130"/>
      <c r="Q583" s="115">
        <v>38484</v>
      </c>
      <c r="R583" s="130">
        <v>1.1452649400000001E-2</v>
      </c>
      <c r="T583"/>
    </row>
    <row r="584" spans="9:20">
      <c r="I584" s="115">
        <v>38477</v>
      </c>
      <c r="J584" s="130">
        <v>0.31547321340000001</v>
      </c>
      <c r="M584" s="115">
        <v>38477</v>
      </c>
      <c r="N584" s="130">
        <v>2.9434928000000001E-3</v>
      </c>
      <c r="O584" s="130"/>
      <c r="P584" s="130"/>
      <c r="Q584" s="115">
        <v>38477</v>
      </c>
      <c r="R584" s="130">
        <v>9.3634271999999998E-3</v>
      </c>
      <c r="T584"/>
    </row>
    <row r="585" spans="9:20">
      <c r="I585" s="115">
        <v>38470</v>
      </c>
      <c r="J585" s="130">
        <v>0.3092197451</v>
      </c>
      <c r="M585" s="115">
        <v>38470</v>
      </c>
      <c r="N585" s="130">
        <v>0</v>
      </c>
      <c r="O585" s="130"/>
      <c r="P585" s="130"/>
      <c r="Q585" s="115">
        <v>38470</v>
      </c>
      <c r="R585" s="130">
        <v>5.9516515000000002E-3</v>
      </c>
      <c r="T585"/>
    </row>
    <row r="586" spans="9:20">
      <c r="I586" s="115">
        <v>38463</v>
      </c>
      <c r="J586" s="130">
        <v>0.31227825549999999</v>
      </c>
      <c r="M586" s="115">
        <v>38463</v>
      </c>
      <c r="N586" s="130">
        <v>0</v>
      </c>
      <c r="O586" s="130"/>
      <c r="P586" s="130"/>
      <c r="Q586" s="115">
        <v>38463</v>
      </c>
      <c r="R586" s="130">
        <v>6.0775780999999997E-3</v>
      </c>
      <c r="T586"/>
    </row>
    <row r="587" spans="9:20">
      <c r="I587" s="115">
        <v>38456</v>
      </c>
      <c r="J587" s="130">
        <v>0.2574696038</v>
      </c>
      <c r="M587" s="115">
        <v>38456</v>
      </c>
      <c r="N587" s="130">
        <v>0</v>
      </c>
      <c r="O587" s="130"/>
      <c r="P587" s="130"/>
      <c r="Q587" s="115">
        <v>38456</v>
      </c>
      <c r="R587" s="130">
        <v>2.7126348000000001E-3</v>
      </c>
      <c r="T587"/>
    </row>
    <row r="588" spans="9:20">
      <c r="I588" s="115">
        <v>38449</v>
      </c>
      <c r="J588" s="130">
        <v>0.25428409120000001</v>
      </c>
      <c r="M588" s="115">
        <v>38449</v>
      </c>
      <c r="N588" s="130">
        <v>0</v>
      </c>
      <c r="O588" s="130"/>
      <c r="P588" s="130"/>
      <c r="Q588" s="115">
        <v>38449</v>
      </c>
      <c r="R588" s="130">
        <v>2.7012874999999999E-3</v>
      </c>
      <c r="T588"/>
    </row>
    <row r="589" spans="9:20">
      <c r="I589" s="115">
        <v>38442</v>
      </c>
      <c r="J589" s="130">
        <v>0.23253401439999999</v>
      </c>
      <c r="M589" s="115">
        <v>38442</v>
      </c>
      <c r="N589" s="130">
        <v>0</v>
      </c>
      <c r="O589" s="130"/>
      <c r="P589" s="130"/>
      <c r="Q589" s="115">
        <v>38442</v>
      </c>
      <c r="R589" s="130">
        <v>1.1205776E-3</v>
      </c>
      <c r="T589"/>
    </row>
    <row r="590" spans="9:20">
      <c r="I590" s="115">
        <v>38435</v>
      </c>
      <c r="J590" s="130">
        <v>0.23825763150000001</v>
      </c>
      <c r="M590" s="115">
        <v>38435</v>
      </c>
      <c r="N590" s="130">
        <v>0</v>
      </c>
      <c r="O590" s="130"/>
      <c r="P590" s="130"/>
      <c r="Q590" s="115">
        <v>38435</v>
      </c>
      <c r="R590" s="130">
        <v>1.1734255E-3</v>
      </c>
      <c r="T590"/>
    </row>
    <row r="591" spans="9:20">
      <c r="I591" s="115">
        <v>38428</v>
      </c>
      <c r="J591" s="130">
        <v>0.2553567129</v>
      </c>
      <c r="M591" s="115">
        <v>38428</v>
      </c>
      <c r="N591" s="130">
        <v>0</v>
      </c>
      <c r="O591" s="130"/>
      <c r="P591" s="130"/>
      <c r="Q591" s="115">
        <v>38428</v>
      </c>
      <c r="R591" s="130">
        <v>1.3264786000000001E-3</v>
      </c>
      <c r="T591"/>
    </row>
    <row r="592" spans="9:20">
      <c r="I592" s="115">
        <v>38421</v>
      </c>
      <c r="J592" s="130">
        <v>0.28757110359999999</v>
      </c>
      <c r="M592" s="115">
        <v>38421</v>
      </c>
      <c r="N592" s="130">
        <v>0</v>
      </c>
      <c r="O592" s="130"/>
      <c r="P592" s="130"/>
      <c r="Q592" s="115">
        <v>38421</v>
      </c>
      <c r="R592" s="130">
        <v>1.4943553E-3</v>
      </c>
      <c r="T592"/>
    </row>
    <row r="593" spans="9:20">
      <c r="I593" s="115">
        <v>38414</v>
      </c>
      <c r="J593" s="130">
        <v>0.29909727190000002</v>
      </c>
      <c r="M593" s="115">
        <v>38414</v>
      </c>
      <c r="N593" s="130">
        <v>0</v>
      </c>
      <c r="O593" s="130"/>
      <c r="P593" s="130"/>
      <c r="Q593" s="115">
        <v>38414</v>
      </c>
      <c r="R593" s="130">
        <v>1.5480794000000001E-3</v>
      </c>
      <c r="T593"/>
    </row>
    <row r="594" spans="9:20">
      <c r="I594" s="115">
        <v>38407</v>
      </c>
      <c r="J594" s="130">
        <v>0.34986261239999999</v>
      </c>
      <c r="M594" s="115">
        <v>38407</v>
      </c>
      <c r="N594" s="130">
        <v>0</v>
      </c>
      <c r="O594" s="130"/>
      <c r="P594" s="130"/>
      <c r="Q594" s="115">
        <v>38407</v>
      </c>
      <c r="R594" s="130">
        <v>4.3441112499999997E-2</v>
      </c>
      <c r="T594"/>
    </row>
    <row r="595" spans="9:20">
      <c r="I595" s="115">
        <v>38400</v>
      </c>
      <c r="J595" s="130">
        <v>0.39336823799999998</v>
      </c>
      <c r="M595" s="115">
        <v>38400</v>
      </c>
      <c r="N595" s="130">
        <v>0</v>
      </c>
      <c r="O595" s="130"/>
      <c r="P595" s="130"/>
      <c r="Q595" s="115">
        <v>38400</v>
      </c>
      <c r="R595" s="130">
        <v>9.2928798199999996E-2</v>
      </c>
      <c r="T595"/>
    </row>
    <row r="596" spans="9:20">
      <c r="I596" s="115">
        <v>38393</v>
      </c>
      <c r="J596" s="130">
        <v>0.40968346369999997</v>
      </c>
      <c r="M596" s="115">
        <v>38393</v>
      </c>
      <c r="N596" s="130">
        <v>5.1769321100000001E-2</v>
      </c>
      <c r="O596" s="130"/>
      <c r="P596" s="130"/>
      <c r="Q596" s="115">
        <v>38393</v>
      </c>
      <c r="R596" s="130">
        <v>9.6711548699999997E-2</v>
      </c>
      <c r="T596"/>
    </row>
    <row r="597" spans="9:20">
      <c r="I597" s="115">
        <v>38386</v>
      </c>
      <c r="J597" s="130">
        <v>0.38747195719999999</v>
      </c>
      <c r="M597" s="115">
        <v>38386</v>
      </c>
      <c r="N597" s="130">
        <v>4.9613075800000003E-2</v>
      </c>
      <c r="O597" s="130"/>
      <c r="P597" s="130"/>
      <c r="Q597" s="115">
        <v>38386</v>
      </c>
      <c r="R597" s="130">
        <v>9.0240947899999993E-2</v>
      </c>
      <c r="T597"/>
    </row>
    <row r="598" spans="9:20">
      <c r="I598" s="115">
        <v>38379</v>
      </c>
      <c r="J598" s="130">
        <v>0.39258303379999998</v>
      </c>
      <c r="M598" s="115">
        <v>38379</v>
      </c>
      <c r="N598" s="130">
        <v>4.7247003799999999E-2</v>
      </c>
      <c r="O598" s="130"/>
      <c r="P598" s="130"/>
      <c r="Q598" s="115">
        <v>38379</v>
      </c>
      <c r="R598" s="130">
        <v>8.8952956700000002E-2</v>
      </c>
      <c r="T598"/>
    </row>
    <row r="599" spans="9:20">
      <c r="I599" s="115">
        <v>38372</v>
      </c>
      <c r="J599" s="130">
        <v>0.36864845480000002</v>
      </c>
      <c r="M599" s="115">
        <v>38372</v>
      </c>
      <c r="N599" s="130">
        <v>0</v>
      </c>
      <c r="O599" s="130"/>
      <c r="P599" s="130"/>
      <c r="Q599" s="115">
        <v>38372</v>
      </c>
      <c r="R599" s="130">
        <v>7.6657435400000001E-2</v>
      </c>
      <c r="T599"/>
    </row>
    <row r="600" spans="9:20">
      <c r="I600" s="115">
        <v>38365</v>
      </c>
      <c r="J600" s="130">
        <v>0.35095540139999998</v>
      </c>
      <c r="M600" s="115">
        <v>38365</v>
      </c>
      <c r="N600" s="130">
        <v>0</v>
      </c>
      <c r="O600" s="130"/>
      <c r="P600" s="130"/>
      <c r="Q600" s="115">
        <v>38365</v>
      </c>
      <c r="R600" s="130">
        <v>3.99722463E-2</v>
      </c>
      <c r="T600"/>
    </row>
    <row r="601" spans="9:20">
      <c r="I601" s="115">
        <v>38358</v>
      </c>
      <c r="J601" s="130">
        <v>0.32302919009999997</v>
      </c>
      <c r="M601" s="115">
        <v>38358</v>
      </c>
      <c r="N601" s="130">
        <v>0</v>
      </c>
      <c r="O601" s="130"/>
      <c r="P601" s="130"/>
      <c r="Q601" s="115">
        <v>38358</v>
      </c>
      <c r="R601" s="130">
        <v>2.5914884199999998E-2</v>
      </c>
      <c r="T601"/>
    </row>
    <row r="602" spans="9:20">
      <c r="I602" s="115">
        <v>38350</v>
      </c>
      <c r="J602" s="130">
        <v>0.32647480779999999</v>
      </c>
      <c r="M602" s="115">
        <v>38350</v>
      </c>
      <c r="N602" s="130">
        <v>0</v>
      </c>
      <c r="O602" s="130"/>
      <c r="P602" s="130"/>
      <c r="Q602" s="115">
        <v>38350</v>
      </c>
      <c r="R602" s="130">
        <v>2.5527064000000002E-3</v>
      </c>
      <c r="T602"/>
    </row>
    <row r="603" spans="9:20">
      <c r="I603" s="115">
        <v>38343</v>
      </c>
      <c r="J603" s="130">
        <v>0.35553376069999998</v>
      </c>
      <c r="M603" s="115">
        <v>38343</v>
      </c>
      <c r="N603" s="130">
        <v>0</v>
      </c>
      <c r="O603" s="130"/>
      <c r="P603" s="130"/>
      <c r="Q603" s="115">
        <v>38343</v>
      </c>
      <c r="R603" s="130">
        <v>3.5155141799999998E-2</v>
      </c>
      <c r="T603"/>
    </row>
    <row r="604" spans="9:20">
      <c r="I604" s="115">
        <v>38337</v>
      </c>
      <c r="J604" s="130">
        <v>0.38280018929999998</v>
      </c>
      <c r="M604" s="115">
        <v>38337</v>
      </c>
      <c r="N604" s="130">
        <v>0</v>
      </c>
      <c r="O604" s="130"/>
      <c r="P604" s="130"/>
      <c r="Q604" s="115">
        <v>38337</v>
      </c>
      <c r="R604" s="130">
        <v>7.7753614600000021E-2</v>
      </c>
      <c r="T604"/>
    </row>
    <row r="605" spans="9:20">
      <c r="I605" s="115">
        <v>38330</v>
      </c>
      <c r="J605" s="130">
        <v>0.36052006860000002</v>
      </c>
      <c r="M605" s="115">
        <v>38330</v>
      </c>
      <c r="N605" s="130">
        <v>0</v>
      </c>
      <c r="O605" s="130"/>
      <c r="P605" s="130"/>
      <c r="Q605" s="115">
        <v>38330</v>
      </c>
      <c r="R605" s="130">
        <v>4.10771672E-2</v>
      </c>
      <c r="T605"/>
    </row>
    <row r="606" spans="9:20">
      <c r="I606" s="115">
        <v>38323</v>
      </c>
      <c r="J606" s="130">
        <v>0.32647480779999999</v>
      </c>
      <c r="M606" s="115">
        <v>38323</v>
      </c>
      <c r="N606" s="130">
        <v>0</v>
      </c>
      <c r="O606" s="130"/>
      <c r="P606" s="130"/>
      <c r="Q606" s="115">
        <v>38323</v>
      </c>
      <c r="R606" s="130">
        <v>2.4997611499999999E-2</v>
      </c>
      <c r="T606"/>
    </row>
    <row r="607" spans="9:20">
      <c r="I607" s="115">
        <v>38315</v>
      </c>
      <c r="J607" s="130">
        <v>0.37437351949999997</v>
      </c>
      <c r="M607" s="115">
        <v>38315</v>
      </c>
      <c r="N607" s="130">
        <v>0</v>
      </c>
      <c r="O607" s="130"/>
      <c r="P607" s="130"/>
      <c r="Q607" s="115">
        <v>38315</v>
      </c>
      <c r="R607" s="130">
        <v>3.9532698599999999E-2</v>
      </c>
      <c r="T607"/>
    </row>
    <row r="608" spans="9:20">
      <c r="I608" s="115">
        <v>38309</v>
      </c>
      <c r="J608" s="130">
        <v>0.36819318420000002</v>
      </c>
      <c r="M608" s="115">
        <v>38309</v>
      </c>
      <c r="N608" s="130">
        <v>0</v>
      </c>
      <c r="O608" s="130"/>
      <c r="P608" s="130"/>
      <c r="Q608" s="115">
        <v>38309</v>
      </c>
      <c r="R608" s="130">
        <v>3.8306615299999999E-2</v>
      </c>
      <c r="T608"/>
    </row>
    <row r="609" spans="9:20">
      <c r="I609" s="115">
        <v>38302</v>
      </c>
      <c r="J609" s="130">
        <v>0.34878684609999999</v>
      </c>
      <c r="M609" s="115">
        <v>38302</v>
      </c>
      <c r="N609" s="130">
        <v>0</v>
      </c>
      <c r="O609" s="130"/>
      <c r="P609" s="130"/>
      <c r="Q609" s="115">
        <v>38302</v>
      </c>
      <c r="R609" s="130">
        <v>3.0316814599999999E-2</v>
      </c>
      <c r="T609"/>
    </row>
    <row r="610" spans="9:20">
      <c r="I610" s="115">
        <v>38295</v>
      </c>
      <c r="J610" s="130">
        <v>0.38368547980000001</v>
      </c>
      <c r="M610" s="115">
        <v>38295</v>
      </c>
      <c r="N610" s="130">
        <v>0</v>
      </c>
      <c r="O610" s="130"/>
      <c r="P610" s="130"/>
      <c r="Q610" s="115">
        <v>38295</v>
      </c>
      <c r="R610" s="130">
        <v>7.3164580000000007E-2</v>
      </c>
      <c r="T610"/>
    </row>
    <row r="611" spans="9:20">
      <c r="I611" s="115">
        <v>38288</v>
      </c>
      <c r="J611" s="130">
        <v>0.39992271070000002</v>
      </c>
      <c r="M611" s="115">
        <v>38288</v>
      </c>
      <c r="N611" s="130">
        <v>2.86399549E-2</v>
      </c>
      <c r="O611" s="130"/>
      <c r="P611" s="130"/>
      <c r="Q611" s="115">
        <v>38288</v>
      </c>
      <c r="R611" s="130">
        <v>7.2373428700000006E-2</v>
      </c>
      <c r="T611"/>
    </row>
    <row r="612" spans="9:20">
      <c r="I612" s="115">
        <v>38281</v>
      </c>
      <c r="J612" s="130">
        <v>0.38128505489999998</v>
      </c>
      <c r="M612" s="115">
        <v>38281</v>
      </c>
      <c r="N612" s="130">
        <v>2.7496739100000001E-2</v>
      </c>
      <c r="O612" s="130"/>
      <c r="P612" s="130"/>
      <c r="Q612" s="115">
        <v>38281</v>
      </c>
      <c r="R612" s="130">
        <v>6.3904905600000006E-2</v>
      </c>
      <c r="T612"/>
    </row>
    <row r="613" spans="9:20">
      <c r="I613" s="115">
        <v>38274</v>
      </c>
      <c r="J613" s="130">
        <v>0.371376178</v>
      </c>
      <c r="M613" s="115">
        <v>38274</v>
      </c>
      <c r="N613" s="130">
        <v>0</v>
      </c>
      <c r="O613" s="130"/>
      <c r="P613" s="130"/>
      <c r="Q613" s="115">
        <v>38274</v>
      </c>
      <c r="R613" s="130">
        <v>3.3435248399999999E-2</v>
      </c>
      <c r="T613"/>
    </row>
    <row r="614" spans="9:20">
      <c r="I614" s="115">
        <v>38267</v>
      </c>
      <c r="J614" s="130">
        <v>0.33980564749999997</v>
      </c>
      <c r="M614" s="115">
        <v>38267</v>
      </c>
      <c r="N614" s="130">
        <v>0</v>
      </c>
      <c r="O614" s="130"/>
      <c r="P614" s="130"/>
      <c r="Q614" s="115">
        <v>38267</v>
      </c>
      <c r="R614" s="130">
        <v>1.9969755799999999E-2</v>
      </c>
      <c r="T614"/>
    </row>
    <row r="615" spans="9:20">
      <c r="I615" s="115">
        <v>38260</v>
      </c>
      <c r="J615" s="130">
        <v>0.38012835589999999</v>
      </c>
      <c r="M615" s="115">
        <v>38260</v>
      </c>
      <c r="N615" s="130">
        <v>1.66494264E-2</v>
      </c>
      <c r="O615" s="130"/>
      <c r="P615" s="130"/>
      <c r="Q615" s="115">
        <v>38260</v>
      </c>
      <c r="R615" s="130">
        <v>5.3235892600000001E-2</v>
      </c>
      <c r="T615"/>
    </row>
    <row r="616" spans="9:20">
      <c r="I616" s="115">
        <v>38253</v>
      </c>
      <c r="J616" s="130">
        <v>0.37631626439999999</v>
      </c>
      <c r="M616" s="115">
        <v>38253</v>
      </c>
      <c r="N616" s="130">
        <v>1.6621359799999999E-2</v>
      </c>
      <c r="O616" s="130"/>
      <c r="P616" s="130"/>
      <c r="Q616" s="115">
        <v>38253</v>
      </c>
      <c r="R616" s="130">
        <v>5.27935847E-2</v>
      </c>
      <c r="T616"/>
    </row>
    <row r="617" spans="9:20">
      <c r="I617" s="115">
        <v>38246</v>
      </c>
      <c r="J617" s="130">
        <v>0.3486507197</v>
      </c>
      <c r="M617" s="115">
        <v>38246</v>
      </c>
      <c r="N617" s="130">
        <v>1.03829773E-2</v>
      </c>
      <c r="O617" s="130"/>
      <c r="P617" s="130"/>
      <c r="Q617" s="115">
        <v>38246</v>
      </c>
      <c r="R617" s="130">
        <v>2.8789640599999999E-2</v>
      </c>
      <c r="T617"/>
    </row>
    <row r="618" spans="9:20">
      <c r="I618" s="115">
        <v>38239</v>
      </c>
      <c r="J618" s="130">
        <v>0.32014595350000002</v>
      </c>
      <c r="M618" s="115">
        <v>38239</v>
      </c>
      <c r="N618" s="130">
        <v>0</v>
      </c>
      <c r="O618" s="130"/>
      <c r="P618" s="130"/>
      <c r="Q618" s="115">
        <v>38239</v>
      </c>
      <c r="R618" s="130">
        <v>1.09140468E-2</v>
      </c>
      <c r="T618"/>
    </row>
    <row r="619" spans="9:20">
      <c r="I619" s="115">
        <v>38232</v>
      </c>
      <c r="J619" s="130">
        <v>0.3436178164</v>
      </c>
      <c r="M619" s="115">
        <v>38232</v>
      </c>
      <c r="N619" s="130">
        <v>9.7957363999999995E-3</v>
      </c>
      <c r="O619" s="130"/>
      <c r="P619" s="130"/>
      <c r="Q619" s="115">
        <v>38232</v>
      </c>
      <c r="R619" s="130">
        <v>1.4974635599999999E-2</v>
      </c>
      <c r="T619"/>
    </row>
    <row r="620" spans="9:20">
      <c r="I620" s="115">
        <v>38225</v>
      </c>
      <c r="J620" s="130">
        <v>0.33625345359999997</v>
      </c>
      <c r="M620" s="115">
        <v>38225</v>
      </c>
      <c r="N620" s="130">
        <v>0</v>
      </c>
      <c r="O620" s="130"/>
      <c r="P620" s="130"/>
      <c r="Q620" s="115">
        <v>38225</v>
      </c>
      <c r="R620" s="130">
        <v>9.7534049000000001E-3</v>
      </c>
      <c r="T620"/>
    </row>
    <row r="621" spans="9:20">
      <c r="I621" s="115">
        <v>38218</v>
      </c>
      <c r="J621" s="130">
        <v>0.34259344330000002</v>
      </c>
      <c r="M621" s="115">
        <v>38218</v>
      </c>
      <c r="N621" s="130">
        <v>4.6552010000000003E-3</v>
      </c>
      <c r="O621" s="130"/>
      <c r="P621" s="130"/>
      <c r="Q621" s="115">
        <v>38218</v>
      </c>
      <c r="R621" s="130">
        <v>9.8949156E-3</v>
      </c>
      <c r="T621"/>
    </row>
    <row r="622" spans="9:20">
      <c r="I622" s="115">
        <v>38211</v>
      </c>
      <c r="J622" s="130">
        <v>0.33482002150000001</v>
      </c>
      <c r="M622" s="115">
        <v>38211</v>
      </c>
      <c r="N622" s="130">
        <v>4.5846486000000004E-3</v>
      </c>
      <c r="O622" s="130"/>
      <c r="P622" s="130"/>
      <c r="Q622" s="115">
        <v>38211</v>
      </c>
      <c r="R622" s="130">
        <v>9.6837195999999997E-3</v>
      </c>
      <c r="T622"/>
    </row>
    <row r="623" spans="9:20">
      <c r="I623" s="115">
        <v>38204</v>
      </c>
      <c r="J623" s="130">
        <v>0.2962323691</v>
      </c>
      <c r="M623" s="115">
        <v>38204</v>
      </c>
      <c r="N623" s="130">
        <v>0</v>
      </c>
      <c r="O623" s="130"/>
      <c r="P623" s="130"/>
      <c r="Q623" s="115">
        <v>38204</v>
      </c>
      <c r="R623" s="130">
        <v>6.0070660000000001E-3</v>
      </c>
      <c r="T623"/>
    </row>
    <row r="624" spans="9:20">
      <c r="I624" s="115">
        <v>38197</v>
      </c>
      <c r="J624" s="130">
        <v>0.29576975770000002</v>
      </c>
      <c r="M624" s="115">
        <v>38197</v>
      </c>
      <c r="N624" s="130">
        <v>0</v>
      </c>
      <c r="O624" s="130"/>
      <c r="P624" s="130"/>
      <c r="Q624" s="115">
        <v>38197</v>
      </c>
      <c r="R624" s="130">
        <v>3.8464889000000002E-3</v>
      </c>
      <c r="T624"/>
    </row>
    <row r="625" spans="9:20">
      <c r="I625" s="115">
        <v>38190</v>
      </c>
      <c r="J625" s="130">
        <v>0.31751130239999997</v>
      </c>
      <c r="M625" s="115">
        <v>38190</v>
      </c>
      <c r="N625" s="130">
        <v>1.6543496E-3</v>
      </c>
      <c r="O625" s="130"/>
      <c r="P625" s="130"/>
      <c r="Q625" s="115">
        <v>38190</v>
      </c>
      <c r="R625" s="130">
        <v>5.785676E-3</v>
      </c>
      <c r="T625"/>
    </row>
    <row r="626" spans="9:20">
      <c r="I626" s="115">
        <v>38183</v>
      </c>
      <c r="J626" s="130">
        <v>0.31389501790000002</v>
      </c>
      <c r="M626" s="115">
        <v>38183</v>
      </c>
      <c r="N626" s="130">
        <v>1.5633747E-3</v>
      </c>
      <c r="O626" s="130"/>
      <c r="P626" s="130"/>
      <c r="Q626" s="115">
        <v>38183</v>
      </c>
      <c r="R626" s="130">
        <v>5.514896E-3</v>
      </c>
      <c r="T626"/>
    </row>
    <row r="627" spans="9:20">
      <c r="I627" s="115">
        <v>38176</v>
      </c>
      <c r="J627" s="130">
        <v>0.31243110800000001</v>
      </c>
      <c r="M627" s="115">
        <v>38176</v>
      </c>
      <c r="N627" s="130">
        <v>1.5633747E-3</v>
      </c>
      <c r="O627" s="130"/>
      <c r="P627" s="130"/>
      <c r="Q627" s="115">
        <v>38176</v>
      </c>
      <c r="R627" s="130">
        <v>5.4482300000000001E-3</v>
      </c>
      <c r="T627"/>
    </row>
    <row r="628" spans="9:20">
      <c r="I628" s="115">
        <v>38169</v>
      </c>
      <c r="J628" s="130">
        <v>0.26116458619999999</v>
      </c>
      <c r="M628" s="115">
        <v>38169</v>
      </c>
      <c r="N628" s="130">
        <v>0</v>
      </c>
      <c r="O628" s="130"/>
      <c r="P628" s="130"/>
      <c r="Q628" s="115">
        <v>38169</v>
      </c>
      <c r="R628" s="130">
        <v>2.9042554999999999E-3</v>
      </c>
      <c r="T628"/>
    </row>
    <row r="629" spans="9:20">
      <c r="I629" s="115">
        <v>38162</v>
      </c>
      <c r="J629" s="130">
        <v>0.26337762250000002</v>
      </c>
      <c r="M629" s="115">
        <v>38162</v>
      </c>
      <c r="N629" s="130">
        <v>0</v>
      </c>
      <c r="O629" s="130"/>
      <c r="P629" s="130"/>
      <c r="Q629" s="115">
        <v>38162</v>
      </c>
      <c r="R629" s="130">
        <v>1.6363707000000001E-3</v>
      </c>
      <c r="T629"/>
    </row>
    <row r="630" spans="9:20">
      <c r="I630" s="115">
        <v>38155</v>
      </c>
      <c r="J630" s="130">
        <v>0.24762763139999999</v>
      </c>
      <c r="M630" s="115">
        <v>38155</v>
      </c>
      <c r="N630" s="130">
        <v>0</v>
      </c>
      <c r="O630" s="130"/>
      <c r="P630" s="130"/>
      <c r="Q630" s="115">
        <v>38155</v>
      </c>
      <c r="R630" s="130">
        <v>1.4976197E-3</v>
      </c>
      <c r="T630"/>
    </row>
    <row r="631" spans="9:20">
      <c r="I631" s="115">
        <v>38148</v>
      </c>
      <c r="J631" s="130">
        <v>0.23896156000000002</v>
      </c>
      <c r="M631" s="115">
        <v>38148</v>
      </c>
      <c r="N631" s="130">
        <v>0</v>
      </c>
      <c r="O631" s="130"/>
      <c r="P631" s="130"/>
      <c r="Q631" s="115">
        <v>38148</v>
      </c>
      <c r="R631" s="130">
        <v>4.8314030000000006E-4</v>
      </c>
      <c r="T631"/>
    </row>
    <row r="632" spans="9:20">
      <c r="I632" s="115">
        <v>38141</v>
      </c>
      <c r="J632" s="130">
        <v>0.24489704770000004</v>
      </c>
      <c r="M632" s="115">
        <v>38141</v>
      </c>
      <c r="N632" s="130">
        <v>0</v>
      </c>
      <c r="O632" s="130"/>
      <c r="P632" s="130"/>
      <c r="Q632" s="115">
        <v>38141</v>
      </c>
      <c r="R632" s="130">
        <v>1.4662640999999999E-3</v>
      </c>
      <c r="T632"/>
    </row>
    <row r="633" spans="9:20">
      <c r="I633" s="115">
        <v>38134</v>
      </c>
      <c r="J633" s="130">
        <v>0.25219299410000001</v>
      </c>
      <c r="M633" s="115">
        <v>38134</v>
      </c>
      <c r="N633" s="130">
        <v>0</v>
      </c>
      <c r="O633" s="130"/>
      <c r="P633" s="130"/>
      <c r="Q633" s="115">
        <v>38134</v>
      </c>
      <c r="R633" s="130">
        <v>9.4862280000000004E-4</v>
      </c>
      <c r="T633"/>
    </row>
    <row r="634" spans="9:20">
      <c r="I634" s="115">
        <v>38127</v>
      </c>
      <c r="J634" s="130">
        <v>0.25089602509999998</v>
      </c>
      <c r="M634" s="115">
        <v>38127</v>
      </c>
      <c r="N634" s="130">
        <v>0</v>
      </c>
      <c r="O634" s="130"/>
      <c r="P634" s="130"/>
      <c r="Q634" s="115">
        <v>38127</v>
      </c>
      <c r="R634" s="130">
        <v>9.4346899999999995E-4</v>
      </c>
      <c r="T634"/>
    </row>
    <row r="635" spans="9:20">
      <c r="I635" s="115">
        <v>38120</v>
      </c>
      <c r="J635" s="130">
        <v>0.23068106769999999</v>
      </c>
      <c r="M635" s="115">
        <v>38120</v>
      </c>
      <c r="N635" s="130">
        <v>0</v>
      </c>
      <c r="O635" s="130"/>
      <c r="P635" s="130"/>
      <c r="Q635" s="115">
        <v>38120</v>
      </c>
      <c r="R635" s="130">
        <v>8.9672760000000004E-4</v>
      </c>
      <c r="T635"/>
    </row>
    <row r="636" spans="9:20">
      <c r="I636" s="115">
        <v>38113</v>
      </c>
      <c r="J636" s="130">
        <v>0.30944435990000002</v>
      </c>
      <c r="M636" s="115">
        <v>38113</v>
      </c>
      <c r="N636" s="130">
        <v>0</v>
      </c>
      <c r="O636" s="130"/>
      <c r="P636" s="130"/>
      <c r="Q636" s="115">
        <v>38113</v>
      </c>
      <c r="R636" s="130">
        <v>1.3324916999999999E-3</v>
      </c>
      <c r="T636"/>
    </row>
    <row r="637" spans="9:20">
      <c r="I637" s="115">
        <v>38106</v>
      </c>
      <c r="J637" s="130">
        <v>0.35075889719999997</v>
      </c>
      <c r="M637" s="115">
        <v>38106</v>
      </c>
      <c r="N637" s="130">
        <v>0</v>
      </c>
      <c r="O637" s="130"/>
      <c r="P637" s="130"/>
      <c r="Q637" s="115">
        <v>38106</v>
      </c>
      <c r="R637" s="130">
        <v>1.1974285999999999E-3</v>
      </c>
      <c r="T637"/>
    </row>
    <row r="638" spans="9:20">
      <c r="I638" s="115">
        <v>38099</v>
      </c>
      <c r="J638" s="130">
        <v>0.37345168290000003</v>
      </c>
      <c r="M638" s="115">
        <v>38099</v>
      </c>
      <c r="N638" s="130">
        <v>0</v>
      </c>
      <c r="O638" s="130"/>
      <c r="P638" s="130"/>
      <c r="Q638" s="115">
        <v>38099</v>
      </c>
      <c r="R638" s="130">
        <v>1.3085874999999999E-3</v>
      </c>
      <c r="T638"/>
    </row>
    <row r="639" spans="9:20">
      <c r="I639" s="115">
        <v>38092</v>
      </c>
      <c r="J639" s="130">
        <v>0.39234334450000002</v>
      </c>
      <c r="M639" s="115">
        <v>38092</v>
      </c>
      <c r="N639" s="130">
        <v>0</v>
      </c>
      <c r="O639" s="130"/>
      <c r="P639" s="130"/>
      <c r="Q639" s="115">
        <v>38092</v>
      </c>
      <c r="R639" s="130">
        <v>1.4816579E-3</v>
      </c>
      <c r="T639"/>
    </row>
    <row r="640" spans="9:20">
      <c r="I640" s="115">
        <v>38085</v>
      </c>
      <c r="J640" s="130">
        <v>0.42305423310000001</v>
      </c>
      <c r="M640" s="115">
        <v>38085</v>
      </c>
      <c r="N640" s="130">
        <v>0</v>
      </c>
      <c r="O640" s="130"/>
      <c r="P640" s="130"/>
      <c r="Q640" s="115">
        <v>38085</v>
      </c>
      <c r="R640" s="130">
        <v>1.6630009599999999E-2</v>
      </c>
      <c r="T640"/>
    </row>
    <row r="641" spans="9:20">
      <c r="I641" s="115">
        <v>38078</v>
      </c>
      <c r="J641" s="130">
        <v>0.56553960869999997</v>
      </c>
      <c r="M641" s="115">
        <v>38078</v>
      </c>
      <c r="N641" s="130">
        <v>0</v>
      </c>
      <c r="O641" s="130"/>
      <c r="P641" s="130"/>
      <c r="Q641" s="115">
        <v>38078</v>
      </c>
      <c r="R641" s="130">
        <v>0.56553960869999997</v>
      </c>
      <c r="T641"/>
    </row>
    <row r="642" spans="9:20">
      <c r="I642" s="115">
        <v>38071</v>
      </c>
      <c r="J642" s="130">
        <v>0.67252651699999999</v>
      </c>
      <c r="M642" s="115">
        <v>38071</v>
      </c>
      <c r="N642" s="130">
        <v>0</v>
      </c>
      <c r="O642" s="130"/>
      <c r="P642" s="130"/>
      <c r="Q642" s="115">
        <v>38071</v>
      </c>
      <c r="R642" s="130">
        <v>0.67252651699999999</v>
      </c>
      <c r="T642"/>
    </row>
    <row r="643" spans="9:20">
      <c r="I643" s="115">
        <v>38064</v>
      </c>
      <c r="J643" s="130">
        <v>0.68486835999999995</v>
      </c>
      <c r="M643" s="115">
        <v>38064</v>
      </c>
      <c r="N643" s="130">
        <v>8.6876851500000005E-2</v>
      </c>
      <c r="O643" s="130"/>
      <c r="P643" s="130"/>
      <c r="Q643" s="115">
        <v>38064</v>
      </c>
      <c r="R643" s="130">
        <v>0.68486835999999995</v>
      </c>
      <c r="T643"/>
    </row>
    <row r="644" spans="9:20">
      <c r="I644" s="115">
        <v>38057</v>
      </c>
      <c r="J644" s="130">
        <v>0.68308031670000002</v>
      </c>
      <c r="M644" s="115">
        <v>38057</v>
      </c>
      <c r="N644" s="130">
        <v>8.6474003499999993E-2</v>
      </c>
      <c r="O644" s="130"/>
      <c r="P644" s="130"/>
      <c r="Q644" s="115">
        <v>38057</v>
      </c>
      <c r="R644" s="130">
        <v>0.68308031670000002</v>
      </c>
      <c r="T644"/>
    </row>
    <row r="645" spans="9:20">
      <c r="I645" s="115">
        <v>38050</v>
      </c>
      <c r="J645" s="130">
        <v>0.51197434870000003</v>
      </c>
      <c r="M645" s="115">
        <v>38050</v>
      </c>
      <c r="N645" s="130">
        <v>0</v>
      </c>
      <c r="O645" s="130"/>
      <c r="P645" s="130"/>
      <c r="Q645" s="115">
        <v>38050</v>
      </c>
      <c r="R645" s="130">
        <v>0.51197434870000003</v>
      </c>
      <c r="T645"/>
    </row>
    <row r="646" spans="9:20">
      <c r="I646" s="115">
        <v>38043</v>
      </c>
      <c r="J646" s="130">
        <v>0.52560942970000002</v>
      </c>
      <c r="M646" s="115">
        <v>38043</v>
      </c>
      <c r="N646" s="130">
        <v>0</v>
      </c>
      <c r="O646" s="130"/>
      <c r="P646" s="130"/>
      <c r="Q646" s="115">
        <v>38043</v>
      </c>
      <c r="R646" s="130">
        <v>0.52560942970000002</v>
      </c>
      <c r="T646"/>
    </row>
    <row r="647" spans="9:20">
      <c r="I647" s="115">
        <v>38036</v>
      </c>
      <c r="J647" s="130">
        <v>0.55014794820000001</v>
      </c>
      <c r="M647" s="115">
        <v>38036</v>
      </c>
      <c r="N647" s="130">
        <v>4.0706947799999997E-2</v>
      </c>
      <c r="O647" s="130"/>
      <c r="P647" s="130"/>
      <c r="Q647" s="115">
        <v>38036</v>
      </c>
      <c r="R647" s="130">
        <v>0.55014794820000001</v>
      </c>
      <c r="T647"/>
    </row>
    <row r="648" spans="9:20">
      <c r="I648" s="115">
        <v>38029</v>
      </c>
      <c r="J648" s="130">
        <v>0.4924768122</v>
      </c>
      <c r="M648" s="115">
        <v>38029</v>
      </c>
      <c r="N648" s="130">
        <v>0</v>
      </c>
      <c r="O648" s="130"/>
      <c r="P648" s="130"/>
      <c r="Q648" s="115">
        <v>38029</v>
      </c>
      <c r="R648" s="130">
        <v>3.8883983800000001E-2</v>
      </c>
      <c r="T648"/>
    </row>
    <row r="649" spans="9:20">
      <c r="I649" s="115">
        <v>38022</v>
      </c>
      <c r="J649" s="130">
        <v>0.4783603542</v>
      </c>
      <c r="M649" s="115">
        <v>38022</v>
      </c>
      <c r="N649" s="130">
        <v>0</v>
      </c>
      <c r="O649" s="130"/>
      <c r="P649" s="130"/>
      <c r="Q649" s="115">
        <v>38022</v>
      </c>
      <c r="R649" s="130">
        <v>3.6384446399999999E-2</v>
      </c>
      <c r="T649"/>
    </row>
    <row r="650" spans="9:20">
      <c r="I650" s="115">
        <v>38015</v>
      </c>
      <c r="J650" s="130">
        <v>0.50522923769999994</v>
      </c>
      <c r="M650" s="115">
        <v>38015</v>
      </c>
      <c r="N650" s="130">
        <v>0</v>
      </c>
      <c r="O650" s="130"/>
      <c r="P650" s="130"/>
      <c r="Q650" s="115">
        <v>38015</v>
      </c>
      <c r="R650" s="130">
        <v>3.1860077200000003E-2</v>
      </c>
      <c r="T650"/>
    </row>
    <row r="651" spans="9:20">
      <c r="I651" s="115">
        <v>38008</v>
      </c>
      <c r="J651" s="130">
        <v>0.52940803759999999</v>
      </c>
      <c r="M651" s="115">
        <v>38008</v>
      </c>
      <c r="N651" s="130">
        <v>3.07704296E-2</v>
      </c>
      <c r="O651" s="130"/>
      <c r="P651" s="130"/>
      <c r="Q651" s="115">
        <v>38008</v>
      </c>
      <c r="R651" s="130">
        <v>0.52940803759999999</v>
      </c>
      <c r="T651"/>
    </row>
    <row r="652" spans="9:20">
      <c r="I652" s="115">
        <v>38001</v>
      </c>
      <c r="J652" s="130">
        <v>0.52098617280000004</v>
      </c>
      <c r="M652" s="115">
        <v>38001</v>
      </c>
      <c r="N652" s="130">
        <v>2.9678013E-2</v>
      </c>
      <c r="O652" s="130"/>
      <c r="P652" s="130"/>
      <c r="Q652" s="115">
        <v>38001</v>
      </c>
      <c r="R652" s="130">
        <v>0.52098617280000004</v>
      </c>
      <c r="T652"/>
    </row>
    <row r="653" spans="9:20">
      <c r="I653" s="115">
        <v>37994</v>
      </c>
      <c r="J653" s="130">
        <v>0.43735136050000001</v>
      </c>
      <c r="M653" s="115">
        <v>37994</v>
      </c>
      <c r="N653" s="130">
        <v>0</v>
      </c>
      <c r="O653" s="130"/>
      <c r="P653" s="130"/>
      <c r="Q653" s="115">
        <v>37994</v>
      </c>
      <c r="R653" s="130">
        <v>1.5764423699999999E-2</v>
      </c>
      <c r="T653"/>
    </row>
    <row r="654" spans="9:20">
      <c r="I654" s="115">
        <v>37986</v>
      </c>
      <c r="J654" s="130">
        <v>0.45776364629999999</v>
      </c>
      <c r="M654" s="115">
        <v>37986</v>
      </c>
      <c r="N654" s="130">
        <v>0</v>
      </c>
      <c r="O654" s="130"/>
      <c r="P654" s="130"/>
      <c r="Q654" s="115">
        <v>37986</v>
      </c>
      <c r="R654" s="130">
        <v>1.24375554E-2</v>
      </c>
      <c r="T654"/>
    </row>
    <row r="655" spans="9:20">
      <c r="I655" s="115">
        <v>37981</v>
      </c>
      <c r="J655" s="130">
        <v>0.47843501929999999</v>
      </c>
      <c r="M655" s="115">
        <v>37981</v>
      </c>
      <c r="N655" s="130">
        <v>0</v>
      </c>
      <c r="O655" s="130"/>
      <c r="P655" s="130"/>
      <c r="Q655" s="115">
        <v>37981</v>
      </c>
      <c r="R655" s="130">
        <v>1.5225610800000001E-2</v>
      </c>
      <c r="T655"/>
    </row>
    <row r="656" spans="9:20">
      <c r="I656" s="115">
        <v>37974</v>
      </c>
      <c r="J656" s="130">
        <v>0.467216358</v>
      </c>
      <c r="M656" s="115">
        <v>37974</v>
      </c>
      <c r="N656" s="130">
        <v>0</v>
      </c>
      <c r="O656" s="130"/>
      <c r="P656" s="130"/>
      <c r="Q656" s="115">
        <v>37974</v>
      </c>
      <c r="R656" s="130">
        <v>1.3585883199999999E-2</v>
      </c>
      <c r="T656"/>
    </row>
    <row r="657" spans="9:20">
      <c r="I657" s="115">
        <v>37967</v>
      </c>
      <c r="J657" s="130">
        <v>0.45232164750000003</v>
      </c>
      <c r="M657" s="115">
        <v>37967</v>
      </c>
      <c r="N657" s="130">
        <v>0</v>
      </c>
      <c r="O657" s="130"/>
      <c r="P657" s="130"/>
      <c r="Q657" s="115">
        <v>37967</v>
      </c>
      <c r="R657" s="130">
        <v>1.18306057E-2</v>
      </c>
      <c r="T657"/>
    </row>
    <row r="658" spans="9:20">
      <c r="I658" s="115">
        <v>37960</v>
      </c>
      <c r="J658" s="130">
        <v>0.41554185380000003</v>
      </c>
      <c r="M658" s="115">
        <v>37960</v>
      </c>
      <c r="N658" s="130">
        <v>0</v>
      </c>
      <c r="O658" s="130"/>
      <c r="P658" s="130"/>
      <c r="Q658" s="115">
        <v>37960</v>
      </c>
      <c r="R658" s="130">
        <v>7.7860582000000003E-3</v>
      </c>
      <c r="T658"/>
    </row>
    <row r="659" spans="9:20">
      <c r="I659" s="115">
        <v>37953</v>
      </c>
      <c r="J659" s="130">
        <v>0.49223609730000001</v>
      </c>
      <c r="M659" s="115">
        <v>37953</v>
      </c>
      <c r="N659" s="130">
        <v>0</v>
      </c>
      <c r="O659" s="130"/>
      <c r="P659" s="130"/>
      <c r="Q659" s="115">
        <v>37953</v>
      </c>
      <c r="R659" s="130">
        <v>8.3351408999999994E-3</v>
      </c>
      <c r="T659"/>
    </row>
    <row r="660" spans="9:20">
      <c r="I660" s="115">
        <v>37946</v>
      </c>
      <c r="J660" s="130">
        <v>0.51634875079999998</v>
      </c>
      <c r="M660" s="115">
        <v>37946</v>
      </c>
      <c r="N660" s="130">
        <v>0</v>
      </c>
      <c r="O660" s="130"/>
      <c r="P660" s="130"/>
      <c r="Q660" s="115">
        <v>37946</v>
      </c>
      <c r="R660" s="130">
        <v>9.3795066999999999E-3</v>
      </c>
      <c r="T660"/>
    </row>
    <row r="661" spans="9:20">
      <c r="I661" s="115">
        <v>37939</v>
      </c>
      <c r="J661" s="130">
        <v>0.4474065042</v>
      </c>
      <c r="M661" s="115">
        <v>37939</v>
      </c>
      <c r="N661" s="130">
        <v>0</v>
      </c>
      <c r="O661" s="130"/>
      <c r="P661" s="130"/>
      <c r="Q661" s="115">
        <v>37939</v>
      </c>
      <c r="R661" s="130">
        <v>5.5570931000000004E-3</v>
      </c>
      <c r="T661"/>
    </row>
    <row r="662" spans="9:20">
      <c r="I662" s="115">
        <v>37932</v>
      </c>
      <c r="J662" s="130">
        <v>0.45191618500000008</v>
      </c>
      <c r="M662" s="115">
        <v>37932</v>
      </c>
      <c r="N662" s="130">
        <v>0</v>
      </c>
      <c r="O662" s="130"/>
      <c r="P662" s="130"/>
      <c r="Q662" s="115">
        <v>37932</v>
      </c>
      <c r="R662" s="130">
        <v>5.6124592999999999E-3</v>
      </c>
      <c r="T662"/>
    </row>
    <row r="663" spans="9:20">
      <c r="I663" s="115">
        <v>37925</v>
      </c>
      <c r="J663" s="130">
        <v>0.52064015399999997</v>
      </c>
      <c r="M663" s="115">
        <v>37925</v>
      </c>
      <c r="N663" s="130">
        <v>0</v>
      </c>
      <c r="O663" s="130"/>
      <c r="P663" s="130"/>
      <c r="Q663" s="115">
        <v>37925</v>
      </c>
      <c r="R663" s="130">
        <v>5.1729035000000001E-3</v>
      </c>
      <c r="T663"/>
    </row>
    <row r="664" spans="9:20">
      <c r="I664" s="115">
        <v>37918</v>
      </c>
      <c r="J664" s="130">
        <v>0.4746866045</v>
      </c>
      <c r="M664" s="115">
        <v>37918</v>
      </c>
      <c r="N664" s="130">
        <v>0</v>
      </c>
      <c r="O664" s="130"/>
      <c r="P664" s="130"/>
      <c r="Q664" s="115">
        <v>37918</v>
      </c>
      <c r="R664" s="130">
        <v>3.4678496E-3</v>
      </c>
      <c r="T664"/>
    </row>
    <row r="665" spans="9:20">
      <c r="I665" s="115">
        <v>37911</v>
      </c>
      <c r="J665" s="130">
        <v>0.49288643199999999</v>
      </c>
      <c r="M665" s="115">
        <v>37911</v>
      </c>
      <c r="N665" s="130">
        <v>0</v>
      </c>
      <c r="O665" s="130"/>
      <c r="P665" s="130"/>
      <c r="Q665" s="115">
        <v>37911</v>
      </c>
      <c r="R665" s="130">
        <v>4.7703117999999996E-3</v>
      </c>
      <c r="T665"/>
    </row>
    <row r="666" spans="9:20">
      <c r="I666" s="115">
        <v>37904</v>
      </c>
      <c r="J666" s="130">
        <v>0.51836350779999996</v>
      </c>
      <c r="M666" s="115">
        <v>37904</v>
      </c>
      <c r="N666" s="130">
        <v>0</v>
      </c>
      <c r="O666" s="130"/>
      <c r="P666" s="130"/>
      <c r="Q666" s="115">
        <v>37904</v>
      </c>
      <c r="R666" s="130">
        <v>5.1483107000000004E-3</v>
      </c>
      <c r="T666"/>
    </row>
    <row r="667" spans="9:20">
      <c r="I667" s="115">
        <v>37897</v>
      </c>
      <c r="J667" s="130">
        <v>0.58085220270000004</v>
      </c>
      <c r="M667" s="115">
        <v>37897</v>
      </c>
      <c r="N667" s="130">
        <v>2.2894478999999999E-3</v>
      </c>
      <c r="O667" s="130"/>
      <c r="P667" s="130"/>
      <c r="Q667" s="115">
        <v>37897</v>
      </c>
      <c r="R667" s="130">
        <v>1.4780805500000001E-2</v>
      </c>
      <c r="T667"/>
    </row>
    <row r="668" spans="9:20">
      <c r="I668" s="115">
        <v>37890</v>
      </c>
      <c r="J668" s="130">
        <v>0.56357889589999999</v>
      </c>
      <c r="M668" s="115">
        <v>37890</v>
      </c>
      <c r="N668" s="130">
        <v>0</v>
      </c>
      <c r="O668" s="130"/>
      <c r="P668" s="130"/>
      <c r="Q668" s="115">
        <v>37890</v>
      </c>
      <c r="R668" s="130">
        <v>3.371766E-3</v>
      </c>
      <c r="T668"/>
    </row>
    <row r="669" spans="9:20">
      <c r="I669" s="115">
        <v>37883</v>
      </c>
      <c r="J669" s="130">
        <v>0.56096159550000002</v>
      </c>
      <c r="M669" s="115">
        <v>37883</v>
      </c>
      <c r="N669" s="130">
        <v>0</v>
      </c>
      <c r="O669" s="130"/>
      <c r="P669" s="130"/>
      <c r="Q669" s="115">
        <v>37883</v>
      </c>
      <c r="R669" s="130">
        <v>3.3395030000000002E-3</v>
      </c>
      <c r="T669"/>
    </row>
    <row r="670" spans="9:20">
      <c r="I670" s="115">
        <v>37876</v>
      </c>
      <c r="J670" s="130">
        <v>0.4990227284</v>
      </c>
      <c r="M670" s="115">
        <v>37876</v>
      </c>
      <c r="N670" s="130">
        <v>0</v>
      </c>
      <c r="O670" s="130"/>
      <c r="P670" s="130"/>
      <c r="Q670" s="115">
        <v>37876</v>
      </c>
      <c r="R670" s="130">
        <v>2.9921386999999999E-3</v>
      </c>
      <c r="T670"/>
    </row>
    <row r="671" spans="9:20">
      <c r="I671" s="115">
        <v>37869</v>
      </c>
      <c r="J671" s="130">
        <v>0.3385521608</v>
      </c>
      <c r="M671" s="115">
        <v>37869</v>
      </c>
      <c r="N671" s="130">
        <v>0</v>
      </c>
      <c r="O671" s="130"/>
      <c r="P671" s="130"/>
      <c r="Q671" s="115">
        <v>37869</v>
      </c>
      <c r="R671" s="130">
        <v>9.2365679999999997E-4</v>
      </c>
      <c r="T671"/>
    </row>
    <row r="672" spans="9:20">
      <c r="I672" s="115">
        <v>37862</v>
      </c>
      <c r="J672" s="130">
        <v>0.41797163050000002</v>
      </c>
      <c r="M672" s="115">
        <v>37862</v>
      </c>
      <c r="N672" s="130">
        <v>0</v>
      </c>
      <c r="O672" s="130"/>
      <c r="P672" s="130"/>
      <c r="Q672" s="115">
        <v>37862</v>
      </c>
      <c r="R672" s="130">
        <v>1.0148593E-3</v>
      </c>
      <c r="T672"/>
    </row>
    <row r="673" spans="9:20">
      <c r="I673" s="115">
        <v>37855</v>
      </c>
      <c r="J673" s="130">
        <v>0.43575285520000001</v>
      </c>
      <c r="M673" s="115">
        <v>37855</v>
      </c>
      <c r="N673" s="130">
        <v>0</v>
      </c>
      <c r="O673" s="130"/>
      <c r="P673" s="130"/>
      <c r="Q673" s="115">
        <v>37855</v>
      </c>
      <c r="R673" s="130">
        <v>1.0457913E-3</v>
      </c>
      <c r="T673"/>
    </row>
    <row r="674" spans="9:20">
      <c r="I674" s="115">
        <v>37848</v>
      </c>
      <c r="J674" s="130">
        <v>0.48193470020000007</v>
      </c>
      <c r="M674" s="115">
        <v>37848</v>
      </c>
      <c r="N674" s="130">
        <v>0</v>
      </c>
      <c r="O674" s="130"/>
      <c r="P674" s="130"/>
      <c r="Q674" s="115">
        <v>37848</v>
      </c>
      <c r="R674" s="130">
        <v>1.0863574E-3</v>
      </c>
      <c r="T674"/>
    </row>
    <row r="675" spans="9:20">
      <c r="I675" s="115">
        <v>37841</v>
      </c>
      <c r="J675" s="130">
        <v>0.40110587930000002</v>
      </c>
      <c r="M675" s="115">
        <v>37841</v>
      </c>
      <c r="N675" s="130">
        <v>0</v>
      </c>
      <c r="O675" s="130"/>
      <c r="P675" s="130"/>
      <c r="Q675" s="115">
        <v>37841</v>
      </c>
      <c r="R675" s="130">
        <v>1.0079830000000001E-3</v>
      </c>
      <c r="T675"/>
    </row>
    <row r="676" spans="9:20">
      <c r="I676" s="115">
        <v>37834</v>
      </c>
      <c r="J676" s="130">
        <v>0.55536816919999998</v>
      </c>
      <c r="M676" s="115">
        <v>37834</v>
      </c>
      <c r="N676" s="130">
        <v>0</v>
      </c>
      <c r="O676" s="130"/>
      <c r="P676" s="130"/>
      <c r="Q676" s="115">
        <v>37834</v>
      </c>
      <c r="R676" s="130">
        <v>1.3426721999999999E-3</v>
      </c>
      <c r="T676"/>
    </row>
    <row r="677" spans="9:20">
      <c r="I677" s="115">
        <v>37827</v>
      </c>
      <c r="J677" s="130">
        <v>0.6933756203</v>
      </c>
      <c r="M677" s="115">
        <v>37827</v>
      </c>
      <c r="N677" s="130">
        <v>0</v>
      </c>
      <c r="O677" s="130"/>
      <c r="P677" s="130"/>
      <c r="Q677" s="115">
        <v>37827</v>
      </c>
      <c r="R677" s="130">
        <v>2.5765502E-3</v>
      </c>
      <c r="T677"/>
    </row>
    <row r="678" spans="9:20">
      <c r="I678" s="115">
        <v>37820</v>
      </c>
      <c r="J678" s="130">
        <v>0.78616350670000001</v>
      </c>
      <c r="M678" s="115">
        <v>37820</v>
      </c>
      <c r="N678" s="130">
        <v>0</v>
      </c>
      <c r="O678" s="130"/>
      <c r="P678" s="130"/>
      <c r="Q678" s="115">
        <v>37820</v>
      </c>
      <c r="R678" s="130">
        <v>0.78616350670000001</v>
      </c>
      <c r="T678"/>
    </row>
    <row r="679" spans="9:20">
      <c r="I679" s="115">
        <v>37813</v>
      </c>
      <c r="J679" s="130">
        <v>0.88261199570000004</v>
      </c>
      <c r="M679" s="115">
        <v>37813</v>
      </c>
      <c r="N679" s="130">
        <v>0</v>
      </c>
      <c r="O679" s="130"/>
      <c r="P679" s="130"/>
      <c r="Q679" s="115">
        <v>37813</v>
      </c>
      <c r="R679" s="130">
        <v>0.88261199570000004</v>
      </c>
      <c r="T679"/>
    </row>
    <row r="680" spans="9:20">
      <c r="I680" s="115">
        <v>37806</v>
      </c>
      <c r="J680" s="130">
        <v>0.94636800720000003</v>
      </c>
      <c r="M680" s="115">
        <v>37806</v>
      </c>
      <c r="N680" s="130">
        <v>0</v>
      </c>
      <c r="O680" s="130"/>
      <c r="P680" s="130"/>
      <c r="Q680" s="115">
        <v>37806</v>
      </c>
      <c r="R680" s="130">
        <v>0.94636800720000003</v>
      </c>
      <c r="T680"/>
    </row>
    <row r="681" spans="9:20">
      <c r="I681" s="115">
        <v>37799</v>
      </c>
      <c r="J681" s="130">
        <v>0.9955641046</v>
      </c>
      <c r="M681" s="115">
        <v>37799</v>
      </c>
      <c r="N681" s="130">
        <v>0</v>
      </c>
      <c r="O681" s="130"/>
      <c r="P681" s="130"/>
      <c r="Q681" s="115">
        <v>37799</v>
      </c>
      <c r="R681" s="130">
        <v>0.9955641046</v>
      </c>
      <c r="T681"/>
    </row>
    <row r="682" spans="9:20">
      <c r="I682" s="115">
        <v>37792</v>
      </c>
      <c r="J682" s="130">
        <v>0.99795555300000005</v>
      </c>
      <c r="M682" s="115">
        <v>37792</v>
      </c>
      <c r="N682" s="130">
        <v>0</v>
      </c>
      <c r="O682" s="130"/>
      <c r="P682" s="130"/>
      <c r="Q682" s="115">
        <v>37792</v>
      </c>
      <c r="R682" s="130">
        <v>0.99795555300000005</v>
      </c>
      <c r="T682"/>
    </row>
    <row r="683" spans="9:20">
      <c r="I683" s="115">
        <v>37785</v>
      </c>
      <c r="J683" s="130">
        <v>0.99850874310000004</v>
      </c>
      <c r="M683" s="115">
        <v>37785</v>
      </c>
      <c r="N683" s="130">
        <v>0.99850874310000004</v>
      </c>
      <c r="O683" s="130"/>
      <c r="P683" s="130"/>
      <c r="Q683" s="115">
        <v>37785</v>
      </c>
      <c r="R683" s="130">
        <v>0.99850874310000004</v>
      </c>
      <c r="T683"/>
    </row>
    <row r="684" spans="9:20">
      <c r="I684" s="115">
        <v>37778</v>
      </c>
      <c r="J684" s="130">
        <v>0.99659856970000005</v>
      </c>
      <c r="M684" s="115">
        <v>37778</v>
      </c>
      <c r="N684" s="130">
        <v>0.99659856970000005</v>
      </c>
      <c r="O684" s="130"/>
      <c r="P684" s="130"/>
      <c r="Q684" s="115">
        <v>37778</v>
      </c>
      <c r="R684" s="130">
        <v>0.99659856970000005</v>
      </c>
      <c r="T684"/>
    </row>
    <row r="685" spans="9:20">
      <c r="I685" s="115">
        <v>37771</v>
      </c>
      <c r="J685" s="130">
        <v>0.99492141320000005</v>
      </c>
      <c r="M685" s="115">
        <v>37771</v>
      </c>
      <c r="N685" s="130">
        <v>0.99492141320000005</v>
      </c>
      <c r="O685" s="130"/>
      <c r="P685" s="130"/>
      <c r="Q685" s="115">
        <v>37771</v>
      </c>
      <c r="R685" s="130">
        <v>0.99492141320000005</v>
      </c>
      <c r="T685"/>
    </row>
    <row r="686" spans="9:20">
      <c r="I686" s="115">
        <v>37764</v>
      </c>
      <c r="J686" s="130">
        <v>0.99408203569999998</v>
      </c>
      <c r="M686" s="115">
        <v>37764</v>
      </c>
      <c r="N686" s="130">
        <v>0.99408203569999998</v>
      </c>
      <c r="O686" s="130"/>
      <c r="P686" s="130"/>
      <c r="Q686" s="115">
        <v>37764</v>
      </c>
      <c r="R686" s="130">
        <v>0.99408203569999998</v>
      </c>
      <c r="T686"/>
    </row>
    <row r="687" spans="9:20">
      <c r="I687" s="115">
        <v>37757</v>
      </c>
      <c r="J687" s="130">
        <v>0.98326305579999995</v>
      </c>
      <c r="M687" s="115">
        <v>37757</v>
      </c>
      <c r="N687" s="130">
        <v>0.98326305579999995</v>
      </c>
      <c r="O687" s="130"/>
      <c r="P687" s="130"/>
      <c r="Q687" s="115">
        <v>37757</v>
      </c>
      <c r="R687" s="130">
        <v>0.98326305579999995</v>
      </c>
      <c r="T687"/>
    </row>
    <row r="688" spans="9:20">
      <c r="I688" s="115">
        <v>37750</v>
      </c>
      <c r="J688" s="130">
        <v>0.92830699049999998</v>
      </c>
      <c r="M688" s="115">
        <v>37750</v>
      </c>
      <c r="N688" s="130">
        <v>0</v>
      </c>
      <c r="O688" s="130"/>
      <c r="P688" s="130"/>
      <c r="Q688" s="115">
        <v>37750</v>
      </c>
      <c r="R688" s="130">
        <v>0.92830699049999998</v>
      </c>
      <c r="T688"/>
    </row>
    <row r="689" spans="9:20">
      <c r="I689" s="115">
        <v>37743</v>
      </c>
      <c r="J689" s="130">
        <v>0.88482235860000003</v>
      </c>
      <c r="M689" s="115">
        <v>37743</v>
      </c>
      <c r="N689" s="130">
        <v>0</v>
      </c>
      <c r="O689" s="130"/>
      <c r="P689" s="130"/>
      <c r="Q689" s="115">
        <v>37743</v>
      </c>
      <c r="R689" s="130">
        <v>0.88482235860000003</v>
      </c>
      <c r="T689"/>
    </row>
    <row r="690" spans="9:20">
      <c r="I690" s="115">
        <v>37736</v>
      </c>
      <c r="J690" s="130">
        <v>0.88137696320000003</v>
      </c>
      <c r="M690" s="115">
        <v>37736</v>
      </c>
      <c r="N690" s="130">
        <v>0</v>
      </c>
      <c r="O690" s="130"/>
      <c r="P690" s="130"/>
      <c r="Q690" s="115">
        <v>37736</v>
      </c>
      <c r="R690" s="130">
        <v>0.88137696320000003</v>
      </c>
      <c r="T690"/>
    </row>
    <row r="691" spans="9:20">
      <c r="I691" s="115">
        <v>37729</v>
      </c>
      <c r="J691" s="130">
        <v>0.87799817840000016</v>
      </c>
      <c r="M691" s="115">
        <v>37729</v>
      </c>
      <c r="N691" s="130">
        <v>0</v>
      </c>
      <c r="O691" s="130"/>
      <c r="P691" s="130"/>
      <c r="Q691" s="115">
        <v>37729</v>
      </c>
      <c r="R691" s="130">
        <v>0.87799817840000016</v>
      </c>
      <c r="T691"/>
    </row>
    <row r="692" spans="9:20">
      <c r="I692" s="115">
        <v>37722</v>
      </c>
      <c r="J692" s="130">
        <v>0.87492135240000013</v>
      </c>
      <c r="M692" s="115">
        <v>37722</v>
      </c>
      <c r="N692" s="130">
        <v>0</v>
      </c>
      <c r="O692" s="130"/>
      <c r="P692" s="130"/>
      <c r="Q692" s="115">
        <v>37722</v>
      </c>
      <c r="R692" s="130">
        <v>0.87492135240000013</v>
      </c>
      <c r="T692"/>
    </row>
    <row r="693" spans="9:20">
      <c r="I693" s="115">
        <v>37715</v>
      </c>
      <c r="J693" s="130">
        <v>0.88137696320000003</v>
      </c>
      <c r="M693" s="115">
        <v>37715</v>
      </c>
      <c r="N693" s="130">
        <v>0</v>
      </c>
      <c r="O693" s="130"/>
      <c r="P693" s="130"/>
      <c r="Q693" s="115">
        <v>37715</v>
      </c>
      <c r="R693" s="130">
        <v>0.88137696320000003</v>
      </c>
      <c r="T693"/>
    </row>
    <row r="694" spans="9:20">
      <c r="I694" s="115">
        <v>37708</v>
      </c>
      <c r="J694" s="130">
        <v>0.89511871129999998</v>
      </c>
      <c r="M694" s="115">
        <v>37708</v>
      </c>
      <c r="N694" s="130">
        <v>0</v>
      </c>
      <c r="O694" s="130"/>
      <c r="P694" s="130"/>
      <c r="Q694" s="115">
        <v>37708</v>
      </c>
      <c r="R694" s="130">
        <v>0.89511871129999998</v>
      </c>
      <c r="T694"/>
    </row>
    <row r="695" spans="9:20">
      <c r="I695" s="115">
        <v>37701</v>
      </c>
      <c r="J695" s="130">
        <v>0.90506474830000005</v>
      </c>
      <c r="M695" s="115">
        <v>37701</v>
      </c>
      <c r="N695" s="130">
        <v>0</v>
      </c>
      <c r="O695" s="130"/>
      <c r="P695" s="130"/>
      <c r="Q695" s="115">
        <v>37701</v>
      </c>
      <c r="R695" s="130">
        <v>0.90506474830000005</v>
      </c>
      <c r="T695"/>
    </row>
    <row r="696" spans="9:20">
      <c r="I696" s="115">
        <v>37694</v>
      </c>
      <c r="J696" s="130">
        <v>0.97512135219999996</v>
      </c>
      <c r="M696" s="115">
        <v>37694</v>
      </c>
      <c r="N696" s="130">
        <v>0.97512135219999996</v>
      </c>
      <c r="O696" s="130"/>
      <c r="P696" s="130"/>
      <c r="Q696" s="115">
        <v>37694</v>
      </c>
      <c r="R696" s="130">
        <v>0.97512135219999996</v>
      </c>
      <c r="T696"/>
    </row>
    <row r="697" spans="9:20">
      <c r="I697" s="115">
        <v>37687</v>
      </c>
      <c r="J697" s="130">
        <v>0.94264703530000005</v>
      </c>
      <c r="M697" s="115">
        <v>37687</v>
      </c>
      <c r="N697" s="130">
        <v>0.94264703530000005</v>
      </c>
      <c r="O697" s="130"/>
      <c r="P697" s="130"/>
      <c r="Q697" s="115">
        <v>37687</v>
      </c>
      <c r="R697" s="130">
        <v>0.94264703530000005</v>
      </c>
      <c r="T697"/>
    </row>
    <row r="698" spans="9:20">
      <c r="I698" s="115">
        <v>37680</v>
      </c>
      <c r="J698" s="130">
        <v>0.92885951830000002</v>
      </c>
      <c r="M698" s="115">
        <v>37680</v>
      </c>
      <c r="N698" s="130">
        <v>0.92885951830000002</v>
      </c>
      <c r="O698" s="130"/>
      <c r="P698" s="130"/>
      <c r="Q698" s="115">
        <v>37680</v>
      </c>
      <c r="R698" s="130">
        <v>0.92885951830000002</v>
      </c>
      <c r="T698"/>
    </row>
    <row r="699" spans="9:20">
      <c r="I699" s="115">
        <v>37673</v>
      </c>
      <c r="J699" s="130">
        <v>0.92448196640000002</v>
      </c>
      <c r="M699" s="115">
        <v>37673</v>
      </c>
      <c r="N699" s="130">
        <v>0.92448196640000002</v>
      </c>
      <c r="O699" s="130"/>
      <c r="P699" s="130"/>
      <c r="Q699" s="115">
        <v>37673</v>
      </c>
      <c r="R699" s="130">
        <v>0.92448196640000002</v>
      </c>
      <c r="T699"/>
    </row>
    <row r="700" spans="9:20">
      <c r="I700" s="115">
        <v>37666</v>
      </c>
      <c r="J700" s="130">
        <v>0.92260890910000004</v>
      </c>
      <c r="M700" s="115">
        <v>37666</v>
      </c>
      <c r="N700" s="130">
        <v>0</v>
      </c>
      <c r="O700" s="130"/>
      <c r="P700" s="130"/>
      <c r="Q700" s="115">
        <v>37666</v>
      </c>
      <c r="R700" s="130">
        <v>0.92260890910000004</v>
      </c>
      <c r="T700"/>
    </row>
    <row r="701" spans="9:20">
      <c r="I701" s="115">
        <v>37659</v>
      </c>
      <c r="J701" s="130">
        <v>0.91967094250000003</v>
      </c>
      <c r="M701" s="115">
        <v>37659</v>
      </c>
      <c r="N701" s="130">
        <v>0</v>
      </c>
      <c r="O701" s="130"/>
      <c r="P701" s="130"/>
      <c r="Q701" s="115">
        <v>37659</v>
      </c>
      <c r="R701" s="130">
        <v>0.91967094250000003</v>
      </c>
      <c r="T701"/>
    </row>
    <row r="702" spans="9:20">
      <c r="I702" s="115">
        <v>37652</v>
      </c>
      <c r="J702" s="130">
        <v>0.95225487539999998</v>
      </c>
      <c r="M702" s="115">
        <v>37652</v>
      </c>
      <c r="N702" s="130">
        <v>0</v>
      </c>
      <c r="O702" s="130"/>
      <c r="P702" s="130"/>
      <c r="Q702" s="115">
        <v>37652</v>
      </c>
      <c r="R702" s="130">
        <v>0.95225487539999998</v>
      </c>
      <c r="T702"/>
    </row>
    <row r="703" spans="9:20">
      <c r="I703" s="115">
        <v>37645</v>
      </c>
      <c r="J703" s="130">
        <v>0.95189047670000004</v>
      </c>
      <c r="M703" s="115">
        <v>37645</v>
      </c>
      <c r="N703" s="130">
        <v>0</v>
      </c>
      <c r="O703" s="130"/>
      <c r="P703" s="130"/>
      <c r="Q703" s="115">
        <v>37645</v>
      </c>
      <c r="R703" s="130">
        <v>0.95189047670000004</v>
      </c>
      <c r="T703"/>
    </row>
    <row r="704" spans="9:20">
      <c r="I704" s="115">
        <v>37638</v>
      </c>
      <c r="J704" s="130">
        <v>0.93518688370000003</v>
      </c>
      <c r="M704" s="115">
        <v>37638</v>
      </c>
      <c r="N704" s="130">
        <v>0</v>
      </c>
      <c r="O704" s="130"/>
      <c r="P704" s="130"/>
      <c r="Q704" s="115">
        <v>37638</v>
      </c>
      <c r="R704" s="130">
        <v>0.93518688370000003</v>
      </c>
      <c r="T704"/>
    </row>
    <row r="705" spans="9:20">
      <c r="I705" s="115">
        <v>37631</v>
      </c>
      <c r="J705" s="130">
        <v>0.93689097929999998</v>
      </c>
      <c r="M705" s="115">
        <v>37631</v>
      </c>
      <c r="N705" s="130">
        <v>0</v>
      </c>
      <c r="O705" s="130"/>
      <c r="P705" s="130"/>
      <c r="Q705" s="115">
        <v>37631</v>
      </c>
      <c r="R705" s="130">
        <v>0.93689097929999998</v>
      </c>
      <c r="T705"/>
    </row>
    <row r="706" spans="9:20">
      <c r="I706" s="115">
        <v>37624</v>
      </c>
      <c r="J706" s="130">
        <v>0.95579136239999996</v>
      </c>
      <c r="M706" s="115">
        <v>37624</v>
      </c>
      <c r="N706" s="130">
        <v>0.95579136239999996</v>
      </c>
      <c r="O706" s="130"/>
      <c r="P706" s="130"/>
      <c r="Q706" s="115">
        <v>37624</v>
      </c>
      <c r="R706" s="130">
        <v>0.95579136239999996</v>
      </c>
      <c r="T706"/>
    </row>
    <row r="707" spans="9:20">
      <c r="I707" s="115">
        <v>37617</v>
      </c>
      <c r="J707" s="130">
        <v>0.96448534750000003</v>
      </c>
      <c r="M707" s="115">
        <v>37617</v>
      </c>
      <c r="N707" s="130">
        <v>0.96448534750000003</v>
      </c>
      <c r="O707" s="130"/>
      <c r="P707" s="130"/>
      <c r="Q707" s="115">
        <v>37617</v>
      </c>
      <c r="R707" s="130">
        <v>0.96448534750000003</v>
      </c>
      <c r="T707"/>
    </row>
    <row r="708" spans="9:20">
      <c r="I708" s="115">
        <v>37610</v>
      </c>
      <c r="J708" s="130">
        <v>0.95891296810000004</v>
      </c>
      <c r="M708" s="115">
        <v>37610</v>
      </c>
      <c r="N708" s="130">
        <v>0</v>
      </c>
      <c r="O708" s="130"/>
      <c r="P708" s="130"/>
      <c r="Q708" s="115">
        <v>37610</v>
      </c>
      <c r="R708" s="130">
        <v>0.95891296810000004</v>
      </c>
      <c r="T708"/>
    </row>
    <row r="709" spans="9:20">
      <c r="I709" s="115">
        <v>37603</v>
      </c>
      <c r="J709" s="130">
        <v>0.95963941399999997</v>
      </c>
      <c r="M709" s="115">
        <v>37603</v>
      </c>
      <c r="N709" s="130">
        <v>0</v>
      </c>
      <c r="O709" s="130"/>
      <c r="P709" s="130"/>
      <c r="Q709" s="115">
        <v>37603</v>
      </c>
      <c r="R709" s="130">
        <v>0.95963941399999997</v>
      </c>
      <c r="T709"/>
    </row>
    <row r="710" spans="9:20">
      <c r="I710" s="115">
        <v>37596</v>
      </c>
      <c r="J710" s="130">
        <v>0.88241247030000003</v>
      </c>
      <c r="M710" s="115">
        <v>37596</v>
      </c>
      <c r="N710" s="130">
        <v>0</v>
      </c>
      <c r="O710" s="130"/>
      <c r="P710" s="130"/>
      <c r="Q710" s="115">
        <v>37596</v>
      </c>
      <c r="R710" s="130">
        <v>0.88241247030000003</v>
      </c>
      <c r="T710"/>
    </row>
    <row r="711" spans="9:20">
      <c r="I711" s="115">
        <v>37589</v>
      </c>
      <c r="J711" s="130">
        <v>0.95431956090000003</v>
      </c>
      <c r="M711" s="115">
        <v>37589</v>
      </c>
      <c r="N711" s="130">
        <v>0</v>
      </c>
      <c r="O711" s="130"/>
      <c r="P711" s="130"/>
      <c r="Q711" s="115">
        <v>37589</v>
      </c>
      <c r="R711" s="130">
        <v>0.95431956090000003</v>
      </c>
      <c r="T711"/>
    </row>
    <row r="712" spans="9:20">
      <c r="I712" s="115">
        <v>37582</v>
      </c>
      <c r="J712" s="130">
        <v>0.97683856970000005</v>
      </c>
      <c r="M712" s="115">
        <v>37582</v>
      </c>
      <c r="N712" s="130">
        <v>0</v>
      </c>
      <c r="O712" s="130"/>
      <c r="P712" s="130"/>
      <c r="Q712" s="115">
        <v>37582</v>
      </c>
      <c r="R712" s="130">
        <v>0.97683856970000005</v>
      </c>
      <c r="T712"/>
    </row>
    <row r="713" spans="9:20">
      <c r="I713" s="115">
        <v>37575</v>
      </c>
      <c r="J713" s="130">
        <v>0.98072821229999996</v>
      </c>
      <c r="M713" s="115">
        <v>37575</v>
      </c>
      <c r="N713" s="130">
        <v>0.98072821229999996</v>
      </c>
      <c r="O713" s="130"/>
      <c r="P713" s="130"/>
      <c r="Q713" s="115">
        <v>37575</v>
      </c>
      <c r="R713" s="130">
        <v>0.98072821229999996</v>
      </c>
      <c r="T713"/>
    </row>
    <row r="714" spans="9:20">
      <c r="I714" s="115">
        <v>37568</v>
      </c>
      <c r="J714" s="130">
        <v>0.95683937730000002</v>
      </c>
      <c r="M714" s="115">
        <v>37568</v>
      </c>
      <c r="N714" s="130">
        <v>0</v>
      </c>
      <c r="O714" s="130"/>
      <c r="P714" s="130"/>
      <c r="Q714" s="115">
        <v>37568</v>
      </c>
      <c r="R714" s="130">
        <v>0.95683937730000002</v>
      </c>
      <c r="T714"/>
    </row>
    <row r="715" spans="9:20">
      <c r="I715" s="115">
        <v>37561</v>
      </c>
      <c r="J715" s="130">
        <v>0.95431956090000003</v>
      </c>
      <c r="M715" s="115">
        <v>37561</v>
      </c>
      <c r="N715" s="130">
        <v>0</v>
      </c>
      <c r="O715" s="130"/>
      <c r="P715" s="130"/>
      <c r="Q715" s="115">
        <v>37561</v>
      </c>
      <c r="R715" s="130">
        <v>0.95431956090000003</v>
      </c>
      <c r="T715"/>
    </row>
    <row r="716" spans="9:20">
      <c r="I716" s="115">
        <v>37554</v>
      </c>
      <c r="J716" s="130">
        <v>0.85066564730000005</v>
      </c>
      <c r="M716" s="115">
        <v>37554</v>
      </c>
      <c r="N716" s="130">
        <v>0</v>
      </c>
      <c r="O716" s="130"/>
      <c r="P716" s="130"/>
      <c r="Q716" s="115">
        <v>37554</v>
      </c>
      <c r="R716" s="130">
        <v>0.85066564730000005</v>
      </c>
      <c r="T716"/>
    </row>
    <row r="717" spans="9:20">
      <c r="I717" s="115">
        <v>37547</v>
      </c>
      <c r="J717" s="130">
        <v>0.96665382509999997</v>
      </c>
      <c r="M717" s="115">
        <v>37547</v>
      </c>
      <c r="N717" s="130">
        <v>0</v>
      </c>
      <c r="O717" s="130"/>
      <c r="P717" s="130"/>
      <c r="Q717" s="115">
        <v>37547</v>
      </c>
      <c r="R717" s="130">
        <v>0.96665382509999997</v>
      </c>
      <c r="T717"/>
    </row>
    <row r="718" spans="9:20">
      <c r="I718" s="115">
        <v>37540</v>
      </c>
      <c r="J718" s="130">
        <v>0.98512965490000004</v>
      </c>
      <c r="M718" s="115">
        <v>37540</v>
      </c>
      <c r="N718" s="130">
        <v>0.98512965490000004</v>
      </c>
      <c r="O718" s="130"/>
      <c r="P718" s="130"/>
      <c r="Q718" s="115">
        <v>37540</v>
      </c>
      <c r="R718" s="130">
        <v>0.98512965490000004</v>
      </c>
      <c r="T718"/>
    </row>
    <row r="719" spans="9:20">
      <c r="I719" s="115">
        <v>37533</v>
      </c>
      <c r="J719" s="130">
        <v>0.98501673729999994</v>
      </c>
      <c r="M719" s="115">
        <v>37533</v>
      </c>
      <c r="N719" s="130">
        <v>0.98501673729999994</v>
      </c>
      <c r="O719" s="130"/>
      <c r="P719" s="130"/>
      <c r="Q719" s="115">
        <v>37533</v>
      </c>
      <c r="R719" s="130">
        <v>0.98501673729999994</v>
      </c>
      <c r="T719"/>
    </row>
    <row r="720" spans="9:20">
      <c r="I720" s="115">
        <v>37526</v>
      </c>
      <c r="J720" s="130">
        <v>0.98568023589999998</v>
      </c>
      <c r="M720" s="115">
        <v>37526</v>
      </c>
      <c r="N720" s="130">
        <v>0.98568023589999998</v>
      </c>
      <c r="O720" s="130"/>
      <c r="P720" s="130"/>
      <c r="Q720" s="115">
        <v>37526</v>
      </c>
      <c r="R720" s="130">
        <v>0.98568023589999998</v>
      </c>
      <c r="T720"/>
    </row>
    <row r="721" spans="9:20">
      <c r="I721" s="115">
        <v>37519</v>
      </c>
      <c r="J721" s="130">
        <v>0.97306957829999996</v>
      </c>
      <c r="M721" s="115">
        <v>37519</v>
      </c>
      <c r="N721" s="130">
        <v>0.97306957829999996</v>
      </c>
      <c r="O721" s="130"/>
      <c r="P721" s="130"/>
      <c r="Q721" s="115">
        <v>37519</v>
      </c>
      <c r="R721" s="130">
        <v>0.97306957829999996</v>
      </c>
      <c r="T721"/>
    </row>
    <row r="722" spans="9:20">
      <c r="I722" s="115">
        <v>37512</v>
      </c>
      <c r="J722" s="130">
        <v>0.93843705970000002</v>
      </c>
      <c r="M722" s="115">
        <v>37512</v>
      </c>
      <c r="N722" s="130">
        <v>0</v>
      </c>
      <c r="O722" s="130"/>
      <c r="P722" s="130"/>
      <c r="Q722" s="115">
        <v>37512</v>
      </c>
      <c r="R722" s="130">
        <v>0.93843705970000002</v>
      </c>
      <c r="T722"/>
    </row>
    <row r="723" spans="9:20">
      <c r="I723" s="115">
        <v>37505</v>
      </c>
      <c r="J723" s="130">
        <v>0.96608447529999997</v>
      </c>
      <c r="M723" s="115">
        <v>37505</v>
      </c>
      <c r="N723" s="130">
        <v>0.96608447529999997</v>
      </c>
      <c r="O723" s="130"/>
      <c r="P723" s="130"/>
      <c r="Q723" s="115">
        <v>37505</v>
      </c>
      <c r="R723" s="130">
        <v>0.96608447529999997</v>
      </c>
      <c r="T723"/>
    </row>
    <row r="724" spans="9:20">
      <c r="I724" s="115">
        <v>37498</v>
      </c>
      <c r="J724" s="130">
        <v>0.90600108980000005</v>
      </c>
      <c r="M724" s="115">
        <v>37498</v>
      </c>
      <c r="N724" s="130">
        <v>0</v>
      </c>
      <c r="O724" s="130"/>
      <c r="P724" s="130"/>
      <c r="Q724" s="115">
        <v>37498</v>
      </c>
      <c r="R724" s="130">
        <v>0.90600108980000005</v>
      </c>
      <c r="T724"/>
    </row>
    <row r="725" spans="9:20">
      <c r="I725" s="115">
        <v>37491</v>
      </c>
      <c r="J725" s="130">
        <v>0.87373005530000003</v>
      </c>
      <c r="M725" s="115">
        <v>37491</v>
      </c>
      <c r="N725" s="130">
        <v>0</v>
      </c>
      <c r="O725" s="130"/>
      <c r="P725" s="130"/>
      <c r="Q725" s="115">
        <v>37491</v>
      </c>
      <c r="R725" s="130">
        <v>0.87373005530000003</v>
      </c>
      <c r="T725"/>
    </row>
    <row r="726" spans="9:20">
      <c r="I726" s="115">
        <v>37484</v>
      </c>
      <c r="J726" s="130">
        <v>0.91729215080000004</v>
      </c>
      <c r="M726" s="115">
        <v>37484</v>
      </c>
      <c r="N726" s="130">
        <v>0.91729215080000004</v>
      </c>
      <c r="O726" s="130"/>
      <c r="P726" s="130"/>
      <c r="Q726" s="115">
        <v>37484</v>
      </c>
      <c r="R726" s="130">
        <v>0.91729215080000004</v>
      </c>
      <c r="T726"/>
    </row>
    <row r="727" spans="9:20">
      <c r="I727" s="115">
        <v>37477</v>
      </c>
      <c r="J727" s="130">
        <v>0.8694538128</v>
      </c>
      <c r="M727" s="115">
        <v>37477</v>
      </c>
      <c r="N727" s="130">
        <v>0.8694538128</v>
      </c>
      <c r="O727" s="130"/>
      <c r="P727" s="130"/>
      <c r="Q727" s="115">
        <v>37477</v>
      </c>
      <c r="R727" s="130">
        <v>0.8694538128</v>
      </c>
      <c r="T727"/>
    </row>
    <row r="728" spans="9:20">
      <c r="I728" s="115">
        <v>37470</v>
      </c>
      <c r="J728" s="130">
        <v>0.77533119340000001</v>
      </c>
      <c r="M728" s="115">
        <v>37470</v>
      </c>
      <c r="N728" s="130">
        <v>0</v>
      </c>
      <c r="O728" s="130"/>
      <c r="P728" s="130"/>
      <c r="Q728" s="115">
        <v>37470</v>
      </c>
      <c r="R728" s="130">
        <v>0.77533119340000001</v>
      </c>
      <c r="T728"/>
    </row>
    <row r="729" spans="9:20">
      <c r="I729" s="115">
        <v>37463</v>
      </c>
      <c r="J729" s="130">
        <v>0.84823702400000001</v>
      </c>
      <c r="M729" s="115">
        <v>37463</v>
      </c>
      <c r="N729" s="130">
        <v>0.84823702400000001</v>
      </c>
      <c r="O729" s="130"/>
      <c r="P729" s="130"/>
      <c r="Q729" s="115">
        <v>37463</v>
      </c>
      <c r="R729" s="130">
        <v>0.84823702400000001</v>
      </c>
      <c r="T729"/>
    </row>
    <row r="730" spans="9:20">
      <c r="I730" s="115">
        <v>37456</v>
      </c>
      <c r="J730" s="130">
        <v>0.75517637999999998</v>
      </c>
      <c r="M730" s="115">
        <v>37456</v>
      </c>
      <c r="N730" s="130">
        <v>0.75517637999999998</v>
      </c>
      <c r="O730" s="130"/>
      <c r="P730" s="130"/>
      <c r="Q730" s="115">
        <v>37456</v>
      </c>
      <c r="R730" s="130">
        <v>0.75517637999999998</v>
      </c>
      <c r="T730"/>
    </row>
    <row r="731" spans="9:20">
      <c r="I731" s="115">
        <v>37449</v>
      </c>
      <c r="J731" s="130">
        <v>0.74807733210000005</v>
      </c>
      <c r="M731" s="115">
        <v>37449</v>
      </c>
      <c r="N731" s="130">
        <v>0.1065030411</v>
      </c>
      <c r="O731" s="130"/>
      <c r="P731" s="130"/>
      <c r="Q731" s="115">
        <v>37449</v>
      </c>
      <c r="R731" s="130">
        <v>0.74807733210000005</v>
      </c>
      <c r="T731"/>
    </row>
    <row r="732" spans="9:20">
      <c r="I732" s="115">
        <v>37442</v>
      </c>
      <c r="J732" s="130">
        <v>0.68067584020000005</v>
      </c>
      <c r="M732" s="115">
        <v>37442</v>
      </c>
      <c r="N732" s="130">
        <v>0</v>
      </c>
      <c r="O732" s="130"/>
      <c r="P732" s="130"/>
      <c r="Q732" s="115">
        <v>37442</v>
      </c>
      <c r="R732" s="130">
        <v>0.68067584020000005</v>
      </c>
      <c r="T732"/>
    </row>
    <row r="733" spans="9:20">
      <c r="I733" s="115">
        <v>37435</v>
      </c>
      <c r="J733" s="130">
        <v>0.74738653990000004</v>
      </c>
      <c r="M733" s="115">
        <v>37435</v>
      </c>
      <c r="N733" s="130">
        <v>8.7934602099999995E-2</v>
      </c>
      <c r="O733" s="130"/>
      <c r="P733" s="130"/>
      <c r="Q733" s="115">
        <v>37435</v>
      </c>
      <c r="R733" s="130">
        <v>0.74738653990000004</v>
      </c>
      <c r="T733"/>
    </row>
    <row r="734" spans="9:20">
      <c r="I734" s="115">
        <v>37428</v>
      </c>
      <c r="J734" s="130">
        <v>0.63682448059999996</v>
      </c>
      <c r="M734" s="115">
        <v>37428</v>
      </c>
      <c r="N734" s="130">
        <v>4.3561822E-2</v>
      </c>
      <c r="O734" s="130"/>
      <c r="P734" s="130"/>
      <c r="Q734" s="115">
        <v>37428</v>
      </c>
      <c r="R734" s="130">
        <v>0.63682448059999996</v>
      </c>
      <c r="T734"/>
    </row>
    <row r="735" spans="9:20">
      <c r="I735" s="115">
        <v>37421</v>
      </c>
      <c r="J735" s="130">
        <v>0.48111154890000007</v>
      </c>
      <c r="M735" s="115">
        <v>37421</v>
      </c>
      <c r="N735" s="130">
        <v>0</v>
      </c>
      <c r="O735" s="130"/>
      <c r="P735" s="130"/>
      <c r="Q735" s="115">
        <v>37421</v>
      </c>
      <c r="R735" s="130">
        <v>0.48111154890000007</v>
      </c>
      <c r="T735"/>
    </row>
    <row r="736" spans="9:20">
      <c r="I736" s="115">
        <v>37414</v>
      </c>
      <c r="J736" s="130">
        <v>0.48111154890000007</v>
      </c>
      <c r="M736" s="115">
        <v>37414</v>
      </c>
      <c r="N736" s="130">
        <v>2.8647817400000001E-2</v>
      </c>
      <c r="O736" s="130"/>
      <c r="P736" s="130"/>
      <c r="Q736" s="115">
        <v>37414</v>
      </c>
      <c r="R736" s="130">
        <v>0.48111154890000007</v>
      </c>
      <c r="T736"/>
    </row>
    <row r="737" spans="9:20">
      <c r="I737" s="115">
        <v>37407</v>
      </c>
      <c r="J737" s="130">
        <v>0.43049641970000002</v>
      </c>
      <c r="M737" s="115">
        <v>37407</v>
      </c>
      <c r="N737" s="130">
        <v>0</v>
      </c>
      <c r="O737" s="130"/>
      <c r="P737" s="130"/>
      <c r="Q737" s="115">
        <v>37407</v>
      </c>
      <c r="R737" s="130">
        <v>0.24856269460000002</v>
      </c>
      <c r="T737"/>
    </row>
    <row r="738" spans="9:20">
      <c r="I738" s="115">
        <v>37400</v>
      </c>
      <c r="J738" s="130">
        <v>0.42128286510000001</v>
      </c>
      <c r="M738" s="115">
        <v>37400</v>
      </c>
      <c r="N738" s="130">
        <v>0</v>
      </c>
      <c r="O738" s="130"/>
      <c r="P738" s="130"/>
      <c r="Q738" s="115">
        <v>37400</v>
      </c>
      <c r="R738" s="130">
        <v>3.1282087E-2</v>
      </c>
      <c r="T738"/>
    </row>
    <row r="739" spans="9:20">
      <c r="I739" s="115">
        <v>37393</v>
      </c>
      <c r="J739" s="130">
        <v>0.37664184899999997</v>
      </c>
      <c r="M739" s="115">
        <v>37393</v>
      </c>
      <c r="N739" s="130">
        <v>0</v>
      </c>
      <c r="O739" s="130"/>
      <c r="P739" s="130"/>
      <c r="Q739" s="115">
        <v>37393</v>
      </c>
      <c r="R739" s="130">
        <v>1.6416604800000002E-2</v>
      </c>
      <c r="T739"/>
    </row>
    <row r="740" spans="9:20">
      <c r="I740" s="115">
        <v>37386</v>
      </c>
      <c r="J740" s="130">
        <v>0.42743876180000001</v>
      </c>
      <c r="M740" s="115">
        <v>37386</v>
      </c>
      <c r="N740" s="130">
        <v>0</v>
      </c>
      <c r="O740" s="130"/>
      <c r="P740" s="130"/>
      <c r="Q740" s="115">
        <v>37386</v>
      </c>
      <c r="R740" s="130">
        <v>0.24634597559999999</v>
      </c>
      <c r="T740"/>
    </row>
    <row r="741" spans="9:20">
      <c r="I741" s="115">
        <v>37379</v>
      </c>
      <c r="J741" s="130">
        <v>0.43254150460000002</v>
      </c>
      <c r="M741" s="115">
        <v>37379</v>
      </c>
      <c r="N741" s="130">
        <v>1.9527805400000001E-2</v>
      </c>
      <c r="O741" s="130"/>
      <c r="P741" s="130"/>
      <c r="Q741" s="115">
        <v>37379</v>
      </c>
      <c r="R741" s="130">
        <v>0.2532556815</v>
      </c>
      <c r="T741"/>
    </row>
    <row r="742" spans="9:20">
      <c r="I742" s="115">
        <v>37372</v>
      </c>
      <c r="J742" s="130">
        <v>0.40667576529999999</v>
      </c>
      <c r="M742" s="115">
        <v>37372</v>
      </c>
      <c r="N742" s="130">
        <v>0</v>
      </c>
      <c r="O742" s="130"/>
      <c r="P742" s="130"/>
      <c r="Q742" s="115">
        <v>37372</v>
      </c>
      <c r="R742" s="130">
        <v>1.66981189E-2</v>
      </c>
      <c r="T742"/>
    </row>
    <row r="743" spans="9:20">
      <c r="I743" s="115">
        <v>37365</v>
      </c>
      <c r="J743" s="130">
        <v>0.37985195119999998</v>
      </c>
      <c r="M743" s="115">
        <v>37365</v>
      </c>
      <c r="N743" s="130">
        <v>0</v>
      </c>
      <c r="O743" s="130"/>
      <c r="P743" s="130"/>
      <c r="Q743" s="115">
        <v>37365</v>
      </c>
      <c r="R743" s="130">
        <v>1.53449676E-2</v>
      </c>
      <c r="T743"/>
    </row>
    <row r="744" spans="9:20">
      <c r="I744" s="115">
        <v>37358</v>
      </c>
      <c r="J744" s="130">
        <v>0.33971167349999998</v>
      </c>
      <c r="M744" s="115">
        <v>37358</v>
      </c>
      <c r="N744" s="130">
        <v>0</v>
      </c>
      <c r="O744" s="130"/>
      <c r="P744" s="130"/>
      <c r="Q744" s="115">
        <v>37358</v>
      </c>
      <c r="R744" s="130">
        <v>1.07460165E-2</v>
      </c>
      <c r="T744"/>
    </row>
    <row r="745" spans="9:20">
      <c r="I745" s="115">
        <v>37351</v>
      </c>
      <c r="J745" s="130">
        <v>0.2834161093</v>
      </c>
      <c r="M745" s="115">
        <v>37351</v>
      </c>
      <c r="N745" s="130">
        <v>0</v>
      </c>
      <c r="O745" s="130"/>
      <c r="P745" s="130"/>
      <c r="Q745" s="115">
        <v>37351</v>
      </c>
      <c r="R745" s="130">
        <v>6.6053431000000001E-3</v>
      </c>
      <c r="T745"/>
    </row>
    <row r="746" spans="9:20">
      <c r="I746" s="115">
        <v>37344</v>
      </c>
      <c r="J746" s="130">
        <v>0.27637186070000003</v>
      </c>
      <c r="M746" s="115">
        <v>37344</v>
      </c>
      <c r="N746" s="130">
        <v>0</v>
      </c>
      <c r="O746" s="130"/>
      <c r="P746" s="130"/>
      <c r="Q746" s="115">
        <v>37344</v>
      </c>
      <c r="R746" s="130">
        <v>1.6274212000000001E-3</v>
      </c>
      <c r="T746"/>
    </row>
    <row r="747" spans="9:20">
      <c r="I747" s="115">
        <v>37337</v>
      </c>
      <c r="J747" s="130">
        <v>0.29382900470000001</v>
      </c>
      <c r="M747" s="115">
        <v>37337</v>
      </c>
      <c r="N747" s="130">
        <v>0</v>
      </c>
      <c r="O747" s="130"/>
      <c r="P747" s="130"/>
      <c r="Q747" s="115">
        <v>37337</v>
      </c>
      <c r="R747" s="130">
        <v>4.4198403000000001E-3</v>
      </c>
      <c r="T747"/>
    </row>
    <row r="748" spans="9:20">
      <c r="I748" s="115">
        <v>37330</v>
      </c>
      <c r="J748" s="130">
        <v>0.3180917774</v>
      </c>
      <c r="M748" s="115">
        <v>37330</v>
      </c>
      <c r="N748" s="130">
        <v>0</v>
      </c>
      <c r="O748" s="130"/>
      <c r="P748" s="130"/>
      <c r="Q748" s="115">
        <v>37330</v>
      </c>
      <c r="R748" s="130">
        <v>4.6452934999999997E-3</v>
      </c>
      <c r="T748"/>
    </row>
    <row r="749" spans="9:20">
      <c r="I749" s="115">
        <v>37323</v>
      </c>
      <c r="J749" s="130">
        <v>0.42779525940000002</v>
      </c>
      <c r="M749" s="115">
        <v>37323</v>
      </c>
      <c r="N749" s="130">
        <v>0</v>
      </c>
      <c r="O749" s="130"/>
      <c r="P749" s="130"/>
      <c r="Q749" s="115">
        <v>37323</v>
      </c>
      <c r="R749" s="130">
        <v>1.17028108E-2</v>
      </c>
      <c r="T749"/>
    </row>
    <row r="750" spans="9:20">
      <c r="I750" s="115">
        <v>37316</v>
      </c>
      <c r="J750" s="130">
        <v>0.45873030170000006</v>
      </c>
      <c r="M750" s="115">
        <v>37316</v>
      </c>
      <c r="N750" s="130">
        <v>7.9397592000000003E-3</v>
      </c>
      <c r="O750" s="130"/>
      <c r="P750" s="130"/>
      <c r="Q750" s="115">
        <v>37316</v>
      </c>
      <c r="R750" s="130">
        <v>0.25957472780000002</v>
      </c>
      <c r="T750"/>
    </row>
    <row r="751" spans="9:20">
      <c r="I751" s="115">
        <v>37309</v>
      </c>
      <c r="J751" s="130">
        <v>0.47976903850000008</v>
      </c>
      <c r="M751" s="115">
        <v>37309</v>
      </c>
      <c r="N751" s="130">
        <v>4.3143447000000001E-3</v>
      </c>
      <c r="O751" s="130"/>
      <c r="P751" s="130"/>
      <c r="Q751" s="115">
        <v>37309</v>
      </c>
      <c r="R751" s="130">
        <v>0.27022381829999997</v>
      </c>
      <c r="T751"/>
    </row>
    <row r="752" spans="9:20">
      <c r="I752" s="115">
        <v>37302</v>
      </c>
      <c r="J752" s="130">
        <v>0.45390317489999998</v>
      </c>
      <c r="M752" s="115">
        <v>37302</v>
      </c>
      <c r="N752" s="130">
        <v>0</v>
      </c>
      <c r="O752" s="130"/>
      <c r="P752" s="130"/>
      <c r="Q752" s="115">
        <v>37302</v>
      </c>
      <c r="R752" s="130">
        <v>0.25044859679999998</v>
      </c>
      <c r="T752"/>
    </row>
    <row r="753" spans="9:20">
      <c r="I753" s="115">
        <v>37295</v>
      </c>
      <c r="J753" s="130">
        <v>0.44905399820000003</v>
      </c>
      <c r="M753" s="115">
        <v>37295</v>
      </c>
      <c r="N753" s="130">
        <v>0</v>
      </c>
      <c r="O753" s="130"/>
      <c r="P753" s="130"/>
      <c r="Q753" s="115">
        <v>37295</v>
      </c>
      <c r="R753" s="130">
        <v>0.24831433320000001</v>
      </c>
      <c r="T753"/>
    </row>
    <row r="754" spans="9:20">
      <c r="I754" s="115">
        <v>37288</v>
      </c>
      <c r="J754" s="130">
        <v>0.3782621726</v>
      </c>
      <c r="M754" s="115">
        <v>37288</v>
      </c>
      <c r="N754" s="130">
        <v>0</v>
      </c>
      <c r="O754" s="130"/>
      <c r="P754" s="130"/>
      <c r="Q754" s="115">
        <v>37288</v>
      </c>
      <c r="R754" s="130">
        <v>1.05445122E-2</v>
      </c>
      <c r="T754"/>
    </row>
    <row r="755" spans="9:20">
      <c r="I755" s="115">
        <v>37281</v>
      </c>
      <c r="J755" s="130">
        <v>0.4308730818</v>
      </c>
      <c r="M755" s="115">
        <v>37281</v>
      </c>
      <c r="N755" s="130">
        <v>0</v>
      </c>
      <c r="O755" s="130"/>
      <c r="P755" s="130"/>
      <c r="Q755" s="115">
        <v>37281</v>
      </c>
      <c r="R755" s="130">
        <v>9.8849194000000008E-3</v>
      </c>
      <c r="T755"/>
    </row>
    <row r="756" spans="9:20">
      <c r="I756" s="115">
        <v>37274</v>
      </c>
      <c r="J756" s="130">
        <v>0.49176947479999999</v>
      </c>
      <c r="M756" s="115">
        <v>37274</v>
      </c>
      <c r="N756" s="130">
        <v>0</v>
      </c>
      <c r="O756" s="130"/>
      <c r="P756" s="130"/>
      <c r="Q756" s="115">
        <v>37274</v>
      </c>
      <c r="R756" s="130">
        <v>0.2747450461</v>
      </c>
      <c r="T756"/>
    </row>
    <row r="757" spans="9:20">
      <c r="I757" s="115">
        <v>37267</v>
      </c>
      <c r="J757" s="130">
        <v>0.35552212830000002</v>
      </c>
      <c r="M757" s="115">
        <v>37267</v>
      </c>
      <c r="N757" s="130">
        <v>0</v>
      </c>
      <c r="O757" s="130"/>
      <c r="P757" s="130"/>
      <c r="Q757" s="115">
        <v>37267</v>
      </c>
      <c r="R757" s="130">
        <v>6.4130580000000001E-3</v>
      </c>
      <c r="T757"/>
    </row>
    <row r="758" spans="9:20">
      <c r="I758" s="115">
        <v>37260</v>
      </c>
      <c r="J758" s="130">
        <v>0.32043101390000001</v>
      </c>
      <c r="M758" s="115">
        <v>37260</v>
      </c>
      <c r="N758" s="130">
        <v>0</v>
      </c>
      <c r="O758" s="130"/>
      <c r="P758" s="130"/>
      <c r="Q758" s="115">
        <v>37260</v>
      </c>
      <c r="R758" s="130">
        <v>5.6437689999999999E-3</v>
      </c>
      <c r="T758"/>
    </row>
    <row r="759" spans="9:20">
      <c r="I759" s="115">
        <v>37253</v>
      </c>
      <c r="J759" s="130">
        <v>0.33274057689999997</v>
      </c>
      <c r="M759" s="115">
        <v>37253</v>
      </c>
      <c r="N759" s="130">
        <v>0</v>
      </c>
      <c r="O759" s="130"/>
      <c r="P759" s="130"/>
      <c r="Q759" s="115">
        <v>37253</v>
      </c>
      <c r="R759" s="130">
        <v>3.2916696999999999E-3</v>
      </c>
      <c r="T759"/>
    </row>
    <row r="760" spans="9:20">
      <c r="I760" s="115">
        <v>37246</v>
      </c>
      <c r="J760" s="130">
        <v>0.33741465189999997</v>
      </c>
      <c r="M760" s="115">
        <v>37246</v>
      </c>
      <c r="N760" s="130">
        <v>0</v>
      </c>
      <c r="O760" s="130"/>
      <c r="P760" s="130"/>
      <c r="Q760" s="115">
        <v>37246</v>
      </c>
      <c r="R760" s="130">
        <v>3.3853634999999999E-3</v>
      </c>
      <c r="T760"/>
    </row>
    <row r="761" spans="9:20">
      <c r="I761" s="115">
        <v>37239</v>
      </c>
      <c r="J761" s="130">
        <v>0.36564866899999998</v>
      </c>
      <c r="M761" s="115">
        <v>37239</v>
      </c>
      <c r="N761" s="130">
        <v>0</v>
      </c>
      <c r="O761" s="130"/>
      <c r="P761" s="130"/>
      <c r="Q761" s="115">
        <v>37239</v>
      </c>
      <c r="R761" s="130">
        <v>3.8952348999999999E-3</v>
      </c>
      <c r="T761"/>
    </row>
    <row r="762" spans="9:20">
      <c r="I762" s="115">
        <v>37232</v>
      </c>
      <c r="J762" s="130">
        <v>0.5107234101</v>
      </c>
      <c r="M762" s="115">
        <v>37232</v>
      </c>
      <c r="N762" s="130">
        <v>0</v>
      </c>
      <c r="O762" s="130"/>
      <c r="P762" s="130"/>
      <c r="Q762" s="115">
        <v>37232</v>
      </c>
      <c r="R762" s="130">
        <v>0.2830033018</v>
      </c>
      <c r="T762"/>
    </row>
    <row r="763" spans="9:20">
      <c r="I763" s="115">
        <v>37225</v>
      </c>
      <c r="J763" s="130">
        <v>0.43941438290000001</v>
      </c>
      <c r="M763" s="115">
        <v>37225</v>
      </c>
      <c r="N763" s="130">
        <v>0</v>
      </c>
      <c r="O763" s="130"/>
      <c r="P763" s="130"/>
      <c r="Q763" s="115">
        <v>37225</v>
      </c>
      <c r="R763" s="130">
        <v>9.9974972999999998E-3</v>
      </c>
      <c r="T763"/>
    </row>
    <row r="764" spans="9:20">
      <c r="I764" s="115">
        <v>37218</v>
      </c>
      <c r="J764" s="130">
        <v>0.56082687750000004</v>
      </c>
      <c r="M764" s="115">
        <v>37218</v>
      </c>
      <c r="N764" s="130">
        <v>0</v>
      </c>
      <c r="O764" s="130"/>
      <c r="P764" s="130"/>
      <c r="Q764" s="115">
        <v>37218</v>
      </c>
      <c r="R764" s="130">
        <v>0.31759692940000001</v>
      </c>
      <c r="T764"/>
    </row>
    <row r="765" spans="9:20">
      <c r="I765" s="115">
        <v>37211</v>
      </c>
      <c r="J765" s="130">
        <v>0.80653220240000001</v>
      </c>
      <c r="M765" s="115">
        <v>37211</v>
      </c>
      <c r="N765" s="130">
        <v>0</v>
      </c>
      <c r="O765" s="130"/>
      <c r="P765" s="130"/>
      <c r="Q765" s="115">
        <v>37211</v>
      </c>
      <c r="R765" s="130">
        <v>0.80653220240000001</v>
      </c>
      <c r="T765"/>
    </row>
    <row r="766" spans="9:20">
      <c r="I766" s="115">
        <v>37204</v>
      </c>
      <c r="J766" s="130">
        <v>0.85462935200000001</v>
      </c>
      <c r="M766" s="115">
        <v>37204</v>
      </c>
      <c r="N766" s="130">
        <v>0.85462935200000001</v>
      </c>
      <c r="O766" s="130"/>
      <c r="P766" s="130"/>
      <c r="Q766" s="115">
        <v>37204</v>
      </c>
      <c r="R766" s="130">
        <v>0.85462935200000001</v>
      </c>
      <c r="T766"/>
    </row>
    <row r="767" spans="9:20">
      <c r="I767" s="115">
        <v>37197</v>
      </c>
      <c r="J767" s="130">
        <v>0.77350413520000005</v>
      </c>
      <c r="M767" s="115">
        <v>37197</v>
      </c>
      <c r="N767" s="130">
        <v>0.45210568550000008</v>
      </c>
      <c r="O767" s="130"/>
      <c r="P767" s="130"/>
      <c r="Q767" s="115">
        <v>37197</v>
      </c>
      <c r="R767" s="130">
        <v>0.77350413520000005</v>
      </c>
      <c r="T767"/>
    </row>
    <row r="768" spans="9:20">
      <c r="I768" s="115">
        <v>37190</v>
      </c>
      <c r="J768" s="130">
        <v>0.69206599680000003</v>
      </c>
      <c r="M768" s="115">
        <v>37190</v>
      </c>
      <c r="N768" s="130">
        <v>0</v>
      </c>
      <c r="O768" s="130"/>
      <c r="P768" s="130"/>
      <c r="Q768" s="115">
        <v>37190</v>
      </c>
      <c r="R768" s="130">
        <v>0.69206599680000003</v>
      </c>
      <c r="T768"/>
    </row>
    <row r="769" spans="9:20">
      <c r="I769" s="115">
        <v>37183</v>
      </c>
      <c r="J769" s="130">
        <v>0.69514611969999995</v>
      </c>
      <c r="M769" s="115">
        <v>37183</v>
      </c>
      <c r="N769" s="130">
        <v>0</v>
      </c>
      <c r="O769" s="130"/>
      <c r="P769" s="130"/>
      <c r="Q769" s="115">
        <v>37183</v>
      </c>
      <c r="R769" s="130">
        <v>0.69514611969999995</v>
      </c>
      <c r="T769"/>
    </row>
    <row r="770" spans="9:20">
      <c r="I770" s="115">
        <v>37176</v>
      </c>
      <c r="J770" s="130">
        <v>0.75924082849999996</v>
      </c>
      <c r="M770" s="115">
        <v>37176</v>
      </c>
      <c r="N770" s="130">
        <v>0.43111989109999999</v>
      </c>
      <c r="O770" s="130"/>
      <c r="P770" s="130"/>
      <c r="Q770" s="115">
        <v>37176</v>
      </c>
      <c r="R770" s="130">
        <v>0.75924082849999996</v>
      </c>
      <c r="T770"/>
    </row>
    <row r="771" spans="9:20">
      <c r="I771" s="115">
        <v>37169</v>
      </c>
      <c r="J771" s="130">
        <v>0.69206599680000003</v>
      </c>
      <c r="M771" s="115">
        <v>37169</v>
      </c>
      <c r="N771" s="130">
        <v>0.3791971348</v>
      </c>
      <c r="O771" s="130"/>
      <c r="P771" s="130"/>
      <c r="Q771" s="115">
        <v>37169</v>
      </c>
      <c r="R771" s="130">
        <v>0.69206599680000003</v>
      </c>
      <c r="T771"/>
    </row>
    <row r="772" spans="9:20">
      <c r="I772" s="115">
        <v>37162</v>
      </c>
      <c r="J772" s="130">
        <v>0.57732034629999995</v>
      </c>
      <c r="M772" s="115">
        <v>37162</v>
      </c>
      <c r="N772" s="130">
        <v>0.30695497220000001</v>
      </c>
      <c r="O772" s="130"/>
      <c r="P772" s="130"/>
      <c r="Q772" s="115">
        <v>37162</v>
      </c>
      <c r="R772" s="130">
        <v>0.57732034629999995</v>
      </c>
      <c r="T772"/>
    </row>
    <row r="773" spans="9:20">
      <c r="I773" s="115">
        <v>37155</v>
      </c>
      <c r="J773" s="130">
        <v>0.53985847890000005</v>
      </c>
      <c r="M773" s="115">
        <v>37155</v>
      </c>
      <c r="N773" s="130">
        <v>0.28445028220000002</v>
      </c>
      <c r="O773" s="130"/>
      <c r="P773" s="130"/>
      <c r="Q773" s="115">
        <v>37155</v>
      </c>
      <c r="R773" s="130">
        <v>0.29340046180000001</v>
      </c>
      <c r="T773"/>
    </row>
    <row r="774" spans="9:20">
      <c r="I774" s="115">
        <v>37148</v>
      </c>
      <c r="J774" s="130">
        <v>0.50724613269999996</v>
      </c>
      <c r="M774" s="115">
        <v>37148</v>
      </c>
      <c r="N774" s="130">
        <v>0.26931495550000001</v>
      </c>
      <c r="O774" s="130"/>
      <c r="P774" s="130"/>
      <c r="Q774" s="115">
        <v>37148</v>
      </c>
      <c r="R774" s="130">
        <v>0.27494429869999998</v>
      </c>
      <c r="T774"/>
    </row>
    <row r="775" spans="9:20">
      <c r="I775" s="115">
        <v>37141</v>
      </c>
      <c r="J775" s="130">
        <v>0.50020566020000001</v>
      </c>
      <c r="M775" s="115">
        <v>37141</v>
      </c>
      <c r="N775" s="130">
        <v>6.7887039100000005E-2</v>
      </c>
      <c r="O775" s="130"/>
      <c r="P775" s="130"/>
      <c r="Q775" s="115">
        <v>37141</v>
      </c>
      <c r="R775" s="130">
        <v>0.27067009860000002</v>
      </c>
      <c r="T775"/>
    </row>
    <row r="776" spans="9:20">
      <c r="I776" s="115">
        <v>37134</v>
      </c>
      <c r="J776" s="130">
        <v>0.49440507719999999</v>
      </c>
      <c r="M776" s="115">
        <v>37134</v>
      </c>
      <c r="N776" s="130">
        <v>0</v>
      </c>
      <c r="O776" s="130"/>
      <c r="P776" s="130"/>
      <c r="Q776" s="115">
        <v>37134</v>
      </c>
      <c r="R776" s="130">
        <v>0.25629608650000002</v>
      </c>
      <c r="T776"/>
    </row>
    <row r="777" spans="9:20">
      <c r="I777" s="115">
        <v>37127</v>
      </c>
      <c r="J777" s="130">
        <v>0.49660135620000001</v>
      </c>
      <c r="M777" s="115">
        <v>37127</v>
      </c>
      <c r="N777" s="130">
        <v>2.8931830200000001E-2</v>
      </c>
      <c r="O777" s="130"/>
      <c r="P777" s="130"/>
      <c r="Q777" s="115">
        <v>37127</v>
      </c>
      <c r="R777" s="130">
        <v>0.25943285030000002</v>
      </c>
      <c r="T777"/>
    </row>
    <row r="778" spans="9:20">
      <c r="I778" s="115">
        <v>37120</v>
      </c>
      <c r="J778" s="130">
        <v>0.49440507719999999</v>
      </c>
      <c r="M778" s="115">
        <v>37120</v>
      </c>
      <c r="N778" s="130">
        <v>2.8585428900000001E-2</v>
      </c>
      <c r="O778" s="130"/>
      <c r="P778" s="130"/>
      <c r="Q778" s="115">
        <v>37120</v>
      </c>
      <c r="R778" s="130">
        <v>0.25629608650000002</v>
      </c>
      <c r="T778"/>
    </row>
    <row r="779" spans="9:20">
      <c r="I779" s="115">
        <v>37113</v>
      </c>
      <c r="J779" s="130">
        <v>0.45545264969999999</v>
      </c>
      <c r="M779" s="115">
        <v>37113</v>
      </c>
      <c r="N779" s="130">
        <v>0</v>
      </c>
      <c r="O779" s="130"/>
      <c r="P779" s="130"/>
      <c r="Q779" s="115">
        <v>37113</v>
      </c>
      <c r="R779" s="130">
        <v>0.23606688060000003</v>
      </c>
      <c r="T779"/>
    </row>
    <row r="780" spans="9:20">
      <c r="I780" s="115">
        <v>37106</v>
      </c>
      <c r="J780" s="130">
        <v>0.45545264969999999</v>
      </c>
      <c r="M780" s="115">
        <v>37106</v>
      </c>
      <c r="N780" s="130">
        <v>1.9613591E-2</v>
      </c>
      <c r="O780" s="130"/>
      <c r="P780" s="130"/>
      <c r="Q780" s="115">
        <v>37106</v>
      </c>
      <c r="R780" s="130">
        <v>0.23606688060000003</v>
      </c>
      <c r="T780"/>
    </row>
    <row r="781" spans="9:20">
      <c r="I781" s="115">
        <v>37099</v>
      </c>
      <c r="J781" s="130">
        <v>0.45342178040000003</v>
      </c>
      <c r="M781" s="115">
        <v>37099</v>
      </c>
      <c r="N781" s="130">
        <v>5.4945525000000004E-3</v>
      </c>
      <c r="O781" s="130"/>
      <c r="P781" s="130"/>
      <c r="Q781" s="115">
        <v>37099</v>
      </c>
      <c r="R781" s="130">
        <v>0.23700079499999999</v>
      </c>
      <c r="T781"/>
    </row>
    <row r="782" spans="9:20">
      <c r="I782" s="115">
        <v>37092</v>
      </c>
      <c r="J782" s="130">
        <v>0.43265294679999999</v>
      </c>
      <c r="M782" s="115">
        <v>37092</v>
      </c>
      <c r="N782" s="130">
        <v>4.6978888000000002E-3</v>
      </c>
      <c r="O782" s="130"/>
      <c r="P782" s="130"/>
      <c r="Q782" s="115">
        <v>37092</v>
      </c>
      <c r="R782" s="130">
        <v>0.23126785729999999</v>
      </c>
      <c r="T782"/>
    </row>
    <row r="783" spans="9:20">
      <c r="I783" s="115">
        <v>37085</v>
      </c>
      <c r="J783" s="130">
        <v>0.36904974000000001</v>
      </c>
      <c r="M783" s="115">
        <v>37085</v>
      </c>
      <c r="N783" s="130">
        <v>0</v>
      </c>
      <c r="O783" s="130"/>
      <c r="P783" s="130"/>
      <c r="Q783" s="115">
        <v>37085</v>
      </c>
      <c r="R783" s="130">
        <v>7.4465182999999997E-3</v>
      </c>
      <c r="T783"/>
    </row>
    <row r="784" spans="9:20">
      <c r="I784" s="115">
        <v>37078</v>
      </c>
      <c r="J784" s="130">
        <v>0.37859887120000002</v>
      </c>
      <c r="M784" s="115">
        <v>37078</v>
      </c>
      <c r="N784" s="130">
        <v>0</v>
      </c>
      <c r="O784" s="130"/>
      <c r="P784" s="130"/>
      <c r="Q784" s="115">
        <v>37078</v>
      </c>
      <c r="R784" s="130">
        <v>7.6662579999999996E-3</v>
      </c>
      <c r="T784"/>
    </row>
    <row r="785" spans="9:20">
      <c r="I785" s="115">
        <v>37071</v>
      </c>
      <c r="J785" s="130">
        <v>0.42281229939999998</v>
      </c>
      <c r="M785" s="115">
        <v>37071</v>
      </c>
      <c r="N785" s="130">
        <v>0</v>
      </c>
      <c r="O785" s="130"/>
      <c r="P785" s="130"/>
      <c r="Q785" s="115">
        <v>37071</v>
      </c>
      <c r="R785" s="130">
        <v>9.1897816000000004E-3</v>
      </c>
      <c r="T785"/>
    </row>
    <row r="786" spans="9:20">
      <c r="I786" s="115">
        <v>37064</v>
      </c>
      <c r="J786" s="130">
        <v>0.42281229939999998</v>
      </c>
      <c r="M786" s="115">
        <v>37064</v>
      </c>
      <c r="N786" s="130">
        <v>0</v>
      </c>
      <c r="O786" s="130"/>
      <c r="P786" s="130"/>
      <c r="Q786" s="115">
        <v>37064</v>
      </c>
      <c r="R786" s="130">
        <v>1.99622289E-2</v>
      </c>
      <c r="T786"/>
    </row>
    <row r="787" spans="9:20">
      <c r="I787" s="115">
        <v>37057</v>
      </c>
      <c r="J787" s="130">
        <v>0.42091616970000001</v>
      </c>
      <c r="M787" s="115">
        <v>37057</v>
      </c>
      <c r="N787" s="130">
        <v>0</v>
      </c>
      <c r="O787" s="130"/>
      <c r="P787" s="130"/>
      <c r="Q787" s="115">
        <v>37057</v>
      </c>
      <c r="R787" s="130">
        <v>9.1746502000000004E-3</v>
      </c>
      <c r="T787"/>
    </row>
    <row r="788" spans="9:20">
      <c r="I788" s="115">
        <v>37050</v>
      </c>
      <c r="J788" s="130">
        <v>0.37587776550000002</v>
      </c>
      <c r="M788" s="115">
        <v>37050</v>
      </c>
      <c r="N788" s="130">
        <v>0</v>
      </c>
      <c r="O788" s="130"/>
      <c r="P788" s="130"/>
      <c r="Q788" s="115">
        <v>37050</v>
      </c>
      <c r="R788" s="130">
        <v>3.8466009999999998E-3</v>
      </c>
      <c r="T788"/>
    </row>
    <row r="789" spans="9:20">
      <c r="I789" s="115">
        <v>37043</v>
      </c>
      <c r="J789" s="130">
        <v>0.37111550970000001</v>
      </c>
      <c r="M789" s="115">
        <v>37043</v>
      </c>
      <c r="N789" s="130">
        <v>0</v>
      </c>
      <c r="O789" s="130"/>
      <c r="P789" s="130"/>
      <c r="Q789" s="115">
        <v>37043</v>
      </c>
      <c r="R789" s="130">
        <v>3.7161288999999998E-3</v>
      </c>
      <c r="T789"/>
    </row>
    <row r="790" spans="9:20">
      <c r="I790" s="115">
        <v>37036</v>
      </c>
      <c r="J790" s="130">
        <v>0.39089397939999998</v>
      </c>
      <c r="M790" s="115">
        <v>37036</v>
      </c>
      <c r="N790" s="130">
        <v>0</v>
      </c>
      <c r="O790" s="130"/>
      <c r="P790" s="130"/>
      <c r="Q790" s="115">
        <v>37036</v>
      </c>
      <c r="R790" s="130">
        <v>3.7505239999999999E-3</v>
      </c>
      <c r="T790"/>
    </row>
    <row r="791" spans="9:20">
      <c r="I791" s="115">
        <v>37029</v>
      </c>
      <c r="J791" s="130">
        <v>0.42427425940000002</v>
      </c>
      <c r="M791" s="115">
        <v>37029</v>
      </c>
      <c r="N791" s="130">
        <v>0</v>
      </c>
      <c r="O791" s="130"/>
      <c r="P791" s="130"/>
      <c r="Q791" s="115">
        <v>37029</v>
      </c>
      <c r="R791" s="130">
        <v>4.3329505999999997E-3</v>
      </c>
      <c r="T791"/>
    </row>
    <row r="792" spans="9:20">
      <c r="I792" s="115">
        <v>37022</v>
      </c>
      <c r="J792" s="130">
        <v>0.45300056480000006</v>
      </c>
      <c r="M792" s="115">
        <v>37022</v>
      </c>
      <c r="N792" s="130">
        <v>0</v>
      </c>
      <c r="O792" s="130"/>
      <c r="P792" s="130"/>
      <c r="Q792" s="115">
        <v>37022</v>
      </c>
      <c r="R792" s="130">
        <v>0.24330014830000002</v>
      </c>
      <c r="T792"/>
    </row>
    <row r="793" spans="9:20">
      <c r="I793" s="115">
        <v>37015</v>
      </c>
      <c r="J793" s="130">
        <v>0.43615923639999998</v>
      </c>
      <c r="M793" s="115">
        <v>37015</v>
      </c>
      <c r="N793" s="130">
        <v>0</v>
      </c>
      <c r="O793" s="130"/>
      <c r="P793" s="130"/>
      <c r="Q793" s="115">
        <v>37015</v>
      </c>
      <c r="R793" s="130">
        <v>1.48844752E-2</v>
      </c>
      <c r="T793"/>
    </row>
    <row r="794" spans="9:20">
      <c r="I794" s="115">
        <v>37008</v>
      </c>
      <c r="J794" s="130">
        <v>0.4462489744</v>
      </c>
      <c r="M794" s="115">
        <v>37008</v>
      </c>
      <c r="N794" s="130">
        <v>0</v>
      </c>
      <c r="O794" s="130"/>
      <c r="P794" s="130"/>
      <c r="Q794" s="115">
        <v>37008</v>
      </c>
      <c r="R794" s="130">
        <v>1.0538066800000001E-2</v>
      </c>
      <c r="T794"/>
    </row>
    <row r="795" spans="9:20">
      <c r="I795" s="115">
        <v>37001</v>
      </c>
      <c r="J795" s="130">
        <v>0.44752009139999999</v>
      </c>
      <c r="M795" s="115">
        <v>37001</v>
      </c>
      <c r="N795" s="130">
        <v>0</v>
      </c>
      <c r="O795" s="130"/>
      <c r="P795" s="130"/>
      <c r="Q795" s="115">
        <v>37001</v>
      </c>
      <c r="R795" s="130">
        <v>1.05431073E-2</v>
      </c>
      <c r="T795"/>
    </row>
    <row r="796" spans="9:20">
      <c r="I796" s="115">
        <v>36994</v>
      </c>
      <c r="J796" s="130">
        <v>0.51189026800000004</v>
      </c>
      <c r="M796" s="115">
        <v>36994</v>
      </c>
      <c r="N796" s="130">
        <v>0</v>
      </c>
      <c r="O796" s="130"/>
      <c r="P796" s="130"/>
      <c r="Q796" s="115">
        <v>36994</v>
      </c>
      <c r="R796" s="130">
        <v>0.25990332389999998</v>
      </c>
      <c r="T796"/>
    </row>
    <row r="797" spans="9:20">
      <c r="I797" s="115">
        <v>36987</v>
      </c>
      <c r="J797" s="130">
        <v>0.51596048019999996</v>
      </c>
      <c r="M797" s="115">
        <v>36987</v>
      </c>
      <c r="N797" s="130">
        <v>0</v>
      </c>
      <c r="O797" s="130"/>
      <c r="P797" s="130"/>
      <c r="Q797" s="115">
        <v>36987</v>
      </c>
      <c r="R797" s="130">
        <v>0.26196089140000001</v>
      </c>
      <c r="T797"/>
    </row>
    <row r="798" spans="9:20">
      <c r="I798" s="115">
        <v>36980</v>
      </c>
      <c r="J798" s="130">
        <v>0.55835161030000002</v>
      </c>
      <c r="M798" s="115">
        <v>36980</v>
      </c>
      <c r="N798" s="130">
        <v>0</v>
      </c>
      <c r="O798" s="130"/>
      <c r="P798" s="130"/>
      <c r="Q798" s="115">
        <v>36980</v>
      </c>
      <c r="R798" s="130">
        <v>0.27740108699999999</v>
      </c>
      <c r="T798"/>
    </row>
    <row r="799" spans="9:20">
      <c r="I799" s="115">
        <v>36973</v>
      </c>
      <c r="J799" s="130">
        <v>0.55726514500000002</v>
      </c>
      <c r="M799" s="115">
        <v>36973</v>
      </c>
      <c r="N799" s="130">
        <v>0</v>
      </c>
      <c r="O799" s="130"/>
      <c r="P799" s="130"/>
      <c r="Q799" s="115">
        <v>36973</v>
      </c>
      <c r="R799" s="130">
        <v>0.27725762139999999</v>
      </c>
      <c r="T799"/>
    </row>
    <row r="800" spans="9:20">
      <c r="I800" s="115">
        <v>36966</v>
      </c>
      <c r="J800" s="130">
        <v>0.54626842350000004</v>
      </c>
      <c r="M800" s="115">
        <v>36966</v>
      </c>
      <c r="N800" s="130">
        <v>0</v>
      </c>
      <c r="O800" s="130"/>
      <c r="P800" s="130"/>
      <c r="Q800" s="115">
        <v>36966</v>
      </c>
      <c r="R800" s="130">
        <v>0.27133337439999999</v>
      </c>
      <c r="T800"/>
    </row>
    <row r="801" spans="9:20">
      <c r="I801" s="115">
        <v>36959</v>
      </c>
      <c r="J801" s="130">
        <v>0.53834957569999997</v>
      </c>
      <c r="M801" s="115">
        <v>36959</v>
      </c>
      <c r="N801" s="130">
        <v>0</v>
      </c>
      <c r="O801" s="130"/>
      <c r="P801" s="130"/>
      <c r="Q801" s="115">
        <v>36959</v>
      </c>
      <c r="R801" s="130">
        <v>0.2684356591</v>
      </c>
      <c r="T801"/>
    </row>
    <row r="802" spans="9:20">
      <c r="I802" s="115">
        <v>36952</v>
      </c>
      <c r="J802" s="130">
        <v>0.49947049809999999</v>
      </c>
      <c r="M802" s="115">
        <v>36952</v>
      </c>
      <c r="N802" s="130">
        <v>0</v>
      </c>
      <c r="O802" s="130"/>
      <c r="P802" s="130"/>
      <c r="Q802" s="115">
        <v>36952</v>
      </c>
      <c r="R802" s="130">
        <v>0.25943978550000002</v>
      </c>
      <c r="T802"/>
    </row>
    <row r="803" spans="9:20">
      <c r="I803" s="115">
        <v>36945</v>
      </c>
      <c r="J803" s="130">
        <v>0.44931982640000001</v>
      </c>
      <c r="M803" s="115">
        <v>36945</v>
      </c>
      <c r="N803" s="130">
        <v>0</v>
      </c>
      <c r="O803" s="130"/>
      <c r="P803" s="130"/>
      <c r="Q803" s="115">
        <v>36945</v>
      </c>
      <c r="R803" s="130">
        <v>0.2357738855</v>
      </c>
      <c r="T803"/>
    </row>
    <row r="804" spans="9:20">
      <c r="I804" s="115">
        <v>36938</v>
      </c>
      <c r="J804" s="130">
        <v>0.51108276549999998</v>
      </c>
      <c r="M804" s="115">
        <v>36938</v>
      </c>
      <c r="N804" s="130">
        <v>0</v>
      </c>
      <c r="O804" s="130"/>
      <c r="P804" s="130"/>
      <c r="Q804" s="115">
        <v>36938</v>
      </c>
      <c r="R804" s="130">
        <v>0.24963972779999999</v>
      </c>
      <c r="T804"/>
    </row>
    <row r="805" spans="9:20">
      <c r="I805" s="115">
        <v>36931</v>
      </c>
      <c r="J805" s="130">
        <v>0.51533666690000002</v>
      </c>
      <c r="M805" s="115">
        <v>36931</v>
      </c>
      <c r="N805" s="130">
        <v>0</v>
      </c>
      <c r="O805" s="130"/>
      <c r="P805" s="130"/>
      <c r="Q805" s="115">
        <v>36931</v>
      </c>
      <c r="R805" s="130">
        <v>0.25185900259999999</v>
      </c>
      <c r="T805"/>
    </row>
    <row r="806" spans="9:20">
      <c r="I806" s="115">
        <v>36924</v>
      </c>
      <c r="J806" s="130">
        <v>0.45290993570000004</v>
      </c>
      <c r="M806" s="115">
        <v>36924</v>
      </c>
      <c r="N806" s="130">
        <v>0</v>
      </c>
      <c r="O806" s="130"/>
      <c r="P806" s="130"/>
      <c r="Q806" s="115">
        <v>36924</v>
      </c>
      <c r="R806" s="130">
        <v>0.23606411710000003</v>
      </c>
      <c r="T806"/>
    </row>
    <row r="807" spans="9:20">
      <c r="I807" s="115">
        <v>36917</v>
      </c>
      <c r="J807" s="130">
        <v>0.43815028290000002</v>
      </c>
      <c r="M807" s="115">
        <v>36917</v>
      </c>
      <c r="N807" s="130">
        <v>0</v>
      </c>
      <c r="O807" s="130"/>
      <c r="P807" s="130"/>
      <c r="Q807" s="115">
        <v>36917</v>
      </c>
      <c r="R807" s="130">
        <v>0.22034103050000001</v>
      </c>
      <c r="T807"/>
    </row>
    <row r="808" spans="9:20">
      <c r="I808" s="115">
        <v>36910</v>
      </c>
      <c r="J808" s="130">
        <v>0.49419927549999998</v>
      </c>
      <c r="M808" s="115">
        <v>36910</v>
      </c>
      <c r="N808" s="130">
        <v>0</v>
      </c>
      <c r="O808" s="130"/>
      <c r="P808" s="130"/>
      <c r="Q808" s="115">
        <v>36910</v>
      </c>
      <c r="R808" s="130">
        <v>0.2345948457</v>
      </c>
      <c r="T808"/>
    </row>
    <row r="809" spans="9:20">
      <c r="I809" s="115">
        <v>36903</v>
      </c>
      <c r="J809" s="130">
        <v>0.55589357689999996</v>
      </c>
      <c r="M809" s="115">
        <v>36903</v>
      </c>
      <c r="N809" s="130">
        <v>0.24993844160000001</v>
      </c>
      <c r="O809" s="130"/>
      <c r="P809" s="130"/>
      <c r="Q809" s="115">
        <v>36903</v>
      </c>
      <c r="R809" s="130">
        <v>0.25699256459999997</v>
      </c>
      <c r="T809"/>
    </row>
    <row r="810" spans="9:20">
      <c r="I810" s="115">
        <v>36896</v>
      </c>
      <c r="J810" s="130">
        <v>0.45324913560000002</v>
      </c>
      <c r="M810" s="115">
        <v>36896</v>
      </c>
      <c r="N810" s="130">
        <v>0.22081343040000001</v>
      </c>
      <c r="O810" s="130"/>
      <c r="P810" s="130"/>
      <c r="Q810" s="115">
        <v>36896</v>
      </c>
      <c r="R810" s="130">
        <v>0.22645914980000001</v>
      </c>
      <c r="T810"/>
    </row>
    <row r="811" spans="9:20">
      <c r="I811" s="115">
        <v>36889</v>
      </c>
      <c r="J811" s="130">
        <v>0.41978342569999999</v>
      </c>
      <c r="M811" s="115">
        <v>36889</v>
      </c>
      <c r="N811" s="130">
        <v>0.20106145080000001</v>
      </c>
      <c r="O811" s="130"/>
      <c r="P811" s="130"/>
      <c r="Q811" s="115">
        <v>36889</v>
      </c>
      <c r="R811" s="130">
        <v>0.20601654659999999</v>
      </c>
      <c r="T811"/>
    </row>
    <row r="812" spans="9:20">
      <c r="I812" s="115">
        <v>36882</v>
      </c>
      <c r="J812" s="130">
        <v>0.3971387099</v>
      </c>
      <c r="M812" s="115">
        <v>36882</v>
      </c>
      <c r="N812" s="130">
        <v>0.1974104468</v>
      </c>
      <c r="O812" s="130"/>
      <c r="P812" s="130"/>
      <c r="Q812" s="115">
        <v>36882</v>
      </c>
      <c r="R812" s="130">
        <v>0.20199305249999999</v>
      </c>
      <c r="T812"/>
    </row>
    <row r="813" spans="9:20">
      <c r="I813" s="115">
        <v>36875</v>
      </c>
      <c r="J813" s="130">
        <v>0.31661225510000002</v>
      </c>
      <c r="M813" s="115">
        <v>36875</v>
      </c>
      <c r="N813" s="130">
        <v>0.1695764414</v>
      </c>
      <c r="O813" s="130"/>
      <c r="P813" s="130"/>
      <c r="Q813" s="115">
        <v>36875</v>
      </c>
      <c r="R813" s="130">
        <v>0.17112518360000001</v>
      </c>
      <c r="T813"/>
    </row>
    <row r="814" spans="9:20">
      <c r="I814" s="115">
        <v>36868</v>
      </c>
      <c r="J814" s="130">
        <v>0.26126327760000001</v>
      </c>
      <c r="M814" s="115">
        <v>36868</v>
      </c>
      <c r="N814" s="130">
        <v>0.1477922079</v>
      </c>
      <c r="O814" s="130"/>
      <c r="P814" s="130"/>
      <c r="Q814" s="115">
        <v>36868</v>
      </c>
      <c r="R814" s="130">
        <v>0.1508736718</v>
      </c>
      <c r="T814"/>
    </row>
    <row r="815" spans="9:20">
      <c r="I815" s="115">
        <v>36861</v>
      </c>
      <c r="J815" s="130">
        <v>0.2333094584</v>
      </c>
      <c r="M815" s="115">
        <v>36861</v>
      </c>
      <c r="N815" s="130">
        <v>0.13592389120000001</v>
      </c>
      <c r="O815" s="130"/>
      <c r="P815" s="130"/>
      <c r="Q815" s="115">
        <v>36861</v>
      </c>
      <c r="R815" s="130">
        <v>0.13807214779999999</v>
      </c>
      <c r="T815"/>
    </row>
    <row r="816" spans="9:20">
      <c r="I816" s="115">
        <v>36854</v>
      </c>
      <c r="J816" s="130">
        <v>0.19912430519999999</v>
      </c>
      <c r="M816" s="115">
        <v>36854</v>
      </c>
      <c r="N816" s="130">
        <v>0</v>
      </c>
      <c r="O816" s="130"/>
      <c r="P816" s="130"/>
      <c r="Q816" s="115">
        <v>36854</v>
      </c>
      <c r="R816" s="130">
        <v>0.11191752570000001</v>
      </c>
      <c r="T816"/>
    </row>
    <row r="817" spans="9:20">
      <c r="I817" s="115">
        <v>36847</v>
      </c>
      <c r="J817" s="130">
        <v>0.19912430519999999</v>
      </c>
      <c r="M817" s="115">
        <v>36847</v>
      </c>
      <c r="N817" s="130">
        <v>0</v>
      </c>
      <c r="O817" s="130"/>
      <c r="P817" s="130"/>
      <c r="Q817" s="115">
        <v>36847</v>
      </c>
      <c r="R817" s="130">
        <v>0.11191752570000001</v>
      </c>
      <c r="T817"/>
    </row>
    <row r="818" spans="9:20">
      <c r="I818" s="115">
        <v>36840</v>
      </c>
      <c r="J818" s="130">
        <v>0.18208130170000003</v>
      </c>
      <c r="M818" s="115">
        <v>36840</v>
      </c>
      <c r="N818" s="130">
        <v>0</v>
      </c>
      <c r="O818" s="130"/>
      <c r="P818" s="130"/>
      <c r="Q818" s="115">
        <v>36840</v>
      </c>
      <c r="R818" s="130">
        <v>0.1018922627</v>
      </c>
      <c r="T818"/>
    </row>
    <row r="819" spans="9:20">
      <c r="I819" s="115">
        <v>36833</v>
      </c>
      <c r="J819" s="130">
        <v>0.19912430519999999</v>
      </c>
      <c r="M819" s="115">
        <v>36833</v>
      </c>
      <c r="N819" s="130">
        <v>0</v>
      </c>
      <c r="O819" s="130"/>
      <c r="P819" s="130"/>
      <c r="Q819" s="115">
        <v>36833</v>
      </c>
      <c r="R819" s="130">
        <v>0.1122717991</v>
      </c>
      <c r="T819"/>
    </row>
    <row r="820" spans="9:20">
      <c r="I820" s="115">
        <v>36826</v>
      </c>
      <c r="J820" s="130">
        <v>0.19951685189999999</v>
      </c>
      <c r="M820" s="115">
        <v>36826</v>
      </c>
      <c r="N820" s="130">
        <v>8.6760702300000006E-2</v>
      </c>
      <c r="O820" s="130"/>
      <c r="P820" s="130"/>
      <c r="Q820" s="115">
        <v>36826</v>
      </c>
      <c r="R820" s="130">
        <v>0.1065925905</v>
      </c>
      <c r="T820"/>
    </row>
    <row r="821" spans="9:20">
      <c r="I821" s="115">
        <v>36819</v>
      </c>
      <c r="J821" s="130">
        <v>0.16111387839999999</v>
      </c>
      <c r="M821" s="115">
        <v>36819</v>
      </c>
      <c r="N821" s="130">
        <v>7.3204195900000019E-2</v>
      </c>
      <c r="O821" s="130"/>
      <c r="P821" s="130"/>
      <c r="Q821" s="115">
        <v>36819</v>
      </c>
      <c r="R821" s="130">
        <v>8.3103362799999997E-2</v>
      </c>
      <c r="T821"/>
    </row>
    <row r="822" spans="9:20">
      <c r="I822" s="115">
        <v>36812</v>
      </c>
      <c r="J822" s="130">
        <v>0.1474925406</v>
      </c>
      <c r="M822" s="115">
        <v>36812</v>
      </c>
      <c r="N822" s="130">
        <v>0</v>
      </c>
      <c r="O822" s="130"/>
      <c r="P822" s="130"/>
      <c r="Q822" s="115">
        <v>36812</v>
      </c>
      <c r="R822" s="130">
        <v>7.4653779599999998E-2</v>
      </c>
      <c r="T822"/>
    </row>
    <row r="823" spans="9:20">
      <c r="I823" s="115">
        <v>36805</v>
      </c>
      <c r="J823" s="130">
        <v>0.15026435699999999</v>
      </c>
      <c r="M823" s="115">
        <v>36805</v>
      </c>
      <c r="N823" s="130">
        <v>6.7640041600000006E-2</v>
      </c>
      <c r="O823" s="130"/>
      <c r="P823" s="130"/>
      <c r="Q823" s="115">
        <v>36805</v>
      </c>
      <c r="R823" s="130">
        <v>7.6061086800000011E-2</v>
      </c>
      <c r="T823"/>
    </row>
    <row r="824" spans="9:20">
      <c r="I824" s="115">
        <v>36798</v>
      </c>
      <c r="J824" s="130">
        <v>0.1266911795</v>
      </c>
      <c r="M824" s="115">
        <v>36798</v>
      </c>
      <c r="N824" s="130">
        <v>0</v>
      </c>
      <c r="O824" s="130"/>
      <c r="P824" s="130"/>
      <c r="Q824" s="115">
        <v>36798</v>
      </c>
      <c r="R824" s="130">
        <v>5.5312576600000003E-2</v>
      </c>
      <c r="T824"/>
    </row>
    <row r="825" spans="9:20">
      <c r="I825" s="115">
        <v>36791</v>
      </c>
      <c r="J825" s="130">
        <v>0.12327331260000002</v>
      </c>
      <c r="M825" s="115">
        <v>36791</v>
      </c>
      <c r="N825" s="130">
        <v>0</v>
      </c>
      <c r="O825" s="130"/>
      <c r="P825" s="130"/>
      <c r="Q825" s="115">
        <v>36791</v>
      </c>
      <c r="R825" s="130">
        <v>5.4085818899999999E-2</v>
      </c>
      <c r="T825"/>
    </row>
    <row r="826" spans="9:20">
      <c r="I826" s="115">
        <v>36784</v>
      </c>
      <c r="J826" s="130">
        <v>0.1266911795</v>
      </c>
      <c r="M826" s="115">
        <v>36784</v>
      </c>
      <c r="N826" s="130">
        <v>4.7969684399999997E-2</v>
      </c>
      <c r="O826" s="130"/>
      <c r="P826" s="130"/>
      <c r="Q826" s="115">
        <v>36784</v>
      </c>
      <c r="R826" s="130">
        <v>5.5312576600000003E-2</v>
      </c>
      <c r="T826"/>
    </row>
    <row r="827" spans="9:20">
      <c r="I827" s="115">
        <v>36777</v>
      </c>
      <c r="J827" s="130">
        <v>0.1155313838</v>
      </c>
      <c r="M827" s="115">
        <v>36777</v>
      </c>
      <c r="N827" s="130">
        <v>4.5071761500000002E-2</v>
      </c>
      <c r="O827" s="130"/>
      <c r="P827" s="130"/>
      <c r="Q827" s="115">
        <v>36777</v>
      </c>
      <c r="R827" s="130">
        <v>5.1431721800000003E-2</v>
      </c>
      <c r="T827"/>
    </row>
    <row r="828" spans="9:20">
      <c r="I828" s="115">
        <v>36770</v>
      </c>
      <c r="J828" s="130">
        <v>0.10818457500000001</v>
      </c>
      <c r="M828" s="115">
        <v>36770</v>
      </c>
      <c r="N828" s="130">
        <v>0</v>
      </c>
      <c r="O828" s="130"/>
      <c r="P828" s="130"/>
      <c r="Q828" s="115">
        <v>36770</v>
      </c>
      <c r="R828" s="130">
        <v>4.6220378100000001E-2</v>
      </c>
      <c r="T828"/>
    </row>
    <row r="829" spans="9:20">
      <c r="I829" s="115">
        <v>36763</v>
      </c>
      <c r="J829" s="130">
        <v>9.3947521000000006E-2</v>
      </c>
      <c r="M829" s="115">
        <v>36763</v>
      </c>
      <c r="N829" s="130">
        <v>0</v>
      </c>
      <c r="O829" s="130"/>
      <c r="P829" s="130"/>
      <c r="Q829" s="115">
        <v>36763</v>
      </c>
      <c r="R829" s="130">
        <v>3.4457008999999997E-2</v>
      </c>
      <c r="T829"/>
    </row>
    <row r="830" spans="9:20">
      <c r="I830" s="115">
        <v>36756</v>
      </c>
      <c r="J830" s="130">
        <v>9.8911894599999994E-2</v>
      </c>
      <c r="M830" s="115">
        <v>36756</v>
      </c>
      <c r="N830" s="130">
        <v>3.13768798E-2</v>
      </c>
      <c r="O830" s="130"/>
      <c r="P830" s="130"/>
      <c r="Q830" s="115">
        <v>36756</v>
      </c>
      <c r="R830" s="130">
        <v>3.5471702500000001E-2</v>
      </c>
      <c r="T830"/>
    </row>
    <row r="831" spans="9:20">
      <c r="I831" s="115">
        <v>36749</v>
      </c>
      <c r="J831" s="130">
        <v>8.9823094699999995E-2</v>
      </c>
      <c r="M831" s="115">
        <v>36749</v>
      </c>
      <c r="N831" s="130">
        <v>2.8734148599999999E-2</v>
      </c>
      <c r="O831" s="130"/>
      <c r="P831" s="130"/>
      <c r="Q831" s="115">
        <v>36749</v>
      </c>
      <c r="R831" s="130">
        <v>3.2542868400000001E-2</v>
      </c>
      <c r="T831"/>
    </row>
    <row r="832" spans="9:20">
      <c r="I832" s="115">
        <v>36742</v>
      </c>
      <c r="J832" s="130">
        <v>7.4859777900000007E-2</v>
      </c>
      <c r="M832" s="115">
        <v>36742</v>
      </c>
      <c r="N832" s="130">
        <v>0</v>
      </c>
      <c r="O832" s="130"/>
      <c r="P832" s="130"/>
      <c r="Q832" s="115">
        <v>36742</v>
      </c>
      <c r="R832" s="130">
        <v>2.7440745999999999E-2</v>
      </c>
      <c r="T832"/>
    </row>
    <row r="833" spans="9:20">
      <c r="I833" s="115">
        <v>36735</v>
      </c>
      <c r="J833" s="130">
        <v>7.1144692800000006E-2</v>
      </c>
      <c r="M833" s="115">
        <v>36735</v>
      </c>
      <c r="N833" s="130">
        <v>0</v>
      </c>
      <c r="O833" s="130"/>
      <c r="P833" s="130"/>
      <c r="Q833" s="115">
        <v>36735</v>
      </c>
      <c r="R833" s="130">
        <v>2.1633825799999999E-2</v>
      </c>
      <c r="T833"/>
    </row>
    <row r="834" spans="9:20">
      <c r="I834" s="115">
        <v>36728</v>
      </c>
      <c r="J834" s="130">
        <v>6.1647101699999998E-2</v>
      </c>
      <c r="M834" s="115">
        <v>36728</v>
      </c>
      <c r="N834" s="130">
        <v>0</v>
      </c>
      <c r="O834" s="130"/>
      <c r="P834" s="130"/>
      <c r="Q834" s="115">
        <v>36728</v>
      </c>
      <c r="R834" s="130">
        <v>1.52852979E-2</v>
      </c>
      <c r="T834"/>
    </row>
    <row r="835" spans="9:20">
      <c r="I835" s="115">
        <v>36721</v>
      </c>
      <c r="J835" s="130">
        <v>7.6285746900000007E-2</v>
      </c>
      <c r="M835" s="115">
        <v>36721</v>
      </c>
      <c r="N835" s="130">
        <v>1.9500020699999999E-2</v>
      </c>
      <c r="O835" s="130"/>
      <c r="P835" s="130"/>
      <c r="Q835" s="115">
        <v>36721</v>
      </c>
      <c r="R835" s="130">
        <v>2.3080593199999999E-2</v>
      </c>
      <c r="T835"/>
    </row>
    <row r="836" spans="9:20">
      <c r="I836" s="115">
        <v>36714</v>
      </c>
      <c r="J836" s="130">
        <v>6.3464305499999998E-2</v>
      </c>
      <c r="M836" s="115">
        <v>36714</v>
      </c>
      <c r="N836" s="130">
        <v>0</v>
      </c>
      <c r="O836" s="130"/>
      <c r="P836" s="130"/>
      <c r="Q836" s="115">
        <v>36714</v>
      </c>
      <c r="R836" s="130">
        <v>1.69330816E-2</v>
      </c>
      <c r="T836"/>
    </row>
    <row r="837" spans="9:20">
      <c r="I837" s="115">
        <v>36707</v>
      </c>
      <c r="J837" s="130">
        <v>5.6246882999999998E-2</v>
      </c>
      <c r="M837" s="115">
        <v>36707</v>
      </c>
      <c r="N837" s="130">
        <v>0</v>
      </c>
      <c r="O837" s="130"/>
      <c r="P837" s="130"/>
      <c r="Q837" s="115">
        <v>36707</v>
      </c>
      <c r="R837" s="130">
        <v>1.06693459E-2</v>
      </c>
      <c r="T837"/>
    </row>
    <row r="838" spans="9:20">
      <c r="I838" s="115">
        <v>36700</v>
      </c>
      <c r="J838" s="130">
        <v>6.2069999799999998E-2</v>
      </c>
      <c r="M838" s="115">
        <v>36700</v>
      </c>
      <c r="N838" s="130">
        <v>0</v>
      </c>
      <c r="O838" s="130"/>
      <c r="P838" s="130"/>
      <c r="Q838" s="115">
        <v>36700</v>
      </c>
      <c r="R838" s="130">
        <v>1.41843188E-2</v>
      </c>
      <c r="T838"/>
    </row>
    <row r="839" spans="9:20">
      <c r="I839" s="115">
        <v>36693</v>
      </c>
      <c r="J839" s="130">
        <v>5.2302179999999997E-2</v>
      </c>
      <c r="M839" s="115">
        <v>36693</v>
      </c>
      <c r="N839" s="130">
        <v>0</v>
      </c>
      <c r="O839" s="130"/>
      <c r="P839" s="130"/>
      <c r="Q839" s="115">
        <v>36693</v>
      </c>
      <c r="R839" s="130">
        <v>8.9940635999999994E-3</v>
      </c>
      <c r="T839"/>
    </row>
    <row r="840" spans="9:20">
      <c r="I840" s="115">
        <v>36686</v>
      </c>
      <c r="J840" s="130">
        <v>4.0517442100000002E-2</v>
      </c>
      <c r="M840" s="115">
        <v>36686</v>
      </c>
      <c r="N840" s="130">
        <v>0</v>
      </c>
      <c r="O840" s="130"/>
      <c r="P840" s="130"/>
      <c r="Q840" s="115">
        <v>36686</v>
      </c>
      <c r="R840" s="130">
        <v>4.3344802E-3</v>
      </c>
      <c r="T840"/>
    </row>
    <row r="841" spans="9:20">
      <c r="I841" s="115">
        <v>36679</v>
      </c>
      <c r="J841" s="130">
        <v>2.4201688799999999E-2</v>
      </c>
      <c r="M841" s="115">
        <v>36679</v>
      </c>
      <c r="N841" s="130">
        <v>0</v>
      </c>
      <c r="O841" s="130"/>
      <c r="P841" s="130"/>
      <c r="Q841" s="115">
        <v>36679</v>
      </c>
      <c r="R841" s="130">
        <v>2.1121630999999998E-3</v>
      </c>
      <c r="T841"/>
    </row>
    <row r="842" spans="9:20">
      <c r="I842" s="115">
        <v>36672</v>
      </c>
      <c r="J842" s="130">
        <v>1.9796279600000001E-2</v>
      </c>
      <c r="M842" s="115">
        <v>36672</v>
      </c>
      <c r="N842" s="130">
        <v>0</v>
      </c>
      <c r="O842" s="130"/>
      <c r="P842" s="130"/>
      <c r="Q842" s="115">
        <v>36672</v>
      </c>
      <c r="R842" s="130">
        <v>5.7479190000000004E-4</v>
      </c>
      <c r="T842"/>
    </row>
    <row r="843" spans="9:20">
      <c r="I843" s="115">
        <v>36665</v>
      </c>
      <c r="J843" s="130">
        <v>1.9099316700000001E-2</v>
      </c>
      <c r="M843" s="115">
        <v>36665</v>
      </c>
      <c r="N843" s="130">
        <v>0</v>
      </c>
      <c r="O843" s="130"/>
      <c r="P843" s="130"/>
      <c r="Q843" s="115">
        <v>36665</v>
      </c>
      <c r="R843" s="130">
        <v>5.523657E-4</v>
      </c>
      <c r="T843"/>
    </row>
    <row r="844" spans="9:20">
      <c r="I844" s="115">
        <v>36658</v>
      </c>
      <c r="J844" s="130">
        <v>2.31631248E-2</v>
      </c>
      <c r="M844" s="115">
        <v>36658</v>
      </c>
      <c r="N844" s="130">
        <v>0</v>
      </c>
      <c r="O844" s="130"/>
      <c r="P844" s="130"/>
      <c r="Q844" s="115">
        <v>36658</v>
      </c>
      <c r="R844" s="130">
        <v>9.3225209999999998E-4</v>
      </c>
      <c r="T844"/>
    </row>
    <row r="845" spans="9:20">
      <c r="I845" s="115">
        <v>36651</v>
      </c>
      <c r="J845" s="130">
        <v>4.0278924100000002E-2</v>
      </c>
      <c r="M845" s="115">
        <v>36651</v>
      </c>
      <c r="N845" s="130">
        <v>0</v>
      </c>
      <c r="O845" s="130"/>
      <c r="P845" s="130"/>
      <c r="Q845" s="115">
        <v>36651</v>
      </c>
      <c r="R845" s="130">
        <v>2.5952303000000001E-3</v>
      </c>
      <c r="T845"/>
    </row>
    <row r="846" spans="9:20">
      <c r="I846" s="115">
        <v>36644</v>
      </c>
      <c r="J846" s="130">
        <v>5.6566433800000003E-2</v>
      </c>
      <c r="M846" s="115">
        <v>36644</v>
      </c>
      <c r="N846" s="130">
        <v>0</v>
      </c>
      <c r="O846" s="130"/>
      <c r="P846" s="130"/>
      <c r="Q846" s="115">
        <v>36644</v>
      </c>
      <c r="R846" s="130">
        <v>6.5957712000000003E-3</v>
      </c>
      <c r="T846"/>
    </row>
    <row r="847" spans="9:20">
      <c r="I847" s="115">
        <v>36637</v>
      </c>
      <c r="J847" s="130">
        <v>5.17355751E-2</v>
      </c>
      <c r="M847" s="115">
        <v>36637</v>
      </c>
      <c r="N847" s="130">
        <v>0</v>
      </c>
      <c r="O847" s="130"/>
      <c r="P847" s="130"/>
      <c r="Q847" s="115">
        <v>36637</v>
      </c>
      <c r="R847" s="130">
        <v>4.6074080999999999E-3</v>
      </c>
      <c r="T847"/>
    </row>
    <row r="848" spans="9:20">
      <c r="I848" s="115">
        <v>36630</v>
      </c>
      <c r="J848" s="130">
        <v>6.0119185300000003E-2</v>
      </c>
      <c r="M848" s="115">
        <v>36630</v>
      </c>
      <c r="N848" s="130">
        <v>3.8441661E-3</v>
      </c>
      <c r="O848" s="130"/>
      <c r="P848" s="130"/>
      <c r="Q848" s="115">
        <v>36630</v>
      </c>
      <c r="R848" s="130">
        <v>7.2814847999999998E-3</v>
      </c>
      <c r="T848"/>
    </row>
    <row r="849" spans="9:20">
      <c r="I849" s="115">
        <v>36623</v>
      </c>
      <c r="J849" s="130">
        <v>4.8174071899999997E-2</v>
      </c>
      <c r="M849" s="115">
        <v>36623</v>
      </c>
      <c r="N849" s="130">
        <v>1.1068887999999999E-3</v>
      </c>
      <c r="O849" s="130"/>
      <c r="P849" s="130"/>
      <c r="Q849" s="115">
        <v>36623</v>
      </c>
      <c r="R849" s="130">
        <v>4.3475238999999997E-3</v>
      </c>
      <c r="T849"/>
    </row>
    <row r="850" spans="9:20">
      <c r="I850" s="115">
        <v>36616</v>
      </c>
      <c r="J850" s="130">
        <v>4.5075508600000001E-2</v>
      </c>
      <c r="M850" s="115">
        <v>36616</v>
      </c>
      <c r="N850" s="130">
        <v>0</v>
      </c>
      <c r="O850" s="130"/>
      <c r="P850" s="130"/>
      <c r="Q850" s="115">
        <v>36616</v>
      </c>
      <c r="R850" s="130">
        <v>2.1816004999999999E-3</v>
      </c>
      <c r="T850"/>
    </row>
    <row r="851" spans="9:20">
      <c r="I851" s="115">
        <v>36609</v>
      </c>
      <c r="J851" s="130">
        <v>4.5075508600000001E-2</v>
      </c>
      <c r="M851" s="115">
        <v>36609</v>
      </c>
      <c r="N851" s="130">
        <v>0</v>
      </c>
      <c r="O851" s="130"/>
      <c r="P851" s="130"/>
      <c r="Q851" s="115">
        <v>36609</v>
      </c>
      <c r="R851" s="130">
        <v>3.0201238999999999E-3</v>
      </c>
      <c r="T851"/>
    </row>
    <row r="852" spans="9:20">
      <c r="I852" s="115">
        <v>36602</v>
      </c>
      <c r="J852" s="130">
        <v>4.3840526400000003E-2</v>
      </c>
      <c r="M852" s="115">
        <v>36602</v>
      </c>
      <c r="N852" s="130">
        <v>0</v>
      </c>
      <c r="O852" s="130"/>
      <c r="P852" s="130"/>
      <c r="Q852" s="115">
        <v>36602</v>
      </c>
      <c r="R852" s="130">
        <v>2.984015E-3</v>
      </c>
      <c r="T852"/>
    </row>
    <row r="853" spans="9:20">
      <c r="I853" s="115">
        <v>36595</v>
      </c>
      <c r="J853" s="130">
        <v>4.73176903E-2</v>
      </c>
      <c r="M853" s="115">
        <v>36595</v>
      </c>
      <c r="N853" s="130">
        <v>0</v>
      </c>
      <c r="O853" s="130"/>
      <c r="P853" s="130"/>
      <c r="Q853" s="115">
        <v>36595</v>
      </c>
      <c r="R853" s="130">
        <v>3.1313220999999998E-3</v>
      </c>
      <c r="T853"/>
    </row>
    <row r="854" spans="9:20">
      <c r="I854" s="115">
        <v>36588</v>
      </c>
      <c r="J854" s="130">
        <v>4.0547821800000002E-2</v>
      </c>
      <c r="M854" s="115">
        <v>36588</v>
      </c>
      <c r="N854" s="130">
        <v>0</v>
      </c>
      <c r="O854" s="130"/>
      <c r="P854" s="130"/>
      <c r="Q854" s="115">
        <v>36588</v>
      </c>
      <c r="R854" s="130">
        <v>1.8698836999999999E-3</v>
      </c>
      <c r="T854"/>
    </row>
    <row r="855" spans="9:20">
      <c r="I855" s="115">
        <v>36581</v>
      </c>
      <c r="J855" s="130">
        <v>3.6283182900000002E-2</v>
      </c>
      <c r="M855" s="115">
        <v>36581</v>
      </c>
      <c r="N855" s="130">
        <v>0</v>
      </c>
      <c r="O855" s="130"/>
      <c r="P855" s="130"/>
      <c r="Q855" s="115">
        <v>36581</v>
      </c>
      <c r="R855" s="130">
        <v>9.1311919999999996E-4</v>
      </c>
      <c r="T855"/>
    </row>
    <row r="856" spans="9:20">
      <c r="I856" s="115">
        <v>36574</v>
      </c>
      <c r="J856" s="130">
        <v>3.06572897E-2</v>
      </c>
      <c r="M856" s="115">
        <v>36574</v>
      </c>
      <c r="N856" s="130">
        <v>0</v>
      </c>
      <c r="O856" s="130"/>
      <c r="P856" s="130"/>
      <c r="Q856" s="115">
        <v>36574</v>
      </c>
      <c r="R856" s="130">
        <v>8.045029E-4</v>
      </c>
      <c r="T856"/>
    </row>
    <row r="857" spans="9:20">
      <c r="I857" s="115">
        <v>36567</v>
      </c>
      <c r="J857" s="130">
        <v>3.0265688900000001E-2</v>
      </c>
      <c r="M857" s="115">
        <v>36567</v>
      </c>
      <c r="N857" s="130">
        <v>0</v>
      </c>
      <c r="O857" s="130"/>
      <c r="P857" s="130"/>
      <c r="Q857" s="115">
        <v>36567</v>
      </c>
      <c r="R857" s="130">
        <v>7.9744210000000002E-4</v>
      </c>
      <c r="T857"/>
    </row>
    <row r="858" spans="9:20">
      <c r="I858" s="115">
        <v>36560</v>
      </c>
      <c r="J858" s="130">
        <v>4.3048701500000001E-2</v>
      </c>
      <c r="M858" s="115">
        <v>36560</v>
      </c>
      <c r="N858" s="130">
        <v>0</v>
      </c>
      <c r="O858" s="130"/>
      <c r="P858" s="130"/>
      <c r="Q858" s="115">
        <v>36560</v>
      </c>
      <c r="R858" s="130">
        <v>1.875526E-3</v>
      </c>
      <c r="T858"/>
    </row>
    <row r="859" spans="9:20">
      <c r="I859" s="115">
        <v>36553</v>
      </c>
      <c r="J859" s="130">
        <v>4.2454873800000001E-2</v>
      </c>
      <c r="M859" s="115">
        <v>36553</v>
      </c>
      <c r="N859" s="130">
        <v>0</v>
      </c>
      <c r="O859" s="130"/>
      <c r="P859" s="130"/>
      <c r="Q859" s="115">
        <v>36553</v>
      </c>
      <c r="R859" s="130">
        <v>8.0167119999999996E-4</v>
      </c>
      <c r="T859"/>
    </row>
    <row r="860" spans="9:20">
      <c r="I860" s="115">
        <v>36546</v>
      </c>
      <c r="J860" s="130">
        <v>4.1393136900000002E-2</v>
      </c>
      <c r="M860" s="115">
        <v>36546</v>
      </c>
      <c r="N860" s="130">
        <v>0</v>
      </c>
      <c r="O860" s="130"/>
      <c r="P860" s="130"/>
      <c r="Q860" s="115">
        <v>36546</v>
      </c>
      <c r="R860" s="130">
        <v>7.7892219999999999E-4</v>
      </c>
      <c r="T860"/>
    </row>
    <row r="861" spans="9:20">
      <c r="I861" s="115">
        <v>36539</v>
      </c>
      <c r="J861" s="130">
        <v>4.9598846000000002E-2</v>
      </c>
      <c r="M861" s="115">
        <v>36539</v>
      </c>
      <c r="N861" s="130">
        <v>0</v>
      </c>
      <c r="O861" s="130"/>
      <c r="P861" s="130"/>
      <c r="Q861" s="115">
        <v>36539</v>
      </c>
      <c r="R861" s="130">
        <v>8.6917139999999999E-4</v>
      </c>
      <c r="T861"/>
    </row>
    <row r="862" spans="9:20">
      <c r="I862" s="115">
        <v>36532</v>
      </c>
      <c r="J862" s="130">
        <v>5.1379315100000003E-2</v>
      </c>
      <c r="M862" s="115">
        <v>36532</v>
      </c>
      <c r="N862" s="130">
        <v>0</v>
      </c>
      <c r="O862" s="130"/>
      <c r="P862" s="130"/>
      <c r="Q862" s="115">
        <v>36532</v>
      </c>
      <c r="R862" s="130">
        <v>8.8236830000000001E-4</v>
      </c>
      <c r="T862"/>
    </row>
    <row r="863" spans="9:20">
      <c r="I863" s="115">
        <v>36525</v>
      </c>
      <c r="J863" s="130">
        <v>6.3010397300000007E-2</v>
      </c>
      <c r="M863" s="115">
        <v>36525</v>
      </c>
      <c r="N863" s="130">
        <v>0</v>
      </c>
      <c r="O863" s="130"/>
      <c r="P863" s="130"/>
      <c r="Q863" s="115">
        <v>36525</v>
      </c>
      <c r="R863" s="130">
        <v>0</v>
      </c>
      <c r="T863"/>
    </row>
    <row r="864" spans="9:20">
      <c r="I864" s="115">
        <v>36518</v>
      </c>
      <c r="J864" s="130">
        <v>7.5147342899999997E-2</v>
      </c>
      <c r="M864" s="115">
        <v>36518</v>
      </c>
      <c r="N864" s="130">
        <v>0</v>
      </c>
      <c r="O864" s="130"/>
      <c r="P864" s="130"/>
      <c r="Q864" s="115">
        <v>36518</v>
      </c>
      <c r="R864" s="130">
        <v>2.0629936000000001E-3</v>
      </c>
      <c r="T864"/>
    </row>
    <row r="865" spans="9:20">
      <c r="I865" s="115">
        <v>36511</v>
      </c>
      <c r="J865" s="130">
        <v>9.0104910100000005E-2</v>
      </c>
      <c r="M865" s="115">
        <v>36511</v>
      </c>
      <c r="N865" s="130">
        <v>0</v>
      </c>
      <c r="O865" s="130"/>
      <c r="P865" s="130"/>
      <c r="Q865" s="115">
        <v>36511</v>
      </c>
      <c r="R865" s="130">
        <v>4.2505779E-3</v>
      </c>
      <c r="T865"/>
    </row>
    <row r="866" spans="9:20">
      <c r="I866" s="115">
        <v>36504</v>
      </c>
      <c r="J866" s="130">
        <v>9.3487801499999995E-2</v>
      </c>
      <c r="M866" s="115">
        <v>36504</v>
      </c>
      <c r="N866" s="130">
        <v>0</v>
      </c>
      <c r="O866" s="130"/>
      <c r="P866" s="130"/>
      <c r="Q866" s="115">
        <v>36504</v>
      </c>
      <c r="R866" s="130">
        <v>5.2780945000000003E-3</v>
      </c>
      <c r="T866"/>
    </row>
    <row r="867" spans="9:20">
      <c r="I867" s="115">
        <v>36497</v>
      </c>
      <c r="J867" s="130">
        <v>9.3487801499999995E-2</v>
      </c>
      <c r="M867" s="115">
        <v>36497</v>
      </c>
      <c r="N867" s="130">
        <v>0</v>
      </c>
      <c r="O867" s="130"/>
      <c r="P867" s="130"/>
      <c r="Q867" s="115">
        <v>36497</v>
      </c>
      <c r="R867" s="130">
        <v>5.2780945000000003E-3</v>
      </c>
      <c r="T867"/>
    </row>
    <row r="868" spans="9:20">
      <c r="I868" s="115">
        <v>36490</v>
      </c>
      <c r="J868" s="130">
        <v>0.1098087277</v>
      </c>
      <c r="M868" s="115">
        <v>36490</v>
      </c>
      <c r="N868" s="130">
        <v>0</v>
      </c>
      <c r="O868" s="130"/>
      <c r="P868" s="130"/>
      <c r="Q868" s="115">
        <v>36490</v>
      </c>
      <c r="R868" s="130">
        <v>4.4705604999999999E-3</v>
      </c>
      <c r="T868"/>
    </row>
    <row r="869" spans="9:20">
      <c r="I869" s="115">
        <v>36483</v>
      </c>
      <c r="J869" s="130">
        <v>0.1196543259</v>
      </c>
      <c r="M869" s="115">
        <v>36483</v>
      </c>
      <c r="N869" s="130">
        <v>0</v>
      </c>
      <c r="O869" s="130"/>
      <c r="P869" s="130"/>
      <c r="Q869" s="115">
        <v>36483</v>
      </c>
      <c r="R869" s="130">
        <v>5.5167128999999999E-3</v>
      </c>
      <c r="T869"/>
    </row>
    <row r="870" spans="9:20">
      <c r="I870" s="115">
        <v>36476</v>
      </c>
      <c r="J870" s="130">
        <v>0.12280969799999999</v>
      </c>
      <c r="M870" s="115">
        <v>36476</v>
      </c>
      <c r="N870" s="130">
        <v>4.1557770999999999E-3</v>
      </c>
      <c r="O870" s="130"/>
      <c r="P870" s="130"/>
      <c r="Q870" s="115">
        <v>36476</v>
      </c>
      <c r="R870" s="130">
        <v>5.7441675000000003E-3</v>
      </c>
      <c r="T870"/>
    </row>
    <row r="871" spans="9:20">
      <c r="I871" s="115">
        <v>36469</v>
      </c>
      <c r="J871" s="130">
        <v>9.3060309699999996E-2</v>
      </c>
      <c r="M871" s="115">
        <v>36469</v>
      </c>
      <c r="N871" s="130">
        <v>0</v>
      </c>
      <c r="O871" s="130"/>
      <c r="P871" s="130"/>
      <c r="Q871" s="115">
        <v>36469</v>
      </c>
      <c r="R871" s="130">
        <v>3.4525812999999998E-3</v>
      </c>
      <c r="T871"/>
    </row>
    <row r="872" spans="9:20">
      <c r="I872" s="115">
        <v>36462</v>
      </c>
      <c r="J872" s="130">
        <v>7.5930441300000012E-2</v>
      </c>
      <c r="M872" s="115">
        <v>36462</v>
      </c>
      <c r="N872" s="130">
        <v>0</v>
      </c>
      <c r="O872" s="130"/>
      <c r="P872" s="130"/>
      <c r="Q872" s="115">
        <v>36462</v>
      </c>
      <c r="R872" s="130">
        <v>8.1677370000000004E-4</v>
      </c>
      <c r="T872"/>
    </row>
    <row r="873" spans="9:20">
      <c r="I873" s="115">
        <v>36455</v>
      </c>
      <c r="J873" s="130">
        <v>8.2227300700000006E-2</v>
      </c>
      <c r="M873" s="115">
        <v>36455</v>
      </c>
      <c r="N873" s="130">
        <v>0</v>
      </c>
      <c r="O873" s="130"/>
      <c r="P873" s="130"/>
      <c r="Q873" s="115">
        <v>36455</v>
      </c>
      <c r="R873" s="130">
        <v>8.3795699999999996E-4</v>
      </c>
      <c r="T873"/>
    </row>
    <row r="874" spans="9:20">
      <c r="I874" s="115">
        <v>36448</v>
      </c>
      <c r="J874" s="130">
        <v>9.1380030700000003E-2</v>
      </c>
      <c r="M874" s="115">
        <v>36448</v>
      </c>
      <c r="N874" s="130">
        <v>0</v>
      </c>
      <c r="O874" s="130"/>
      <c r="P874" s="130"/>
      <c r="Q874" s="115">
        <v>36448</v>
      </c>
      <c r="R874" s="130">
        <v>1.392482E-3</v>
      </c>
      <c r="T874"/>
    </row>
    <row r="875" spans="9:20">
      <c r="I875" s="115">
        <v>36441</v>
      </c>
      <c r="J875" s="130">
        <v>9.8692340599999998E-2</v>
      </c>
      <c r="M875" s="115">
        <v>36441</v>
      </c>
      <c r="N875" s="130">
        <v>0</v>
      </c>
      <c r="O875" s="130"/>
      <c r="P875" s="130"/>
      <c r="Q875" s="115">
        <v>36441</v>
      </c>
      <c r="R875" s="130">
        <v>1.4420155E-3</v>
      </c>
      <c r="T875"/>
    </row>
    <row r="876" spans="9:20">
      <c r="I876" s="115">
        <v>36434</v>
      </c>
      <c r="J876" s="130">
        <v>0.11816421900000001</v>
      </c>
      <c r="M876" s="115">
        <v>36434</v>
      </c>
      <c r="N876" s="130">
        <v>1.2828818000000001E-3</v>
      </c>
      <c r="O876" s="130"/>
      <c r="P876" s="130"/>
      <c r="Q876" s="115">
        <v>36434</v>
      </c>
      <c r="R876" s="130">
        <v>2.7278628E-3</v>
      </c>
      <c r="T876"/>
    </row>
    <row r="877" spans="9:20">
      <c r="I877" s="115">
        <v>36427</v>
      </c>
      <c r="J877" s="130">
        <v>0.11133316410000001</v>
      </c>
      <c r="M877" s="115">
        <v>36427</v>
      </c>
      <c r="N877" s="130">
        <v>0</v>
      </c>
      <c r="O877" s="130"/>
      <c r="P877" s="130"/>
      <c r="Q877" s="115">
        <v>36427</v>
      </c>
      <c r="R877" s="130">
        <v>9.8951820000000006E-4</v>
      </c>
      <c r="T877"/>
    </row>
    <row r="878" spans="9:20">
      <c r="I878" s="115">
        <v>36420</v>
      </c>
      <c r="J878" s="130">
        <v>0.1013489781</v>
      </c>
      <c r="M878" s="115">
        <v>36420</v>
      </c>
      <c r="N878" s="130">
        <v>0</v>
      </c>
      <c r="O878" s="130"/>
      <c r="P878" s="130"/>
      <c r="Q878" s="115">
        <v>36420</v>
      </c>
      <c r="R878" s="130">
        <v>6.4153810000000002E-4</v>
      </c>
      <c r="T878"/>
    </row>
    <row r="879" spans="9:20">
      <c r="I879" s="115">
        <v>36413</v>
      </c>
      <c r="J879" s="130">
        <v>9.0114666999999996E-2</v>
      </c>
      <c r="M879" s="115">
        <v>36413</v>
      </c>
      <c r="N879" s="130">
        <v>0</v>
      </c>
      <c r="O879" s="130"/>
      <c r="P879" s="130"/>
      <c r="Q879" s="115">
        <v>36413</v>
      </c>
      <c r="R879" s="130">
        <v>5.0926059999999997E-4</v>
      </c>
      <c r="T879"/>
    </row>
    <row r="880" spans="9:20">
      <c r="I880" s="115">
        <v>36406</v>
      </c>
      <c r="J880" s="130">
        <v>0.1048264933</v>
      </c>
      <c r="M880" s="115">
        <v>36406</v>
      </c>
      <c r="N880" s="130">
        <v>0</v>
      </c>
      <c r="O880" s="130"/>
      <c r="P880" s="130"/>
      <c r="Q880" s="115">
        <v>36406</v>
      </c>
      <c r="R880" s="130">
        <v>6.5819619999999985E-4</v>
      </c>
      <c r="T880"/>
    </row>
    <row r="881" spans="9:20">
      <c r="I881" s="115">
        <v>36399</v>
      </c>
      <c r="J881" s="130">
        <v>0.1092848793</v>
      </c>
      <c r="M881" s="115">
        <v>36399</v>
      </c>
      <c r="N881" s="130">
        <v>0</v>
      </c>
      <c r="O881" s="130"/>
      <c r="P881" s="130"/>
      <c r="Q881" s="115">
        <v>36399</v>
      </c>
      <c r="R881" s="130">
        <v>2.7801189999999997E-4</v>
      </c>
      <c r="T881"/>
    </row>
    <row r="882" spans="9:20">
      <c r="I882" s="115">
        <v>36392</v>
      </c>
      <c r="J882" s="130">
        <v>8.7782484699999996E-2</v>
      </c>
      <c r="M882" s="115">
        <v>36392</v>
      </c>
      <c r="N882" s="130">
        <v>0</v>
      </c>
      <c r="O882" s="130"/>
      <c r="P882" s="130"/>
      <c r="Q882" s="115">
        <v>36392</v>
      </c>
      <c r="R882" s="130">
        <v>9.2482E-5</v>
      </c>
      <c r="T882"/>
    </row>
    <row r="883" spans="9:20">
      <c r="I883" s="115">
        <v>36385</v>
      </c>
      <c r="J883" s="130">
        <v>5.7268941400000002E-2</v>
      </c>
      <c r="M883" s="115">
        <v>36385</v>
      </c>
      <c r="N883" s="130">
        <v>0</v>
      </c>
      <c r="O883" s="130"/>
      <c r="P883" s="130"/>
      <c r="Q883" s="115">
        <v>36385</v>
      </c>
      <c r="R883" s="130">
        <v>7.1527300000000002E-5</v>
      </c>
      <c r="T883"/>
    </row>
    <row r="884" spans="9:20">
      <c r="I884" s="115">
        <v>36378</v>
      </c>
      <c r="J884" s="130">
        <v>9.2143861100000002E-2</v>
      </c>
      <c r="M884" s="115">
        <v>36378</v>
      </c>
      <c r="N884" s="130">
        <v>0</v>
      </c>
      <c r="O884" s="130"/>
      <c r="P884" s="130"/>
      <c r="Q884" s="115">
        <v>36378</v>
      </c>
      <c r="R884" s="130">
        <v>9.2482E-5</v>
      </c>
      <c r="T884"/>
    </row>
    <row r="885" spans="9:20">
      <c r="I885" s="115">
        <v>36371</v>
      </c>
      <c r="J885" s="130">
        <v>0.1310504783</v>
      </c>
      <c r="M885" s="115">
        <v>36371</v>
      </c>
      <c r="N885" s="130">
        <v>0</v>
      </c>
      <c r="O885" s="130"/>
      <c r="P885" s="130"/>
      <c r="Q885" s="115">
        <v>36371</v>
      </c>
      <c r="R885" s="130">
        <v>2.9887289999999998E-4</v>
      </c>
      <c r="T885"/>
    </row>
    <row r="886" spans="9:20">
      <c r="I886" s="115">
        <v>36364</v>
      </c>
      <c r="J886" s="130">
        <v>0.17532955080000001</v>
      </c>
      <c r="M886" s="115">
        <v>36364</v>
      </c>
      <c r="N886" s="130">
        <v>0</v>
      </c>
      <c r="O886" s="130"/>
      <c r="P886" s="130"/>
      <c r="Q886" s="115">
        <v>36364</v>
      </c>
      <c r="R886" s="130">
        <v>1.2135010000000001E-3</v>
      </c>
      <c r="T886"/>
    </row>
    <row r="887" spans="9:20">
      <c r="I887" s="115">
        <v>36357</v>
      </c>
      <c r="J887" s="130">
        <v>0.15806398399999999</v>
      </c>
      <c r="M887" s="115">
        <v>36357</v>
      </c>
      <c r="N887" s="130">
        <v>0</v>
      </c>
      <c r="O887" s="130"/>
      <c r="P887" s="130"/>
      <c r="Q887" s="115">
        <v>36357</v>
      </c>
      <c r="R887" s="130">
        <v>1.0997392E-3</v>
      </c>
      <c r="T887"/>
    </row>
    <row r="888" spans="9:20">
      <c r="I888" s="115">
        <v>36350</v>
      </c>
      <c r="J888" s="130">
        <v>0.14022916199999999</v>
      </c>
      <c r="M888" s="115">
        <v>36350</v>
      </c>
      <c r="N888" s="130">
        <v>0</v>
      </c>
      <c r="O888" s="130"/>
      <c r="P888" s="130"/>
      <c r="Q888" s="115">
        <v>36350</v>
      </c>
      <c r="R888" s="130">
        <v>3.5545719999999995E-4</v>
      </c>
      <c r="T888"/>
    </row>
    <row r="889" spans="9:20">
      <c r="I889" s="115">
        <v>36343</v>
      </c>
      <c r="J889" s="130">
        <v>0.12954352220000001</v>
      </c>
      <c r="M889" s="115">
        <v>36343</v>
      </c>
      <c r="N889" s="130">
        <v>0</v>
      </c>
      <c r="O889" s="130"/>
      <c r="P889" s="130"/>
      <c r="Q889" s="115">
        <v>36343</v>
      </c>
      <c r="R889" s="130">
        <v>2.900782E-4</v>
      </c>
      <c r="T889"/>
    </row>
    <row r="890" spans="9:20">
      <c r="I890" s="115">
        <v>36336</v>
      </c>
      <c r="J890" s="130">
        <v>0.15387634989999999</v>
      </c>
      <c r="M890" s="115">
        <v>36336</v>
      </c>
      <c r="N890" s="130">
        <v>0</v>
      </c>
      <c r="O890" s="130"/>
      <c r="P890" s="130"/>
      <c r="Q890" s="115">
        <v>36336</v>
      </c>
      <c r="R890" s="130">
        <v>5.6192380000000004E-4</v>
      </c>
      <c r="T890"/>
    </row>
    <row r="891" spans="9:20">
      <c r="I891" s="115">
        <v>36329</v>
      </c>
      <c r="J891" s="130">
        <v>0.1477331707</v>
      </c>
      <c r="M891" s="115">
        <v>36329</v>
      </c>
      <c r="N891" s="130">
        <v>0</v>
      </c>
      <c r="O891" s="130"/>
      <c r="P891" s="130"/>
      <c r="Q891" s="115">
        <v>36329</v>
      </c>
      <c r="R891" s="130">
        <v>5.5478750000000001E-4</v>
      </c>
      <c r="T891"/>
    </row>
    <row r="892" spans="9:20">
      <c r="I892" s="115">
        <v>36322</v>
      </c>
      <c r="J892" s="130">
        <v>0.18709529120000001</v>
      </c>
      <c r="M892" s="115">
        <v>36322</v>
      </c>
      <c r="N892" s="130">
        <v>0</v>
      </c>
      <c r="O892" s="130"/>
      <c r="P892" s="130"/>
      <c r="Q892" s="115">
        <v>36322</v>
      </c>
      <c r="R892" s="130">
        <v>7.8638359999999997E-4</v>
      </c>
      <c r="T892"/>
    </row>
    <row r="893" spans="9:20">
      <c r="I893" s="115">
        <v>36315</v>
      </c>
      <c r="J893" s="130">
        <v>0.22630813590000001</v>
      </c>
      <c r="M893" s="115">
        <v>36315</v>
      </c>
      <c r="N893" s="130">
        <v>0</v>
      </c>
      <c r="O893" s="130"/>
      <c r="P893" s="130"/>
      <c r="Q893" s="115">
        <v>36315</v>
      </c>
      <c r="R893" s="130">
        <v>9.869694E-4</v>
      </c>
      <c r="T893"/>
    </row>
    <row r="894" spans="9:20">
      <c r="I894" s="115">
        <v>36308</v>
      </c>
      <c r="J894" s="130">
        <v>0.29887223330000001</v>
      </c>
      <c r="M894" s="115">
        <v>36308</v>
      </c>
      <c r="N894" s="130">
        <v>0</v>
      </c>
      <c r="O894" s="130"/>
      <c r="P894" s="130"/>
      <c r="Q894" s="115">
        <v>36308</v>
      </c>
      <c r="R894" s="130">
        <v>2.6287073000000002E-3</v>
      </c>
      <c r="T894"/>
    </row>
    <row r="895" spans="9:20">
      <c r="I895" s="115">
        <v>36301</v>
      </c>
      <c r="J895" s="130">
        <v>0.29887223330000001</v>
      </c>
      <c r="M895" s="115">
        <v>36301</v>
      </c>
      <c r="N895" s="130">
        <v>0</v>
      </c>
      <c r="O895" s="130"/>
      <c r="P895" s="130"/>
      <c r="Q895" s="115">
        <v>36301</v>
      </c>
      <c r="R895" s="130">
        <v>2.6287073000000002E-3</v>
      </c>
      <c r="T895"/>
    </row>
    <row r="896" spans="9:20">
      <c r="I896" s="115">
        <v>36294</v>
      </c>
      <c r="J896" s="130">
        <v>0.36240663029999998</v>
      </c>
      <c r="M896" s="115">
        <v>36294</v>
      </c>
      <c r="N896" s="130">
        <v>0</v>
      </c>
      <c r="O896" s="130"/>
      <c r="P896" s="130"/>
      <c r="Q896" s="115">
        <v>36294</v>
      </c>
      <c r="R896" s="130">
        <v>3.0686356999999999E-3</v>
      </c>
      <c r="T896"/>
    </row>
    <row r="897" spans="9:20">
      <c r="I897" s="115">
        <v>36287</v>
      </c>
      <c r="J897" s="130">
        <v>0.41036761090000001</v>
      </c>
      <c r="M897" s="115">
        <v>36287</v>
      </c>
      <c r="N897" s="130">
        <v>0</v>
      </c>
      <c r="O897" s="130"/>
      <c r="P897" s="130"/>
      <c r="Q897" s="115">
        <v>36287</v>
      </c>
      <c r="R897" s="130">
        <v>5.0985735000000001E-3</v>
      </c>
      <c r="T897"/>
    </row>
    <row r="898" spans="9:20">
      <c r="I898" s="115">
        <v>36280</v>
      </c>
      <c r="J898" s="130">
        <v>0.50091167650000001</v>
      </c>
      <c r="M898" s="115">
        <v>36280</v>
      </c>
      <c r="N898" s="130">
        <v>0</v>
      </c>
      <c r="O898" s="130"/>
      <c r="P898" s="130"/>
      <c r="Q898" s="115">
        <v>36280</v>
      </c>
      <c r="R898" s="130">
        <v>5.6716079999999999E-3</v>
      </c>
      <c r="T898"/>
    </row>
    <row r="899" spans="9:20">
      <c r="I899" s="115">
        <v>36273</v>
      </c>
      <c r="J899" s="130">
        <v>0.51463564829999997</v>
      </c>
      <c r="M899" s="115">
        <v>36273</v>
      </c>
      <c r="N899" s="130">
        <v>0</v>
      </c>
      <c r="O899" s="130"/>
      <c r="P899" s="130"/>
      <c r="Q899" s="115">
        <v>36273</v>
      </c>
      <c r="R899" s="130">
        <v>6.1280750000000002E-3</v>
      </c>
      <c r="T899"/>
    </row>
    <row r="900" spans="9:20">
      <c r="I900" s="115">
        <v>36266</v>
      </c>
      <c r="J900" s="130">
        <v>0.51934573380000004</v>
      </c>
      <c r="M900" s="115">
        <v>36266</v>
      </c>
      <c r="N900" s="130">
        <v>0</v>
      </c>
      <c r="O900" s="130"/>
      <c r="P900" s="130"/>
      <c r="Q900" s="115">
        <v>36266</v>
      </c>
      <c r="R900" s="130">
        <v>8.9559036000000005E-3</v>
      </c>
      <c r="T900"/>
    </row>
    <row r="901" spans="9:20">
      <c r="I901" s="115">
        <v>36259</v>
      </c>
      <c r="J901" s="130">
        <v>0.50391086240000005</v>
      </c>
      <c r="M901" s="115">
        <v>36259</v>
      </c>
      <c r="N901" s="130">
        <v>0</v>
      </c>
      <c r="O901" s="130"/>
      <c r="P901" s="130"/>
      <c r="Q901" s="115">
        <v>36259</v>
      </c>
      <c r="R901" s="130">
        <v>5.7535201000000003E-3</v>
      </c>
      <c r="T901"/>
    </row>
    <row r="902" spans="9:20">
      <c r="I902" s="115">
        <v>36252</v>
      </c>
      <c r="J902" s="130">
        <v>0.48631252160000005</v>
      </c>
      <c r="M902" s="115">
        <v>36252</v>
      </c>
      <c r="N902" s="130">
        <v>0</v>
      </c>
      <c r="O902" s="130"/>
      <c r="P902" s="130"/>
      <c r="Q902" s="115">
        <v>36252</v>
      </c>
      <c r="R902" s="130">
        <v>5.4882116E-3</v>
      </c>
      <c r="T902"/>
    </row>
    <row r="903" spans="9:20">
      <c r="I903" s="115">
        <v>36245</v>
      </c>
      <c r="J903" s="130">
        <v>0.5099026941</v>
      </c>
      <c r="M903" s="115">
        <v>36245</v>
      </c>
      <c r="N903" s="130">
        <v>0</v>
      </c>
      <c r="O903" s="130"/>
      <c r="P903" s="130"/>
      <c r="Q903" s="115">
        <v>36245</v>
      </c>
      <c r="R903" s="130">
        <v>3.7201345000000001E-3</v>
      </c>
      <c r="T903"/>
    </row>
    <row r="904" spans="9:20">
      <c r="I904" s="115">
        <v>36238</v>
      </c>
      <c r="J904" s="130">
        <v>0.49034742930000003</v>
      </c>
      <c r="M904" s="115">
        <v>36238</v>
      </c>
      <c r="N904" s="130">
        <v>0</v>
      </c>
      <c r="O904" s="130"/>
      <c r="P904" s="130"/>
      <c r="Q904" s="115">
        <v>36238</v>
      </c>
      <c r="R904" s="130">
        <v>3.0958474999999998E-3</v>
      </c>
      <c r="T904"/>
    </row>
    <row r="905" spans="9:20">
      <c r="I905" s="115">
        <v>36231</v>
      </c>
      <c r="J905" s="130">
        <v>0.43263027809999999</v>
      </c>
      <c r="M905" s="115">
        <v>36231</v>
      </c>
      <c r="N905" s="130">
        <v>0</v>
      </c>
      <c r="O905" s="130"/>
      <c r="P905" s="130"/>
      <c r="Q905" s="115">
        <v>36231</v>
      </c>
      <c r="R905" s="130">
        <v>1.9715786000000001E-3</v>
      </c>
      <c r="T905"/>
    </row>
    <row r="906" spans="9:20">
      <c r="I906" s="115">
        <v>36224</v>
      </c>
      <c r="J906" s="130">
        <v>0.43268983439999997</v>
      </c>
      <c r="M906" s="115">
        <v>36224</v>
      </c>
      <c r="N906" s="130">
        <v>0</v>
      </c>
      <c r="O906" s="130"/>
      <c r="P906" s="130"/>
      <c r="Q906" s="115">
        <v>36224</v>
      </c>
      <c r="R906" s="130">
        <v>1.9715786000000001E-3</v>
      </c>
      <c r="T906"/>
    </row>
    <row r="907" spans="9:20">
      <c r="I907" s="115">
        <v>36217</v>
      </c>
      <c r="J907" s="130">
        <v>0.56188326560000001</v>
      </c>
      <c r="M907" s="115">
        <v>36217</v>
      </c>
      <c r="N907" s="130">
        <v>0</v>
      </c>
      <c r="O907" s="130"/>
      <c r="P907" s="130"/>
      <c r="Q907" s="115">
        <v>36217</v>
      </c>
      <c r="R907" s="130">
        <v>2.5667490000000001E-3</v>
      </c>
      <c r="T907"/>
    </row>
    <row r="908" spans="9:20">
      <c r="I908" s="115">
        <v>36210</v>
      </c>
      <c r="J908" s="130">
        <v>0.59047930660000003</v>
      </c>
      <c r="M908" s="115">
        <v>36210</v>
      </c>
      <c r="N908" s="130">
        <v>0</v>
      </c>
      <c r="O908" s="130"/>
      <c r="P908" s="130"/>
      <c r="Q908" s="115">
        <v>36210</v>
      </c>
      <c r="R908" s="130">
        <v>6.9875223999999996E-3</v>
      </c>
      <c r="T908"/>
    </row>
    <row r="909" spans="9:20">
      <c r="I909" s="115">
        <v>36203</v>
      </c>
      <c r="J909" s="130">
        <v>0.62473642880000002</v>
      </c>
      <c r="M909" s="115">
        <v>36203</v>
      </c>
      <c r="N909" s="130">
        <v>0</v>
      </c>
      <c r="O909" s="130"/>
      <c r="P909" s="130"/>
      <c r="Q909" s="115">
        <v>36203</v>
      </c>
      <c r="R909" s="130">
        <v>1.5074087200000001E-2</v>
      </c>
      <c r="T909"/>
    </row>
    <row r="910" spans="9:20">
      <c r="I910" s="115">
        <v>36196</v>
      </c>
      <c r="J910" s="130">
        <v>0.6375088095</v>
      </c>
      <c r="M910" s="115">
        <v>36196</v>
      </c>
      <c r="N910" s="130">
        <v>0</v>
      </c>
      <c r="O910" s="130"/>
      <c r="P910" s="130"/>
      <c r="Q910" s="115">
        <v>36196</v>
      </c>
      <c r="R910" s="130">
        <v>0.6375088095</v>
      </c>
      <c r="T910"/>
    </row>
    <row r="911" spans="9:20">
      <c r="I911" s="115">
        <v>36189</v>
      </c>
      <c r="J911" s="130">
        <v>0.68698741129999996</v>
      </c>
      <c r="M911" s="115">
        <v>36189</v>
      </c>
      <c r="N911" s="130">
        <v>0</v>
      </c>
      <c r="O911" s="130"/>
      <c r="P911" s="130"/>
      <c r="Q911" s="115">
        <v>36189</v>
      </c>
      <c r="R911" s="130">
        <v>0.68698741129999996</v>
      </c>
      <c r="T911"/>
    </row>
    <row r="912" spans="9:20">
      <c r="I912" s="115">
        <v>36182</v>
      </c>
      <c r="J912" s="130">
        <v>0.66626501039999997</v>
      </c>
      <c r="M912" s="115">
        <v>36182</v>
      </c>
      <c r="N912" s="130">
        <v>0</v>
      </c>
      <c r="O912" s="130"/>
      <c r="P912" s="130"/>
      <c r="Q912" s="115">
        <v>36182</v>
      </c>
      <c r="R912" s="130">
        <v>0.66626501039999997</v>
      </c>
      <c r="T912"/>
    </row>
    <row r="913" spans="9:20">
      <c r="I913" s="115">
        <v>36175</v>
      </c>
      <c r="J913" s="130">
        <v>0.61789410199999995</v>
      </c>
      <c r="M913" s="115">
        <v>36175</v>
      </c>
      <c r="N913" s="130">
        <v>0</v>
      </c>
      <c r="O913" s="130"/>
      <c r="P913" s="130"/>
      <c r="Q913" s="115">
        <v>36175</v>
      </c>
      <c r="R913" s="130">
        <v>8.8816098000000007E-3</v>
      </c>
      <c r="T913"/>
    </row>
    <row r="914" spans="9:20">
      <c r="I914" s="115">
        <v>36168</v>
      </c>
      <c r="J914" s="130">
        <v>0.66269314889999997</v>
      </c>
      <c r="M914" s="115">
        <v>36168</v>
      </c>
      <c r="N914" s="130">
        <v>0</v>
      </c>
      <c r="O914" s="130"/>
      <c r="P914" s="130"/>
      <c r="Q914" s="115">
        <v>36168</v>
      </c>
      <c r="R914" s="130">
        <v>0.66269314889999997</v>
      </c>
      <c r="T914"/>
    </row>
    <row r="915" spans="9:20">
      <c r="I915" s="115">
        <v>36160</v>
      </c>
      <c r="J915" s="130">
        <v>0.65318954870000001</v>
      </c>
      <c r="M915" s="115">
        <v>36160</v>
      </c>
      <c r="N915" s="130">
        <v>0</v>
      </c>
      <c r="O915" s="130"/>
      <c r="P915" s="130"/>
      <c r="Q915" s="115">
        <v>36160</v>
      </c>
      <c r="R915" s="130">
        <v>5.0838903999999999E-3</v>
      </c>
      <c r="T915"/>
    </row>
    <row r="916" spans="9:20">
      <c r="I916" s="115">
        <v>36154</v>
      </c>
      <c r="J916" s="130">
        <v>0.69340555169999996</v>
      </c>
      <c r="M916" s="115">
        <v>36154</v>
      </c>
      <c r="N916" s="130">
        <v>0</v>
      </c>
      <c r="O916" s="130"/>
      <c r="P916" s="130"/>
      <c r="Q916" s="115">
        <v>36154</v>
      </c>
      <c r="R916" s="130">
        <v>0.69340555169999996</v>
      </c>
      <c r="T916"/>
    </row>
    <row r="917" spans="9:20">
      <c r="I917" s="115">
        <v>36147</v>
      </c>
      <c r="J917" s="130">
        <v>0.74398042890000005</v>
      </c>
      <c r="M917" s="115">
        <v>36147</v>
      </c>
      <c r="N917" s="130">
        <v>0</v>
      </c>
      <c r="O917" s="130"/>
      <c r="P917" s="130"/>
      <c r="Q917" s="115">
        <v>36147</v>
      </c>
      <c r="R917" s="130">
        <v>0.74398042890000005</v>
      </c>
      <c r="T917"/>
    </row>
    <row r="918" spans="9:20">
      <c r="I918" s="115">
        <v>36140</v>
      </c>
      <c r="J918" s="130">
        <v>0.77639651730000003</v>
      </c>
      <c r="M918" s="115">
        <v>36140</v>
      </c>
      <c r="N918" s="130">
        <v>0</v>
      </c>
      <c r="O918" s="130"/>
      <c r="P918" s="130"/>
      <c r="Q918" s="115">
        <v>36140</v>
      </c>
      <c r="R918" s="130">
        <v>0.77641110000000002</v>
      </c>
      <c r="T918"/>
    </row>
    <row r="919" spans="9:20">
      <c r="I919" s="115">
        <v>36133</v>
      </c>
      <c r="J919" s="130">
        <v>0.75428752769999996</v>
      </c>
      <c r="M919" s="115">
        <v>36133</v>
      </c>
      <c r="N919" s="130">
        <v>0</v>
      </c>
      <c r="O919" s="130"/>
      <c r="P919" s="130"/>
      <c r="Q919" s="115">
        <v>36133</v>
      </c>
      <c r="R919" s="130">
        <v>0.75428752769999996</v>
      </c>
      <c r="T919"/>
    </row>
    <row r="920" spans="9:20">
      <c r="I920" s="115">
        <v>36126</v>
      </c>
      <c r="J920" s="130">
        <v>0.72913960580000003</v>
      </c>
      <c r="M920" s="115">
        <v>36126</v>
      </c>
      <c r="N920" s="130">
        <v>0</v>
      </c>
      <c r="O920" s="130"/>
      <c r="P920" s="130"/>
      <c r="Q920" s="115">
        <v>36126</v>
      </c>
      <c r="R920" s="130">
        <v>0.72913960580000003</v>
      </c>
      <c r="T920"/>
    </row>
    <row r="921" spans="9:20">
      <c r="I921" s="115">
        <v>36119</v>
      </c>
      <c r="J921" s="130">
        <v>0.68045906980000004</v>
      </c>
      <c r="M921" s="115">
        <v>36119</v>
      </c>
      <c r="N921" s="130">
        <v>0</v>
      </c>
      <c r="O921" s="130"/>
      <c r="P921" s="130"/>
      <c r="Q921" s="115">
        <v>36119</v>
      </c>
      <c r="R921" s="130">
        <v>0.68046291270000003</v>
      </c>
      <c r="T921"/>
    </row>
    <row r="922" spans="9:20">
      <c r="I922" s="115">
        <v>36112</v>
      </c>
      <c r="J922" s="130">
        <v>0.64741449009999996</v>
      </c>
      <c r="M922" s="115">
        <v>36112</v>
      </c>
      <c r="N922" s="130">
        <v>0</v>
      </c>
      <c r="O922" s="130"/>
      <c r="P922" s="130"/>
      <c r="Q922" s="115">
        <v>36112</v>
      </c>
      <c r="R922" s="130">
        <v>0.64741449009999996</v>
      </c>
      <c r="T922"/>
    </row>
    <row r="923" spans="9:20">
      <c r="I923" s="115">
        <v>36105</v>
      </c>
      <c r="J923" s="130">
        <v>0.66961145879999995</v>
      </c>
      <c r="M923" s="115">
        <v>36105</v>
      </c>
      <c r="N923" s="130">
        <v>0</v>
      </c>
      <c r="O923" s="130"/>
      <c r="P923" s="130"/>
      <c r="Q923" s="115">
        <v>36105</v>
      </c>
      <c r="R923" s="130">
        <v>0.66961530170000005</v>
      </c>
      <c r="T923"/>
    </row>
    <row r="924" spans="9:20">
      <c r="I924" s="115">
        <v>36098</v>
      </c>
      <c r="J924" s="130">
        <v>0.72572037199999995</v>
      </c>
      <c r="M924" s="115">
        <v>36098</v>
      </c>
      <c r="N924" s="130">
        <v>0</v>
      </c>
      <c r="O924" s="130"/>
      <c r="P924" s="130"/>
      <c r="Q924" s="115">
        <v>36098</v>
      </c>
      <c r="R924" s="130">
        <v>0.72574380999999999</v>
      </c>
      <c r="T924"/>
    </row>
    <row r="925" spans="9:20">
      <c r="I925" s="115">
        <v>36091</v>
      </c>
      <c r="J925" s="130">
        <v>0.76760720149999995</v>
      </c>
      <c r="M925" s="115">
        <v>36091</v>
      </c>
      <c r="N925" s="130">
        <v>0</v>
      </c>
      <c r="O925" s="130"/>
      <c r="P925" s="130"/>
      <c r="Q925" s="115">
        <v>36091</v>
      </c>
      <c r="R925" s="130">
        <v>0.76760995840000001</v>
      </c>
      <c r="T925"/>
    </row>
    <row r="926" spans="9:20">
      <c r="I926" s="115">
        <v>36084</v>
      </c>
      <c r="J926" s="130">
        <v>0.68295335140000002</v>
      </c>
      <c r="M926" s="115">
        <v>36084</v>
      </c>
      <c r="N926" s="130">
        <v>0</v>
      </c>
      <c r="O926" s="130"/>
      <c r="P926" s="130"/>
      <c r="Q926" s="115">
        <v>36084</v>
      </c>
      <c r="R926" s="130">
        <v>0.68295335140000002</v>
      </c>
      <c r="T926"/>
    </row>
    <row r="927" spans="9:20">
      <c r="I927" s="115">
        <v>36077</v>
      </c>
      <c r="J927" s="130">
        <v>0.93201741689999995</v>
      </c>
      <c r="M927" s="115">
        <v>36077</v>
      </c>
      <c r="N927" s="130">
        <v>0.93206735070000002</v>
      </c>
      <c r="O927" s="130"/>
      <c r="P927" s="130"/>
      <c r="Q927" s="115">
        <v>36077</v>
      </c>
      <c r="R927" s="130">
        <v>0.93206735070000002</v>
      </c>
      <c r="T927"/>
    </row>
    <row r="928" spans="9:20">
      <c r="I928" s="115">
        <v>36070</v>
      </c>
      <c r="J928" s="130">
        <v>0.86712764490000005</v>
      </c>
      <c r="M928" s="115">
        <v>36070</v>
      </c>
      <c r="N928" s="130">
        <v>0.86718927030000004</v>
      </c>
      <c r="O928" s="130"/>
      <c r="P928" s="130"/>
      <c r="Q928" s="115">
        <v>36070</v>
      </c>
      <c r="R928" s="130">
        <v>0.86718927030000004</v>
      </c>
      <c r="T928"/>
    </row>
    <row r="929" spans="9:20">
      <c r="I929" s="115">
        <v>36063</v>
      </c>
      <c r="J929" s="130">
        <v>0.84859040060000002</v>
      </c>
      <c r="M929" s="115">
        <v>36063</v>
      </c>
      <c r="N929" s="130">
        <v>0</v>
      </c>
      <c r="O929" s="130"/>
      <c r="P929" s="130"/>
      <c r="Q929" s="115">
        <v>36063</v>
      </c>
      <c r="R929" s="130">
        <v>0.84859040060000002</v>
      </c>
      <c r="T929"/>
    </row>
    <row r="930" spans="9:20">
      <c r="I930" s="115">
        <v>36056</v>
      </c>
      <c r="J930" s="130">
        <v>0.85205619980000002</v>
      </c>
      <c r="M930" s="115">
        <v>36056</v>
      </c>
      <c r="N930" s="130">
        <v>0.85205619980000002</v>
      </c>
      <c r="O930" s="130"/>
      <c r="P930" s="130"/>
      <c r="Q930" s="115">
        <v>36056</v>
      </c>
      <c r="R930" s="130">
        <v>0.85205619980000002</v>
      </c>
      <c r="T930"/>
    </row>
    <row r="931" spans="9:20">
      <c r="I931" s="115">
        <v>36049</v>
      </c>
      <c r="J931" s="130">
        <v>0.74989946600000001</v>
      </c>
      <c r="M931" s="115">
        <v>36049</v>
      </c>
      <c r="N931" s="130">
        <v>0.74989946600000001</v>
      </c>
      <c r="O931" s="130"/>
      <c r="P931" s="130"/>
      <c r="Q931" s="115">
        <v>36049</v>
      </c>
      <c r="R931" s="130">
        <v>0.74989946600000001</v>
      </c>
      <c r="T931"/>
    </row>
    <row r="932" spans="9:20">
      <c r="I932" s="115">
        <v>36042</v>
      </c>
      <c r="J932" s="130">
        <v>0.71683777140000005</v>
      </c>
      <c r="M932" s="115">
        <v>36042</v>
      </c>
      <c r="N932" s="130">
        <v>0.71683777140000005</v>
      </c>
      <c r="O932" s="130"/>
      <c r="P932" s="130"/>
      <c r="Q932" s="115">
        <v>36042</v>
      </c>
      <c r="R932" s="130">
        <v>0.71683777140000005</v>
      </c>
      <c r="T932"/>
    </row>
    <row r="933" spans="9:20">
      <c r="I933" s="115">
        <v>36035</v>
      </c>
      <c r="J933" s="130">
        <v>0.68687138530000003</v>
      </c>
      <c r="M933" s="115">
        <v>36035</v>
      </c>
      <c r="N933" s="130">
        <v>0</v>
      </c>
      <c r="O933" s="130"/>
      <c r="P933" s="130"/>
      <c r="Q933" s="115">
        <v>36035</v>
      </c>
      <c r="R933" s="130">
        <v>0.68688167339999995</v>
      </c>
      <c r="T933"/>
    </row>
    <row r="934" spans="9:20">
      <c r="I934" s="115">
        <v>36028</v>
      </c>
      <c r="J934" s="130">
        <v>0.68687138530000003</v>
      </c>
      <c r="M934" s="115">
        <v>36028</v>
      </c>
      <c r="N934" s="130">
        <v>0</v>
      </c>
      <c r="O934" s="130"/>
      <c r="P934" s="130"/>
      <c r="Q934" s="115">
        <v>36028</v>
      </c>
      <c r="R934" s="130">
        <v>0.68688167339999995</v>
      </c>
      <c r="T934"/>
    </row>
    <row r="935" spans="9:20">
      <c r="I935" s="115">
        <v>36021</v>
      </c>
      <c r="J935" s="130">
        <v>0.69683015339999999</v>
      </c>
      <c r="M935" s="115">
        <v>36021</v>
      </c>
      <c r="N935" s="130">
        <v>0</v>
      </c>
      <c r="O935" s="130"/>
      <c r="P935" s="130"/>
      <c r="Q935" s="115">
        <v>36021</v>
      </c>
      <c r="R935" s="130">
        <v>0.69684044150000002</v>
      </c>
      <c r="T935"/>
    </row>
    <row r="936" spans="9:20">
      <c r="I936" s="115">
        <v>36014</v>
      </c>
      <c r="J936" s="130">
        <v>0.67721825599999996</v>
      </c>
      <c r="M936" s="115">
        <v>36014</v>
      </c>
      <c r="N936" s="130">
        <v>0</v>
      </c>
      <c r="O936" s="130"/>
      <c r="P936" s="130"/>
      <c r="Q936" s="115">
        <v>36014</v>
      </c>
      <c r="R936" s="130">
        <v>0.6772285441</v>
      </c>
      <c r="T936"/>
    </row>
    <row r="937" spans="9:20">
      <c r="I937" s="115">
        <v>36007</v>
      </c>
      <c r="J937" s="130">
        <v>0.68514554360000002</v>
      </c>
      <c r="M937" s="115">
        <v>36007</v>
      </c>
      <c r="N937" s="130">
        <v>0</v>
      </c>
      <c r="O937" s="130"/>
      <c r="P937" s="130"/>
      <c r="Q937" s="115">
        <v>36007</v>
      </c>
      <c r="R937" s="130">
        <v>0.68514554360000002</v>
      </c>
      <c r="T937"/>
    </row>
    <row r="938" spans="9:20">
      <c r="I938" s="115">
        <v>36000</v>
      </c>
      <c r="J938" s="130">
        <v>0.69243114159999997</v>
      </c>
      <c r="M938" s="115">
        <v>36000</v>
      </c>
      <c r="N938" s="130">
        <v>0</v>
      </c>
      <c r="O938" s="130"/>
      <c r="P938" s="130"/>
      <c r="Q938" s="115">
        <v>36000</v>
      </c>
      <c r="R938" s="130">
        <v>0.69243114159999997</v>
      </c>
      <c r="T938"/>
    </row>
    <row r="939" spans="9:20">
      <c r="I939" s="115">
        <v>35993</v>
      </c>
      <c r="J939" s="130">
        <v>0.7029390378</v>
      </c>
      <c r="M939" s="115">
        <v>35993</v>
      </c>
      <c r="N939" s="130">
        <v>0</v>
      </c>
      <c r="O939" s="130"/>
      <c r="P939" s="130"/>
      <c r="Q939" s="115">
        <v>35993</v>
      </c>
      <c r="R939" s="130">
        <v>0.7029390378</v>
      </c>
      <c r="T939"/>
    </row>
    <row r="940" spans="9:20">
      <c r="I940" s="115">
        <v>35986</v>
      </c>
      <c r="J940" s="130">
        <v>0.72224721219999999</v>
      </c>
      <c r="M940" s="115">
        <v>35986</v>
      </c>
      <c r="N940" s="130">
        <v>0.53745097850000001</v>
      </c>
      <c r="O940" s="130"/>
      <c r="P940" s="130"/>
      <c r="Q940" s="115">
        <v>35986</v>
      </c>
      <c r="R940" s="130">
        <v>0.72224721219999999</v>
      </c>
      <c r="T940"/>
    </row>
    <row r="941" spans="9:20">
      <c r="I941" s="115">
        <v>35979</v>
      </c>
      <c r="J941" s="130">
        <v>0.69656378029999999</v>
      </c>
      <c r="M941" s="115">
        <v>35979</v>
      </c>
      <c r="N941" s="130">
        <v>0</v>
      </c>
      <c r="O941" s="130"/>
      <c r="P941" s="130"/>
      <c r="Q941" s="115">
        <v>35979</v>
      </c>
      <c r="R941" s="130">
        <v>0.69656378029999999</v>
      </c>
      <c r="T941"/>
    </row>
    <row r="942" spans="9:20">
      <c r="I942" s="115">
        <v>35972</v>
      </c>
      <c r="J942" s="130">
        <v>0.72490466460000003</v>
      </c>
      <c r="M942" s="115">
        <v>35972</v>
      </c>
      <c r="N942" s="130">
        <v>0</v>
      </c>
      <c r="O942" s="130"/>
      <c r="P942" s="130"/>
      <c r="Q942" s="115">
        <v>35972</v>
      </c>
      <c r="R942" s="130">
        <v>0.72507549059999998</v>
      </c>
      <c r="T942"/>
    </row>
    <row r="943" spans="9:20">
      <c r="I943" s="115">
        <v>35965</v>
      </c>
      <c r="J943" s="130">
        <v>0.73711305220000001</v>
      </c>
      <c r="M943" s="115">
        <v>35965</v>
      </c>
      <c r="N943" s="130">
        <v>0.54526793750000002</v>
      </c>
      <c r="O943" s="130"/>
      <c r="P943" s="130"/>
      <c r="Q943" s="115">
        <v>35965</v>
      </c>
      <c r="R943" s="130">
        <v>0.73728387829999997</v>
      </c>
      <c r="T943"/>
    </row>
    <row r="944" spans="9:20">
      <c r="I944" s="115">
        <v>35958</v>
      </c>
      <c r="J944" s="130">
        <v>0.6634672895</v>
      </c>
      <c r="M944" s="115">
        <v>35958</v>
      </c>
      <c r="N944" s="130">
        <v>9.1988899999999995E-3</v>
      </c>
      <c r="O944" s="130"/>
      <c r="P944" s="130"/>
      <c r="Q944" s="115">
        <v>35958</v>
      </c>
      <c r="R944" s="130">
        <v>0.66372847609999996</v>
      </c>
      <c r="T944"/>
    </row>
    <row r="945" spans="9:20">
      <c r="I945" s="115">
        <v>35951</v>
      </c>
      <c r="J945" s="130">
        <v>0.65460831200000003</v>
      </c>
      <c r="M945" s="115">
        <v>35951</v>
      </c>
      <c r="N945" s="130">
        <v>8.9164026999999993E-3</v>
      </c>
      <c r="O945" s="130"/>
      <c r="P945" s="130"/>
      <c r="Q945" s="115">
        <v>35951</v>
      </c>
      <c r="R945" s="130">
        <v>0.6548694987</v>
      </c>
      <c r="T945"/>
    </row>
    <row r="946" spans="9:20">
      <c r="I946" s="115">
        <v>35944</v>
      </c>
      <c r="J946" s="130">
        <v>0.65693571129999995</v>
      </c>
      <c r="M946" s="115">
        <v>35944</v>
      </c>
      <c r="N946" s="130">
        <v>3.7064235000000001E-3</v>
      </c>
      <c r="O946" s="130"/>
      <c r="P946" s="130"/>
      <c r="Q946" s="115">
        <v>35944</v>
      </c>
      <c r="R946" s="130">
        <v>0.65693571129999995</v>
      </c>
      <c r="T946"/>
    </row>
    <row r="947" spans="9:20">
      <c r="I947" s="115">
        <v>35937</v>
      </c>
      <c r="J947" s="130">
        <v>0.63634791000000002</v>
      </c>
      <c r="M947" s="115">
        <v>35937</v>
      </c>
      <c r="N947" s="130">
        <v>0</v>
      </c>
      <c r="O947" s="130"/>
      <c r="P947" s="130"/>
      <c r="Q947" s="115">
        <v>35937</v>
      </c>
      <c r="R947" s="130">
        <v>0.4612072317</v>
      </c>
      <c r="T947"/>
    </row>
    <row r="948" spans="9:20">
      <c r="I948" s="115">
        <v>35930</v>
      </c>
      <c r="J948" s="130">
        <v>0.56701855560000003</v>
      </c>
      <c r="M948" s="115">
        <v>35930</v>
      </c>
      <c r="N948" s="130">
        <v>0</v>
      </c>
      <c r="O948" s="130"/>
      <c r="P948" s="130"/>
      <c r="Q948" s="115">
        <v>35930</v>
      </c>
      <c r="R948" s="130">
        <v>4.3310939999999997E-3</v>
      </c>
      <c r="T948"/>
    </row>
    <row r="949" spans="9:20">
      <c r="I949" s="115">
        <v>35923</v>
      </c>
      <c r="J949" s="130">
        <v>0.59471500129999999</v>
      </c>
      <c r="M949" s="115">
        <v>35923</v>
      </c>
      <c r="N949" s="130">
        <v>0</v>
      </c>
      <c r="O949" s="130"/>
      <c r="P949" s="130"/>
      <c r="Q949" s="115">
        <v>35923</v>
      </c>
      <c r="R949" s="130">
        <v>0.41265993140000001</v>
      </c>
      <c r="T949"/>
    </row>
    <row r="950" spans="9:20">
      <c r="I950" s="115">
        <v>35916</v>
      </c>
      <c r="J950" s="130">
        <v>0.55561473859999999</v>
      </c>
      <c r="M950" s="115">
        <v>35916</v>
      </c>
      <c r="N950" s="130">
        <v>0</v>
      </c>
      <c r="O950" s="130"/>
      <c r="P950" s="130"/>
      <c r="Q950" s="115">
        <v>35916</v>
      </c>
      <c r="R950" s="130">
        <v>4.0452787E-3</v>
      </c>
      <c r="T950"/>
    </row>
    <row r="951" spans="9:20">
      <c r="I951" s="115">
        <v>35909</v>
      </c>
      <c r="J951" s="130">
        <v>0.63745776799999998</v>
      </c>
      <c r="M951" s="115">
        <v>35909</v>
      </c>
      <c r="N951" s="130">
        <v>0</v>
      </c>
      <c r="O951" s="130"/>
      <c r="P951" s="130"/>
      <c r="Q951" s="115">
        <v>35909</v>
      </c>
      <c r="R951" s="130">
        <v>0.44753541050000001</v>
      </c>
      <c r="T951"/>
    </row>
    <row r="952" spans="9:20">
      <c r="I952" s="115">
        <v>35902</v>
      </c>
      <c r="J952" s="130">
        <v>0.62509294709999996</v>
      </c>
      <c r="M952" s="115">
        <v>35902</v>
      </c>
      <c r="N952" s="130">
        <v>0</v>
      </c>
      <c r="O952" s="130"/>
      <c r="P952" s="130"/>
      <c r="Q952" s="115">
        <v>35902</v>
      </c>
      <c r="R952" s="130">
        <v>0.4338750837</v>
      </c>
      <c r="T952"/>
    </row>
    <row r="953" spans="9:20">
      <c r="I953" s="115">
        <v>35895</v>
      </c>
      <c r="J953" s="130">
        <v>0.66740569959999996</v>
      </c>
      <c r="M953" s="115">
        <v>35895</v>
      </c>
      <c r="N953" s="130">
        <v>0</v>
      </c>
      <c r="O953" s="130"/>
      <c r="P953" s="130"/>
      <c r="Q953" s="115">
        <v>35895</v>
      </c>
      <c r="R953" s="130">
        <v>0.48594479600000007</v>
      </c>
      <c r="T953"/>
    </row>
    <row r="954" spans="9:20">
      <c r="I954" s="115">
        <v>35888</v>
      </c>
      <c r="J954" s="130">
        <v>0.62363301059999998</v>
      </c>
      <c r="M954" s="115">
        <v>35888</v>
      </c>
      <c r="N954" s="130">
        <v>0</v>
      </c>
      <c r="O954" s="130"/>
      <c r="P954" s="130"/>
      <c r="Q954" s="115">
        <v>35888</v>
      </c>
      <c r="R954" s="130">
        <v>0.43544284630000002</v>
      </c>
      <c r="T954"/>
    </row>
    <row r="955" spans="9:20">
      <c r="I955" s="115">
        <v>35881</v>
      </c>
      <c r="J955" s="130">
        <v>0.67497972530000006</v>
      </c>
      <c r="M955" s="115">
        <v>35881</v>
      </c>
      <c r="N955" s="130">
        <v>0</v>
      </c>
      <c r="O955" s="130"/>
      <c r="P955" s="130"/>
      <c r="Q955" s="115">
        <v>35881</v>
      </c>
      <c r="R955" s="130">
        <v>0.4858172731</v>
      </c>
      <c r="T955"/>
    </row>
    <row r="956" spans="9:20">
      <c r="I956" s="115">
        <v>35874</v>
      </c>
      <c r="J956" s="130">
        <v>0.67497972530000006</v>
      </c>
      <c r="M956" s="115">
        <v>35874</v>
      </c>
      <c r="N956" s="130">
        <v>0</v>
      </c>
      <c r="O956" s="130"/>
      <c r="P956" s="130"/>
      <c r="Q956" s="115">
        <v>35874</v>
      </c>
      <c r="R956" s="130">
        <v>0.4858172731</v>
      </c>
      <c r="T956"/>
    </row>
    <row r="957" spans="9:20">
      <c r="I957" s="115">
        <v>35867</v>
      </c>
      <c r="J957" s="130">
        <v>0.61726225170000004</v>
      </c>
      <c r="M957" s="115">
        <v>35867</v>
      </c>
      <c r="N957" s="130">
        <v>0</v>
      </c>
      <c r="O957" s="130"/>
      <c r="P957" s="130"/>
      <c r="Q957" s="115">
        <v>35867</v>
      </c>
      <c r="R957" s="130">
        <v>0.27083715069999997</v>
      </c>
      <c r="T957"/>
    </row>
    <row r="958" spans="9:20">
      <c r="I958" s="115">
        <v>35860</v>
      </c>
      <c r="J958" s="130">
        <v>0.60564748710000005</v>
      </c>
      <c r="M958" s="115">
        <v>35860</v>
      </c>
      <c r="N958" s="130">
        <v>0</v>
      </c>
      <c r="O958" s="130"/>
      <c r="P958" s="130"/>
      <c r="Q958" s="115">
        <v>35860</v>
      </c>
      <c r="R958" s="130">
        <v>0.26118728359999999</v>
      </c>
      <c r="T958"/>
    </row>
    <row r="959" spans="9:20">
      <c r="I959" s="115">
        <v>35854</v>
      </c>
      <c r="J959" s="130">
        <v>0.66365471610000004</v>
      </c>
      <c r="M959" s="115">
        <v>35854</v>
      </c>
      <c r="N959" s="130">
        <v>0</v>
      </c>
      <c r="O959" s="130"/>
      <c r="P959" s="130"/>
      <c r="Q959" s="115">
        <v>35854</v>
      </c>
      <c r="R959" s="130">
        <v>0.4739008173</v>
      </c>
      <c r="T959"/>
    </row>
    <row r="960" spans="9:20">
      <c r="I960" s="115">
        <v>35846</v>
      </c>
      <c r="J960" s="130">
        <v>0.72568535879999996</v>
      </c>
      <c r="M960" s="115">
        <v>35846</v>
      </c>
      <c r="N960" s="130">
        <v>0</v>
      </c>
      <c r="O960" s="130"/>
      <c r="P960" s="130"/>
      <c r="Q960" s="115">
        <v>35846</v>
      </c>
      <c r="R960" s="130">
        <v>0.72568535879999996</v>
      </c>
      <c r="T960"/>
    </row>
    <row r="961" spans="9:20">
      <c r="I961" s="115">
        <v>35839</v>
      </c>
      <c r="J961" s="130">
        <v>0.66627656179999994</v>
      </c>
      <c r="M961" s="115">
        <v>35839</v>
      </c>
      <c r="N961" s="130">
        <v>0</v>
      </c>
      <c r="O961" s="130"/>
      <c r="P961" s="130"/>
      <c r="Q961" s="115">
        <v>35839</v>
      </c>
      <c r="R961" s="130">
        <v>0.47636994580000003</v>
      </c>
      <c r="T961"/>
    </row>
    <row r="962" spans="9:20">
      <c r="I962" s="115">
        <v>35832</v>
      </c>
      <c r="J962" s="130">
        <v>0.69735484749999999</v>
      </c>
      <c r="M962" s="115">
        <v>35832</v>
      </c>
      <c r="N962" s="130">
        <v>0</v>
      </c>
      <c r="O962" s="130"/>
      <c r="P962" s="130"/>
      <c r="Q962" s="115">
        <v>35832</v>
      </c>
      <c r="R962" s="130">
        <v>0.69735484749999999</v>
      </c>
      <c r="T962"/>
    </row>
    <row r="963" spans="9:20">
      <c r="I963" s="115">
        <v>35825</v>
      </c>
      <c r="J963" s="130">
        <v>0.65894953960000002</v>
      </c>
      <c r="M963" s="115">
        <v>35825</v>
      </c>
      <c r="N963" s="130">
        <v>0</v>
      </c>
      <c r="O963" s="130"/>
      <c r="P963" s="130"/>
      <c r="Q963" s="115">
        <v>35825</v>
      </c>
      <c r="R963" s="130">
        <v>0.4650245918</v>
      </c>
      <c r="T963"/>
    </row>
    <row r="964" spans="9:20">
      <c r="I964" s="115">
        <v>35818</v>
      </c>
      <c r="J964" s="130">
        <v>0.73567537220000001</v>
      </c>
      <c r="M964" s="115">
        <v>35818</v>
      </c>
      <c r="N964" s="130">
        <v>0</v>
      </c>
      <c r="O964" s="130"/>
      <c r="P964" s="130"/>
      <c r="Q964" s="115">
        <v>35818</v>
      </c>
      <c r="R964" s="130">
        <v>0.73567537220000001</v>
      </c>
      <c r="T964"/>
    </row>
    <row r="965" spans="9:20">
      <c r="I965" s="115">
        <v>35811</v>
      </c>
      <c r="J965" s="130">
        <v>0.80011436960000004</v>
      </c>
      <c r="M965" s="115">
        <v>35811</v>
      </c>
      <c r="N965" s="130">
        <v>0.57574392640000005</v>
      </c>
      <c r="O965" s="130"/>
      <c r="P965" s="130"/>
      <c r="Q965" s="115">
        <v>35811</v>
      </c>
      <c r="R965" s="130">
        <v>0.80011436960000004</v>
      </c>
      <c r="T965"/>
    </row>
    <row r="966" spans="9:20">
      <c r="I966" s="115">
        <v>35804</v>
      </c>
      <c r="J966" s="130">
        <v>0.73567537220000001</v>
      </c>
      <c r="M966" s="115">
        <v>35804</v>
      </c>
      <c r="N966" s="130">
        <v>0.52203282949999996</v>
      </c>
      <c r="O966" s="130"/>
      <c r="P966" s="130"/>
      <c r="Q966" s="115">
        <v>35804</v>
      </c>
      <c r="R966" s="130">
        <v>0.73567537220000001</v>
      </c>
      <c r="T966"/>
    </row>
    <row r="967" spans="9:20">
      <c r="I967" s="115">
        <v>35797</v>
      </c>
      <c r="J967" s="130">
        <v>0.62697792450000001</v>
      </c>
      <c r="M967" s="115">
        <v>35797</v>
      </c>
      <c r="N967" s="130">
        <v>0</v>
      </c>
      <c r="O967" s="130"/>
      <c r="P967" s="130"/>
      <c r="Q967" s="115">
        <v>35797</v>
      </c>
      <c r="R967" s="130">
        <v>0.43326132169999998</v>
      </c>
      <c r="T967"/>
    </row>
    <row r="968" spans="9:20">
      <c r="I968" s="115">
        <v>35790</v>
      </c>
      <c r="J968" s="130">
        <v>0.65477057640000003</v>
      </c>
      <c r="M968" s="115">
        <v>35790</v>
      </c>
      <c r="N968" s="130">
        <v>0.26982644350000001</v>
      </c>
      <c r="O968" s="130"/>
      <c r="P968" s="130"/>
      <c r="Q968" s="115">
        <v>35790</v>
      </c>
      <c r="R968" s="130">
        <v>0.45805487980000004</v>
      </c>
      <c r="T968"/>
    </row>
    <row r="969" spans="9:20">
      <c r="I969" s="115">
        <v>35783</v>
      </c>
      <c r="J969" s="130">
        <v>0.61455914739999995</v>
      </c>
      <c r="M969" s="115">
        <v>35783</v>
      </c>
      <c r="N969" s="130">
        <v>0.25192649430000003</v>
      </c>
      <c r="O969" s="130"/>
      <c r="P969" s="130"/>
      <c r="Q969" s="115">
        <v>35783</v>
      </c>
      <c r="R969" s="130">
        <v>0.42083533699999998</v>
      </c>
      <c r="T969"/>
    </row>
    <row r="970" spans="9:20">
      <c r="I970" s="115">
        <v>35776</v>
      </c>
      <c r="J970" s="130">
        <v>0.55706384779999996</v>
      </c>
      <c r="M970" s="115">
        <v>35776</v>
      </c>
      <c r="N970" s="130">
        <v>0</v>
      </c>
      <c r="O970" s="130"/>
      <c r="P970" s="130"/>
      <c r="Q970" s="115">
        <v>35776</v>
      </c>
      <c r="R970" s="130">
        <v>0.38250612070000001</v>
      </c>
      <c r="T970"/>
    </row>
    <row r="971" spans="9:20">
      <c r="I971" s="115">
        <v>35769</v>
      </c>
      <c r="J971" s="130">
        <v>0.56899697049999998</v>
      </c>
      <c r="M971" s="115">
        <v>35769</v>
      </c>
      <c r="N971" s="130">
        <v>0.23233237879999999</v>
      </c>
      <c r="O971" s="130"/>
      <c r="P971" s="130"/>
      <c r="Q971" s="115">
        <v>35769</v>
      </c>
      <c r="R971" s="130">
        <v>0.38905737400000001</v>
      </c>
      <c r="T971"/>
    </row>
    <row r="972" spans="9:20">
      <c r="I972" s="115">
        <v>35762</v>
      </c>
      <c r="J972" s="130">
        <v>0.56500607439999995</v>
      </c>
      <c r="M972" s="115">
        <v>35762</v>
      </c>
      <c r="N972" s="130">
        <v>0</v>
      </c>
      <c r="O972" s="130"/>
      <c r="P972" s="130"/>
      <c r="Q972" s="115">
        <v>35762</v>
      </c>
      <c r="R972" s="130">
        <v>0.38676710110000001</v>
      </c>
      <c r="T972"/>
    </row>
    <row r="973" spans="9:20">
      <c r="I973" s="115">
        <v>35755</v>
      </c>
      <c r="J973" s="130">
        <v>0.57491226039999999</v>
      </c>
      <c r="M973" s="115">
        <v>35755</v>
      </c>
      <c r="N973" s="130">
        <v>0.22953873929999999</v>
      </c>
      <c r="O973" s="130"/>
      <c r="P973" s="130"/>
      <c r="Q973" s="115">
        <v>35755</v>
      </c>
      <c r="R973" s="130">
        <v>0.39068724490000001</v>
      </c>
      <c r="T973"/>
    </row>
    <row r="974" spans="9:20">
      <c r="I974" s="115">
        <v>35748</v>
      </c>
      <c r="J974" s="130">
        <v>0.53437118549999996</v>
      </c>
      <c r="M974" s="115">
        <v>35748</v>
      </c>
      <c r="N974" s="130">
        <v>0</v>
      </c>
      <c r="O974" s="130"/>
      <c r="P974" s="130"/>
      <c r="Q974" s="115">
        <v>35748</v>
      </c>
      <c r="R974" s="130">
        <v>0.36501774580000002</v>
      </c>
      <c r="T974"/>
    </row>
    <row r="975" spans="9:20">
      <c r="I975" s="115">
        <v>35741</v>
      </c>
      <c r="J975" s="130">
        <v>0.53076035899999996</v>
      </c>
      <c r="M975" s="115">
        <v>35741</v>
      </c>
      <c r="N975" s="130">
        <v>0</v>
      </c>
      <c r="O975" s="130"/>
      <c r="P975" s="130"/>
      <c r="Q975" s="115">
        <v>35741</v>
      </c>
      <c r="R975" s="130">
        <v>0.36336463479999997</v>
      </c>
      <c r="T975"/>
    </row>
    <row r="976" spans="9:20">
      <c r="I976" s="115">
        <v>35734</v>
      </c>
      <c r="J976" s="130">
        <v>0.55287078109999999</v>
      </c>
      <c r="M976" s="115">
        <v>35734</v>
      </c>
      <c r="N976" s="130">
        <v>0.21594308919999999</v>
      </c>
      <c r="O976" s="130"/>
      <c r="P976" s="130"/>
      <c r="Q976" s="115">
        <v>35734</v>
      </c>
      <c r="R976" s="130">
        <v>0.37578056700000001</v>
      </c>
      <c r="T976"/>
    </row>
    <row r="977" spans="9:20">
      <c r="I977" s="115">
        <v>35727</v>
      </c>
      <c r="J977" s="130">
        <v>0.44786283719999997</v>
      </c>
      <c r="M977" s="115">
        <v>35727</v>
      </c>
      <c r="N977" s="130">
        <v>0</v>
      </c>
      <c r="O977" s="130"/>
      <c r="P977" s="130"/>
      <c r="Q977" s="115">
        <v>35727</v>
      </c>
      <c r="R977" s="130">
        <v>0.1718154107</v>
      </c>
      <c r="T977"/>
    </row>
    <row r="978" spans="9:20">
      <c r="I978" s="115">
        <v>35720</v>
      </c>
      <c r="J978" s="130">
        <v>0.46245831920000002</v>
      </c>
      <c r="M978" s="115">
        <v>35720</v>
      </c>
      <c r="N978" s="130">
        <v>0</v>
      </c>
      <c r="O978" s="130"/>
      <c r="P978" s="130"/>
      <c r="Q978" s="115">
        <v>35720</v>
      </c>
      <c r="R978" s="130">
        <v>0.18150642280000001</v>
      </c>
      <c r="T978"/>
    </row>
    <row r="979" spans="9:20">
      <c r="I979" s="115">
        <v>35713</v>
      </c>
      <c r="J979" s="130">
        <v>0.51860974689999995</v>
      </c>
      <c r="M979" s="115">
        <v>35713</v>
      </c>
      <c r="N979" s="130">
        <v>0.2004169777</v>
      </c>
      <c r="O979" s="130"/>
      <c r="P979" s="130"/>
      <c r="Q979" s="115">
        <v>35713</v>
      </c>
      <c r="R979" s="130">
        <v>0.35378106399999998</v>
      </c>
      <c r="T979"/>
    </row>
    <row r="980" spans="9:20">
      <c r="I980" s="115">
        <v>35706</v>
      </c>
      <c r="J980" s="130">
        <v>0.47900715840000008</v>
      </c>
      <c r="M980" s="115">
        <v>35706</v>
      </c>
      <c r="N980" s="130">
        <v>0</v>
      </c>
      <c r="O980" s="130"/>
      <c r="P980" s="130"/>
      <c r="Q980" s="115">
        <v>35706</v>
      </c>
      <c r="R980" s="130">
        <v>0.32391565760000002</v>
      </c>
      <c r="T980"/>
    </row>
    <row r="981" spans="9:20">
      <c r="I981" s="115">
        <v>35699</v>
      </c>
      <c r="J981" s="130">
        <v>0.4994495109</v>
      </c>
      <c r="M981" s="115">
        <v>35699</v>
      </c>
      <c r="N981" s="130">
        <v>0.18613224959999999</v>
      </c>
      <c r="O981" s="130"/>
      <c r="P981" s="130"/>
      <c r="Q981" s="115">
        <v>35699</v>
      </c>
      <c r="R981" s="130">
        <v>0.33582060009999998</v>
      </c>
      <c r="T981"/>
    </row>
    <row r="982" spans="9:20">
      <c r="I982" s="115">
        <v>35692</v>
      </c>
      <c r="J982" s="130">
        <v>0.44138317189999998</v>
      </c>
      <c r="M982" s="115">
        <v>35692</v>
      </c>
      <c r="N982" s="130">
        <v>0</v>
      </c>
      <c r="O982" s="130"/>
      <c r="P982" s="130"/>
      <c r="Q982" s="115">
        <v>35692</v>
      </c>
      <c r="R982" s="130">
        <v>0.1635102923</v>
      </c>
      <c r="T982"/>
    </row>
    <row r="983" spans="9:20">
      <c r="I983" s="115">
        <v>35685</v>
      </c>
      <c r="J983" s="130">
        <v>0.36974139499999997</v>
      </c>
      <c r="M983" s="115">
        <v>35685</v>
      </c>
      <c r="N983" s="130">
        <v>0</v>
      </c>
      <c r="O983" s="130"/>
      <c r="P983" s="130"/>
      <c r="Q983" s="115">
        <v>35685</v>
      </c>
      <c r="R983" s="130">
        <v>0.125404666</v>
      </c>
      <c r="T983"/>
    </row>
    <row r="984" spans="9:20">
      <c r="I984" s="115">
        <v>35678</v>
      </c>
      <c r="J984" s="130">
        <v>0.36974139499999997</v>
      </c>
      <c r="M984" s="115">
        <v>35678</v>
      </c>
      <c r="N984" s="130">
        <v>0</v>
      </c>
      <c r="O984" s="130"/>
      <c r="P984" s="130"/>
      <c r="Q984" s="115">
        <v>35678</v>
      </c>
      <c r="R984" s="130">
        <v>0.125404666</v>
      </c>
      <c r="T984"/>
    </row>
    <row r="985" spans="9:20">
      <c r="I985" s="115">
        <v>35671</v>
      </c>
      <c r="J985" s="130">
        <v>0.34590693779999998</v>
      </c>
      <c r="M985" s="115">
        <v>35671</v>
      </c>
      <c r="N985" s="130">
        <v>0</v>
      </c>
      <c r="O985" s="130"/>
      <c r="P985" s="130"/>
      <c r="Q985" s="115">
        <v>35671</v>
      </c>
      <c r="R985" s="130">
        <v>3.7037068999999999E-2</v>
      </c>
      <c r="T985"/>
    </row>
    <row r="986" spans="9:20">
      <c r="I986" s="115">
        <v>35664</v>
      </c>
      <c r="J986" s="130">
        <v>0.39710854020000003</v>
      </c>
      <c r="M986" s="115">
        <v>35664</v>
      </c>
      <c r="N986" s="130">
        <v>0</v>
      </c>
      <c r="O986" s="130"/>
      <c r="P986" s="130"/>
      <c r="Q986" s="115">
        <v>35664</v>
      </c>
      <c r="R986" s="130">
        <v>0.13557377200000001</v>
      </c>
      <c r="T986"/>
    </row>
    <row r="987" spans="9:20">
      <c r="I987" s="115">
        <v>35657</v>
      </c>
      <c r="J987" s="130">
        <v>0.35590698949999999</v>
      </c>
      <c r="M987" s="115">
        <v>35657</v>
      </c>
      <c r="N987" s="130">
        <v>0</v>
      </c>
      <c r="O987" s="130"/>
      <c r="P987" s="130"/>
      <c r="Q987" s="115">
        <v>35657</v>
      </c>
      <c r="R987" s="130">
        <v>0.11379585180000001</v>
      </c>
      <c r="T987"/>
    </row>
    <row r="988" spans="9:20">
      <c r="I988" s="115">
        <v>35650</v>
      </c>
      <c r="J988" s="130">
        <v>0.39710854020000003</v>
      </c>
      <c r="M988" s="115">
        <v>35650</v>
      </c>
      <c r="N988" s="130">
        <v>0</v>
      </c>
      <c r="O988" s="130"/>
      <c r="P988" s="130"/>
      <c r="Q988" s="115">
        <v>35650</v>
      </c>
      <c r="R988" s="130">
        <v>0.13557377200000001</v>
      </c>
      <c r="T988"/>
    </row>
    <row r="989" spans="9:20">
      <c r="I989" s="115">
        <v>35643</v>
      </c>
      <c r="J989" s="130">
        <v>0.44604591370000002</v>
      </c>
      <c r="M989" s="115">
        <v>35643</v>
      </c>
      <c r="N989" s="130">
        <v>0.1521466132</v>
      </c>
      <c r="O989" s="130"/>
      <c r="P989" s="130"/>
      <c r="Q989" s="115">
        <v>35643</v>
      </c>
      <c r="R989" s="130">
        <v>0.28810625960000003</v>
      </c>
      <c r="T989"/>
    </row>
    <row r="990" spans="9:20">
      <c r="I990" s="115">
        <v>35636</v>
      </c>
      <c r="J990" s="130">
        <v>0.40519390799999999</v>
      </c>
      <c r="M990" s="115">
        <v>35636</v>
      </c>
      <c r="N990" s="130">
        <v>0.12799357250000001</v>
      </c>
      <c r="O990" s="130"/>
      <c r="P990" s="130"/>
      <c r="Q990" s="115">
        <v>35636</v>
      </c>
      <c r="R990" s="130">
        <v>0.1341082364</v>
      </c>
      <c r="T990"/>
    </row>
    <row r="991" spans="9:20">
      <c r="I991" s="115">
        <v>35629</v>
      </c>
      <c r="J991" s="130">
        <v>0.37893810160000002</v>
      </c>
      <c r="M991" s="115">
        <v>35629</v>
      </c>
      <c r="N991" s="130">
        <v>0</v>
      </c>
      <c r="O991" s="130"/>
      <c r="P991" s="130"/>
      <c r="Q991" s="115">
        <v>35629</v>
      </c>
      <c r="R991" s="130">
        <v>0.1223096719</v>
      </c>
      <c r="T991"/>
    </row>
    <row r="992" spans="9:20">
      <c r="I992" s="115">
        <v>35622</v>
      </c>
      <c r="J992" s="130">
        <v>0.37893810160000002</v>
      </c>
      <c r="M992" s="115">
        <v>35622</v>
      </c>
      <c r="N992" s="130">
        <v>2.5405827299999999E-2</v>
      </c>
      <c r="O992" s="130"/>
      <c r="P992" s="130"/>
      <c r="Q992" s="115">
        <v>35622</v>
      </c>
      <c r="R992" s="130">
        <v>0.1223096719</v>
      </c>
      <c r="T992"/>
    </row>
    <row r="993" spans="9:20">
      <c r="I993" s="115">
        <v>35615</v>
      </c>
      <c r="J993" s="130">
        <v>0.30649299479999997</v>
      </c>
      <c r="M993" s="115">
        <v>35615</v>
      </c>
      <c r="N993" s="130">
        <v>0</v>
      </c>
      <c r="O993" s="130"/>
      <c r="P993" s="130"/>
      <c r="Q993" s="115">
        <v>35615</v>
      </c>
      <c r="R993" s="130">
        <v>8.7605453999999999E-2</v>
      </c>
      <c r="T993"/>
    </row>
    <row r="994" spans="9:20">
      <c r="I994" s="115">
        <v>35608</v>
      </c>
      <c r="J994" s="130">
        <v>0.34026176590000001</v>
      </c>
      <c r="M994" s="115">
        <v>35608</v>
      </c>
      <c r="N994" s="130">
        <v>7.7643360999999998E-3</v>
      </c>
      <c r="O994" s="130"/>
      <c r="P994" s="130"/>
      <c r="Q994" s="115">
        <v>35608</v>
      </c>
      <c r="R994" s="130">
        <v>9.9101242500000006E-2</v>
      </c>
      <c r="T994"/>
    </row>
    <row r="995" spans="9:20">
      <c r="I995" s="115">
        <v>35601</v>
      </c>
      <c r="J995" s="130">
        <v>0.32817008260000002</v>
      </c>
      <c r="M995" s="115">
        <v>35601</v>
      </c>
      <c r="N995" s="130">
        <v>7.0356129999999996E-3</v>
      </c>
      <c r="O995" s="130"/>
      <c r="P995" s="130"/>
      <c r="Q995" s="115">
        <v>35601</v>
      </c>
      <c r="R995" s="130">
        <v>9.4917153399999996E-2</v>
      </c>
      <c r="T995"/>
    </row>
    <row r="996" spans="9:20">
      <c r="I996" s="115">
        <v>35594</v>
      </c>
      <c r="J996" s="130">
        <v>0.26952977389999999</v>
      </c>
      <c r="M996" s="115">
        <v>35594</v>
      </c>
      <c r="N996" s="130">
        <v>3.9228175000000001E-3</v>
      </c>
      <c r="O996" s="130"/>
      <c r="P996" s="130"/>
      <c r="Q996" s="115">
        <v>35594</v>
      </c>
      <c r="R996" s="130">
        <v>7.1936929699999999E-2</v>
      </c>
      <c r="T996"/>
    </row>
    <row r="997" spans="9:20">
      <c r="I997" s="115">
        <v>35587</v>
      </c>
      <c r="J997" s="130">
        <v>0.22620562559999999</v>
      </c>
      <c r="M997" s="115">
        <v>35587</v>
      </c>
      <c r="N997" s="130">
        <v>1.1909917E-3</v>
      </c>
      <c r="O997" s="130"/>
      <c r="P997" s="130"/>
      <c r="Q997" s="115">
        <v>35587</v>
      </c>
      <c r="R997" s="130">
        <v>9.5829534999999997E-3</v>
      </c>
      <c r="T997"/>
    </row>
    <row r="998" spans="9:20">
      <c r="I998" s="115">
        <v>35580</v>
      </c>
      <c r="J998" s="130">
        <v>0.19736059340000001</v>
      </c>
      <c r="M998" s="115">
        <v>35580</v>
      </c>
      <c r="N998" s="130">
        <v>0</v>
      </c>
      <c r="O998" s="130"/>
      <c r="P998" s="130"/>
      <c r="Q998" s="115">
        <v>35580</v>
      </c>
      <c r="R998" s="130">
        <v>1.8740690999999999E-3</v>
      </c>
      <c r="T998"/>
    </row>
    <row r="999" spans="9:20">
      <c r="I999" s="115">
        <v>35573</v>
      </c>
      <c r="J999" s="130">
        <v>0.20309841549999999</v>
      </c>
      <c r="M999" s="115">
        <v>35573</v>
      </c>
      <c r="N999" s="130">
        <v>0</v>
      </c>
      <c r="O999" s="130"/>
      <c r="P999" s="130"/>
      <c r="Q999" s="115">
        <v>35573</v>
      </c>
      <c r="R999" s="130">
        <v>1.9495356000000001E-3</v>
      </c>
      <c r="T999"/>
    </row>
    <row r="1000" spans="9:20">
      <c r="I1000" s="115">
        <v>35566</v>
      </c>
      <c r="J1000" s="130">
        <v>0.22063568450000001</v>
      </c>
      <c r="M1000" s="115">
        <v>35566</v>
      </c>
      <c r="N1000" s="130">
        <v>0</v>
      </c>
      <c r="O1000" s="130"/>
      <c r="P1000" s="130"/>
      <c r="Q1000" s="115">
        <v>35566</v>
      </c>
      <c r="R1000" s="130">
        <v>3.5884977999999998E-3</v>
      </c>
      <c r="T1000"/>
    </row>
    <row r="1001" spans="9:20">
      <c r="I1001" s="115">
        <v>35559</v>
      </c>
      <c r="J1001" s="130">
        <v>0.20505063479999999</v>
      </c>
      <c r="M1001" s="115">
        <v>35559</v>
      </c>
      <c r="N1001" s="130">
        <v>0</v>
      </c>
      <c r="O1001" s="130"/>
      <c r="P1001" s="130"/>
      <c r="Q1001" s="115">
        <v>35559</v>
      </c>
      <c r="R1001" s="130">
        <v>3.0365824E-3</v>
      </c>
      <c r="T1001"/>
    </row>
    <row r="1002" spans="9:20">
      <c r="I1002" s="115">
        <v>35552</v>
      </c>
      <c r="J1002" s="130">
        <v>0.17810476850000001</v>
      </c>
      <c r="M1002" s="115">
        <v>35552</v>
      </c>
      <c r="N1002" s="130">
        <v>0</v>
      </c>
      <c r="O1002" s="130"/>
      <c r="P1002" s="130"/>
      <c r="Q1002" s="115">
        <v>35552</v>
      </c>
      <c r="R1002" s="130">
        <v>1.5755312000000001E-3</v>
      </c>
      <c r="T1002"/>
    </row>
    <row r="1003" spans="9:20">
      <c r="I1003" s="115">
        <v>35545</v>
      </c>
      <c r="J1003" s="130">
        <v>0.14517094089999999</v>
      </c>
      <c r="M1003" s="115">
        <v>35545</v>
      </c>
      <c r="N1003" s="130">
        <v>0</v>
      </c>
      <c r="O1003" s="130"/>
      <c r="P1003" s="130"/>
      <c r="Q1003" s="115">
        <v>35545</v>
      </c>
      <c r="R1003" s="130">
        <v>6.3119339999999986E-4</v>
      </c>
      <c r="T1003"/>
    </row>
    <row r="1004" spans="9:20">
      <c r="I1004" s="115">
        <v>35538</v>
      </c>
      <c r="J1004" s="130">
        <v>0.11679676050000001</v>
      </c>
      <c r="M1004" s="115">
        <v>35538</v>
      </c>
      <c r="N1004" s="130">
        <v>0</v>
      </c>
      <c r="O1004" s="130"/>
      <c r="P1004" s="130"/>
      <c r="Q1004" s="115">
        <v>35538</v>
      </c>
      <c r="R1004" s="130">
        <v>5.126086E-4</v>
      </c>
      <c r="T1004"/>
    </row>
    <row r="1005" spans="9:20">
      <c r="I1005" s="115">
        <v>35531</v>
      </c>
      <c r="J1005" s="130">
        <v>0.11426822590000002</v>
      </c>
      <c r="M1005" s="115">
        <v>35531</v>
      </c>
      <c r="N1005" s="130">
        <v>0</v>
      </c>
      <c r="O1005" s="130"/>
      <c r="P1005" s="130"/>
      <c r="Q1005" s="115">
        <v>35531</v>
      </c>
      <c r="R1005" s="130">
        <v>5.0517450000000001E-4</v>
      </c>
      <c r="T1005"/>
    </row>
    <row r="1006" spans="9:20">
      <c r="I1006" s="115">
        <v>35524</v>
      </c>
      <c r="J1006" s="130">
        <v>0.1136691628</v>
      </c>
      <c r="M1006" s="115">
        <v>35524</v>
      </c>
      <c r="N1006" s="130">
        <v>0</v>
      </c>
      <c r="O1006" s="130"/>
      <c r="P1006" s="130"/>
      <c r="Q1006" s="115">
        <v>35524</v>
      </c>
      <c r="R1006" s="130">
        <v>4.8874080000000004E-4</v>
      </c>
      <c r="T1006"/>
    </row>
    <row r="1007" spans="9:20">
      <c r="I1007" s="115">
        <v>35517</v>
      </c>
      <c r="J1007" s="130">
        <v>0.20037863319999999</v>
      </c>
      <c r="M1007" s="115">
        <v>35517</v>
      </c>
      <c r="N1007" s="130">
        <v>0</v>
      </c>
      <c r="O1007" s="130"/>
      <c r="P1007" s="130"/>
      <c r="Q1007" s="115">
        <v>35517</v>
      </c>
      <c r="R1007" s="130">
        <v>3.4112366099999999E-2</v>
      </c>
      <c r="T1007"/>
    </row>
    <row r="1008" spans="9:20">
      <c r="I1008" s="115">
        <v>35510</v>
      </c>
      <c r="J1008" s="130">
        <v>0.20790171369999999</v>
      </c>
      <c r="M1008" s="115">
        <v>35510</v>
      </c>
      <c r="N1008" s="130">
        <v>0</v>
      </c>
      <c r="O1008" s="130"/>
      <c r="P1008" s="130"/>
      <c r="Q1008" s="115">
        <v>35510</v>
      </c>
      <c r="R1008" s="130">
        <v>3.8384926999999999E-2</v>
      </c>
      <c r="T1008"/>
    </row>
    <row r="1009" spans="9:20">
      <c r="I1009" s="115">
        <v>35503</v>
      </c>
      <c r="J1009" s="130">
        <v>0.25456425980000003</v>
      </c>
      <c r="M1009" s="115">
        <v>35503</v>
      </c>
      <c r="N1009" s="130">
        <v>0</v>
      </c>
      <c r="O1009" s="130"/>
      <c r="P1009" s="130"/>
      <c r="Q1009" s="115">
        <v>35503</v>
      </c>
      <c r="R1009" s="130">
        <v>6.0562786600000001E-2</v>
      </c>
      <c r="T1009"/>
    </row>
    <row r="1010" spans="9:20">
      <c r="I1010" s="115">
        <v>35496</v>
      </c>
      <c r="J1010" s="130">
        <v>0.25456425980000003</v>
      </c>
      <c r="M1010" s="115">
        <v>35496</v>
      </c>
      <c r="N1010" s="130">
        <v>0</v>
      </c>
      <c r="O1010" s="130"/>
      <c r="P1010" s="130"/>
      <c r="Q1010" s="115">
        <v>35496</v>
      </c>
      <c r="R1010" s="130">
        <v>6.0562786600000001E-2</v>
      </c>
      <c r="T1010"/>
    </row>
    <row r="1011" spans="9:20">
      <c r="I1011" s="115">
        <v>35489</v>
      </c>
      <c r="J1011" s="130">
        <v>0.33076030810000001</v>
      </c>
      <c r="M1011" s="115">
        <v>35489</v>
      </c>
      <c r="N1011" s="130">
        <v>0</v>
      </c>
      <c r="O1011" s="130"/>
      <c r="P1011" s="130"/>
      <c r="Q1011" s="115">
        <v>35489</v>
      </c>
      <c r="R1011" s="130">
        <v>0</v>
      </c>
      <c r="T1011"/>
    </row>
    <row r="1012" spans="9:20">
      <c r="I1012" s="115">
        <v>35482</v>
      </c>
      <c r="J1012" s="130">
        <v>0.3637199438</v>
      </c>
      <c r="M1012" s="115">
        <v>35482</v>
      </c>
      <c r="N1012" s="130">
        <v>0</v>
      </c>
      <c r="O1012" s="130"/>
      <c r="P1012" s="130"/>
      <c r="Q1012" s="115">
        <v>35482</v>
      </c>
      <c r="R1012" s="130">
        <v>0</v>
      </c>
      <c r="T1012"/>
    </row>
    <row r="1013" spans="9:20">
      <c r="I1013" s="115">
        <v>35475</v>
      </c>
      <c r="J1013" s="130">
        <v>0.33076030810000001</v>
      </c>
      <c r="M1013" s="115">
        <v>35475</v>
      </c>
      <c r="N1013" s="130">
        <v>0</v>
      </c>
      <c r="O1013" s="130"/>
      <c r="P1013" s="130"/>
      <c r="Q1013" s="115">
        <v>35475</v>
      </c>
      <c r="R1013" s="130">
        <v>0</v>
      </c>
      <c r="T1013"/>
    </row>
    <row r="1014" spans="9:20">
      <c r="I1014" s="115">
        <v>35468</v>
      </c>
      <c r="J1014" s="130">
        <v>0.29754815070000001</v>
      </c>
      <c r="M1014" s="115">
        <v>35468</v>
      </c>
      <c r="N1014" s="130">
        <v>0</v>
      </c>
      <c r="O1014" s="130"/>
      <c r="P1014" s="130"/>
      <c r="Q1014" s="115">
        <v>35468</v>
      </c>
      <c r="R1014" s="130">
        <v>0</v>
      </c>
      <c r="T1014"/>
    </row>
    <row r="1015" spans="9:20">
      <c r="I1015" s="115">
        <v>35461</v>
      </c>
      <c r="J1015" s="130">
        <v>0.2205738867</v>
      </c>
      <c r="M1015" s="115">
        <v>35461</v>
      </c>
      <c r="N1015" s="130">
        <v>0</v>
      </c>
      <c r="O1015" s="130"/>
      <c r="P1015" s="130"/>
      <c r="Q1015" s="115">
        <v>35461</v>
      </c>
      <c r="R1015" s="130">
        <v>0</v>
      </c>
      <c r="T1015"/>
    </row>
    <row r="1016" spans="9:20">
      <c r="I1016" s="115">
        <v>35454</v>
      </c>
      <c r="J1016" s="130">
        <v>0.23402432970000003</v>
      </c>
      <c r="M1016" s="115">
        <v>35454</v>
      </c>
      <c r="N1016" s="130">
        <v>0</v>
      </c>
      <c r="O1016" s="130"/>
      <c r="P1016" s="130"/>
      <c r="Q1016" s="115">
        <v>35454</v>
      </c>
      <c r="R1016" s="130">
        <v>4.06913187E-2</v>
      </c>
      <c r="T1016"/>
    </row>
    <row r="1017" spans="9:20">
      <c r="I1017" s="115">
        <v>35447</v>
      </c>
      <c r="J1017" s="130">
        <v>0.22516580620000001</v>
      </c>
      <c r="M1017" s="115">
        <v>35447</v>
      </c>
      <c r="N1017" s="130">
        <v>0</v>
      </c>
      <c r="O1017" s="130"/>
      <c r="P1017" s="130"/>
      <c r="Q1017" s="115">
        <v>35447</v>
      </c>
      <c r="R1017" s="130">
        <v>4.5952605999999997E-3</v>
      </c>
      <c r="T1017"/>
    </row>
    <row r="1018" spans="9:20">
      <c r="I1018" s="115">
        <v>35440</v>
      </c>
      <c r="J1018" s="130">
        <v>0.23402432970000003</v>
      </c>
      <c r="M1018" s="115">
        <v>35440</v>
      </c>
      <c r="N1018" s="130">
        <v>0</v>
      </c>
      <c r="O1018" s="130"/>
      <c r="P1018" s="130"/>
      <c r="Q1018" s="115">
        <v>35440</v>
      </c>
      <c r="R1018" s="130">
        <v>4.1444020599999999E-2</v>
      </c>
      <c r="T1018"/>
    </row>
    <row r="1019" spans="9:20">
      <c r="I1019" s="115">
        <v>35433</v>
      </c>
      <c r="J1019" s="130">
        <v>0.29940686509999997</v>
      </c>
      <c r="M1019" s="115">
        <v>35433</v>
      </c>
      <c r="N1019" s="130">
        <v>0</v>
      </c>
      <c r="O1019" s="130"/>
      <c r="P1019" s="130"/>
      <c r="Q1019" s="115">
        <v>35433</v>
      </c>
      <c r="R1019" s="130">
        <v>6.5913276300000004E-2</v>
      </c>
      <c r="T1019"/>
    </row>
    <row r="1020" spans="9:20">
      <c r="I1020" s="115">
        <v>35426</v>
      </c>
      <c r="J1020" s="130">
        <v>0.31098057649999999</v>
      </c>
      <c r="M1020" s="115">
        <v>35426</v>
      </c>
      <c r="N1020" s="130">
        <v>0</v>
      </c>
      <c r="O1020" s="130"/>
      <c r="P1020" s="130"/>
      <c r="Q1020" s="115">
        <v>35426</v>
      </c>
      <c r="R1020" s="130">
        <v>6.2176242800000003E-2</v>
      </c>
      <c r="T1020"/>
    </row>
    <row r="1021" spans="9:20">
      <c r="I1021" s="115">
        <v>35419</v>
      </c>
      <c r="J1021" s="130">
        <v>0.2637102704</v>
      </c>
      <c r="M1021" s="115">
        <v>35419</v>
      </c>
      <c r="N1021" s="130">
        <v>0</v>
      </c>
      <c r="O1021" s="130"/>
      <c r="P1021" s="130"/>
      <c r="Q1021" s="115">
        <v>35419</v>
      </c>
      <c r="R1021" s="130">
        <v>4.63817334E-2</v>
      </c>
      <c r="T1021"/>
    </row>
    <row r="1022" spans="9:20">
      <c r="I1022" s="115">
        <v>35412</v>
      </c>
      <c r="J1022" s="130">
        <v>0.34560560540000002</v>
      </c>
      <c r="M1022" s="115">
        <v>35412</v>
      </c>
      <c r="N1022" s="130">
        <v>0</v>
      </c>
      <c r="O1022" s="130"/>
      <c r="P1022" s="130"/>
      <c r="Q1022" s="115">
        <v>35412</v>
      </c>
      <c r="R1022" s="130">
        <v>7.0594820399999994E-2</v>
      </c>
      <c r="T1022"/>
    </row>
    <row r="1023" spans="9:20">
      <c r="I1023" s="115">
        <v>35405</v>
      </c>
      <c r="J1023" s="130">
        <v>0.39960632530000001</v>
      </c>
      <c r="M1023" s="115">
        <v>35405</v>
      </c>
      <c r="N1023" s="130">
        <v>8.19832016E-2</v>
      </c>
      <c r="O1023" s="130"/>
      <c r="P1023" s="130"/>
      <c r="Q1023" s="115">
        <v>35405</v>
      </c>
      <c r="R1023" s="130">
        <v>8.8395388000000005E-2</v>
      </c>
      <c r="T1023"/>
    </row>
    <row r="1024" spans="9:20">
      <c r="I1024" s="115">
        <v>35398</v>
      </c>
      <c r="J1024" s="130">
        <v>0.35181627139999999</v>
      </c>
      <c r="M1024" s="115">
        <v>35398</v>
      </c>
      <c r="N1024" s="130">
        <v>5.6176650799999998E-2</v>
      </c>
      <c r="O1024" s="130"/>
      <c r="P1024" s="130"/>
      <c r="Q1024" s="115">
        <v>35398</v>
      </c>
      <c r="R1024" s="130">
        <v>6.0654255999999997E-2</v>
      </c>
      <c r="T1024"/>
    </row>
    <row r="1025" spans="9:20">
      <c r="I1025" s="115">
        <v>35391</v>
      </c>
      <c r="J1025" s="130">
        <v>0.3496101673</v>
      </c>
      <c r="M1025" s="115">
        <v>35391</v>
      </c>
      <c r="N1025" s="130">
        <v>5.5831370700000001E-2</v>
      </c>
      <c r="O1025" s="130"/>
      <c r="P1025" s="130"/>
      <c r="Q1025" s="115">
        <v>35391</v>
      </c>
      <c r="R1025" s="130">
        <v>6.0089181300000002E-2</v>
      </c>
      <c r="T1025"/>
    </row>
    <row r="1026" spans="9:20">
      <c r="I1026" s="115">
        <v>35384</v>
      </c>
      <c r="J1026" s="130">
        <v>0.31804376490000003</v>
      </c>
      <c r="M1026" s="115">
        <v>35384</v>
      </c>
      <c r="N1026" s="130">
        <v>5.2199483800000002E-2</v>
      </c>
      <c r="O1026" s="130"/>
      <c r="P1026" s="130"/>
      <c r="Q1026" s="115">
        <v>35384</v>
      </c>
      <c r="R1026" s="130">
        <v>5.5780989500000003E-2</v>
      </c>
      <c r="T1026"/>
    </row>
    <row r="1027" spans="9:20">
      <c r="I1027" s="115">
        <v>35377</v>
      </c>
      <c r="J1027" s="130">
        <v>0.28744233629999999</v>
      </c>
      <c r="M1027" s="115">
        <v>35377</v>
      </c>
      <c r="N1027" s="130">
        <v>4.6830548999999999E-2</v>
      </c>
      <c r="O1027" s="130"/>
      <c r="P1027" s="130"/>
      <c r="Q1027" s="115">
        <v>35377</v>
      </c>
      <c r="R1027" s="130">
        <v>4.9878221E-2</v>
      </c>
      <c r="T1027"/>
    </row>
    <row r="1028" spans="9:20">
      <c r="I1028" s="115">
        <v>35370</v>
      </c>
      <c r="J1028" s="130">
        <v>0.24665908080000004</v>
      </c>
      <c r="M1028" s="115">
        <v>35370</v>
      </c>
      <c r="N1028" s="130">
        <v>3.2948082599999998E-2</v>
      </c>
      <c r="O1028" s="130"/>
      <c r="P1028" s="130"/>
      <c r="Q1028" s="115">
        <v>35370</v>
      </c>
      <c r="R1028" s="130">
        <v>3.6016332499999998E-2</v>
      </c>
      <c r="T1028"/>
    </row>
    <row r="1029" spans="9:20">
      <c r="I1029" s="115">
        <v>35363</v>
      </c>
      <c r="J1029" s="130">
        <v>0.2267777738</v>
      </c>
      <c r="M1029" s="115">
        <v>35363</v>
      </c>
      <c r="N1029" s="130">
        <v>0</v>
      </c>
      <c r="O1029" s="130"/>
      <c r="P1029" s="130"/>
      <c r="Q1029" s="115">
        <v>35363</v>
      </c>
      <c r="R1029" s="130">
        <v>2.26910032E-2</v>
      </c>
      <c r="T1029"/>
    </row>
    <row r="1030" spans="9:20">
      <c r="I1030" s="115">
        <v>35356</v>
      </c>
      <c r="J1030" s="130">
        <v>0.22729885189999999</v>
      </c>
      <c r="M1030" s="115">
        <v>35356</v>
      </c>
      <c r="N1030" s="130">
        <v>0</v>
      </c>
      <c r="O1030" s="130"/>
      <c r="P1030" s="130"/>
      <c r="Q1030" s="115">
        <v>35356</v>
      </c>
      <c r="R1030" s="130">
        <v>2.27451119E-2</v>
      </c>
      <c r="T1030"/>
    </row>
    <row r="1031" spans="9:20">
      <c r="I1031" s="115">
        <v>35349</v>
      </c>
      <c r="J1031" s="130">
        <v>0.23161608550000001</v>
      </c>
      <c r="M1031" s="115">
        <v>35349</v>
      </c>
      <c r="N1031" s="130">
        <v>2.23951373E-2</v>
      </c>
      <c r="O1031" s="130"/>
      <c r="P1031" s="130"/>
      <c r="Q1031" s="115">
        <v>35349</v>
      </c>
      <c r="R1031" s="130">
        <v>2.4021838E-2</v>
      </c>
      <c r="T1031"/>
    </row>
    <row r="1032" spans="9:20">
      <c r="I1032" s="115">
        <v>35342</v>
      </c>
      <c r="J1032" s="130">
        <v>0.1624231763</v>
      </c>
      <c r="M1032" s="115">
        <v>35342</v>
      </c>
      <c r="N1032" s="130">
        <v>0</v>
      </c>
      <c r="O1032" s="130"/>
      <c r="P1032" s="130"/>
      <c r="Q1032" s="115">
        <v>35342</v>
      </c>
      <c r="R1032" s="130">
        <v>1.03667394E-2</v>
      </c>
      <c r="T1032"/>
    </row>
    <row r="1033" spans="9:20">
      <c r="I1033" s="115">
        <v>35335</v>
      </c>
      <c r="J1033" s="130">
        <v>0.12647771890000001</v>
      </c>
      <c r="M1033" s="115">
        <v>35335</v>
      </c>
      <c r="N1033" s="130">
        <v>0</v>
      </c>
      <c r="O1033" s="130"/>
      <c r="P1033" s="130"/>
      <c r="Q1033" s="115">
        <v>35335</v>
      </c>
      <c r="R1033" s="130">
        <v>3.7687962000000001E-3</v>
      </c>
      <c r="T1033"/>
    </row>
    <row r="1034" spans="9:20">
      <c r="I1034" s="115">
        <v>35328</v>
      </c>
      <c r="J1034" s="130">
        <v>0.13124650639999999</v>
      </c>
      <c r="M1034" s="115">
        <v>35328</v>
      </c>
      <c r="N1034" s="130">
        <v>0</v>
      </c>
      <c r="O1034" s="130"/>
      <c r="P1034" s="130"/>
      <c r="Q1034" s="115">
        <v>35328</v>
      </c>
      <c r="R1034" s="130">
        <v>4.2294584999999999E-3</v>
      </c>
      <c r="T1034"/>
    </row>
    <row r="1035" spans="9:20">
      <c r="I1035" s="115">
        <v>35321</v>
      </c>
      <c r="J1035" s="130">
        <v>0.1039704795</v>
      </c>
      <c r="M1035" s="115">
        <v>35321</v>
      </c>
      <c r="N1035" s="130">
        <v>0</v>
      </c>
      <c r="O1035" s="130"/>
      <c r="P1035" s="130"/>
      <c r="Q1035" s="115">
        <v>35321</v>
      </c>
      <c r="R1035" s="130">
        <v>1.8073128E-3</v>
      </c>
      <c r="T1035"/>
    </row>
    <row r="1036" spans="9:20">
      <c r="I1036" s="115">
        <v>35314</v>
      </c>
      <c r="J1036" s="130">
        <v>9.5217191000000007E-2</v>
      </c>
      <c r="M1036" s="115">
        <v>35314</v>
      </c>
      <c r="N1036" s="130">
        <v>0</v>
      </c>
      <c r="O1036" s="130"/>
      <c r="P1036" s="130"/>
      <c r="Q1036" s="115">
        <v>35314</v>
      </c>
      <c r="R1036" s="130">
        <v>1.4143822999999999E-3</v>
      </c>
      <c r="T1036"/>
    </row>
    <row r="1037" spans="9:20">
      <c r="I1037" s="115">
        <v>35307</v>
      </c>
      <c r="J1037" s="130">
        <v>0.15660889780000001</v>
      </c>
      <c r="M1037" s="115">
        <v>35307</v>
      </c>
      <c r="N1037" s="130">
        <v>0</v>
      </c>
      <c r="O1037" s="130"/>
      <c r="P1037" s="130"/>
      <c r="Q1037" s="115">
        <v>35307</v>
      </c>
      <c r="R1037" s="130">
        <v>2.6583471000000002E-3</v>
      </c>
      <c r="T1037"/>
    </row>
    <row r="1038" spans="9:20">
      <c r="I1038" s="115">
        <v>35300</v>
      </c>
      <c r="J1038" s="130">
        <v>0.2032576478</v>
      </c>
      <c r="M1038" s="115">
        <v>35300</v>
      </c>
      <c r="N1038" s="130">
        <v>0</v>
      </c>
      <c r="O1038" s="130"/>
      <c r="P1038" s="130"/>
      <c r="Q1038" s="115">
        <v>35300</v>
      </c>
      <c r="R1038" s="130">
        <v>6.7055237000000004E-3</v>
      </c>
      <c r="T1038"/>
    </row>
    <row r="1039" spans="9:20">
      <c r="I1039" s="115">
        <v>35293</v>
      </c>
      <c r="J1039" s="130">
        <v>0.22281155950000001</v>
      </c>
      <c r="M1039" s="115">
        <v>35293</v>
      </c>
      <c r="N1039" s="130">
        <v>0</v>
      </c>
      <c r="O1039" s="130"/>
      <c r="P1039" s="130"/>
      <c r="Q1039" s="115">
        <v>35293</v>
      </c>
      <c r="R1039" s="130">
        <v>7.6541053999999997E-3</v>
      </c>
      <c r="T1039"/>
    </row>
    <row r="1040" spans="9:20">
      <c r="I1040" s="115">
        <v>35286</v>
      </c>
      <c r="J1040" s="130">
        <v>0.22281155950000001</v>
      </c>
      <c r="M1040" s="115">
        <v>35286</v>
      </c>
      <c r="N1040" s="130">
        <v>6.2875526000000003E-3</v>
      </c>
      <c r="O1040" s="130"/>
      <c r="P1040" s="130"/>
      <c r="Q1040" s="115">
        <v>35286</v>
      </c>
      <c r="R1040" s="130">
        <v>7.6541053999999997E-3</v>
      </c>
      <c r="T1040"/>
    </row>
    <row r="1041" spans="9:20">
      <c r="I1041" s="115">
        <v>35279</v>
      </c>
      <c r="J1041" s="130">
        <v>0.11582166090000001</v>
      </c>
      <c r="M1041" s="115">
        <v>35279</v>
      </c>
      <c r="N1041" s="130">
        <v>0</v>
      </c>
      <c r="O1041" s="130"/>
      <c r="P1041" s="130"/>
      <c r="Q1041" s="115">
        <v>35279</v>
      </c>
      <c r="R1041" s="130">
        <v>1.7819601E-3</v>
      </c>
      <c r="T1041"/>
    </row>
    <row r="1042" spans="9:20">
      <c r="I1042" s="115">
        <v>35272</v>
      </c>
      <c r="J1042" s="130">
        <v>0.1247638687</v>
      </c>
      <c r="M1042" s="115">
        <v>35272</v>
      </c>
      <c r="N1042" s="130">
        <v>0</v>
      </c>
      <c r="O1042" s="130"/>
      <c r="P1042" s="130"/>
      <c r="Q1042" s="115">
        <v>35272</v>
      </c>
      <c r="R1042" s="130">
        <v>8.9317870000000003E-4</v>
      </c>
      <c r="T1042"/>
    </row>
    <row r="1043" spans="9:20">
      <c r="I1043" s="115">
        <v>35265</v>
      </c>
      <c r="J1043" s="130">
        <v>0.1144316494</v>
      </c>
      <c r="M1043" s="115">
        <v>35265</v>
      </c>
      <c r="N1043" s="130">
        <v>0</v>
      </c>
      <c r="O1043" s="130"/>
      <c r="P1043" s="130"/>
      <c r="Q1043" s="115">
        <v>35265</v>
      </c>
      <c r="R1043" s="130">
        <v>6.4740000000000002E-4</v>
      </c>
      <c r="T1043"/>
    </row>
    <row r="1044" spans="9:20">
      <c r="I1044" s="115">
        <v>35258</v>
      </c>
      <c r="J1044" s="130">
        <v>9.0727838500000005E-2</v>
      </c>
      <c r="M1044" s="115">
        <v>35258</v>
      </c>
      <c r="N1044" s="130">
        <v>0</v>
      </c>
      <c r="O1044" s="130"/>
      <c r="P1044" s="130"/>
      <c r="Q1044" s="115">
        <v>35258</v>
      </c>
      <c r="R1044" s="130">
        <v>2.581816E-4</v>
      </c>
      <c r="T1044"/>
    </row>
    <row r="1045" spans="9:20">
      <c r="I1045" s="115">
        <v>35251</v>
      </c>
      <c r="J1045" s="130">
        <v>0.12926658639999999</v>
      </c>
      <c r="M1045" s="115">
        <v>35251</v>
      </c>
      <c r="N1045" s="130">
        <v>0</v>
      </c>
      <c r="O1045" s="130"/>
      <c r="P1045" s="130"/>
      <c r="Q1045" s="115">
        <v>35251</v>
      </c>
      <c r="R1045" s="130">
        <v>9.3180930000000002E-4</v>
      </c>
      <c r="T1045"/>
    </row>
    <row r="1046" spans="9:20">
      <c r="I1046" s="115">
        <v>35244</v>
      </c>
      <c r="J1046" s="130">
        <v>0.109798617</v>
      </c>
      <c r="M1046" s="115">
        <v>35244</v>
      </c>
      <c r="N1046" s="130">
        <v>0</v>
      </c>
      <c r="O1046" s="130"/>
      <c r="P1046" s="130"/>
      <c r="Q1046" s="115">
        <v>35244</v>
      </c>
      <c r="R1046" s="130">
        <v>1.4381349999999999E-4</v>
      </c>
      <c r="T1046"/>
    </row>
    <row r="1047" spans="9:20">
      <c r="I1047" s="115">
        <v>35237</v>
      </c>
      <c r="J1047" s="130">
        <v>0.10806469990000001</v>
      </c>
      <c r="M1047" s="115">
        <v>35237</v>
      </c>
      <c r="N1047" s="130">
        <v>0</v>
      </c>
      <c r="O1047" s="130"/>
      <c r="P1047" s="130"/>
      <c r="Q1047" s="115">
        <v>35237</v>
      </c>
      <c r="R1047" s="130">
        <v>1.3237820000000001E-4</v>
      </c>
      <c r="T1047"/>
    </row>
    <row r="1048" spans="9:20">
      <c r="I1048" s="115">
        <v>35230</v>
      </c>
      <c r="J1048" s="130">
        <v>9.6848376799999997E-2</v>
      </c>
      <c r="M1048" s="115">
        <v>35230</v>
      </c>
      <c r="N1048" s="130">
        <v>0</v>
      </c>
      <c r="O1048" s="130"/>
      <c r="P1048" s="130"/>
      <c r="Q1048" s="115">
        <v>35230</v>
      </c>
      <c r="R1048" s="130">
        <v>1.1623760000000001E-4</v>
      </c>
      <c r="T1048"/>
    </row>
    <row r="1049" spans="9:20">
      <c r="I1049" s="115">
        <v>35223</v>
      </c>
      <c r="J1049" s="130">
        <v>0.10806469990000001</v>
      </c>
      <c r="M1049" s="115">
        <v>35223</v>
      </c>
      <c r="N1049" s="130">
        <v>0</v>
      </c>
      <c r="O1049" s="130"/>
      <c r="P1049" s="130"/>
      <c r="Q1049" s="115">
        <v>35223</v>
      </c>
      <c r="R1049" s="130">
        <v>1.3237820000000001E-4</v>
      </c>
      <c r="T1049"/>
    </row>
    <row r="1050" spans="9:20">
      <c r="I1050" s="115">
        <v>35216</v>
      </c>
      <c r="J1050" s="130">
        <v>0.19458518759999999</v>
      </c>
      <c r="M1050" s="115">
        <v>35216</v>
      </c>
      <c r="N1050" s="130">
        <v>0</v>
      </c>
      <c r="O1050" s="130"/>
      <c r="P1050" s="130"/>
      <c r="Q1050" s="115">
        <v>35216</v>
      </c>
      <c r="R1050" s="130">
        <v>1.517527E-4</v>
      </c>
      <c r="T1050"/>
    </row>
    <row r="1051" spans="9:20">
      <c r="I1051" s="115">
        <v>35209</v>
      </c>
      <c r="J1051" s="130">
        <v>0.2030737993</v>
      </c>
      <c r="M1051" s="115">
        <v>35209</v>
      </c>
      <c r="N1051" s="130">
        <v>0</v>
      </c>
      <c r="O1051" s="130"/>
      <c r="P1051" s="130"/>
      <c r="Q1051" s="115">
        <v>35209</v>
      </c>
      <c r="R1051" s="130">
        <v>5.3188059999999997E-4</v>
      </c>
      <c r="T1051"/>
    </row>
    <row r="1052" spans="9:20">
      <c r="I1052" s="115">
        <v>35202</v>
      </c>
      <c r="J1052" s="130">
        <v>0.17434190110000003</v>
      </c>
      <c r="M1052" s="115">
        <v>35202</v>
      </c>
      <c r="N1052" s="130">
        <v>0</v>
      </c>
      <c r="O1052" s="130"/>
      <c r="P1052" s="130"/>
      <c r="Q1052" s="115">
        <v>35202</v>
      </c>
      <c r="R1052" s="130">
        <v>9.1559399999999996E-5</v>
      </c>
      <c r="T1052"/>
    </row>
    <row r="1053" spans="9:20">
      <c r="I1053" s="115">
        <v>35195</v>
      </c>
      <c r="J1053" s="130">
        <v>0.12031915780000002</v>
      </c>
      <c r="M1053" s="115">
        <v>35195</v>
      </c>
      <c r="N1053" s="130">
        <v>0</v>
      </c>
      <c r="O1053" s="130"/>
      <c r="P1053" s="130"/>
      <c r="Q1053" s="115">
        <v>35195</v>
      </c>
      <c r="R1053" s="130">
        <v>7.8756800000000005E-5</v>
      </c>
      <c r="T1053"/>
    </row>
    <row r="1054" spans="9:20">
      <c r="I1054" s="115">
        <v>35188</v>
      </c>
      <c r="J1054" s="130">
        <v>0.1994124723</v>
      </c>
      <c r="M1054" s="115">
        <v>35188</v>
      </c>
      <c r="N1054" s="130">
        <v>0</v>
      </c>
      <c r="O1054" s="130"/>
      <c r="P1054" s="130"/>
      <c r="Q1054" s="115">
        <v>35188</v>
      </c>
      <c r="R1054" s="130">
        <v>5.3188059999999997E-4</v>
      </c>
      <c r="T1054"/>
    </row>
    <row r="1055" spans="9:20">
      <c r="I1055" s="115">
        <v>35181</v>
      </c>
      <c r="J1055" s="130">
        <v>0.22833372900000004</v>
      </c>
      <c r="M1055" s="115">
        <v>35181</v>
      </c>
      <c r="N1055" s="130">
        <v>0</v>
      </c>
      <c r="O1055" s="130"/>
      <c r="P1055" s="130"/>
      <c r="Q1055" s="115">
        <v>35181</v>
      </c>
      <c r="R1055" s="130">
        <v>4.2121710000000002E-4</v>
      </c>
      <c r="T1055"/>
    </row>
    <row r="1056" spans="9:20">
      <c r="I1056" s="115">
        <v>35174</v>
      </c>
      <c r="J1056" s="130">
        <v>0.2203708727</v>
      </c>
      <c r="M1056" s="115">
        <v>35174</v>
      </c>
      <c r="N1056" s="130">
        <v>0</v>
      </c>
      <c r="O1056" s="130"/>
      <c r="P1056" s="130"/>
      <c r="Q1056" s="115">
        <v>35174</v>
      </c>
      <c r="R1056" s="130">
        <v>3.9295559999999994E-4</v>
      </c>
      <c r="T1056"/>
    </row>
    <row r="1057" spans="9:20">
      <c r="I1057" s="115">
        <v>35167</v>
      </c>
      <c r="J1057" s="130">
        <v>0.1849137179</v>
      </c>
      <c r="M1057" s="115">
        <v>35167</v>
      </c>
      <c r="N1057" s="130">
        <v>0</v>
      </c>
      <c r="O1057" s="130"/>
      <c r="P1057" s="130"/>
      <c r="Q1057" s="115">
        <v>35167</v>
      </c>
      <c r="R1057" s="130">
        <v>3.0322619999999999E-4</v>
      </c>
      <c r="T1057"/>
    </row>
    <row r="1058" spans="9:20">
      <c r="I1058" s="115">
        <v>35160</v>
      </c>
      <c r="J1058" s="130">
        <v>0.2722638275</v>
      </c>
      <c r="M1058" s="115">
        <v>35160</v>
      </c>
      <c r="N1058" s="130">
        <v>0</v>
      </c>
      <c r="O1058" s="130"/>
      <c r="P1058" s="130"/>
      <c r="Q1058" s="115">
        <v>35160</v>
      </c>
      <c r="R1058" s="130">
        <v>2.0202423999999999E-3</v>
      </c>
      <c r="T1058"/>
    </row>
    <row r="1059" spans="9:20">
      <c r="I1059" s="115">
        <v>35153</v>
      </c>
      <c r="J1059" s="130">
        <v>0.29965047340000001</v>
      </c>
      <c r="M1059" s="115">
        <v>35153</v>
      </c>
      <c r="N1059" s="130">
        <v>0</v>
      </c>
      <c r="O1059" s="130"/>
      <c r="P1059" s="130"/>
      <c r="Q1059" s="115">
        <v>35153</v>
      </c>
      <c r="R1059" s="130">
        <v>1.5482906999999999E-3</v>
      </c>
      <c r="T1059"/>
    </row>
    <row r="1060" spans="9:20">
      <c r="I1060" s="115">
        <v>35146</v>
      </c>
      <c r="J1060" s="130">
        <v>0.27623751229999999</v>
      </c>
      <c r="M1060" s="115">
        <v>35146</v>
      </c>
      <c r="N1060" s="130">
        <v>0</v>
      </c>
      <c r="O1060" s="130"/>
      <c r="P1060" s="130"/>
      <c r="Q1060" s="115">
        <v>35146</v>
      </c>
      <c r="R1060" s="130">
        <v>1.1580556000000001E-3</v>
      </c>
      <c r="T1060"/>
    </row>
    <row r="1061" spans="9:20">
      <c r="I1061" s="115">
        <v>35139</v>
      </c>
      <c r="J1061" s="130">
        <v>0.2730625411</v>
      </c>
      <c r="M1061" s="115">
        <v>35139</v>
      </c>
      <c r="N1061" s="130">
        <v>0</v>
      </c>
      <c r="O1061" s="130"/>
      <c r="P1061" s="130"/>
      <c r="Q1061" s="115">
        <v>35139</v>
      </c>
      <c r="R1061" s="130">
        <v>1.0988803999999999E-3</v>
      </c>
      <c r="T1061"/>
    </row>
    <row r="1062" spans="9:20">
      <c r="I1062" s="115">
        <v>35132</v>
      </c>
      <c r="J1062" s="130">
        <v>0.42419683870000002</v>
      </c>
      <c r="M1062" s="115">
        <v>35132</v>
      </c>
      <c r="N1062" s="130">
        <v>0</v>
      </c>
      <c r="O1062" s="130"/>
      <c r="P1062" s="130"/>
      <c r="Q1062" s="115">
        <v>35132</v>
      </c>
      <c r="R1062" s="130">
        <v>3.6688023000000002E-3</v>
      </c>
      <c r="T1062"/>
    </row>
    <row r="1063" spans="9:20">
      <c r="I1063" s="115">
        <v>35125</v>
      </c>
      <c r="J1063" s="130">
        <v>0.41537745450000002</v>
      </c>
      <c r="M1063" s="115">
        <v>35125</v>
      </c>
      <c r="N1063" s="130">
        <v>0</v>
      </c>
      <c r="O1063" s="130"/>
      <c r="P1063" s="130"/>
      <c r="Q1063" s="115">
        <v>35125</v>
      </c>
      <c r="R1063" s="130">
        <v>3.5668688999999998E-3</v>
      </c>
      <c r="T1063"/>
    </row>
    <row r="1064" spans="9:20">
      <c r="I1064" s="115">
        <v>35118</v>
      </c>
      <c r="J1064" s="130">
        <v>0.4688974695</v>
      </c>
      <c r="M1064" s="115">
        <v>35118</v>
      </c>
      <c r="N1064" s="130">
        <v>0</v>
      </c>
      <c r="O1064" s="130"/>
      <c r="P1064" s="130"/>
      <c r="Q1064" s="115">
        <v>35118</v>
      </c>
      <c r="R1064" s="130">
        <v>0.21002690030000001</v>
      </c>
      <c r="T1064"/>
    </row>
    <row r="1065" spans="9:20">
      <c r="I1065" s="115">
        <v>35111</v>
      </c>
      <c r="J1065" s="130">
        <v>0.65220056520000003</v>
      </c>
      <c r="M1065" s="115">
        <v>35111</v>
      </c>
      <c r="N1065" s="130">
        <v>0.29638155259999999</v>
      </c>
      <c r="O1065" s="130"/>
      <c r="P1065" s="130"/>
      <c r="Q1065" s="115">
        <v>35111</v>
      </c>
      <c r="R1065" s="130">
        <v>0.65220056520000003</v>
      </c>
      <c r="T1065"/>
    </row>
    <row r="1066" spans="9:20">
      <c r="I1066" s="115">
        <v>35104</v>
      </c>
      <c r="J1066" s="130">
        <v>0.62222754309999995</v>
      </c>
      <c r="M1066" s="115">
        <v>35104</v>
      </c>
      <c r="N1066" s="130">
        <v>0</v>
      </c>
      <c r="O1066" s="130"/>
      <c r="P1066" s="130"/>
      <c r="Q1066" s="115">
        <v>35104</v>
      </c>
      <c r="R1066" s="130">
        <v>0.28184252830000001</v>
      </c>
      <c r="T1066"/>
    </row>
    <row r="1067" spans="9:20">
      <c r="I1067" s="115">
        <v>35097</v>
      </c>
      <c r="J1067" s="130">
        <v>0.6161392376</v>
      </c>
      <c r="M1067" s="115">
        <v>35097</v>
      </c>
      <c r="N1067" s="130">
        <v>0</v>
      </c>
      <c r="O1067" s="130"/>
      <c r="P1067" s="130"/>
      <c r="Q1067" s="115">
        <v>35097</v>
      </c>
      <c r="R1067" s="130">
        <v>0.27772736819999999</v>
      </c>
      <c r="T1067"/>
    </row>
    <row r="1068" spans="9:20">
      <c r="I1068" s="115">
        <v>35090</v>
      </c>
      <c r="J1068" s="130">
        <v>0.62165223319999996</v>
      </c>
      <c r="M1068" s="115">
        <v>35090</v>
      </c>
      <c r="N1068" s="130">
        <v>0</v>
      </c>
      <c r="O1068" s="130"/>
      <c r="P1068" s="130"/>
      <c r="Q1068" s="115">
        <v>35090</v>
      </c>
      <c r="R1068" s="130">
        <v>0.27285171949999998</v>
      </c>
      <c r="T1068"/>
    </row>
    <row r="1069" spans="9:20">
      <c r="I1069" s="115">
        <v>35083</v>
      </c>
      <c r="J1069" s="130">
        <v>0.62314256069999996</v>
      </c>
      <c r="M1069" s="115">
        <v>35083</v>
      </c>
      <c r="N1069" s="130">
        <v>0.25741430929999998</v>
      </c>
      <c r="O1069" s="130"/>
      <c r="P1069" s="130"/>
      <c r="Q1069" s="115">
        <v>35083</v>
      </c>
      <c r="R1069" s="130">
        <v>0.28210768899999999</v>
      </c>
      <c r="T1069"/>
    </row>
    <row r="1070" spans="9:20">
      <c r="I1070" s="115">
        <v>35076</v>
      </c>
      <c r="J1070" s="130">
        <v>0.60947236650000003</v>
      </c>
      <c r="M1070" s="115">
        <v>35076</v>
      </c>
      <c r="N1070" s="130">
        <v>0</v>
      </c>
      <c r="O1070" s="130"/>
      <c r="P1070" s="130"/>
      <c r="Q1070" s="115">
        <v>35076</v>
      </c>
      <c r="R1070" s="130">
        <v>0.26190992569999999</v>
      </c>
      <c r="T1070"/>
    </row>
    <row r="1071" spans="9:20">
      <c r="I1071" s="115">
        <v>35069</v>
      </c>
      <c r="J1071" s="130">
        <v>0.61768122010000004</v>
      </c>
      <c r="M1071" s="115">
        <v>35069</v>
      </c>
      <c r="N1071" s="130">
        <v>0.2546610446</v>
      </c>
      <c r="O1071" s="130"/>
      <c r="P1071" s="130"/>
      <c r="Q1071" s="115">
        <v>35069</v>
      </c>
      <c r="R1071" s="130">
        <v>0.27071790000000001</v>
      </c>
      <c r="T1071"/>
    </row>
    <row r="1072" spans="9:20">
      <c r="I1072" s="115">
        <v>35062</v>
      </c>
      <c r="J1072" s="130">
        <v>0.59629341479999998</v>
      </c>
      <c r="M1072" s="115">
        <v>35062</v>
      </c>
      <c r="N1072" s="130">
        <v>0.23781768079999999</v>
      </c>
      <c r="O1072" s="130"/>
      <c r="P1072" s="130"/>
      <c r="Q1072" s="115">
        <v>35062</v>
      </c>
      <c r="R1072" s="130">
        <v>0.2483476442</v>
      </c>
      <c r="T1072"/>
    </row>
    <row r="1073" spans="9:20">
      <c r="I1073" s="115">
        <v>35055</v>
      </c>
      <c r="J1073" s="130">
        <v>0.50785449900000001</v>
      </c>
      <c r="M1073" s="115">
        <v>35055</v>
      </c>
      <c r="N1073" s="130">
        <v>0</v>
      </c>
      <c r="O1073" s="130"/>
      <c r="P1073" s="130"/>
      <c r="Q1073" s="115">
        <v>35055</v>
      </c>
      <c r="R1073" s="130">
        <v>0.2210380008</v>
      </c>
      <c r="T1073"/>
    </row>
    <row r="1074" spans="9:20">
      <c r="I1074" s="115">
        <v>35048</v>
      </c>
      <c r="J1074" s="130">
        <v>0.56217446469999999</v>
      </c>
      <c r="M1074" s="115">
        <v>35048</v>
      </c>
      <c r="N1074" s="130">
        <v>0.2295946754</v>
      </c>
      <c r="O1074" s="130"/>
      <c r="P1074" s="130"/>
      <c r="Q1074" s="115">
        <v>35048</v>
      </c>
      <c r="R1074" s="130">
        <v>0.23767491150000003</v>
      </c>
      <c r="T1074"/>
    </row>
    <row r="1075" spans="9:20">
      <c r="I1075" s="115">
        <v>35041</v>
      </c>
      <c r="J1075" s="130">
        <v>0.53885302000000002</v>
      </c>
      <c r="M1075" s="115">
        <v>35041</v>
      </c>
      <c r="N1075" s="130">
        <v>0.22478902470000001</v>
      </c>
      <c r="O1075" s="130"/>
      <c r="P1075" s="130"/>
      <c r="Q1075" s="115">
        <v>35041</v>
      </c>
      <c r="R1075" s="130">
        <v>0.2323716257</v>
      </c>
      <c r="T1075"/>
    </row>
    <row r="1076" spans="9:20">
      <c r="I1076" s="115">
        <v>35034</v>
      </c>
      <c r="J1076" s="130">
        <v>0.45576291950000003</v>
      </c>
      <c r="M1076" s="115">
        <v>35034</v>
      </c>
      <c r="N1076" s="130">
        <v>0</v>
      </c>
      <c r="O1076" s="130"/>
      <c r="P1076" s="130"/>
      <c r="Q1076" s="115">
        <v>35034</v>
      </c>
      <c r="R1076" s="130">
        <v>0.19286061839999999</v>
      </c>
      <c r="T1076"/>
    </row>
    <row r="1077" spans="9:20">
      <c r="I1077" s="115">
        <v>35027</v>
      </c>
      <c r="J1077" s="130">
        <v>0.46024604559999999</v>
      </c>
      <c r="M1077" s="115">
        <v>35027</v>
      </c>
      <c r="N1077" s="130">
        <v>0</v>
      </c>
      <c r="O1077" s="130"/>
      <c r="P1077" s="130"/>
      <c r="Q1077" s="115">
        <v>35027</v>
      </c>
      <c r="R1077" s="130">
        <v>0.18679239319999999</v>
      </c>
      <c r="T1077"/>
    </row>
    <row r="1078" spans="9:20">
      <c r="I1078" s="115">
        <v>35020</v>
      </c>
      <c r="J1078" s="130">
        <v>0.46024604559999999</v>
      </c>
      <c r="M1078" s="115">
        <v>35020</v>
      </c>
      <c r="N1078" s="130">
        <v>0.18537329350000001</v>
      </c>
      <c r="O1078" s="130"/>
      <c r="P1078" s="130"/>
      <c r="Q1078" s="115">
        <v>35020</v>
      </c>
      <c r="R1078" s="130">
        <v>0.18679239319999999</v>
      </c>
      <c r="T1078"/>
    </row>
    <row r="1079" spans="9:20">
      <c r="I1079" s="115">
        <v>35012</v>
      </c>
      <c r="J1079" s="130">
        <v>0.450526121</v>
      </c>
      <c r="M1079" s="115">
        <v>35012</v>
      </c>
      <c r="N1079" s="130">
        <v>0.18298945329999999</v>
      </c>
      <c r="O1079" s="130"/>
      <c r="P1079" s="130"/>
      <c r="Q1079" s="115">
        <v>35012</v>
      </c>
      <c r="R1079" s="130">
        <v>0.18434304160000001</v>
      </c>
      <c r="T1079"/>
    </row>
    <row r="1080" spans="9:20">
      <c r="I1080" s="115">
        <v>35006</v>
      </c>
      <c r="J1080" s="130">
        <v>0.42971104240000002</v>
      </c>
      <c r="M1080" s="115">
        <v>35006</v>
      </c>
      <c r="N1080" s="130">
        <v>0</v>
      </c>
      <c r="O1080" s="130"/>
      <c r="P1080" s="130"/>
      <c r="Q1080" s="115">
        <v>35006</v>
      </c>
      <c r="R1080" s="130">
        <v>0.17618293280000002</v>
      </c>
      <c r="T1080"/>
    </row>
    <row r="1081" spans="9:20">
      <c r="I1081" s="115">
        <v>34999</v>
      </c>
      <c r="J1081" s="130">
        <v>0.42858669560000001</v>
      </c>
      <c r="M1081" s="115">
        <v>34999</v>
      </c>
      <c r="N1081" s="130">
        <v>0</v>
      </c>
      <c r="O1081" s="130"/>
      <c r="P1081" s="130"/>
      <c r="Q1081" s="115">
        <v>34999</v>
      </c>
      <c r="R1081" s="130">
        <v>0.16607947889999999</v>
      </c>
      <c r="T1081"/>
    </row>
    <row r="1082" spans="9:20">
      <c r="I1082" s="115">
        <v>34992</v>
      </c>
      <c r="J1082" s="130">
        <v>0.44035316569999999</v>
      </c>
      <c r="M1082" s="115">
        <v>34992</v>
      </c>
      <c r="N1082" s="130">
        <v>8.5262288000000006E-3</v>
      </c>
      <c r="O1082" s="130"/>
      <c r="P1082" s="130"/>
      <c r="Q1082" s="115">
        <v>34992</v>
      </c>
      <c r="R1082" s="130">
        <v>0.17117591160000001</v>
      </c>
      <c r="T1082"/>
    </row>
    <row r="1083" spans="9:20">
      <c r="I1083" s="115">
        <v>34985</v>
      </c>
      <c r="J1083" s="130">
        <v>0.41151819709999998</v>
      </c>
      <c r="M1083" s="115">
        <v>34985</v>
      </c>
      <c r="N1083" s="130">
        <v>6.8098389999999998E-3</v>
      </c>
      <c r="O1083" s="130"/>
      <c r="P1083" s="130"/>
      <c r="Q1083" s="115">
        <v>34985</v>
      </c>
      <c r="R1083" s="130">
        <v>0.16093159060000001</v>
      </c>
      <c r="T1083"/>
    </row>
    <row r="1084" spans="9:20">
      <c r="I1084" s="115">
        <v>34978</v>
      </c>
      <c r="J1084" s="130">
        <v>0.39015784609999998</v>
      </c>
      <c r="M1084" s="115">
        <v>34978</v>
      </c>
      <c r="N1084" s="130">
        <v>0</v>
      </c>
      <c r="O1084" s="130"/>
      <c r="P1084" s="130"/>
      <c r="Q1084" s="115">
        <v>34978</v>
      </c>
      <c r="R1084" s="130">
        <v>0.15775991489999999</v>
      </c>
      <c r="T1084"/>
    </row>
    <row r="1085" spans="9:20">
      <c r="I1085" s="115">
        <v>34971</v>
      </c>
      <c r="J1085" s="130">
        <v>0.3688371339</v>
      </c>
      <c r="M1085" s="115">
        <v>34971</v>
      </c>
      <c r="N1085" s="130">
        <v>0</v>
      </c>
      <c r="O1085" s="130"/>
      <c r="P1085" s="130"/>
      <c r="Q1085" s="115">
        <v>34971</v>
      </c>
      <c r="R1085" s="130">
        <v>0.15250461360000001</v>
      </c>
      <c r="T1085"/>
    </row>
    <row r="1086" spans="9:20">
      <c r="I1086" s="115">
        <v>34964</v>
      </c>
      <c r="J1086" s="130">
        <v>0.39405910550000001</v>
      </c>
      <c r="M1086" s="115">
        <v>34964</v>
      </c>
      <c r="N1086" s="130">
        <v>0</v>
      </c>
      <c r="O1086" s="130"/>
      <c r="P1086" s="130"/>
      <c r="Q1086" s="115">
        <v>34964</v>
      </c>
      <c r="R1086" s="130">
        <v>0.1562551059</v>
      </c>
      <c r="T1086"/>
    </row>
    <row r="1087" spans="9:20">
      <c r="I1087" s="115">
        <v>34957</v>
      </c>
      <c r="J1087" s="130">
        <v>0.38157459319999998</v>
      </c>
      <c r="M1087" s="115">
        <v>34957</v>
      </c>
      <c r="N1087" s="130">
        <v>0</v>
      </c>
      <c r="O1087" s="130"/>
      <c r="P1087" s="130"/>
      <c r="Q1087" s="115">
        <v>34957</v>
      </c>
      <c r="R1087" s="130">
        <v>0.1543024352</v>
      </c>
      <c r="T1087"/>
    </row>
    <row r="1088" spans="9:20">
      <c r="I1088" s="115">
        <v>34950</v>
      </c>
      <c r="J1088" s="130">
        <v>0.3654540429</v>
      </c>
      <c r="M1088" s="115">
        <v>34950</v>
      </c>
      <c r="N1088" s="130">
        <v>0</v>
      </c>
      <c r="O1088" s="130"/>
      <c r="P1088" s="130"/>
      <c r="Q1088" s="115">
        <v>34950</v>
      </c>
      <c r="R1088" s="130">
        <v>0.15206470329999999</v>
      </c>
      <c r="T1088"/>
    </row>
    <row r="1089" spans="9:20">
      <c r="I1089" s="115">
        <v>34943</v>
      </c>
      <c r="J1089" s="130">
        <v>0.32147939040000001</v>
      </c>
      <c r="M1089" s="115">
        <v>34943</v>
      </c>
      <c r="N1089" s="130">
        <v>0</v>
      </c>
      <c r="O1089" s="130"/>
      <c r="P1089" s="130"/>
      <c r="Q1089" s="115">
        <v>34943</v>
      </c>
      <c r="R1089" s="130">
        <v>0.13925894429999999</v>
      </c>
      <c r="T1089"/>
    </row>
    <row r="1090" spans="9:20">
      <c r="I1090" s="115">
        <v>34936</v>
      </c>
      <c r="J1090" s="130">
        <v>0.28229919790000002</v>
      </c>
      <c r="M1090" s="115">
        <v>34936</v>
      </c>
      <c r="N1090" s="130">
        <v>0</v>
      </c>
      <c r="O1090" s="130"/>
      <c r="P1090" s="130"/>
      <c r="Q1090" s="115">
        <v>34936</v>
      </c>
      <c r="R1090" s="130">
        <v>9.1098744000000006E-3</v>
      </c>
      <c r="T1090"/>
    </row>
    <row r="1091" spans="9:20">
      <c r="I1091" s="115">
        <v>34929</v>
      </c>
      <c r="J1091" s="130">
        <v>0.2745273412</v>
      </c>
      <c r="M1091" s="115">
        <v>34929</v>
      </c>
      <c r="N1091" s="130">
        <v>0</v>
      </c>
      <c r="O1091" s="130"/>
      <c r="P1091" s="130"/>
      <c r="Q1091" s="115">
        <v>34929</v>
      </c>
      <c r="R1091" s="130">
        <v>8.5622909999999997E-3</v>
      </c>
      <c r="T1091"/>
    </row>
    <row r="1092" spans="9:20">
      <c r="I1092" s="115">
        <v>34922</v>
      </c>
      <c r="J1092" s="130">
        <v>0.31716840499999999</v>
      </c>
      <c r="M1092" s="115">
        <v>34922</v>
      </c>
      <c r="N1092" s="130">
        <v>0</v>
      </c>
      <c r="O1092" s="130"/>
      <c r="P1092" s="130"/>
      <c r="Q1092" s="115">
        <v>34922</v>
      </c>
      <c r="R1092" s="130">
        <v>0.1346157855</v>
      </c>
      <c r="T1092"/>
    </row>
    <row r="1093" spans="9:20">
      <c r="I1093" s="115">
        <v>34915</v>
      </c>
      <c r="J1093" s="130">
        <v>0.31068026310000002</v>
      </c>
      <c r="M1093" s="115">
        <v>34915</v>
      </c>
      <c r="N1093" s="130">
        <v>0</v>
      </c>
      <c r="O1093" s="130"/>
      <c r="P1093" s="130"/>
      <c r="Q1093" s="115">
        <v>34915</v>
      </c>
      <c r="R1093" s="130">
        <v>0.1297047429</v>
      </c>
      <c r="T1093"/>
    </row>
    <row r="1094" spans="9:20">
      <c r="I1094" s="115">
        <v>34908</v>
      </c>
      <c r="J1094" s="130">
        <v>0.31100615059999998</v>
      </c>
      <c r="M1094" s="115">
        <v>34908</v>
      </c>
      <c r="N1094" s="130">
        <v>0</v>
      </c>
      <c r="O1094" s="130"/>
      <c r="P1094" s="130"/>
      <c r="Q1094" s="115">
        <v>34908</v>
      </c>
      <c r="R1094" s="130">
        <v>0.12445275960000002</v>
      </c>
      <c r="T1094"/>
    </row>
    <row r="1095" spans="9:20">
      <c r="I1095" s="115">
        <v>34901</v>
      </c>
      <c r="J1095" s="130">
        <v>0.3849838169</v>
      </c>
      <c r="M1095" s="115">
        <v>34901</v>
      </c>
      <c r="N1095" s="130">
        <v>0</v>
      </c>
      <c r="O1095" s="130"/>
      <c r="P1095" s="130"/>
      <c r="Q1095" s="115">
        <v>34901</v>
      </c>
      <c r="R1095" s="130">
        <v>0.13934199750000001</v>
      </c>
      <c r="T1095"/>
    </row>
    <row r="1096" spans="9:20">
      <c r="I1096" s="115">
        <v>34894</v>
      </c>
      <c r="J1096" s="130">
        <v>0.43884176400000002</v>
      </c>
      <c r="M1096" s="115">
        <v>34894</v>
      </c>
      <c r="N1096" s="130">
        <v>0.14842841200000001</v>
      </c>
      <c r="O1096" s="130"/>
      <c r="P1096" s="130"/>
      <c r="Q1096" s="115">
        <v>34894</v>
      </c>
      <c r="R1096" s="130">
        <v>0.14976139790000001</v>
      </c>
      <c r="T1096"/>
    </row>
    <row r="1097" spans="9:20">
      <c r="I1097" s="115">
        <v>34887</v>
      </c>
      <c r="J1097" s="130">
        <v>0.35769896089999997</v>
      </c>
      <c r="M1097" s="115">
        <v>34887</v>
      </c>
      <c r="N1097" s="130">
        <v>0</v>
      </c>
      <c r="O1097" s="130"/>
      <c r="P1097" s="130"/>
      <c r="Q1097" s="115">
        <v>34887</v>
      </c>
      <c r="R1097" s="130">
        <v>0.13687100860000001</v>
      </c>
      <c r="T1097"/>
    </row>
    <row r="1098" spans="9:20">
      <c r="I1098" s="115">
        <v>34880</v>
      </c>
      <c r="J1098" s="130">
        <v>0.39969082189999999</v>
      </c>
      <c r="M1098" s="115">
        <v>34880</v>
      </c>
      <c r="N1098" s="130">
        <v>0</v>
      </c>
      <c r="O1098" s="130"/>
      <c r="P1098" s="130"/>
      <c r="Q1098" s="115">
        <v>34880</v>
      </c>
      <c r="R1098" s="130">
        <v>0.1304275597</v>
      </c>
      <c r="T1098"/>
    </row>
    <row r="1099" spans="9:20">
      <c r="I1099" s="115">
        <v>34873</v>
      </c>
      <c r="J1099" s="130">
        <v>0.39969082189999999</v>
      </c>
      <c r="M1099" s="115">
        <v>34873</v>
      </c>
      <c r="N1099" s="130">
        <v>0</v>
      </c>
      <c r="O1099" s="130"/>
      <c r="P1099" s="130"/>
      <c r="Q1099" s="115">
        <v>34873</v>
      </c>
      <c r="R1099" s="130">
        <v>0.1304275597</v>
      </c>
      <c r="T1099"/>
    </row>
    <row r="1100" spans="9:20">
      <c r="I1100" s="115">
        <v>34866</v>
      </c>
      <c r="J1100" s="130">
        <v>0.38194131609999998</v>
      </c>
      <c r="M1100" s="115">
        <v>34866</v>
      </c>
      <c r="N1100" s="130">
        <v>0</v>
      </c>
      <c r="O1100" s="130"/>
      <c r="P1100" s="130"/>
      <c r="Q1100" s="115">
        <v>34866</v>
      </c>
      <c r="R1100" s="130">
        <v>0.12963910379999999</v>
      </c>
      <c r="T1100"/>
    </row>
    <row r="1101" spans="9:20">
      <c r="I1101" s="115">
        <v>34859</v>
      </c>
      <c r="J1101" s="130">
        <v>0.40939685240000001</v>
      </c>
      <c r="M1101" s="115">
        <v>34859</v>
      </c>
      <c r="N1101" s="130">
        <v>0.13117145220000001</v>
      </c>
      <c r="O1101" s="130"/>
      <c r="P1101" s="130"/>
      <c r="Q1101" s="115">
        <v>34859</v>
      </c>
      <c r="R1101" s="130">
        <v>0.13244104679999999</v>
      </c>
      <c r="T1101"/>
    </row>
    <row r="1102" spans="9:20">
      <c r="I1102" s="115">
        <v>34852</v>
      </c>
      <c r="J1102" s="130">
        <v>0.31777483699999998</v>
      </c>
      <c r="M1102" s="115">
        <v>34852</v>
      </c>
      <c r="N1102" s="130">
        <v>0.11681547990000002</v>
      </c>
      <c r="O1102" s="130"/>
      <c r="P1102" s="130"/>
      <c r="Q1102" s="115">
        <v>34852</v>
      </c>
      <c r="R1102" s="130">
        <v>0.1170456134</v>
      </c>
      <c r="T1102"/>
    </row>
    <row r="1103" spans="9:20">
      <c r="I1103" s="115">
        <v>34845</v>
      </c>
      <c r="J1103" s="130">
        <v>0.28245375680000001</v>
      </c>
      <c r="M1103" s="115">
        <v>34845</v>
      </c>
      <c r="N1103" s="130">
        <v>0</v>
      </c>
      <c r="O1103" s="130"/>
      <c r="P1103" s="130"/>
      <c r="Q1103" s="115">
        <v>34845</v>
      </c>
      <c r="R1103" s="130">
        <v>9.5319501500000001E-2</v>
      </c>
      <c r="T1103"/>
    </row>
    <row r="1104" spans="9:20">
      <c r="I1104" s="115">
        <v>34838</v>
      </c>
      <c r="J1104" s="130">
        <v>0.28522245540000002</v>
      </c>
      <c r="M1104" s="115">
        <v>34838</v>
      </c>
      <c r="N1104" s="130">
        <v>9.6573550399999999E-2</v>
      </c>
      <c r="O1104" s="130"/>
      <c r="P1104" s="130"/>
      <c r="Q1104" s="115">
        <v>34838</v>
      </c>
      <c r="R1104" s="130">
        <v>9.6733864000000003E-2</v>
      </c>
      <c r="T1104"/>
    </row>
    <row r="1105" spans="9:20">
      <c r="I1105" s="115">
        <v>34831</v>
      </c>
      <c r="J1105" s="130">
        <v>0.2736907603</v>
      </c>
      <c r="M1105" s="115">
        <v>34831</v>
      </c>
      <c r="N1105" s="130">
        <v>9.3626286099999997E-2</v>
      </c>
      <c r="O1105" s="130"/>
      <c r="P1105" s="130"/>
      <c r="Q1105" s="115">
        <v>34831</v>
      </c>
      <c r="R1105" s="130">
        <v>9.3780738799999999E-2</v>
      </c>
      <c r="T1105"/>
    </row>
    <row r="1106" spans="9:20">
      <c r="I1106" s="115">
        <v>34824</v>
      </c>
      <c r="J1106" s="130">
        <v>0.13818934469999999</v>
      </c>
      <c r="M1106" s="115">
        <v>34824</v>
      </c>
      <c r="N1106" s="130">
        <v>0</v>
      </c>
      <c r="O1106" s="130"/>
      <c r="P1106" s="130"/>
      <c r="Q1106" s="115">
        <v>34824</v>
      </c>
      <c r="R1106" s="130">
        <v>4.7391495999999998E-2</v>
      </c>
      <c r="T1106"/>
    </row>
    <row r="1107" spans="9:20">
      <c r="I1107" s="115">
        <v>34817</v>
      </c>
      <c r="J1107" s="130">
        <v>0.13052802129999999</v>
      </c>
      <c r="M1107" s="115">
        <v>34817</v>
      </c>
      <c r="N1107" s="130">
        <v>0</v>
      </c>
      <c r="O1107" s="130"/>
      <c r="P1107" s="130"/>
      <c r="Q1107" s="115">
        <v>34817</v>
      </c>
      <c r="R1107" s="130">
        <v>3.8315555699999997E-2</v>
      </c>
      <c r="T1107"/>
    </row>
    <row r="1108" spans="9:20">
      <c r="I1108" s="115">
        <v>34810</v>
      </c>
      <c r="J1108" s="130">
        <v>0.1342667297</v>
      </c>
      <c r="M1108" s="115">
        <v>34810</v>
      </c>
      <c r="N1108" s="130">
        <v>3.9519845499999998E-2</v>
      </c>
      <c r="O1108" s="130"/>
      <c r="P1108" s="130"/>
      <c r="Q1108" s="115">
        <v>34810</v>
      </c>
      <c r="R1108" s="130">
        <v>4.12155243E-2</v>
      </c>
      <c r="T1108"/>
    </row>
    <row r="1109" spans="9:20">
      <c r="I1109" s="115">
        <v>34803</v>
      </c>
      <c r="J1109" s="130">
        <v>0.1138207705</v>
      </c>
      <c r="M1109" s="115">
        <v>34803</v>
      </c>
      <c r="N1109" s="130">
        <v>0</v>
      </c>
      <c r="O1109" s="130"/>
      <c r="P1109" s="130"/>
      <c r="Q1109" s="115">
        <v>34803</v>
      </c>
      <c r="R1109" s="130">
        <v>2.84926803E-2</v>
      </c>
      <c r="T1109"/>
    </row>
    <row r="1110" spans="9:20">
      <c r="I1110" s="115">
        <v>34796</v>
      </c>
      <c r="J1110" s="130">
        <v>0.1094212162</v>
      </c>
      <c r="M1110" s="115">
        <v>34796</v>
      </c>
      <c r="N1110" s="130">
        <v>0</v>
      </c>
      <c r="O1110" s="130"/>
      <c r="P1110" s="130"/>
      <c r="Q1110" s="115">
        <v>34796</v>
      </c>
      <c r="R1110" s="130">
        <v>2.6184524300000001E-2</v>
      </c>
      <c r="T1110"/>
    </row>
    <row r="1111" spans="9:20">
      <c r="I1111" s="115">
        <v>34789</v>
      </c>
      <c r="J1111" s="130">
        <v>0.1098455808</v>
      </c>
      <c r="M1111" s="115">
        <v>34789</v>
      </c>
      <c r="N1111" s="130">
        <v>0</v>
      </c>
      <c r="O1111" s="130"/>
      <c r="P1111" s="130"/>
      <c r="Q1111" s="115">
        <v>34789</v>
      </c>
      <c r="R1111" s="130">
        <v>2.2205261099999998E-2</v>
      </c>
      <c r="T1111"/>
    </row>
    <row r="1112" spans="9:20">
      <c r="I1112" s="115">
        <v>34782</v>
      </c>
      <c r="J1112" s="130">
        <v>0.10660817089999999</v>
      </c>
      <c r="M1112" s="115">
        <v>34782</v>
      </c>
      <c r="N1112" s="130">
        <v>0</v>
      </c>
      <c r="O1112" s="130"/>
      <c r="P1112" s="130"/>
      <c r="Q1112" s="115">
        <v>34782</v>
      </c>
      <c r="R1112" s="130">
        <v>2.0381264199999999E-2</v>
      </c>
      <c r="T1112"/>
    </row>
    <row r="1113" spans="9:20">
      <c r="I1113" s="115">
        <v>34775</v>
      </c>
      <c r="J1113" s="130">
        <v>0.1098455808</v>
      </c>
      <c r="M1113" s="115">
        <v>34775</v>
      </c>
      <c r="N1113" s="130">
        <v>1.7534247199999999E-2</v>
      </c>
      <c r="O1113" s="130"/>
      <c r="P1113" s="130"/>
      <c r="Q1113" s="115">
        <v>34775</v>
      </c>
      <c r="R1113" s="130">
        <v>2.2205261099999998E-2</v>
      </c>
      <c r="T1113"/>
    </row>
    <row r="1114" spans="9:20">
      <c r="I1114" s="115">
        <v>34768</v>
      </c>
      <c r="J1114" s="130">
        <v>6.8301916500000004E-2</v>
      </c>
      <c r="M1114" s="115">
        <v>34768</v>
      </c>
      <c r="N1114" s="130">
        <v>0</v>
      </c>
      <c r="O1114" s="130"/>
      <c r="P1114" s="130"/>
      <c r="Q1114" s="115">
        <v>34768</v>
      </c>
      <c r="R1114" s="130">
        <v>1.0312135199999999E-2</v>
      </c>
      <c r="T1114"/>
    </row>
    <row r="1115" spans="9:20">
      <c r="I1115" s="115">
        <v>34761</v>
      </c>
      <c r="J1115" s="130">
        <v>8.3133340599999994E-2</v>
      </c>
      <c r="M1115" s="115">
        <v>34761</v>
      </c>
      <c r="N1115" s="130">
        <v>1.0959788599999999E-2</v>
      </c>
      <c r="O1115" s="130"/>
      <c r="P1115" s="130"/>
      <c r="Q1115" s="115">
        <v>34761</v>
      </c>
      <c r="R1115" s="130">
        <v>1.49593074E-2</v>
      </c>
      <c r="T1115"/>
    </row>
    <row r="1116" spans="9:20">
      <c r="I1116" s="115">
        <v>34754</v>
      </c>
      <c r="J1116" s="130">
        <v>5.8005395400000007E-2</v>
      </c>
      <c r="M1116" s="115">
        <v>34754</v>
      </c>
      <c r="N1116" s="130">
        <v>2.3397682E-3</v>
      </c>
      <c r="O1116" s="130"/>
      <c r="P1116" s="130"/>
      <c r="Q1116" s="115">
        <v>34754</v>
      </c>
      <c r="R1116" s="130">
        <v>3.4627301999999999E-3</v>
      </c>
      <c r="T1116"/>
    </row>
    <row r="1117" spans="9:20">
      <c r="I1117" s="115">
        <v>34747</v>
      </c>
      <c r="J1117" s="130">
        <v>5.13082266E-2</v>
      </c>
      <c r="M1117" s="115">
        <v>34747</v>
      </c>
      <c r="N1117" s="130">
        <v>0</v>
      </c>
      <c r="O1117" s="130"/>
      <c r="P1117" s="130"/>
      <c r="Q1117" s="115">
        <v>34747</v>
      </c>
      <c r="R1117" s="130">
        <v>2.1375668999999999E-3</v>
      </c>
      <c r="T1117"/>
    </row>
    <row r="1118" spans="9:20">
      <c r="I1118" s="115">
        <v>34740</v>
      </c>
      <c r="J1118" s="130">
        <v>5.5038482999999999E-2</v>
      </c>
      <c r="M1118" s="115">
        <v>34740</v>
      </c>
      <c r="N1118" s="130">
        <v>1.7299799000000001E-3</v>
      </c>
      <c r="O1118" s="130"/>
      <c r="P1118" s="130"/>
      <c r="Q1118" s="115">
        <v>34740</v>
      </c>
      <c r="R1118" s="130">
        <v>2.5061058000000001E-3</v>
      </c>
      <c r="T1118"/>
    </row>
    <row r="1119" spans="9:20">
      <c r="I1119" s="115">
        <v>34733</v>
      </c>
      <c r="J1119" s="130">
        <v>4.7477730500000002E-2</v>
      </c>
      <c r="M1119" s="115">
        <v>34733</v>
      </c>
      <c r="N1119" s="130">
        <v>5.4332200000000005E-4</v>
      </c>
      <c r="O1119" s="130"/>
      <c r="P1119" s="130"/>
      <c r="Q1119" s="115">
        <v>34733</v>
      </c>
      <c r="R1119" s="130">
        <v>1.2755977999999999E-3</v>
      </c>
      <c r="T1119"/>
    </row>
    <row r="1120" spans="9:20">
      <c r="I1120" s="115">
        <v>34726</v>
      </c>
      <c r="J1120" s="130">
        <v>2.1605724E-2</v>
      </c>
      <c r="M1120" s="115">
        <v>34726</v>
      </c>
      <c r="N1120" s="130">
        <v>0</v>
      </c>
      <c r="O1120" s="130"/>
      <c r="P1120" s="130"/>
      <c r="Q1120" s="115">
        <v>34726</v>
      </c>
      <c r="R1120" s="130">
        <v>3.3046589999999993E-4</v>
      </c>
      <c r="T1120"/>
    </row>
    <row r="1121" spans="9:20">
      <c r="I1121" s="115">
        <v>34719</v>
      </c>
      <c r="J1121" s="130">
        <v>2.9886875899999998E-2</v>
      </c>
      <c r="M1121" s="115">
        <v>34719</v>
      </c>
      <c r="N1121" s="130">
        <v>1.1457519999999999E-4</v>
      </c>
      <c r="O1121" s="130"/>
      <c r="P1121" s="130"/>
      <c r="Q1121" s="115">
        <v>34719</v>
      </c>
      <c r="R1121" s="130">
        <v>4.278334E-4</v>
      </c>
      <c r="T1121"/>
    </row>
    <row r="1122" spans="9:20">
      <c r="I1122" s="115">
        <v>34712</v>
      </c>
      <c r="J1122" s="130">
        <v>2.05808967E-2</v>
      </c>
      <c r="M1122" s="115">
        <v>34712</v>
      </c>
      <c r="N1122" s="130">
        <v>0</v>
      </c>
      <c r="O1122" s="130"/>
      <c r="P1122" s="130"/>
      <c r="Q1122" s="115">
        <v>34712</v>
      </c>
      <c r="R1122" s="130">
        <v>2.186628E-4</v>
      </c>
      <c r="T1122"/>
    </row>
    <row r="1123" spans="9:20">
      <c r="I1123" s="115">
        <v>34705</v>
      </c>
      <c r="J1123" s="130">
        <v>2.0059981000000001E-2</v>
      </c>
      <c r="M1123" s="115">
        <v>34705</v>
      </c>
      <c r="N1123" s="130">
        <v>0</v>
      </c>
      <c r="O1123" s="130"/>
      <c r="P1123" s="130"/>
      <c r="Q1123" s="115">
        <v>34705</v>
      </c>
      <c r="R1123" s="130">
        <v>1.8582690000000003E-4</v>
      </c>
      <c r="T1123"/>
    </row>
    <row r="1124" spans="9:20">
      <c r="I1124" s="115">
        <v>34698</v>
      </c>
      <c r="J1124" s="130">
        <v>2.1127112399999998E-2</v>
      </c>
      <c r="M1124" s="115">
        <v>34698</v>
      </c>
      <c r="N1124" s="130">
        <v>0</v>
      </c>
      <c r="O1124" s="130"/>
      <c r="P1124" s="130"/>
      <c r="Q1124" s="115">
        <v>34698</v>
      </c>
      <c r="R1124" s="130">
        <v>2.6556540000000002E-4</v>
      </c>
      <c r="T1124"/>
    </row>
    <row r="1125" spans="9:20">
      <c r="I1125" s="115">
        <v>34691</v>
      </c>
      <c r="J1125" s="130">
        <v>2.1127112399999998E-2</v>
      </c>
      <c r="M1125" s="115">
        <v>34691</v>
      </c>
      <c r="N1125" s="130">
        <v>0</v>
      </c>
      <c r="O1125" s="130"/>
      <c r="P1125" s="130"/>
      <c r="Q1125" s="115">
        <v>34691</v>
      </c>
      <c r="R1125" s="130">
        <v>2.6556540000000002E-4</v>
      </c>
      <c r="T1125"/>
    </row>
    <row r="1126" spans="9:20">
      <c r="I1126" s="115">
        <v>34684</v>
      </c>
      <c r="J1126" s="130">
        <v>1.8943115900000002E-2</v>
      </c>
      <c r="M1126" s="115">
        <v>34684</v>
      </c>
      <c r="N1126" s="130">
        <v>0</v>
      </c>
      <c r="O1126" s="130"/>
      <c r="P1126" s="130"/>
      <c r="Q1126" s="115">
        <v>34684</v>
      </c>
      <c r="R1126" s="130">
        <v>1.028528E-4</v>
      </c>
      <c r="T1126"/>
    </row>
    <row r="1127" spans="9:20">
      <c r="I1127" s="115">
        <v>34677</v>
      </c>
      <c r="J1127" s="130">
        <v>2.19914459E-2</v>
      </c>
      <c r="M1127" s="115">
        <v>34677</v>
      </c>
      <c r="N1127" s="130">
        <v>0</v>
      </c>
      <c r="O1127" s="130"/>
      <c r="P1127" s="130"/>
      <c r="Q1127" s="115">
        <v>34677</v>
      </c>
      <c r="R1127" s="130">
        <v>2.7048410000000001E-4</v>
      </c>
      <c r="T1127"/>
    </row>
    <row r="1128" spans="9:20">
      <c r="I1128" s="115">
        <v>34670</v>
      </c>
      <c r="J1128" s="130">
        <v>2.0252096399999999E-2</v>
      </c>
      <c r="M1128" s="115">
        <v>34670</v>
      </c>
      <c r="N1128" s="130">
        <v>0</v>
      </c>
      <c r="O1128" s="130"/>
      <c r="P1128" s="130"/>
      <c r="Q1128" s="115">
        <v>34670</v>
      </c>
      <c r="R1128" s="130">
        <v>1.8478139999999999E-4</v>
      </c>
      <c r="T1128"/>
    </row>
    <row r="1129" spans="9:20">
      <c r="I1129" s="115">
        <v>34663</v>
      </c>
      <c r="J1129" s="130">
        <v>1.93176197E-2</v>
      </c>
      <c r="M1129" s="115">
        <v>34663</v>
      </c>
      <c r="N1129" s="130">
        <v>0</v>
      </c>
      <c r="O1129" s="130"/>
      <c r="P1129" s="130"/>
      <c r="Q1129" s="115">
        <v>34663</v>
      </c>
      <c r="R1129" s="130">
        <v>7.7488200000000001E-5</v>
      </c>
      <c r="T1129"/>
    </row>
    <row r="1130" spans="9:20">
      <c r="I1130" s="115">
        <v>34656</v>
      </c>
      <c r="J1130" s="130">
        <v>2.12798573E-2</v>
      </c>
      <c r="M1130" s="115">
        <v>34656</v>
      </c>
      <c r="N1130" s="130">
        <v>0</v>
      </c>
      <c r="O1130" s="130"/>
      <c r="P1130" s="130"/>
      <c r="Q1130" s="115">
        <v>34656</v>
      </c>
      <c r="R1130" s="130">
        <v>1.112245E-4</v>
      </c>
      <c r="T1130"/>
    </row>
    <row r="1131" spans="9:20">
      <c r="I1131" s="115">
        <v>34649</v>
      </c>
      <c r="J1131" s="130">
        <v>2.12798573E-2</v>
      </c>
      <c r="M1131" s="115">
        <v>34649</v>
      </c>
      <c r="N1131" s="130">
        <v>0</v>
      </c>
      <c r="O1131" s="130"/>
      <c r="P1131" s="130"/>
      <c r="Q1131" s="115">
        <v>34649</v>
      </c>
      <c r="R1131" s="130">
        <v>1.112245E-4</v>
      </c>
      <c r="T1131"/>
    </row>
    <row r="1132" spans="9:20">
      <c r="I1132" s="115">
        <v>34642</v>
      </c>
      <c r="J1132" s="130">
        <v>2.78753614E-2</v>
      </c>
      <c r="M1132" s="115">
        <v>34642</v>
      </c>
      <c r="N1132" s="130">
        <v>0</v>
      </c>
      <c r="O1132" s="130"/>
      <c r="P1132" s="130"/>
      <c r="Q1132" s="115">
        <v>34642</v>
      </c>
      <c r="R1132" s="130">
        <v>1.6869159999999999E-4</v>
      </c>
      <c r="T1132"/>
    </row>
    <row r="1133" spans="9:20">
      <c r="I1133" s="115">
        <v>34635</v>
      </c>
      <c r="J1133" s="130">
        <v>4.0196730200000003E-2</v>
      </c>
      <c r="M1133" s="115">
        <v>34635</v>
      </c>
      <c r="N1133" s="130">
        <v>0</v>
      </c>
      <c r="O1133" s="130"/>
      <c r="P1133" s="130"/>
      <c r="Q1133" s="115">
        <v>34635</v>
      </c>
      <c r="R1133" s="130">
        <v>1.066873E-4</v>
      </c>
      <c r="T1133"/>
    </row>
    <row r="1134" spans="9:20">
      <c r="I1134" s="115">
        <v>34628</v>
      </c>
      <c r="J1134" s="130">
        <v>5.6733168200000003E-2</v>
      </c>
      <c r="M1134" s="115">
        <v>34628</v>
      </c>
      <c r="N1134" s="130">
        <v>0</v>
      </c>
      <c r="O1134" s="130"/>
      <c r="P1134" s="130"/>
      <c r="Q1134" s="115">
        <v>34628</v>
      </c>
      <c r="R1134" s="130">
        <v>3.5987209999999994E-4</v>
      </c>
      <c r="T1134"/>
    </row>
    <row r="1135" spans="9:20">
      <c r="I1135" s="115">
        <v>34621</v>
      </c>
      <c r="J1135" s="130">
        <v>5.0871834800000001E-2</v>
      </c>
      <c r="M1135" s="115">
        <v>34621</v>
      </c>
      <c r="N1135" s="130">
        <v>0</v>
      </c>
      <c r="O1135" s="130"/>
      <c r="P1135" s="130"/>
      <c r="Q1135" s="115">
        <v>34621</v>
      </c>
      <c r="R1135" s="130">
        <v>1.9858210000000002E-4</v>
      </c>
      <c r="T1135"/>
    </row>
    <row r="1136" spans="9:20">
      <c r="I1136" s="115">
        <v>34614</v>
      </c>
      <c r="J1136" s="130">
        <v>5.2480993300000001E-2</v>
      </c>
      <c r="M1136" s="115">
        <v>34614</v>
      </c>
      <c r="N1136" s="130">
        <v>0</v>
      </c>
      <c r="O1136" s="130"/>
      <c r="P1136" s="130"/>
      <c r="Q1136" s="115">
        <v>34614</v>
      </c>
      <c r="R1136" s="130">
        <v>2.277173E-4</v>
      </c>
      <c r="T1136"/>
    </row>
    <row r="1137" spans="9:20">
      <c r="I1137" s="115">
        <v>34607</v>
      </c>
      <c r="J1137" s="130">
        <v>5.8775231300000008E-2</v>
      </c>
      <c r="M1137" s="115">
        <v>34607</v>
      </c>
      <c r="N1137" s="130">
        <v>0</v>
      </c>
      <c r="O1137" s="130"/>
      <c r="P1137" s="130"/>
      <c r="Q1137" s="115">
        <v>34607</v>
      </c>
      <c r="R1137" s="130">
        <v>0</v>
      </c>
      <c r="T1137"/>
    </row>
    <row r="1138" spans="9:20">
      <c r="I1138" s="115">
        <v>34600</v>
      </c>
      <c r="J1138" s="130">
        <v>6.2494147700000002E-2</v>
      </c>
      <c r="M1138" s="115">
        <v>34600</v>
      </c>
      <c r="N1138" s="130">
        <v>0</v>
      </c>
      <c r="O1138" s="130"/>
      <c r="P1138" s="130"/>
      <c r="Q1138" s="115">
        <v>34600</v>
      </c>
      <c r="R1138" s="130">
        <v>4.472104E-4</v>
      </c>
      <c r="T1138"/>
    </row>
    <row r="1139" spans="9:20">
      <c r="I1139" s="115">
        <v>34593</v>
      </c>
      <c r="J1139" s="130">
        <v>6.5550056199999998E-2</v>
      </c>
      <c r="M1139" s="115">
        <v>34593</v>
      </c>
      <c r="N1139" s="130">
        <v>0</v>
      </c>
      <c r="O1139" s="130"/>
      <c r="P1139" s="130"/>
      <c r="Q1139" s="115">
        <v>34593</v>
      </c>
      <c r="R1139" s="130">
        <v>6.8870240000000005E-4</v>
      </c>
      <c r="T1139"/>
    </row>
    <row r="1140" spans="9:20">
      <c r="I1140" s="115">
        <v>34586</v>
      </c>
      <c r="J1140" s="130">
        <v>7.9414408800000003E-2</v>
      </c>
      <c r="M1140" s="115">
        <v>34586</v>
      </c>
      <c r="N1140" s="130">
        <v>0</v>
      </c>
      <c r="O1140" s="130"/>
      <c r="P1140" s="130"/>
      <c r="Q1140" s="115">
        <v>34586</v>
      </c>
      <c r="R1140" s="130">
        <v>1.6668391000000001E-3</v>
      </c>
      <c r="T1140"/>
    </row>
    <row r="1141" spans="9:20">
      <c r="I1141" s="115">
        <v>34579</v>
      </c>
      <c r="J1141" s="130">
        <v>9.1658278800000006E-2</v>
      </c>
      <c r="M1141" s="115">
        <v>34579</v>
      </c>
      <c r="N1141" s="130">
        <v>0</v>
      </c>
      <c r="O1141" s="130"/>
      <c r="P1141" s="130"/>
      <c r="Q1141" s="115">
        <v>34579</v>
      </c>
      <c r="R1141" s="130">
        <v>1.9185097999999999E-3</v>
      </c>
      <c r="T1141"/>
    </row>
    <row r="1142" spans="9:20">
      <c r="I1142" s="115">
        <v>34572</v>
      </c>
      <c r="J1142" s="130">
        <v>7.6729256800000006E-2</v>
      </c>
      <c r="M1142" s="115">
        <v>34572</v>
      </c>
      <c r="N1142" s="130">
        <v>0</v>
      </c>
      <c r="O1142" s="130"/>
      <c r="P1142" s="130"/>
      <c r="Q1142" s="115">
        <v>34572</v>
      </c>
      <c r="R1142" s="130">
        <v>4.3254159999999998E-4</v>
      </c>
      <c r="T1142"/>
    </row>
    <row r="1143" spans="9:20">
      <c r="I1143" s="115">
        <v>34565</v>
      </c>
      <c r="J1143" s="130">
        <v>7.7764085300000008E-2</v>
      </c>
      <c r="M1143" s="115">
        <v>34565</v>
      </c>
      <c r="N1143" s="130">
        <v>0</v>
      </c>
      <c r="O1143" s="130"/>
      <c r="P1143" s="130"/>
      <c r="Q1143" s="115">
        <v>34565</v>
      </c>
      <c r="R1143" s="130">
        <v>5.2652410000000004E-4</v>
      </c>
      <c r="T1143"/>
    </row>
    <row r="1144" spans="9:20">
      <c r="I1144" s="115">
        <v>34558</v>
      </c>
      <c r="J1144" s="130">
        <v>7.6101695100000005E-2</v>
      </c>
      <c r="M1144" s="115">
        <v>34558</v>
      </c>
      <c r="N1144" s="130">
        <v>0</v>
      </c>
      <c r="O1144" s="130"/>
      <c r="P1144" s="130"/>
      <c r="Q1144" s="115">
        <v>34558</v>
      </c>
      <c r="R1144" s="130">
        <v>4.2375810000000002E-4</v>
      </c>
      <c r="T1144"/>
    </row>
    <row r="1145" spans="9:20">
      <c r="I1145" s="115">
        <v>34551</v>
      </c>
      <c r="J1145" s="130">
        <v>0.10214578219999999</v>
      </c>
      <c r="M1145" s="115">
        <v>34551</v>
      </c>
      <c r="N1145" s="130">
        <v>0</v>
      </c>
      <c r="O1145" s="130"/>
      <c r="P1145" s="130"/>
      <c r="Q1145" s="115">
        <v>34551</v>
      </c>
      <c r="R1145" s="130">
        <v>8.6249410000000003E-4</v>
      </c>
      <c r="T1145"/>
    </row>
    <row r="1146" spans="9:20">
      <c r="I1146" s="115">
        <v>34544</v>
      </c>
      <c r="J1146" s="130">
        <v>0.1686860704</v>
      </c>
      <c r="M1146" s="115">
        <v>34544</v>
      </c>
      <c r="N1146" s="130">
        <v>0</v>
      </c>
      <c r="O1146" s="130"/>
      <c r="P1146" s="130"/>
      <c r="Q1146" s="115">
        <v>34544</v>
      </c>
      <c r="R1146" s="130">
        <v>1.5620389000000001E-3</v>
      </c>
      <c r="T1146"/>
    </row>
    <row r="1147" spans="9:20">
      <c r="I1147" s="115">
        <v>34537</v>
      </c>
      <c r="J1147" s="130">
        <v>0.17365580050000001</v>
      </c>
      <c r="M1147" s="115">
        <v>34537</v>
      </c>
      <c r="N1147" s="130">
        <v>0</v>
      </c>
      <c r="O1147" s="130"/>
      <c r="P1147" s="130"/>
      <c r="Q1147" s="115">
        <v>34537</v>
      </c>
      <c r="R1147" s="130">
        <v>1.5620389000000001E-3</v>
      </c>
      <c r="T1147"/>
    </row>
    <row r="1148" spans="9:20">
      <c r="I1148" s="115">
        <v>34530</v>
      </c>
      <c r="J1148" s="130">
        <v>0.1546815574</v>
      </c>
      <c r="M1148" s="115">
        <v>34530</v>
      </c>
      <c r="N1148" s="130">
        <v>0</v>
      </c>
      <c r="O1148" s="130"/>
      <c r="P1148" s="130"/>
      <c r="Q1148" s="115">
        <v>34530</v>
      </c>
      <c r="R1148" s="130">
        <v>7.9129929999999997E-4</v>
      </c>
      <c r="T1148"/>
    </row>
    <row r="1149" spans="9:20">
      <c r="I1149" s="115">
        <v>34523</v>
      </c>
      <c r="J1149" s="130">
        <v>0.16029148539999999</v>
      </c>
      <c r="M1149" s="115">
        <v>34523</v>
      </c>
      <c r="N1149" s="130">
        <v>0</v>
      </c>
      <c r="O1149" s="130"/>
      <c r="P1149" s="130"/>
      <c r="Q1149" s="115">
        <v>34523</v>
      </c>
      <c r="R1149" s="130">
        <v>9.6829109999999996E-4</v>
      </c>
      <c r="T1149"/>
    </row>
    <row r="1150" spans="9:20">
      <c r="I1150" s="115">
        <v>34516</v>
      </c>
      <c r="J1150" s="130">
        <v>0.17252730360000001</v>
      </c>
      <c r="M1150" s="115">
        <v>34516</v>
      </c>
      <c r="N1150" s="130">
        <v>0</v>
      </c>
      <c r="O1150" s="130"/>
      <c r="P1150" s="130"/>
      <c r="Q1150" s="115">
        <v>34516</v>
      </c>
      <c r="R1150" s="130">
        <v>1.5620389000000001E-3</v>
      </c>
      <c r="T1150"/>
    </row>
    <row r="1151" spans="9:20">
      <c r="I1151" s="115">
        <v>34509</v>
      </c>
      <c r="J1151" s="130">
        <v>0.19154305890000001</v>
      </c>
      <c r="M1151" s="115">
        <v>34509</v>
      </c>
      <c r="N1151" s="130">
        <v>0</v>
      </c>
      <c r="O1151" s="130"/>
      <c r="P1151" s="130"/>
      <c r="Q1151" s="115">
        <v>34509</v>
      </c>
      <c r="R1151" s="130">
        <v>0</v>
      </c>
      <c r="T1151"/>
    </row>
    <row r="1152" spans="9:20">
      <c r="I1152" s="115">
        <v>34502</v>
      </c>
      <c r="J1152" s="130">
        <v>0.2085142015</v>
      </c>
      <c r="M1152" s="115">
        <v>34502</v>
      </c>
      <c r="N1152" s="130">
        <v>0</v>
      </c>
      <c r="O1152" s="130"/>
      <c r="P1152" s="130"/>
      <c r="Q1152" s="115">
        <v>34502</v>
      </c>
      <c r="R1152" s="130">
        <v>0</v>
      </c>
      <c r="T1152"/>
    </row>
    <row r="1153" spans="9:20">
      <c r="I1153" s="115">
        <v>34495</v>
      </c>
      <c r="J1153" s="130">
        <v>0.21879770500000001</v>
      </c>
      <c r="M1153" s="115">
        <v>34495</v>
      </c>
      <c r="N1153" s="130">
        <v>0</v>
      </c>
      <c r="O1153" s="130"/>
      <c r="P1153" s="130"/>
      <c r="Q1153" s="115">
        <v>34495</v>
      </c>
      <c r="R1153" s="130">
        <v>0</v>
      </c>
      <c r="T1153"/>
    </row>
    <row r="1154" spans="9:20">
      <c r="I1154" s="115">
        <v>34488</v>
      </c>
      <c r="J1154" s="130">
        <v>0.184439726</v>
      </c>
      <c r="M1154" s="115">
        <v>34488</v>
      </c>
      <c r="N1154" s="130">
        <v>0</v>
      </c>
      <c r="O1154" s="130"/>
      <c r="P1154" s="130"/>
      <c r="Q1154" s="115">
        <v>34488</v>
      </c>
      <c r="R1154" s="130">
        <v>0</v>
      </c>
      <c r="T1154"/>
    </row>
    <row r="1155" spans="9:20">
      <c r="I1155" s="115">
        <v>34481</v>
      </c>
      <c r="J1155" s="130">
        <v>9.5196153800000002E-2</v>
      </c>
      <c r="M1155" s="115">
        <v>34481</v>
      </c>
      <c r="N1155" s="130">
        <v>0</v>
      </c>
      <c r="O1155" s="130"/>
      <c r="P1155" s="130"/>
      <c r="Q1155" s="115">
        <v>34481</v>
      </c>
      <c r="R1155" s="130">
        <v>9.8779999999999993E-6</v>
      </c>
      <c r="T1155"/>
    </row>
    <row r="1156" spans="9:20">
      <c r="I1156" s="115">
        <v>34474</v>
      </c>
      <c r="J1156" s="130">
        <v>9.13970006E-2</v>
      </c>
      <c r="M1156" s="115">
        <v>34474</v>
      </c>
      <c r="N1156" s="130">
        <v>0</v>
      </c>
      <c r="O1156" s="130"/>
      <c r="P1156" s="130"/>
      <c r="Q1156" s="115">
        <v>34474</v>
      </c>
      <c r="R1156" s="130">
        <v>9.8779999999999993E-6</v>
      </c>
      <c r="T1156"/>
    </row>
    <row r="1157" spans="9:20">
      <c r="I1157" s="115">
        <v>34467</v>
      </c>
      <c r="J1157" s="130">
        <v>7.4340627699999995E-2</v>
      </c>
      <c r="M1157" s="115">
        <v>34467</v>
      </c>
      <c r="N1157" s="130">
        <v>0</v>
      </c>
      <c r="O1157" s="130"/>
      <c r="P1157" s="130"/>
      <c r="Q1157" s="115">
        <v>34467</v>
      </c>
      <c r="R1157" s="130">
        <v>4.1324999999999998E-6</v>
      </c>
      <c r="T1157"/>
    </row>
    <row r="1158" spans="9:20">
      <c r="I1158" s="115">
        <v>34460</v>
      </c>
      <c r="J1158" s="130">
        <v>9.5196153800000002E-2</v>
      </c>
      <c r="M1158" s="115">
        <v>34460</v>
      </c>
      <c r="N1158" s="130">
        <v>0</v>
      </c>
      <c r="O1158" s="130"/>
      <c r="P1158" s="130"/>
      <c r="Q1158" s="115">
        <v>34460</v>
      </c>
      <c r="R1158" s="130">
        <v>9.8779999999999993E-6</v>
      </c>
      <c r="T1158"/>
    </row>
    <row r="1159" spans="9:20">
      <c r="I1159" s="115">
        <v>34453</v>
      </c>
      <c r="J1159" s="130">
        <v>0.1367103445</v>
      </c>
      <c r="M1159" s="115">
        <v>34453</v>
      </c>
      <c r="N1159" s="130">
        <v>0</v>
      </c>
      <c r="O1159" s="130"/>
      <c r="P1159" s="130"/>
      <c r="Q1159" s="115">
        <v>34453</v>
      </c>
      <c r="R1159" s="130">
        <v>4.6138700000000006E-5</v>
      </c>
      <c r="T1159"/>
    </row>
    <row r="1160" spans="9:20">
      <c r="I1160" s="115">
        <v>34446</v>
      </c>
      <c r="J1160" s="130">
        <v>0.11135915120000001</v>
      </c>
      <c r="M1160" s="115">
        <v>34446</v>
      </c>
      <c r="N1160" s="130">
        <v>0</v>
      </c>
      <c r="O1160" s="130"/>
      <c r="P1160" s="130"/>
      <c r="Q1160" s="115">
        <v>34446</v>
      </c>
      <c r="R1160" s="130">
        <v>2.9519500000000001E-5</v>
      </c>
      <c r="T1160"/>
    </row>
    <row r="1161" spans="9:20">
      <c r="I1161" s="115">
        <v>34439</v>
      </c>
      <c r="J1161" s="130">
        <v>0.1398023991</v>
      </c>
      <c r="M1161" s="115">
        <v>34439</v>
      </c>
      <c r="N1161" s="130">
        <v>0</v>
      </c>
      <c r="O1161" s="130"/>
      <c r="P1161" s="130"/>
      <c r="Q1161" s="115">
        <v>34439</v>
      </c>
      <c r="R1161" s="130">
        <v>4.6138700000000006E-5</v>
      </c>
      <c r="T1161"/>
    </row>
    <row r="1162" spans="9:20">
      <c r="I1162" s="115">
        <v>34432</v>
      </c>
      <c r="J1162" s="130">
        <v>0.12437098570000002</v>
      </c>
      <c r="M1162" s="115">
        <v>34432</v>
      </c>
      <c r="N1162" s="130">
        <v>0</v>
      </c>
      <c r="O1162" s="130"/>
      <c r="P1162" s="130"/>
      <c r="Q1162" s="115">
        <v>34432</v>
      </c>
      <c r="R1162" s="130">
        <v>2.9519500000000001E-5</v>
      </c>
      <c r="T1162"/>
    </row>
    <row r="1163" spans="9:20">
      <c r="I1163" s="115">
        <v>34425</v>
      </c>
      <c r="J1163" s="130">
        <v>0.22916790519999999</v>
      </c>
      <c r="M1163" s="115">
        <v>34425</v>
      </c>
      <c r="N1163" s="130">
        <v>0</v>
      </c>
      <c r="O1163" s="130"/>
      <c r="P1163" s="130"/>
      <c r="Q1163" s="115">
        <v>34425</v>
      </c>
      <c r="R1163" s="130">
        <v>8.8478000000000016E-5</v>
      </c>
      <c r="T1163"/>
    </row>
    <row r="1164" spans="9:20">
      <c r="I1164" s="115">
        <v>34418</v>
      </c>
      <c r="J1164" s="130">
        <v>0.30252916870000002</v>
      </c>
      <c r="M1164" s="115">
        <v>34418</v>
      </c>
      <c r="N1164" s="130">
        <v>0</v>
      </c>
      <c r="O1164" s="130"/>
      <c r="P1164" s="130"/>
      <c r="Q1164" s="115">
        <v>34418</v>
      </c>
      <c r="R1164" s="130">
        <v>1.0977649999999999E-4</v>
      </c>
      <c r="T1164"/>
    </row>
    <row r="1165" spans="9:20">
      <c r="I1165" s="115">
        <v>34411</v>
      </c>
      <c r="J1165" s="130">
        <v>0.3130619201</v>
      </c>
      <c r="M1165" s="115">
        <v>34411</v>
      </c>
      <c r="N1165" s="130">
        <v>0</v>
      </c>
      <c r="O1165" s="130"/>
      <c r="P1165" s="130"/>
      <c r="Q1165" s="115">
        <v>34411</v>
      </c>
      <c r="R1165" s="130">
        <v>1.2986359999999999E-4</v>
      </c>
      <c r="T1165"/>
    </row>
    <row r="1166" spans="9:20">
      <c r="I1166" s="115">
        <v>34404</v>
      </c>
      <c r="J1166" s="130">
        <v>0.3841654095</v>
      </c>
      <c r="M1166" s="115">
        <v>34404</v>
      </c>
      <c r="N1166" s="130">
        <v>0</v>
      </c>
      <c r="O1166" s="130"/>
      <c r="P1166" s="130"/>
      <c r="Q1166" s="115">
        <v>34404</v>
      </c>
      <c r="R1166" s="130">
        <v>2.419117E-4</v>
      </c>
      <c r="T1166"/>
    </row>
    <row r="1167" spans="9:20">
      <c r="I1167" s="115">
        <v>34397</v>
      </c>
      <c r="J1167" s="130">
        <v>0.42490517589999999</v>
      </c>
      <c r="M1167" s="115">
        <v>34397</v>
      </c>
      <c r="N1167" s="130">
        <v>0</v>
      </c>
      <c r="O1167" s="130"/>
      <c r="P1167" s="130"/>
      <c r="Q1167" s="115">
        <v>34397</v>
      </c>
      <c r="R1167" s="130">
        <v>3.4243110000000001E-4</v>
      </c>
      <c r="T1167"/>
    </row>
    <row r="1168" spans="9:20">
      <c r="I1168" s="115">
        <v>34390</v>
      </c>
      <c r="J1168" s="130">
        <v>1.6359501299999999E-2</v>
      </c>
      <c r="M1168" s="115">
        <v>34390</v>
      </c>
      <c r="N1168" s="130">
        <v>0</v>
      </c>
      <c r="O1168" s="130"/>
      <c r="P1168" s="130"/>
      <c r="Q1168" s="115">
        <v>34390</v>
      </c>
      <c r="R1168" s="130">
        <v>1.6359501299999999E-2</v>
      </c>
      <c r="T1168"/>
    </row>
    <row r="1169" spans="9:20">
      <c r="I1169" s="115">
        <v>34383</v>
      </c>
      <c r="J1169" s="130">
        <v>3.4626242299999999E-2</v>
      </c>
      <c r="M1169" s="115">
        <v>34383</v>
      </c>
      <c r="N1169" s="130">
        <v>0</v>
      </c>
      <c r="O1169" s="130"/>
      <c r="P1169" s="130"/>
      <c r="Q1169" s="115">
        <v>34383</v>
      </c>
      <c r="R1169" s="130">
        <v>3.4626242299999999E-2</v>
      </c>
      <c r="T1169"/>
    </row>
    <row r="1170" spans="9:20">
      <c r="I1170" s="115">
        <v>34376</v>
      </c>
      <c r="J1170" s="130">
        <v>2.4778140899999999E-2</v>
      </c>
      <c r="M1170" s="115">
        <v>34376</v>
      </c>
      <c r="N1170" s="130">
        <v>0</v>
      </c>
      <c r="O1170" s="130"/>
      <c r="P1170" s="130"/>
      <c r="Q1170" s="115">
        <v>34376</v>
      </c>
      <c r="R1170" s="130">
        <v>2.4778140899999999E-2</v>
      </c>
      <c r="T1170"/>
    </row>
    <row r="1171" spans="9:20">
      <c r="I1171" s="115">
        <v>34369</v>
      </c>
      <c r="J1171" s="130">
        <v>5.8638778099999997E-2</v>
      </c>
      <c r="M1171" s="115">
        <v>34369</v>
      </c>
      <c r="N1171" s="130">
        <v>0</v>
      </c>
      <c r="O1171" s="130"/>
      <c r="P1171" s="130"/>
      <c r="Q1171" s="115">
        <v>34369</v>
      </c>
      <c r="R1171" s="130">
        <v>5.8638778099999997E-2</v>
      </c>
      <c r="T1171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64"/>
  <sheetViews>
    <sheetView topLeftCell="A376" workbookViewId="0">
      <selection activeCell="B462" sqref="B462:C464"/>
    </sheetView>
  </sheetViews>
  <sheetFormatPr defaultRowHeight="15"/>
  <cols>
    <col min="2" max="2" width="16.28515625" customWidth="1"/>
  </cols>
  <sheetData>
    <row r="1" spans="2:3">
      <c r="C1" t="s">
        <v>26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66"/>
      <c r="L417" s="66"/>
      <c r="M417" s="67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  <row r="463" spans="2:3">
      <c r="B463" s="1">
        <v>42531</v>
      </c>
      <c r="C463">
        <v>1967.5</v>
      </c>
    </row>
    <row r="464" spans="2:3">
      <c r="B464" s="1">
        <v>42538</v>
      </c>
      <c r="C464">
        <v>2081.1999999999998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2"/>
  <sheetViews>
    <sheetView workbookViewId="0">
      <selection activeCell="U64" sqref="U64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23</v>
      </c>
    </row>
    <row r="2" spans="1:16">
      <c r="B2" s="6" t="s">
        <v>31</v>
      </c>
      <c r="C2" s="6" t="s">
        <v>32</v>
      </c>
      <c r="F2" s="6" t="s">
        <v>33</v>
      </c>
      <c r="G2" s="6" t="s">
        <v>34</v>
      </c>
      <c r="H2" s="6" t="s">
        <v>35</v>
      </c>
      <c r="I2" s="6" t="s">
        <v>36</v>
      </c>
      <c r="J2" s="6" t="s">
        <v>37</v>
      </c>
      <c r="K2" s="6" t="s">
        <v>38</v>
      </c>
      <c r="L2" s="6" t="s">
        <v>39</v>
      </c>
      <c r="M2" s="6" t="s">
        <v>40</v>
      </c>
      <c r="N2" s="6" t="s">
        <v>41</v>
      </c>
      <c r="O2" s="6" t="s">
        <v>42</v>
      </c>
      <c r="P2" s="6" t="s">
        <v>43</v>
      </c>
    </row>
    <row r="3" spans="1:16">
      <c r="B3" s="18">
        <v>42544</v>
      </c>
      <c r="C3" s="32">
        <v>3.46</v>
      </c>
      <c r="F3" s="30">
        <v>0.995284601740129</v>
      </c>
      <c r="G3" s="30">
        <v>0.99298959754903393</v>
      </c>
      <c r="H3" s="30">
        <v>0.97826428104400176</v>
      </c>
      <c r="I3" s="30">
        <v>0.91681455138355572</v>
      </c>
      <c r="J3" s="30">
        <v>0.86519244290911601</v>
      </c>
      <c r="K3" s="30">
        <v>0.82242183313928774</v>
      </c>
      <c r="L3" s="30">
        <v>0.77833632725396362</v>
      </c>
      <c r="M3" s="30">
        <v>0.71232124055683899</v>
      </c>
      <c r="N3" s="30">
        <v>0.61850100736463642</v>
      </c>
      <c r="O3" s="30">
        <v>0.54606961485719752</v>
      </c>
      <c r="P3" s="30">
        <v>0.47827935597078441</v>
      </c>
    </row>
    <row r="5" spans="1:16">
      <c r="B5" s="18">
        <f>CurrentMtgRatesDataTable82523[AsOfDate]</f>
        <v>42544</v>
      </c>
      <c r="C5" s="6">
        <f>CurrentMtgRatesDataTable82523[SeriesNumValue]</f>
        <v>3.46</v>
      </c>
    </row>
    <row r="6" spans="1:16">
      <c r="F6" s="6" t="s">
        <v>24</v>
      </c>
    </row>
    <row r="7" spans="1:16">
      <c r="F7" s="6" t="s">
        <v>33</v>
      </c>
      <c r="G7" s="6" t="s">
        <v>34</v>
      </c>
      <c r="H7" s="6" t="s">
        <v>35</v>
      </c>
      <c r="I7" s="6" t="s">
        <v>36</v>
      </c>
      <c r="J7" s="6" t="s">
        <v>37</v>
      </c>
      <c r="K7" s="6" t="s">
        <v>38</v>
      </c>
      <c r="L7" s="6" t="s">
        <v>39</v>
      </c>
      <c r="M7" s="6" t="s">
        <v>40</v>
      </c>
      <c r="N7" s="6" t="s">
        <v>41</v>
      </c>
      <c r="O7" s="6" t="s">
        <v>42</v>
      </c>
      <c r="P7" s="6" t="s">
        <v>43</v>
      </c>
    </row>
    <row r="8" spans="1:16">
      <c r="A8" s="6" t="s">
        <v>90</v>
      </c>
      <c r="B8" s="77" t="str">
        <f>TEXT(CurrentCloseDate,"yyyy-mm-dd")</f>
        <v>2016-06-28</v>
      </c>
      <c r="C8" s="6">
        <f>VLOOKUP(B8,'Current Coupon'!S:T,2,0)</f>
        <v>2.2924928729045799</v>
      </c>
      <c r="F8" s="6">
        <v>0.95782048349020787</v>
      </c>
      <c r="G8" s="6">
        <v>0.94792663765007823</v>
      </c>
      <c r="H8" s="6">
        <v>0.92019262049174988</v>
      </c>
      <c r="I8" s="6">
        <v>0.87164002952333686</v>
      </c>
      <c r="J8" s="6">
        <v>0.82963344031935504</v>
      </c>
      <c r="K8" s="6">
        <v>0.76744890191493254</v>
      </c>
      <c r="L8" s="6">
        <v>0.72981676746096191</v>
      </c>
      <c r="M8" s="6">
        <v>0.65081813204620076</v>
      </c>
      <c r="N8" s="6">
        <v>0.57035565491233486</v>
      </c>
      <c r="O8" s="6">
        <v>0.51781076154324257</v>
      </c>
      <c r="P8" s="6">
        <v>0.44901580409106984</v>
      </c>
    </row>
    <row r="9" spans="1:16">
      <c r="A9" s="6" t="s">
        <v>76</v>
      </c>
      <c r="B9" s="6" t="str">
        <f>TEXT(B5-1,"yyyy-mm-dd")</f>
        <v>2016-06-22</v>
      </c>
      <c r="C9" s="6">
        <f>VLOOKUP(B9,'Current Coupon'!A:M,11,0)</f>
        <v>0.97208037975313788</v>
      </c>
    </row>
    <row r="10" spans="1:16">
      <c r="A10" s="6" t="s">
        <v>91</v>
      </c>
      <c r="C10" s="6">
        <f>C8+C9</f>
        <v>3.2645732526577178</v>
      </c>
      <c r="F10" s="6" t="s">
        <v>64</v>
      </c>
    </row>
    <row r="11" spans="1:16">
      <c r="F11" s="6" t="s">
        <v>33</v>
      </c>
      <c r="G11" s="6" t="s">
        <v>34</v>
      </c>
      <c r="H11" s="6" t="s">
        <v>35</v>
      </c>
      <c r="I11" s="6" t="s">
        <v>36</v>
      </c>
      <c r="J11" s="6" t="s">
        <v>37</v>
      </c>
      <c r="K11" s="6" t="s">
        <v>38</v>
      </c>
      <c r="L11" s="6" t="s">
        <v>39</v>
      </c>
      <c r="M11" s="6" t="s">
        <v>40</v>
      </c>
      <c r="N11" s="6" t="s">
        <v>41</v>
      </c>
      <c r="O11" s="6" t="s">
        <v>42</v>
      </c>
      <c r="P11" s="6" t="s">
        <v>43</v>
      </c>
    </row>
    <row r="12" spans="1:16">
      <c r="F12" s="6">
        <v>0.95782048349020787</v>
      </c>
      <c r="G12" s="6">
        <v>0.94792663765007823</v>
      </c>
      <c r="H12" s="6">
        <v>0.92019262049174988</v>
      </c>
      <c r="I12" s="6">
        <v>0.87164002952333686</v>
      </c>
      <c r="J12" s="6">
        <v>0.82963344031935504</v>
      </c>
      <c r="K12" s="6">
        <v>0.36961234182209501</v>
      </c>
      <c r="L12" s="6">
        <v>0.31625140964563841</v>
      </c>
      <c r="M12" s="6">
        <v>0</v>
      </c>
      <c r="N12" s="6">
        <v>0</v>
      </c>
      <c r="O12" s="6">
        <v>0</v>
      </c>
      <c r="P12" s="6">
        <v>0</v>
      </c>
    </row>
    <row r="15" spans="1:16">
      <c r="E15" s="28"/>
      <c r="F15" s="28" t="s">
        <v>48</v>
      </c>
      <c r="G15" s="28" t="s">
        <v>47</v>
      </c>
      <c r="H15" s="28" t="s">
        <v>46</v>
      </c>
      <c r="I15" s="28" t="s">
        <v>45</v>
      </c>
      <c r="J15" s="28" t="s">
        <v>44</v>
      </c>
      <c r="K15" s="35">
        <f>ImpliedRate</f>
        <v>3.2645732526577178</v>
      </c>
      <c r="L15" s="28" t="s">
        <v>49</v>
      </c>
      <c r="M15" s="28" t="s">
        <v>50</v>
      </c>
      <c r="N15" s="28" t="s">
        <v>51</v>
      </c>
      <c r="O15" s="28" t="s">
        <v>52</v>
      </c>
      <c r="P15" s="28" t="s">
        <v>53</v>
      </c>
    </row>
    <row r="16" spans="1:16">
      <c r="E16" s="78" t="s">
        <v>25</v>
      </c>
      <c r="F16" s="79">
        <f>CurrentMtgRatesDataTable825234[refinancible1]</f>
        <v>0.995284601740129</v>
      </c>
      <c r="G16" s="79">
        <f>CurrentMtgRatesDataTable825234[refinancible2]</f>
        <v>0.99298959754903393</v>
      </c>
      <c r="H16" s="79">
        <f>CurrentMtgRatesDataTable825234[refinancible3]</f>
        <v>0.97826428104400176</v>
      </c>
      <c r="I16" s="79">
        <f>CurrentMtgRatesDataTable825234[refinancible4]</f>
        <v>0.91681455138355572</v>
      </c>
      <c r="J16" s="79">
        <f>CurrentMtgRatesDataTable825234[refinancible5]</f>
        <v>0.86519244290911601</v>
      </c>
      <c r="K16" s="79">
        <f>CurrentMtgRatesDataTable825234[refinancible6]</f>
        <v>0.82242183313928774</v>
      </c>
      <c r="L16" s="79">
        <f>CurrentMtgRatesDataTable825234[refinancible7]</f>
        <v>0.77833632725396362</v>
      </c>
      <c r="M16" s="79">
        <f>CurrentMtgRatesDataTable825234[refinancible8]</f>
        <v>0.71232124055683899</v>
      </c>
      <c r="N16" s="79">
        <f>CurrentMtgRatesDataTable825234[refinancible9]</f>
        <v>0.61850100736463642</v>
      </c>
      <c r="O16" s="79">
        <f>CurrentMtgRatesDataTable825234[refinancible10]</f>
        <v>0.54606961485719752</v>
      </c>
      <c r="P16" s="79">
        <f>CurrentMtgRatesDataTable825234[refinancible11]</f>
        <v>0.47827935597078441</v>
      </c>
    </row>
    <row r="17" spans="5:16">
      <c r="E17" s="78" t="s">
        <v>22</v>
      </c>
      <c r="F17" s="79">
        <f>CurrentMtgRatesDataTable8252346[refinancible1]</f>
        <v>0.95782048349020787</v>
      </c>
      <c r="G17" s="79">
        <f>CurrentMtgRatesDataTable8252346[refinancible2]</f>
        <v>0.94792663765007823</v>
      </c>
      <c r="H17" s="79">
        <f>CurrentMtgRatesDataTable8252346[refinancible3]</f>
        <v>0.92019262049174988</v>
      </c>
      <c r="I17" s="79">
        <f>CurrentMtgRatesDataTable8252346[refinancible4]</f>
        <v>0.87164002952333686</v>
      </c>
      <c r="J17" s="79">
        <f>CurrentMtgRatesDataTable8252346[refinancible5]</f>
        <v>0.82963344031935504</v>
      </c>
      <c r="K17" s="79">
        <f>CurrentMtgRatesDataTable8252346[refinancible6]</f>
        <v>0.76744890191493254</v>
      </c>
      <c r="L17" s="79">
        <f>CurrentMtgRatesDataTable8252346[refinancible7]</f>
        <v>0.72981676746096191</v>
      </c>
      <c r="M17" s="79">
        <f>CurrentMtgRatesDataTable8252346[refinancible8]</f>
        <v>0.65081813204620076</v>
      </c>
      <c r="N17" s="79">
        <f>CurrentMtgRatesDataTable8252346[refinancible9]</f>
        <v>0.57035565491233486</v>
      </c>
      <c r="O17" s="79">
        <f>CurrentMtgRatesDataTable8252346[refinancible10]</f>
        <v>0.51781076154324257</v>
      </c>
      <c r="P17" s="79">
        <f>CurrentMtgRatesDataTable8252346[refinancible11]</f>
        <v>0.44901580409106984</v>
      </c>
    </row>
    <row r="18" spans="5:16">
      <c r="E18" s="78" t="s">
        <v>63</v>
      </c>
      <c r="F18" s="79">
        <f>CurrentMtgRatesDataTable82523468[refinancible1]</f>
        <v>0.95782048349020787</v>
      </c>
      <c r="G18" s="79">
        <f>CurrentMtgRatesDataTable82523468[refinancible2]</f>
        <v>0.94792663765007823</v>
      </c>
      <c r="H18" s="79">
        <f>CurrentMtgRatesDataTable82523468[refinancible3]</f>
        <v>0.92019262049174988</v>
      </c>
      <c r="I18" s="79">
        <f>CurrentMtgRatesDataTable82523468[refinancible4]</f>
        <v>0.87164002952333686</v>
      </c>
      <c r="J18" s="79">
        <f>CurrentMtgRatesDataTable82523468[refinancible5]</f>
        <v>0.82963344031935504</v>
      </c>
      <c r="K18" s="79">
        <f>CurrentMtgRatesDataTable82523468[refinancible6]</f>
        <v>0.36961234182209501</v>
      </c>
      <c r="L18" s="79">
        <f>CurrentMtgRatesDataTable82523468[refinancible7]</f>
        <v>0.31625140964563841</v>
      </c>
      <c r="M18" s="79">
        <f>CurrentMtgRatesDataTable82523468[refinancible8]</f>
        <v>0</v>
      </c>
      <c r="N18" s="79">
        <f>CurrentMtgRatesDataTable82523468[refinancible9]</f>
        <v>0</v>
      </c>
      <c r="O18" s="79">
        <f>CurrentMtgRatesDataTable82523468[refinancible10]</f>
        <v>0</v>
      </c>
      <c r="P18" s="79">
        <f>CurrentMtgRatesDataTable82523468[refinancible11]</f>
        <v>0</v>
      </c>
    </row>
    <row r="30" spans="5:16" ht="15">
      <c r="F30" t="s">
        <v>97</v>
      </c>
      <c r="G30"/>
      <c r="H30"/>
      <c r="I30"/>
      <c r="J30"/>
      <c r="K30"/>
      <c r="L30"/>
      <c r="M30"/>
      <c r="N30"/>
      <c r="O30"/>
      <c r="P30"/>
    </row>
    <row r="31" spans="5:16">
      <c r="F31" s="6" t="s">
        <v>33</v>
      </c>
      <c r="G31" s="6" t="s">
        <v>34</v>
      </c>
      <c r="H31" s="6" t="s">
        <v>35</v>
      </c>
      <c r="I31" s="6" t="s">
        <v>36</v>
      </c>
      <c r="J31" s="6" t="s">
        <v>37</v>
      </c>
      <c r="K31" s="6" t="s">
        <v>38</v>
      </c>
      <c r="L31" s="6" t="s">
        <v>39</v>
      </c>
      <c r="M31" s="6" t="s">
        <v>40</v>
      </c>
      <c r="N31" s="6" t="s">
        <v>41</v>
      </c>
      <c r="O31" s="6" t="s">
        <v>42</v>
      </c>
      <c r="P31" s="6" t="s">
        <v>43</v>
      </c>
    </row>
    <row r="32" spans="5:16" ht="15">
      <c r="F32">
        <v>0.95782048349020787</v>
      </c>
      <c r="G32">
        <v>0.94792663765007823</v>
      </c>
      <c r="H32">
        <v>0.92019262049174988</v>
      </c>
      <c r="I32">
        <v>0.87164002952333686</v>
      </c>
      <c r="J32">
        <v>0.82963344031935504</v>
      </c>
      <c r="K32">
        <v>0.76744890191493254</v>
      </c>
      <c r="L32">
        <v>0.34486174472451425</v>
      </c>
      <c r="M32">
        <v>0.28602732454118956</v>
      </c>
      <c r="N32">
        <v>1.450500644127804E-3</v>
      </c>
      <c r="O32">
        <v>9.9752094063453684E-4</v>
      </c>
      <c r="P32">
        <v>5.2244016310589673E-4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S4" sqref="S4:U8"/>
    </sheetView>
  </sheetViews>
  <sheetFormatPr defaultRowHeight="12.75"/>
  <cols>
    <col min="1" max="1" width="16.7109375" style="71" customWidth="1"/>
    <col min="2" max="2" width="10.140625" style="71" bestFit="1" customWidth="1"/>
    <col min="3" max="6" width="10.140625" style="71" customWidth="1"/>
    <col min="7" max="7" width="14.140625" style="71" bestFit="1" customWidth="1"/>
    <col min="8" max="8" width="13.85546875" style="71" bestFit="1" customWidth="1"/>
    <col min="9" max="9" width="21.85546875" style="71" bestFit="1" customWidth="1"/>
    <col min="10" max="10" width="16.7109375" style="71" bestFit="1" customWidth="1"/>
    <col min="11" max="11" width="15.7109375" style="71" bestFit="1" customWidth="1"/>
    <col min="12" max="12" width="13.85546875" style="71" bestFit="1" customWidth="1"/>
    <col min="13" max="13" width="22" style="71" bestFit="1" customWidth="1"/>
    <col min="14" max="14" width="13.85546875" style="71" bestFit="1" customWidth="1"/>
    <col min="15" max="15" width="12.5703125" style="71" bestFit="1" customWidth="1"/>
    <col min="16" max="16" width="12" style="71" bestFit="1" customWidth="1"/>
    <col min="17" max="17" width="15.140625" style="71" bestFit="1" customWidth="1"/>
    <col min="18" max="18" width="15.140625" style="71" customWidth="1"/>
    <col min="19" max="19" width="14.140625" style="71" bestFit="1" customWidth="1"/>
    <col min="20" max="20" width="14.140625" style="71" customWidth="1"/>
    <col min="21" max="21" width="12" style="71" bestFit="1" customWidth="1"/>
    <col min="22" max="22" width="12" style="71" customWidth="1"/>
    <col min="23" max="23" width="12" style="71" bestFit="1" customWidth="1"/>
    <col min="24" max="24" width="16" style="71" bestFit="1" customWidth="1"/>
    <col min="25" max="25" width="14.7109375" style="71" bestFit="1" customWidth="1"/>
    <col min="26" max="26" width="16" style="71" bestFit="1" customWidth="1"/>
    <col min="27" max="27" width="17.5703125" style="71" bestFit="1" customWidth="1"/>
    <col min="28" max="28" width="12.140625" style="71" bestFit="1" customWidth="1"/>
    <col min="29" max="29" width="8.5703125" style="71" bestFit="1" customWidth="1"/>
    <col min="30" max="30" width="15.28515625" style="71" customWidth="1"/>
    <col min="31" max="31" width="11.7109375" style="71" bestFit="1" customWidth="1"/>
    <col min="32" max="32" width="10.28515625" style="71" bestFit="1" customWidth="1"/>
    <col min="33" max="33" width="12" style="71" bestFit="1" customWidth="1"/>
    <col min="34" max="34" width="14.42578125" style="71" customWidth="1"/>
    <col min="35" max="35" width="18.5703125" style="71" bestFit="1" customWidth="1"/>
    <col min="36" max="36" width="10.7109375" style="71" bestFit="1" customWidth="1"/>
    <col min="37" max="37" width="16.42578125" style="71" bestFit="1" customWidth="1"/>
    <col min="38" max="38" width="16.140625" style="71" bestFit="1" customWidth="1"/>
    <col min="39" max="39" width="14.42578125" style="71" customWidth="1"/>
    <col min="40" max="40" width="12.28515625" style="71" customWidth="1"/>
    <col min="41" max="16384" width="9.140625" style="71"/>
  </cols>
  <sheetData>
    <row r="3" spans="1:22" ht="23.25">
      <c r="A3" s="70" t="s">
        <v>87</v>
      </c>
      <c r="U3" s="70" t="s">
        <v>87</v>
      </c>
      <c r="V3" s="70"/>
    </row>
    <row r="4" spans="1:22" s="72" customFormat="1">
      <c r="A4" s="72" t="s">
        <v>31</v>
      </c>
      <c r="B4" s="72" t="s">
        <v>32</v>
      </c>
      <c r="C4" s="72" t="s">
        <v>69</v>
      </c>
      <c r="D4" s="72" t="s">
        <v>70</v>
      </c>
      <c r="E4" s="72" t="s">
        <v>71</v>
      </c>
      <c r="F4" s="72" t="s">
        <v>72</v>
      </c>
      <c r="G4" s="72" t="s">
        <v>73</v>
      </c>
      <c r="H4" s="72" t="s">
        <v>74</v>
      </c>
      <c r="I4" s="72" t="s">
        <v>75</v>
      </c>
      <c r="J4" s="72" t="s">
        <v>76</v>
      </c>
      <c r="K4" s="72" t="s">
        <v>77</v>
      </c>
      <c r="L4" s="72" t="s">
        <v>78</v>
      </c>
      <c r="M4" s="72" t="s">
        <v>79</v>
      </c>
      <c r="S4" s="72" t="s">
        <v>31</v>
      </c>
      <c r="T4" s="72" t="s">
        <v>32</v>
      </c>
      <c r="U4" s="72" t="s">
        <v>88</v>
      </c>
    </row>
    <row r="5" spans="1:22" s="75" customFormat="1">
      <c r="A5" s="73" t="s">
        <v>98</v>
      </c>
      <c r="B5" s="74">
        <v>2.6083213948699102</v>
      </c>
      <c r="C5" s="74">
        <v>3.51</v>
      </c>
      <c r="D5" s="75">
        <f t="shared" ref="D5:D41" si="0">WEEKDAY(A5,14)</f>
        <v>5</v>
      </c>
      <c r="E5" s="75">
        <f t="shared" ref="E5:E41" si="1">VLOOKUP(D5,P$5:Q$11,2,FALSE)</f>
        <v>0.2</v>
      </c>
      <c r="F5" s="75">
        <f t="shared" ref="F5:F41" si="2">IF(AND(D5&gt;D4,F4&lt;6),F4+1,1)</f>
        <v>1</v>
      </c>
      <c r="G5" s="75">
        <f t="shared" ref="G5:G41" si="3">IF(F5&gt;F4,G4+B5*E5,B5*E5)</f>
        <v>0.52166427897398204</v>
      </c>
      <c r="H5" s="75">
        <f t="shared" ref="H5:H41" si="4">IF(AND(F5&lt;6,F5&gt;F4),E5+H4,E5)</f>
        <v>0.2</v>
      </c>
      <c r="I5" s="75">
        <f t="shared" ref="I5:I41" si="5">IF(F5&gt;F6,G5/H5,0)</f>
        <v>0</v>
      </c>
      <c r="J5" s="74">
        <f>IF(CurrentMtgRatesDataTable811[[#This Row],[WA CC]]&lt;&gt;0,C4-CurrentMtgRatesDataTable811[[#This Row],[WA CC]],0)</f>
        <v>0</v>
      </c>
      <c r="K5" s="74" t="str">
        <f>IF(CurrentMtgRatesDataTable811[[#This Row],[Servicing Spread]]&lt;=0,K4,CurrentMtgRatesDataTable811[[#This Row],[Servicing Spread]])</f>
        <v>Servicing Spread Non-Zero</v>
      </c>
      <c r="L5" s="74" t="e">
        <f>CurrentMtgRatesDataTable811[[#This Row],[Servicing Spread Non-Zero]]-K4</f>
        <v>#VALUE!</v>
      </c>
      <c r="M5" s="74" t="e">
        <f>IF(I4&lt;&gt;0,CurrentMtgRatesDataTable811[[#This Row],[Rate]]-C4,M4)</f>
        <v>#VALUE!</v>
      </c>
      <c r="O5" s="75" t="s">
        <v>80</v>
      </c>
      <c r="P5" s="75">
        <v>5</v>
      </c>
      <c r="Q5" s="75">
        <v>0.2</v>
      </c>
      <c r="S5" s="73" t="s">
        <v>136</v>
      </c>
      <c r="T5" s="74">
        <v>2.5328661525509899</v>
      </c>
      <c r="U5" s="74" t="s">
        <v>89</v>
      </c>
    </row>
    <row r="6" spans="1:22" s="75" customFormat="1">
      <c r="A6" s="73" t="s">
        <v>99</v>
      </c>
      <c r="B6" s="6">
        <v>2.5475265739167301</v>
      </c>
      <c r="C6" s="6">
        <v>3.51</v>
      </c>
      <c r="D6" s="75">
        <f t="shared" si="0"/>
        <v>6</v>
      </c>
      <c r="E6" s="75">
        <f t="shared" si="1"/>
        <v>0.2</v>
      </c>
      <c r="F6" s="75">
        <f t="shared" si="2"/>
        <v>2</v>
      </c>
      <c r="G6" s="75">
        <f t="shared" si="3"/>
        <v>1.031169593757328</v>
      </c>
      <c r="H6" s="75">
        <f t="shared" si="4"/>
        <v>0.4</v>
      </c>
      <c r="I6" s="75">
        <f t="shared" si="5"/>
        <v>0</v>
      </c>
      <c r="J6" s="74">
        <f>IF(CurrentMtgRatesDataTable811[[#This Row],[WA CC]]&lt;&gt;0,C5-CurrentMtgRatesDataTable811[[#This Row],[WA CC]],0)</f>
        <v>0</v>
      </c>
      <c r="K6" s="74" t="str">
        <f>IF(CurrentMtgRatesDataTable811[[#This Row],[Servicing Spread]]&lt;=0,K5,CurrentMtgRatesDataTable811[[#This Row],[Servicing Spread]])</f>
        <v>Servicing Spread Non-Zero</v>
      </c>
      <c r="L6" s="74" t="e">
        <f>CurrentMtgRatesDataTable811[[#This Row],[Servicing Spread Non-Zero]]-K5</f>
        <v>#VALUE!</v>
      </c>
      <c r="M6" s="74" t="e">
        <f>IF(I5&lt;&gt;0,CurrentMtgRatesDataTable811[[#This Row],[Rate]]-C5,M5)</f>
        <v>#VALUE!</v>
      </c>
      <c r="O6" s="75" t="s">
        <v>81</v>
      </c>
      <c r="P6" s="75">
        <v>6</v>
      </c>
      <c r="Q6" s="75">
        <v>0.2</v>
      </c>
      <c r="S6" s="118" t="s">
        <v>137</v>
      </c>
      <c r="T6" s="111">
        <v>2.42238784637689</v>
      </c>
      <c r="U6" s="111" t="s">
        <v>89</v>
      </c>
    </row>
    <row r="7" spans="1:22" s="75" customFormat="1">
      <c r="A7" s="73" t="s">
        <v>100</v>
      </c>
      <c r="B7" s="6">
        <v>2.55214527077672</v>
      </c>
      <c r="C7" s="6">
        <v>3.51</v>
      </c>
      <c r="D7" s="75">
        <f t="shared" si="0"/>
        <v>7</v>
      </c>
      <c r="E7" s="75">
        <f t="shared" si="1"/>
        <v>0.2</v>
      </c>
      <c r="F7" s="75">
        <f t="shared" si="2"/>
        <v>3</v>
      </c>
      <c r="G7" s="75">
        <f t="shared" si="3"/>
        <v>1.541598647912672</v>
      </c>
      <c r="H7" s="75">
        <f t="shared" si="4"/>
        <v>0.60000000000000009</v>
      </c>
      <c r="I7" s="75">
        <f t="shared" si="5"/>
        <v>2.5693310798544529</v>
      </c>
      <c r="J7" s="74">
        <f>IF(CurrentMtgRatesDataTable811[[#This Row],[WA CC]]&lt;&gt;0,C6-CurrentMtgRatesDataTable811[[#This Row],[WA CC]],0)</f>
        <v>0.94066892014554693</v>
      </c>
      <c r="K7" s="74">
        <f>IF(CurrentMtgRatesDataTable811[[#This Row],[Servicing Spread]]&lt;=0,K6,CurrentMtgRatesDataTable811[[#This Row],[Servicing Spread]])</f>
        <v>0.94066892014554693</v>
      </c>
      <c r="L7" s="74" t="e">
        <f>CurrentMtgRatesDataTable811[[#This Row],[Servicing Spread Non-Zero]]-K6</f>
        <v>#VALUE!</v>
      </c>
      <c r="M7" s="74" t="e">
        <f>IF(I6&lt;&gt;0,CurrentMtgRatesDataTable811[[#This Row],[Rate]]-C6,M6)</f>
        <v>#VALUE!</v>
      </c>
      <c r="O7" s="75" t="s">
        <v>82</v>
      </c>
      <c r="P7" s="75">
        <v>7</v>
      </c>
      <c r="Q7" s="75">
        <v>0.2</v>
      </c>
      <c r="S7" s="118" t="s">
        <v>138</v>
      </c>
      <c r="T7" s="111">
        <v>2.28975271762293</v>
      </c>
      <c r="U7" s="111" t="s">
        <v>89</v>
      </c>
    </row>
    <row r="8" spans="1:22" s="75" customFormat="1">
      <c r="A8" s="73" t="s">
        <v>101</v>
      </c>
      <c r="B8" s="6">
        <v>2.5164663859594998</v>
      </c>
      <c r="C8" s="6">
        <v>3.4449999999999998</v>
      </c>
      <c r="D8" s="75">
        <f t="shared" si="0"/>
        <v>1</v>
      </c>
      <c r="E8" s="75">
        <f t="shared" si="1"/>
        <v>0.2</v>
      </c>
      <c r="F8" s="75">
        <f t="shared" si="2"/>
        <v>1</v>
      </c>
      <c r="G8" s="75">
        <f t="shared" si="3"/>
        <v>0.50329327719189998</v>
      </c>
      <c r="H8" s="75">
        <f t="shared" si="4"/>
        <v>0.2</v>
      </c>
      <c r="I8" s="75">
        <f t="shared" si="5"/>
        <v>0</v>
      </c>
      <c r="J8" s="74">
        <f>IF(CurrentMtgRatesDataTable811[[#This Row],[WA CC]]&lt;&gt;0,C7-CurrentMtgRatesDataTable811[[#This Row],[WA CC]],0)</f>
        <v>0</v>
      </c>
      <c r="K8" s="74">
        <f>IF(CurrentMtgRatesDataTable811[[#This Row],[Servicing Spread]]&lt;=0,K7,CurrentMtgRatesDataTable811[[#This Row],[Servicing Spread]])</f>
        <v>0.94066892014554693</v>
      </c>
      <c r="L8" s="74">
        <f>CurrentMtgRatesDataTable811[[#This Row],[Servicing Spread Non-Zero]]-K7</f>
        <v>0</v>
      </c>
      <c r="M8" s="74">
        <f>IF(I7&lt;&gt;0,CurrentMtgRatesDataTable811[[#This Row],[Rate]]-C7,M7)</f>
        <v>-6.4999999999999947E-2</v>
      </c>
      <c r="O8" s="75" t="s">
        <v>83</v>
      </c>
      <c r="P8" s="75">
        <v>1</v>
      </c>
      <c r="Q8" s="75">
        <v>0.2</v>
      </c>
      <c r="S8" s="118" t="s">
        <v>139</v>
      </c>
      <c r="T8" s="111">
        <v>2.2924928729045799</v>
      </c>
      <c r="U8" s="111" t="s">
        <v>89</v>
      </c>
    </row>
    <row r="9" spans="1:22" s="75" customFormat="1">
      <c r="A9" s="73" t="s">
        <v>102</v>
      </c>
      <c r="B9" s="6">
        <v>2.5169224725100698</v>
      </c>
      <c r="C9" s="6">
        <v>3.4449999999999998</v>
      </c>
      <c r="D9" s="75">
        <f t="shared" si="0"/>
        <v>2</v>
      </c>
      <c r="E9" s="75">
        <f t="shared" si="1"/>
        <v>0.2</v>
      </c>
      <c r="F9" s="75">
        <f t="shared" si="2"/>
        <v>2</v>
      </c>
      <c r="G9" s="75">
        <f t="shared" si="3"/>
        <v>1.0066777716939139</v>
      </c>
      <c r="H9" s="75">
        <f t="shared" si="4"/>
        <v>0.4</v>
      </c>
      <c r="I9" s="75">
        <f t="shared" si="5"/>
        <v>0</v>
      </c>
      <c r="J9" s="74">
        <f>IF(CurrentMtgRatesDataTable811[[#This Row],[WA CC]]&lt;&gt;0,C8-CurrentMtgRatesDataTable811[[#This Row],[WA CC]],0)</f>
        <v>0</v>
      </c>
      <c r="K9" s="74">
        <f>IF(CurrentMtgRatesDataTable811[[#This Row],[Servicing Spread]]&lt;=0,K8,CurrentMtgRatesDataTable811[[#This Row],[Servicing Spread]])</f>
        <v>0.94066892014554693</v>
      </c>
      <c r="L9" s="74">
        <f>CurrentMtgRatesDataTable811[[#This Row],[Servicing Spread Non-Zero]]-K8</f>
        <v>0</v>
      </c>
      <c r="M9" s="74">
        <f>IF(I8&lt;&gt;0,CurrentMtgRatesDataTable811[[#This Row],[Rate]]-C8,M8)</f>
        <v>-6.4999999999999947E-2</v>
      </c>
      <c r="O9" s="75" t="s">
        <v>84</v>
      </c>
      <c r="P9" s="75">
        <v>2</v>
      </c>
      <c r="Q9" s="75">
        <v>0.2</v>
      </c>
    </row>
    <row r="10" spans="1:22" s="75" customFormat="1">
      <c r="A10" s="73" t="s">
        <v>103</v>
      </c>
      <c r="B10" s="6">
        <v>2.5026837288081998</v>
      </c>
      <c r="C10" s="6">
        <v>3.4449999999999998</v>
      </c>
      <c r="D10" s="75">
        <f t="shared" si="0"/>
        <v>5</v>
      </c>
      <c r="E10" s="75">
        <f t="shared" si="1"/>
        <v>0.2</v>
      </c>
      <c r="F10" s="75">
        <f t="shared" si="2"/>
        <v>3</v>
      </c>
      <c r="G10" s="75">
        <f t="shared" si="3"/>
        <v>1.5072145174555538</v>
      </c>
      <c r="H10" s="75">
        <f t="shared" si="4"/>
        <v>0.60000000000000009</v>
      </c>
      <c r="I10" s="75">
        <f t="shared" si="5"/>
        <v>0</v>
      </c>
      <c r="J10" s="74">
        <f>IF(CurrentMtgRatesDataTable811[[#This Row],[WA CC]]&lt;&gt;0,C9-CurrentMtgRatesDataTable811[[#This Row],[WA CC]],0)</f>
        <v>0</v>
      </c>
      <c r="K10" s="74">
        <f>IF(CurrentMtgRatesDataTable811[[#This Row],[Servicing Spread]]&lt;=0,K9,CurrentMtgRatesDataTable811[[#This Row],[Servicing Spread]])</f>
        <v>0.94066892014554693</v>
      </c>
      <c r="L10" s="74">
        <f>CurrentMtgRatesDataTable811[[#This Row],[Servicing Spread Non-Zero]]-K9</f>
        <v>0</v>
      </c>
      <c r="M10" s="74">
        <f>IF(I9&lt;&gt;0,CurrentMtgRatesDataTable811[[#This Row],[Rate]]-C9,M9)</f>
        <v>-6.4999999999999947E-2</v>
      </c>
      <c r="O10" s="75" t="s">
        <v>85</v>
      </c>
      <c r="P10" s="75">
        <v>3</v>
      </c>
      <c r="Q10" s="75">
        <v>0</v>
      </c>
    </row>
    <row r="11" spans="1:22" s="75" customFormat="1">
      <c r="A11" s="73" t="s">
        <v>104</v>
      </c>
      <c r="B11" s="6">
        <v>2.5182072919323999</v>
      </c>
      <c r="C11" s="6">
        <v>3.4449999999999998</v>
      </c>
      <c r="D11" s="75">
        <f t="shared" si="0"/>
        <v>6</v>
      </c>
      <c r="E11" s="75">
        <f t="shared" si="1"/>
        <v>0.2</v>
      </c>
      <c r="F11" s="75">
        <f t="shared" si="2"/>
        <v>4</v>
      </c>
      <c r="G11" s="75">
        <f t="shared" si="3"/>
        <v>2.0108559758420337</v>
      </c>
      <c r="H11" s="75">
        <f t="shared" si="4"/>
        <v>0.8</v>
      </c>
      <c r="I11" s="75">
        <f t="shared" si="5"/>
        <v>0</v>
      </c>
      <c r="J11" s="74">
        <f>IF(CurrentMtgRatesDataTable811[[#This Row],[WA CC]]&lt;&gt;0,C10-CurrentMtgRatesDataTable811[[#This Row],[WA CC]],0)</f>
        <v>0</v>
      </c>
      <c r="K11" s="74">
        <f>IF(CurrentMtgRatesDataTable811[[#This Row],[Servicing Spread]]&lt;=0,K10,CurrentMtgRatesDataTable811[[#This Row],[Servicing Spread]])</f>
        <v>0.94066892014554693</v>
      </c>
      <c r="L11" s="74">
        <f>CurrentMtgRatesDataTable811[[#This Row],[Servicing Spread Non-Zero]]-K10</f>
        <v>0</v>
      </c>
      <c r="M11" s="74">
        <f>IF(I10&lt;&gt;0,CurrentMtgRatesDataTable811[[#This Row],[Rate]]-C10,M10)</f>
        <v>-6.4999999999999947E-2</v>
      </c>
      <c r="O11" s="75" t="s">
        <v>86</v>
      </c>
      <c r="P11" s="75">
        <v>4</v>
      </c>
      <c r="Q11" s="75">
        <v>0</v>
      </c>
    </row>
    <row r="12" spans="1:22" s="75" customFormat="1">
      <c r="A12" s="73" t="s">
        <v>105</v>
      </c>
      <c r="B12" s="6">
        <v>2.5137546946134099</v>
      </c>
      <c r="C12" s="6">
        <v>3.4449999999999998</v>
      </c>
      <c r="D12" s="75">
        <f t="shared" si="0"/>
        <v>7</v>
      </c>
      <c r="E12" s="75">
        <f t="shared" si="1"/>
        <v>0.2</v>
      </c>
      <c r="F12" s="75">
        <f t="shared" si="2"/>
        <v>5</v>
      </c>
      <c r="G12" s="75">
        <f t="shared" si="3"/>
        <v>2.5136069147647158</v>
      </c>
      <c r="H12" s="75">
        <f t="shared" si="4"/>
        <v>1</v>
      </c>
      <c r="I12" s="75">
        <f t="shared" si="5"/>
        <v>2.5136069147647158</v>
      </c>
      <c r="J12" s="74">
        <f>IF(CurrentMtgRatesDataTable811[[#This Row],[WA CC]]&lt;&gt;0,C11-CurrentMtgRatesDataTable811[[#This Row],[WA CC]],0)</f>
        <v>0.93139308523528408</v>
      </c>
      <c r="K12" s="74">
        <f>IF(CurrentMtgRatesDataTable811[[#This Row],[Servicing Spread]]&lt;=0,K11,CurrentMtgRatesDataTable811[[#This Row],[Servicing Spread]])</f>
        <v>0.93139308523528408</v>
      </c>
      <c r="L12" s="74">
        <f>CurrentMtgRatesDataTable811[[#This Row],[Servicing Spread Non-Zero]]-K11</f>
        <v>-9.2758349102628479E-3</v>
      </c>
      <c r="M12" s="74">
        <f>IF(I11&lt;&gt;0,CurrentMtgRatesDataTable811[[#This Row],[Rate]]-C11,M11)</f>
        <v>-6.4999999999999947E-2</v>
      </c>
    </row>
    <row r="13" spans="1:22" s="75" customFormat="1">
      <c r="A13" s="73" t="s">
        <v>106</v>
      </c>
      <c r="B13" s="6">
        <v>2.5257961096675898</v>
      </c>
      <c r="C13" s="6">
        <v>3.48</v>
      </c>
      <c r="D13" s="75">
        <f t="shared" si="0"/>
        <v>1</v>
      </c>
      <c r="E13" s="75">
        <f t="shared" si="1"/>
        <v>0.2</v>
      </c>
      <c r="F13" s="75">
        <f t="shared" si="2"/>
        <v>1</v>
      </c>
      <c r="G13" s="75">
        <f t="shared" si="3"/>
        <v>0.50515922193351803</v>
      </c>
      <c r="H13" s="75">
        <f t="shared" si="4"/>
        <v>0.2</v>
      </c>
      <c r="I13" s="75">
        <f t="shared" si="5"/>
        <v>0</v>
      </c>
      <c r="J13" s="74">
        <f>IF(CurrentMtgRatesDataTable811[[#This Row],[WA CC]]&lt;&gt;0,C12-CurrentMtgRatesDataTable811[[#This Row],[WA CC]],0)</f>
        <v>0</v>
      </c>
      <c r="K13" s="74">
        <f>IF(CurrentMtgRatesDataTable811[[#This Row],[Servicing Spread]]&lt;=0,K12,CurrentMtgRatesDataTable811[[#This Row],[Servicing Spread]])</f>
        <v>0.93139308523528408</v>
      </c>
      <c r="L13" s="74">
        <f>CurrentMtgRatesDataTable811[[#This Row],[Servicing Spread Non-Zero]]-K12</f>
        <v>0</v>
      </c>
      <c r="M13" s="74">
        <f>IF(I12&lt;&gt;0,CurrentMtgRatesDataTable811[[#This Row],[Rate]]-C12,M12)</f>
        <v>3.5000000000000142E-2</v>
      </c>
    </row>
    <row r="14" spans="1:22" s="75" customFormat="1">
      <c r="A14" s="73" t="s">
        <v>107</v>
      </c>
      <c r="B14" s="6">
        <v>2.4834878565514402</v>
      </c>
      <c r="C14" s="6">
        <v>3.48</v>
      </c>
      <c r="D14" s="75">
        <f t="shared" si="0"/>
        <v>2</v>
      </c>
      <c r="E14" s="75">
        <f t="shared" si="1"/>
        <v>0.2</v>
      </c>
      <c r="F14" s="75">
        <f t="shared" si="2"/>
        <v>2</v>
      </c>
      <c r="G14" s="75">
        <f t="shared" si="3"/>
        <v>1.0018567932438061</v>
      </c>
      <c r="H14" s="75">
        <f t="shared" si="4"/>
        <v>0.4</v>
      </c>
      <c r="I14" s="75">
        <f t="shared" si="5"/>
        <v>0</v>
      </c>
      <c r="J14" s="74">
        <f>IF(CurrentMtgRatesDataTable811[[#This Row],[WA CC]]&lt;&gt;0,C13-CurrentMtgRatesDataTable811[[#This Row],[WA CC]],0)</f>
        <v>0</v>
      </c>
      <c r="K14" s="74">
        <f>IF(CurrentMtgRatesDataTable811[[#This Row],[Servicing Spread]]&lt;=0,K13,CurrentMtgRatesDataTable811[[#This Row],[Servicing Spread]])</f>
        <v>0.93139308523528408</v>
      </c>
      <c r="L14" s="74">
        <f>CurrentMtgRatesDataTable811[[#This Row],[Servicing Spread Non-Zero]]-K13</f>
        <v>0</v>
      </c>
      <c r="M14" s="74">
        <f>IF(I13&lt;&gt;0,CurrentMtgRatesDataTable811[[#This Row],[Rate]]-C13,M13)</f>
        <v>3.5000000000000142E-2</v>
      </c>
    </row>
    <row r="15" spans="1:22" s="75" customFormat="1">
      <c r="A15" s="73" t="s">
        <v>108</v>
      </c>
      <c r="B15" s="6">
        <v>2.5243153261906799</v>
      </c>
      <c r="C15" s="6">
        <v>3.48</v>
      </c>
      <c r="D15" s="75">
        <f t="shared" si="0"/>
        <v>5</v>
      </c>
      <c r="E15" s="75">
        <f t="shared" si="1"/>
        <v>0.2</v>
      </c>
      <c r="F15" s="75">
        <f t="shared" si="2"/>
        <v>3</v>
      </c>
      <c r="G15" s="75">
        <f t="shared" si="3"/>
        <v>1.5067198584819419</v>
      </c>
      <c r="H15" s="75">
        <f t="shared" si="4"/>
        <v>0.60000000000000009</v>
      </c>
      <c r="I15" s="75">
        <f t="shared" si="5"/>
        <v>0</v>
      </c>
      <c r="J15" s="74">
        <f>IF(CurrentMtgRatesDataTable811[[#This Row],[WA CC]]&lt;&gt;0,C14-CurrentMtgRatesDataTable811[[#This Row],[WA CC]],0)</f>
        <v>0</v>
      </c>
      <c r="K15" s="74">
        <f>IF(CurrentMtgRatesDataTable811[[#This Row],[Servicing Spread]]&lt;=0,K14,CurrentMtgRatesDataTable811[[#This Row],[Servicing Spread]])</f>
        <v>0.93139308523528408</v>
      </c>
      <c r="L15" s="74">
        <f>CurrentMtgRatesDataTable811[[#This Row],[Servicing Spread Non-Zero]]-K14</f>
        <v>0</v>
      </c>
      <c r="M15" s="74">
        <f>IF(I14&lt;&gt;0,CurrentMtgRatesDataTable811[[#This Row],[Rate]]-C14,M14)</f>
        <v>3.5000000000000142E-2</v>
      </c>
    </row>
    <row r="16" spans="1:22" s="75" customFormat="1">
      <c r="A16" s="73" t="s">
        <v>109</v>
      </c>
      <c r="B16" s="6">
        <v>2.5507411556917998</v>
      </c>
      <c r="C16" s="6">
        <v>3.48</v>
      </c>
      <c r="D16" s="75">
        <f t="shared" si="0"/>
        <v>6</v>
      </c>
      <c r="E16" s="75">
        <f t="shared" si="1"/>
        <v>0.2</v>
      </c>
      <c r="F16" s="75">
        <f t="shared" si="2"/>
        <v>4</v>
      </c>
      <c r="G16" s="75">
        <f t="shared" si="3"/>
        <v>2.016868089620302</v>
      </c>
      <c r="H16" s="75">
        <f t="shared" si="4"/>
        <v>0.8</v>
      </c>
      <c r="I16" s="75">
        <f t="shared" si="5"/>
        <v>0</v>
      </c>
      <c r="J16" s="74">
        <f>IF(CurrentMtgRatesDataTable811[[#This Row],[WA CC]]&lt;&gt;0,C15-CurrentMtgRatesDataTable811[[#This Row],[WA CC]],0)</f>
        <v>0</v>
      </c>
      <c r="K16" s="74">
        <f>IF(CurrentMtgRatesDataTable811[[#This Row],[Servicing Spread]]&lt;=0,K15,CurrentMtgRatesDataTable811[[#This Row],[Servicing Spread]])</f>
        <v>0.93139308523528408</v>
      </c>
      <c r="L16" s="74">
        <f>CurrentMtgRatesDataTable811[[#This Row],[Servicing Spread Non-Zero]]-K15</f>
        <v>0</v>
      </c>
      <c r="M16" s="74">
        <f>IF(I15&lt;&gt;0,CurrentMtgRatesDataTable811[[#This Row],[Rate]]-C15,M15)</f>
        <v>3.5000000000000142E-2</v>
      </c>
    </row>
    <row r="17" spans="1:13" s="75" customFormat="1">
      <c r="A17" s="73" t="s">
        <v>110</v>
      </c>
      <c r="B17" s="6">
        <v>2.6588027556734102</v>
      </c>
      <c r="C17" s="6">
        <v>3.48</v>
      </c>
      <c r="D17" s="75">
        <f t="shared" si="0"/>
        <v>7</v>
      </c>
      <c r="E17" s="75">
        <f t="shared" si="1"/>
        <v>0.2</v>
      </c>
      <c r="F17" s="75">
        <f t="shared" si="2"/>
        <v>5</v>
      </c>
      <c r="G17" s="75">
        <f t="shared" si="3"/>
        <v>2.5486286407549841</v>
      </c>
      <c r="H17" s="75">
        <f t="shared" si="4"/>
        <v>1</v>
      </c>
      <c r="I17" s="75">
        <f t="shared" si="5"/>
        <v>2.5486286407549841</v>
      </c>
      <c r="J17" s="74">
        <f>IF(CurrentMtgRatesDataTable811[[#This Row],[WA CC]]&lt;&gt;0,C16-CurrentMtgRatesDataTable811[[#This Row],[WA CC]],0)</f>
        <v>0.93137135924501591</v>
      </c>
      <c r="K17" s="74">
        <f>IF(CurrentMtgRatesDataTable811[[#This Row],[Servicing Spread]]&lt;=0,K16,CurrentMtgRatesDataTable811[[#This Row],[Servicing Spread]])</f>
        <v>0.93137135924501591</v>
      </c>
      <c r="L17" s="74">
        <f>CurrentMtgRatesDataTable811[[#This Row],[Servicing Spread Non-Zero]]-K16</f>
        <v>-2.1725990268173234E-5</v>
      </c>
      <c r="M17" s="74">
        <f>IF(I16&lt;&gt;0,CurrentMtgRatesDataTable811[[#This Row],[Rate]]-C16,M16)</f>
        <v>3.5000000000000142E-2</v>
      </c>
    </row>
    <row r="18" spans="1:13" s="75" customFormat="1">
      <c r="A18" s="73" t="s">
        <v>111</v>
      </c>
      <c r="B18" s="6">
        <v>2.61087975726997</v>
      </c>
      <c r="C18" s="6">
        <v>3.5150000000000001</v>
      </c>
      <c r="D18" s="75">
        <f t="shared" si="0"/>
        <v>1</v>
      </c>
      <c r="E18" s="75">
        <f t="shared" si="1"/>
        <v>0.2</v>
      </c>
      <c r="F18" s="75">
        <f t="shared" si="2"/>
        <v>1</v>
      </c>
      <c r="G18" s="75">
        <f t="shared" si="3"/>
        <v>0.52217595145399398</v>
      </c>
      <c r="H18" s="75">
        <f t="shared" si="4"/>
        <v>0.2</v>
      </c>
      <c r="I18" s="75">
        <f t="shared" si="5"/>
        <v>0</v>
      </c>
      <c r="J18" s="74">
        <f>IF(CurrentMtgRatesDataTable811[[#This Row],[WA CC]]&lt;&gt;0,C17-CurrentMtgRatesDataTable811[[#This Row],[WA CC]],0)</f>
        <v>0</v>
      </c>
      <c r="K18" s="74">
        <f>IF(CurrentMtgRatesDataTable811[[#This Row],[Servicing Spread]]&lt;=0,K17,CurrentMtgRatesDataTable811[[#This Row],[Servicing Spread]])</f>
        <v>0.93137135924501591</v>
      </c>
      <c r="L18" s="74">
        <f>CurrentMtgRatesDataTable811[[#This Row],[Servicing Spread Non-Zero]]-K17</f>
        <v>0</v>
      </c>
      <c r="M18" s="74">
        <f>IF(I17&lt;&gt;0,CurrentMtgRatesDataTable811[[#This Row],[Rate]]-C17,M17)</f>
        <v>3.5000000000000142E-2</v>
      </c>
    </row>
    <row r="19" spans="1:13" s="75" customFormat="1">
      <c r="A19" s="73" t="s">
        <v>112</v>
      </c>
      <c r="B19" s="6">
        <v>2.6144990771795702</v>
      </c>
      <c r="C19" s="6">
        <v>3.5150000000000001</v>
      </c>
      <c r="D19" s="75">
        <f t="shared" si="0"/>
        <v>2</v>
      </c>
      <c r="E19" s="75">
        <f t="shared" si="1"/>
        <v>0.2</v>
      </c>
      <c r="F19" s="75">
        <f t="shared" si="2"/>
        <v>2</v>
      </c>
      <c r="G19" s="75">
        <f t="shared" si="3"/>
        <v>1.045075766889908</v>
      </c>
      <c r="H19" s="75">
        <f t="shared" si="4"/>
        <v>0.4</v>
      </c>
      <c r="I19" s="75">
        <f t="shared" si="5"/>
        <v>0</v>
      </c>
      <c r="J19" s="74">
        <f>IF(CurrentMtgRatesDataTable811[[#This Row],[WA CC]]&lt;&gt;0,C18-CurrentMtgRatesDataTable811[[#This Row],[WA CC]],0)</f>
        <v>0</v>
      </c>
      <c r="K19" s="74">
        <f>IF(CurrentMtgRatesDataTable811[[#This Row],[Servicing Spread]]&lt;=0,K18,CurrentMtgRatesDataTable811[[#This Row],[Servicing Spread]])</f>
        <v>0.93137135924501591</v>
      </c>
      <c r="L19" s="74">
        <f>CurrentMtgRatesDataTable811[[#This Row],[Servicing Spread Non-Zero]]-K18</f>
        <v>0</v>
      </c>
      <c r="M19" s="74">
        <f>IF(I18&lt;&gt;0,CurrentMtgRatesDataTable811[[#This Row],[Rate]]-C18,M18)</f>
        <v>3.5000000000000142E-2</v>
      </c>
    </row>
    <row r="20" spans="1:13" s="75" customFormat="1">
      <c r="A20" s="73" t="s">
        <v>113</v>
      </c>
      <c r="B20" s="6">
        <v>2.6073788484172402</v>
      </c>
      <c r="C20" s="6">
        <v>3.5150000000000001</v>
      </c>
      <c r="D20" s="75">
        <f t="shared" si="0"/>
        <v>5</v>
      </c>
      <c r="E20" s="75">
        <f t="shared" si="1"/>
        <v>0.2</v>
      </c>
      <c r="F20" s="75">
        <f t="shared" si="2"/>
        <v>3</v>
      </c>
      <c r="G20" s="75">
        <f t="shared" si="3"/>
        <v>1.566551536573356</v>
      </c>
      <c r="H20" s="75">
        <f t="shared" si="4"/>
        <v>0.60000000000000009</v>
      </c>
      <c r="I20" s="75">
        <f t="shared" si="5"/>
        <v>0</v>
      </c>
      <c r="J20" s="74">
        <f>IF(CurrentMtgRatesDataTable811[[#This Row],[WA CC]]&lt;&gt;0,C19-CurrentMtgRatesDataTable811[[#This Row],[WA CC]],0)</f>
        <v>0</v>
      </c>
      <c r="K20" s="74">
        <f>IF(CurrentMtgRatesDataTable811[[#This Row],[Servicing Spread]]&lt;=0,K19,CurrentMtgRatesDataTable811[[#This Row],[Servicing Spread]])</f>
        <v>0.93137135924501591</v>
      </c>
      <c r="L20" s="74">
        <f>CurrentMtgRatesDataTable811[[#This Row],[Servicing Spread Non-Zero]]-K19</f>
        <v>0</v>
      </c>
      <c r="M20" s="74">
        <f>IF(I19&lt;&gt;0,CurrentMtgRatesDataTable811[[#This Row],[Rate]]-C19,M19)</f>
        <v>3.5000000000000142E-2</v>
      </c>
    </row>
    <row r="21" spans="1:13" s="75" customFormat="1">
      <c r="A21" s="73" t="s">
        <v>114</v>
      </c>
      <c r="B21" s="6">
        <v>2.6240146186215201</v>
      </c>
      <c r="C21" s="6">
        <v>3.5150000000000001</v>
      </c>
      <c r="D21" s="75">
        <f t="shared" si="0"/>
        <v>6</v>
      </c>
      <c r="E21" s="75">
        <f t="shared" si="1"/>
        <v>0.2</v>
      </c>
      <c r="F21" s="75">
        <f t="shared" si="2"/>
        <v>4</v>
      </c>
      <c r="G21" s="75">
        <f t="shared" si="3"/>
        <v>2.0913544602976599</v>
      </c>
      <c r="H21" s="75">
        <f t="shared" si="4"/>
        <v>0.8</v>
      </c>
      <c r="I21" s="75">
        <f t="shared" si="5"/>
        <v>0</v>
      </c>
      <c r="J21" s="74">
        <f>IF(CurrentMtgRatesDataTable811[[#This Row],[WA CC]]&lt;&gt;0,C20-CurrentMtgRatesDataTable811[[#This Row],[WA CC]],0)</f>
        <v>0</v>
      </c>
      <c r="K21" s="74">
        <f>IF(CurrentMtgRatesDataTable811[[#This Row],[Servicing Spread]]&lt;=0,K20,CurrentMtgRatesDataTable811[[#This Row],[Servicing Spread]])</f>
        <v>0.93137135924501591</v>
      </c>
      <c r="L21" s="74">
        <f>CurrentMtgRatesDataTable811[[#This Row],[Servicing Spread Non-Zero]]-K20</f>
        <v>0</v>
      </c>
      <c r="M21" s="74">
        <f>IF(I20&lt;&gt;0,CurrentMtgRatesDataTable811[[#This Row],[Rate]]-C20,M20)</f>
        <v>3.5000000000000142E-2</v>
      </c>
    </row>
    <row r="22" spans="1:13" s="75" customFormat="1">
      <c r="A22" s="88" t="s">
        <v>115</v>
      </c>
      <c r="B22" s="89">
        <v>2.6451164330337602</v>
      </c>
      <c r="C22" s="90">
        <v>3.5150000000000001</v>
      </c>
      <c r="D22" s="87">
        <f t="shared" si="0"/>
        <v>7</v>
      </c>
      <c r="E22" s="87">
        <f t="shared" si="1"/>
        <v>0.2</v>
      </c>
      <c r="F22" s="87">
        <f t="shared" si="2"/>
        <v>5</v>
      </c>
      <c r="G22" s="87">
        <f t="shared" si="3"/>
        <v>2.6203777469044121</v>
      </c>
      <c r="H22" s="87">
        <f t="shared" si="4"/>
        <v>1</v>
      </c>
      <c r="I22" s="87">
        <f t="shared" si="5"/>
        <v>2.6203777469044121</v>
      </c>
      <c r="J22" s="87">
        <f>IF(CurrentMtgRatesDataTable811[[#This Row],[WA CC]]&lt;&gt;0,C21-CurrentMtgRatesDataTable811[[#This Row],[WA CC]],0)</f>
        <v>0.89462225309558807</v>
      </c>
      <c r="K22" s="87">
        <f>IF(CurrentMtgRatesDataTable811[[#This Row],[Servicing Spread]]&lt;=0,K21,CurrentMtgRatesDataTable811[[#This Row],[Servicing Spread]])</f>
        <v>0.89462225309558807</v>
      </c>
      <c r="L22" s="87">
        <f>CurrentMtgRatesDataTable811[[#This Row],[Servicing Spread Non-Zero]]-K21</f>
        <v>-3.6749106149427835E-2</v>
      </c>
      <c r="M22" s="87">
        <f>IF(I21&lt;&gt;0,CurrentMtgRatesDataTable811[[#This Row],[Rate]]-C21,M21)</f>
        <v>3.5000000000000142E-2</v>
      </c>
    </row>
    <row r="23" spans="1:13" s="75" customFormat="1">
      <c r="A23" s="104" t="s">
        <v>116</v>
      </c>
      <c r="B23" s="105">
        <v>2.59920787607486</v>
      </c>
      <c r="C23" s="106">
        <v>3.5350000000000001</v>
      </c>
      <c r="D23" s="107">
        <f t="shared" si="0"/>
        <v>1</v>
      </c>
      <c r="E23" s="107">
        <f t="shared" si="1"/>
        <v>0.2</v>
      </c>
      <c r="F23" s="107">
        <f t="shared" si="2"/>
        <v>1</v>
      </c>
      <c r="G23" s="107">
        <f t="shared" si="3"/>
        <v>0.51984157521497198</v>
      </c>
      <c r="H23" s="107">
        <f t="shared" si="4"/>
        <v>0.2</v>
      </c>
      <c r="I23" s="107">
        <f t="shared" si="5"/>
        <v>0</v>
      </c>
      <c r="J23" s="107">
        <f>IF(CurrentMtgRatesDataTable811[[#This Row],[WA CC]]&lt;&gt;0,C22-CurrentMtgRatesDataTable811[[#This Row],[WA CC]],0)</f>
        <v>0</v>
      </c>
      <c r="K23" s="107">
        <f>IF(CurrentMtgRatesDataTable811[[#This Row],[Servicing Spread]]&lt;=0,K22,CurrentMtgRatesDataTable811[[#This Row],[Servicing Spread]])</f>
        <v>0.89462225309558807</v>
      </c>
      <c r="L23" s="107">
        <f>CurrentMtgRatesDataTable811[[#This Row],[Servicing Spread Non-Zero]]-K22</f>
        <v>0</v>
      </c>
      <c r="M23" s="107">
        <f>IF(I22&lt;&gt;0,CurrentMtgRatesDataTable811[[#This Row],[Rate]]-C22,M22)</f>
        <v>2.0000000000000018E-2</v>
      </c>
    </row>
    <row r="24" spans="1:13" s="75" customFormat="1">
      <c r="A24" s="104" t="s">
        <v>117</v>
      </c>
      <c r="B24" s="105">
        <v>2.6025934291599802</v>
      </c>
      <c r="C24" s="106">
        <v>3.5350000000000001</v>
      </c>
      <c r="D24" s="107">
        <f t="shared" si="0"/>
        <v>2</v>
      </c>
      <c r="E24" s="107">
        <f t="shared" si="1"/>
        <v>0.2</v>
      </c>
      <c r="F24" s="107">
        <f t="shared" si="2"/>
        <v>2</v>
      </c>
      <c r="G24" s="107">
        <f t="shared" si="3"/>
        <v>1.040360261046968</v>
      </c>
      <c r="H24" s="107">
        <f t="shared" si="4"/>
        <v>0.4</v>
      </c>
      <c r="I24" s="107">
        <f t="shared" si="5"/>
        <v>0</v>
      </c>
      <c r="J24" s="107">
        <f>IF(CurrentMtgRatesDataTable811[[#This Row],[WA CC]]&lt;&gt;0,C23-CurrentMtgRatesDataTable811[[#This Row],[WA CC]],0)</f>
        <v>0</v>
      </c>
      <c r="K24" s="107">
        <f>IF(CurrentMtgRatesDataTable811[[#This Row],[Servicing Spread]]&lt;=0,K23,CurrentMtgRatesDataTable811[[#This Row],[Servicing Spread]])</f>
        <v>0.89462225309558807</v>
      </c>
      <c r="L24" s="107">
        <f>CurrentMtgRatesDataTable811[[#This Row],[Servicing Spread Non-Zero]]-K23</f>
        <v>0</v>
      </c>
      <c r="M24" s="107">
        <f>IF(I23&lt;&gt;0,CurrentMtgRatesDataTable811[[#This Row],[Rate]]-C23,M23)</f>
        <v>2.0000000000000018E-2</v>
      </c>
    </row>
    <row r="25" spans="1:13" s="75" customFormat="1">
      <c r="A25" s="104" t="s">
        <v>118</v>
      </c>
      <c r="B25" s="105">
        <v>2.5912536258674699</v>
      </c>
      <c r="C25" s="106">
        <v>3.5350000000000001</v>
      </c>
      <c r="D25" s="107">
        <f t="shared" si="0"/>
        <v>6</v>
      </c>
      <c r="E25" s="107">
        <f t="shared" si="1"/>
        <v>0.2</v>
      </c>
      <c r="F25" s="107">
        <f t="shared" si="2"/>
        <v>3</v>
      </c>
      <c r="G25" s="107">
        <f t="shared" si="3"/>
        <v>1.558610986220462</v>
      </c>
      <c r="H25" s="107">
        <f t="shared" si="4"/>
        <v>0.60000000000000009</v>
      </c>
      <c r="I25" s="107">
        <f t="shared" si="5"/>
        <v>0</v>
      </c>
      <c r="J25" s="107">
        <f>IF(CurrentMtgRatesDataTable811[[#This Row],[WA CC]]&lt;&gt;0,C24-CurrentMtgRatesDataTable811[[#This Row],[WA CC]],0)</f>
        <v>0</v>
      </c>
      <c r="K25" s="107">
        <f>IF(CurrentMtgRatesDataTable811[[#This Row],[Servicing Spread]]&lt;=0,K24,CurrentMtgRatesDataTable811[[#This Row],[Servicing Spread]])</f>
        <v>0.89462225309558807</v>
      </c>
      <c r="L25" s="107">
        <f>CurrentMtgRatesDataTable811[[#This Row],[Servicing Spread Non-Zero]]-K24</f>
        <v>0</v>
      </c>
      <c r="M25" s="107">
        <f>IF(I24&lt;&gt;0,CurrentMtgRatesDataTable811[[#This Row],[Rate]]-C24,M24)</f>
        <v>2.0000000000000018E-2</v>
      </c>
    </row>
    <row r="26" spans="1:13" s="75" customFormat="1">
      <c r="A26" s="104" t="s">
        <v>120</v>
      </c>
      <c r="B26" s="105">
        <v>2.6061508171936398</v>
      </c>
      <c r="C26" s="106">
        <v>3.5350000000000001</v>
      </c>
      <c r="D26" s="107">
        <f t="shared" si="0"/>
        <v>7</v>
      </c>
      <c r="E26" s="107">
        <f t="shared" si="1"/>
        <v>0.2</v>
      </c>
      <c r="F26" s="107">
        <f t="shared" si="2"/>
        <v>4</v>
      </c>
      <c r="G26" s="107">
        <f t="shared" si="3"/>
        <v>2.07984114965919</v>
      </c>
      <c r="H26" s="107">
        <f t="shared" si="4"/>
        <v>0.8</v>
      </c>
      <c r="I26" s="107">
        <f t="shared" si="5"/>
        <v>2.5998014370739875</v>
      </c>
      <c r="J26" s="107">
        <f>IF(CurrentMtgRatesDataTable811[[#This Row],[WA CC]]&lt;&gt;0,C25-CurrentMtgRatesDataTable811[[#This Row],[WA CC]],0)</f>
        <v>0.93519856292601267</v>
      </c>
      <c r="K26" s="107">
        <f>IF(CurrentMtgRatesDataTable811[[#This Row],[Servicing Spread]]&lt;=0,K25,CurrentMtgRatesDataTable811[[#This Row],[Servicing Spread]])</f>
        <v>0.93519856292601267</v>
      </c>
      <c r="L26" s="107">
        <f>CurrentMtgRatesDataTable811[[#This Row],[Servicing Spread Non-Zero]]-K25</f>
        <v>4.0576309830424595E-2</v>
      </c>
      <c r="M26" s="107">
        <f>IF(I25&lt;&gt;0,CurrentMtgRatesDataTable811[[#This Row],[Rate]]-C25,M25)</f>
        <v>2.0000000000000018E-2</v>
      </c>
    </row>
    <row r="27" spans="1:13" s="75" customFormat="1">
      <c r="A27" s="104" t="s">
        <v>121</v>
      </c>
      <c r="B27" s="105">
        <v>2.5951614206570599</v>
      </c>
      <c r="C27" s="106">
        <v>3.4750000000000001</v>
      </c>
      <c r="D27" s="107">
        <f t="shared" si="0"/>
        <v>1</v>
      </c>
      <c r="E27" s="107">
        <f t="shared" si="1"/>
        <v>0.2</v>
      </c>
      <c r="F27" s="107">
        <f t="shared" si="2"/>
        <v>1</v>
      </c>
      <c r="G27" s="107">
        <f t="shared" si="3"/>
        <v>0.519032284131412</v>
      </c>
      <c r="H27" s="107">
        <f t="shared" si="4"/>
        <v>0.2</v>
      </c>
      <c r="I27" s="107">
        <f t="shared" si="5"/>
        <v>0</v>
      </c>
      <c r="J27" s="107">
        <f>IF(CurrentMtgRatesDataTable811[[#This Row],[WA CC]]&lt;&gt;0,C26-CurrentMtgRatesDataTable811[[#This Row],[WA CC]],0)</f>
        <v>0</v>
      </c>
      <c r="K27" s="107">
        <f>IF(CurrentMtgRatesDataTable811[[#This Row],[Servicing Spread]]&lt;=0,K26,CurrentMtgRatesDataTable811[[#This Row],[Servicing Spread]])</f>
        <v>0.93519856292601267</v>
      </c>
      <c r="L27" s="107">
        <f>CurrentMtgRatesDataTable811[[#This Row],[Servicing Spread Non-Zero]]-K26</f>
        <v>0</v>
      </c>
      <c r="M27" s="107">
        <f>IF(I26&lt;&gt;0,CurrentMtgRatesDataTable811[[#This Row],[Rate]]-C26,M26)</f>
        <v>-6.0000000000000053E-2</v>
      </c>
    </row>
    <row r="28" spans="1:13" s="75" customFormat="1">
      <c r="A28" s="104" t="s">
        <v>122</v>
      </c>
      <c r="B28" s="105">
        <v>2.50110738001568</v>
      </c>
      <c r="C28" s="106">
        <v>3.4750000000000001</v>
      </c>
      <c r="D28" s="107">
        <f t="shared" si="0"/>
        <v>2</v>
      </c>
      <c r="E28" s="107">
        <f t="shared" si="1"/>
        <v>0.2</v>
      </c>
      <c r="F28" s="107">
        <f t="shared" si="2"/>
        <v>2</v>
      </c>
      <c r="G28" s="107">
        <f t="shared" si="3"/>
        <v>1.0192537601345482</v>
      </c>
      <c r="H28" s="107">
        <f t="shared" si="4"/>
        <v>0.4</v>
      </c>
      <c r="I28" s="107">
        <f t="shared" si="5"/>
        <v>0</v>
      </c>
      <c r="J28" s="107">
        <f>IF(CurrentMtgRatesDataTable811[[#This Row],[WA CC]]&lt;&gt;0,C27-CurrentMtgRatesDataTable811[[#This Row],[WA CC]],0)</f>
        <v>0</v>
      </c>
      <c r="K28" s="107">
        <f>IF(CurrentMtgRatesDataTable811[[#This Row],[Servicing Spread]]&lt;=0,K27,CurrentMtgRatesDataTable811[[#This Row],[Servicing Spread]])</f>
        <v>0.93519856292601267</v>
      </c>
      <c r="L28" s="107">
        <f>CurrentMtgRatesDataTable811[[#This Row],[Servicing Spread Non-Zero]]-K27</f>
        <v>0</v>
      </c>
      <c r="M28" s="107">
        <f>IF(I27&lt;&gt;0,CurrentMtgRatesDataTable811[[#This Row],[Rate]]-C27,M27)</f>
        <v>-6.0000000000000053E-2</v>
      </c>
    </row>
    <row r="29" spans="1:13" s="75" customFormat="1">
      <c r="A29" s="104" t="s">
        <v>123</v>
      </c>
      <c r="B29" s="105">
        <v>2.50890733570674</v>
      </c>
      <c r="C29" s="106">
        <v>3.4750000000000001</v>
      </c>
      <c r="D29" s="107">
        <f t="shared" si="0"/>
        <v>5</v>
      </c>
      <c r="E29" s="107">
        <f t="shared" si="1"/>
        <v>0.2</v>
      </c>
      <c r="F29" s="107">
        <f t="shared" si="2"/>
        <v>3</v>
      </c>
      <c r="G29" s="107">
        <f t="shared" si="3"/>
        <v>1.5210352272758962</v>
      </c>
      <c r="H29" s="107">
        <f t="shared" si="4"/>
        <v>0.60000000000000009</v>
      </c>
      <c r="I29" s="107">
        <f t="shared" si="5"/>
        <v>0</v>
      </c>
      <c r="J29" s="107">
        <f>IF(CurrentMtgRatesDataTable811[[#This Row],[WA CC]]&lt;&gt;0,C28-CurrentMtgRatesDataTable811[[#This Row],[WA CC]],0)</f>
        <v>0</v>
      </c>
      <c r="K29" s="107">
        <f>IF(CurrentMtgRatesDataTable811[[#This Row],[Servicing Spread]]&lt;=0,K28,CurrentMtgRatesDataTable811[[#This Row],[Servicing Spread]])</f>
        <v>0.93519856292601267</v>
      </c>
      <c r="L29" s="107">
        <f>CurrentMtgRatesDataTable811[[#This Row],[Servicing Spread Non-Zero]]-K28</f>
        <v>0</v>
      </c>
      <c r="M29" s="107">
        <f>IF(I28&lt;&gt;0,CurrentMtgRatesDataTable811[[#This Row],[Rate]]-C28,M28)</f>
        <v>-6.0000000000000053E-2</v>
      </c>
    </row>
    <row r="30" spans="1:13" s="75" customFormat="1">
      <c r="A30" s="104" t="s">
        <v>124</v>
      </c>
      <c r="B30" s="105">
        <v>2.5084011199927301</v>
      </c>
      <c r="C30" s="106">
        <v>3.4750000000000001</v>
      </c>
      <c r="D30" s="107">
        <f t="shared" si="0"/>
        <v>6</v>
      </c>
      <c r="E30" s="107">
        <f t="shared" si="1"/>
        <v>0.2</v>
      </c>
      <c r="F30" s="107">
        <f t="shared" si="2"/>
        <v>4</v>
      </c>
      <c r="G30" s="107">
        <f t="shared" si="3"/>
        <v>2.0227154512744425</v>
      </c>
      <c r="H30" s="107">
        <f t="shared" si="4"/>
        <v>0.8</v>
      </c>
      <c r="I30" s="107">
        <f t="shared" si="5"/>
        <v>0</v>
      </c>
      <c r="J30" s="107">
        <f>IF(CurrentMtgRatesDataTable811[[#This Row],[WA CC]]&lt;&gt;0,C29-CurrentMtgRatesDataTable811[[#This Row],[WA CC]],0)</f>
        <v>0</v>
      </c>
      <c r="K30" s="107">
        <f>IF(CurrentMtgRatesDataTable811[[#This Row],[Servicing Spread]]&lt;=0,K29,CurrentMtgRatesDataTable811[[#This Row],[Servicing Spread]])</f>
        <v>0.93519856292601267</v>
      </c>
      <c r="L30" s="107">
        <f>CurrentMtgRatesDataTable811[[#This Row],[Servicing Spread Non-Zero]]-K29</f>
        <v>0</v>
      </c>
      <c r="M30" s="107">
        <f>IF(I29&lt;&gt;0,CurrentMtgRatesDataTable811[[#This Row],[Rate]]-C29,M29)</f>
        <v>-6.0000000000000053E-2</v>
      </c>
    </row>
    <row r="31" spans="1:13" s="75" customFormat="1">
      <c r="A31" s="104" t="s">
        <v>125</v>
      </c>
      <c r="B31" s="105">
        <v>2.5005077726390401</v>
      </c>
      <c r="C31" s="106">
        <v>3.4750000000000001</v>
      </c>
      <c r="D31" s="107">
        <f t="shared" si="0"/>
        <v>7</v>
      </c>
      <c r="E31" s="107">
        <f t="shared" si="1"/>
        <v>0.2</v>
      </c>
      <c r="F31" s="107">
        <f t="shared" si="2"/>
        <v>5</v>
      </c>
      <c r="G31" s="107">
        <f t="shared" si="3"/>
        <v>2.5228170058022505</v>
      </c>
      <c r="H31" s="107">
        <f t="shared" si="4"/>
        <v>1</v>
      </c>
      <c r="I31" s="107">
        <f t="shared" si="5"/>
        <v>2.5228170058022505</v>
      </c>
      <c r="J31" s="107">
        <f>IF(CurrentMtgRatesDataTable811[[#This Row],[WA CC]]&lt;&gt;0,C30-CurrentMtgRatesDataTable811[[#This Row],[WA CC]],0)</f>
        <v>0.95218299419774954</v>
      </c>
      <c r="K31" s="107">
        <f>IF(CurrentMtgRatesDataTable811[[#This Row],[Servicing Spread]]&lt;=0,K30,CurrentMtgRatesDataTable811[[#This Row],[Servicing Spread]])</f>
        <v>0.95218299419774954</v>
      </c>
      <c r="L31" s="107">
        <f>CurrentMtgRatesDataTable811[[#This Row],[Servicing Spread Non-Zero]]-K30</f>
        <v>1.6984431271736877E-2</v>
      </c>
      <c r="M31" s="107">
        <f>IF(I30&lt;&gt;0,CurrentMtgRatesDataTable811[[#This Row],[Rate]]-C30,M30)</f>
        <v>-6.0000000000000053E-2</v>
      </c>
    </row>
    <row r="32" spans="1:13" s="75" customFormat="1">
      <c r="A32" s="112" t="s">
        <v>126</v>
      </c>
      <c r="B32" s="113">
        <v>2.4857330932558601</v>
      </c>
      <c r="C32" s="114">
        <v>3.415</v>
      </c>
      <c r="D32" s="111">
        <f t="shared" si="0"/>
        <v>1</v>
      </c>
      <c r="E32" s="111">
        <f t="shared" si="1"/>
        <v>0.2</v>
      </c>
      <c r="F32" s="111">
        <f t="shared" si="2"/>
        <v>1</v>
      </c>
      <c r="G32" s="111">
        <f t="shared" si="3"/>
        <v>0.49714661865117205</v>
      </c>
      <c r="H32" s="111">
        <f t="shared" si="4"/>
        <v>0.2</v>
      </c>
      <c r="I32" s="111">
        <f t="shared" si="5"/>
        <v>0</v>
      </c>
      <c r="J32" s="111">
        <f>IF(CurrentMtgRatesDataTable811[[#This Row],[WA CC]]&lt;&gt;0,C31-CurrentMtgRatesDataTable811[[#This Row],[WA CC]],0)</f>
        <v>0</v>
      </c>
      <c r="K32" s="111">
        <f>IF(CurrentMtgRatesDataTable811[[#This Row],[Servicing Spread]]&lt;=0,K31,CurrentMtgRatesDataTable811[[#This Row],[Servicing Spread]])</f>
        <v>0.95218299419774954</v>
      </c>
      <c r="L32" s="111">
        <f>CurrentMtgRatesDataTable811[[#This Row],[Servicing Spread Non-Zero]]-K31</f>
        <v>0</v>
      </c>
      <c r="M32" s="111">
        <f>IF(I31&lt;&gt;0,CurrentMtgRatesDataTable811[[#This Row],[Rate]]-C31,M31)</f>
        <v>-6.0000000000000053E-2</v>
      </c>
    </row>
    <row r="33" spans="1:22" s="75" customFormat="1">
      <c r="A33" s="112" t="s">
        <v>127</v>
      </c>
      <c r="B33" s="113">
        <v>2.4694934611032302</v>
      </c>
      <c r="C33" s="114">
        <v>3.415</v>
      </c>
      <c r="D33" s="111">
        <f t="shared" si="0"/>
        <v>2</v>
      </c>
      <c r="E33" s="111">
        <f t="shared" si="1"/>
        <v>0.2</v>
      </c>
      <c r="F33" s="111">
        <f t="shared" si="2"/>
        <v>2</v>
      </c>
      <c r="G33" s="111">
        <f t="shared" si="3"/>
        <v>0.99104531087181813</v>
      </c>
      <c r="H33" s="111">
        <f t="shared" si="4"/>
        <v>0.4</v>
      </c>
      <c r="I33" s="111">
        <f t="shared" si="5"/>
        <v>0</v>
      </c>
      <c r="J33" s="111">
        <f>IF(CurrentMtgRatesDataTable811[[#This Row],[WA CC]]&lt;&gt;0,C32-CurrentMtgRatesDataTable811[[#This Row],[WA CC]],0)</f>
        <v>0</v>
      </c>
      <c r="K33" s="111">
        <f>IF(CurrentMtgRatesDataTable811[[#This Row],[Servicing Spread]]&lt;=0,K32,CurrentMtgRatesDataTable811[[#This Row],[Servicing Spread]])</f>
        <v>0.95218299419774954</v>
      </c>
      <c r="L33" s="111">
        <f>CurrentMtgRatesDataTable811[[#This Row],[Servicing Spread Non-Zero]]-K32</f>
        <v>0</v>
      </c>
      <c r="M33" s="111">
        <f>IF(I32&lt;&gt;0,CurrentMtgRatesDataTable811[[#This Row],[Rate]]-C32,M32)</f>
        <v>-6.0000000000000053E-2</v>
      </c>
    </row>
    <row r="34" spans="1:22" s="75" customFormat="1">
      <c r="A34" s="112" t="s">
        <v>128</v>
      </c>
      <c r="B34" s="113">
        <v>2.45908468763596</v>
      </c>
      <c r="C34" s="114">
        <v>3.415</v>
      </c>
      <c r="D34" s="111">
        <f t="shared" si="0"/>
        <v>5</v>
      </c>
      <c r="E34" s="111">
        <f t="shared" si="1"/>
        <v>0.2</v>
      </c>
      <c r="F34" s="111">
        <f t="shared" si="2"/>
        <v>3</v>
      </c>
      <c r="G34" s="111">
        <f t="shared" si="3"/>
        <v>1.4828622483990102</v>
      </c>
      <c r="H34" s="111">
        <f t="shared" si="4"/>
        <v>0.60000000000000009</v>
      </c>
      <c r="I34" s="111">
        <f t="shared" si="5"/>
        <v>0</v>
      </c>
      <c r="J34" s="111">
        <f>IF(CurrentMtgRatesDataTable811[[#This Row],[WA CC]]&lt;&gt;0,C33-CurrentMtgRatesDataTable811[[#This Row],[WA CC]],0)</f>
        <v>0</v>
      </c>
      <c r="K34" s="111">
        <f>IF(CurrentMtgRatesDataTable811[[#This Row],[Servicing Spread]]&lt;=0,K33,CurrentMtgRatesDataTable811[[#This Row],[Servicing Spread]])</f>
        <v>0.95218299419774954</v>
      </c>
      <c r="L34" s="111">
        <f>CurrentMtgRatesDataTable811[[#This Row],[Servicing Spread Non-Zero]]-K33</f>
        <v>0</v>
      </c>
      <c r="M34" s="111">
        <f>IF(I33&lt;&gt;0,CurrentMtgRatesDataTable811[[#This Row],[Rate]]-C33,M33)</f>
        <v>-6.0000000000000053E-2</v>
      </c>
    </row>
    <row r="35" spans="1:22" s="75" customFormat="1">
      <c r="A35" s="112" t="s">
        <v>129</v>
      </c>
      <c r="B35" s="113">
        <v>2.46769011076751</v>
      </c>
      <c r="C35" s="114">
        <v>3.415</v>
      </c>
      <c r="D35" s="111">
        <f t="shared" si="0"/>
        <v>6</v>
      </c>
      <c r="E35" s="111">
        <f t="shared" si="1"/>
        <v>0.2</v>
      </c>
      <c r="F35" s="111">
        <f t="shared" si="2"/>
        <v>4</v>
      </c>
      <c r="G35" s="111">
        <f t="shared" si="3"/>
        <v>1.9764002705525121</v>
      </c>
      <c r="H35" s="111">
        <f t="shared" si="4"/>
        <v>0.8</v>
      </c>
      <c r="I35" s="111">
        <f t="shared" si="5"/>
        <v>0</v>
      </c>
      <c r="J35" s="111">
        <f>IF(CurrentMtgRatesDataTable811[[#This Row],[WA CC]]&lt;&gt;0,C34-CurrentMtgRatesDataTable811[[#This Row],[WA CC]],0)</f>
        <v>0</v>
      </c>
      <c r="K35" s="111">
        <f>IF(CurrentMtgRatesDataTable811[[#This Row],[Servicing Spread]]&lt;=0,K34,CurrentMtgRatesDataTable811[[#This Row],[Servicing Spread]])</f>
        <v>0.95218299419774954</v>
      </c>
      <c r="L35" s="111">
        <f>CurrentMtgRatesDataTable811[[#This Row],[Servicing Spread Non-Zero]]-K34</f>
        <v>0</v>
      </c>
      <c r="M35" s="111">
        <f>IF(I34&lt;&gt;0,CurrentMtgRatesDataTable811[[#This Row],[Rate]]-C34,M34)</f>
        <v>-6.0000000000000053E-2</v>
      </c>
    </row>
    <row r="36" spans="1:22" s="75" customFormat="1">
      <c r="A36" s="112" t="s">
        <v>130</v>
      </c>
      <c r="B36" s="113">
        <v>2.45037012960805</v>
      </c>
      <c r="C36" s="114">
        <v>3.415</v>
      </c>
      <c r="D36" s="111">
        <f t="shared" si="0"/>
        <v>7</v>
      </c>
      <c r="E36" s="111">
        <f t="shared" si="1"/>
        <v>0.2</v>
      </c>
      <c r="F36" s="111">
        <f t="shared" si="2"/>
        <v>5</v>
      </c>
      <c r="G36" s="111">
        <f t="shared" si="3"/>
        <v>2.466474296474122</v>
      </c>
      <c r="H36" s="111">
        <f t="shared" si="4"/>
        <v>1</v>
      </c>
      <c r="I36" s="111">
        <f t="shared" si="5"/>
        <v>2.466474296474122</v>
      </c>
      <c r="J36" s="111">
        <f>IF(CurrentMtgRatesDataTable811[[#This Row],[WA CC]]&lt;&gt;0,C35-CurrentMtgRatesDataTable811[[#This Row],[WA CC]],0)</f>
        <v>0.94852570352587806</v>
      </c>
      <c r="K36" s="111">
        <f>IF(CurrentMtgRatesDataTable811[[#This Row],[Servicing Spread]]&lt;=0,K35,CurrentMtgRatesDataTable811[[#This Row],[Servicing Spread]])</f>
        <v>0.94852570352587806</v>
      </c>
      <c r="L36" s="111">
        <f>CurrentMtgRatesDataTable811[[#This Row],[Servicing Spread Non-Zero]]-K35</f>
        <v>-3.6572906718714826E-3</v>
      </c>
      <c r="M36" s="111">
        <f>IF(I35&lt;&gt;0,CurrentMtgRatesDataTable811[[#This Row],[Rate]]-C35,M35)</f>
        <v>-6.0000000000000053E-2</v>
      </c>
    </row>
    <row r="37" spans="1:22" s="75" customFormat="1">
      <c r="A37" s="112" t="s">
        <v>131</v>
      </c>
      <c r="B37" s="113">
        <v>2.4315261347107602</v>
      </c>
      <c r="C37" s="114">
        <v>3.46</v>
      </c>
      <c r="D37" s="111">
        <f t="shared" si="0"/>
        <v>1</v>
      </c>
      <c r="E37" s="111">
        <f t="shared" si="1"/>
        <v>0.2</v>
      </c>
      <c r="F37" s="111">
        <f t="shared" si="2"/>
        <v>1</v>
      </c>
      <c r="G37" s="111">
        <f t="shared" si="3"/>
        <v>0.48630522694215206</v>
      </c>
      <c r="H37" s="111">
        <f t="shared" si="4"/>
        <v>0.2</v>
      </c>
      <c r="I37" s="111">
        <f t="shared" si="5"/>
        <v>0</v>
      </c>
      <c r="J37" s="111">
        <f>IF(CurrentMtgRatesDataTable811[[#This Row],[WA CC]]&lt;&gt;0,C36-CurrentMtgRatesDataTable811[[#This Row],[WA CC]],0)</f>
        <v>0</v>
      </c>
      <c r="K37" s="111">
        <f>IF(CurrentMtgRatesDataTable811[[#This Row],[Servicing Spread]]&lt;=0,K36,CurrentMtgRatesDataTable811[[#This Row],[Servicing Spread]])</f>
        <v>0.94852570352587806</v>
      </c>
      <c r="L37" s="111">
        <f>CurrentMtgRatesDataTable811[[#This Row],[Servicing Spread Non-Zero]]-K36</f>
        <v>0</v>
      </c>
      <c r="M37" s="111">
        <f>IF(I36&lt;&gt;0,CurrentMtgRatesDataTable811[[#This Row],[Rate]]-C36,M36)</f>
        <v>4.4999999999999929E-2</v>
      </c>
    </row>
    <row r="38" spans="1:22" s="75" customFormat="1">
      <c r="A38" s="112" t="s">
        <v>132</v>
      </c>
      <c r="B38" s="113">
        <v>2.47900822312821</v>
      </c>
      <c r="C38" s="114">
        <v>3.46</v>
      </c>
      <c r="D38" s="111">
        <f t="shared" si="0"/>
        <v>2</v>
      </c>
      <c r="E38" s="111">
        <f t="shared" si="1"/>
        <v>0.2</v>
      </c>
      <c r="F38" s="111">
        <f t="shared" si="2"/>
        <v>2</v>
      </c>
      <c r="G38" s="111">
        <f t="shared" si="3"/>
        <v>0.98210687156779408</v>
      </c>
      <c r="H38" s="111">
        <f t="shared" si="4"/>
        <v>0.4</v>
      </c>
      <c r="I38" s="111">
        <f t="shared" si="5"/>
        <v>0</v>
      </c>
      <c r="J38" s="111">
        <f>IF(CurrentMtgRatesDataTable811[[#This Row],[WA CC]]&lt;&gt;0,C37-CurrentMtgRatesDataTable811[[#This Row],[WA CC]],0)</f>
        <v>0</v>
      </c>
      <c r="K38" s="111">
        <f>IF(CurrentMtgRatesDataTable811[[#This Row],[Servicing Spread]]&lt;=0,K37,CurrentMtgRatesDataTable811[[#This Row],[Servicing Spread]])</f>
        <v>0.94852570352587806</v>
      </c>
      <c r="L38" s="111">
        <f>CurrentMtgRatesDataTable811[[#This Row],[Servicing Spread Non-Zero]]-K37</f>
        <v>0</v>
      </c>
      <c r="M38" s="111">
        <f>IF(I37&lt;&gt;0,CurrentMtgRatesDataTable811[[#This Row],[Rate]]-C37,M37)</f>
        <v>4.4999999999999929E-2</v>
      </c>
    </row>
    <row r="39" spans="1:22" s="75" customFormat="1">
      <c r="A39" s="112" t="s">
        <v>133</v>
      </c>
      <c r="B39" s="113">
        <v>2.50328408923819</v>
      </c>
      <c r="C39" s="114">
        <v>3.46</v>
      </c>
      <c r="D39" s="111">
        <f t="shared" si="0"/>
        <v>5</v>
      </c>
      <c r="E39" s="111">
        <f t="shared" si="1"/>
        <v>0.2</v>
      </c>
      <c r="F39" s="111">
        <f t="shared" si="2"/>
        <v>3</v>
      </c>
      <c r="G39" s="111">
        <f t="shared" si="3"/>
        <v>1.4827636894154321</v>
      </c>
      <c r="H39" s="111">
        <f t="shared" si="4"/>
        <v>0.60000000000000009</v>
      </c>
      <c r="I39" s="111">
        <f t="shared" si="5"/>
        <v>0</v>
      </c>
      <c r="J39" s="111">
        <f>IF(CurrentMtgRatesDataTable811[[#This Row],[WA CC]]&lt;&gt;0,C38-CurrentMtgRatesDataTable811[[#This Row],[WA CC]],0)</f>
        <v>0</v>
      </c>
      <c r="K39" s="111">
        <f>IF(CurrentMtgRatesDataTable811[[#This Row],[Servicing Spread]]&lt;=0,K38,CurrentMtgRatesDataTable811[[#This Row],[Servicing Spread]])</f>
        <v>0.94852570352587806</v>
      </c>
      <c r="L39" s="111">
        <f>CurrentMtgRatesDataTable811[[#This Row],[Servicing Spread Non-Zero]]-K38</f>
        <v>0</v>
      </c>
      <c r="M39" s="111">
        <f>IF(I38&lt;&gt;0,CurrentMtgRatesDataTable811[[#This Row],[Rate]]-C38,M38)</f>
        <v>4.4999999999999929E-2</v>
      </c>
    </row>
    <row r="40" spans="1:22" s="75" customFormat="1">
      <c r="A40" s="112" t="s">
        <v>134</v>
      </c>
      <c r="B40" s="113">
        <v>2.5153297074650598</v>
      </c>
      <c r="C40" s="114">
        <v>3.46</v>
      </c>
      <c r="D40" s="111">
        <f t="shared" si="0"/>
        <v>6</v>
      </c>
      <c r="E40" s="111">
        <f t="shared" si="1"/>
        <v>0.2</v>
      </c>
      <c r="F40" s="111">
        <f t="shared" si="2"/>
        <v>4</v>
      </c>
      <c r="G40" s="111">
        <f t="shared" si="3"/>
        <v>1.985829630908444</v>
      </c>
      <c r="H40" s="111">
        <f t="shared" si="4"/>
        <v>0.8</v>
      </c>
      <c r="I40" s="111">
        <f t="shared" si="5"/>
        <v>0</v>
      </c>
      <c r="J40" s="111">
        <f>IF(CurrentMtgRatesDataTable811[[#This Row],[WA CC]]&lt;&gt;0,C39-CurrentMtgRatesDataTable811[[#This Row],[WA CC]],0)</f>
        <v>0</v>
      </c>
      <c r="K40" s="111">
        <f>IF(CurrentMtgRatesDataTable811[[#This Row],[Servicing Spread]]&lt;=0,K39,CurrentMtgRatesDataTable811[[#This Row],[Servicing Spread]])</f>
        <v>0.94852570352587806</v>
      </c>
      <c r="L40" s="111">
        <f>CurrentMtgRatesDataTable811[[#This Row],[Servicing Spread Non-Zero]]-K39</f>
        <v>0</v>
      </c>
      <c r="M40" s="111">
        <f>IF(I39&lt;&gt;0,CurrentMtgRatesDataTable811[[#This Row],[Rate]]-C39,M39)</f>
        <v>4.4999999999999929E-2</v>
      </c>
    </row>
    <row r="41" spans="1:22" s="75" customFormat="1">
      <c r="A41" s="112" t="s">
        <v>135</v>
      </c>
      <c r="B41" s="113">
        <v>2.51044994669209</v>
      </c>
      <c r="C41" s="114">
        <v>3.46</v>
      </c>
      <c r="D41" s="111">
        <f t="shared" si="0"/>
        <v>7</v>
      </c>
      <c r="E41" s="111">
        <f t="shared" si="1"/>
        <v>0.2</v>
      </c>
      <c r="F41" s="111">
        <f t="shared" si="2"/>
        <v>5</v>
      </c>
      <c r="G41" s="111">
        <f t="shared" si="3"/>
        <v>2.4879196202468621</v>
      </c>
      <c r="H41" s="111">
        <f t="shared" si="4"/>
        <v>1</v>
      </c>
      <c r="I41" s="111">
        <f t="shared" si="5"/>
        <v>2.4879196202468621</v>
      </c>
      <c r="J41" s="111">
        <f>IF(CurrentMtgRatesDataTable811[[#This Row],[WA CC]]&lt;&gt;0,C40-CurrentMtgRatesDataTable811[[#This Row],[WA CC]],0)</f>
        <v>0.97208037975313788</v>
      </c>
      <c r="K41" s="111">
        <f>IF(CurrentMtgRatesDataTable811[[#This Row],[Servicing Spread]]&lt;=0,K40,CurrentMtgRatesDataTable811[[#This Row],[Servicing Spread]])</f>
        <v>0.97208037975313788</v>
      </c>
      <c r="L41" s="111">
        <f>CurrentMtgRatesDataTable811[[#This Row],[Servicing Spread Non-Zero]]-K40</f>
        <v>2.3554676227259819E-2</v>
      </c>
      <c r="M41" s="111">
        <f>IF(I40&lt;&gt;0,CurrentMtgRatesDataTable811[[#This Row],[Rate]]-C40,M40)</f>
        <v>4.4999999999999929E-2</v>
      </c>
    </row>
    <row r="42" spans="1:22" s="75" customFormat="1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</row>
    <row r="43" spans="1:22" s="75" customFormat="1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</row>
    <row r="44" spans="1:22" s="75" customFormat="1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</row>
    <row r="45" spans="1:22" s="75" customFormat="1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</row>
    <row r="46" spans="1:22" s="75" customFormat="1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</row>
    <row r="47" spans="1:22" s="75" customFormat="1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</row>
    <row r="48" spans="1:22" s="75" customFormat="1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V48" s="71"/>
    </row>
    <row r="49" spans="1:22" s="75" customFormat="1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T49" s="71"/>
      <c r="U49" s="71"/>
      <c r="V49" s="71"/>
    </row>
    <row r="50" spans="1:22" s="75" customFormat="1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T50" s="71"/>
      <c r="U50" s="71"/>
      <c r="V50" s="71"/>
    </row>
    <row r="51" spans="1:22" s="75" customFormat="1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T51" s="71"/>
      <c r="U51" s="71"/>
      <c r="V51" s="71"/>
    </row>
    <row r="52" spans="1:22" s="75" customFormat="1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T52" s="71"/>
      <c r="U52" s="71"/>
      <c r="V52" s="71"/>
    </row>
    <row r="53" spans="1:22" s="75" customFormat="1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T53" s="71"/>
      <c r="U53" s="71"/>
      <c r="V53" s="71"/>
    </row>
    <row r="54" spans="1:22" s="75" customFormat="1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T54" s="71"/>
      <c r="U54" s="71"/>
      <c r="V54" s="71"/>
    </row>
    <row r="55" spans="1:22" s="75" customFormat="1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T55" s="71"/>
      <c r="U55" s="71"/>
      <c r="V55" s="71"/>
    </row>
    <row r="56" spans="1:22" s="75" customFormat="1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T56" s="71"/>
      <c r="U56" s="71"/>
      <c r="V56" s="71"/>
    </row>
    <row r="57" spans="1:22" s="75" customFormat="1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T57" s="71"/>
      <c r="U57" s="71"/>
      <c r="V57" s="71"/>
    </row>
    <row r="58" spans="1:22" s="75" customFormat="1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T58" s="71"/>
      <c r="U58" s="71"/>
      <c r="V58" s="71"/>
    </row>
    <row r="59" spans="1:22" s="75" customFormat="1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T59" s="71"/>
      <c r="U59" s="71"/>
      <c r="V59" s="71"/>
    </row>
    <row r="60" spans="1:22" s="75" customFormat="1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T60" s="71"/>
      <c r="U60" s="71"/>
      <c r="V60" s="71"/>
    </row>
    <row r="61" spans="1:22" s="75" customFormat="1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T61" s="71"/>
      <c r="U61" s="71"/>
      <c r="V61" s="71"/>
    </row>
    <row r="62" spans="1:22" s="75" customFormat="1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T62" s="71"/>
      <c r="U62" s="71"/>
      <c r="V62" s="71"/>
    </row>
    <row r="63" spans="1:22" s="75" customFormat="1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T63" s="71"/>
      <c r="U63" s="71"/>
      <c r="V63" s="71"/>
    </row>
    <row r="64" spans="1:22" s="75" customFormat="1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T64" s="71"/>
      <c r="U64" s="71"/>
      <c r="V64" s="71"/>
    </row>
    <row r="65" spans="1:22" s="75" customFormat="1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T65" s="71"/>
      <c r="U65" s="71"/>
      <c r="V65" s="71"/>
    </row>
    <row r="66" spans="1:22" s="75" customFormat="1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T66" s="71"/>
      <c r="U66" s="71"/>
      <c r="V66" s="71"/>
    </row>
    <row r="67" spans="1:22" s="75" customFormat="1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T67" s="71"/>
      <c r="U67" s="71"/>
      <c r="V67" s="71"/>
    </row>
    <row r="68" spans="1:22">
      <c r="N68" s="75"/>
      <c r="O68" s="75"/>
      <c r="P68" s="75"/>
      <c r="Q68" s="75"/>
      <c r="R68" s="75"/>
      <c r="S68" s="75"/>
    </row>
    <row r="69" spans="1:22">
      <c r="N69" s="75"/>
      <c r="O69" s="75"/>
      <c r="P69" s="75"/>
      <c r="Q69" s="75"/>
      <c r="R69" s="75"/>
    </row>
    <row r="70" spans="1:22">
      <c r="N70" s="75"/>
      <c r="O70" s="75"/>
      <c r="P70" s="75"/>
      <c r="Q70" s="75"/>
      <c r="R70" s="75"/>
    </row>
    <row r="71" spans="1:22">
      <c r="N71" s="75"/>
      <c r="O71" s="75"/>
      <c r="P71" s="75"/>
      <c r="Q71" s="75"/>
      <c r="R71" s="75"/>
    </row>
    <row r="72" spans="1:22">
      <c r="N72" s="75"/>
      <c r="O72" s="75"/>
      <c r="P72" s="75"/>
      <c r="Q72" s="75"/>
      <c r="R72" s="75"/>
    </row>
    <row r="73" spans="1:22">
      <c r="N73" s="75"/>
      <c r="O73" s="75"/>
      <c r="P73" s="75"/>
      <c r="Q73" s="75"/>
      <c r="R73" s="75"/>
    </row>
    <row r="74" spans="1:22">
      <c r="N74" s="75"/>
      <c r="O74" s="75"/>
      <c r="P74" s="75"/>
      <c r="Q74" s="75"/>
      <c r="R74" s="75"/>
    </row>
    <row r="75" spans="1:22">
      <c r="N75" s="75"/>
      <c r="O75" s="75"/>
      <c r="P75" s="75"/>
      <c r="Q75" s="75"/>
      <c r="R75" s="75"/>
    </row>
    <row r="76" spans="1:22">
      <c r="N76" s="75"/>
      <c r="O76" s="75"/>
      <c r="P76" s="75"/>
      <c r="Q76" s="75"/>
      <c r="R76" s="75"/>
    </row>
    <row r="77" spans="1:22">
      <c r="N77" s="75"/>
      <c r="O77" s="75"/>
      <c r="P77" s="75"/>
      <c r="Q77" s="75"/>
      <c r="R77" s="75"/>
    </row>
    <row r="78" spans="1:22">
      <c r="N78" s="75"/>
      <c r="O78" s="75"/>
      <c r="P78" s="75"/>
      <c r="Q78" s="75"/>
      <c r="R78" s="75"/>
    </row>
    <row r="79" spans="1:22">
      <c r="N79" s="76"/>
      <c r="O79" s="76"/>
      <c r="P79" s="76"/>
      <c r="Q79" s="76"/>
      <c r="R79" s="76"/>
    </row>
    <row r="80" spans="1:22">
      <c r="N80" s="76"/>
      <c r="O80" s="76"/>
      <c r="P80" s="76"/>
      <c r="Q80" s="76"/>
      <c r="R80" s="76"/>
    </row>
    <row r="81" spans="14:18">
      <c r="N81" s="76"/>
      <c r="O81" s="76"/>
      <c r="P81" s="76"/>
      <c r="Q81" s="76"/>
      <c r="R81" s="76"/>
    </row>
    <row r="82" spans="14:18">
      <c r="N82" s="76"/>
      <c r="O82" s="76"/>
      <c r="P82" s="76"/>
      <c r="Q82" s="76"/>
      <c r="R82" s="76"/>
    </row>
    <row r="83" spans="14:18">
      <c r="N83" s="76"/>
      <c r="O83" s="76"/>
      <c r="P83" s="76"/>
      <c r="Q83" s="76"/>
      <c r="R83" s="76"/>
    </row>
    <row r="84" spans="14:18">
      <c r="N84" s="76"/>
      <c r="O84" s="76"/>
      <c r="P84" s="76"/>
      <c r="Q84" s="76"/>
      <c r="R84" s="76"/>
    </row>
    <row r="85" spans="14:18">
      <c r="N85" s="76"/>
      <c r="O85" s="76"/>
      <c r="P85" s="76"/>
      <c r="Q85" s="76"/>
      <c r="R85" s="76"/>
    </row>
    <row r="86" spans="14:18">
      <c r="N86" s="76"/>
      <c r="O86" s="76"/>
      <c r="P86" s="76"/>
      <c r="Q86" s="76"/>
      <c r="R86" s="76"/>
    </row>
    <row r="87" spans="14:18">
      <c r="N87" s="76"/>
      <c r="O87" s="76"/>
      <c r="P87" s="76"/>
      <c r="Q87" s="76"/>
      <c r="R87" s="76"/>
    </row>
    <row r="88" spans="14:18">
      <c r="N88" s="76"/>
      <c r="O88" s="76"/>
      <c r="P88" s="76"/>
      <c r="Q88" s="76"/>
      <c r="R88" s="76"/>
    </row>
    <row r="89" spans="14:18">
      <c r="N89" s="76"/>
      <c r="O89" s="76"/>
      <c r="P89" s="76"/>
      <c r="Q89" s="76"/>
      <c r="R89" s="76"/>
    </row>
    <row r="90" spans="14:18">
      <c r="N90" s="76"/>
      <c r="O90" s="76"/>
      <c r="P90" s="76"/>
      <c r="Q90" s="76"/>
      <c r="R90" s="76"/>
    </row>
    <row r="91" spans="14:18">
      <c r="N91" s="76"/>
      <c r="O91" s="76"/>
      <c r="P91" s="76"/>
      <c r="Q91" s="76"/>
      <c r="R91" s="76"/>
    </row>
    <row r="92" spans="14:18">
      <c r="N92" s="76"/>
      <c r="O92" s="76"/>
      <c r="P92" s="76"/>
      <c r="Q92" s="76"/>
      <c r="R92" s="76"/>
    </row>
    <row r="93" spans="14:18">
      <c r="N93" s="76"/>
      <c r="O93" s="76"/>
      <c r="P93" s="76"/>
      <c r="Q93" s="76"/>
      <c r="R93" s="76"/>
    </row>
    <row r="94" spans="14:18">
      <c r="N94" s="76"/>
      <c r="O94" s="76"/>
      <c r="P94" s="76"/>
      <c r="Q94" s="76"/>
      <c r="R94" s="76"/>
    </row>
    <row r="95" spans="14:18">
      <c r="N95" s="76"/>
      <c r="O95" s="76"/>
      <c r="P95" s="76"/>
      <c r="Q95" s="76"/>
      <c r="R95" s="76"/>
    </row>
    <row r="96" spans="14:18">
      <c r="N96" s="76"/>
      <c r="O96" s="76"/>
      <c r="P96" s="76"/>
      <c r="Q96" s="76"/>
      <c r="R96" s="76"/>
    </row>
    <row r="97" spans="14:18">
      <c r="N97" s="76"/>
      <c r="O97" s="76"/>
      <c r="P97" s="76"/>
      <c r="Q97" s="76"/>
      <c r="R97" s="76"/>
    </row>
    <row r="98" spans="14:18">
      <c r="N98" s="76"/>
      <c r="O98" s="76"/>
      <c r="P98" s="76"/>
      <c r="Q98" s="76"/>
      <c r="R98" s="76"/>
    </row>
    <row r="99" spans="14:18">
      <c r="N99" s="76"/>
      <c r="O99" s="76"/>
      <c r="P99" s="76"/>
      <c r="Q99" s="76"/>
      <c r="R99" s="76"/>
    </row>
    <row r="100" spans="14:18">
      <c r="N100" s="76"/>
      <c r="O100" s="76"/>
      <c r="P100" s="76"/>
      <c r="Q100" s="76"/>
      <c r="R100" s="76"/>
    </row>
    <row r="101" spans="14:18">
      <c r="N101" s="76"/>
      <c r="O101" s="76"/>
      <c r="P101" s="76"/>
      <c r="Q101" s="76"/>
      <c r="R101" s="76"/>
    </row>
    <row r="102" spans="14:18">
      <c r="N102" s="76"/>
      <c r="O102" s="76"/>
      <c r="P102" s="76"/>
      <c r="Q102" s="76"/>
      <c r="R102" s="76"/>
    </row>
    <row r="103" spans="14:18">
      <c r="N103" s="76"/>
      <c r="O103" s="76"/>
      <c r="P103" s="76"/>
      <c r="Q103" s="76"/>
      <c r="R103" s="76"/>
    </row>
    <row r="104" spans="14:18">
      <c r="N104" s="76"/>
      <c r="O104" s="76"/>
      <c r="P104" s="76"/>
      <c r="Q104" s="76"/>
      <c r="R104" s="76"/>
    </row>
    <row r="105" spans="14:18">
      <c r="N105" s="76"/>
      <c r="O105" s="76"/>
      <c r="P105" s="76"/>
      <c r="Q105" s="76"/>
      <c r="R105" s="76"/>
    </row>
    <row r="106" spans="14:18">
      <c r="N106" s="76"/>
      <c r="O106" s="76"/>
      <c r="P106" s="76"/>
      <c r="Q106" s="76"/>
      <c r="R106" s="76"/>
    </row>
    <row r="107" spans="14:18">
      <c r="N107" s="76"/>
      <c r="O107" s="76"/>
      <c r="P107" s="76"/>
      <c r="Q107" s="76"/>
      <c r="R107" s="76"/>
    </row>
    <row r="108" spans="14:18">
      <c r="N108" s="76"/>
      <c r="O108" s="76"/>
      <c r="P108" s="76"/>
      <c r="Q108" s="76"/>
      <c r="R108" s="76"/>
    </row>
    <row r="109" spans="14:18">
      <c r="N109" s="76"/>
      <c r="O109" s="76"/>
      <c r="P109" s="76"/>
      <c r="Q109" s="76"/>
      <c r="R109" s="76"/>
    </row>
    <row r="110" spans="14:18">
      <c r="N110" s="76"/>
      <c r="O110" s="76"/>
      <c r="P110" s="76"/>
      <c r="Q110" s="76"/>
      <c r="R110" s="76"/>
    </row>
    <row r="111" spans="14:18">
      <c r="N111" s="76"/>
      <c r="O111" s="76"/>
      <c r="P111" s="76"/>
      <c r="Q111" s="76"/>
      <c r="R111" s="76"/>
    </row>
    <row r="112" spans="14:18">
      <c r="N112" s="76"/>
      <c r="O112" s="76"/>
      <c r="P112" s="76"/>
      <c r="Q112" s="76"/>
      <c r="R112" s="76"/>
    </row>
    <row r="113" spans="14:18">
      <c r="N113" s="76"/>
      <c r="O113" s="76"/>
      <c r="P113" s="76"/>
      <c r="Q113" s="76"/>
      <c r="R113" s="76"/>
    </row>
    <row r="114" spans="14:18">
      <c r="N114" s="76"/>
      <c r="O114" s="76"/>
      <c r="P114" s="76"/>
      <c r="Q114" s="76"/>
      <c r="R114" s="76"/>
    </row>
    <row r="115" spans="14:18">
      <c r="N115" s="76"/>
      <c r="O115" s="76"/>
      <c r="P115" s="76"/>
      <c r="Q115" s="76"/>
      <c r="R115" s="76"/>
    </row>
    <row r="116" spans="14:18">
      <c r="N116" s="76"/>
      <c r="O116" s="76"/>
      <c r="P116" s="76"/>
      <c r="Q116" s="76"/>
      <c r="R116" s="76"/>
    </row>
    <row r="117" spans="14:18">
      <c r="N117" s="76"/>
      <c r="O117" s="76"/>
      <c r="P117" s="76"/>
      <c r="Q117" s="76"/>
      <c r="R117" s="76"/>
    </row>
    <row r="118" spans="14:18">
      <c r="N118" s="76"/>
      <c r="O118" s="76"/>
      <c r="P118" s="76"/>
      <c r="Q118" s="76"/>
      <c r="R118" s="76"/>
    </row>
    <row r="119" spans="14:18">
      <c r="N119" s="76"/>
      <c r="O119" s="76"/>
      <c r="P119" s="76"/>
      <c r="Q119" s="76"/>
      <c r="R119" s="76"/>
    </row>
    <row r="120" spans="14:18">
      <c r="N120" s="76"/>
      <c r="O120" s="76"/>
      <c r="P120" s="76"/>
      <c r="Q120" s="76"/>
      <c r="R120" s="76"/>
    </row>
    <row r="121" spans="14:18">
      <c r="N121" s="76"/>
      <c r="O121" s="76"/>
      <c r="P121" s="76"/>
      <c r="Q121" s="76"/>
      <c r="R121" s="76"/>
    </row>
    <row r="122" spans="14:18">
      <c r="N122" s="76"/>
      <c r="O122" s="76"/>
      <c r="P122" s="76"/>
      <c r="Q122" s="76"/>
      <c r="R122" s="76"/>
    </row>
    <row r="123" spans="14:18">
      <c r="N123" s="76"/>
      <c r="O123" s="76"/>
      <c r="P123" s="76"/>
      <c r="Q123" s="76"/>
      <c r="R123" s="76"/>
    </row>
    <row r="124" spans="14:18">
      <c r="N124" s="76"/>
      <c r="O124" s="76"/>
      <c r="P124" s="76"/>
      <c r="Q124" s="76"/>
      <c r="R124" s="76"/>
    </row>
    <row r="125" spans="14:18">
      <c r="N125" s="76"/>
      <c r="O125" s="76"/>
      <c r="P125" s="76"/>
      <c r="Q125" s="76"/>
      <c r="R125" s="76"/>
    </row>
    <row r="126" spans="14:18">
      <c r="N126" s="76"/>
      <c r="O126" s="76"/>
      <c r="P126" s="76"/>
      <c r="Q126" s="76"/>
      <c r="R126" s="76"/>
    </row>
    <row r="127" spans="14:18">
      <c r="N127" s="76"/>
      <c r="O127" s="76"/>
      <c r="P127" s="76"/>
      <c r="Q127" s="76"/>
      <c r="R127" s="76"/>
    </row>
    <row r="128" spans="14:18">
      <c r="N128" s="76"/>
      <c r="O128" s="76"/>
      <c r="P128" s="76"/>
      <c r="Q128" s="76"/>
      <c r="R128" s="76"/>
    </row>
    <row r="129" spans="14:18">
      <c r="N129" s="76"/>
      <c r="O129" s="76"/>
      <c r="P129" s="76"/>
      <c r="Q129" s="76"/>
      <c r="R129" s="76"/>
    </row>
    <row r="130" spans="14:18">
      <c r="N130" s="76"/>
      <c r="O130" s="76"/>
      <c r="P130" s="76"/>
      <c r="Q130" s="76"/>
      <c r="R130" s="76"/>
    </row>
    <row r="131" spans="14:18">
      <c r="N131" s="76"/>
      <c r="O131" s="76"/>
      <c r="P131" s="76"/>
      <c r="Q131" s="76"/>
      <c r="R131" s="76"/>
    </row>
    <row r="132" spans="14:18">
      <c r="N132" s="76"/>
      <c r="O132" s="76"/>
      <c r="P132" s="76"/>
      <c r="Q132" s="76"/>
      <c r="R132" s="76"/>
    </row>
    <row r="133" spans="14:18">
      <c r="N133" s="76"/>
      <c r="O133" s="76"/>
      <c r="P133" s="76"/>
      <c r="Q133" s="76"/>
      <c r="R133" s="76"/>
    </row>
    <row r="134" spans="14:18">
      <c r="N134" s="76"/>
      <c r="O134" s="76"/>
      <c r="P134" s="76"/>
      <c r="Q134" s="76"/>
      <c r="R134" s="76"/>
    </row>
    <row r="135" spans="14:18">
      <c r="N135" s="76"/>
      <c r="O135" s="76"/>
      <c r="P135" s="76"/>
      <c r="Q135" s="76"/>
      <c r="R135" s="76"/>
    </row>
    <row r="136" spans="14:18">
      <c r="N136" s="76"/>
      <c r="O136" s="76"/>
      <c r="P136" s="76"/>
      <c r="Q136" s="76"/>
      <c r="R136" s="76"/>
    </row>
    <row r="137" spans="14:18">
      <c r="N137" s="76"/>
      <c r="O137" s="76"/>
      <c r="P137" s="76"/>
      <c r="Q137" s="76"/>
      <c r="R137" s="76"/>
    </row>
    <row r="138" spans="14:18">
      <c r="N138" s="76"/>
      <c r="O138" s="76"/>
      <c r="P138" s="76"/>
      <c r="Q138" s="76"/>
      <c r="R138" s="76"/>
    </row>
    <row r="139" spans="14:18">
      <c r="N139" s="76"/>
      <c r="O139" s="76"/>
      <c r="P139" s="76"/>
      <c r="Q139" s="76"/>
      <c r="R139" s="76"/>
    </row>
    <row r="140" spans="14:18">
      <c r="N140" s="76"/>
      <c r="O140" s="76"/>
      <c r="P140" s="76"/>
      <c r="Q140" s="76"/>
      <c r="R140" s="76"/>
    </row>
    <row r="141" spans="14:18">
      <c r="N141" s="76"/>
      <c r="O141" s="76"/>
      <c r="P141" s="76"/>
      <c r="Q141" s="76"/>
      <c r="R141" s="76"/>
    </row>
    <row r="142" spans="14:18">
      <c r="N142" s="76"/>
      <c r="O142" s="76"/>
      <c r="P142" s="76"/>
      <c r="Q142" s="76"/>
      <c r="R142" s="76"/>
    </row>
    <row r="143" spans="14:18">
      <c r="N143" s="76"/>
      <c r="O143" s="76"/>
      <c r="P143" s="76"/>
      <c r="Q143" s="76"/>
      <c r="R143" s="76"/>
    </row>
    <row r="144" spans="14:18">
      <c r="N144" s="76"/>
      <c r="O144" s="76"/>
      <c r="P144" s="76"/>
      <c r="Q144" s="76"/>
      <c r="R144" s="76"/>
    </row>
    <row r="145" spans="14:18">
      <c r="N145" s="76"/>
      <c r="O145" s="76"/>
      <c r="P145" s="76"/>
      <c r="Q145" s="76"/>
      <c r="R145" s="76"/>
    </row>
    <row r="146" spans="14:18">
      <c r="N146" s="76"/>
      <c r="O146" s="76"/>
      <c r="P146" s="76"/>
      <c r="Q146" s="76"/>
      <c r="R146" s="76"/>
    </row>
    <row r="147" spans="14:18">
      <c r="N147" s="76"/>
      <c r="O147" s="76"/>
      <c r="P147" s="76"/>
      <c r="Q147" s="76"/>
      <c r="R147" s="76"/>
    </row>
    <row r="148" spans="14:18">
      <c r="N148" s="76"/>
      <c r="O148" s="76"/>
      <c r="P148" s="76"/>
      <c r="Q148" s="76"/>
      <c r="R148" s="76"/>
    </row>
    <row r="149" spans="14:18">
      <c r="N149" s="76"/>
      <c r="O149" s="76"/>
      <c r="P149" s="76"/>
      <c r="Q149" s="76"/>
      <c r="R149" s="76"/>
    </row>
    <row r="150" spans="14:18">
      <c r="N150" s="76"/>
      <c r="O150" s="76"/>
      <c r="P150" s="76"/>
      <c r="Q150" s="76"/>
      <c r="R150" s="76"/>
    </row>
    <row r="151" spans="14:18">
      <c r="N151" s="76"/>
      <c r="O151" s="76"/>
      <c r="P151" s="76"/>
      <c r="Q151" s="76"/>
      <c r="R151" s="76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ServSpread</vt:lpstr>
      <vt:lpstr>SPREAD_DATE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2016-06-30T17:45:58Z</cp:lastPrinted>
  <dcterms:created xsi:type="dcterms:W3CDTF">2006-09-16T00:00:00Z</dcterms:created>
  <dcterms:modified xsi:type="dcterms:W3CDTF">2016-06-30T18:50:26Z</dcterms:modified>
</cp:coreProperties>
</file>