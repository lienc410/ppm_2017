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4.xml" ContentType="application/vnd.openxmlformats-officedocument.spreadsheetml.queryTable+xml"/>
  <Override PartName="/xl/tables/table4.xml" ContentType="application/vnd.openxmlformats-officedocument.spreadsheetml.table+xml"/>
  <Override PartName="/xl/queryTables/queryTable5.xml" ContentType="application/vnd.openxmlformats-officedocument.spreadsheetml.queryTable+xml"/>
  <Override PartName="/xl/tables/table5.xml" ContentType="application/vnd.openxmlformats-officedocument.spreadsheetml.table+xml"/>
  <Override PartName="/xl/queryTables/queryTable6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Report!$Z$2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Report!$Z$9</definedName>
    <definedName name="CuurentRate1">'Function Of Rate'!$C$5</definedName>
    <definedName name="CuurRate">CurrentMtgRatesDataTable82523[SeriesNumValue]</definedName>
    <definedName name="DatabaseEnv">Report!$Z$1</definedName>
    <definedName name="DateToChangeLag">Report!$Z$12</definedName>
    <definedName name="HistoricalMtgRatesDataTable">#REF!</definedName>
    <definedName name="IR">#REF!</definedName>
    <definedName name="LastMonth">Report!$Z$10</definedName>
    <definedName name="LastThursday">Report!$Z$13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Report!$Z$3</definedName>
    <definedName name="PDFReportName">Report!$Z$4</definedName>
    <definedName name="PivotTable10">#REF!</definedName>
    <definedName name="PivotTable11">#REF!</definedName>
    <definedName name="PivotTable12">#REF!</definedName>
    <definedName name="_xlnm.Print_Area" localSheetId="0">Report!$B$1:$S$54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3" localSheetId="3" hidden="1">'Function Of Rate'!$F$7:$P$8</definedName>
    <definedName name="Query_from_Agency_6" localSheetId="1" hidden="1">Query!$B$2:$C$233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Report!$AB$1</definedName>
    <definedName name="temp" localSheetId="1">Query!$G$2:$H$232</definedName>
    <definedName name="temp_1" localSheetId="1">Query!#REF!</definedName>
    <definedName name="temp_17">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R39" i="16" l="1"/>
  <c r="P39" i="16"/>
  <c r="P52" i="16"/>
  <c r="P43" i="16"/>
  <c r="P44" i="16"/>
  <c r="P45" i="16"/>
  <c r="P46" i="16"/>
  <c r="O43" i="16"/>
  <c r="O44" i="16"/>
  <c r="O45" i="16"/>
  <c r="O46" i="16"/>
  <c r="O47" i="16"/>
  <c r="O48" i="16"/>
  <c r="P48" i="16" s="1"/>
  <c r="O49" i="16"/>
  <c r="P49" i="16" s="1"/>
  <c r="O50" i="16"/>
  <c r="P50" i="16" s="1"/>
  <c r="O51" i="16"/>
  <c r="P51" i="16" s="1"/>
  <c r="O52" i="16"/>
  <c r="G13" i="27"/>
  <c r="Q43" i="16" s="1"/>
  <c r="H13" i="27"/>
  <c r="Q44" i="16" s="1"/>
  <c r="I13" i="27"/>
  <c r="Q45" i="16" s="1"/>
  <c r="J13" i="27"/>
  <c r="Q46" i="16" s="1"/>
  <c r="K13" i="27"/>
  <c r="Q47" i="16" s="1"/>
  <c r="L13" i="27"/>
  <c r="Q48" i="16" s="1"/>
  <c r="M13" i="27"/>
  <c r="Q49" i="16" s="1"/>
  <c r="N13" i="27"/>
  <c r="Q50" i="16" s="1"/>
  <c r="O13" i="27"/>
  <c r="Q51" i="16" s="1"/>
  <c r="P13" i="27"/>
  <c r="Q52" i="16" s="1"/>
  <c r="F13" i="27"/>
  <c r="Q42" i="16" s="1"/>
  <c r="B5" i="27"/>
  <c r="G12" i="27"/>
  <c r="H12" i="27"/>
  <c r="I12" i="27"/>
  <c r="J12" i="27"/>
  <c r="K12" i="27"/>
  <c r="L12" i="27"/>
  <c r="M12" i="27"/>
  <c r="N12" i="27"/>
  <c r="O12" i="27"/>
  <c r="P12" i="27"/>
  <c r="F12" i="27"/>
  <c r="O42" i="16" s="1"/>
  <c r="G42" i="16"/>
  <c r="G43" i="16"/>
  <c r="G45" i="16"/>
  <c r="G46" i="16"/>
  <c r="G47" i="16"/>
  <c r="G51" i="16"/>
  <c r="C5" i="27"/>
  <c r="K11" i="27" s="1"/>
  <c r="N47" i="16" s="1"/>
  <c r="G50" i="16"/>
  <c r="Z13" i="16"/>
  <c r="Z9" i="16"/>
  <c r="Z10" i="16" s="1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P42" i="16" l="1"/>
  <c r="R52" i="16"/>
  <c r="R51" i="16"/>
  <c r="R49" i="16"/>
  <c r="R50" i="16"/>
  <c r="R48" i="16"/>
  <c r="R43" i="16"/>
  <c r="R46" i="16"/>
  <c r="R44" i="16"/>
  <c r="R42" i="16"/>
  <c r="R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Z4" i="16" l="1"/>
  <c r="B2" i="19"/>
  <c r="E4" i="18" l="1"/>
  <c r="E12" i="18"/>
  <c r="E20" i="18"/>
  <c r="E28" i="18"/>
  <c r="E36" i="18"/>
  <c r="E44" i="18"/>
  <c r="E52" i="18"/>
  <c r="E60" i="18"/>
  <c r="E68" i="18"/>
  <c r="E76" i="18"/>
  <c r="E84" i="18"/>
  <c r="E92" i="18"/>
  <c r="E100" i="18"/>
  <c r="E108" i="18"/>
  <c r="E116" i="18"/>
  <c r="E124" i="18"/>
  <c r="E132" i="18"/>
  <c r="E140" i="18"/>
  <c r="E148" i="18"/>
  <c r="E156" i="18"/>
  <c r="E164" i="18"/>
  <c r="E172" i="18"/>
  <c r="E180" i="18"/>
  <c r="E188" i="18"/>
  <c r="E196" i="18"/>
  <c r="E204" i="18"/>
  <c r="E212" i="18"/>
  <c r="E220" i="18"/>
  <c r="E228" i="18"/>
  <c r="E7" i="18"/>
  <c r="E31" i="18"/>
  <c r="E55" i="18"/>
  <c r="E79" i="18"/>
  <c r="E103" i="18"/>
  <c r="E127" i="18"/>
  <c r="E151" i="18"/>
  <c r="E175" i="18"/>
  <c r="E199" i="18"/>
  <c r="E223" i="18"/>
  <c r="E16" i="18"/>
  <c r="E56" i="18"/>
  <c r="E80" i="18"/>
  <c r="E104" i="18"/>
  <c r="E120" i="18"/>
  <c r="E144" i="18"/>
  <c r="E168" i="18"/>
  <c r="E192" i="18"/>
  <c r="E216" i="18"/>
  <c r="E9" i="18"/>
  <c r="E33" i="18"/>
  <c r="E49" i="18"/>
  <c r="E73" i="18"/>
  <c r="E97" i="18"/>
  <c r="E121" i="18"/>
  <c r="E145" i="18"/>
  <c r="E169" i="18"/>
  <c r="E193" i="18"/>
  <c r="E217" i="18"/>
  <c r="E10" i="18"/>
  <c r="E34" i="18"/>
  <c r="E42" i="18"/>
  <c r="E66" i="18"/>
  <c r="E90" i="18"/>
  <c r="E122" i="18"/>
  <c r="E146" i="18"/>
  <c r="E170" i="18"/>
  <c r="E194" i="18"/>
  <c r="E218" i="18"/>
  <c r="E3" i="18"/>
  <c r="E35" i="18"/>
  <c r="E59" i="18"/>
  <c r="E75" i="18"/>
  <c r="E99" i="18"/>
  <c r="E123" i="18"/>
  <c r="E147" i="18"/>
  <c r="E179" i="18"/>
  <c r="E203" i="18"/>
  <c r="E227" i="18"/>
  <c r="E5" i="18"/>
  <c r="E13" i="18"/>
  <c r="E21" i="18"/>
  <c r="E29" i="18"/>
  <c r="E37" i="18"/>
  <c r="E45" i="18"/>
  <c r="E53" i="18"/>
  <c r="E61" i="18"/>
  <c r="E69" i="18"/>
  <c r="E77" i="18"/>
  <c r="E85" i="18"/>
  <c r="E93" i="18"/>
  <c r="E101" i="18"/>
  <c r="E109" i="18"/>
  <c r="E117" i="18"/>
  <c r="E125" i="18"/>
  <c r="E133" i="18"/>
  <c r="E141" i="18"/>
  <c r="E149" i="18"/>
  <c r="E157" i="18"/>
  <c r="E165" i="18"/>
  <c r="E173" i="18"/>
  <c r="E181" i="18"/>
  <c r="E189" i="18"/>
  <c r="E197" i="18"/>
  <c r="E205" i="18"/>
  <c r="E213" i="18"/>
  <c r="E221" i="18"/>
  <c r="E229" i="18"/>
  <c r="E15" i="18"/>
  <c r="E39" i="18"/>
  <c r="E63" i="18"/>
  <c r="E87" i="18"/>
  <c r="E111" i="18"/>
  <c r="E135" i="18"/>
  <c r="E159" i="18"/>
  <c r="E183" i="18"/>
  <c r="E207" i="18"/>
  <c r="E24" i="18"/>
  <c r="E48" i="18"/>
  <c r="E72" i="18"/>
  <c r="E96" i="18"/>
  <c r="E128" i="18"/>
  <c r="E152" i="18"/>
  <c r="E176" i="18"/>
  <c r="E200" i="18"/>
  <c r="E232" i="18"/>
  <c r="E25" i="18"/>
  <c r="E57" i="18"/>
  <c r="E81" i="18"/>
  <c r="E105" i="18"/>
  <c r="E129" i="18"/>
  <c r="E153" i="18"/>
  <c r="E177" i="18"/>
  <c r="E201" i="18"/>
  <c r="E225" i="18"/>
  <c r="E18" i="18"/>
  <c r="E58" i="18"/>
  <c r="E82" i="18"/>
  <c r="E106" i="18"/>
  <c r="E130" i="18"/>
  <c r="E162" i="18"/>
  <c r="E186" i="18"/>
  <c r="E210" i="18"/>
  <c r="E11" i="18"/>
  <c r="E27" i="18"/>
  <c r="E43" i="18"/>
  <c r="E67" i="18"/>
  <c r="E91" i="18"/>
  <c r="E115" i="18"/>
  <c r="E139" i="18"/>
  <c r="E171" i="18"/>
  <c r="E195" i="18"/>
  <c r="E219" i="18"/>
  <c r="E6" i="18"/>
  <c r="E14" i="18"/>
  <c r="E22" i="18"/>
  <c r="E30" i="18"/>
  <c r="E38" i="18"/>
  <c r="E46" i="18"/>
  <c r="E54" i="18"/>
  <c r="E62" i="18"/>
  <c r="E70" i="18"/>
  <c r="E78" i="18"/>
  <c r="E86" i="18"/>
  <c r="E94" i="18"/>
  <c r="E102" i="18"/>
  <c r="E110" i="18"/>
  <c r="E118" i="18"/>
  <c r="E126" i="18"/>
  <c r="E134" i="18"/>
  <c r="E142" i="18"/>
  <c r="E150" i="18"/>
  <c r="E158" i="18"/>
  <c r="E166" i="18"/>
  <c r="E174" i="18"/>
  <c r="E182" i="18"/>
  <c r="E190" i="18"/>
  <c r="E198" i="18"/>
  <c r="E206" i="18"/>
  <c r="E214" i="18"/>
  <c r="E222" i="18"/>
  <c r="E230" i="18"/>
  <c r="E23" i="18"/>
  <c r="E47" i="18"/>
  <c r="E71" i="18"/>
  <c r="E95" i="18"/>
  <c r="E119" i="18"/>
  <c r="E143" i="18"/>
  <c r="E167" i="18"/>
  <c r="E191" i="18"/>
  <c r="E215" i="18"/>
  <c r="E231" i="18"/>
  <c r="E8" i="18"/>
  <c r="E32" i="18"/>
  <c r="E40" i="18"/>
  <c r="E64" i="18"/>
  <c r="E88" i="18"/>
  <c r="E112" i="18"/>
  <c r="E136" i="18"/>
  <c r="E160" i="18"/>
  <c r="E184" i="18"/>
  <c r="E208" i="18"/>
  <c r="E224" i="18"/>
  <c r="E17" i="18"/>
  <c r="E41" i="18"/>
  <c r="E65" i="18"/>
  <c r="E89" i="18"/>
  <c r="E113" i="18"/>
  <c r="E137" i="18"/>
  <c r="E161" i="18"/>
  <c r="E185" i="18"/>
  <c r="E209" i="18"/>
  <c r="E233" i="18"/>
  <c r="E26" i="18"/>
  <c r="E50" i="18"/>
  <c r="E74" i="18"/>
  <c r="E98" i="18"/>
  <c r="E114" i="18"/>
  <c r="E138" i="18"/>
  <c r="E154" i="18"/>
  <c r="E178" i="18"/>
  <c r="E202" i="18"/>
  <c r="E226" i="18"/>
  <c r="E19" i="18"/>
  <c r="E51" i="18"/>
  <c r="E83" i="18"/>
  <c r="E107" i="18"/>
  <c r="E131" i="18"/>
  <c r="E155" i="18"/>
  <c r="E163" i="18"/>
  <c r="E187" i="18"/>
  <c r="E211" i="1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46" i="16" l="1"/>
  <c r="L49" i="16"/>
  <c r="L44" i="16"/>
  <c r="L47" i="16"/>
  <c r="L51" i="16"/>
  <c r="L48" i="16"/>
  <c r="L50" i="16"/>
  <c r="L43" i="16"/>
  <c r="L45" i="16"/>
  <c r="L42" i="16"/>
  <c r="J48" i="16"/>
  <c r="K48" i="16"/>
  <c r="J50" i="16"/>
  <c r="K50" i="16"/>
  <c r="J44" i="16"/>
  <c r="K44" i="16"/>
  <c r="J51" i="16"/>
  <c r="K51" i="16"/>
  <c r="J46" i="16"/>
  <c r="K46" i="16"/>
  <c r="J45" i="16"/>
  <c r="K45" i="16"/>
  <c r="J43" i="16"/>
  <c r="K43" i="16"/>
  <c r="J49" i="16"/>
  <c r="K49" i="16"/>
  <c r="J47" i="16"/>
  <c r="K47" i="16"/>
  <c r="J42" i="16"/>
  <c r="K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77, '2015-06-04'"/>
  </connection>
  <connection id="2" name="FunctionOfRatesPoolQuery" type="1" refreshedVersion="4" savePassword="1" saveData="1">
    <dbPr connection="DSN=Agency" command="exec RefinancibleUniverse_FunctionOfRates  3.77, '2015-06-01'"/>
  </connection>
  <connection id="3" name="LoanLevelQuery" type="1" refreshedVersion="4" savePassword="1" saveData="1">
    <dbPr connection="DSN=Agency" command="exec RefinancibleUniverse_LoanLevel '2015-06-07'"/>
  </connection>
  <connection id="4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5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6-04' group by AsOfDate "/>
  </connection>
  <connection id="11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2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3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4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7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<sst xmlns="http://schemas.openxmlformats.org/spreadsheetml/2006/main" count="109" uniqueCount="80">
  <si>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</si>
  <si>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</si>
  <si>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</si>
  <si>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</si>
  <si>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</si>
  <si>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</si>
  <si>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</si>
  <si>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</si>
  <si>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</si>
  <si>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</si>
  <si>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</si>
  <si>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</si>
  <si>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</si>
  <si>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</si>
  <si>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</si>
  <si>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</si>
  <si>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</si>
  <si>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</si>
  <si>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</si>
  <si>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</si>
  <si>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</si>
  <si>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S:\IT\Production\Daily Reports\Primary Market\tmp\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</si>
  <si>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</si>
  <si>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</si>
  <si>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</si>
  <si>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</si>
  <si>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</si>
  <si>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</si>
  <si>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</si>
  <si>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</si>
  <si>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</si>
  <si>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Bloomberg Index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</si>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</sst>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75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1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14" fontId="139" fillId="0" borderId="0" xfId="0" applyNumberFormat="1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" fontId="7" fillId="0" borderId="50" xfId="1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" fontId="7" fillId="0" borderId="52" xfId="1" applyNumberFormat="1" applyFont="1" applyBorder="1" applyAlignment="1">
      <alignment horizontal="center" vertical="center"/>
    </xf>
    <xf numFmtId="1" fontId="7" fillId="0" borderId="53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64" fontId="8" fillId="7" borderId="46" xfId="0" applyNumberFormat="1" applyFont="1" applyFill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58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color rgb="FFC00000"/>
      </font>
    </dxf>
    <dxf/>
    <dxf>
      <font>
        <color theme="0"/>
      </font>
    </dxf>
    <dxf>
      <font>
        <color rgb="FFC00000"/>
      </font>
    </dxf>
    <dxf/>
    <dxf>
      <font>
        <color theme="0"/>
      </font>
    </dxf>
    <dxf/>
    <dxf>
      <font>
        <color theme="0"/>
      </font>
    </dxf>
    <dxf>
      <font>
        <color rgb="FFC00000"/>
      </font>
    </dxf>
    <dxf/>
    <dxf>
      <font>
        <color theme="0"/>
      </font>
    </dxf>
    <dxf>
      <font>
        <color rgb="FFC00000"/>
      </font>
    </dxf>
    <dxf/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2E8A60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Historical Refinancible Universe vs Refi Index</a:t>
            </a:r>
            <a:endParaRPr lang="en-US" sz="1400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Query!$C$2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Query!$B$3:$B$233</c:f>
              <c:numCache>
                <c:formatCode>m/d/yyyy</c:formatCode>
                <c:ptCount val="231"/>
                <c:pt idx="0">
                  <c:v>42159</c:v>
                </c:pt>
                <c:pt idx="1">
                  <c:v>42152</c:v>
                </c:pt>
                <c:pt idx="2">
                  <c:v>42145</c:v>
                </c:pt>
                <c:pt idx="3">
                  <c:v>42138</c:v>
                </c:pt>
                <c:pt idx="4">
                  <c:v>42131</c:v>
                </c:pt>
                <c:pt idx="5">
                  <c:v>42124</c:v>
                </c:pt>
                <c:pt idx="6">
                  <c:v>42117</c:v>
                </c:pt>
                <c:pt idx="7">
                  <c:v>42110</c:v>
                </c:pt>
                <c:pt idx="8">
                  <c:v>42103</c:v>
                </c:pt>
                <c:pt idx="9">
                  <c:v>42096</c:v>
                </c:pt>
                <c:pt idx="10">
                  <c:v>42089</c:v>
                </c:pt>
                <c:pt idx="11">
                  <c:v>42082</c:v>
                </c:pt>
                <c:pt idx="12">
                  <c:v>42075</c:v>
                </c:pt>
                <c:pt idx="13">
                  <c:v>42068</c:v>
                </c:pt>
                <c:pt idx="14">
                  <c:v>42061</c:v>
                </c:pt>
                <c:pt idx="15">
                  <c:v>42054</c:v>
                </c:pt>
                <c:pt idx="16">
                  <c:v>42047</c:v>
                </c:pt>
                <c:pt idx="17">
                  <c:v>42040</c:v>
                </c:pt>
                <c:pt idx="18">
                  <c:v>42033</c:v>
                </c:pt>
                <c:pt idx="19">
                  <c:v>42026</c:v>
                </c:pt>
                <c:pt idx="20">
                  <c:v>42019</c:v>
                </c:pt>
                <c:pt idx="21">
                  <c:v>42012</c:v>
                </c:pt>
                <c:pt idx="22">
                  <c:v>42004</c:v>
                </c:pt>
                <c:pt idx="23">
                  <c:v>41997</c:v>
                </c:pt>
                <c:pt idx="24">
                  <c:v>41991</c:v>
                </c:pt>
                <c:pt idx="25">
                  <c:v>41984</c:v>
                </c:pt>
                <c:pt idx="26">
                  <c:v>41977</c:v>
                </c:pt>
                <c:pt idx="27">
                  <c:v>41969</c:v>
                </c:pt>
                <c:pt idx="28">
                  <c:v>41963</c:v>
                </c:pt>
                <c:pt idx="29">
                  <c:v>41956</c:v>
                </c:pt>
                <c:pt idx="30">
                  <c:v>41949</c:v>
                </c:pt>
                <c:pt idx="31">
                  <c:v>41942</c:v>
                </c:pt>
                <c:pt idx="32">
                  <c:v>41935</c:v>
                </c:pt>
                <c:pt idx="33">
                  <c:v>41928</c:v>
                </c:pt>
                <c:pt idx="34">
                  <c:v>41921</c:v>
                </c:pt>
                <c:pt idx="35">
                  <c:v>41914</c:v>
                </c:pt>
                <c:pt idx="36">
                  <c:v>41907</c:v>
                </c:pt>
                <c:pt idx="37">
                  <c:v>41900</c:v>
                </c:pt>
                <c:pt idx="38">
                  <c:v>41893</c:v>
                </c:pt>
                <c:pt idx="39">
                  <c:v>41886</c:v>
                </c:pt>
                <c:pt idx="40">
                  <c:v>41879</c:v>
                </c:pt>
                <c:pt idx="41">
                  <c:v>41872</c:v>
                </c:pt>
                <c:pt idx="42">
                  <c:v>41865</c:v>
                </c:pt>
                <c:pt idx="43">
                  <c:v>41858</c:v>
                </c:pt>
                <c:pt idx="44">
                  <c:v>41851</c:v>
                </c:pt>
                <c:pt idx="45">
                  <c:v>41844</c:v>
                </c:pt>
                <c:pt idx="46">
                  <c:v>41837</c:v>
                </c:pt>
                <c:pt idx="47">
                  <c:v>41830</c:v>
                </c:pt>
                <c:pt idx="48">
                  <c:v>41823</c:v>
                </c:pt>
                <c:pt idx="49">
                  <c:v>41816</c:v>
                </c:pt>
                <c:pt idx="50">
                  <c:v>41809</c:v>
                </c:pt>
                <c:pt idx="51">
                  <c:v>41802</c:v>
                </c:pt>
                <c:pt idx="52">
                  <c:v>41795</c:v>
                </c:pt>
                <c:pt idx="53">
                  <c:v>41788</c:v>
                </c:pt>
                <c:pt idx="54">
                  <c:v>41781</c:v>
                </c:pt>
                <c:pt idx="55">
                  <c:v>41774</c:v>
                </c:pt>
                <c:pt idx="56">
                  <c:v>41767</c:v>
                </c:pt>
                <c:pt idx="57">
                  <c:v>41760</c:v>
                </c:pt>
                <c:pt idx="58">
                  <c:v>41753</c:v>
                </c:pt>
                <c:pt idx="59">
                  <c:v>41746</c:v>
                </c:pt>
                <c:pt idx="60">
                  <c:v>41739</c:v>
                </c:pt>
                <c:pt idx="61">
                  <c:v>41732</c:v>
                </c:pt>
                <c:pt idx="62">
                  <c:v>41725</c:v>
                </c:pt>
                <c:pt idx="63">
                  <c:v>41718</c:v>
                </c:pt>
                <c:pt idx="64">
                  <c:v>41711</c:v>
                </c:pt>
                <c:pt idx="65">
                  <c:v>41704</c:v>
                </c:pt>
                <c:pt idx="66">
                  <c:v>41697</c:v>
                </c:pt>
                <c:pt idx="67">
                  <c:v>41690</c:v>
                </c:pt>
                <c:pt idx="68">
                  <c:v>41683</c:v>
                </c:pt>
                <c:pt idx="69">
                  <c:v>41676</c:v>
                </c:pt>
                <c:pt idx="70">
                  <c:v>41669</c:v>
                </c:pt>
                <c:pt idx="71">
                  <c:v>41662</c:v>
                </c:pt>
                <c:pt idx="72">
                  <c:v>41655</c:v>
                </c:pt>
                <c:pt idx="73">
                  <c:v>41648</c:v>
                </c:pt>
                <c:pt idx="74">
                  <c:v>41641</c:v>
                </c:pt>
                <c:pt idx="75">
                  <c:v>41634</c:v>
                </c:pt>
                <c:pt idx="76">
                  <c:v>41627</c:v>
                </c:pt>
                <c:pt idx="77">
                  <c:v>41620</c:v>
                </c:pt>
                <c:pt idx="78">
                  <c:v>41613</c:v>
                </c:pt>
                <c:pt idx="79">
                  <c:v>41605</c:v>
                </c:pt>
                <c:pt idx="80">
                  <c:v>41599</c:v>
                </c:pt>
                <c:pt idx="81">
                  <c:v>41592</c:v>
                </c:pt>
                <c:pt idx="82">
                  <c:v>41585</c:v>
                </c:pt>
                <c:pt idx="83">
                  <c:v>41578</c:v>
                </c:pt>
                <c:pt idx="84">
                  <c:v>41571</c:v>
                </c:pt>
                <c:pt idx="85">
                  <c:v>41564</c:v>
                </c:pt>
                <c:pt idx="86">
                  <c:v>41557</c:v>
                </c:pt>
                <c:pt idx="87">
                  <c:v>41550</c:v>
                </c:pt>
                <c:pt idx="88">
                  <c:v>41543</c:v>
                </c:pt>
                <c:pt idx="89">
                  <c:v>41536</c:v>
                </c:pt>
                <c:pt idx="90">
                  <c:v>41529</c:v>
                </c:pt>
                <c:pt idx="91">
                  <c:v>41522</c:v>
                </c:pt>
                <c:pt idx="92">
                  <c:v>41515</c:v>
                </c:pt>
                <c:pt idx="93">
                  <c:v>41508</c:v>
                </c:pt>
                <c:pt idx="94">
                  <c:v>41501</c:v>
                </c:pt>
                <c:pt idx="95">
                  <c:v>41494</c:v>
                </c:pt>
                <c:pt idx="96">
                  <c:v>41487</c:v>
                </c:pt>
                <c:pt idx="97">
                  <c:v>41480</c:v>
                </c:pt>
                <c:pt idx="98">
                  <c:v>41473</c:v>
                </c:pt>
                <c:pt idx="99">
                  <c:v>41466</c:v>
                </c:pt>
                <c:pt idx="100">
                  <c:v>41458</c:v>
                </c:pt>
                <c:pt idx="101">
                  <c:v>41452</c:v>
                </c:pt>
                <c:pt idx="102">
                  <c:v>41445</c:v>
                </c:pt>
                <c:pt idx="103">
                  <c:v>41438</c:v>
                </c:pt>
                <c:pt idx="104">
                  <c:v>41431</c:v>
                </c:pt>
                <c:pt idx="105">
                  <c:v>41424</c:v>
                </c:pt>
                <c:pt idx="106">
                  <c:v>41417</c:v>
                </c:pt>
                <c:pt idx="107">
                  <c:v>41410</c:v>
                </c:pt>
                <c:pt idx="108">
                  <c:v>41403</c:v>
                </c:pt>
                <c:pt idx="109">
                  <c:v>41396</c:v>
                </c:pt>
                <c:pt idx="110">
                  <c:v>41389</c:v>
                </c:pt>
                <c:pt idx="111">
                  <c:v>41382</c:v>
                </c:pt>
                <c:pt idx="112">
                  <c:v>41375</c:v>
                </c:pt>
                <c:pt idx="113">
                  <c:v>41368</c:v>
                </c:pt>
                <c:pt idx="114">
                  <c:v>41361</c:v>
                </c:pt>
                <c:pt idx="115">
                  <c:v>41354</c:v>
                </c:pt>
                <c:pt idx="116">
                  <c:v>41347</c:v>
                </c:pt>
                <c:pt idx="117">
                  <c:v>41340</c:v>
                </c:pt>
                <c:pt idx="118">
                  <c:v>41333</c:v>
                </c:pt>
                <c:pt idx="119">
                  <c:v>41326</c:v>
                </c:pt>
                <c:pt idx="120">
                  <c:v>41319</c:v>
                </c:pt>
                <c:pt idx="121">
                  <c:v>41312</c:v>
                </c:pt>
                <c:pt idx="122">
                  <c:v>41305</c:v>
                </c:pt>
                <c:pt idx="123">
                  <c:v>41298</c:v>
                </c:pt>
                <c:pt idx="124">
                  <c:v>41291</c:v>
                </c:pt>
                <c:pt idx="125">
                  <c:v>41284</c:v>
                </c:pt>
                <c:pt idx="126">
                  <c:v>41277</c:v>
                </c:pt>
                <c:pt idx="127">
                  <c:v>41270</c:v>
                </c:pt>
                <c:pt idx="128">
                  <c:v>41263</c:v>
                </c:pt>
                <c:pt idx="129">
                  <c:v>41256</c:v>
                </c:pt>
                <c:pt idx="130">
                  <c:v>41249</c:v>
                </c:pt>
                <c:pt idx="131">
                  <c:v>41242</c:v>
                </c:pt>
                <c:pt idx="132">
                  <c:v>41234</c:v>
                </c:pt>
                <c:pt idx="133">
                  <c:v>41228</c:v>
                </c:pt>
                <c:pt idx="134">
                  <c:v>41221</c:v>
                </c:pt>
                <c:pt idx="135">
                  <c:v>41214</c:v>
                </c:pt>
                <c:pt idx="136">
                  <c:v>41207</c:v>
                </c:pt>
                <c:pt idx="137">
                  <c:v>41200</c:v>
                </c:pt>
                <c:pt idx="138">
                  <c:v>41193</c:v>
                </c:pt>
                <c:pt idx="139">
                  <c:v>41186</c:v>
                </c:pt>
                <c:pt idx="140">
                  <c:v>41179</c:v>
                </c:pt>
                <c:pt idx="141">
                  <c:v>41172</c:v>
                </c:pt>
                <c:pt idx="142">
                  <c:v>41165</c:v>
                </c:pt>
                <c:pt idx="143">
                  <c:v>41158</c:v>
                </c:pt>
                <c:pt idx="144">
                  <c:v>41151</c:v>
                </c:pt>
                <c:pt idx="145">
                  <c:v>41144</c:v>
                </c:pt>
                <c:pt idx="146">
                  <c:v>41137</c:v>
                </c:pt>
                <c:pt idx="147">
                  <c:v>41130</c:v>
                </c:pt>
                <c:pt idx="148">
                  <c:v>41123</c:v>
                </c:pt>
                <c:pt idx="149">
                  <c:v>41116</c:v>
                </c:pt>
                <c:pt idx="150">
                  <c:v>41109</c:v>
                </c:pt>
                <c:pt idx="151">
                  <c:v>41102</c:v>
                </c:pt>
                <c:pt idx="152">
                  <c:v>41095</c:v>
                </c:pt>
                <c:pt idx="153">
                  <c:v>41088</c:v>
                </c:pt>
                <c:pt idx="154">
                  <c:v>41081</c:v>
                </c:pt>
                <c:pt idx="155">
                  <c:v>41074</c:v>
                </c:pt>
                <c:pt idx="156">
                  <c:v>41067</c:v>
                </c:pt>
                <c:pt idx="157">
                  <c:v>41060</c:v>
                </c:pt>
                <c:pt idx="158">
                  <c:v>41053</c:v>
                </c:pt>
                <c:pt idx="159">
                  <c:v>41046</c:v>
                </c:pt>
                <c:pt idx="160">
                  <c:v>41039</c:v>
                </c:pt>
                <c:pt idx="161">
                  <c:v>41032</c:v>
                </c:pt>
                <c:pt idx="162">
                  <c:v>41025</c:v>
                </c:pt>
                <c:pt idx="163">
                  <c:v>41018</c:v>
                </c:pt>
                <c:pt idx="164">
                  <c:v>41011</c:v>
                </c:pt>
                <c:pt idx="165">
                  <c:v>41004</c:v>
                </c:pt>
                <c:pt idx="166">
                  <c:v>40997</c:v>
                </c:pt>
                <c:pt idx="167">
                  <c:v>40990</c:v>
                </c:pt>
                <c:pt idx="168">
                  <c:v>40983</c:v>
                </c:pt>
                <c:pt idx="169">
                  <c:v>40976</c:v>
                </c:pt>
                <c:pt idx="170">
                  <c:v>40969</c:v>
                </c:pt>
                <c:pt idx="171">
                  <c:v>40962</c:v>
                </c:pt>
                <c:pt idx="172">
                  <c:v>40955</c:v>
                </c:pt>
                <c:pt idx="173">
                  <c:v>40948</c:v>
                </c:pt>
                <c:pt idx="174">
                  <c:v>40941</c:v>
                </c:pt>
                <c:pt idx="175">
                  <c:v>40934</c:v>
                </c:pt>
                <c:pt idx="176">
                  <c:v>40927</c:v>
                </c:pt>
                <c:pt idx="177">
                  <c:v>40920</c:v>
                </c:pt>
                <c:pt idx="178">
                  <c:v>40913</c:v>
                </c:pt>
                <c:pt idx="179">
                  <c:v>40906</c:v>
                </c:pt>
                <c:pt idx="180">
                  <c:v>40899</c:v>
                </c:pt>
                <c:pt idx="181">
                  <c:v>40892</c:v>
                </c:pt>
                <c:pt idx="182">
                  <c:v>40885</c:v>
                </c:pt>
                <c:pt idx="183">
                  <c:v>40878</c:v>
                </c:pt>
                <c:pt idx="184">
                  <c:v>40870</c:v>
                </c:pt>
                <c:pt idx="185">
                  <c:v>40864</c:v>
                </c:pt>
                <c:pt idx="186">
                  <c:v>40857</c:v>
                </c:pt>
                <c:pt idx="187">
                  <c:v>40850</c:v>
                </c:pt>
                <c:pt idx="188">
                  <c:v>40843</c:v>
                </c:pt>
                <c:pt idx="189">
                  <c:v>40836</c:v>
                </c:pt>
                <c:pt idx="190">
                  <c:v>40829</c:v>
                </c:pt>
                <c:pt idx="191">
                  <c:v>40822</c:v>
                </c:pt>
                <c:pt idx="192">
                  <c:v>40815</c:v>
                </c:pt>
                <c:pt idx="193">
                  <c:v>40808</c:v>
                </c:pt>
                <c:pt idx="194">
                  <c:v>40801</c:v>
                </c:pt>
                <c:pt idx="195">
                  <c:v>40794</c:v>
                </c:pt>
                <c:pt idx="196">
                  <c:v>40787</c:v>
                </c:pt>
                <c:pt idx="197">
                  <c:v>40780</c:v>
                </c:pt>
                <c:pt idx="198">
                  <c:v>40773</c:v>
                </c:pt>
                <c:pt idx="199">
                  <c:v>40766</c:v>
                </c:pt>
                <c:pt idx="200">
                  <c:v>40759</c:v>
                </c:pt>
                <c:pt idx="201">
                  <c:v>40752</c:v>
                </c:pt>
                <c:pt idx="202">
                  <c:v>40745</c:v>
                </c:pt>
                <c:pt idx="203">
                  <c:v>40738</c:v>
                </c:pt>
                <c:pt idx="204">
                  <c:v>40731</c:v>
                </c:pt>
                <c:pt idx="205">
                  <c:v>40724</c:v>
                </c:pt>
                <c:pt idx="206">
                  <c:v>40717</c:v>
                </c:pt>
                <c:pt idx="207">
                  <c:v>40710</c:v>
                </c:pt>
                <c:pt idx="208">
                  <c:v>40703</c:v>
                </c:pt>
                <c:pt idx="209">
                  <c:v>40696</c:v>
                </c:pt>
                <c:pt idx="210">
                  <c:v>40689</c:v>
                </c:pt>
                <c:pt idx="211">
                  <c:v>40682</c:v>
                </c:pt>
                <c:pt idx="212">
                  <c:v>40675</c:v>
                </c:pt>
                <c:pt idx="213">
                  <c:v>40668</c:v>
                </c:pt>
                <c:pt idx="214">
                  <c:v>40661</c:v>
                </c:pt>
                <c:pt idx="215">
                  <c:v>40654</c:v>
                </c:pt>
                <c:pt idx="216">
                  <c:v>40647</c:v>
                </c:pt>
                <c:pt idx="217">
                  <c:v>40640</c:v>
                </c:pt>
                <c:pt idx="218">
                  <c:v>40633</c:v>
                </c:pt>
                <c:pt idx="219">
                  <c:v>40626</c:v>
                </c:pt>
                <c:pt idx="220">
                  <c:v>40619</c:v>
                </c:pt>
                <c:pt idx="221">
                  <c:v>40612</c:v>
                </c:pt>
                <c:pt idx="222">
                  <c:v>40605</c:v>
                </c:pt>
                <c:pt idx="223">
                  <c:v>40598</c:v>
                </c:pt>
                <c:pt idx="224">
                  <c:v>40591</c:v>
                </c:pt>
                <c:pt idx="225">
                  <c:v>40584</c:v>
                </c:pt>
                <c:pt idx="226">
                  <c:v>40577</c:v>
                </c:pt>
                <c:pt idx="227">
                  <c:v>40570</c:v>
                </c:pt>
                <c:pt idx="228">
                  <c:v>40563</c:v>
                </c:pt>
                <c:pt idx="229">
                  <c:v>40556</c:v>
                </c:pt>
                <c:pt idx="230">
                  <c:v>40549</c:v>
                </c:pt>
              </c:numCache>
            </c:numRef>
          </c:cat>
          <c:val>
            <c:numRef>
              <c:f>Query!$C$3:$C$233</c:f>
              <c:numCache>
                <c:formatCode>0.00%</c:formatCode>
                <c:ptCount val="231"/>
                <c:pt idx="0">
                  <c:v>0.54411437418255881</c:v>
                </c:pt>
                <c:pt idx="1">
                  <c:v>0.54951676769042945</c:v>
                </c:pt>
                <c:pt idx="2">
                  <c:v>0.55264936292906153</c:v>
                </c:pt>
                <c:pt idx="3">
                  <c:v>0.56120232410101856</c:v>
                </c:pt>
                <c:pt idx="4">
                  <c:v>0.58097914250817684</c:v>
                </c:pt>
                <c:pt idx="5">
                  <c:v>0.63639402671923606</c:v>
                </c:pt>
                <c:pt idx="6">
                  <c:v>0.64951370522505292</c:v>
                </c:pt>
                <c:pt idx="7">
                  <c:v>0.63055503904182508</c:v>
                </c:pt>
                <c:pt idx="8">
                  <c:v>0.64459292642165245</c:v>
                </c:pt>
                <c:pt idx="9">
                  <c:v>0.62778439660000751</c:v>
                </c:pt>
                <c:pt idx="10">
                  <c:v>0.64195316325793905</c:v>
                </c:pt>
                <c:pt idx="11">
                  <c:v>0.60937196228640689</c:v>
                </c:pt>
                <c:pt idx="12">
                  <c:v>0.57559445438514367</c:v>
                </c:pt>
                <c:pt idx="13">
                  <c:v>0.61966926616186646</c:v>
                </c:pt>
                <c:pt idx="14">
                  <c:v>0.61098575112407738</c:v>
                </c:pt>
                <c:pt idx="15">
                  <c:v>0.62651628119673453</c:v>
                </c:pt>
                <c:pt idx="16">
                  <c:v>0.64890841265420796</c:v>
                </c:pt>
                <c:pt idx="17">
                  <c:v>0.68438167594716182</c:v>
                </c:pt>
                <c:pt idx="18">
                  <c:v>0.66264885680249008</c:v>
                </c:pt>
                <c:pt idx="19">
                  <c:v>0.66474126748702123</c:v>
                </c:pt>
                <c:pt idx="20">
                  <c:v>0.66264885680249008</c:v>
                </c:pt>
                <c:pt idx="21">
                  <c:v>0.63580141506138355</c:v>
                </c:pt>
                <c:pt idx="22">
                  <c:v>0.59072795930158906</c:v>
                </c:pt>
                <c:pt idx="23">
                  <c:v>0.60574636223541978</c:v>
                </c:pt>
                <c:pt idx="24">
                  <c:v>0.6155496963810797</c:v>
                </c:pt>
                <c:pt idx="25">
                  <c:v>0.5786710507683992</c:v>
                </c:pt>
                <c:pt idx="26">
                  <c:v>0.59279776197128353</c:v>
                </c:pt>
                <c:pt idx="27">
                  <c:v>0.57290983086857539</c:v>
                </c:pt>
                <c:pt idx="28">
                  <c:v>0.56606721089043732</c:v>
                </c:pt>
                <c:pt idx="29">
                  <c:v>0.55497671209744126</c:v>
                </c:pt>
                <c:pt idx="30">
                  <c:v>0.54857982917990311</c:v>
                </c:pt>
                <c:pt idx="31">
                  <c:v>0.57181297396619646</c:v>
                </c:pt>
                <c:pt idx="32">
                  <c:v>0.58745733896979668</c:v>
                </c:pt>
                <c:pt idx="33">
                  <c:v>0.57517284737260799</c:v>
                </c:pt>
                <c:pt idx="34">
                  <c:v>0.47165449273347226</c:v>
                </c:pt>
                <c:pt idx="35">
                  <c:v>0.43232059685066798</c:v>
                </c:pt>
                <c:pt idx="36">
                  <c:v>0.41373230170663788</c:v>
                </c:pt>
                <c:pt idx="37">
                  <c:v>0.3981672862675662</c:v>
                </c:pt>
                <c:pt idx="38">
                  <c:v>0.4741591952243816</c:v>
                </c:pt>
                <c:pt idx="39">
                  <c:v>0.4873264191007175</c:v>
                </c:pt>
                <c:pt idx="40">
                  <c:v>0.49084413664233395</c:v>
                </c:pt>
                <c:pt idx="41">
                  <c:v>0.49084413664233395</c:v>
                </c:pt>
                <c:pt idx="42">
                  <c:v>0.45575254137027688</c:v>
                </c:pt>
                <c:pt idx="43">
                  <c:v>0.42413376349642812</c:v>
                </c:pt>
                <c:pt idx="44">
                  <c:v>0.45923072088835232</c:v>
                </c:pt>
                <c:pt idx="45">
                  <c:v>0.45155296827836544</c:v>
                </c:pt>
                <c:pt idx="46">
                  <c:v>0.45155296827836544</c:v>
                </c:pt>
                <c:pt idx="47">
                  <c:v>0.42147742037560049</c:v>
                </c:pt>
                <c:pt idx="48">
                  <c:v>0.48178321750260522</c:v>
                </c:pt>
                <c:pt idx="49">
                  <c:v>0.46847875373528863</c:v>
                </c:pt>
                <c:pt idx="50">
                  <c:v>0.42635938692148717</c:v>
                </c:pt>
                <c:pt idx="51">
                  <c:v>0.41096738430920449</c:v>
                </c:pt>
                <c:pt idx="52">
                  <c:v>0.46847875373528863</c:v>
                </c:pt>
                <c:pt idx="53">
                  <c:v>0.46362020494951672</c:v>
                </c:pt>
                <c:pt idx="54">
                  <c:v>0.44799454346559853</c:v>
                </c:pt>
                <c:pt idx="55">
                  <c:v>0.4132153406951769</c:v>
                </c:pt>
                <c:pt idx="56">
                  <c:v>0.40975674753773905</c:v>
                </c:pt>
                <c:pt idx="57">
                  <c:v>0.37360583835556432</c:v>
                </c:pt>
                <c:pt idx="58">
                  <c:v>0.37393962817107157</c:v>
                </c:pt>
                <c:pt idx="59">
                  <c:v>0.38166972699665563</c:v>
                </c:pt>
                <c:pt idx="60">
                  <c:v>0.36683376695248865</c:v>
                </c:pt>
                <c:pt idx="61">
                  <c:v>0.35521926568999218</c:v>
                </c:pt>
                <c:pt idx="62">
                  <c:v>0.36565400061256043</c:v>
                </c:pt>
                <c:pt idx="63">
                  <c:v>0.38030249532079374</c:v>
                </c:pt>
                <c:pt idx="64">
                  <c:v>0.36933430427665681</c:v>
                </c:pt>
                <c:pt idx="65">
                  <c:v>0.38316963725836589</c:v>
                </c:pt>
                <c:pt idx="66">
                  <c:v>0.36967404481869215</c:v>
                </c:pt>
                <c:pt idx="67">
                  <c:v>0.3755719775185945</c:v>
                </c:pt>
                <c:pt idx="68">
                  <c:v>0.38532630107916044</c:v>
                </c:pt>
                <c:pt idx="69">
                  <c:v>0.40068103493110224</c:v>
                </c:pt>
                <c:pt idx="70">
                  <c:v>0.38160196936392621</c:v>
                </c:pt>
                <c:pt idx="71">
                  <c:v>0.37084428304329614</c:v>
                </c:pt>
                <c:pt idx="72">
                  <c:v>0.36774882579493112</c:v>
                </c:pt>
                <c:pt idx="73">
                  <c:v>0.2902260049252946</c:v>
                </c:pt>
                <c:pt idx="74">
                  <c:v>0.26212623729092371</c:v>
                </c:pt>
                <c:pt idx="75">
                  <c:v>0.33029809597210952</c:v>
                </c:pt>
                <c:pt idx="76">
                  <c:v>0.33974567777608206</c:v>
                </c:pt>
                <c:pt idx="77">
                  <c:v>0.3707206267478419</c:v>
                </c:pt>
                <c:pt idx="78">
                  <c:v>0.37338021104571051</c:v>
                </c:pt>
                <c:pt idx="79">
                  <c:v>0.3969981593322805</c:v>
                </c:pt>
                <c:pt idx="80">
                  <c:v>0.41410653536495057</c:v>
                </c:pt>
                <c:pt idx="81">
                  <c:v>0.38756459325455095</c:v>
                </c:pt>
                <c:pt idx="82">
                  <c:v>0.42159370418067171</c:v>
                </c:pt>
                <c:pt idx="83">
                  <c:v>0.4605405147219428</c:v>
                </c:pt>
                <c:pt idx="84">
                  <c:v>0.43156912924668556</c:v>
                </c:pt>
                <c:pt idx="85">
                  <c:v>0.40232481590336117</c:v>
                </c:pt>
                <c:pt idx="86">
                  <c:v>0.41314719259777027</c:v>
                </c:pt>
                <c:pt idx="87">
                  <c:v>0.41528178559290679</c:v>
                </c:pt>
                <c:pt idx="88">
                  <c:v>0.40445747526612724</c:v>
                </c:pt>
                <c:pt idx="89">
                  <c:v>0.33277831045649614</c:v>
                </c:pt>
                <c:pt idx="90">
                  <c:v>0.27463010199382165</c:v>
                </c:pt>
                <c:pt idx="91">
                  <c:v>0.2818649256036454</c:v>
                </c:pt>
                <c:pt idx="92">
                  <c:v>0.32707732602530493</c:v>
                </c:pt>
                <c:pt idx="93">
                  <c:v>0.28211495793674252</c:v>
                </c:pt>
                <c:pt idx="94">
                  <c:v>0.40797811985401045</c:v>
                </c:pt>
                <c:pt idx="95">
                  <c:v>0.40797811985401045</c:v>
                </c:pt>
                <c:pt idx="96">
                  <c:v>0.40917398895537016</c:v>
                </c:pt>
                <c:pt idx="97">
                  <c:v>0.42922629610906576</c:v>
                </c:pt>
                <c:pt idx="98">
                  <c:v>0.42624975952077765</c:v>
                </c:pt>
                <c:pt idx="99">
                  <c:v>0.31856955774356621</c:v>
                </c:pt>
                <c:pt idx="100">
                  <c:v>0.4330864642120939</c:v>
                </c:pt>
                <c:pt idx="101">
                  <c:v>0.39082116641682313</c:v>
                </c:pt>
                <c:pt idx="102">
                  <c:v>0.58795254732817659</c:v>
                </c:pt>
                <c:pt idx="103">
                  <c:v>0.57343184072471942</c:v>
                </c:pt>
                <c:pt idx="104">
                  <c:v>0.60569175356282723</c:v>
                </c:pt>
                <c:pt idx="105">
                  <c:v>0.63267241864898449</c:v>
                </c:pt>
                <c:pt idx="106">
                  <c:v>0.69528028144531095</c:v>
                </c:pt>
                <c:pt idx="107">
                  <c:v>0.77783403735744605</c:v>
                </c:pt>
                <c:pt idx="108">
                  <c:v>0.80807149473903783</c:v>
                </c:pt>
                <c:pt idx="109">
                  <c:v>0.81686282095814366</c:v>
                </c:pt>
                <c:pt idx="110">
                  <c:v>0.82478602429419701</c:v>
                </c:pt>
                <c:pt idx="111">
                  <c:v>0.8263799320049966</c:v>
                </c:pt>
                <c:pt idx="112">
                  <c:v>0.81951890925716175</c:v>
                </c:pt>
                <c:pt idx="113">
                  <c:v>0.74812714109915845</c:v>
                </c:pt>
                <c:pt idx="114">
                  <c:v>0.73085022058809757</c:v>
                </c:pt>
                <c:pt idx="115">
                  <c:v>0.76832708554350626</c:v>
                </c:pt>
                <c:pt idx="116">
                  <c:v>0.70260073761186825</c:v>
                </c:pt>
                <c:pt idx="117">
                  <c:v>0.81254588826988361</c:v>
                </c:pt>
                <c:pt idx="118">
                  <c:v>0.81599621049204552</c:v>
                </c:pt>
                <c:pt idx="119">
                  <c:v>0.75767121274967097</c:v>
                </c:pt>
                <c:pt idx="120">
                  <c:v>0.79744674672768578</c:v>
                </c:pt>
                <c:pt idx="121">
                  <c:v>0.79744674672768578</c:v>
                </c:pt>
                <c:pt idx="122">
                  <c:v>0.84748759806752005</c:v>
                </c:pt>
                <c:pt idx="123">
                  <c:v>0.88379536104531342</c:v>
                </c:pt>
                <c:pt idx="124">
                  <c:v>0.88631407683414742</c:v>
                </c:pt>
                <c:pt idx="125">
                  <c:v>0.88507237465236011</c:v>
                </c:pt>
                <c:pt idx="126">
                  <c:v>0.88829814088555981</c:v>
                </c:pt>
                <c:pt idx="127">
                  <c:v>0.91018597538933266</c:v>
                </c:pt>
                <c:pt idx="128">
                  <c:v>0.90965157918840345</c:v>
                </c:pt>
                <c:pt idx="129">
                  <c:v>0.9126136851792267</c:v>
                </c:pt>
                <c:pt idx="130">
                  <c:v>0.9105479087849232</c:v>
                </c:pt>
                <c:pt idx="131">
                  <c:v>0.92756020040727527</c:v>
                </c:pt>
                <c:pt idx="132">
                  <c:v>0.9299301195282087</c:v>
                </c:pt>
                <c:pt idx="133">
                  <c:v>0.92772026190850965</c:v>
                </c:pt>
                <c:pt idx="134">
                  <c:v>0.9252942527060104</c:v>
                </c:pt>
                <c:pt idx="135">
                  <c:v>0.92571311512973709</c:v>
                </c:pt>
                <c:pt idx="136">
                  <c:v>0.95079229345734595</c:v>
                </c:pt>
                <c:pt idx="137">
                  <c:v>0.95277295236812309</c:v>
                </c:pt>
                <c:pt idx="138">
                  <c:v>0.95159604304738465</c:v>
                </c:pt>
                <c:pt idx="139">
                  <c:v>0.95362908529618629</c:v>
                </c:pt>
                <c:pt idx="140">
                  <c:v>0.96459917415866681</c:v>
                </c:pt>
                <c:pt idx="141">
                  <c:v>0.95891425076544745</c:v>
                </c:pt>
                <c:pt idx="142">
                  <c:v>0.94047646256577366</c:v>
                </c:pt>
                <c:pt idx="143">
                  <c:v>0.91761037893987563</c:v>
                </c:pt>
                <c:pt idx="144">
                  <c:v>0.92408794393225557</c:v>
                </c:pt>
                <c:pt idx="145">
                  <c:v>0.85694996797233836</c:v>
                </c:pt>
                <c:pt idx="146">
                  <c:v>0.88445471641937157</c:v>
                </c:pt>
                <c:pt idx="147">
                  <c:v>0.92408794393225557</c:v>
                </c:pt>
                <c:pt idx="148">
                  <c:v>0.9385222539497815</c:v>
                </c:pt>
                <c:pt idx="149">
                  <c:v>0.98451993370244106</c:v>
                </c:pt>
                <c:pt idx="150">
                  <c:v>0.97186924857158052</c:v>
                </c:pt>
                <c:pt idx="151">
                  <c:v>0.94551237246929465</c:v>
                </c:pt>
                <c:pt idx="152">
                  <c:v>0.8819114104860859</c:v>
                </c:pt>
                <c:pt idx="153">
                  <c:v>0.89407594990163874</c:v>
                </c:pt>
                <c:pt idx="154">
                  <c:v>0.89407594990163874</c:v>
                </c:pt>
                <c:pt idx="155">
                  <c:v>0.88667449797815956</c:v>
                </c:pt>
                <c:pt idx="156">
                  <c:v>0.8920195449585564</c:v>
                </c:pt>
                <c:pt idx="157">
                  <c:v>0.89512122084695944</c:v>
                </c:pt>
                <c:pt idx="158">
                  <c:v>0.89443957907281746</c:v>
                </c:pt>
                <c:pt idx="159">
                  <c:v>0.8948997967143093</c:v>
                </c:pt>
                <c:pt idx="160">
                  <c:v>0.89337268606647302</c:v>
                </c:pt>
                <c:pt idx="161">
                  <c:v>0.89225108632442729</c:v>
                </c:pt>
                <c:pt idx="162">
                  <c:v>0.90849340717481886</c:v>
                </c:pt>
                <c:pt idx="163">
                  <c:v>0.9034983903169389</c:v>
                </c:pt>
                <c:pt idx="164">
                  <c:v>0.90849340717481886</c:v>
                </c:pt>
                <c:pt idx="165">
                  <c:v>0.86928745494692716</c:v>
                </c:pt>
                <c:pt idx="166">
                  <c:v>0.87490910290764468</c:v>
                </c:pt>
                <c:pt idx="167">
                  <c:v>0.78959380464288376</c:v>
                </c:pt>
                <c:pt idx="168">
                  <c:v>0.90514599034862198</c:v>
                </c:pt>
                <c:pt idx="169">
                  <c:v>0.91902765125865959</c:v>
                </c:pt>
                <c:pt idx="170">
                  <c:v>0.91584710240533518</c:v>
                </c:pt>
                <c:pt idx="171">
                  <c:v>0.90921329115869776</c:v>
                </c:pt>
                <c:pt idx="172">
                  <c:v>0.94107838104995334</c:v>
                </c:pt>
                <c:pt idx="173">
                  <c:v>0.94107838104995334</c:v>
                </c:pt>
                <c:pt idx="174">
                  <c:v>0.94107838104995334</c:v>
                </c:pt>
                <c:pt idx="175">
                  <c:v>0.91861521434498927</c:v>
                </c:pt>
                <c:pt idx="176">
                  <c:v>0.95182771809710431</c:v>
                </c:pt>
                <c:pt idx="177">
                  <c:v>0.95320351892281485</c:v>
                </c:pt>
                <c:pt idx="178">
                  <c:v>0.94481773750585774</c:v>
                </c:pt>
                <c:pt idx="179">
                  <c:v>0.94762260030460288</c:v>
                </c:pt>
                <c:pt idx="180">
                  <c:v>0.9601958662364245</c:v>
                </c:pt>
                <c:pt idx="181">
                  <c:v>0.93969161247928745</c:v>
                </c:pt>
                <c:pt idx="182">
                  <c:v>0.9248746068169833</c:v>
                </c:pt>
                <c:pt idx="183">
                  <c:v>0.91542628506626045</c:v>
                </c:pt>
                <c:pt idx="184">
                  <c:v>0.94997170807452469</c:v>
                </c:pt>
                <c:pt idx="185">
                  <c:v>0.93485323798856346</c:v>
                </c:pt>
                <c:pt idx="186">
                  <c:v>0.94404770550683115</c:v>
                </c:pt>
                <c:pt idx="187">
                  <c:v>0.93485323798856346</c:v>
                </c:pt>
                <c:pt idx="188">
                  <c:v>0.86512672485653175</c:v>
                </c:pt>
                <c:pt idx="189">
                  <c:v>0.85635864773186432</c:v>
                </c:pt>
                <c:pt idx="190">
                  <c:v>0.84917694017596268</c:v>
                </c:pt>
                <c:pt idx="191">
                  <c:v>0.96725200604215567</c:v>
                </c:pt>
                <c:pt idx="192">
                  <c:v>0.94644262124543443</c:v>
                </c:pt>
                <c:pt idx="193">
                  <c:v>0.90242289630359074</c:v>
                </c:pt>
                <c:pt idx="194">
                  <c:v>0.90242289630359074</c:v>
                </c:pt>
                <c:pt idx="195">
                  <c:v>0.87859103936280614</c:v>
                </c:pt>
                <c:pt idx="196">
                  <c:v>0.84129278814437181</c:v>
                </c:pt>
                <c:pt idx="197">
                  <c:v>0.84714025108084823</c:v>
                </c:pt>
                <c:pt idx="198">
                  <c:v>0.86117434904403212</c:v>
                </c:pt>
                <c:pt idx="199">
                  <c:v>0.83404184296119399</c:v>
                </c:pt>
                <c:pt idx="200">
                  <c:v>0.81803711941746404</c:v>
                </c:pt>
                <c:pt idx="201">
                  <c:v>0.61660059317974736</c:v>
                </c:pt>
                <c:pt idx="202">
                  <c:v>0.66675683999516944</c:v>
                </c:pt>
                <c:pt idx="203">
                  <c:v>0.684475421712615</c:v>
                </c:pt>
                <c:pt idx="204">
                  <c:v>0.60410549631050647</c:v>
                </c:pt>
                <c:pt idx="205">
                  <c:v>0.69050447134038251</c:v>
                </c:pt>
                <c:pt idx="206">
                  <c:v>0.66311590107349083</c:v>
                </c:pt>
                <c:pt idx="207">
                  <c:v>0.72397022872334449</c:v>
                </c:pt>
                <c:pt idx="208">
                  <c:v>0.74517189360077984</c:v>
                </c:pt>
                <c:pt idx="209">
                  <c:v>0.66311590107349083</c:v>
                </c:pt>
                <c:pt idx="210">
                  <c:v>0.61599363608099678</c:v>
                </c:pt>
                <c:pt idx="211">
                  <c:v>0.61264076908113763</c:v>
                </c:pt>
                <c:pt idx="212">
                  <c:v>0.60662155942020002</c:v>
                </c:pt>
                <c:pt idx="213">
                  <c:v>0.59391131067456038</c:v>
                </c:pt>
                <c:pt idx="214">
                  <c:v>0.59445921362542997</c:v>
                </c:pt>
                <c:pt idx="215">
                  <c:v>0.59356262313394537</c:v>
                </c:pt>
                <c:pt idx="216">
                  <c:v>0.58155199492979581</c:v>
                </c:pt>
                <c:pt idx="217">
                  <c:v>0.58542144661011908</c:v>
                </c:pt>
                <c:pt idx="218">
                  <c:v>0.593225708201635</c:v>
                </c:pt>
                <c:pt idx="219">
                  <c:v>0.59950595681897523</c:v>
                </c:pt>
                <c:pt idx="220">
                  <c:v>0.60261779474869925</c:v>
                </c:pt>
                <c:pt idx="221">
                  <c:v>0.59090570789662444</c:v>
                </c:pt>
                <c:pt idx="222">
                  <c:v>0.59224775585706535</c:v>
                </c:pt>
                <c:pt idx="223">
                  <c:v>0.57709503787578109</c:v>
                </c:pt>
                <c:pt idx="224">
                  <c:v>0.52965901814335548</c:v>
                </c:pt>
                <c:pt idx="225">
                  <c:v>0.50868797673712363</c:v>
                </c:pt>
                <c:pt idx="226">
                  <c:v>0.60653142223595213</c:v>
                </c:pt>
                <c:pt idx="227">
                  <c:v>0.62392159162868732</c:v>
                </c:pt>
                <c:pt idx="228">
                  <c:v>0.62597730951219899</c:v>
                </c:pt>
                <c:pt idx="229">
                  <c:v>0.62817294477626939</c:v>
                </c:pt>
                <c:pt idx="230">
                  <c:v>0.62402170072443153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Query!$B$3:$B$233</c:f>
              <c:numCache>
                <c:formatCode>m/d/yyyy</c:formatCode>
                <c:ptCount val="231"/>
                <c:pt idx="0">
                  <c:v>42159</c:v>
                </c:pt>
                <c:pt idx="1">
                  <c:v>42152</c:v>
                </c:pt>
                <c:pt idx="2">
                  <c:v>42145</c:v>
                </c:pt>
                <c:pt idx="3">
                  <c:v>42138</c:v>
                </c:pt>
                <c:pt idx="4">
                  <c:v>42131</c:v>
                </c:pt>
                <c:pt idx="5">
                  <c:v>42124</c:v>
                </c:pt>
                <c:pt idx="6">
                  <c:v>42117</c:v>
                </c:pt>
                <c:pt idx="7">
                  <c:v>42110</c:v>
                </c:pt>
                <c:pt idx="8">
                  <c:v>42103</c:v>
                </c:pt>
                <c:pt idx="9">
                  <c:v>42096</c:v>
                </c:pt>
                <c:pt idx="10">
                  <c:v>42089</c:v>
                </c:pt>
                <c:pt idx="11">
                  <c:v>42082</c:v>
                </c:pt>
                <c:pt idx="12">
                  <c:v>42075</c:v>
                </c:pt>
                <c:pt idx="13">
                  <c:v>42068</c:v>
                </c:pt>
                <c:pt idx="14">
                  <c:v>42061</c:v>
                </c:pt>
                <c:pt idx="15">
                  <c:v>42054</c:v>
                </c:pt>
                <c:pt idx="16">
                  <c:v>42047</c:v>
                </c:pt>
                <c:pt idx="17">
                  <c:v>42040</c:v>
                </c:pt>
                <c:pt idx="18">
                  <c:v>42033</c:v>
                </c:pt>
                <c:pt idx="19">
                  <c:v>42026</c:v>
                </c:pt>
                <c:pt idx="20">
                  <c:v>42019</c:v>
                </c:pt>
                <c:pt idx="21">
                  <c:v>42012</c:v>
                </c:pt>
                <c:pt idx="22">
                  <c:v>42004</c:v>
                </c:pt>
                <c:pt idx="23">
                  <c:v>41997</c:v>
                </c:pt>
                <c:pt idx="24">
                  <c:v>41991</c:v>
                </c:pt>
                <c:pt idx="25">
                  <c:v>41984</c:v>
                </c:pt>
                <c:pt idx="26">
                  <c:v>41977</c:v>
                </c:pt>
                <c:pt idx="27">
                  <c:v>41969</c:v>
                </c:pt>
                <c:pt idx="28">
                  <c:v>41963</c:v>
                </c:pt>
                <c:pt idx="29">
                  <c:v>41956</c:v>
                </c:pt>
                <c:pt idx="30">
                  <c:v>41949</c:v>
                </c:pt>
                <c:pt idx="31">
                  <c:v>41942</c:v>
                </c:pt>
                <c:pt idx="32">
                  <c:v>41935</c:v>
                </c:pt>
                <c:pt idx="33">
                  <c:v>41928</c:v>
                </c:pt>
                <c:pt idx="34">
                  <c:v>41921</c:v>
                </c:pt>
                <c:pt idx="35">
                  <c:v>41914</c:v>
                </c:pt>
                <c:pt idx="36">
                  <c:v>41907</c:v>
                </c:pt>
                <c:pt idx="37">
                  <c:v>41900</c:v>
                </c:pt>
                <c:pt idx="38">
                  <c:v>41893</c:v>
                </c:pt>
                <c:pt idx="39">
                  <c:v>41886</c:v>
                </c:pt>
                <c:pt idx="40">
                  <c:v>41879</c:v>
                </c:pt>
                <c:pt idx="41">
                  <c:v>41872</c:v>
                </c:pt>
                <c:pt idx="42">
                  <c:v>41865</c:v>
                </c:pt>
                <c:pt idx="43">
                  <c:v>41858</c:v>
                </c:pt>
                <c:pt idx="44">
                  <c:v>41851</c:v>
                </c:pt>
                <c:pt idx="45">
                  <c:v>41844</c:v>
                </c:pt>
                <c:pt idx="46">
                  <c:v>41837</c:v>
                </c:pt>
                <c:pt idx="47">
                  <c:v>41830</c:v>
                </c:pt>
                <c:pt idx="48">
                  <c:v>41823</c:v>
                </c:pt>
                <c:pt idx="49">
                  <c:v>41816</c:v>
                </c:pt>
                <c:pt idx="50">
                  <c:v>41809</c:v>
                </c:pt>
                <c:pt idx="51">
                  <c:v>41802</c:v>
                </c:pt>
                <c:pt idx="52">
                  <c:v>41795</c:v>
                </c:pt>
                <c:pt idx="53">
                  <c:v>41788</c:v>
                </c:pt>
                <c:pt idx="54">
                  <c:v>41781</c:v>
                </c:pt>
                <c:pt idx="55">
                  <c:v>41774</c:v>
                </c:pt>
                <c:pt idx="56">
                  <c:v>41767</c:v>
                </c:pt>
                <c:pt idx="57">
                  <c:v>41760</c:v>
                </c:pt>
                <c:pt idx="58">
                  <c:v>41753</c:v>
                </c:pt>
                <c:pt idx="59">
                  <c:v>41746</c:v>
                </c:pt>
                <c:pt idx="60">
                  <c:v>41739</c:v>
                </c:pt>
                <c:pt idx="61">
                  <c:v>41732</c:v>
                </c:pt>
                <c:pt idx="62">
                  <c:v>41725</c:v>
                </c:pt>
                <c:pt idx="63">
                  <c:v>41718</c:v>
                </c:pt>
                <c:pt idx="64">
                  <c:v>41711</c:v>
                </c:pt>
                <c:pt idx="65">
                  <c:v>41704</c:v>
                </c:pt>
                <c:pt idx="66">
                  <c:v>41697</c:v>
                </c:pt>
                <c:pt idx="67">
                  <c:v>41690</c:v>
                </c:pt>
                <c:pt idx="68">
                  <c:v>41683</c:v>
                </c:pt>
                <c:pt idx="69">
                  <c:v>41676</c:v>
                </c:pt>
                <c:pt idx="70">
                  <c:v>41669</c:v>
                </c:pt>
                <c:pt idx="71">
                  <c:v>41662</c:v>
                </c:pt>
                <c:pt idx="72">
                  <c:v>41655</c:v>
                </c:pt>
                <c:pt idx="73">
                  <c:v>41648</c:v>
                </c:pt>
                <c:pt idx="74">
                  <c:v>41641</c:v>
                </c:pt>
                <c:pt idx="75">
                  <c:v>41634</c:v>
                </c:pt>
                <c:pt idx="76">
                  <c:v>41627</c:v>
                </c:pt>
                <c:pt idx="77">
                  <c:v>41620</c:v>
                </c:pt>
                <c:pt idx="78">
                  <c:v>41613</c:v>
                </c:pt>
                <c:pt idx="79">
                  <c:v>41605</c:v>
                </c:pt>
                <c:pt idx="80">
                  <c:v>41599</c:v>
                </c:pt>
                <c:pt idx="81">
                  <c:v>41592</c:v>
                </c:pt>
                <c:pt idx="82">
                  <c:v>41585</c:v>
                </c:pt>
                <c:pt idx="83">
                  <c:v>41578</c:v>
                </c:pt>
                <c:pt idx="84">
                  <c:v>41571</c:v>
                </c:pt>
                <c:pt idx="85">
                  <c:v>41564</c:v>
                </c:pt>
                <c:pt idx="86">
                  <c:v>41557</c:v>
                </c:pt>
                <c:pt idx="87">
                  <c:v>41550</c:v>
                </c:pt>
                <c:pt idx="88">
                  <c:v>41543</c:v>
                </c:pt>
                <c:pt idx="89">
                  <c:v>41536</c:v>
                </c:pt>
                <c:pt idx="90">
                  <c:v>41529</c:v>
                </c:pt>
                <c:pt idx="91">
                  <c:v>41522</c:v>
                </c:pt>
                <c:pt idx="92">
                  <c:v>41515</c:v>
                </c:pt>
                <c:pt idx="93">
                  <c:v>41508</c:v>
                </c:pt>
                <c:pt idx="94">
                  <c:v>41501</c:v>
                </c:pt>
                <c:pt idx="95">
                  <c:v>41494</c:v>
                </c:pt>
                <c:pt idx="96">
                  <c:v>41487</c:v>
                </c:pt>
                <c:pt idx="97">
                  <c:v>41480</c:v>
                </c:pt>
                <c:pt idx="98">
                  <c:v>41473</c:v>
                </c:pt>
                <c:pt idx="99">
                  <c:v>41466</c:v>
                </c:pt>
                <c:pt idx="100">
                  <c:v>41458</c:v>
                </c:pt>
                <c:pt idx="101">
                  <c:v>41452</c:v>
                </c:pt>
                <c:pt idx="102">
                  <c:v>41445</c:v>
                </c:pt>
                <c:pt idx="103">
                  <c:v>41438</c:v>
                </c:pt>
                <c:pt idx="104">
                  <c:v>41431</c:v>
                </c:pt>
                <c:pt idx="105">
                  <c:v>41424</c:v>
                </c:pt>
                <c:pt idx="106">
                  <c:v>41417</c:v>
                </c:pt>
                <c:pt idx="107">
                  <c:v>41410</c:v>
                </c:pt>
                <c:pt idx="108">
                  <c:v>41403</c:v>
                </c:pt>
                <c:pt idx="109">
                  <c:v>41396</c:v>
                </c:pt>
                <c:pt idx="110">
                  <c:v>41389</c:v>
                </c:pt>
                <c:pt idx="111">
                  <c:v>41382</c:v>
                </c:pt>
                <c:pt idx="112">
                  <c:v>41375</c:v>
                </c:pt>
                <c:pt idx="113">
                  <c:v>41368</c:v>
                </c:pt>
                <c:pt idx="114">
                  <c:v>41361</c:v>
                </c:pt>
                <c:pt idx="115">
                  <c:v>41354</c:v>
                </c:pt>
                <c:pt idx="116">
                  <c:v>41347</c:v>
                </c:pt>
                <c:pt idx="117">
                  <c:v>41340</c:v>
                </c:pt>
                <c:pt idx="118">
                  <c:v>41333</c:v>
                </c:pt>
                <c:pt idx="119">
                  <c:v>41326</c:v>
                </c:pt>
                <c:pt idx="120">
                  <c:v>41319</c:v>
                </c:pt>
                <c:pt idx="121">
                  <c:v>41312</c:v>
                </c:pt>
                <c:pt idx="122">
                  <c:v>41305</c:v>
                </c:pt>
                <c:pt idx="123">
                  <c:v>41298</c:v>
                </c:pt>
                <c:pt idx="124">
                  <c:v>41291</c:v>
                </c:pt>
                <c:pt idx="125">
                  <c:v>41284</c:v>
                </c:pt>
                <c:pt idx="126">
                  <c:v>41277</c:v>
                </c:pt>
                <c:pt idx="127">
                  <c:v>41270</c:v>
                </c:pt>
                <c:pt idx="128">
                  <c:v>41263</c:v>
                </c:pt>
                <c:pt idx="129">
                  <c:v>41256</c:v>
                </c:pt>
                <c:pt idx="130">
                  <c:v>41249</c:v>
                </c:pt>
                <c:pt idx="131">
                  <c:v>41242</c:v>
                </c:pt>
                <c:pt idx="132">
                  <c:v>41234</c:v>
                </c:pt>
                <c:pt idx="133">
                  <c:v>41228</c:v>
                </c:pt>
                <c:pt idx="134">
                  <c:v>41221</c:v>
                </c:pt>
                <c:pt idx="135">
                  <c:v>41214</c:v>
                </c:pt>
                <c:pt idx="136">
                  <c:v>41207</c:v>
                </c:pt>
                <c:pt idx="137">
                  <c:v>41200</c:v>
                </c:pt>
                <c:pt idx="138">
                  <c:v>41193</c:v>
                </c:pt>
                <c:pt idx="139">
                  <c:v>41186</c:v>
                </c:pt>
                <c:pt idx="140">
                  <c:v>41179</c:v>
                </c:pt>
                <c:pt idx="141">
                  <c:v>41172</c:v>
                </c:pt>
                <c:pt idx="142">
                  <c:v>41165</c:v>
                </c:pt>
                <c:pt idx="143">
                  <c:v>41158</c:v>
                </c:pt>
                <c:pt idx="144">
                  <c:v>41151</c:v>
                </c:pt>
                <c:pt idx="145">
                  <c:v>41144</c:v>
                </c:pt>
                <c:pt idx="146">
                  <c:v>41137</c:v>
                </c:pt>
                <c:pt idx="147">
                  <c:v>41130</c:v>
                </c:pt>
                <c:pt idx="148">
                  <c:v>41123</c:v>
                </c:pt>
                <c:pt idx="149">
                  <c:v>41116</c:v>
                </c:pt>
                <c:pt idx="150">
                  <c:v>41109</c:v>
                </c:pt>
                <c:pt idx="151">
                  <c:v>41102</c:v>
                </c:pt>
                <c:pt idx="152">
                  <c:v>41095</c:v>
                </c:pt>
                <c:pt idx="153">
                  <c:v>41088</c:v>
                </c:pt>
                <c:pt idx="154">
                  <c:v>41081</c:v>
                </c:pt>
                <c:pt idx="155">
                  <c:v>41074</c:v>
                </c:pt>
                <c:pt idx="156">
                  <c:v>41067</c:v>
                </c:pt>
                <c:pt idx="157">
                  <c:v>41060</c:v>
                </c:pt>
                <c:pt idx="158">
                  <c:v>41053</c:v>
                </c:pt>
                <c:pt idx="159">
                  <c:v>41046</c:v>
                </c:pt>
                <c:pt idx="160">
                  <c:v>41039</c:v>
                </c:pt>
                <c:pt idx="161">
                  <c:v>41032</c:v>
                </c:pt>
                <c:pt idx="162">
                  <c:v>41025</c:v>
                </c:pt>
                <c:pt idx="163">
                  <c:v>41018</c:v>
                </c:pt>
                <c:pt idx="164">
                  <c:v>41011</c:v>
                </c:pt>
                <c:pt idx="165">
                  <c:v>41004</c:v>
                </c:pt>
                <c:pt idx="166">
                  <c:v>40997</c:v>
                </c:pt>
                <c:pt idx="167">
                  <c:v>40990</c:v>
                </c:pt>
                <c:pt idx="168">
                  <c:v>40983</c:v>
                </c:pt>
                <c:pt idx="169">
                  <c:v>40976</c:v>
                </c:pt>
                <c:pt idx="170">
                  <c:v>40969</c:v>
                </c:pt>
                <c:pt idx="171">
                  <c:v>40962</c:v>
                </c:pt>
                <c:pt idx="172">
                  <c:v>40955</c:v>
                </c:pt>
                <c:pt idx="173">
                  <c:v>40948</c:v>
                </c:pt>
                <c:pt idx="174">
                  <c:v>40941</c:v>
                </c:pt>
                <c:pt idx="175">
                  <c:v>40934</c:v>
                </c:pt>
                <c:pt idx="176">
                  <c:v>40927</c:v>
                </c:pt>
                <c:pt idx="177">
                  <c:v>40920</c:v>
                </c:pt>
                <c:pt idx="178">
                  <c:v>40913</c:v>
                </c:pt>
                <c:pt idx="179">
                  <c:v>40906</c:v>
                </c:pt>
                <c:pt idx="180">
                  <c:v>40899</c:v>
                </c:pt>
                <c:pt idx="181">
                  <c:v>40892</c:v>
                </c:pt>
                <c:pt idx="182">
                  <c:v>40885</c:v>
                </c:pt>
                <c:pt idx="183">
                  <c:v>40878</c:v>
                </c:pt>
                <c:pt idx="184">
                  <c:v>40870</c:v>
                </c:pt>
                <c:pt idx="185">
                  <c:v>40864</c:v>
                </c:pt>
                <c:pt idx="186">
                  <c:v>40857</c:v>
                </c:pt>
                <c:pt idx="187">
                  <c:v>40850</c:v>
                </c:pt>
                <c:pt idx="188">
                  <c:v>40843</c:v>
                </c:pt>
                <c:pt idx="189">
                  <c:v>40836</c:v>
                </c:pt>
                <c:pt idx="190">
                  <c:v>40829</c:v>
                </c:pt>
                <c:pt idx="191">
                  <c:v>40822</c:v>
                </c:pt>
                <c:pt idx="192">
                  <c:v>40815</c:v>
                </c:pt>
                <c:pt idx="193">
                  <c:v>40808</c:v>
                </c:pt>
                <c:pt idx="194">
                  <c:v>40801</c:v>
                </c:pt>
                <c:pt idx="195">
                  <c:v>40794</c:v>
                </c:pt>
                <c:pt idx="196">
                  <c:v>40787</c:v>
                </c:pt>
                <c:pt idx="197">
                  <c:v>40780</c:v>
                </c:pt>
                <c:pt idx="198">
                  <c:v>40773</c:v>
                </c:pt>
                <c:pt idx="199">
                  <c:v>40766</c:v>
                </c:pt>
                <c:pt idx="200">
                  <c:v>40759</c:v>
                </c:pt>
                <c:pt idx="201">
                  <c:v>40752</c:v>
                </c:pt>
                <c:pt idx="202">
                  <c:v>40745</c:v>
                </c:pt>
                <c:pt idx="203">
                  <c:v>40738</c:v>
                </c:pt>
                <c:pt idx="204">
                  <c:v>40731</c:v>
                </c:pt>
                <c:pt idx="205">
                  <c:v>40724</c:v>
                </c:pt>
                <c:pt idx="206">
                  <c:v>40717</c:v>
                </c:pt>
                <c:pt idx="207">
                  <c:v>40710</c:v>
                </c:pt>
                <c:pt idx="208">
                  <c:v>40703</c:v>
                </c:pt>
                <c:pt idx="209">
                  <c:v>40696</c:v>
                </c:pt>
                <c:pt idx="210">
                  <c:v>40689</c:v>
                </c:pt>
                <c:pt idx="211">
                  <c:v>40682</c:v>
                </c:pt>
                <c:pt idx="212">
                  <c:v>40675</c:v>
                </c:pt>
                <c:pt idx="213">
                  <c:v>40668</c:v>
                </c:pt>
                <c:pt idx="214">
                  <c:v>40661</c:v>
                </c:pt>
                <c:pt idx="215">
                  <c:v>40654</c:v>
                </c:pt>
                <c:pt idx="216">
                  <c:v>40647</c:v>
                </c:pt>
                <c:pt idx="217">
                  <c:v>40640</c:v>
                </c:pt>
                <c:pt idx="218">
                  <c:v>40633</c:v>
                </c:pt>
                <c:pt idx="219">
                  <c:v>40626</c:v>
                </c:pt>
                <c:pt idx="220">
                  <c:v>40619</c:v>
                </c:pt>
                <c:pt idx="221">
                  <c:v>40612</c:v>
                </c:pt>
                <c:pt idx="222">
                  <c:v>40605</c:v>
                </c:pt>
                <c:pt idx="223">
                  <c:v>40598</c:v>
                </c:pt>
                <c:pt idx="224">
                  <c:v>40591</c:v>
                </c:pt>
                <c:pt idx="225">
                  <c:v>40584</c:v>
                </c:pt>
                <c:pt idx="226">
                  <c:v>40577</c:v>
                </c:pt>
                <c:pt idx="227">
                  <c:v>40570</c:v>
                </c:pt>
                <c:pt idx="228">
                  <c:v>40563</c:v>
                </c:pt>
                <c:pt idx="229">
                  <c:v>40556</c:v>
                </c:pt>
                <c:pt idx="230">
                  <c:v>40549</c:v>
                </c:pt>
              </c:numCache>
            </c:numRef>
          </c:cat>
          <c:val>
            <c:numRef>
              <c:f>Query!$D$3:$D$233</c:f>
              <c:numCache>
                <c:formatCode>0.00%</c:formatCode>
                <c:ptCount val="231"/>
                <c:pt idx="0">
                  <c:v>0.49151040605794738</c:v>
                </c:pt>
                <c:pt idx="1">
                  <c:v>0.49518214427458052</c:v>
                </c:pt>
                <c:pt idx="2">
                  <c:v>0.49530657385961702</c:v>
                </c:pt>
                <c:pt idx="3">
                  <c:v>0.52626041924754496</c:v>
                </c:pt>
                <c:pt idx="4">
                  <c:v>0.53238458781035902</c:v>
                </c:pt>
                <c:pt idx="5">
                  <c:v>0.608876308109219</c:v>
                </c:pt>
                <c:pt idx="6">
                  <c:v>0.63350921207897204</c:v>
                </c:pt>
                <c:pt idx="7">
                  <c:v>0.60745911385405604</c:v>
                </c:pt>
                <c:pt idx="8">
                  <c:v>0.63179874985391804</c:v>
                </c:pt>
                <c:pt idx="9">
                  <c:v>0.60618674833379105</c:v>
                </c:pt>
                <c:pt idx="10">
                  <c:v>0.61985540937113104</c:v>
                </c:pt>
                <c:pt idx="11">
                  <c:v>0.58146564562660097</c:v>
                </c:pt>
                <c:pt idx="12">
                  <c:v>0.51703371456013503</c:v>
                </c:pt>
                <c:pt idx="13">
                  <c:v>0.58384753948448997</c:v>
                </c:pt>
                <c:pt idx="14">
                  <c:v>0.56144623129586702</c:v>
                </c:pt>
                <c:pt idx="15">
                  <c:v>0.59003468905342005</c:v>
                </c:pt>
                <c:pt idx="16">
                  <c:v>0.62719075850631201</c:v>
                </c:pt>
                <c:pt idx="17">
                  <c:v>0.65455905311871299</c:v>
                </c:pt>
                <c:pt idx="18">
                  <c:v>0.65582330233583797</c:v>
                </c:pt>
                <c:pt idx="19">
                  <c:v>0.65720471867066899</c:v>
                </c:pt>
                <c:pt idx="20">
                  <c:v>0.65582330233583797</c:v>
                </c:pt>
                <c:pt idx="21">
                  <c:v>0.59931706558407905</c:v>
                </c:pt>
                <c:pt idx="22">
                  <c:v>0.53680415412734395</c:v>
                </c:pt>
                <c:pt idx="23">
                  <c:v>0.57166642614489205</c:v>
                </c:pt>
                <c:pt idx="24">
                  <c:v>0.57447022909045797</c:v>
                </c:pt>
                <c:pt idx="25">
                  <c:v>0.53353274326337596</c:v>
                </c:pt>
                <c:pt idx="26">
                  <c:v>0.53685925114667898</c:v>
                </c:pt>
                <c:pt idx="27">
                  <c:v>0.51222876537846296</c:v>
                </c:pt>
                <c:pt idx="28">
                  <c:v>0.51126312077979097</c:v>
                </c:pt>
                <c:pt idx="29">
                  <c:v>0.47696082053878203</c:v>
                </c:pt>
                <c:pt idx="30">
                  <c:v>0.47679161148246502</c:v>
                </c:pt>
                <c:pt idx="31">
                  <c:v>0.519221652370358</c:v>
                </c:pt>
                <c:pt idx="32">
                  <c:v>0.54838604953283498</c:v>
                </c:pt>
                <c:pt idx="33">
                  <c:v>0.51982909302980596</c:v>
                </c:pt>
                <c:pt idx="34">
                  <c:v>0.45168042618119703</c:v>
                </c:pt>
                <c:pt idx="35">
                  <c:v>0.419925946793896</c:v>
                </c:pt>
                <c:pt idx="36">
                  <c:v>0.40569534905697002</c:v>
                </c:pt>
                <c:pt idx="37">
                  <c:v>0.403775681059653</c:v>
                </c:pt>
                <c:pt idx="38">
                  <c:v>0.45995272695767497</c:v>
                </c:pt>
                <c:pt idx="39">
                  <c:v>0.46145357757128402</c:v>
                </c:pt>
                <c:pt idx="40">
                  <c:v>0.46725416935729103</c:v>
                </c:pt>
                <c:pt idx="41">
                  <c:v>0.46725416935729103</c:v>
                </c:pt>
                <c:pt idx="42">
                  <c:v>0.437009219217877</c:v>
                </c:pt>
                <c:pt idx="43">
                  <c:v>0.41284557270170602</c:v>
                </c:pt>
                <c:pt idx="44">
                  <c:v>0.44366576481104603</c:v>
                </c:pt>
                <c:pt idx="45">
                  <c:v>0.44241787954298001</c:v>
                </c:pt>
                <c:pt idx="46">
                  <c:v>0.44241787954298001</c:v>
                </c:pt>
                <c:pt idx="47">
                  <c:v>0.41926854513922601</c:v>
                </c:pt>
                <c:pt idx="48">
                  <c:v>0.47241973099249801</c:v>
                </c:pt>
                <c:pt idx="49">
                  <c:v>0.447997908024105</c:v>
                </c:pt>
                <c:pt idx="50">
                  <c:v>0.42434402519227898</c:v>
                </c:pt>
                <c:pt idx="51">
                  <c:v>0.42258598579352902</c:v>
                </c:pt>
                <c:pt idx="52">
                  <c:v>0.447997908024105</c:v>
                </c:pt>
                <c:pt idx="53">
                  <c:v>0.44740081291084099</c:v>
                </c:pt>
                <c:pt idx="54">
                  <c:v>0.44562837110466802</c:v>
                </c:pt>
                <c:pt idx="55">
                  <c:v>0.42349289634896597</c:v>
                </c:pt>
                <c:pt idx="56">
                  <c:v>0.42315654967107302</c:v>
                </c:pt>
                <c:pt idx="57">
                  <c:v>0.37348002875422498</c:v>
                </c:pt>
                <c:pt idx="58">
                  <c:v>0.37394334466633</c:v>
                </c:pt>
                <c:pt idx="59">
                  <c:v>0.37550642358643799</c:v>
                </c:pt>
                <c:pt idx="60">
                  <c:v>0.34451093908200903</c:v>
                </c:pt>
                <c:pt idx="61">
                  <c:v>0.31383635422742501</c:v>
                </c:pt>
                <c:pt idx="62">
                  <c:v>0.34373332978073601</c:v>
                </c:pt>
                <c:pt idx="63">
                  <c:v>0.37475184713589199</c:v>
                </c:pt>
                <c:pt idx="64">
                  <c:v>0.34537825411835699</c:v>
                </c:pt>
                <c:pt idx="65">
                  <c:v>0.37584545219724702</c:v>
                </c:pt>
                <c:pt idx="66">
                  <c:v>0.34853875137296803</c:v>
                </c:pt>
                <c:pt idx="67">
                  <c:v>0.35043602810261099</c:v>
                </c:pt>
                <c:pt idx="68">
                  <c:v>0.380280894786581</c:v>
                </c:pt>
                <c:pt idx="69">
                  <c:v>0.407383000493176</c:v>
                </c:pt>
                <c:pt idx="70">
                  <c:v>0.38449844249950499</c:v>
                </c:pt>
                <c:pt idx="71">
                  <c:v>0.32547727058860199</c:v>
                </c:pt>
                <c:pt idx="72">
                  <c:v>0.32467403778332998</c:v>
                </c:pt>
                <c:pt idx="73">
                  <c:v>0.29015447722721099</c:v>
                </c:pt>
                <c:pt idx="74">
                  <c:v>0.265306805945277</c:v>
                </c:pt>
                <c:pt idx="75">
                  <c:v>0.29162362501885603</c:v>
                </c:pt>
                <c:pt idx="76">
                  <c:v>0.29198850689481598</c:v>
                </c:pt>
                <c:pt idx="77">
                  <c:v>0.33082970500556302</c:v>
                </c:pt>
                <c:pt idx="78">
                  <c:v>0.331227934580689</c:v>
                </c:pt>
                <c:pt idx="79">
                  <c:v>0.401262959025458</c:v>
                </c:pt>
                <c:pt idx="80">
                  <c:v>0.42989701258795199</c:v>
                </c:pt>
                <c:pt idx="81">
                  <c:v>0.37120289750535601</c:v>
                </c:pt>
                <c:pt idx="82">
                  <c:v>0.44788779304034998</c:v>
                </c:pt>
                <c:pt idx="83">
                  <c:v>0.47501022290439499</c:v>
                </c:pt>
                <c:pt idx="84">
                  <c:v>0.45648777309490202</c:v>
                </c:pt>
                <c:pt idx="85">
                  <c:v>0.40902347477168999</c:v>
                </c:pt>
                <c:pt idx="86">
                  <c:v>0.43701315967767701</c:v>
                </c:pt>
                <c:pt idx="87">
                  <c:v>0.43751781158176101</c:v>
                </c:pt>
                <c:pt idx="88">
                  <c:v>0.41607421536967498</c:v>
                </c:pt>
                <c:pt idx="89">
                  <c:v>0.32091811677951898</c:v>
                </c:pt>
                <c:pt idx="90">
                  <c:v>0.28251411119681702</c:v>
                </c:pt>
                <c:pt idx="91">
                  <c:v>0.29894428975906101</c:v>
                </c:pt>
                <c:pt idx="92">
                  <c:v>0.32738957382411199</c:v>
                </c:pt>
                <c:pt idx="93">
                  <c:v>0.28848466841060699</c:v>
                </c:pt>
                <c:pt idx="94">
                  <c:v>0.36292296585782302</c:v>
                </c:pt>
                <c:pt idx="95">
                  <c:v>0.36292296585782302</c:v>
                </c:pt>
                <c:pt idx="96">
                  <c:v>0.36357930006355599</c:v>
                </c:pt>
                <c:pt idx="97">
                  <c:v>0.40895553727695599</c:v>
                </c:pt>
                <c:pt idx="98">
                  <c:v>0.407195502334876</c:v>
                </c:pt>
                <c:pt idx="99">
                  <c:v>0.32003461094412999</c:v>
                </c:pt>
                <c:pt idx="100">
                  <c:v>0.439218479739446</c:v>
                </c:pt>
                <c:pt idx="101">
                  <c:v>0.35042164075900101</c:v>
                </c:pt>
                <c:pt idx="102">
                  <c:v>0.55919632116239604</c:v>
                </c:pt>
                <c:pt idx="103">
                  <c:v>0.55842108987699401</c:v>
                </c:pt>
                <c:pt idx="104">
                  <c:v>0.57861777554698002</c:v>
                </c:pt>
                <c:pt idx="105">
                  <c:v>0.61546645850988302</c:v>
                </c:pt>
                <c:pt idx="106">
                  <c:v>0.68530860108825797</c:v>
                </c:pt>
                <c:pt idx="107">
                  <c:v>0.72159050384319001</c:v>
                </c:pt>
                <c:pt idx="108">
                  <c:v>0.75094523370436095</c:v>
                </c:pt>
                <c:pt idx="109">
                  <c:v>0.77520531199879605</c:v>
                </c:pt>
                <c:pt idx="110">
                  <c:v>0.759939269856726</c:v>
                </c:pt>
                <c:pt idx="111">
                  <c:v>0.76108985756873504</c:v>
                </c:pt>
                <c:pt idx="112">
                  <c:v>0.73719138808657003</c:v>
                </c:pt>
                <c:pt idx="113">
                  <c:v>0.71361316522728502</c:v>
                </c:pt>
                <c:pt idx="114">
                  <c:v>0.712062870316722</c:v>
                </c:pt>
                <c:pt idx="115">
                  <c:v>0.72870485724391698</c:v>
                </c:pt>
                <c:pt idx="116">
                  <c:v>0.69793386100167498</c:v>
                </c:pt>
                <c:pt idx="117">
                  <c:v>0.731898053840778</c:v>
                </c:pt>
                <c:pt idx="118">
                  <c:v>0.75332777657917305</c:v>
                </c:pt>
                <c:pt idx="119">
                  <c:v>0.73462902469773095</c:v>
                </c:pt>
                <c:pt idx="120">
                  <c:v>0.75155379277106704</c:v>
                </c:pt>
                <c:pt idx="121">
                  <c:v>0.75155379277106704</c:v>
                </c:pt>
                <c:pt idx="122">
                  <c:v>0.77322369572310801</c:v>
                </c:pt>
                <c:pt idx="123">
                  <c:v>0.81634992305868503</c:v>
                </c:pt>
                <c:pt idx="124">
                  <c:v>0.83503612629874802</c:v>
                </c:pt>
                <c:pt idx="125">
                  <c:v>0.81798384699460103</c:v>
                </c:pt>
                <c:pt idx="126">
                  <c:v>0.83696581575361895</c:v>
                </c:pt>
                <c:pt idx="127">
                  <c:v>0.85626060279274896</c:v>
                </c:pt>
                <c:pt idx="128">
                  <c:v>0.85522983991809798</c:v>
                </c:pt>
                <c:pt idx="129">
                  <c:v>0.87412257034895602</c:v>
                </c:pt>
                <c:pt idx="130">
                  <c:v>0.85662578219432695</c:v>
                </c:pt>
                <c:pt idx="131">
                  <c:v>0.86996445945149903</c:v>
                </c:pt>
                <c:pt idx="132">
                  <c:v>0.88773399472374204</c:v>
                </c:pt>
                <c:pt idx="133">
                  <c:v>0.86999483052125803</c:v>
                </c:pt>
                <c:pt idx="134">
                  <c:v>0.85194480836680198</c:v>
                </c:pt>
                <c:pt idx="135">
                  <c:v>0.85225052894835196</c:v>
                </c:pt>
                <c:pt idx="136">
                  <c:v>0.87683234085301398</c:v>
                </c:pt>
                <c:pt idx="137">
                  <c:v>0.89368551357821302</c:v>
                </c:pt>
                <c:pt idx="138">
                  <c:v>0.87811016351224602</c:v>
                </c:pt>
                <c:pt idx="139">
                  <c:v>0.89522709255279198</c:v>
                </c:pt>
                <c:pt idx="140">
                  <c:v>0.91259028169208301</c:v>
                </c:pt>
                <c:pt idx="141">
                  <c:v>0.87344930653794395</c:v>
                </c:pt>
                <c:pt idx="142">
                  <c:v>0.85731125996939705</c:v>
                </c:pt>
                <c:pt idx="143">
                  <c:v>0.854493626143913</c:v>
                </c:pt>
                <c:pt idx="144">
                  <c:v>0.86745968477328095</c:v>
                </c:pt>
                <c:pt idx="145">
                  <c:v>0.83819941388679298</c:v>
                </c:pt>
                <c:pt idx="146">
                  <c:v>0.85198632502448901</c:v>
                </c:pt>
                <c:pt idx="147">
                  <c:v>0.86745968477328095</c:v>
                </c:pt>
                <c:pt idx="148">
                  <c:v>0.86768818253450297</c:v>
                </c:pt>
                <c:pt idx="149">
                  <c:v>0.89814744996460805</c:v>
                </c:pt>
                <c:pt idx="150">
                  <c:v>0.88516739973977598</c:v>
                </c:pt>
                <c:pt idx="151">
                  <c:v>0.88265848165302496</c:v>
                </c:pt>
                <c:pt idx="152">
                  <c:v>0.85531584833132801</c:v>
                </c:pt>
                <c:pt idx="153">
                  <c:v>0.86306170802286497</c:v>
                </c:pt>
                <c:pt idx="154">
                  <c:v>0.86306170802286497</c:v>
                </c:pt>
                <c:pt idx="155">
                  <c:v>0.84549296973434196</c:v>
                </c:pt>
                <c:pt idx="156">
                  <c:v>0.86243439572202496</c:v>
                </c:pt>
                <c:pt idx="157">
                  <c:v>0.83268888035603505</c:v>
                </c:pt>
                <c:pt idx="158">
                  <c:v>0.82948257912141399</c:v>
                </c:pt>
                <c:pt idx="159">
                  <c:v>0.83152220645888697</c:v>
                </c:pt>
                <c:pt idx="160">
                  <c:v>0.807152941952609</c:v>
                </c:pt>
                <c:pt idx="161">
                  <c:v>0.80437080516661097</c:v>
                </c:pt>
                <c:pt idx="162">
                  <c:v>0.80193881910043296</c:v>
                </c:pt>
                <c:pt idx="163">
                  <c:v>0.77781138796328697</c:v>
                </c:pt>
                <c:pt idx="164">
                  <c:v>0.80193881910043296</c:v>
                </c:pt>
                <c:pt idx="165">
                  <c:v>0.75253147533014197</c:v>
                </c:pt>
                <c:pt idx="166">
                  <c:v>0.749723434167341</c:v>
                </c:pt>
                <c:pt idx="167">
                  <c:v>0.69937061468571404</c:v>
                </c:pt>
                <c:pt idx="168">
                  <c:v>0.77421402081353796</c:v>
                </c:pt>
                <c:pt idx="169">
                  <c:v>0.78283886771012201</c:v>
                </c:pt>
                <c:pt idx="170">
                  <c:v>0.77480777056815697</c:v>
                </c:pt>
                <c:pt idx="171">
                  <c:v>0.76669716579457303</c:v>
                </c:pt>
                <c:pt idx="172">
                  <c:v>0.79842547980239797</c:v>
                </c:pt>
                <c:pt idx="173">
                  <c:v>0.79842547980239797</c:v>
                </c:pt>
                <c:pt idx="174">
                  <c:v>0.79842547980239797</c:v>
                </c:pt>
                <c:pt idx="175">
                  <c:v>0.78339393568549298</c:v>
                </c:pt>
                <c:pt idx="176">
                  <c:v>0.81461584859780101</c:v>
                </c:pt>
                <c:pt idx="177">
                  <c:v>0.81626218699844599</c:v>
                </c:pt>
                <c:pt idx="178">
                  <c:v>0.80629912189469399</c:v>
                </c:pt>
                <c:pt idx="179">
                  <c:v>0.81734633197465201</c:v>
                </c:pt>
                <c:pt idx="180">
                  <c:v>0.82537040355923197</c:v>
                </c:pt>
                <c:pt idx="181">
                  <c:v>0.79646175435893696</c:v>
                </c:pt>
                <c:pt idx="182">
                  <c:v>0.79445840936885304</c:v>
                </c:pt>
                <c:pt idx="183">
                  <c:v>0.79441104681633201</c:v>
                </c:pt>
                <c:pt idx="184">
                  <c:v>0.80850149462655696</c:v>
                </c:pt>
                <c:pt idx="185">
                  <c:v>0.80719780316763601</c:v>
                </c:pt>
                <c:pt idx="186">
                  <c:v>0.80724570771905702</c:v>
                </c:pt>
                <c:pt idx="187">
                  <c:v>0.80719780316763601</c:v>
                </c:pt>
                <c:pt idx="188">
                  <c:v>0.77033919514702098</c:v>
                </c:pt>
                <c:pt idx="189">
                  <c:v>0.76889855223368597</c:v>
                </c:pt>
                <c:pt idx="190">
                  <c:v>0.75043074974252599</c:v>
                </c:pt>
                <c:pt idx="191">
                  <c:v>0.82324225699227804</c:v>
                </c:pt>
                <c:pt idx="192">
                  <c:v>0.83535228019697605</c:v>
                </c:pt>
                <c:pt idx="193">
                  <c:v>0.78804143101353397</c:v>
                </c:pt>
                <c:pt idx="194">
                  <c:v>0.78804143101353397</c:v>
                </c:pt>
                <c:pt idx="195">
                  <c:v>0.78586619764471199</c:v>
                </c:pt>
                <c:pt idx="196">
                  <c:v>0.72518805605942505</c:v>
                </c:pt>
                <c:pt idx="197">
                  <c:v>0.73013076231760698</c:v>
                </c:pt>
                <c:pt idx="198">
                  <c:v>0.76968967049094095</c:v>
                </c:pt>
                <c:pt idx="199">
                  <c:v>0.68796050816059295</c:v>
                </c:pt>
                <c:pt idx="200">
                  <c:v>0.59636201439054404</c:v>
                </c:pt>
                <c:pt idx="201">
                  <c:v>0.52333294764067595</c:v>
                </c:pt>
                <c:pt idx="202">
                  <c:v>0.53018048409344898</c:v>
                </c:pt>
                <c:pt idx="203">
                  <c:v>0.55014388201104203</c:v>
                </c:pt>
                <c:pt idx="204">
                  <c:v>0.49771283747510803</c:v>
                </c:pt>
                <c:pt idx="205">
                  <c:v>0.55445082777023702</c:v>
                </c:pt>
                <c:pt idx="206">
                  <c:v>0.53450860338875705</c:v>
                </c:pt>
                <c:pt idx="207">
                  <c:v>0.55544034698333999</c:v>
                </c:pt>
                <c:pt idx="208">
                  <c:v>0.55556126357331004</c:v>
                </c:pt>
                <c:pt idx="209">
                  <c:v>0.53450860338875705</c:v>
                </c:pt>
                <c:pt idx="210">
                  <c:v>0.50568534347274297</c:v>
                </c:pt>
                <c:pt idx="211">
                  <c:v>0.50447592982476996</c:v>
                </c:pt>
                <c:pt idx="212">
                  <c:v>0.50042582297659</c:v>
                </c:pt>
                <c:pt idx="213">
                  <c:v>0.45891120103405703</c:v>
                </c:pt>
                <c:pt idx="214">
                  <c:v>0.44565511936132601</c:v>
                </c:pt>
                <c:pt idx="215">
                  <c:v>0.44381782258269298</c:v>
                </c:pt>
                <c:pt idx="216">
                  <c:v>0.41340612440810998</c:v>
                </c:pt>
                <c:pt idx="217">
                  <c:v>0.414778538159287</c:v>
                </c:pt>
                <c:pt idx="218">
                  <c:v>0.42282958858632702</c:v>
                </c:pt>
                <c:pt idx="219">
                  <c:v>0.450158099668103</c:v>
                </c:pt>
                <c:pt idx="220">
                  <c:v>0.46784663358763601</c:v>
                </c:pt>
                <c:pt idx="221">
                  <c:v>0.42124985629360401</c:v>
                </c:pt>
                <c:pt idx="222">
                  <c:v>0.42215163100202302</c:v>
                </c:pt>
                <c:pt idx="223">
                  <c:v>0.41551493659156002</c:v>
                </c:pt>
                <c:pt idx="224">
                  <c:v>0.37678804128174298</c:v>
                </c:pt>
                <c:pt idx="225">
                  <c:v>0.35529176669040102</c:v>
                </c:pt>
                <c:pt idx="226">
                  <c:v>0.43462013043084002</c:v>
                </c:pt>
                <c:pt idx="227">
                  <c:v>0.47679593730615699</c:v>
                </c:pt>
                <c:pt idx="228">
                  <c:v>0.48029569588235599</c:v>
                </c:pt>
                <c:pt idx="229">
                  <c:v>0.49650185657562101</c:v>
                </c:pt>
                <c:pt idx="230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263616"/>
        <c:axId val="289265152"/>
      </c:lineChart>
      <c:lineChart>
        <c:grouping val="standar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Bloomberg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Query!$B$3:$B$233</c:f>
              <c:numCache>
                <c:formatCode>m/d/yyyy</c:formatCode>
                <c:ptCount val="231"/>
                <c:pt idx="0">
                  <c:v>42159</c:v>
                </c:pt>
                <c:pt idx="1">
                  <c:v>42152</c:v>
                </c:pt>
                <c:pt idx="2">
                  <c:v>42145</c:v>
                </c:pt>
                <c:pt idx="3">
                  <c:v>42138</c:v>
                </c:pt>
                <c:pt idx="4">
                  <c:v>42131</c:v>
                </c:pt>
                <c:pt idx="5">
                  <c:v>42124</c:v>
                </c:pt>
                <c:pt idx="6">
                  <c:v>42117</c:v>
                </c:pt>
                <c:pt idx="7">
                  <c:v>42110</c:v>
                </c:pt>
                <c:pt idx="8">
                  <c:v>42103</c:v>
                </c:pt>
                <c:pt idx="9">
                  <c:v>42096</c:v>
                </c:pt>
                <c:pt idx="10">
                  <c:v>42089</c:v>
                </c:pt>
                <c:pt idx="11">
                  <c:v>42082</c:v>
                </c:pt>
                <c:pt idx="12">
                  <c:v>42075</c:v>
                </c:pt>
                <c:pt idx="13">
                  <c:v>42068</c:v>
                </c:pt>
                <c:pt idx="14">
                  <c:v>42061</c:v>
                </c:pt>
                <c:pt idx="15">
                  <c:v>42054</c:v>
                </c:pt>
                <c:pt idx="16">
                  <c:v>42047</c:v>
                </c:pt>
                <c:pt idx="17">
                  <c:v>42040</c:v>
                </c:pt>
                <c:pt idx="18">
                  <c:v>42033</c:v>
                </c:pt>
                <c:pt idx="19">
                  <c:v>42026</c:v>
                </c:pt>
                <c:pt idx="20">
                  <c:v>42019</c:v>
                </c:pt>
                <c:pt idx="21">
                  <c:v>42012</c:v>
                </c:pt>
                <c:pt idx="22">
                  <c:v>42004</c:v>
                </c:pt>
                <c:pt idx="23">
                  <c:v>41997</c:v>
                </c:pt>
                <c:pt idx="24">
                  <c:v>41991</c:v>
                </c:pt>
                <c:pt idx="25">
                  <c:v>41984</c:v>
                </c:pt>
                <c:pt idx="26">
                  <c:v>41977</c:v>
                </c:pt>
                <c:pt idx="27">
                  <c:v>41969</c:v>
                </c:pt>
                <c:pt idx="28">
                  <c:v>41963</c:v>
                </c:pt>
                <c:pt idx="29">
                  <c:v>41956</c:v>
                </c:pt>
                <c:pt idx="30">
                  <c:v>41949</c:v>
                </c:pt>
                <c:pt idx="31">
                  <c:v>41942</c:v>
                </c:pt>
                <c:pt idx="32">
                  <c:v>41935</c:v>
                </c:pt>
                <c:pt idx="33">
                  <c:v>41928</c:v>
                </c:pt>
                <c:pt idx="34">
                  <c:v>41921</c:v>
                </c:pt>
                <c:pt idx="35">
                  <c:v>41914</c:v>
                </c:pt>
                <c:pt idx="36">
                  <c:v>41907</c:v>
                </c:pt>
                <c:pt idx="37">
                  <c:v>41900</c:v>
                </c:pt>
                <c:pt idx="38">
                  <c:v>41893</c:v>
                </c:pt>
                <c:pt idx="39">
                  <c:v>41886</c:v>
                </c:pt>
                <c:pt idx="40">
                  <c:v>41879</c:v>
                </c:pt>
                <c:pt idx="41">
                  <c:v>41872</c:v>
                </c:pt>
                <c:pt idx="42">
                  <c:v>41865</c:v>
                </c:pt>
                <c:pt idx="43">
                  <c:v>41858</c:v>
                </c:pt>
                <c:pt idx="44">
                  <c:v>41851</c:v>
                </c:pt>
                <c:pt idx="45">
                  <c:v>41844</c:v>
                </c:pt>
                <c:pt idx="46">
                  <c:v>41837</c:v>
                </c:pt>
                <c:pt idx="47">
                  <c:v>41830</c:v>
                </c:pt>
                <c:pt idx="48">
                  <c:v>41823</c:v>
                </c:pt>
                <c:pt idx="49">
                  <c:v>41816</c:v>
                </c:pt>
                <c:pt idx="50">
                  <c:v>41809</c:v>
                </c:pt>
                <c:pt idx="51">
                  <c:v>41802</c:v>
                </c:pt>
                <c:pt idx="52">
                  <c:v>41795</c:v>
                </c:pt>
                <c:pt idx="53">
                  <c:v>41788</c:v>
                </c:pt>
                <c:pt idx="54">
                  <c:v>41781</c:v>
                </c:pt>
                <c:pt idx="55">
                  <c:v>41774</c:v>
                </c:pt>
                <c:pt idx="56">
                  <c:v>41767</c:v>
                </c:pt>
                <c:pt idx="57">
                  <c:v>41760</c:v>
                </c:pt>
                <c:pt idx="58">
                  <c:v>41753</c:v>
                </c:pt>
                <c:pt idx="59">
                  <c:v>41746</c:v>
                </c:pt>
                <c:pt idx="60">
                  <c:v>41739</c:v>
                </c:pt>
                <c:pt idx="61">
                  <c:v>41732</c:v>
                </c:pt>
                <c:pt idx="62">
                  <c:v>41725</c:v>
                </c:pt>
                <c:pt idx="63">
                  <c:v>41718</c:v>
                </c:pt>
                <c:pt idx="64">
                  <c:v>41711</c:v>
                </c:pt>
                <c:pt idx="65">
                  <c:v>41704</c:v>
                </c:pt>
                <c:pt idx="66">
                  <c:v>41697</c:v>
                </c:pt>
                <c:pt idx="67">
                  <c:v>41690</c:v>
                </c:pt>
                <c:pt idx="68">
                  <c:v>41683</c:v>
                </c:pt>
                <c:pt idx="69">
                  <c:v>41676</c:v>
                </c:pt>
                <c:pt idx="70">
                  <c:v>41669</c:v>
                </c:pt>
                <c:pt idx="71">
                  <c:v>41662</c:v>
                </c:pt>
                <c:pt idx="72">
                  <c:v>41655</c:v>
                </c:pt>
                <c:pt idx="73">
                  <c:v>41648</c:v>
                </c:pt>
                <c:pt idx="74">
                  <c:v>41641</c:v>
                </c:pt>
                <c:pt idx="75">
                  <c:v>41634</c:v>
                </c:pt>
                <c:pt idx="76">
                  <c:v>41627</c:v>
                </c:pt>
                <c:pt idx="77">
                  <c:v>41620</c:v>
                </c:pt>
                <c:pt idx="78">
                  <c:v>41613</c:v>
                </c:pt>
                <c:pt idx="79">
                  <c:v>41605</c:v>
                </c:pt>
                <c:pt idx="80">
                  <c:v>41599</c:v>
                </c:pt>
                <c:pt idx="81">
                  <c:v>41592</c:v>
                </c:pt>
                <c:pt idx="82">
                  <c:v>41585</c:v>
                </c:pt>
                <c:pt idx="83">
                  <c:v>41578</c:v>
                </c:pt>
                <c:pt idx="84">
                  <c:v>41571</c:v>
                </c:pt>
                <c:pt idx="85">
                  <c:v>41564</c:v>
                </c:pt>
                <c:pt idx="86">
                  <c:v>41557</c:v>
                </c:pt>
                <c:pt idx="87">
                  <c:v>41550</c:v>
                </c:pt>
                <c:pt idx="88">
                  <c:v>41543</c:v>
                </c:pt>
                <c:pt idx="89">
                  <c:v>41536</c:v>
                </c:pt>
                <c:pt idx="90">
                  <c:v>41529</c:v>
                </c:pt>
                <c:pt idx="91">
                  <c:v>41522</c:v>
                </c:pt>
                <c:pt idx="92">
                  <c:v>41515</c:v>
                </c:pt>
                <c:pt idx="93">
                  <c:v>41508</c:v>
                </c:pt>
                <c:pt idx="94">
                  <c:v>41501</c:v>
                </c:pt>
                <c:pt idx="95">
                  <c:v>41494</c:v>
                </c:pt>
                <c:pt idx="96">
                  <c:v>41487</c:v>
                </c:pt>
                <c:pt idx="97">
                  <c:v>41480</c:v>
                </c:pt>
                <c:pt idx="98">
                  <c:v>41473</c:v>
                </c:pt>
                <c:pt idx="99">
                  <c:v>41466</c:v>
                </c:pt>
                <c:pt idx="100">
                  <c:v>41458</c:v>
                </c:pt>
                <c:pt idx="101">
                  <c:v>41452</c:v>
                </c:pt>
                <c:pt idx="102">
                  <c:v>41445</c:v>
                </c:pt>
                <c:pt idx="103">
                  <c:v>41438</c:v>
                </c:pt>
                <c:pt idx="104">
                  <c:v>41431</c:v>
                </c:pt>
                <c:pt idx="105">
                  <c:v>41424</c:v>
                </c:pt>
                <c:pt idx="106">
                  <c:v>41417</c:v>
                </c:pt>
                <c:pt idx="107">
                  <c:v>41410</c:v>
                </c:pt>
                <c:pt idx="108">
                  <c:v>41403</c:v>
                </c:pt>
                <c:pt idx="109">
                  <c:v>41396</c:v>
                </c:pt>
                <c:pt idx="110">
                  <c:v>41389</c:v>
                </c:pt>
                <c:pt idx="111">
                  <c:v>41382</c:v>
                </c:pt>
                <c:pt idx="112">
                  <c:v>41375</c:v>
                </c:pt>
                <c:pt idx="113">
                  <c:v>41368</c:v>
                </c:pt>
                <c:pt idx="114">
                  <c:v>41361</c:v>
                </c:pt>
                <c:pt idx="115">
                  <c:v>41354</c:v>
                </c:pt>
                <c:pt idx="116">
                  <c:v>41347</c:v>
                </c:pt>
                <c:pt idx="117">
                  <c:v>41340</c:v>
                </c:pt>
                <c:pt idx="118">
                  <c:v>41333</c:v>
                </c:pt>
                <c:pt idx="119">
                  <c:v>41326</c:v>
                </c:pt>
                <c:pt idx="120">
                  <c:v>41319</c:v>
                </c:pt>
                <c:pt idx="121">
                  <c:v>41312</c:v>
                </c:pt>
                <c:pt idx="122">
                  <c:v>41305</c:v>
                </c:pt>
                <c:pt idx="123">
                  <c:v>41298</c:v>
                </c:pt>
                <c:pt idx="124">
                  <c:v>41291</c:v>
                </c:pt>
                <c:pt idx="125">
                  <c:v>41284</c:v>
                </c:pt>
                <c:pt idx="126">
                  <c:v>41277</c:v>
                </c:pt>
                <c:pt idx="127">
                  <c:v>41270</c:v>
                </c:pt>
                <c:pt idx="128">
                  <c:v>41263</c:v>
                </c:pt>
                <c:pt idx="129">
                  <c:v>41256</c:v>
                </c:pt>
                <c:pt idx="130">
                  <c:v>41249</c:v>
                </c:pt>
                <c:pt idx="131">
                  <c:v>41242</c:v>
                </c:pt>
                <c:pt idx="132">
                  <c:v>41234</c:v>
                </c:pt>
                <c:pt idx="133">
                  <c:v>41228</c:v>
                </c:pt>
                <c:pt idx="134">
                  <c:v>41221</c:v>
                </c:pt>
                <c:pt idx="135">
                  <c:v>41214</c:v>
                </c:pt>
                <c:pt idx="136">
                  <c:v>41207</c:v>
                </c:pt>
                <c:pt idx="137">
                  <c:v>41200</c:v>
                </c:pt>
                <c:pt idx="138">
                  <c:v>41193</c:v>
                </c:pt>
                <c:pt idx="139">
                  <c:v>41186</c:v>
                </c:pt>
                <c:pt idx="140">
                  <c:v>41179</c:v>
                </c:pt>
                <c:pt idx="141">
                  <c:v>41172</c:v>
                </c:pt>
                <c:pt idx="142">
                  <c:v>41165</c:v>
                </c:pt>
                <c:pt idx="143">
                  <c:v>41158</c:v>
                </c:pt>
                <c:pt idx="144">
                  <c:v>41151</c:v>
                </c:pt>
                <c:pt idx="145">
                  <c:v>41144</c:v>
                </c:pt>
                <c:pt idx="146">
                  <c:v>41137</c:v>
                </c:pt>
                <c:pt idx="147">
                  <c:v>41130</c:v>
                </c:pt>
                <c:pt idx="148">
                  <c:v>41123</c:v>
                </c:pt>
                <c:pt idx="149">
                  <c:v>41116</c:v>
                </c:pt>
                <c:pt idx="150">
                  <c:v>41109</c:v>
                </c:pt>
                <c:pt idx="151">
                  <c:v>41102</c:v>
                </c:pt>
                <c:pt idx="152">
                  <c:v>41095</c:v>
                </c:pt>
                <c:pt idx="153">
                  <c:v>41088</c:v>
                </c:pt>
                <c:pt idx="154">
                  <c:v>41081</c:v>
                </c:pt>
                <c:pt idx="155">
                  <c:v>41074</c:v>
                </c:pt>
                <c:pt idx="156">
                  <c:v>41067</c:v>
                </c:pt>
                <c:pt idx="157">
                  <c:v>41060</c:v>
                </c:pt>
                <c:pt idx="158">
                  <c:v>41053</c:v>
                </c:pt>
                <c:pt idx="159">
                  <c:v>41046</c:v>
                </c:pt>
                <c:pt idx="160">
                  <c:v>41039</c:v>
                </c:pt>
                <c:pt idx="161">
                  <c:v>41032</c:v>
                </c:pt>
                <c:pt idx="162">
                  <c:v>41025</c:v>
                </c:pt>
                <c:pt idx="163">
                  <c:v>41018</c:v>
                </c:pt>
                <c:pt idx="164">
                  <c:v>41011</c:v>
                </c:pt>
                <c:pt idx="165">
                  <c:v>41004</c:v>
                </c:pt>
                <c:pt idx="166">
                  <c:v>40997</c:v>
                </c:pt>
                <c:pt idx="167">
                  <c:v>40990</c:v>
                </c:pt>
                <c:pt idx="168">
                  <c:v>40983</c:v>
                </c:pt>
                <c:pt idx="169">
                  <c:v>40976</c:v>
                </c:pt>
                <c:pt idx="170">
                  <c:v>40969</c:v>
                </c:pt>
                <c:pt idx="171">
                  <c:v>40962</c:v>
                </c:pt>
                <c:pt idx="172">
                  <c:v>40955</c:v>
                </c:pt>
                <c:pt idx="173">
                  <c:v>40948</c:v>
                </c:pt>
                <c:pt idx="174">
                  <c:v>40941</c:v>
                </c:pt>
                <c:pt idx="175">
                  <c:v>40934</c:v>
                </c:pt>
                <c:pt idx="176">
                  <c:v>40927</c:v>
                </c:pt>
                <c:pt idx="177">
                  <c:v>40920</c:v>
                </c:pt>
                <c:pt idx="178">
                  <c:v>40913</c:v>
                </c:pt>
                <c:pt idx="179">
                  <c:v>40906</c:v>
                </c:pt>
                <c:pt idx="180">
                  <c:v>40899</c:v>
                </c:pt>
                <c:pt idx="181">
                  <c:v>40892</c:v>
                </c:pt>
                <c:pt idx="182">
                  <c:v>40885</c:v>
                </c:pt>
                <c:pt idx="183">
                  <c:v>40878</c:v>
                </c:pt>
                <c:pt idx="184">
                  <c:v>40870</c:v>
                </c:pt>
                <c:pt idx="185">
                  <c:v>40864</c:v>
                </c:pt>
                <c:pt idx="186">
                  <c:v>40857</c:v>
                </c:pt>
                <c:pt idx="187">
                  <c:v>40850</c:v>
                </c:pt>
                <c:pt idx="188">
                  <c:v>40843</c:v>
                </c:pt>
                <c:pt idx="189">
                  <c:v>40836</c:v>
                </c:pt>
                <c:pt idx="190">
                  <c:v>40829</c:v>
                </c:pt>
                <c:pt idx="191">
                  <c:v>40822</c:v>
                </c:pt>
                <c:pt idx="192">
                  <c:v>40815</c:v>
                </c:pt>
                <c:pt idx="193">
                  <c:v>40808</c:v>
                </c:pt>
                <c:pt idx="194">
                  <c:v>40801</c:v>
                </c:pt>
                <c:pt idx="195">
                  <c:v>40794</c:v>
                </c:pt>
                <c:pt idx="196">
                  <c:v>40787</c:v>
                </c:pt>
                <c:pt idx="197">
                  <c:v>40780</c:v>
                </c:pt>
                <c:pt idx="198">
                  <c:v>40773</c:v>
                </c:pt>
                <c:pt idx="199">
                  <c:v>40766</c:v>
                </c:pt>
                <c:pt idx="200">
                  <c:v>40759</c:v>
                </c:pt>
                <c:pt idx="201">
                  <c:v>40752</c:v>
                </c:pt>
                <c:pt idx="202">
                  <c:v>40745</c:v>
                </c:pt>
                <c:pt idx="203">
                  <c:v>40738</c:v>
                </c:pt>
                <c:pt idx="204">
                  <c:v>40731</c:v>
                </c:pt>
                <c:pt idx="205">
                  <c:v>40724</c:v>
                </c:pt>
                <c:pt idx="206">
                  <c:v>40717</c:v>
                </c:pt>
                <c:pt idx="207">
                  <c:v>40710</c:v>
                </c:pt>
                <c:pt idx="208">
                  <c:v>40703</c:v>
                </c:pt>
                <c:pt idx="209">
                  <c:v>40696</c:v>
                </c:pt>
                <c:pt idx="210">
                  <c:v>40689</c:v>
                </c:pt>
                <c:pt idx="211">
                  <c:v>40682</c:v>
                </c:pt>
                <c:pt idx="212">
                  <c:v>40675</c:v>
                </c:pt>
                <c:pt idx="213">
                  <c:v>40668</c:v>
                </c:pt>
                <c:pt idx="214">
                  <c:v>40661</c:v>
                </c:pt>
                <c:pt idx="215">
                  <c:v>40654</c:v>
                </c:pt>
                <c:pt idx="216">
                  <c:v>40647</c:v>
                </c:pt>
                <c:pt idx="217">
                  <c:v>40640</c:v>
                </c:pt>
                <c:pt idx="218">
                  <c:v>40633</c:v>
                </c:pt>
                <c:pt idx="219">
                  <c:v>40626</c:v>
                </c:pt>
                <c:pt idx="220">
                  <c:v>40619</c:v>
                </c:pt>
                <c:pt idx="221">
                  <c:v>40612</c:v>
                </c:pt>
                <c:pt idx="222">
                  <c:v>40605</c:v>
                </c:pt>
                <c:pt idx="223">
                  <c:v>40598</c:v>
                </c:pt>
                <c:pt idx="224">
                  <c:v>40591</c:v>
                </c:pt>
                <c:pt idx="225">
                  <c:v>40584</c:v>
                </c:pt>
                <c:pt idx="226">
                  <c:v>40577</c:v>
                </c:pt>
                <c:pt idx="227">
                  <c:v>40570</c:v>
                </c:pt>
                <c:pt idx="228">
                  <c:v>40563</c:v>
                </c:pt>
                <c:pt idx="229">
                  <c:v>40556</c:v>
                </c:pt>
                <c:pt idx="230">
                  <c:v>40549</c:v>
                </c:pt>
              </c:numCache>
            </c:numRef>
          </c:cat>
          <c:val>
            <c:numRef>
              <c:f>Query!$E$3:$E$233</c:f>
              <c:numCache>
                <c:formatCode>0.00</c:formatCode>
                <c:ptCount val="231"/>
                <c:pt idx="0">
                  <c:v>#N/A</c:v>
                </c:pt>
                <c:pt idx="1">
                  <c:v>1233.9000000000001</c:v>
                </c:pt>
                <c:pt idx="2">
                  <c:v>1408.1</c:v>
                </c:pt>
                <c:pt idx="3">
                  <c:v>1448.8</c:v>
                </c:pt>
                <c:pt idx="4">
                  <c:v>1477.8</c:v>
                </c:pt>
                <c:pt idx="5">
                  <c:v>1559.4</c:v>
                </c:pt>
                <c:pt idx="6">
                  <c:v>1723</c:v>
                </c:pt>
                <c:pt idx="7">
                  <c:v>1817</c:v>
                </c:pt>
                <c:pt idx="8">
                  <c:v>1804.6</c:v>
                </c:pt>
                <c:pt idx="9">
                  <c:v>1854.7</c:v>
                </c:pt>
                <c:pt idx="10">
                  <c:v>1941.6</c:v>
                </c:pt>
                <c:pt idx="11">
                  <c:v>1860.8</c:v>
                </c:pt>
                <c:pt idx="12">
                  <c:v>1623.6</c:v>
                </c:pt>
                <c:pt idx="13">
                  <c:v>1685.7</c:v>
                </c:pt>
                <c:pt idx="14">
                  <c:v>1740.3</c:v>
                </c:pt>
                <c:pt idx="15">
                  <c:v>1703.1</c:v>
                </c:pt>
                <c:pt idx="16">
                  <c:v>1904.2</c:v>
                </c:pt>
                <c:pt idx="17">
                  <c:v>2291.3000000000002</c:v>
                </c:pt>
                <c:pt idx="18">
                  <c:v>2584.8000000000002</c:v>
                </c:pt>
                <c:pt idx="19">
                  <c:v>2572.3000000000002</c:v>
                </c:pt>
                <c:pt idx="20">
                  <c:v>2799.3</c:v>
                </c:pt>
                <c:pt idx="21">
                  <c:v>2271.5</c:v>
                </c:pt>
                <c:pt idx="22">
                  <c:v>1347.6</c:v>
                </c:pt>
                <c:pt idx="23">
                  <c:v>1164.2</c:v>
                </c:pt>
                <c:pt idx="24">
                  <c:v>1538.7</c:v>
                </c:pt>
                <c:pt idx="25">
                  <c:v>1518.8</c:v>
                </c:pt>
                <c:pt idx="26">
                  <c:v>1548.6</c:v>
                </c:pt>
                <c:pt idx="27">
                  <c:v>#N/A</c:v>
                </c:pt>
                <c:pt idx="28">
                  <c:v>1547.9</c:v>
                </c:pt>
                <c:pt idx="29">
                  <c:v>1563.2</c:v>
                </c:pt>
                <c:pt idx="30">
                  <c:v>1565.3</c:v>
                </c:pt>
                <c:pt idx="31">
                  <c:v>1604.8</c:v>
                </c:pt>
                <c:pt idx="32">
                  <c:v>1713.6</c:v>
                </c:pt>
                <c:pt idx="33">
                  <c:v>1898.2</c:v>
                </c:pt>
                <c:pt idx="34">
                  <c:v>1560.6</c:v>
                </c:pt>
                <c:pt idx="35">
                  <c:v>1387.1</c:v>
                </c:pt>
                <c:pt idx="36">
                  <c:v>1326.2</c:v>
                </c:pt>
                <c:pt idx="37">
                  <c:v>1335.1</c:v>
                </c:pt>
                <c:pt idx="38">
                  <c:v>1398.4</c:v>
                </c:pt>
                <c:pt idx="39">
                  <c:v>1275.8</c:v>
                </c:pt>
                <c:pt idx="40">
                  <c:v>1436</c:v>
                </c:pt>
                <c:pt idx="41">
                  <c:v>1439.4</c:v>
                </c:pt>
                <c:pt idx="42">
                  <c:v>1404.9</c:v>
                </c:pt>
                <c:pt idx="43">
                  <c:v>1342.6</c:v>
                </c:pt>
                <c:pt idx="44">
                  <c:v>1373.9</c:v>
                </c:pt>
                <c:pt idx="45">
                  <c:v>1327.5</c:v>
                </c:pt>
                <c:pt idx="46">
                  <c:v>1400.7</c:v>
                </c:pt>
                <c:pt idx="47">
                  <c:v>1329.7</c:v>
                </c:pt>
                <c:pt idx="48">
                  <c:v>1346.8</c:v>
                </c:pt>
                <c:pt idx="49">
                  <c:v>1341.8</c:v>
                </c:pt>
                <c:pt idx="50">
                  <c:v>1333.5</c:v>
                </c:pt>
                <c:pt idx="51">
                  <c:v>1321.3</c:v>
                </c:pt>
                <c:pt idx="52">
                  <c:v>1516.9</c:v>
                </c:pt>
                <c:pt idx="53">
                  <c:v>1382.6</c:v>
                </c:pt>
                <c:pt idx="54">
                  <c:v>1453.4</c:v>
                </c:pt>
                <c:pt idx="55">
                  <c:v>1460.6</c:v>
                </c:pt>
                <c:pt idx="56">
                  <c:v>1400.9</c:v>
                </c:pt>
                <c:pt idx="57">
                  <c:v>1323.9</c:v>
                </c:pt>
                <c:pt idx="58">
                  <c:v>1298.0999999999999</c:v>
                </c:pt>
                <c:pt idx="59">
                  <c:v>1370.9</c:v>
                </c:pt>
                <c:pt idx="60">
                  <c:v>1429.9</c:v>
                </c:pt>
                <c:pt idx="61">
                  <c:v>1324.7</c:v>
                </c:pt>
                <c:pt idx="62">
                  <c:v>1383.5</c:v>
                </c:pt>
                <c:pt idx="63">
                  <c:v>1426.3</c:v>
                </c:pt>
                <c:pt idx="64">
                  <c:v>1552.1</c:v>
                </c:pt>
                <c:pt idx="65">
                  <c:v>1528</c:v>
                </c:pt>
                <c:pt idx="66">
                  <c:v>1600.6</c:v>
                </c:pt>
                <c:pt idx="67">
                  <c:v>1442.3</c:v>
                </c:pt>
                <c:pt idx="68">
                  <c:v>1650.6</c:v>
                </c:pt>
                <c:pt idx="69">
                  <c:v>1674.2</c:v>
                </c:pt>
                <c:pt idx="70">
                  <c:v>1667.5</c:v>
                </c:pt>
                <c:pt idx="71">
                  <c:v>1601.2</c:v>
                </c:pt>
                <c:pt idx="72">
                  <c:v>1675.8</c:v>
                </c:pt>
                <c:pt idx="73">
                  <c:v>1507</c:v>
                </c:pt>
                <c:pt idx="74">
                  <c:v>1352.7</c:v>
                </c:pt>
                <c:pt idx="75">
                  <c:v>1277.8</c:v>
                </c:pt>
                <c:pt idx="76">
                  <c:v>1426.7</c:v>
                </c:pt>
                <c:pt idx="77">
                  <c:v>1529.8</c:v>
                </c:pt>
                <c:pt idx="78">
                  <c:v>1599.4</c:v>
                </c:pt>
                <c:pt idx="79">
                  <c:v>#N/A</c:v>
                </c:pt>
                <c:pt idx="80">
                  <c:v>1917.2</c:v>
                </c:pt>
                <c:pt idx="81">
                  <c:v>1903.5</c:v>
                </c:pt>
                <c:pt idx="82">
                  <c:v>2056.9</c:v>
                </c:pt>
                <c:pt idx="83">
                  <c:v>2105.6</c:v>
                </c:pt>
                <c:pt idx="84">
                  <c:v>2211.8000000000002</c:v>
                </c:pt>
                <c:pt idx="85">
                  <c:v>2033.7</c:v>
                </c:pt>
                <c:pt idx="86">
                  <c:v>2102.6999999999998</c:v>
                </c:pt>
                <c:pt idx="87">
                  <c:v>2025.3</c:v>
                </c:pt>
                <c:pt idx="88">
                  <c:v>1956.6</c:v>
                </c:pt>
                <c:pt idx="89">
                  <c:v>1922.9</c:v>
                </c:pt>
                <c:pt idx="90">
                  <c:v>1814</c:v>
                </c:pt>
                <c:pt idx="91">
                  <c:v>1512.9</c:v>
                </c:pt>
                <c:pt idx="92">
                  <c:v>1909</c:v>
                </c:pt>
                <c:pt idx="93">
                  <c:v>1842.6</c:v>
                </c:pt>
                <c:pt idx="94">
                  <c:v>1935.1</c:v>
                </c:pt>
                <c:pt idx="95">
                  <c:v>2110.6</c:v>
                </c:pt>
                <c:pt idx="96">
                  <c:v>2228.9</c:v>
                </c:pt>
                <c:pt idx="97">
                  <c:v>2218.3000000000002</c:v>
                </c:pt>
                <c:pt idx="98">
                  <c:v>2288</c:v>
                </c:pt>
                <c:pt idx="99">
                  <c:v>2242.1999999999998</c:v>
                </c:pt>
                <c:pt idx="100">
                  <c:v>#N/A</c:v>
                </c:pt>
                <c:pt idx="101">
                  <c:v>2573.4</c:v>
                </c:pt>
                <c:pt idx="102">
                  <c:v>3040.1</c:v>
                </c:pt>
                <c:pt idx="103">
                  <c:v>3214.4</c:v>
                </c:pt>
                <c:pt idx="104">
                  <c:v>3339.8</c:v>
                </c:pt>
                <c:pt idx="105">
                  <c:v>3163.6</c:v>
                </c:pt>
                <c:pt idx="106">
                  <c:v>3709.4</c:v>
                </c:pt>
                <c:pt idx="107">
                  <c:v>4241.5</c:v>
                </c:pt>
                <c:pt idx="108">
                  <c:v>4797.2</c:v>
                </c:pt>
                <c:pt idx="109">
                  <c:v>5279.9</c:v>
                </c:pt>
                <c:pt idx="110">
                  <c:v>4854.1000000000004</c:v>
                </c:pt>
                <c:pt idx="111">
                  <c:v>4672.1000000000004</c:v>
                </c:pt>
                <c:pt idx="112">
                  <c:v>4726.8999999999996</c:v>
                </c:pt>
                <c:pt idx="113">
                  <c:v>4528.8999999999996</c:v>
                </c:pt>
                <c:pt idx="114">
                  <c:v>4119.2</c:v>
                </c:pt>
                <c:pt idx="115">
                  <c:v>4412.8999999999996</c:v>
                </c:pt>
                <c:pt idx="116">
                  <c:v>4111.3</c:v>
                </c:pt>
                <c:pt idx="117">
                  <c:v>4485.2</c:v>
                </c:pt>
                <c:pt idx="118">
                  <c:v>4724.8999999999996</c:v>
                </c:pt>
                <c:pt idx="119">
                  <c:v>4136.3</c:v>
                </c:pt>
                <c:pt idx="120">
                  <c:v>4261.8</c:v>
                </c:pt>
                <c:pt idx="121">
                  <c:v>4284.3</c:v>
                </c:pt>
                <c:pt idx="122">
                  <c:v>4579</c:v>
                </c:pt>
                <c:pt idx="123">
                  <c:v>4433.6000000000004</c:v>
                </c:pt>
                <c:pt idx="124">
                  <c:v>4937.3999999999996</c:v>
                </c:pt>
                <c:pt idx="125">
                  <c:v>4554.3999999999996</c:v>
                </c:pt>
                <c:pt idx="126">
                  <c:v>3896.4</c:v>
                </c:pt>
                <c:pt idx="127">
                  <c:v>3488.9</c:v>
                </c:pt>
                <c:pt idx="128">
                  <c:v>3983.2</c:v>
                </c:pt>
                <c:pt idx="129">
                  <c:v>4564.3999999999996</c:v>
                </c:pt>
                <c:pt idx="130">
                  <c:v>5368.1</c:v>
                </c:pt>
                <c:pt idx="131">
                  <c:v>4943</c:v>
                </c:pt>
                <c:pt idx="132">
                  <c:v>#N/A</c:v>
                </c:pt>
                <c:pt idx="133">
                  <c:v>4702.3999999999996</c:v>
                </c:pt>
                <c:pt idx="134">
                  <c:v>4856.1000000000004</c:v>
                </c:pt>
                <c:pt idx="135">
                  <c:v>4297.7</c:v>
                </c:pt>
                <c:pt idx="136">
                  <c:v>4550.7</c:v>
                </c:pt>
                <c:pt idx="137">
                  <c:v>4847.2</c:v>
                </c:pt>
                <c:pt idx="138">
                  <c:v>5572.2</c:v>
                </c:pt>
                <c:pt idx="139">
                  <c:v>5892.5</c:v>
                </c:pt>
                <c:pt idx="140">
                  <c:v>5965.5</c:v>
                </c:pt>
                <c:pt idx="141">
                  <c:v>4979</c:v>
                </c:pt>
                <c:pt idx="142">
                  <c:v>4823.3</c:v>
                </c:pt>
                <c:pt idx="143">
                  <c:v>4779.1000000000004</c:v>
                </c:pt>
                <c:pt idx="144">
                  <c:v>4274.8</c:v>
                </c:pt>
                <c:pt idx="145">
                  <c:v>4414.6000000000004</c:v>
                </c:pt>
                <c:pt idx="146">
                  <c:v>4671.1000000000004</c:v>
                </c:pt>
                <c:pt idx="147">
                  <c:v>5172.2</c:v>
                </c:pt>
                <c:pt idx="148">
                  <c:v>5444.3</c:v>
                </c:pt>
                <c:pt idx="149">
                  <c:v>5492.1</c:v>
                </c:pt>
                <c:pt idx="150">
                  <c:v>5383.1</c:v>
                </c:pt>
                <c:pt idx="151">
                  <c:v>5246.8</c:v>
                </c:pt>
                <c:pt idx="152">
                  <c:v>4267.8999999999996</c:v>
                </c:pt>
                <c:pt idx="153">
                  <c:v>4372.2</c:v>
                </c:pt>
                <c:pt idx="154">
                  <c:v>4585.8</c:v>
                </c:pt>
                <c:pt idx="155">
                  <c:v>4719.6000000000004</c:v>
                </c:pt>
                <c:pt idx="156">
                  <c:v>5590</c:v>
                </c:pt>
                <c:pt idx="157">
                  <c:v>4736</c:v>
                </c:pt>
                <c:pt idx="158">
                  <c:v>4675.8999999999996</c:v>
                </c:pt>
                <c:pt idx="159">
                  <c:v>4732</c:v>
                </c:pt>
                <c:pt idx="160">
                  <c:v>4482</c:v>
                </c:pt>
                <c:pt idx="161">
                  <c:v>3924.4</c:v>
                </c:pt>
                <c:pt idx="162">
                  <c:v>3856</c:v>
                </c:pt>
                <c:pt idx="163">
                  <c:v>3892.2</c:v>
                </c:pt>
                <c:pt idx="164">
                  <c:v>4144.3</c:v>
                </c:pt>
                <c:pt idx="165">
                  <c:v>3549.3</c:v>
                </c:pt>
                <c:pt idx="166">
                  <c:v>3699.5</c:v>
                </c:pt>
                <c:pt idx="167">
                  <c:v>3588.4</c:v>
                </c:pt>
                <c:pt idx="168">
                  <c:v>3715.2</c:v>
                </c:pt>
                <c:pt idx="169">
                  <c:v>4063.4</c:v>
                </c:pt>
                <c:pt idx="170">
                  <c:v>4277.6000000000004</c:v>
                </c:pt>
                <c:pt idx="171">
                  <c:v>4379.1000000000004</c:v>
                </c:pt>
                <c:pt idx="172">
                  <c:v>4466.8999999999996</c:v>
                </c:pt>
                <c:pt idx="173">
                  <c:v>4716.1000000000004</c:v>
                </c:pt>
                <c:pt idx="174">
                  <c:v>4617.1000000000004</c:v>
                </c:pt>
                <c:pt idx="175">
                  <c:v>4184.3</c:v>
                </c:pt>
                <c:pt idx="176">
                  <c:v>4326.3999999999996</c:v>
                </c:pt>
                <c:pt idx="177">
                  <c:v>4626.5</c:v>
                </c:pt>
                <c:pt idx="178">
                  <c:v>3668.3</c:v>
                </c:pt>
                <c:pt idx="179">
                  <c:v>3608.1</c:v>
                </c:pt>
                <c:pt idx="180">
                  <c:v>3684.5</c:v>
                </c:pt>
                <c:pt idx="181">
                  <c:v>3676.1</c:v>
                </c:pt>
                <c:pt idx="182">
                  <c:v>3708.6</c:v>
                </c:pt>
                <c:pt idx="183">
                  <c:v>3394.7</c:v>
                </c:pt>
                <c:pt idx="184">
                  <c:v>#N/A</c:v>
                </c:pt>
                <c:pt idx="185">
                  <c:v>3466.8</c:v>
                </c:pt>
                <c:pt idx="186">
                  <c:v>3664.5</c:v>
                </c:pt>
                <c:pt idx="187">
                  <c:v>4137.6000000000004</c:v>
                </c:pt>
                <c:pt idx="188">
                  <c:v>3695</c:v>
                </c:pt>
                <c:pt idx="189">
                  <c:v>3719.3</c:v>
                </c:pt>
                <c:pt idx="190">
                  <c:v>3553.2</c:v>
                </c:pt>
                <c:pt idx="191">
                  <c:v>4251.1000000000004</c:v>
                </c:pt>
                <c:pt idx="192">
                  <c:v>4241.8</c:v>
                </c:pt>
                <c:pt idx="193">
                  <c:v>4512.1000000000004</c:v>
                </c:pt>
                <c:pt idx="194">
                  <c:v>4033.8</c:v>
                </c:pt>
                <c:pt idx="195">
                  <c:v>3571.7</c:v>
                </c:pt>
                <c:pt idx="196">
                  <c:v>3372</c:v>
                </c:pt>
                <c:pt idx="197">
                  <c:v>3601.3</c:v>
                </c:pt>
                <c:pt idx="198">
                  <c:v>4110.8</c:v>
                </c:pt>
                <c:pt idx="199">
                  <c:v>4184.3999999999996</c:v>
                </c:pt>
                <c:pt idx="200">
                  <c:v>3880.9</c:v>
                </c:pt>
                <c:pt idx="201">
                  <c:v>2974.1</c:v>
                </c:pt>
                <c:pt idx="202">
                  <c:v>2769.6</c:v>
                </c:pt>
                <c:pt idx="203">
                  <c:v>2923.8</c:v>
                </c:pt>
                <c:pt idx="204">
                  <c:v>2362.6999999999998</c:v>
                </c:pt>
                <c:pt idx="205">
                  <c:v>2527.5</c:v>
                </c:pt>
                <c:pt idx="206">
                  <c:v>2809.5</c:v>
                </c:pt>
                <c:pt idx="207">
                  <c:v>2857.9</c:v>
                </c:pt>
                <c:pt idx="208">
                  <c:v>3101.7</c:v>
                </c:pt>
                <c:pt idx="209">
                  <c:v>2648</c:v>
                </c:pt>
                <c:pt idx="210">
                  <c:v>2619.6999999999998</c:v>
                </c:pt>
                <c:pt idx="211">
                  <c:v>2764.6</c:v>
                </c:pt>
                <c:pt idx="212">
                  <c:v>2742.2</c:v>
                </c:pt>
                <c:pt idx="213">
                  <c:v>2414.9</c:v>
                </c:pt>
                <c:pt idx="214">
                  <c:v>2220.1</c:v>
                </c:pt>
                <c:pt idx="215">
                  <c:v>2091.4</c:v>
                </c:pt>
                <c:pt idx="216">
                  <c:v>2065.3000000000002</c:v>
                </c:pt>
                <c:pt idx="217">
                  <c:v>2010.6</c:v>
                </c:pt>
                <c:pt idx="218">
                  <c:v>2194.4</c:v>
                </c:pt>
                <c:pt idx="219">
                  <c:v>2350.6999999999998</c:v>
                </c:pt>
                <c:pt idx="220">
                  <c:v>2620.8000000000002</c:v>
                </c:pt>
                <c:pt idx="221">
                  <c:v>2563.6</c:v>
                </c:pt>
                <c:pt idx="222">
                  <c:v>2539.4</c:v>
                </c:pt>
                <c:pt idx="223">
                  <c:v>2155.5</c:v>
                </c:pt>
                <c:pt idx="224">
                  <c:v>2325.3000000000002</c:v>
                </c:pt>
                <c:pt idx="225">
                  <c:v>1953.2</c:v>
                </c:pt>
                <c:pt idx="226">
                  <c:v>2190.4</c:v>
                </c:pt>
                <c:pt idx="227">
                  <c:v>2371.1</c:v>
                </c:pt>
                <c:pt idx="228">
                  <c:v>2129.6999999999998</c:v>
                </c:pt>
                <c:pt idx="229">
                  <c:v>2528.6999999999998</c:v>
                </c:pt>
                <c:pt idx="230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275264"/>
        <c:axId val="289267712"/>
      </c:lineChart>
      <c:dateAx>
        <c:axId val="28926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89265152"/>
        <c:crosses val="autoZero"/>
        <c:auto val="1"/>
        <c:lblOffset val="100"/>
        <c:baseTimeUnit val="days"/>
        <c:majorUnit val="6"/>
        <c:majorTimeUnit val="months"/>
      </c:dateAx>
      <c:valAx>
        <c:axId val="289265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63616"/>
        <c:crosses val="autoZero"/>
        <c:crossBetween val="between"/>
      </c:valAx>
      <c:valAx>
        <c:axId val="2892677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Bloomberg MBAVCMRS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89275264"/>
        <c:crosses val="max"/>
        <c:crossBetween val="between"/>
      </c:valAx>
      <c:dateAx>
        <c:axId val="28927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8926771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3.77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Rate'!$F$12:$P$12</c:f>
              <c:numCache>
                <c:formatCode>0.00%</c:formatCode>
                <c:ptCount val="11"/>
                <c:pt idx="0">
                  <c:v>0.80799498708842732</c:v>
                </c:pt>
                <c:pt idx="1">
                  <c:v>0.78392915809988017</c:v>
                </c:pt>
                <c:pt idx="2">
                  <c:v>0.71651730665930002</c:v>
                </c:pt>
                <c:pt idx="3">
                  <c:v>0.62920207708920783</c:v>
                </c:pt>
                <c:pt idx="4">
                  <c:v>0.58891575870881585</c:v>
                </c:pt>
                <c:pt idx="5">
                  <c:v>0.54411437418255881</c:v>
                </c:pt>
                <c:pt idx="6">
                  <c:v>0.50889439316160145</c:v>
                </c:pt>
                <c:pt idx="7">
                  <c:v>0.43580375995722553</c:v>
                </c:pt>
                <c:pt idx="8">
                  <c:v>0.365245741938859</c:v>
                </c:pt>
                <c:pt idx="9">
                  <c:v>0.31536824589657764</c:v>
                </c:pt>
                <c:pt idx="10">
                  <c:v>0.28418221163239366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Rate'!$E$13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3.77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Rate'!$F$13:$P$13</c:f>
              <c:numCache>
                <c:formatCode>0.00%</c:formatCode>
                <c:ptCount val="11"/>
                <c:pt idx="0">
                  <c:v>0.76344407772862821</c:v>
                </c:pt>
                <c:pt idx="1">
                  <c:v>0.72773036028524607</c:v>
                </c:pt>
                <c:pt idx="2">
                  <c:v>0.66063522577239353</c:v>
                </c:pt>
                <c:pt idx="3">
                  <c:v>0.59584864654221092</c:v>
                </c:pt>
                <c:pt idx="4">
                  <c:v>0.55623972238487351</c:v>
                </c:pt>
                <c:pt idx="5">
                  <c:v>0.49151040605794738</c:v>
                </c:pt>
                <c:pt idx="6">
                  <c:v>0.45975079201585678</c:v>
                </c:pt>
                <c:pt idx="7">
                  <c:v>0.39825759910940028</c:v>
                </c:pt>
                <c:pt idx="8">
                  <c:v>0.3459780428592461</c:v>
                </c:pt>
                <c:pt idx="9">
                  <c:v>0.32101461201332909</c:v>
                </c:pt>
                <c:pt idx="10">
                  <c:v>0.27064818379051486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368384"/>
        <c:axId val="356610048"/>
      </c:lineChart>
      <c:catAx>
        <c:axId val="3563683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56610048"/>
        <c:crosses val="autoZero"/>
        <c:auto val="1"/>
        <c:lblAlgn val="ctr"/>
        <c:lblOffset val="100"/>
        <c:noMultiLvlLbl val="0"/>
      </c:catAx>
      <c:valAx>
        <c:axId val="35661004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56368384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Rate'!$E$12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3.77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Rate'!$F$12:$P$12</c:f>
              <c:numCache>
                <c:formatCode>0.00%</c:formatCode>
                <c:ptCount val="11"/>
                <c:pt idx="0">
                  <c:v>0.80799498708842732</c:v>
                </c:pt>
                <c:pt idx="1">
                  <c:v>0.78392915809988017</c:v>
                </c:pt>
                <c:pt idx="2">
                  <c:v>0.71651730665930002</c:v>
                </c:pt>
                <c:pt idx="3">
                  <c:v>0.62920207708920783</c:v>
                </c:pt>
                <c:pt idx="4">
                  <c:v>0.58891575870881585</c:v>
                </c:pt>
                <c:pt idx="5">
                  <c:v>0.54411437418255881</c:v>
                </c:pt>
                <c:pt idx="6">
                  <c:v>0.50889439316160145</c:v>
                </c:pt>
                <c:pt idx="7">
                  <c:v>0.43580375995722553</c:v>
                </c:pt>
                <c:pt idx="8">
                  <c:v>0.365245741938859</c:v>
                </c:pt>
                <c:pt idx="9">
                  <c:v>0.31536824589657764</c:v>
                </c:pt>
                <c:pt idx="10">
                  <c:v>0.28418221163239366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Rate'!$E$13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3.77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Rate'!$F$13:$P$13</c:f>
              <c:numCache>
                <c:formatCode>0.00%</c:formatCode>
                <c:ptCount val="11"/>
                <c:pt idx="0">
                  <c:v>0.76344407772862821</c:v>
                </c:pt>
                <c:pt idx="1">
                  <c:v>0.72773036028524607</c:v>
                </c:pt>
                <c:pt idx="2">
                  <c:v>0.66063522577239353</c:v>
                </c:pt>
                <c:pt idx="3">
                  <c:v>0.59584864654221092</c:v>
                </c:pt>
                <c:pt idx="4">
                  <c:v>0.55623972238487351</c:v>
                </c:pt>
                <c:pt idx="5">
                  <c:v>0.49151040605794738</c:v>
                </c:pt>
                <c:pt idx="6">
                  <c:v>0.45975079201585678</c:v>
                </c:pt>
                <c:pt idx="7">
                  <c:v>0.39825759910940028</c:v>
                </c:pt>
                <c:pt idx="8">
                  <c:v>0.3459780428592461</c:v>
                </c:pt>
                <c:pt idx="9">
                  <c:v>0.32101461201332909</c:v>
                </c:pt>
                <c:pt idx="10">
                  <c:v>0.27064818379051486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577664"/>
        <c:axId val="164579200"/>
      </c:lineChart>
      <c:catAx>
        <c:axId val="16457766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4579200"/>
        <c:crosses val="autoZero"/>
        <c:auto val="1"/>
        <c:lblAlgn val="ctr"/>
        <c:lblOffset val="100"/>
        <c:noMultiLvlLbl val="0"/>
      </c:catAx>
      <c:valAx>
        <c:axId val="16457920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64577664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57150</xdr:colOff>
      <xdr:row>5</xdr:row>
      <xdr:rowOff>76201</xdr:rowOff>
    </xdr:from>
    <xdr:to>
      <xdr:col>25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26</xdr:col>
      <xdr:colOff>295276</xdr:colOff>
      <xdr:row>5</xdr:row>
      <xdr:rowOff>85726</xdr:rowOff>
    </xdr:from>
    <xdr:to>
      <xdr:col>28</xdr:col>
      <xdr:colOff>66676</xdr:colOff>
      <xdr:row>7</xdr:row>
      <xdr:rowOff>89536</xdr:rowOff>
    </xdr:to>
    <xdr:sp macro="[1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23</xdr:col>
      <xdr:colOff>514350</xdr:colOff>
      <xdr:row>17</xdr:row>
      <xdr:rowOff>104775</xdr:rowOff>
    </xdr:from>
    <xdr:to>
      <xdr:col>25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</xdr:col>
      <xdr:colOff>9524</xdr:colOff>
      <xdr:row>11</xdr:row>
      <xdr:rowOff>9524</xdr:rowOff>
    </xdr:from>
    <xdr:to>
      <xdr:col>12</xdr:col>
      <xdr:colOff>304800</xdr:colOff>
      <xdr:row>35</xdr:row>
      <xdr:rowOff>142875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685800</xdr:colOff>
      <xdr:row>34</xdr:row>
      <xdr:rowOff>19049</xdr:rowOff>
    </xdr:from>
    <xdr:to>
      <xdr:col>12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  <xdr:twoCellAnchor>
    <xdr:from>
      <xdr:col>12</xdr:col>
      <xdr:colOff>485776</xdr:colOff>
      <xdr:row>10</xdr:row>
      <xdr:rowOff>146049</xdr:rowOff>
    </xdr:from>
    <xdr:to>
      <xdr:col>18</xdr:col>
      <xdr:colOff>422275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10</xdr:row>
      <xdr:rowOff>14287</xdr:rowOff>
    </xdr:from>
    <xdr:to>
      <xdr:col>27</xdr:col>
      <xdr:colOff>266699</xdr:colOff>
      <xdr:row>26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Lien\14.Portfolio%20Data%20Query\1.MBA%20Refi%20vs%20FNMA%20Refinancible%20Universe\MBA%20refi%20index%20vs%20FNMA%20refinancible%20universe%20April%2027%202015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all FNCL"/>
      <sheetName val="projection"/>
      <sheetName val="Bloomberg"/>
    </sheetNames>
    <sheetDataSet>
      <sheetData sheetId="0"/>
      <sheetData sheetId="1">
        <row r="180">
          <cell r="I180">
            <v>40550</v>
          </cell>
          <cell r="J180">
            <v>2344.3000000000002</v>
          </cell>
          <cell r="L180">
            <v>0.62402170072443097</v>
          </cell>
        </row>
        <row r="181">
          <cell r="I181">
            <v>40557</v>
          </cell>
          <cell r="J181">
            <v>2528.6999999999998</v>
          </cell>
          <cell r="L181">
            <v>0.62817294477626895</v>
          </cell>
        </row>
        <row r="182">
          <cell r="I182">
            <v>40564</v>
          </cell>
          <cell r="J182">
            <v>2129.6999999999998</v>
          </cell>
          <cell r="L182">
            <v>0.62597730951219799</v>
          </cell>
        </row>
        <row r="183">
          <cell r="I183">
            <v>40571</v>
          </cell>
          <cell r="J183">
            <v>2371.1</v>
          </cell>
          <cell r="L183">
            <v>0.62392159162868699</v>
          </cell>
        </row>
        <row r="184">
          <cell r="I184">
            <v>40578</v>
          </cell>
          <cell r="J184">
            <v>2190.4</v>
          </cell>
          <cell r="L184">
            <v>0.60653142223595202</v>
          </cell>
        </row>
        <row r="185">
          <cell r="I185">
            <v>40585</v>
          </cell>
          <cell r="J185">
            <v>1953.2</v>
          </cell>
          <cell r="L185">
            <v>0.50868797673712296</v>
          </cell>
        </row>
        <row r="186">
          <cell r="I186">
            <v>40592</v>
          </cell>
          <cell r="J186">
            <v>2325.3000000000002</v>
          </cell>
          <cell r="L186">
            <v>0.52965901814335503</v>
          </cell>
        </row>
        <row r="187">
          <cell r="I187">
            <v>40599</v>
          </cell>
          <cell r="J187">
            <v>2155.5</v>
          </cell>
          <cell r="L187">
            <v>0.57709503787578098</v>
          </cell>
        </row>
        <row r="188">
          <cell r="I188">
            <v>40606</v>
          </cell>
          <cell r="J188">
            <v>2539.4</v>
          </cell>
          <cell r="L188">
            <v>0.59224775585706502</v>
          </cell>
        </row>
        <row r="189">
          <cell r="I189">
            <v>40613</v>
          </cell>
          <cell r="J189">
            <v>2563.6</v>
          </cell>
          <cell r="L189">
            <v>0.590905707896624</v>
          </cell>
        </row>
        <row r="190">
          <cell r="I190">
            <v>40620</v>
          </cell>
          <cell r="J190">
            <v>2620.8000000000002</v>
          </cell>
          <cell r="L190">
            <v>0.60261779474869903</v>
          </cell>
        </row>
        <row r="191">
          <cell r="I191">
            <v>40627</v>
          </cell>
          <cell r="J191">
            <v>2350.6999999999998</v>
          </cell>
          <cell r="L191">
            <v>0.59950595681897501</v>
          </cell>
        </row>
        <row r="192">
          <cell r="I192">
            <v>40634</v>
          </cell>
          <cell r="J192">
            <v>2194.4</v>
          </cell>
          <cell r="L192">
            <v>0.59322570820163401</v>
          </cell>
        </row>
        <row r="193">
          <cell r="I193">
            <v>40641</v>
          </cell>
          <cell r="J193">
            <v>2010.6</v>
          </cell>
          <cell r="L193">
            <v>0.58542144661011897</v>
          </cell>
        </row>
        <row r="194">
          <cell r="I194">
            <v>40648</v>
          </cell>
          <cell r="J194">
            <v>2065.3000000000002</v>
          </cell>
          <cell r="L194">
            <v>0.58155199492979504</v>
          </cell>
        </row>
        <row r="195">
          <cell r="I195">
            <v>40654</v>
          </cell>
          <cell r="J195">
            <v>2091.4</v>
          </cell>
          <cell r="L195">
            <v>0.59356262313394503</v>
          </cell>
        </row>
        <row r="196">
          <cell r="I196">
            <v>40662</v>
          </cell>
          <cell r="J196">
            <v>2220.1</v>
          </cell>
          <cell r="L196">
            <v>0.59445921362542897</v>
          </cell>
        </row>
        <row r="197">
          <cell r="I197">
            <v>40669</v>
          </cell>
          <cell r="J197">
            <v>2414.9</v>
          </cell>
          <cell r="L197">
            <v>0.59391131067456004</v>
          </cell>
        </row>
        <row r="198">
          <cell r="I198">
            <v>40676</v>
          </cell>
          <cell r="J198">
            <v>2742.2</v>
          </cell>
          <cell r="L198">
            <v>0.60662155942019902</v>
          </cell>
        </row>
        <row r="199">
          <cell r="I199">
            <v>40683</v>
          </cell>
          <cell r="J199">
            <v>2764.6</v>
          </cell>
          <cell r="L199">
            <v>0.61264076908113696</v>
          </cell>
        </row>
        <row r="200">
          <cell r="I200">
            <v>40690</v>
          </cell>
          <cell r="J200">
            <v>2619.6999999999998</v>
          </cell>
          <cell r="L200">
            <v>0.615993636080996</v>
          </cell>
        </row>
        <row r="201">
          <cell r="I201">
            <v>40697</v>
          </cell>
          <cell r="J201">
            <v>2648</v>
          </cell>
          <cell r="L201">
            <v>0.66311590107349005</v>
          </cell>
        </row>
        <row r="202">
          <cell r="I202">
            <v>40704</v>
          </cell>
          <cell r="J202">
            <v>3101.7</v>
          </cell>
          <cell r="L202">
            <v>0.74517189360077896</v>
          </cell>
        </row>
        <row r="203">
          <cell r="I203">
            <v>40711</v>
          </cell>
          <cell r="J203">
            <v>2857.9</v>
          </cell>
          <cell r="L203">
            <v>0.72397022872334404</v>
          </cell>
        </row>
        <row r="204">
          <cell r="I204">
            <v>40718</v>
          </cell>
          <cell r="J204">
            <v>2809.5</v>
          </cell>
          <cell r="L204">
            <v>0.66311590107349005</v>
          </cell>
        </row>
        <row r="205">
          <cell r="I205">
            <v>40725</v>
          </cell>
          <cell r="J205">
            <v>2527.5</v>
          </cell>
          <cell r="L205">
            <v>0.69050447134038195</v>
          </cell>
        </row>
        <row r="206">
          <cell r="I206">
            <v>40732</v>
          </cell>
          <cell r="J206">
            <v>2362.6999999999998</v>
          </cell>
          <cell r="L206">
            <v>0.60410549631050603</v>
          </cell>
        </row>
        <row r="207">
          <cell r="I207">
            <v>40739</v>
          </cell>
          <cell r="J207">
            <v>2923.8</v>
          </cell>
          <cell r="L207">
            <v>0.684475421712614</v>
          </cell>
        </row>
        <row r="208">
          <cell r="I208">
            <v>40746</v>
          </cell>
          <cell r="J208">
            <v>2769.6</v>
          </cell>
          <cell r="L208">
            <v>0.66675683999516899</v>
          </cell>
        </row>
        <row r="209">
          <cell r="I209">
            <v>40753</v>
          </cell>
          <cell r="J209">
            <v>2974.1</v>
          </cell>
          <cell r="L209">
            <v>0.61660059317974703</v>
          </cell>
        </row>
        <row r="210">
          <cell r="I210">
            <v>40760</v>
          </cell>
          <cell r="J210">
            <v>3880.9</v>
          </cell>
          <cell r="L210">
            <v>0.81803711941746404</v>
          </cell>
        </row>
        <row r="211">
          <cell r="I211">
            <v>40767</v>
          </cell>
          <cell r="J211">
            <v>4184.3999999999996</v>
          </cell>
          <cell r="L211">
            <v>0.83404184296119299</v>
          </cell>
        </row>
        <row r="212">
          <cell r="I212">
            <v>40774</v>
          </cell>
          <cell r="J212">
            <v>4110.8</v>
          </cell>
          <cell r="L212">
            <v>0.86117434904403201</v>
          </cell>
        </row>
        <row r="213">
          <cell r="I213">
            <v>40781</v>
          </cell>
          <cell r="J213">
            <v>3601.3</v>
          </cell>
          <cell r="L213">
            <v>0.84714025108084801</v>
          </cell>
        </row>
        <row r="214">
          <cell r="I214">
            <v>40788</v>
          </cell>
          <cell r="J214">
            <v>3372</v>
          </cell>
          <cell r="L214">
            <v>0.84129278814437103</v>
          </cell>
        </row>
        <row r="215">
          <cell r="I215">
            <v>40795</v>
          </cell>
          <cell r="J215">
            <v>3571.7</v>
          </cell>
          <cell r="L215">
            <v>0.87859103936280603</v>
          </cell>
        </row>
        <row r="216">
          <cell r="I216">
            <v>40802</v>
          </cell>
          <cell r="J216">
            <v>4033.78</v>
          </cell>
          <cell r="L216">
            <v>0.90242289630358996</v>
          </cell>
        </row>
        <row r="217">
          <cell r="I217">
            <v>40809</v>
          </cell>
          <cell r="J217">
            <v>4512.13</v>
          </cell>
          <cell r="L217">
            <v>0.90242289630358996</v>
          </cell>
        </row>
        <row r="218">
          <cell r="I218">
            <v>40816</v>
          </cell>
          <cell r="J218">
            <v>4241.8</v>
          </cell>
          <cell r="L218">
            <v>0.94644262124543399</v>
          </cell>
        </row>
        <row r="219">
          <cell r="I219">
            <v>40823</v>
          </cell>
          <cell r="J219">
            <v>4251.1000000000004</v>
          </cell>
          <cell r="L219">
            <v>0.967252006042155</v>
          </cell>
        </row>
        <row r="220">
          <cell r="I220">
            <v>40830</v>
          </cell>
          <cell r="J220">
            <v>3553.2</v>
          </cell>
          <cell r="L220">
            <v>0.84917694017596201</v>
          </cell>
        </row>
        <row r="221">
          <cell r="I221">
            <v>40837</v>
          </cell>
          <cell r="J221">
            <v>3719.3</v>
          </cell>
          <cell r="L221">
            <v>0.85635864773186399</v>
          </cell>
        </row>
        <row r="222">
          <cell r="I222">
            <v>40844</v>
          </cell>
          <cell r="J222">
            <v>3695</v>
          </cell>
          <cell r="L222">
            <v>0.86512672485653097</v>
          </cell>
        </row>
        <row r="223">
          <cell r="I223">
            <v>40851</v>
          </cell>
          <cell r="J223">
            <v>4137.6000000000004</v>
          </cell>
          <cell r="L223">
            <v>0.93485323798856301</v>
          </cell>
        </row>
        <row r="224">
          <cell r="I224">
            <v>40858</v>
          </cell>
          <cell r="J224">
            <v>3664.5</v>
          </cell>
          <cell r="L224">
            <v>0.94404770550683104</v>
          </cell>
        </row>
        <row r="225">
          <cell r="I225">
            <v>40865</v>
          </cell>
          <cell r="J225">
            <v>3466.8</v>
          </cell>
          <cell r="L225">
            <v>0.93485323798856301</v>
          </cell>
        </row>
        <row r="226">
          <cell r="I226">
            <v>40872</v>
          </cell>
          <cell r="J226">
            <v>2941.3</v>
          </cell>
          <cell r="L226">
            <v>0.94997170807452402</v>
          </cell>
        </row>
        <row r="227">
          <cell r="I227">
            <v>40879</v>
          </cell>
          <cell r="J227">
            <v>3394.7</v>
          </cell>
          <cell r="L227">
            <v>0.91542628506626</v>
          </cell>
        </row>
        <row r="228">
          <cell r="I228">
            <v>40886</v>
          </cell>
          <cell r="J228">
            <v>3708.6</v>
          </cell>
          <cell r="L228">
            <v>0.92487460681698297</v>
          </cell>
        </row>
        <row r="229">
          <cell r="I229">
            <v>40893</v>
          </cell>
          <cell r="J229">
            <v>3676.1</v>
          </cell>
          <cell r="L229">
            <v>0.93969161247928701</v>
          </cell>
        </row>
        <row r="230">
          <cell r="I230">
            <v>40900</v>
          </cell>
          <cell r="J230">
            <v>3684.5</v>
          </cell>
          <cell r="L230">
            <v>0.96019586623642394</v>
          </cell>
        </row>
        <row r="231">
          <cell r="I231">
            <v>40907</v>
          </cell>
          <cell r="J231">
            <v>3608.1</v>
          </cell>
          <cell r="L231">
            <v>0.94762260030460199</v>
          </cell>
        </row>
        <row r="232">
          <cell r="I232">
            <v>40914</v>
          </cell>
          <cell r="J232">
            <v>3668.3</v>
          </cell>
          <cell r="L232">
            <v>0.94481773750585696</v>
          </cell>
        </row>
        <row r="233">
          <cell r="I233">
            <v>40921</v>
          </cell>
          <cell r="J233">
            <v>4626.5</v>
          </cell>
          <cell r="L233">
            <v>0.95320351892281396</v>
          </cell>
        </row>
        <row r="234">
          <cell r="I234">
            <v>40928</v>
          </cell>
          <cell r="J234">
            <v>4326.3999999999996</v>
          </cell>
          <cell r="L234">
            <v>0.95182771809710398</v>
          </cell>
        </row>
        <row r="235">
          <cell r="I235">
            <v>40935</v>
          </cell>
          <cell r="J235">
            <v>4184.3</v>
          </cell>
          <cell r="L235">
            <v>0.91861521434498905</v>
          </cell>
        </row>
        <row r="236">
          <cell r="I236">
            <v>40942</v>
          </cell>
          <cell r="J236">
            <v>4617.1000000000004</v>
          </cell>
          <cell r="L236">
            <v>0.94107838104995301</v>
          </cell>
        </row>
        <row r="237">
          <cell r="I237">
            <v>40949</v>
          </cell>
          <cell r="J237">
            <v>4716.1000000000004</v>
          </cell>
          <cell r="L237">
            <v>0.94107838104995301</v>
          </cell>
        </row>
        <row r="238">
          <cell r="I238">
            <v>40956</v>
          </cell>
          <cell r="J238">
            <v>4466.8999999999996</v>
          </cell>
          <cell r="L238">
            <v>0.94107838104995301</v>
          </cell>
        </row>
        <row r="239">
          <cell r="I239">
            <v>40963</v>
          </cell>
          <cell r="J239">
            <v>4379.1000000000004</v>
          </cell>
          <cell r="L239">
            <v>0.90921329115869698</v>
          </cell>
        </row>
        <row r="240">
          <cell r="I240">
            <v>40970</v>
          </cell>
          <cell r="J240">
            <v>4277.6000000000004</v>
          </cell>
          <cell r="L240">
            <v>0.91584710240533496</v>
          </cell>
        </row>
        <row r="241">
          <cell r="I241">
            <v>40977</v>
          </cell>
          <cell r="J241">
            <v>4063.4</v>
          </cell>
          <cell r="L241">
            <v>0.91902765125865904</v>
          </cell>
        </row>
        <row r="242">
          <cell r="I242">
            <v>40984</v>
          </cell>
          <cell r="J242">
            <v>3715.2</v>
          </cell>
          <cell r="L242">
            <v>0.90514599034862198</v>
          </cell>
        </row>
        <row r="243">
          <cell r="I243">
            <v>40991</v>
          </cell>
          <cell r="J243">
            <v>3588.4</v>
          </cell>
          <cell r="L243">
            <v>0.78959380464288298</v>
          </cell>
        </row>
        <row r="244">
          <cell r="I244">
            <v>40998</v>
          </cell>
          <cell r="J244">
            <v>3699.5</v>
          </cell>
          <cell r="L244">
            <v>0.87490910290764401</v>
          </cell>
        </row>
        <row r="245">
          <cell r="I245">
            <v>41005</v>
          </cell>
          <cell r="J245">
            <v>3549.3</v>
          </cell>
          <cell r="L245">
            <v>0.86928745494692705</v>
          </cell>
        </row>
        <row r="246">
          <cell r="I246">
            <v>41012</v>
          </cell>
          <cell r="J246">
            <v>4144.3</v>
          </cell>
          <cell r="L246">
            <v>0.90849340717481797</v>
          </cell>
        </row>
        <row r="247">
          <cell r="I247">
            <v>41019</v>
          </cell>
          <cell r="J247">
            <v>3892.2</v>
          </cell>
          <cell r="L247">
            <v>0.90349839031693802</v>
          </cell>
        </row>
        <row r="248">
          <cell r="I248">
            <v>41026</v>
          </cell>
          <cell r="J248">
            <v>3856</v>
          </cell>
          <cell r="L248">
            <v>0.90849340717481797</v>
          </cell>
        </row>
        <row r="249">
          <cell r="I249">
            <v>41033</v>
          </cell>
          <cell r="J249">
            <v>3924.4</v>
          </cell>
          <cell r="L249">
            <v>0.89225108632442696</v>
          </cell>
        </row>
        <row r="250">
          <cell r="I250">
            <v>41040</v>
          </cell>
          <cell r="J250">
            <v>4482</v>
          </cell>
          <cell r="L250">
            <v>0.89337268606647202</v>
          </cell>
        </row>
        <row r="251">
          <cell r="I251">
            <v>41047</v>
          </cell>
          <cell r="J251">
            <v>4732</v>
          </cell>
          <cell r="L251">
            <v>0.89489979671430897</v>
          </cell>
        </row>
        <row r="252">
          <cell r="I252">
            <v>41054</v>
          </cell>
          <cell r="J252">
            <v>4675.8999999999996</v>
          </cell>
          <cell r="L252">
            <v>0.89443957907281701</v>
          </cell>
        </row>
        <row r="253">
          <cell r="I253">
            <v>41061</v>
          </cell>
          <cell r="J253">
            <v>4736</v>
          </cell>
          <cell r="L253">
            <v>0.895121220846959</v>
          </cell>
        </row>
        <row r="254">
          <cell r="I254">
            <v>41068</v>
          </cell>
          <cell r="J254">
            <v>5590</v>
          </cell>
          <cell r="L254">
            <v>0.89201954495855595</v>
          </cell>
        </row>
        <row r="255">
          <cell r="I255">
            <v>41075</v>
          </cell>
          <cell r="J255">
            <v>4719.6000000000004</v>
          </cell>
          <cell r="L255">
            <v>0.886674497978159</v>
          </cell>
        </row>
        <row r="256">
          <cell r="I256">
            <v>41082</v>
          </cell>
          <cell r="J256">
            <v>4585.8</v>
          </cell>
          <cell r="L256">
            <v>0.89407594990163797</v>
          </cell>
        </row>
        <row r="257">
          <cell r="I257">
            <v>41089</v>
          </cell>
          <cell r="J257">
            <v>4372.2</v>
          </cell>
          <cell r="L257">
            <v>0.89407594990163797</v>
          </cell>
        </row>
        <row r="258">
          <cell r="I258">
            <v>41096</v>
          </cell>
          <cell r="J258">
            <v>4267.8999999999996</v>
          </cell>
          <cell r="L258">
            <v>0.88191141048608501</v>
          </cell>
        </row>
        <row r="259">
          <cell r="I259">
            <v>41103</v>
          </cell>
          <cell r="J259">
            <v>5246.8</v>
          </cell>
          <cell r="L259">
            <v>0.94551237246929398</v>
          </cell>
        </row>
        <row r="260">
          <cell r="I260">
            <v>41110</v>
          </cell>
          <cell r="J260">
            <v>5383.1</v>
          </cell>
          <cell r="L260">
            <v>0.97186924857157997</v>
          </cell>
        </row>
        <row r="261">
          <cell r="I261">
            <v>41117</v>
          </cell>
          <cell r="J261">
            <v>5492.1</v>
          </cell>
          <cell r="L261">
            <v>0.98451993370244095</v>
          </cell>
        </row>
        <row r="262">
          <cell r="I262">
            <v>41124</v>
          </cell>
          <cell r="J262">
            <v>5444.3</v>
          </cell>
          <cell r="L262">
            <v>0.93852225394978095</v>
          </cell>
        </row>
        <row r="263">
          <cell r="I263">
            <v>41131</v>
          </cell>
          <cell r="J263">
            <v>5172.2</v>
          </cell>
          <cell r="L263">
            <v>0.92408794393225502</v>
          </cell>
        </row>
        <row r="264">
          <cell r="I264">
            <v>41138</v>
          </cell>
          <cell r="J264">
            <v>4671.1000000000004</v>
          </cell>
          <cell r="L264">
            <v>0.88445471641937101</v>
          </cell>
        </row>
        <row r="265">
          <cell r="I265">
            <v>41145</v>
          </cell>
          <cell r="J265">
            <v>4423</v>
          </cell>
          <cell r="L265">
            <v>0.85694996797233802</v>
          </cell>
        </row>
        <row r="266">
          <cell r="I266">
            <v>41152</v>
          </cell>
          <cell r="J266">
            <v>4273.1000000000004</v>
          </cell>
          <cell r="L266">
            <v>0.92408794393225502</v>
          </cell>
        </row>
        <row r="267">
          <cell r="I267">
            <v>41159</v>
          </cell>
          <cell r="J267">
            <v>4779.1000000000004</v>
          </cell>
          <cell r="L267">
            <v>0.91761037893987496</v>
          </cell>
        </row>
        <row r="268">
          <cell r="I268">
            <v>41166</v>
          </cell>
          <cell r="J268">
            <v>4823.3</v>
          </cell>
          <cell r="L268">
            <v>0.940476462565773</v>
          </cell>
        </row>
        <row r="269">
          <cell r="I269">
            <v>41173</v>
          </cell>
          <cell r="J269">
            <v>4979</v>
          </cell>
          <cell r="L269">
            <v>0.95891425076544701</v>
          </cell>
        </row>
        <row r="270">
          <cell r="I270">
            <v>41180</v>
          </cell>
          <cell r="J270">
            <v>5965.5</v>
          </cell>
          <cell r="L270">
            <v>0.96459917415866603</v>
          </cell>
        </row>
        <row r="271">
          <cell r="I271">
            <v>41187</v>
          </cell>
          <cell r="J271">
            <v>5892.5</v>
          </cell>
          <cell r="L271">
            <v>0.95362908529618595</v>
          </cell>
        </row>
        <row r="272">
          <cell r="I272">
            <v>41194</v>
          </cell>
          <cell r="J272">
            <v>5572.2</v>
          </cell>
          <cell r="L272">
            <v>0.95159604304738399</v>
          </cell>
        </row>
        <row r="273">
          <cell r="I273">
            <v>41201</v>
          </cell>
          <cell r="J273">
            <v>4847.2</v>
          </cell>
          <cell r="L273">
            <v>0.95277295236812298</v>
          </cell>
        </row>
        <row r="274">
          <cell r="I274">
            <v>41208</v>
          </cell>
          <cell r="J274">
            <v>4550.7</v>
          </cell>
          <cell r="L274">
            <v>0.95079229345734495</v>
          </cell>
        </row>
        <row r="275">
          <cell r="I275">
            <v>41215</v>
          </cell>
          <cell r="J275">
            <v>4297.7</v>
          </cell>
          <cell r="L275">
            <v>0.92571311512973697</v>
          </cell>
        </row>
        <row r="276">
          <cell r="I276">
            <v>41222</v>
          </cell>
          <cell r="J276">
            <v>4856.1000000000004</v>
          </cell>
          <cell r="L276">
            <v>0.92529425270600996</v>
          </cell>
        </row>
        <row r="277">
          <cell r="I277">
            <v>41229</v>
          </cell>
          <cell r="J277">
            <v>4702.3999999999996</v>
          </cell>
          <cell r="L277">
            <v>0.92772026190850898</v>
          </cell>
        </row>
        <row r="278">
          <cell r="I278">
            <v>41236</v>
          </cell>
          <cell r="J278">
            <v>4666.8</v>
          </cell>
          <cell r="L278">
            <v>0.92993011952820803</v>
          </cell>
        </row>
        <row r="279">
          <cell r="I279">
            <v>41243</v>
          </cell>
          <cell r="J279">
            <v>4943</v>
          </cell>
          <cell r="L279">
            <v>0.92756020040727505</v>
          </cell>
        </row>
        <row r="280">
          <cell r="I280">
            <v>41250</v>
          </cell>
          <cell r="J280">
            <v>5368.1</v>
          </cell>
          <cell r="L280">
            <v>0.91054790878492298</v>
          </cell>
        </row>
        <row r="281">
          <cell r="I281">
            <v>41257</v>
          </cell>
          <cell r="J281">
            <v>4564.3999999999996</v>
          </cell>
          <cell r="L281">
            <v>0.91261368517922603</v>
          </cell>
        </row>
        <row r="282">
          <cell r="I282">
            <v>41264</v>
          </cell>
          <cell r="J282">
            <v>3983.2</v>
          </cell>
          <cell r="L282">
            <v>0.909651579188403</v>
          </cell>
        </row>
        <row r="283">
          <cell r="I283">
            <v>41271</v>
          </cell>
          <cell r="J283">
            <v>3488.9</v>
          </cell>
          <cell r="L283">
            <v>0.91018597538933199</v>
          </cell>
        </row>
        <row r="284">
          <cell r="I284">
            <v>41278</v>
          </cell>
          <cell r="J284">
            <v>3896.4</v>
          </cell>
          <cell r="L284">
            <v>0.88829814088555903</v>
          </cell>
        </row>
        <row r="285">
          <cell r="I285">
            <v>41285</v>
          </cell>
          <cell r="J285">
            <v>4554.3999999999996</v>
          </cell>
          <cell r="L285">
            <v>0.88507237465235999</v>
          </cell>
        </row>
        <row r="286">
          <cell r="I286">
            <v>41292</v>
          </cell>
          <cell r="J286">
            <v>4937.3999999999996</v>
          </cell>
          <cell r="L286">
            <v>0.88631407683414698</v>
          </cell>
        </row>
        <row r="287">
          <cell r="I287">
            <v>41299</v>
          </cell>
          <cell r="J287">
            <v>4433.6000000000004</v>
          </cell>
          <cell r="L287">
            <v>0.88379536104531298</v>
          </cell>
        </row>
        <row r="288">
          <cell r="I288">
            <v>41306</v>
          </cell>
          <cell r="J288">
            <v>4579</v>
          </cell>
          <cell r="L288">
            <v>0.84748759806752005</v>
          </cell>
        </row>
        <row r="289">
          <cell r="I289">
            <v>41313</v>
          </cell>
          <cell r="J289">
            <v>4284.3</v>
          </cell>
          <cell r="L289">
            <v>0.79744674672768501</v>
          </cell>
        </row>
        <row r="290">
          <cell r="I290">
            <v>41320</v>
          </cell>
          <cell r="J290">
            <v>4261.8</v>
          </cell>
          <cell r="L290">
            <v>0.79744674672768501</v>
          </cell>
        </row>
        <row r="291">
          <cell r="I291">
            <v>41327</v>
          </cell>
          <cell r="J291">
            <v>4136.3</v>
          </cell>
          <cell r="L291">
            <v>0.75767121274966998</v>
          </cell>
        </row>
        <row r="292">
          <cell r="I292">
            <v>41334</v>
          </cell>
          <cell r="J292">
            <v>4724.8999999999996</v>
          </cell>
          <cell r="L292">
            <v>0.81599621049204496</v>
          </cell>
        </row>
        <row r="293">
          <cell r="I293">
            <v>41341</v>
          </cell>
          <cell r="J293">
            <v>4485.2</v>
          </cell>
          <cell r="L293">
            <v>0.81254588826988305</v>
          </cell>
        </row>
        <row r="294">
          <cell r="I294">
            <v>41348</v>
          </cell>
          <cell r="J294">
            <v>4111.3</v>
          </cell>
          <cell r="L294">
            <v>0.70260073761186803</v>
          </cell>
        </row>
        <row r="295">
          <cell r="I295">
            <v>41355</v>
          </cell>
          <cell r="J295">
            <v>4412.8999999999996</v>
          </cell>
          <cell r="L295">
            <v>0.76832708554350604</v>
          </cell>
        </row>
        <row r="296">
          <cell r="I296">
            <v>41361</v>
          </cell>
          <cell r="J296">
            <v>4119.2</v>
          </cell>
          <cell r="L296">
            <v>0.73085022058809701</v>
          </cell>
        </row>
        <row r="297">
          <cell r="I297">
            <v>41369</v>
          </cell>
          <cell r="J297">
            <v>4528.8999999999996</v>
          </cell>
          <cell r="L297">
            <v>0.74812714109915801</v>
          </cell>
        </row>
        <row r="298">
          <cell r="I298">
            <v>41376</v>
          </cell>
          <cell r="J298">
            <v>4726.8999999999996</v>
          </cell>
          <cell r="L298">
            <v>0.81951890925716098</v>
          </cell>
        </row>
        <row r="299">
          <cell r="I299">
            <v>41383</v>
          </cell>
          <cell r="J299">
            <v>4672.1000000000004</v>
          </cell>
          <cell r="L299">
            <v>0.82637993200499604</v>
          </cell>
        </row>
        <row r="300">
          <cell r="I300">
            <v>41390</v>
          </cell>
          <cell r="J300">
            <v>4854.1000000000004</v>
          </cell>
          <cell r="L300">
            <v>0.82478602429419601</v>
          </cell>
        </row>
        <row r="301">
          <cell r="I301">
            <v>41397</v>
          </cell>
          <cell r="J301">
            <v>5279.9</v>
          </cell>
          <cell r="L301">
            <v>0.816862820958143</v>
          </cell>
        </row>
        <row r="302">
          <cell r="I302">
            <v>41404</v>
          </cell>
          <cell r="J302">
            <v>4797.2</v>
          </cell>
          <cell r="L302">
            <v>0.80807149473903706</v>
          </cell>
        </row>
        <row r="303">
          <cell r="I303">
            <v>41409</v>
          </cell>
          <cell r="J303">
            <v>4241.5</v>
          </cell>
          <cell r="L303">
            <v>0.77783403735744605</v>
          </cell>
        </row>
        <row r="304">
          <cell r="I304">
            <v>41418</v>
          </cell>
          <cell r="J304">
            <v>3709.4</v>
          </cell>
          <cell r="L304">
            <v>0.69528028144530996</v>
          </cell>
        </row>
        <row r="305">
          <cell r="I305">
            <v>41425</v>
          </cell>
          <cell r="J305">
            <v>3163.6</v>
          </cell>
          <cell r="L305">
            <v>0.63267241864898405</v>
          </cell>
        </row>
        <row r="306">
          <cell r="I306">
            <v>41432</v>
          </cell>
          <cell r="J306">
            <v>3339.8</v>
          </cell>
          <cell r="L306">
            <v>0.60569175356282701</v>
          </cell>
        </row>
        <row r="307">
          <cell r="I307">
            <v>41439</v>
          </cell>
          <cell r="J307">
            <v>3214.4</v>
          </cell>
          <cell r="L307">
            <v>0.57343184072471898</v>
          </cell>
        </row>
        <row r="308">
          <cell r="I308">
            <v>41446</v>
          </cell>
          <cell r="J308">
            <v>3040.1</v>
          </cell>
          <cell r="L308">
            <v>0.58795254732817603</v>
          </cell>
        </row>
        <row r="309">
          <cell r="I309">
            <v>41453</v>
          </cell>
          <cell r="J309">
            <v>2573.4</v>
          </cell>
          <cell r="L309">
            <v>0.39082116641682302</v>
          </cell>
        </row>
        <row r="310">
          <cell r="I310">
            <v>41460</v>
          </cell>
          <cell r="J310">
            <v>2417.8000000000002</v>
          </cell>
          <cell r="L310">
            <v>0.43308646421209301</v>
          </cell>
        </row>
        <row r="311">
          <cell r="I311">
            <v>41467</v>
          </cell>
          <cell r="J311">
            <v>2242.1999999999998</v>
          </cell>
          <cell r="L311">
            <v>0.31856955774356599</v>
          </cell>
        </row>
        <row r="312">
          <cell r="I312">
            <v>41474</v>
          </cell>
          <cell r="J312">
            <v>2288</v>
          </cell>
          <cell r="L312">
            <v>0.42624975952077698</v>
          </cell>
        </row>
        <row r="313">
          <cell r="I313">
            <v>41481</v>
          </cell>
          <cell r="J313">
            <v>2218.3000000000002</v>
          </cell>
          <cell r="L313">
            <v>0.42922629610906499</v>
          </cell>
        </row>
        <row r="314">
          <cell r="I314">
            <v>41488</v>
          </cell>
          <cell r="J314">
            <v>2228.9</v>
          </cell>
          <cell r="L314">
            <v>0.40917398895536999</v>
          </cell>
        </row>
        <row r="315">
          <cell r="I315">
            <v>41495</v>
          </cell>
          <cell r="J315">
            <v>2110.6</v>
          </cell>
          <cell r="L315">
            <v>0.40797811985401</v>
          </cell>
        </row>
        <row r="316">
          <cell r="I316">
            <v>41508</v>
          </cell>
          <cell r="J316">
            <v>1935.1</v>
          </cell>
          <cell r="L316">
            <v>0.28211495793674202</v>
          </cell>
        </row>
        <row r="317">
          <cell r="I317">
            <v>41509</v>
          </cell>
          <cell r="J317">
            <v>1842.6</v>
          </cell>
          <cell r="L317">
            <v>0.28211495793674202</v>
          </cell>
        </row>
        <row r="318">
          <cell r="I318">
            <v>41516</v>
          </cell>
          <cell r="J318">
            <v>1909</v>
          </cell>
          <cell r="L318">
            <v>0.32707732602530398</v>
          </cell>
        </row>
        <row r="319">
          <cell r="I319">
            <v>41523</v>
          </cell>
          <cell r="J319">
            <v>1512.9</v>
          </cell>
          <cell r="L319">
            <v>0.28186492560364501</v>
          </cell>
        </row>
        <row r="320">
          <cell r="I320">
            <v>41530</v>
          </cell>
          <cell r="J320">
            <v>1814</v>
          </cell>
          <cell r="L320">
            <v>0.27463010199382099</v>
          </cell>
        </row>
        <row r="321">
          <cell r="I321">
            <v>41537</v>
          </cell>
          <cell r="J321">
            <v>1922.9</v>
          </cell>
          <cell r="L321">
            <v>0.33277831045649597</v>
          </cell>
        </row>
        <row r="322">
          <cell r="I322">
            <v>41544</v>
          </cell>
          <cell r="J322">
            <v>1956.6</v>
          </cell>
          <cell r="L322">
            <v>0.40445747526612702</v>
          </cell>
        </row>
        <row r="323">
          <cell r="I323">
            <v>41551</v>
          </cell>
          <cell r="J323">
            <v>2025.3</v>
          </cell>
          <cell r="L323">
            <v>0.41528178559290602</v>
          </cell>
        </row>
        <row r="324">
          <cell r="I324">
            <v>41558</v>
          </cell>
          <cell r="J324">
            <v>2102.6999999999998</v>
          </cell>
          <cell r="L324">
            <v>0.41314719259777</v>
          </cell>
        </row>
        <row r="325">
          <cell r="I325">
            <v>41565</v>
          </cell>
          <cell r="J325">
            <v>2033.7</v>
          </cell>
          <cell r="L325">
            <v>0.402324815903361</v>
          </cell>
        </row>
        <row r="326">
          <cell r="I326">
            <v>41572</v>
          </cell>
          <cell r="J326">
            <v>2211.8000000000002</v>
          </cell>
          <cell r="L326">
            <v>0.431569129246685</v>
          </cell>
        </row>
        <row r="327">
          <cell r="I327">
            <v>41579</v>
          </cell>
          <cell r="J327">
            <v>2105.6</v>
          </cell>
          <cell r="L327">
            <v>0.46054051472194202</v>
          </cell>
        </row>
        <row r="328">
          <cell r="I328">
            <v>41586</v>
          </cell>
          <cell r="J328">
            <v>2056.9</v>
          </cell>
          <cell r="L328">
            <v>0.42159370418067099</v>
          </cell>
        </row>
        <row r="329">
          <cell r="I329">
            <v>41593</v>
          </cell>
          <cell r="J329">
            <v>1903.5</v>
          </cell>
          <cell r="L329">
            <v>0.38756459325455</v>
          </cell>
        </row>
        <row r="330">
          <cell r="I330">
            <v>41600</v>
          </cell>
          <cell r="J330">
            <v>1917.2</v>
          </cell>
          <cell r="L330">
            <v>0.41410653536495001</v>
          </cell>
        </row>
        <row r="331">
          <cell r="I331">
            <v>41605</v>
          </cell>
          <cell r="J331">
            <v>1561.6</v>
          </cell>
          <cell r="L331">
            <v>0.39699815933228</v>
          </cell>
        </row>
        <row r="332">
          <cell r="I332">
            <v>41614</v>
          </cell>
          <cell r="J332">
            <v>1599.4</v>
          </cell>
          <cell r="L332">
            <v>0.37338021104571001</v>
          </cell>
        </row>
        <row r="333">
          <cell r="I333">
            <v>41621</v>
          </cell>
          <cell r="J333">
            <v>1529.8</v>
          </cell>
          <cell r="L333">
            <v>0.37072062674784101</v>
          </cell>
        </row>
        <row r="334">
          <cell r="I334">
            <v>41628</v>
          </cell>
          <cell r="J334">
            <v>1426.7</v>
          </cell>
          <cell r="L334">
            <v>0.339745677776082</v>
          </cell>
        </row>
        <row r="335">
          <cell r="I335">
            <v>41635</v>
          </cell>
          <cell r="J335">
            <v>1277.8</v>
          </cell>
          <cell r="L335">
            <v>0.33029809597210902</v>
          </cell>
        </row>
        <row r="336">
          <cell r="I336">
            <v>41642</v>
          </cell>
          <cell r="J336">
            <v>1352.7</v>
          </cell>
          <cell r="L336">
            <v>0.26212623729092299</v>
          </cell>
        </row>
        <row r="337">
          <cell r="I337">
            <v>41649</v>
          </cell>
          <cell r="J337">
            <v>1507</v>
          </cell>
          <cell r="L337">
            <v>0.29022600492529399</v>
          </cell>
        </row>
        <row r="338">
          <cell r="I338">
            <v>41656</v>
          </cell>
          <cell r="J338">
            <v>1675.8</v>
          </cell>
          <cell r="L338">
            <v>0.36774882579493101</v>
          </cell>
        </row>
        <row r="339">
          <cell r="I339">
            <v>41663</v>
          </cell>
          <cell r="J339">
            <v>1601.2</v>
          </cell>
          <cell r="L339">
            <v>0.37084428304329597</v>
          </cell>
        </row>
        <row r="340">
          <cell r="I340">
            <v>41670</v>
          </cell>
          <cell r="J340">
            <v>1667.5</v>
          </cell>
          <cell r="L340">
            <v>0.38160196936392599</v>
          </cell>
        </row>
        <row r="341">
          <cell r="I341">
            <v>41677</v>
          </cell>
          <cell r="J341">
            <v>1674.2</v>
          </cell>
          <cell r="L341">
            <v>0.40068103493110202</v>
          </cell>
        </row>
        <row r="342">
          <cell r="I342">
            <v>41684</v>
          </cell>
          <cell r="J342">
            <v>1650.6</v>
          </cell>
          <cell r="L342">
            <v>0.38532630107915999</v>
          </cell>
        </row>
        <row r="343">
          <cell r="I343">
            <v>41691</v>
          </cell>
          <cell r="J343">
            <v>1442.3</v>
          </cell>
          <cell r="L343">
            <v>0.375571977518594</v>
          </cell>
        </row>
        <row r="344">
          <cell r="I344">
            <v>41698</v>
          </cell>
          <cell r="J344">
            <v>1600.6</v>
          </cell>
          <cell r="L344">
            <v>0.36967404481869198</v>
          </cell>
        </row>
        <row r="345">
          <cell r="I345">
            <v>41705</v>
          </cell>
          <cell r="J345">
            <v>1528</v>
          </cell>
          <cell r="L345">
            <v>0.383169637258365</v>
          </cell>
        </row>
        <row r="346">
          <cell r="I346">
            <v>41712</v>
          </cell>
          <cell r="J346">
            <v>1552.1</v>
          </cell>
          <cell r="L346">
            <v>0.36933430427665598</v>
          </cell>
        </row>
        <row r="347">
          <cell r="I347">
            <v>41719</v>
          </cell>
          <cell r="J347">
            <v>1426.3</v>
          </cell>
          <cell r="L347">
            <v>0.38030249532079302</v>
          </cell>
        </row>
        <row r="348">
          <cell r="I348">
            <v>41726</v>
          </cell>
          <cell r="J348">
            <v>1383.5</v>
          </cell>
          <cell r="L348">
            <v>0.36565400061255998</v>
          </cell>
        </row>
        <row r="349">
          <cell r="I349">
            <v>41733</v>
          </cell>
          <cell r="J349">
            <v>1324.7</v>
          </cell>
          <cell r="L349">
            <v>0.35521926568999201</v>
          </cell>
        </row>
        <row r="350">
          <cell r="I350">
            <v>41740</v>
          </cell>
          <cell r="J350">
            <v>1429.9</v>
          </cell>
          <cell r="L350">
            <v>0.36683376695248798</v>
          </cell>
        </row>
        <row r="351">
          <cell r="I351">
            <v>41746</v>
          </cell>
          <cell r="J351">
            <v>1370.9</v>
          </cell>
          <cell r="L351">
            <v>0.38166972699665502</v>
          </cell>
        </row>
        <row r="352">
          <cell r="I352">
            <v>41754</v>
          </cell>
          <cell r="J352">
            <v>1298.0999999999999</v>
          </cell>
          <cell r="L352">
            <v>0.37393962817107101</v>
          </cell>
        </row>
        <row r="353">
          <cell r="I353">
            <v>41761</v>
          </cell>
          <cell r="J353">
            <v>1323.9</v>
          </cell>
          <cell r="L353">
            <v>0.37360583835556399</v>
          </cell>
        </row>
        <row r="354">
          <cell r="I354">
            <v>41768</v>
          </cell>
          <cell r="J354">
            <v>1400.9</v>
          </cell>
          <cell r="L354">
            <v>0.409756747537739</v>
          </cell>
        </row>
        <row r="355">
          <cell r="I355">
            <v>41775</v>
          </cell>
          <cell r="J355">
            <v>1460.6</v>
          </cell>
          <cell r="L355">
            <v>0.41321534069517601</v>
          </cell>
        </row>
        <row r="356">
          <cell r="I356">
            <v>41782</v>
          </cell>
          <cell r="J356">
            <v>1453.4</v>
          </cell>
          <cell r="L356">
            <v>0.44799454346559803</v>
          </cell>
        </row>
        <row r="357">
          <cell r="I357">
            <v>41789</v>
          </cell>
          <cell r="J357">
            <v>1382.6</v>
          </cell>
          <cell r="L357">
            <v>0.463620204949516</v>
          </cell>
        </row>
        <row r="358">
          <cell r="I358">
            <v>41796</v>
          </cell>
          <cell r="J358">
            <v>1516.9</v>
          </cell>
          <cell r="L358">
            <v>0.46847875373528802</v>
          </cell>
        </row>
        <row r="359">
          <cell r="I359">
            <v>41803</v>
          </cell>
          <cell r="J359">
            <v>1321.3</v>
          </cell>
          <cell r="L359">
            <v>0.41096738430920399</v>
          </cell>
        </row>
        <row r="360">
          <cell r="I360">
            <v>41810</v>
          </cell>
          <cell r="J360">
            <v>1333.5</v>
          </cell>
          <cell r="L360">
            <v>0.426359386921487</v>
          </cell>
        </row>
        <row r="361">
          <cell r="I361">
            <v>41817</v>
          </cell>
          <cell r="J361">
            <v>1341.8</v>
          </cell>
          <cell r="L361">
            <v>0.46847875373528802</v>
          </cell>
        </row>
        <row r="362">
          <cell r="I362">
            <v>41823</v>
          </cell>
          <cell r="J362">
            <v>1346.8</v>
          </cell>
          <cell r="L362">
            <v>0.481783217502605</v>
          </cell>
        </row>
        <row r="363">
          <cell r="I363">
            <v>41831</v>
          </cell>
          <cell r="J363">
            <v>1329.7</v>
          </cell>
          <cell r="L363">
            <v>0.42147742037559999</v>
          </cell>
        </row>
        <row r="364">
          <cell r="I364">
            <v>41838</v>
          </cell>
          <cell r="J364">
            <v>1400.7</v>
          </cell>
          <cell r="L364">
            <v>0.451552968278365</v>
          </cell>
        </row>
        <row r="365">
          <cell r="I365">
            <v>41845</v>
          </cell>
          <cell r="J365">
            <v>1327.5</v>
          </cell>
          <cell r="L365">
            <v>0.451552968278365</v>
          </cell>
        </row>
        <row r="366">
          <cell r="I366">
            <v>41852</v>
          </cell>
          <cell r="J366">
            <v>1373.9</v>
          </cell>
          <cell r="L366">
            <v>0.45923072088835198</v>
          </cell>
        </row>
        <row r="367">
          <cell r="I367">
            <v>41859</v>
          </cell>
          <cell r="J367">
            <v>1342.6</v>
          </cell>
          <cell r="L367">
            <v>0.42413376349642801</v>
          </cell>
        </row>
        <row r="368">
          <cell r="I368">
            <v>41866</v>
          </cell>
          <cell r="J368">
            <v>1404.9</v>
          </cell>
          <cell r="L368">
            <v>0.45575254137027599</v>
          </cell>
        </row>
        <row r="369">
          <cell r="I369">
            <v>41873</v>
          </cell>
          <cell r="J369">
            <v>1439.4</v>
          </cell>
          <cell r="L369">
            <v>0.49084413664233301</v>
          </cell>
        </row>
        <row r="370">
          <cell r="I370">
            <v>41880</v>
          </cell>
          <cell r="J370">
            <v>1436</v>
          </cell>
          <cell r="L370">
            <v>0.49084413664233301</v>
          </cell>
        </row>
        <row r="371">
          <cell r="I371">
            <v>41887</v>
          </cell>
          <cell r="J371">
            <v>1275.8</v>
          </cell>
          <cell r="L371">
            <v>0.487326419100717</v>
          </cell>
        </row>
        <row r="372">
          <cell r="I372">
            <v>41894</v>
          </cell>
          <cell r="J372">
            <v>1398.4</v>
          </cell>
          <cell r="L372">
            <v>0.47415919522438099</v>
          </cell>
        </row>
        <row r="373">
          <cell r="I373">
            <v>41901</v>
          </cell>
          <cell r="J373">
            <v>1335.1</v>
          </cell>
          <cell r="L373">
            <v>0.39816728626756598</v>
          </cell>
        </row>
        <row r="374">
          <cell r="I374">
            <v>41908</v>
          </cell>
          <cell r="J374">
            <v>1326.2</v>
          </cell>
          <cell r="L374">
            <v>0.413732301706637</v>
          </cell>
        </row>
        <row r="375">
          <cell r="I375">
            <v>41915</v>
          </cell>
          <cell r="J375">
            <v>1387.1</v>
          </cell>
          <cell r="L375">
            <v>0.43232059685066698</v>
          </cell>
        </row>
        <row r="376">
          <cell r="I376">
            <v>41922</v>
          </cell>
          <cell r="J376">
            <v>1560.6</v>
          </cell>
          <cell r="L376">
            <v>0.47165449273347199</v>
          </cell>
        </row>
        <row r="377">
          <cell r="I377">
            <v>41929</v>
          </cell>
          <cell r="J377">
            <v>1898.2</v>
          </cell>
          <cell r="L377">
            <v>0.57517284737260699</v>
          </cell>
        </row>
        <row r="378">
          <cell r="I378">
            <v>41936</v>
          </cell>
          <cell r="J378">
            <v>1713.6</v>
          </cell>
          <cell r="L378">
            <v>0.58745733896979602</v>
          </cell>
        </row>
        <row r="379">
          <cell r="I379">
            <v>41943</v>
          </cell>
          <cell r="J379">
            <v>1604.8</v>
          </cell>
          <cell r="L379">
            <v>0.57181297396619601</v>
          </cell>
        </row>
        <row r="380">
          <cell r="I380">
            <v>41950</v>
          </cell>
          <cell r="J380">
            <v>1565.3</v>
          </cell>
          <cell r="L380">
            <v>0.548579829179903</v>
          </cell>
        </row>
        <row r="381">
          <cell r="I381">
            <v>41957</v>
          </cell>
          <cell r="J381">
            <v>1563.2</v>
          </cell>
          <cell r="L381">
            <v>0.55497671209744104</v>
          </cell>
        </row>
        <row r="382">
          <cell r="I382">
            <v>41964</v>
          </cell>
          <cell r="J382">
            <v>1547.9</v>
          </cell>
          <cell r="L382">
            <v>0.56606721089043699</v>
          </cell>
        </row>
        <row r="383">
          <cell r="I383">
            <v>41971</v>
          </cell>
          <cell r="J383">
            <v>1366.6</v>
          </cell>
          <cell r="L383">
            <v>0.57290983086857505</v>
          </cell>
        </row>
        <row r="384">
          <cell r="I384">
            <v>41978</v>
          </cell>
          <cell r="J384">
            <v>1548.6</v>
          </cell>
          <cell r="L384">
            <v>0.59279776197128298</v>
          </cell>
        </row>
        <row r="385">
          <cell r="I385">
            <v>41985</v>
          </cell>
          <cell r="J385">
            <v>1518.8</v>
          </cell>
          <cell r="L385">
            <v>0.57867105076839898</v>
          </cell>
        </row>
        <row r="386">
          <cell r="I386">
            <v>41992</v>
          </cell>
          <cell r="J386">
            <v>1538.7</v>
          </cell>
          <cell r="L386">
            <v>0.61554969638107904</v>
          </cell>
        </row>
        <row r="387">
          <cell r="I387">
            <v>41999</v>
          </cell>
          <cell r="J387">
            <v>1164.2</v>
          </cell>
          <cell r="L387">
            <v>0.605746362235419</v>
          </cell>
        </row>
        <row r="388">
          <cell r="I388">
            <v>42006</v>
          </cell>
          <cell r="J388">
            <v>1347.6</v>
          </cell>
          <cell r="L388">
            <v>0.59072795930158895</v>
          </cell>
        </row>
        <row r="389">
          <cell r="I389">
            <v>42013</v>
          </cell>
          <cell r="J389">
            <v>2308.6999999999998</v>
          </cell>
          <cell r="L389">
            <v>0.63580141506138299</v>
          </cell>
        </row>
        <row r="390">
          <cell r="I390">
            <v>42020</v>
          </cell>
          <cell r="J390">
            <v>2799.3</v>
          </cell>
          <cell r="L390">
            <v>0.66264885680248997</v>
          </cell>
        </row>
        <row r="391">
          <cell r="I391">
            <v>42027</v>
          </cell>
          <cell r="J391">
            <v>2572.3000000000002</v>
          </cell>
          <cell r="L391">
            <v>0.664741267487021</v>
          </cell>
        </row>
        <row r="392">
          <cell r="I392">
            <v>42034</v>
          </cell>
          <cell r="J392">
            <v>2584.8000000000002</v>
          </cell>
          <cell r="L392">
            <v>0.66264885680248997</v>
          </cell>
        </row>
        <row r="393">
          <cell r="I393">
            <v>42041</v>
          </cell>
          <cell r="J393">
            <v>2291.3000000000002</v>
          </cell>
          <cell r="L393">
            <v>0.68438167594716104</v>
          </cell>
        </row>
        <row r="394">
          <cell r="I394">
            <v>42048</v>
          </cell>
          <cell r="J394">
            <v>1904.2</v>
          </cell>
          <cell r="L394">
            <v>0.64890841265420796</v>
          </cell>
        </row>
        <row r="395">
          <cell r="I395">
            <v>42055</v>
          </cell>
          <cell r="J395">
            <v>1703.1</v>
          </cell>
          <cell r="L395">
            <v>0.62651628119673397</v>
          </cell>
        </row>
        <row r="396">
          <cell r="I396">
            <v>42062</v>
          </cell>
          <cell r="J396">
            <v>1740.3</v>
          </cell>
          <cell r="L396">
            <v>0.61098575112407705</v>
          </cell>
        </row>
        <row r="397">
          <cell r="I397">
            <v>42069</v>
          </cell>
          <cell r="J397">
            <v>1685.7</v>
          </cell>
          <cell r="L397">
            <v>0.61966926616186602</v>
          </cell>
        </row>
        <row r="398">
          <cell r="I398">
            <v>42076</v>
          </cell>
          <cell r="J398">
            <v>1623.6</v>
          </cell>
          <cell r="L398">
            <v>0.57559445438514301</v>
          </cell>
        </row>
        <row r="399">
          <cell r="I399">
            <v>42083</v>
          </cell>
          <cell r="J399">
            <v>1860.8</v>
          </cell>
          <cell r="L399">
            <v>0.609371962286406</v>
          </cell>
        </row>
        <row r="400">
          <cell r="I400">
            <v>42090</v>
          </cell>
          <cell r="J400">
            <v>1941.6</v>
          </cell>
          <cell r="L400">
            <v>0.64195316325793905</v>
          </cell>
        </row>
        <row r="401">
          <cell r="I401">
            <v>42097</v>
          </cell>
          <cell r="J401">
            <v>1854.7</v>
          </cell>
          <cell r="L401">
            <v>0.62812472062617597</v>
          </cell>
        </row>
        <row r="402">
          <cell r="I402">
            <v>42104</v>
          </cell>
          <cell r="J402">
            <v>1804.6</v>
          </cell>
          <cell r="L402">
            <v>0.64478767281568505</v>
          </cell>
        </row>
        <row r="403">
          <cell r="I403">
            <v>42111</v>
          </cell>
          <cell r="J403">
            <v>1817</v>
          </cell>
          <cell r="L403">
            <v>0.63088888629855699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1" autoFormatId="16" applyNumberFormats="0" applyBorderFormats="0" applyFontFormats="0" applyPatternFormats="0" applyAlignmentFormats="0" applyWidthHeightFormats="0">
  <queryTableRefresh nextId="78" unboundColumnsRight="2">
    <queryTableFields count="4">
      <queryTableField id="62" name="AsOfDate" tableColumnId="1"/>
      <queryTableField id="64" name="refinancible" tableColumnId="3"/>
      <queryTableField id="76" dataBound="0" tableColumnId="5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uery from Agency_11" backgroundRefresh="0" adjustColumnWidth="0" connectionId="10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2" backgroundRefresh="0" adjustColumnWidth="0" connectionId="2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4" name="CurrentMtgRatesDataTable825" displayName="CurrentMtgRatesDataTable825" ref="B2:E233" tableType="queryTable" totalsRowShown="0" headerRowDxfId="57" dataDxfId="56">
  <tableColumns count="4">
    <tableColumn id="1" uniqueName="1" name="asOfDate" queryTableFieldId="62" dataDxfId="29"/>
    <tableColumn id="3" uniqueName="3" name="refinancible" queryTableFieldId="64" dataDxfId="28"/>
    <tableColumn id="5" uniqueName="5" name="Loan Level" queryTableFieldId="76" dataDxfId="27">
      <calculatedColumnFormula>VLOOKUP(CurrentMtgRatesDataTable825[[#This Row],[asOfDate]],G:H,2,0)</calculatedColumnFormula>
    </tableColumn>
    <tableColumn id="6" uniqueName="6" name="Bloomberg Index" queryTableFieldId="77" dataDxfId="26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55" dataDxfId="54">
  <tableColumns count="2">
    <tableColumn id="1" uniqueName="1" name="asOfDate" queryTableFieldId="62" dataDxfId="25"/>
    <tableColumn id="5" uniqueName="5" name="refinanceible" queryTableFieldId="76" dataDxfId="2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53" dataDxfId="52">
  <tableColumns count="2">
    <tableColumn id="1" uniqueName="1" name="AsOfDate" queryTableFieldId="62" dataDxfId="23"/>
    <tableColumn id="6" uniqueName="6" name="SeriesNumValue" queryTableFieldId="77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51" dataDxfId="50">
  <tableColumns count="11">
    <tableColumn id="7" uniqueName="7" name="refinancible1" queryTableFieldId="78" dataDxfId="21"/>
    <tableColumn id="8" uniqueName="8" name="refinancible2" queryTableFieldId="79" dataDxfId="20"/>
    <tableColumn id="9" uniqueName="9" name="refinancible3" queryTableFieldId="80" dataDxfId="19"/>
    <tableColumn id="10" uniqueName="10" name="refinancible4" queryTableFieldId="81" dataDxfId="18"/>
    <tableColumn id="11" uniqueName="11" name="refinancible5" queryTableFieldId="82" dataDxfId="17"/>
    <tableColumn id="12" uniqueName="12" name="refinancible6" queryTableFieldId="83" dataDxfId="16"/>
    <tableColumn id="13" uniqueName="13" name="refinancible7" queryTableFieldId="84" dataDxfId="15"/>
    <tableColumn id="14" uniqueName="14" name="refinancible8" queryTableFieldId="85" dataDxfId="14"/>
    <tableColumn id="15" uniqueName="15" name="refinancible9" queryTableFieldId="86" dataDxfId="13"/>
    <tableColumn id="16" uniqueName="16" name="refinancible10" queryTableFieldId="87" dataDxfId="12"/>
    <tableColumn id="17" uniqueName="17" name="refinancible11" queryTableFieldId="88" dataDxfId="1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49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B92"/>
  <sheetViews>
    <sheetView showGridLines="0" topLeftCell="D1" zoomScaleNormal="100" workbookViewId="0">
      <selection activeCell="AA17" sqref="AA17"/>
    </sheetView>
  </sheetViews>
  <sheetFormatPr defaultRowHeight="12.75"/>
  <cols>
    <col min="1" max="1" width="9.140625" style="6" customWidth="1"/>
    <col min="2" max="2" width="9.140625" style="6"/>
    <col min="3" max="3" width="15.7109375" style="6" customWidth="1"/>
    <col min="4" max="12" width="11.85546875" style="6" customWidth="1"/>
    <col min="13" max="13" width="10.28515625" style="6" customWidth="1"/>
    <col min="14" max="18" width="7.85546875" style="6" customWidth="1"/>
    <col min="19" max="19" width="7.5703125" style="6" customWidth="1"/>
    <col min="20" max="20" width="5.140625" style="6" customWidth="1"/>
    <col min="21" max="22" width="7.5703125" style="6" customWidth="1"/>
    <col min="23" max="23" width="10.28515625" style="6" customWidth="1"/>
    <col min="24" max="24" width="9.140625" style="6"/>
    <col min="25" max="25" width="14.140625" style="6" customWidth="1"/>
    <col min="26" max="26" width="40.85546875" style="6" bestFit="1" customWidth="1"/>
    <col min="27" max="27" width="14.85546875" style="6" bestFit="1" customWidth="1"/>
    <col min="28" max="16384" width="9.140625" style="6"/>
  </cols>
  <sheetData>
    <row r="1" spans="3:28">
      <c r="Y1" s="2" t="s">
        <v>1</v>
      </c>
      <c r="Z1" s="3" t="s">
        <v>2</v>
      </c>
      <c r="AA1" s="6" t="s">
        <v>3</v>
      </c>
      <c r="AB1" s="3" t="s">
        <v>4</v>
      </c>
    </row>
    <row r="2" spans="3:28">
      <c r="Y2" s="2" t="s">
        <v>5</v>
      </c>
      <c r="Z2" s="4">
        <v>42162</v>
      </c>
    </row>
    <row r="3" spans="3:28">
      <c r="Y3" s="2" t="s">
        <v>19</v>
      </c>
      <c r="Z3" s="19" t="s">
        <v>21</v>
      </c>
    </row>
    <row r="4" spans="3:28">
      <c r="Y4" s="2" t="s">
        <v>6</v>
      </c>
      <c r="Z4" s="3" t="str">
        <f>PDFReportDir&amp;"Market Concentration " &amp; TEXT(CurrentCloseDate, "yyyy-mm-dd") &amp; ".pdf"</f>
        <v>S:\IT\Production\Daily Reports\Primary Market\tmp\Market Concentration 2015-06-07.pdf</v>
      </c>
    </row>
    <row r="5" spans="3:28">
      <c r="Y5" s="7"/>
    </row>
    <row r="6" spans="3:28">
      <c r="Y6" s="7"/>
    </row>
    <row r="9" spans="3:28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S9" s="6"/>
      <c r="T9" s="6"/>
      <c r="U9" s="6"/>
      <c r="V9" s="6"/>
      <c r="W9" s="6"/>
      <c r="Y9" s="8" t="s">
        <v>15</v>
      </c>
      <c r="Z9" s="13">
        <f>IF(DAY(CurrentCloseDate)&lt;5,(CurrentCloseDate-DAY(CurrentCloseDate))-DAY((CurrentCloseDate-DAY(CurrentCloseDate)))+1,CurrentCloseDate-DAY(CurrentCloseDate)+1)</f>
        <v>42156</v>
      </c>
    </row>
    <row r="10" spans="3:28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S10" s="6"/>
      <c r="T10" s="6"/>
      <c r="U10" s="6"/>
      <c r="V10" s="6"/>
      <c r="W10" s="6"/>
      <c r="Y10" s="9" t="s">
        <v>16</v>
      </c>
      <c r="Z10" s="14">
        <f>(Z9-1)-DAY((Z9-1))+1</f>
        <v>42125</v>
      </c>
    </row>
    <row r="11" spans="3:28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  <c r="S11" s="6"/>
      <c r="T11" s="6"/>
      <c r="U11" s="6"/>
      <c r="V11" s="6"/>
      <c r="W11" s="6"/>
    </row>
    <row r="12" spans="3:28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S12" s="6"/>
      <c r="T12" s="6"/>
      <c r="U12" s="6"/>
      <c r="V12" s="6"/>
      <c r="W12" s="6"/>
      <c r="Z12" s="14"/>
    </row>
    <row r="13" spans="3:28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  <c r="S13" s="6"/>
      <c r="T13" s="6"/>
      <c r="U13" s="6"/>
      <c r="V13" s="6"/>
      <c r="W13" s="6"/>
      <c r="Y13" s="9" t="s">
        <v>36</v>
      </c>
      <c r="Z13" s="14">
        <f>CurrentCloseDate-WEEKDAY(CurrentCloseDate)-2</f>
        <v>42159</v>
      </c>
    </row>
    <row r="14" spans="3:28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  <c r="S14" s="6"/>
      <c r="T14" s="6"/>
      <c r="U14" s="6"/>
      <c r="V14" s="6"/>
      <c r="W14" s="6"/>
    </row>
    <row r="15" spans="3:28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  <c r="S15" s="6"/>
      <c r="T15" s="6"/>
      <c r="U15" s="6"/>
      <c r="V15" s="6"/>
      <c r="W15" s="6"/>
    </row>
    <row r="16" spans="3:28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  <c r="S16" s="6"/>
      <c r="T16" s="6"/>
      <c r="U16" s="6"/>
      <c r="V16" s="6"/>
      <c r="W16" s="6"/>
    </row>
    <row r="17" spans="3:23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  <c r="S17" s="6"/>
      <c r="T17" s="6"/>
      <c r="U17" s="6"/>
      <c r="V17" s="6"/>
      <c r="W17" s="6"/>
    </row>
    <row r="18" spans="3:23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  <c r="S18" s="6"/>
      <c r="T18" s="6"/>
      <c r="U18" s="6"/>
      <c r="V18" s="6"/>
      <c r="W18" s="6"/>
    </row>
    <row r="19" spans="3:23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  <c r="S19" s="6"/>
      <c r="T19" s="6"/>
      <c r="U19" s="6"/>
      <c r="V19" s="6"/>
      <c r="W19" s="6"/>
    </row>
    <row r="20" spans="3:23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  <c r="S20" s="6"/>
      <c r="T20" s="6"/>
      <c r="U20" s="6"/>
      <c r="V20" s="6"/>
      <c r="W20" s="6"/>
    </row>
    <row r="21" spans="3:23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  <c r="S21" s="6"/>
      <c r="T21" s="6"/>
      <c r="U21" s="6"/>
      <c r="V21" s="6"/>
      <c r="W21" s="6"/>
    </row>
    <row r="39" spans="3:18" ht="15.75" thickBot="1">
      <c r="C39" s="5" t="s">
        <v>35</v>
      </c>
      <c r="E39" s="26"/>
      <c r="F39" s="27"/>
      <c r="H39"/>
      <c r="I39"/>
      <c r="J39"/>
      <c r="K39"/>
      <c r="N39" s="43" t="s">
        <v>76</v>
      </c>
      <c r="O39" s="43"/>
      <c r="P39" s="45">
        <f>CurrentMtgRatesDataTable82523[SeriesNumValue]</f>
        <v>3.77</v>
      </c>
      <c r="Q39" s="46" t="s">
        <v>77</v>
      </c>
      <c r="R39" s="44">
        <f>CurrentMtgRatesDataTable82523[AsOfDate]</f>
        <v>42159</v>
      </c>
    </row>
    <row r="40" spans="3:18" s="36" customFormat="1" ht="13.5" customHeight="1">
      <c r="C40" s="57"/>
      <c r="D40" s="61" t="s">
        <v>29</v>
      </c>
      <c r="E40" s="47"/>
      <c r="F40" s="48"/>
      <c r="G40" s="61" t="s">
        <v>26</v>
      </c>
      <c r="H40" s="47"/>
      <c r="I40" s="48"/>
      <c r="J40" s="61" t="s">
        <v>33</v>
      </c>
      <c r="K40" s="47"/>
      <c r="L40" s="48"/>
      <c r="N40" s="69"/>
      <c r="O40" s="47" t="s">
        <v>29</v>
      </c>
      <c r="P40" s="48"/>
      <c r="Q40" s="61" t="s">
        <v>26</v>
      </c>
      <c r="R40" s="48"/>
    </row>
    <row r="41" spans="3:18" s="36" customFormat="1" ht="13.5" customHeight="1">
      <c r="C41" s="58" t="s">
        <v>34</v>
      </c>
      <c r="D41" s="49" t="s">
        <v>32</v>
      </c>
      <c r="E41" s="29" t="s">
        <v>12</v>
      </c>
      <c r="F41" s="50" t="s">
        <v>13</v>
      </c>
      <c r="G41" s="49" t="s">
        <v>32</v>
      </c>
      <c r="H41" s="29" t="s">
        <v>12</v>
      </c>
      <c r="I41" s="50" t="s">
        <v>13</v>
      </c>
      <c r="J41" s="49" t="s">
        <v>32</v>
      </c>
      <c r="K41" s="29" t="s">
        <v>12</v>
      </c>
      <c r="L41" s="50" t="s">
        <v>13</v>
      </c>
      <c r="N41" s="49" t="s">
        <v>72</v>
      </c>
      <c r="O41" s="29" t="s">
        <v>73</v>
      </c>
      <c r="P41" s="50" t="s">
        <v>74</v>
      </c>
      <c r="Q41" s="49" t="s">
        <v>73</v>
      </c>
      <c r="R41" s="50" t="s">
        <v>74</v>
      </c>
    </row>
    <row r="42" spans="3:18" s="36" customFormat="1" ht="13.5" customHeight="1">
      <c r="C42" s="59">
        <f>Query!B3</f>
        <v>42159</v>
      </c>
      <c r="D42" s="62">
        <f>Query!C3</f>
        <v>0.54411437418255881</v>
      </c>
      <c r="E42" s="37">
        <f>Query!C3-Query!C7</f>
        <v>-3.6864768325618025E-2</v>
      </c>
      <c r="F42" s="63">
        <f>Query!C3-Query!C16</f>
        <v>-7.5554891979307648E-2</v>
      </c>
      <c r="G42" s="62">
        <f>Query!D3</f>
        <v>0.49151040605794738</v>
      </c>
      <c r="H42" s="37">
        <f>Query!D3-Query!D7</f>
        <v>-4.0874181752411642E-2</v>
      </c>
      <c r="I42" s="63">
        <f>Query!D3-Query!D16</f>
        <v>-9.2337133426542595E-2</v>
      </c>
      <c r="J42" s="66" t="e">
        <f ca="1">Query!E3</f>
        <v>#N/A</v>
      </c>
      <c r="K42" s="38" t="e">
        <f ca="1">Query!E3-Query!E4</f>
        <v>#N/A</v>
      </c>
      <c r="L42" s="52" t="e">
        <f ca="1">Query!E3-Query!E16</f>
        <v>#N/A</v>
      </c>
      <c r="N42" s="51" t="s">
        <v>55</v>
      </c>
      <c r="O42" s="37">
        <f>'Function Of Rate'!F$12</f>
        <v>0.80799498708842732</v>
      </c>
      <c r="P42" s="63">
        <f t="shared" ref="P42:R45" si="0">O42-$O$47</f>
        <v>0.26388061290586851</v>
      </c>
      <c r="Q42" s="72">
        <f>'Function Of Rate'!F$13</f>
        <v>0.76344407772862821</v>
      </c>
      <c r="R42" s="63">
        <f t="shared" ref="R42:R45" si="1">Q42-$Q$47</f>
        <v>0.27193367167068083</v>
      </c>
    </row>
    <row r="43" spans="3:18" s="36" customFormat="1" ht="13.5" customHeight="1">
      <c r="C43" s="59">
        <f>Query!B4</f>
        <v>42152</v>
      </c>
      <c r="D43" s="62">
        <f>Query!C4</f>
        <v>0.54951676769042945</v>
      </c>
      <c r="E43" s="37">
        <f>Query!C4-Query!C8</f>
        <v>-8.6877259028806608E-2</v>
      </c>
      <c r="F43" s="63">
        <f>Query!C4-Query!C17</f>
        <v>-6.1468983433647928E-2</v>
      </c>
      <c r="G43" s="62">
        <f>Query!D4</f>
        <v>0.49518214427458052</v>
      </c>
      <c r="H43" s="37">
        <f>Query!D4-Query!D8</f>
        <v>-0.11369416383463848</v>
      </c>
      <c r="I43" s="63">
        <f>Query!D4-Query!D17</f>
        <v>-6.62640870212865E-2</v>
      </c>
      <c r="J43" s="66">
        <f ca="1">Query!E4</f>
        <v>1233.9000000000001</v>
      </c>
      <c r="K43" s="38">
        <f ca="1">Query!E4-Query!E5</f>
        <v>-174.19999999999982</v>
      </c>
      <c r="L43" s="52">
        <f ca="1">Query!E4-Query!E17</f>
        <v>-506.39999999999986</v>
      </c>
      <c r="N43" s="51" t="s">
        <v>54</v>
      </c>
      <c r="O43" s="37">
        <f>'Function Of Rate'!G$12</f>
        <v>0.78392915809988017</v>
      </c>
      <c r="P43" s="63">
        <f t="shared" si="0"/>
        <v>0.23981478391732136</v>
      </c>
      <c r="Q43" s="72">
        <f>'Function Of Rate'!G$13</f>
        <v>0.72773036028524607</v>
      </c>
      <c r="R43" s="63">
        <f t="shared" si="1"/>
        <v>0.23621995422729869</v>
      </c>
    </row>
    <row r="44" spans="3:18" s="36" customFormat="1" ht="13.5" customHeight="1">
      <c r="C44" s="59">
        <f>Query!B5</f>
        <v>42145</v>
      </c>
      <c r="D44" s="62">
        <f>Query!C5</f>
        <v>0.55264936292906153</v>
      </c>
      <c r="E44" s="37">
        <f>Query!C5-Query!C9</f>
        <v>-9.686434229599139E-2</v>
      </c>
      <c r="F44" s="63">
        <f>Query!C5-Query!C18</f>
        <v>-7.3866918267672999E-2</v>
      </c>
      <c r="G44" s="62">
        <f>Query!D5</f>
        <v>0.49530657385961702</v>
      </c>
      <c r="H44" s="37">
        <f>Query!D5-Query!D9</f>
        <v>-0.13820263821935502</v>
      </c>
      <c r="I44" s="63">
        <f>Query!D5-Query!D18</f>
        <v>-9.4728115193803031E-2</v>
      </c>
      <c r="J44" s="66">
        <f ca="1">Query!E5</f>
        <v>1408.1</v>
      </c>
      <c r="K44" s="38">
        <f ca="1">Query!E5-Query!E6</f>
        <v>-40.700000000000045</v>
      </c>
      <c r="L44" s="52">
        <f ca="1">Query!E5-Query!E18</f>
        <v>-295</v>
      </c>
      <c r="N44" s="51" t="s">
        <v>53</v>
      </c>
      <c r="O44" s="37">
        <f>'Function Of Rate'!H$12</f>
        <v>0.71651730665930002</v>
      </c>
      <c r="P44" s="63">
        <f t="shared" si="0"/>
        <v>0.17240293247674121</v>
      </c>
      <c r="Q44" s="72">
        <f>'Function Of Rate'!H$13</f>
        <v>0.66063522577239353</v>
      </c>
      <c r="R44" s="63">
        <f t="shared" si="1"/>
        <v>0.16912481971444615</v>
      </c>
    </row>
    <row r="45" spans="3:18" s="36" customFormat="1" ht="13.5" customHeight="1">
      <c r="C45" s="59">
        <f>Query!B6</f>
        <v>42138</v>
      </c>
      <c r="D45" s="62">
        <f>Query!C6</f>
        <v>0.56120232410101856</v>
      </c>
      <c r="E45" s="37">
        <f>Query!C6-Query!C10</f>
        <v>-6.9352714940806526E-2</v>
      </c>
      <c r="F45" s="63">
        <f>Query!C6-Query!C19</f>
        <v>-8.7706088553189399E-2</v>
      </c>
      <c r="G45" s="62">
        <f>Query!D6</f>
        <v>0.52626041924754496</v>
      </c>
      <c r="H45" s="37">
        <f>Query!D6-Query!D10</f>
        <v>-8.1198694606511079E-2</v>
      </c>
      <c r="I45" s="63">
        <f>Query!D6-Query!D19</f>
        <v>-0.10093033925876704</v>
      </c>
      <c r="J45" s="66">
        <f ca="1">Query!E6</f>
        <v>1448.8</v>
      </c>
      <c r="K45" s="38">
        <f ca="1">Query!E6-Query!E7</f>
        <v>-29</v>
      </c>
      <c r="L45" s="52">
        <f ca="1">Query!E6-Query!E19</f>
        <v>-455.40000000000009</v>
      </c>
      <c r="N45" s="51" t="s">
        <v>52</v>
      </c>
      <c r="O45" s="37">
        <f>'Function Of Rate'!I$12</f>
        <v>0.62920207708920783</v>
      </c>
      <c r="P45" s="63">
        <f t="shared" si="0"/>
        <v>8.5087702906649021E-2</v>
      </c>
      <c r="Q45" s="72">
        <f>'Function Of Rate'!I$13</f>
        <v>0.59584864654221092</v>
      </c>
      <c r="R45" s="63">
        <f t="shared" si="1"/>
        <v>0.10433824048426354</v>
      </c>
    </row>
    <row r="46" spans="3:18" s="36" customFormat="1" ht="13.5" customHeight="1">
      <c r="C46" s="59">
        <f>Query!B7</f>
        <v>42131</v>
      </c>
      <c r="D46" s="62">
        <f>Query!C7</f>
        <v>0.58097914250817684</v>
      </c>
      <c r="E46" s="37">
        <f>Query!C7-Query!C11</f>
        <v>-6.3613783913475608E-2</v>
      </c>
      <c r="F46" s="63">
        <f>Query!C7-Query!C20</f>
        <v>-0.10340253343898498</v>
      </c>
      <c r="G46" s="62">
        <f>Query!D7</f>
        <v>0.53238458781035902</v>
      </c>
      <c r="H46" s="37">
        <f>Query!D7-Query!D11</f>
        <v>-9.9414162043559018E-2</v>
      </c>
      <c r="I46" s="63">
        <f>Query!D7-Query!D20</f>
        <v>-0.12217446530835396</v>
      </c>
      <c r="J46" s="66">
        <f ca="1">Query!E7</f>
        <v>1477.8</v>
      </c>
      <c r="K46" s="38">
        <f ca="1">Query!E7-Query!E8</f>
        <v>-81.600000000000136</v>
      </c>
      <c r="L46" s="52">
        <f ca="1">Query!E7-Query!E20</f>
        <v>-813.50000000000023</v>
      </c>
      <c r="N46" s="51" t="s">
        <v>51</v>
      </c>
      <c r="O46" s="37">
        <f>'Function Of Rate'!J$12</f>
        <v>0.58891575870881585</v>
      </c>
      <c r="P46" s="63">
        <f>O46-$O$47</f>
        <v>4.4801384526257038E-2</v>
      </c>
      <c r="Q46" s="72">
        <f>'Function Of Rate'!J$13</f>
        <v>0.55623972238487351</v>
      </c>
      <c r="R46" s="63">
        <f>Q46-$Q$47</f>
        <v>6.4729316326926134E-2</v>
      </c>
    </row>
    <row r="47" spans="3:18" s="36" customFormat="1" ht="13.5" customHeight="1">
      <c r="C47" s="59">
        <f>Query!B8</f>
        <v>42124</v>
      </c>
      <c r="D47" s="62">
        <f>Query!C8</f>
        <v>0.63639402671923606</v>
      </c>
      <c r="E47" s="37">
        <f>Query!C8-Query!C12</f>
        <v>8.6096301192285507E-3</v>
      </c>
      <c r="F47" s="63">
        <f>Query!C8-Query!C21</f>
        <v>-2.6254830083254022E-2</v>
      </c>
      <c r="G47" s="62">
        <f>Query!D8</f>
        <v>0.608876308109219</v>
      </c>
      <c r="H47" s="37">
        <f>Query!D8-Query!D12</f>
        <v>2.6895597754279521E-3</v>
      </c>
      <c r="I47" s="63">
        <f>Query!D8-Query!D21</f>
        <v>-4.6946994226618965E-2</v>
      </c>
      <c r="J47" s="66">
        <f ca="1">Query!E8</f>
        <v>1559.4</v>
      </c>
      <c r="K47" s="38">
        <f ca="1">Query!E8-Query!E9</f>
        <v>-163.59999999999991</v>
      </c>
      <c r="L47" s="52">
        <f ca="1">Query!E8-Query!E21</f>
        <v>-1025.4000000000001</v>
      </c>
      <c r="N47" s="70">
        <f>'Function Of Rate'!$K$11</f>
        <v>3.77</v>
      </c>
      <c r="O47" s="68">
        <f>'Function Of Rate'!K$12</f>
        <v>0.54411437418255881</v>
      </c>
      <c r="P47" s="71" t="s">
        <v>75</v>
      </c>
      <c r="Q47" s="73">
        <f>'Function Of Rate'!K$13</f>
        <v>0.49151040605794738</v>
      </c>
      <c r="R47" s="71" t="s">
        <v>75</v>
      </c>
    </row>
    <row r="48" spans="3:18" s="36" customFormat="1" ht="13.5" customHeight="1">
      <c r="C48" s="59">
        <f>Query!B9</f>
        <v>42117</v>
      </c>
      <c r="D48" s="62">
        <f>Query!C9</f>
        <v>0.64951370522505292</v>
      </c>
      <c r="E48" s="37">
        <f>Query!C9-Query!C13</f>
        <v>7.5605419671138652E-3</v>
      </c>
      <c r="F48" s="63">
        <f>Query!C9-Query!C22</f>
        <v>-1.5227562261968308E-2</v>
      </c>
      <c r="G48" s="62">
        <f>Query!D9</f>
        <v>0.63350921207897204</v>
      </c>
      <c r="H48" s="37">
        <f>Query!D9-Query!D13</f>
        <v>1.3653802707841001E-2</v>
      </c>
      <c r="I48" s="63">
        <f>Query!D9-Query!D22</f>
        <v>-2.3695506591696947E-2</v>
      </c>
      <c r="J48" s="66">
        <f ca="1">Query!E9</f>
        <v>1723</v>
      </c>
      <c r="K48" s="38">
        <f ca="1">Query!E9-Query!E10</f>
        <v>-94</v>
      </c>
      <c r="L48" s="52">
        <f ca="1">Query!E9-Query!E22</f>
        <v>-849.30000000000018</v>
      </c>
      <c r="N48" s="51" t="s">
        <v>56</v>
      </c>
      <c r="O48" s="37">
        <f>'Function Of Rate'!L$12</f>
        <v>0.50889439316160145</v>
      </c>
      <c r="P48" s="63">
        <f t="shared" ref="P48:R52" si="2">O48-$O$47</f>
        <v>-3.5219981020957358E-2</v>
      </c>
      <c r="Q48" s="72">
        <f>'Function Of Rate'!L$13</f>
        <v>0.45975079201585678</v>
      </c>
      <c r="R48" s="63">
        <f>Q48-$Q$47</f>
        <v>-3.17596140420906E-2</v>
      </c>
    </row>
    <row r="49" spans="3:18" s="36" customFormat="1" ht="13.5" customHeight="1">
      <c r="C49" s="59">
        <f>Query!B10</f>
        <v>42110</v>
      </c>
      <c r="D49" s="62">
        <f>Query!C10</f>
        <v>0.63055503904182508</v>
      </c>
      <c r="E49" s="37">
        <f>Query!C10-Query!C14</f>
        <v>2.1183076755418195E-2</v>
      </c>
      <c r="F49" s="63">
        <f>Query!C10-Query!C23</f>
        <v>-3.2093817760665E-2</v>
      </c>
      <c r="G49" s="62">
        <f>Query!D10</f>
        <v>0.60745911385405604</v>
      </c>
      <c r="H49" s="37">
        <f>Query!D10-Query!D14</f>
        <v>2.5993468227455074E-2</v>
      </c>
      <c r="I49" s="63">
        <f>Query!D10-Query!D23</f>
        <v>-4.8364188481781922E-2</v>
      </c>
      <c r="J49" s="66">
        <f ca="1">Query!E10</f>
        <v>1817</v>
      </c>
      <c r="K49" s="38">
        <f ca="1">Query!E10-Query!E11</f>
        <v>12.400000000000091</v>
      </c>
      <c r="L49" s="52">
        <f ca="1">Query!E10-Query!E23</f>
        <v>-982.30000000000018</v>
      </c>
      <c r="N49" s="51" t="s">
        <v>57</v>
      </c>
      <c r="O49" s="37">
        <f>'Function Of Rate'!M$12</f>
        <v>0.43580375995722553</v>
      </c>
      <c r="P49" s="63">
        <f t="shared" si="2"/>
        <v>-0.10831061422533328</v>
      </c>
      <c r="Q49" s="72">
        <f>'Function Of Rate'!M$13</f>
        <v>0.39825759910940028</v>
      </c>
      <c r="R49" s="63">
        <f t="shared" ref="R49:R52" si="3">Q49-$Q$47</f>
        <v>-9.3252806948547096E-2</v>
      </c>
    </row>
    <row r="50" spans="3:18" s="36" customFormat="1" ht="13.5" customHeight="1">
      <c r="C50" s="59">
        <f>Query!B11</f>
        <v>42103</v>
      </c>
      <c r="D50" s="62">
        <f>Query!C11</f>
        <v>0.64459292642165245</v>
      </c>
      <c r="E50" s="37">
        <f>Query!C11-Query!C15</f>
        <v>6.8998472036508773E-2</v>
      </c>
      <c r="F50" s="63">
        <f>Query!C11-Query!C24</f>
        <v>8.7915113602688999E-3</v>
      </c>
      <c r="G50" s="62">
        <f>Query!D11</f>
        <v>0.63179874985391804</v>
      </c>
      <c r="H50" s="37">
        <f>Query!D11-Query!D15</f>
        <v>0.11476503529378301</v>
      </c>
      <c r="I50" s="63">
        <f>Query!D11-Query!D24</f>
        <v>3.2481684269838995E-2</v>
      </c>
      <c r="J50" s="66">
        <f ca="1">Query!E11</f>
        <v>1804.6</v>
      </c>
      <c r="K50" s="38">
        <f ca="1">Query!E11-Query!E12</f>
        <v>-50.100000000000136</v>
      </c>
      <c r="L50" s="52">
        <f ca="1">Query!E11-Query!E24</f>
        <v>-466.90000000000009</v>
      </c>
      <c r="N50" s="51" t="s">
        <v>58</v>
      </c>
      <c r="O50" s="37">
        <f>'Function Of Rate'!N$12</f>
        <v>0.365245741938859</v>
      </c>
      <c r="P50" s="63">
        <f t="shared" si="2"/>
        <v>-0.17886863224369981</v>
      </c>
      <c r="Q50" s="72">
        <f>'Function Of Rate'!N$13</f>
        <v>0.3459780428592461</v>
      </c>
      <c r="R50" s="63">
        <f t="shared" si="3"/>
        <v>-0.14553236319870128</v>
      </c>
    </row>
    <row r="51" spans="3:18" s="36" customFormat="1" ht="13.5" customHeight="1" thickBot="1">
      <c r="C51" s="60">
        <f>Query!B12</f>
        <v>42096</v>
      </c>
      <c r="D51" s="64">
        <f>Query!C12</f>
        <v>0.62778439660000751</v>
      </c>
      <c r="E51" s="54">
        <f>Query!C12-Query!C16</f>
        <v>8.1151304381410494E-3</v>
      </c>
      <c r="F51" s="65">
        <f>Query!C12-Query!C25</f>
        <v>3.7056437298418454E-2</v>
      </c>
      <c r="G51" s="64">
        <f>Query!D12</f>
        <v>0.60618674833379105</v>
      </c>
      <c r="H51" s="54">
        <f>Query!D12-Query!D16</f>
        <v>2.2339208849301073E-2</v>
      </c>
      <c r="I51" s="65">
        <f>Query!D12-Query!D25</f>
        <v>6.9382594206447101E-2</v>
      </c>
      <c r="J51" s="67">
        <f ca="1">Query!E12</f>
        <v>1854.7</v>
      </c>
      <c r="K51" s="55">
        <f ca="1">Query!E12-Query!E13</f>
        <v>-86.899999999999864</v>
      </c>
      <c r="L51" s="56">
        <f ca="1">Query!E12-Query!E25</f>
        <v>507.10000000000014</v>
      </c>
      <c r="N51" s="51" t="s">
        <v>59</v>
      </c>
      <c r="O51" s="37">
        <f>'Function Of Rate'!O$12</f>
        <v>0.31536824589657764</v>
      </c>
      <c r="P51" s="63">
        <f t="shared" si="2"/>
        <v>-0.22874612828598118</v>
      </c>
      <c r="Q51" s="72">
        <f>'Function Of Rate'!O$13</f>
        <v>0.32101461201332909</v>
      </c>
      <c r="R51" s="63">
        <f t="shared" si="3"/>
        <v>-0.17049579404461829</v>
      </c>
    </row>
    <row r="52" spans="3:18" ht="13.5" customHeight="1" thickBot="1">
      <c r="C52" s="42" t="s">
        <v>79</v>
      </c>
      <c r="H52"/>
      <c r="I52"/>
      <c r="J52"/>
      <c r="K52"/>
      <c r="N52" s="53" t="s">
        <v>60</v>
      </c>
      <c r="O52" s="54">
        <f>'Function Of Rate'!P$12</f>
        <v>0.28418221163239366</v>
      </c>
      <c r="P52" s="65">
        <f t="shared" si="2"/>
        <v>-0.25993216255016516</v>
      </c>
      <c r="Q52" s="74">
        <f>'Function Of Rate'!P$13</f>
        <v>0.27064818379051486</v>
      </c>
      <c r="R52" s="65">
        <f t="shared" si="3"/>
        <v>-0.22086222226743252</v>
      </c>
    </row>
    <row r="53" spans="3:18" ht="12" customHeight="1">
      <c r="C53" s="42" t="s">
        <v>78</v>
      </c>
    </row>
    <row r="55" spans="3:18" ht="15">
      <c r="D55"/>
      <c r="E55"/>
      <c r="F55"/>
      <c r="G55"/>
      <c r="H55"/>
      <c r="I55"/>
    </row>
    <row r="56" spans="3:18" ht="15">
      <c r="D56"/>
      <c r="E56"/>
      <c r="F56"/>
      <c r="G56"/>
      <c r="H56"/>
      <c r="I56"/>
    </row>
    <row r="57" spans="3:18" ht="15">
      <c r="D57"/>
      <c r="E57"/>
      <c r="F57"/>
      <c r="G57"/>
      <c r="H57"/>
      <c r="I57"/>
    </row>
    <row r="58" spans="3:18" ht="15">
      <c r="D58"/>
      <c r="E58"/>
      <c r="F58"/>
      <c r="G58"/>
      <c r="H58"/>
      <c r="I58"/>
      <c r="J58" s="17"/>
    </row>
    <row r="59" spans="3:18" ht="15">
      <c r="D59"/>
      <c r="E59"/>
      <c r="F59"/>
      <c r="G59"/>
      <c r="H59"/>
      <c r="I59"/>
    </row>
    <row r="61" spans="3:18">
      <c r="D61" s="15"/>
      <c r="E61" s="16"/>
      <c r="F61" s="16"/>
      <c r="G61" s="17"/>
      <c r="H61" s="17"/>
      <c r="I61" s="17"/>
      <c r="J61" s="17"/>
    </row>
    <row r="81" spans="3:22" ht="15">
      <c r="C81" s="5" t="s">
        <v>18</v>
      </c>
      <c r="E81" s="26" t="s">
        <v>22</v>
      </c>
      <c r="F81" s="27">
        <f>Z56</f>
        <v>0</v>
      </c>
    </row>
    <row r="82" spans="3:22">
      <c r="C82" s="20" t="s">
        <v>0</v>
      </c>
      <c r="D82" s="21" t="s">
        <v>17</v>
      </c>
      <c r="E82" s="21" t="s">
        <v>14</v>
      </c>
      <c r="F82" s="22" t="s">
        <v>20</v>
      </c>
    </row>
    <row r="83" spans="3:22">
      <c r="C83" s="20">
        <v>1</v>
      </c>
      <c r="D83" s="23" t="e">
        <f t="array" ref="D83">VLOOKUP(C83&amp;$Z$9,IF({1,0},#REF!&amp;#REF!,#REF!),2,0)</f>
        <v>#N/A</v>
      </c>
      <c r="E83" s="24" t="e">
        <f t="array" ref="E83">VLOOKUP(C83&amp;$Z$9,IF({1,0},#REF!&amp;#REF!,#REF!),2,0)/VLOOKUP($Z$9,#REF!,2,0)</f>
        <v>#N/A</v>
      </c>
      <c r="F83" s="25" t="e">
        <f t="array" ref="F83">VLOOKUP(C83&amp;$Z$9,IF({1,0},#REF!&amp;#REF!,#REF!),2,0)/1000000</f>
        <v>#N/A</v>
      </c>
    </row>
    <row r="84" spans="3:22">
      <c r="C84" s="20">
        <v>2</v>
      </c>
      <c r="D84" s="23" t="e">
        <f t="array" ref="D84">VLOOKUP(C84&amp;$Z$9,IF({1,0},#REF!&amp;#REF!,#REF!),2,0)</f>
        <v>#N/A</v>
      </c>
      <c r="E84" s="24" t="e">
        <f t="array" ref="E84">VLOOKUP(C84&amp;$Z$9,IF({1,0},#REF!&amp;#REF!,#REF!),2,0)/VLOOKUP($Z$9,#REF!,2,0)</f>
        <v>#N/A</v>
      </c>
      <c r="F84" s="25" t="e">
        <f t="array" ref="F84">VLOOKUP(C84&amp;$Z$9,IF({1,0},#REF!&amp;#REF!,#REF!),2,0)/1000000</f>
        <v>#N/A</v>
      </c>
    </row>
    <row r="85" spans="3:22">
      <c r="C85" s="20">
        <v>3</v>
      </c>
      <c r="D85" s="23" t="e">
        <f t="array" ref="D85">VLOOKUP(C85&amp;$Z$9,IF({1,0},#REF!&amp;#REF!,#REF!),2,0)</f>
        <v>#N/A</v>
      </c>
      <c r="E85" s="24" t="e">
        <f t="array" ref="E85">VLOOKUP(C85&amp;$Z$9,IF({1,0},#REF!&amp;#REF!,#REF!),2,0)/VLOOKUP($Z$9,#REF!,2,0)</f>
        <v>#N/A</v>
      </c>
      <c r="F85" s="25" t="e">
        <f t="array" ref="F85">VLOOKUP(C85&amp;$Z$9,IF({1,0},#REF!&amp;#REF!,#REF!),2,0)/1000000</f>
        <v>#N/A</v>
      </c>
    </row>
    <row r="86" spans="3:22">
      <c r="C86" s="20">
        <v>4</v>
      </c>
      <c r="D86" s="23" t="e">
        <f t="array" ref="D86">VLOOKUP(C86&amp;$Z$9,IF({1,0},#REF!&amp;#REF!,#REF!),2,0)</f>
        <v>#N/A</v>
      </c>
      <c r="E86" s="24" t="e">
        <f t="array" ref="E86">VLOOKUP(C86&amp;$Z$9,IF({1,0},#REF!&amp;#REF!,#REF!),2,0)/VLOOKUP($Z$9,#REF!,2,0)</f>
        <v>#N/A</v>
      </c>
      <c r="F86" s="25" t="e">
        <f t="array" ref="F86">VLOOKUP(C86&amp;$Z$9,IF({1,0},#REF!&amp;#REF!,#REF!),2,0)/1000000</f>
        <v>#N/A</v>
      </c>
      <c r="P86" s="10" t="s">
        <v>11</v>
      </c>
      <c r="Q86" s="11" t="s">
        <v>7</v>
      </c>
      <c r="R86" s="11"/>
      <c r="S86" s="11"/>
      <c r="U86" s="11"/>
      <c r="V86" s="11"/>
    </row>
    <row r="87" spans="3:22">
      <c r="C87" s="20">
        <v>5</v>
      </c>
      <c r="D87" s="23" t="e">
        <f t="array" ref="D87">VLOOKUP(C87&amp;$Z$9,IF({1,0},#REF!&amp;#REF!,#REF!),2,0)</f>
        <v>#N/A</v>
      </c>
      <c r="E87" s="24" t="e">
        <f t="array" ref="E87">VLOOKUP(C87&amp;$Z$9,IF({1,0},#REF!&amp;#REF!,#REF!),2,0)/VLOOKUP($Z$9,#REF!,2,0)</f>
        <v>#N/A</v>
      </c>
      <c r="F87" s="25" t="e">
        <f t="array" ref="F87">VLOOKUP(C87&amp;$Z$9,IF({1,0},#REF!&amp;#REF!,#REF!),2,0)/1000000</f>
        <v>#N/A</v>
      </c>
      <c r="Q87" s="11" t="s">
        <v>8</v>
      </c>
      <c r="R87" s="11"/>
      <c r="S87" s="11"/>
      <c r="U87" s="11"/>
      <c r="V87" s="11"/>
    </row>
    <row r="88" spans="3:22">
      <c r="C88" s="20">
        <v>6</v>
      </c>
      <c r="D88" s="23" t="e">
        <f t="array" ref="D88">VLOOKUP(C88&amp;$Z$9,IF({1,0},#REF!&amp;#REF!,#REF!),2,0)</f>
        <v>#N/A</v>
      </c>
      <c r="E88" s="24" t="e">
        <f t="array" ref="E88">VLOOKUP(C88&amp;$Z$9,IF({1,0},#REF!&amp;#REF!,#REF!),2,0)/VLOOKUP($Z$9,#REF!,2,0)</f>
        <v>#N/A</v>
      </c>
      <c r="F88" s="25" t="e">
        <f t="array" ref="F88">VLOOKUP(C88&amp;$Z$9,IF({1,0},#REF!&amp;#REF!,#REF!),2,0)/1000000</f>
        <v>#N/A</v>
      </c>
      <c r="Q88" s="11" t="s">
        <v>9</v>
      </c>
      <c r="R88" s="11"/>
      <c r="S88" s="11"/>
      <c r="U88" s="11"/>
      <c r="V88" s="11"/>
    </row>
    <row r="89" spans="3:22">
      <c r="C89" s="20">
        <v>7</v>
      </c>
      <c r="D89" s="23" t="e">
        <f t="array" ref="D89">VLOOKUP(C89&amp;$Z$9,IF({1,0},#REF!&amp;#REF!,#REF!),2,0)</f>
        <v>#N/A</v>
      </c>
      <c r="E89" s="24" t="e">
        <f t="array" ref="E89">VLOOKUP(C89&amp;$Z$9,IF({1,0},#REF!&amp;#REF!,#REF!),2,0)/VLOOKUP($Z$9,#REF!,2,0)</f>
        <v>#N/A</v>
      </c>
      <c r="F89" s="25" t="e">
        <f t="array" ref="F89">VLOOKUP(C89&amp;$Z$9,IF({1,0},#REF!&amp;#REF!,#REF!),2,0)/1000000</f>
        <v>#N/A</v>
      </c>
      <c r="Q89" s="12" t="s">
        <v>10</v>
      </c>
      <c r="R89" s="12"/>
      <c r="S89" s="12"/>
      <c r="U89" s="12"/>
      <c r="V89" s="12"/>
    </row>
    <row r="90" spans="3:22">
      <c r="C90" s="20">
        <v>8</v>
      </c>
      <c r="D90" s="23" t="e">
        <f t="array" ref="D90">VLOOKUP(C90&amp;$Z$9,IF({1,0},#REF!&amp;#REF!,#REF!),2,0)</f>
        <v>#N/A</v>
      </c>
      <c r="E90" s="24" t="e">
        <f t="array" ref="E90">VLOOKUP(C90&amp;$Z$9,IF({1,0},#REF!&amp;#REF!,#REF!),2,0)/VLOOKUP($Z$9,#REF!,2,0)</f>
        <v>#N/A</v>
      </c>
      <c r="F90" s="25" t="e">
        <f t="array" ref="F90">VLOOKUP(C90&amp;$Z$9,IF({1,0},#REF!&amp;#REF!,#REF!),2,0)/1000000</f>
        <v>#N/A</v>
      </c>
    </row>
    <row r="91" spans="3:22">
      <c r="C91" s="20">
        <v>9</v>
      </c>
      <c r="D91" s="23" t="e">
        <f t="array" ref="D91">VLOOKUP(C91&amp;$Z$9,IF({1,0},#REF!&amp;#REF!,#REF!),2,0)</f>
        <v>#N/A</v>
      </c>
      <c r="E91" s="24" t="e">
        <f t="array" ref="E91">VLOOKUP(C91&amp;$Z$9,IF({1,0},#REF!&amp;#REF!,#REF!),2,0)/VLOOKUP($Z$9,#REF!,2,0)</f>
        <v>#N/A</v>
      </c>
      <c r="F91" s="25" t="e">
        <f t="array" ref="F91">VLOOKUP(C91&amp;$Z$9,IF({1,0},#REF!&amp;#REF!,#REF!),2,0)/1000000</f>
        <v>#N/A</v>
      </c>
    </row>
    <row r="92" spans="3:22">
      <c r="C92" s="20">
        <v>10</v>
      </c>
      <c r="D92" s="23" t="e">
        <f t="array" ref="D92">VLOOKUP(C92&amp;$Z$9,IF({1,0},#REF!&amp;#REF!,#REF!),2,0)</f>
        <v>#N/A</v>
      </c>
      <c r="E92" s="24" t="e">
        <f t="array" ref="E92">VLOOKUP(C92&amp;$Z$9,IF({1,0},#REF!&amp;#REF!,#REF!),2,0)/VLOOKUP($Z$9,#REF!,2,0)</f>
        <v>#N/A</v>
      </c>
      <c r="F92" s="25" t="e">
        <f t="array" ref="F92">VLOOKUP(C92&amp;$Z$9,IF({1,0},#REF!&amp;#REF!,#REF!),2,0)/1000000</f>
        <v>#N/A</v>
      </c>
    </row>
  </sheetData>
  <mergeCells count="5">
    <mergeCell ref="D40:F40"/>
    <mergeCell ref="G40:I40"/>
    <mergeCell ref="J40:L40"/>
    <mergeCell ref="O40:P40"/>
    <mergeCell ref="Q40:R40"/>
  </mergeCells>
  <conditionalFormatting sqref="E42:F51">
    <cfRule type="cellIs" dxfId="48" priority="19" operator="lessThan">
      <formula>0</formula>
    </cfRule>
  </conditionalFormatting>
  <conditionalFormatting sqref="H42:H51">
    <cfRule type="cellIs" dxfId="47" priority="18" operator="lessThan">
      <formula>0</formula>
    </cfRule>
  </conditionalFormatting>
  <conditionalFormatting sqref="K42:K51">
    <cfRule type="cellIs" dxfId="46" priority="17" operator="lessThan">
      <formula>0</formula>
    </cfRule>
  </conditionalFormatting>
  <conditionalFormatting sqref="I42:I51">
    <cfRule type="cellIs" dxfId="45" priority="16" operator="lessThan">
      <formula>0</formula>
    </cfRule>
  </conditionalFormatting>
  <conditionalFormatting sqref="L42:L51">
    <cfRule type="cellIs" dxfId="44" priority="15" operator="lessThan">
      <formula>0</formula>
    </cfRule>
  </conditionalFormatting>
  <conditionalFormatting sqref="D42:L51">
    <cfRule type="containsErrors" dxfId="43" priority="13">
      <formula>ISERROR(D42)</formula>
    </cfRule>
    <cfRule type="containsErrors" dxfId="42" priority="14">
      <formula>ISERROR(D42)</formula>
    </cfRule>
  </conditionalFormatting>
  <conditionalFormatting sqref="P42:P52">
    <cfRule type="cellIs" dxfId="41" priority="12" operator="lessThan">
      <formula>0</formula>
    </cfRule>
  </conditionalFormatting>
  <conditionalFormatting sqref="P42:P52">
    <cfRule type="containsErrors" dxfId="40" priority="10">
      <formula>ISERROR(P42)</formula>
    </cfRule>
    <cfRule type="containsErrors" dxfId="39" priority="11">
      <formula>ISERROR(P42)</formula>
    </cfRule>
  </conditionalFormatting>
  <conditionalFormatting sqref="O42:P42 O42:O52">
    <cfRule type="cellIs" dxfId="38" priority="9" operator="lessThan">
      <formula>0</formula>
    </cfRule>
  </conditionalFormatting>
  <conditionalFormatting sqref="O42:P42 O42:O52">
    <cfRule type="containsErrors" dxfId="37" priority="7">
      <formula>ISERROR(O42)</formula>
    </cfRule>
    <cfRule type="containsErrors" dxfId="36" priority="8">
      <formula>ISERROR(O42)</formula>
    </cfRule>
  </conditionalFormatting>
  <conditionalFormatting sqref="Q42:R42 Q43:Q52">
    <cfRule type="containsErrors" dxfId="35" priority="1">
      <formula>ISERROR(Q42)</formula>
    </cfRule>
    <cfRule type="containsErrors" dxfId="34" priority="2">
      <formula>ISERROR(Q42)</formula>
    </cfRule>
  </conditionalFormatting>
  <conditionalFormatting sqref="R42:R52">
    <cfRule type="cellIs" dxfId="33" priority="6" operator="lessThan">
      <formula>0</formula>
    </cfRule>
  </conditionalFormatting>
  <conditionalFormatting sqref="R42:R52">
    <cfRule type="containsErrors" dxfId="32" priority="4">
      <formula>ISERROR(R42)</formula>
    </cfRule>
    <cfRule type="containsErrors" dxfId="31" priority="5">
      <formula>ISERROR(R42)</formula>
    </cfRule>
  </conditionalFormatting>
  <conditionalFormatting sqref="Q42:R42 Q43:Q52">
    <cfRule type="cellIs" dxfId="30" priority="3" operator="lessThan">
      <formula>0</formula>
    </cfRule>
  </conditionalFormatting>
  <dataValidations disablePrompts="1"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Q86" r:id="rId1" location="closeModal"/>
    <hyperlink ref="Q87" r:id="rId2"/>
    <hyperlink ref="Q89" r:id="rId3"/>
    <hyperlink ref="Q88" r:id="rId4" location="key-benefits"/>
  </hyperlinks>
  <pageMargins left="0.25" right="0.25" top="0.255" bottom="0.25" header="0.1" footer="0.1"/>
  <pageSetup scale="71" orientation="landscape" horizontalDpi="1200" verticalDpi="1200" r:id="rId5"/>
  <headerFooter scaleWithDoc="0">
    <oddHeader>&amp;L&amp;G&amp;C&amp;"-,Bold"&amp;10&amp;K2E398A
&amp;15Refinancible Universe&amp;R&amp;"-,Bold"&amp;10&amp;K2E398A
As of 06/07/2015</oddHeader>
    <oddFooter>&amp;L&amp;10&amp;K2E398AReport created on &amp;D &amp;T&amp;C&amp;G
&amp;8&amp;K2E398APage &amp;P of &amp;N</oddFooter>
  </headerFooter>
  <colBreaks count="1" manualBreakCount="1">
    <brk id="23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234"/>
  <sheetViews>
    <sheetView tabSelected="1" zoomScaleNormal="100" workbookViewId="0">
      <selection activeCell="G234" sqref="G234:H234"/>
    </sheetView>
  </sheetViews>
  <sheetFormatPr defaultRowHeight="15"/>
  <cols>
    <col min="2" max="2" width="10.42578125" bestFit="1" customWidth="1"/>
    <col min="5" max="5" width="10.7109375" bestFit="1" customWidth="1"/>
    <col min="6" max="6" width="17.5703125" bestFit="1" customWidth="1"/>
    <col min="7" max="7" width="10.7109375" bestFit="1" customWidth="1"/>
    <col min="8" max="8" width="12.85546875" bestFit="1" customWidth="1"/>
    <col min="9" max="9" width="11.7109375" bestFit="1" customWidth="1"/>
  </cols>
  <sheetData>
    <row r="1" spans="2:12">
      <c r="B1" t="s">
        <v>29</v>
      </c>
      <c r="G1" t="s">
        <v>26</v>
      </c>
      <c r="K1" t="s">
        <v>37</v>
      </c>
    </row>
    <row r="2" spans="2:12">
      <c r="B2" s="6" t="s">
        <v>23</v>
      </c>
      <c r="C2" s="6" t="s">
        <v>24</v>
      </c>
      <c r="D2" s="6" t="s">
        <v>26</v>
      </c>
      <c r="E2" s="6" t="s">
        <v>31</v>
      </c>
      <c r="G2" t="s">
        <v>23</v>
      </c>
      <c r="H2" t="s">
        <v>25</v>
      </c>
      <c r="K2" s="6" t="s">
        <v>23</v>
      </c>
      <c r="L2" s="6" t="s">
        <v>25</v>
      </c>
    </row>
    <row r="3" spans="2:12">
      <c r="B3" s="18">
        <v>42159</v>
      </c>
      <c r="C3" s="30">
        <v>0.54411437418255881</v>
      </c>
      <c r="D3" s="30">
        <f>VLOOKUP(CurrentMtgRatesDataTable825[[#This Row],[asOfDate]],G:H,2,0)</f>
        <v>0.49151040605794738</v>
      </c>
      <c r="E3" s="34" t="e">
        <f ca="1">VLOOKUP(CurrentMtgRatesDataTable825[[#This Row],[asOfDate]]+1,Bloomberg!B:C,2,0)</f>
        <v>#N/A</v>
      </c>
      <c r="G3" s="1">
        <v>40549</v>
      </c>
      <c r="H3" s="33">
        <v>0.477996028899563</v>
      </c>
      <c r="K3" s="18"/>
      <c r="L3" s="31"/>
    </row>
    <row r="4" spans="2:12">
      <c r="B4" s="18">
        <v>42152</v>
      </c>
      <c r="C4" s="30">
        <v>0.54951676769042945</v>
      </c>
      <c r="D4" s="30">
        <f>VLOOKUP(CurrentMtgRatesDataTable825[[#This Row],[asOfDate]],G:H,2,0)</f>
        <v>0.49518214427458052</v>
      </c>
      <c r="E4" s="34">
        <f ca="1">VLOOKUP(CurrentMtgRatesDataTable825[[#This Row],[asOfDate]]+1,Bloomberg!B:C,2,0)</f>
        <v>1233.9000000000001</v>
      </c>
      <c r="G4" s="1">
        <v>40556</v>
      </c>
      <c r="H4" s="33">
        <v>0.49650185657562101</v>
      </c>
    </row>
    <row r="5" spans="2:12">
      <c r="B5" s="18">
        <v>42145</v>
      </c>
      <c r="C5" s="30">
        <v>0.55264936292906153</v>
      </c>
      <c r="D5" s="30">
        <f>VLOOKUP(CurrentMtgRatesDataTable825[[#This Row],[asOfDate]],G:H,2,0)</f>
        <v>0.49530657385961702</v>
      </c>
      <c r="E5" s="34">
        <f ca="1">VLOOKUP(CurrentMtgRatesDataTable825[[#This Row],[asOfDate]]+1,Bloomberg!B:C,2,0)</f>
        <v>1408.1</v>
      </c>
      <c r="G5" s="1">
        <v>40563</v>
      </c>
      <c r="H5" s="33">
        <v>0.48029569588235599</v>
      </c>
    </row>
    <row r="6" spans="2:12">
      <c r="B6" s="18">
        <v>42138</v>
      </c>
      <c r="C6" s="30">
        <v>0.56120232410101856</v>
      </c>
      <c r="D6" s="30">
        <f>VLOOKUP(CurrentMtgRatesDataTable825[[#This Row],[asOfDate]],G:H,2,0)</f>
        <v>0.52626041924754496</v>
      </c>
      <c r="E6" s="34">
        <f ca="1">VLOOKUP(CurrentMtgRatesDataTable825[[#This Row],[asOfDate]]+1,Bloomberg!B:C,2,0)</f>
        <v>1448.8</v>
      </c>
      <c r="G6" s="1">
        <v>40570</v>
      </c>
      <c r="H6" s="33">
        <v>0.47679593730615699</v>
      </c>
    </row>
    <row r="7" spans="2:12">
      <c r="B7" s="18">
        <v>42131</v>
      </c>
      <c r="C7" s="30">
        <v>0.58097914250817684</v>
      </c>
      <c r="D7" s="30">
        <f>VLOOKUP(CurrentMtgRatesDataTable825[[#This Row],[asOfDate]],G:H,2,0)</f>
        <v>0.53238458781035902</v>
      </c>
      <c r="E7" s="34">
        <f ca="1">VLOOKUP(CurrentMtgRatesDataTable825[[#This Row],[asOfDate]]+1,Bloomberg!B:C,2,0)</f>
        <v>1477.8</v>
      </c>
      <c r="G7" s="1">
        <v>40577</v>
      </c>
      <c r="H7" s="33">
        <v>0.43462013043084002</v>
      </c>
    </row>
    <row r="8" spans="2:12">
      <c r="B8" s="18">
        <v>42124</v>
      </c>
      <c r="C8" s="30">
        <v>0.63639402671923606</v>
      </c>
      <c r="D8" s="30">
        <f>VLOOKUP(CurrentMtgRatesDataTable825[[#This Row],[asOfDate]],G:H,2,0)</f>
        <v>0.608876308109219</v>
      </c>
      <c r="E8" s="34">
        <f ca="1">VLOOKUP(CurrentMtgRatesDataTable825[[#This Row],[asOfDate]]+1,Bloomberg!B:C,2,0)</f>
        <v>1559.4</v>
      </c>
      <c r="G8" s="1">
        <v>40584</v>
      </c>
      <c r="H8" s="33">
        <v>0.35529176669040102</v>
      </c>
    </row>
    <row r="9" spans="2:12">
      <c r="B9" s="18">
        <v>42117</v>
      </c>
      <c r="C9" s="30">
        <v>0.64951370522505292</v>
      </c>
      <c r="D9" s="30">
        <f>VLOOKUP(CurrentMtgRatesDataTable825[[#This Row],[asOfDate]],G:H,2,0)</f>
        <v>0.63350921207897204</v>
      </c>
      <c r="E9" s="34">
        <f ca="1">VLOOKUP(CurrentMtgRatesDataTable825[[#This Row],[asOfDate]]+1,Bloomberg!B:C,2,0)</f>
        <v>1723</v>
      </c>
      <c r="G9" s="1">
        <v>40591</v>
      </c>
      <c r="H9" s="33">
        <v>0.37678804128174298</v>
      </c>
    </row>
    <row r="10" spans="2:12">
      <c r="B10" s="18">
        <v>42110</v>
      </c>
      <c r="C10" s="30">
        <v>0.63055503904182508</v>
      </c>
      <c r="D10" s="30">
        <f>VLOOKUP(CurrentMtgRatesDataTable825[[#This Row],[asOfDate]],G:H,2,0)</f>
        <v>0.60745911385405604</v>
      </c>
      <c r="E10" s="34">
        <f ca="1">VLOOKUP(CurrentMtgRatesDataTable825[[#This Row],[asOfDate]]+1,Bloomberg!B:C,2,0)</f>
        <v>1817</v>
      </c>
      <c r="G10" s="1">
        <v>40598</v>
      </c>
      <c r="H10" s="33">
        <v>0.41551493659156002</v>
      </c>
    </row>
    <row r="11" spans="2:12">
      <c r="B11" s="18">
        <v>42103</v>
      </c>
      <c r="C11" s="30">
        <v>0.64459292642165245</v>
      </c>
      <c r="D11" s="30">
        <f>VLOOKUP(CurrentMtgRatesDataTable825[[#This Row],[asOfDate]],G:H,2,0)</f>
        <v>0.63179874985391804</v>
      </c>
      <c r="E11" s="34">
        <f ca="1">VLOOKUP(CurrentMtgRatesDataTable825[[#This Row],[asOfDate]]+1,Bloomberg!B:C,2,0)</f>
        <v>1804.6</v>
      </c>
      <c r="G11" s="1">
        <v>40605</v>
      </c>
      <c r="H11" s="33">
        <v>0.42215163100202302</v>
      </c>
    </row>
    <row r="12" spans="2:12">
      <c r="B12" s="18">
        <v>42096</v>
      </c>
      <c r="C12" s="30">
        <v>0.62778439660000751</v>
      </c>
      <c r="D12" s="30">
        <f>VLOOKUP(CurrentMtgRatesDataTable825[[#This Row],[asOfDate]],G:H,2,0)</f>
        <v>0.60618674833379105</v>
      </c>
      <c r="E12" s="34">
        <f ca="1">VLOOKUP(CurrentMtgRatesDataTable825[[#This Row],[asOfDate]]+1,Bloomberg!B:C,2,0)</f>
        <v>1854.7</v>
      </c>
      <c r="G12" s="1">
        <v>40612</v>
      </c>
      <c r="H12" s="33">
        <v>0.42124985629360401</v>
      </c>
    </row>
    <row r="13" spans="2:12">
      <c r="B13" s="18">
        <v>42089</v>
      </c>
      <c r="C13" s="30">
        <v>0.64195316325793905</v>
      </c>
      <c r="D13" s="30">
        <f>VLOOKUP(CurrentMtgRatesDataTable825[[#This Row],[asOfDate]],G:H,2,0)</f>
        <v>0.61985540937113104</v>
      </c>
      <c r="E13" s="34">
        <f ca="1">VLOOKUP(CurrentMtgRatesDataTable825[[#This Row],[asOfDate]]+1,Bloomberg!B:C,2,0)</f>
        <v>1941.6</v>
      </c>
      <c r="G13" s="1">
        <v>40619</v>
      </c>
      <c r="H13" s="33">
        <v>0.46784663358763601</v>
      </c>
    </row>
    <row r="14" spans="2:12">
      <c r="B14" s="18">
        <v>42082</v>
      </c>
      <c r="C14" s="30">
        <v>0.60937196228640689</v>
      </c>
      <c r="D14" s="30">
        <f>VLOOKUP(CurrentMtgRatesDataTable825[[#This Row],[asOfDate]],G:H,2,0)</f>
        <v>0.58146564562660097</v>
      </c>
      <c r="E14" s="34">
        <f ca="1">VLOOKUP(CurrentMtgRatesDataTable825[[#This Row],[asOfDate]]+1,Bloomberg!B:C,2,0)</f>
        <v>1860.8</v>
      </c>
      <c r="G14" s="1">
        <v>40626</v>
      </c>
      <c r="H14" s="33">
        <v>0.450158099668103</v>
      </c>
    </row>
    <row r="15" spans="2:12">
      <c r="B15" s="18">
        <v>42075</v>
      </c>
      <c r="C15" s="30">
        <v>0.57559445438514367</v>
      </c>
      <c r="D15" s="30">
        <f>VLOOKUP(CurrentMtgRatesDataTable825[[#This Row],[asOfDate]],G:H,2,0)</f>
        <v>0.51703371456013503</v>
      </c>
      <c r="E15" s="34">
        <f ca="1">VLOOKUP(CurrentMtgRatesDataTable825[[#This Row],[asOfDate]]+1,Bloomberg!B:C,2,0)</f>
        <v>1623.6</v>
      </c>
      <c r="G15" s="1">
        <v>40633</v>
      </c>
      <c r="H15" s="33">
        <v>0.42282958858632702</v>
      </c>
    </row>
    <row r="16" spans="2:12">
      <c r="B16" s="18">
        <v>42068</v>
      </c>
      <c r="C16" s="30">
        <v>0.61966926616186646</v>
      </c>
      <c r="D16" s="30">
        <f>VLOOKUP(CurrentMtgRatesDataTable825[[#This Row],[asOfDate]],G:H,2,0)</f>
        <v>0.58384753948448997</v>
      </c>
      <c r="E16" s="34">
        <f ca="1">VLOOKUP(CurrentMtgRatesDataTable825[[#This Row],[asOfDate]]+1,Bloomberg!B:C,2,0)</f>
        <v>1685.7</v>
      </c>
      <c r="G16" s="1">
        <v>40640</v>
      </c>
      <c r="H16" s="33">
        <v>0.414778538159287</v>
      </c>
    </row>
    <row r="17" spans="2:8">
      <c r="B17" s="18">
        <v>42061</v>
      </c>
      <c r="C17" s="30">
        <v>0.61098575112407738</v>
      </c>
      <c r="D17" s="30">
        <f>VLOOKUP(CurrentMtgRatesDataTable825[[#This Row],[asOfDate]],G:H,2,0)</f>
        <v>0.56144623129586702</v>
      </c>
      <c r="E17" s="34">
        <f ca="1">VLOOKUP(CurrentMtgRatesDataTable825[[#This Row],[asOfDate]]+1,Bloomberg!B:C,2,0)</f>
        <v>1740.3</v>
      </c>
      <c r="G17" s="1">
        <v>40647</v>
      </c>
      <c r="H17" s="33">
        <v>0.41340612440810998</v>
      </c>
    </row>
    <row r="18" spans="2:8">
      <c r="B18" s="18">
        <v>42054</v>
      </c>
      <c r="C18" s="30">
        <v>0.62651628119673453</v>
      </c>
      <c r="D18" s="30">
        <f>VLOOKUP(CurrentMtgRatesDataTable825[[#This Row],[asOfDate]],G:H,2,0)</f>
        <v>0.59003468905342005</v>
      </c>
      <c r="E18" s="34">
        <f ca="1">VLOOKUP(CurrentMtgRatesDataTable825[[#This Row],[asOfDate]]+1,Bloomberg!B:C,2,0)</f>
        <v>1703.1</v>
      </c>
      <c r="G18" s="1">
        <v>40654</v>
      </c>
      <c r="H18" s="33">
        <v>0.44381782258269298</v>
      </c>
    </row>
    <row r="19" spans="2:8">
      <c r="B19" s="18">
        <v>42047</v>
      </c>
      <c r="C19" s="30">
        <v>0.64890841265420796</v>
      </c>
      <c r="D19" s="30">
        <f>VLOOKUP(CurrentMtgRatesDataTable825[[#This Row],[asOfDate]],G:H,2,0)</f>
        <v>0.62719075850631201</v>
      </c>
      <c r="E19" s="34">
        <f ca="1">VLOOKUP(CurrentMtgRatesDataTable825[[#This Row],[asOfDate]]+1,Bloomberg!B:C,2,0)</f>
        <v>1904.2</v>
      </c>
      <c r="G19" s="1">
        <v>40661</v>
      </c>
      <c r="H19" s="33">
        <v>0.44565511936132601</v>
      </c>
    </row>
    <row r="20" spans="2:8">
      <c r="B20" s="18">
        <v>42040</v>
      </c>
      <c r="C20" s="30">
        <v>0.68438167594716182</v>
      </c>
      <c r="D20" s="30">
        <f>VLOOKUP(CurrentMtgRatesDataTable825[[#This Row],[asOfDate]],G:H,2,0)</f>
        <v>0.65455905311871299</v>
      </c>
      <c r="E20" s="34">
        <f ca="1">VLOOKUP(CurrentMtgRatesDataTable825[[#This Row],[asOfDate]]+1,Bloomberg!B:C,2,0)</f>
        <v>2291.3000000000002</v>
      </c>
      <c r="G20" s="1">
        <v>40668</v>
      </c>
      <c r="H20" s="33">
        <v>0.45891120103405703</v>
      </c>
    </row>
    <row r="21" spans="2:8">
      <c r="B21" s="18">
        <v>42033</v>
      </c>
      <c r="C21" s="30">
        <v>0.66264885680249008</v>
      </c>
      <c r="D21" s="30">
        <f>VLOOKUP(CurrentMtgRatesDataTable825[[#This Row],[asOfDate]],G:H,2,0)</f>
        <v>0.65582330233583797</v>
      </c>
      <c r="E21" s="34">
        <f ca="1">VLOOKUP(CurrentMtgRatesDataTable825[[#This Row],[asOfDate]]+1,Bloomberg!B:C,2,0)</f>
        <v>2584.8000000000002</v>
      </c>
      <c r="G21" s="1">
        <v>40675</v>
      </c>
      <c r="H21" s="33">
        <v>0.50042582297659</v>
      </c>
    </row>
    <row r="22" spans="2:8">
      <c r="B22" s="18">
        <v>42026</v>
      </c>
      <c r="C22" s="30">
        <v>0.66474126748702123</v>
      </c>
      <c r="D22" s="30">
        <f>VLOOKUP(CurrentMtgRatesDataTable825[[#This Row],[asOfDate]],G:H,2,0)</f>
        <v>0.65720471867066899</v>
      </c>
      <c r="E22" s="34">
        <f ca="1">VLOOKUP(CurrentMtgRatesDataTable825[[#This Row],[asOfDate]]+1,Bloomberg!B:C,2,0)</f>
        <v>2572.3000000000002</v>
      </c>
      <c r="G22" s="1">
        <v>40682</v>
      </c>
      <c r="H22" s="33">
        <v>0.50447592982476996</v>
      </c>
    </row>
    <row r="23" spans="2:8">
      <c r="B23" s="18">
        <v>42019</v>
      </c>
      <c r="C23" s="30">
        <v>0.66264885680249008</v>
      </c>
      <c r="D23" s="30">
        <f>VLOOKUP(CurrentMtgRatesDataTable825[[#This Row],[asOfDate]],G:H,2,0)</f>
        <v>0.65582330233583797</v>
      </c>
      <c r="E23" s="34">
        <f ca="1">VLOOKUP(CurrentMtgRatesDataTable825[[#This Row],[asOfDate]]+1,Bloomberg!B:C,2,0)</f>
        <v>2799.3</v>
      </c>
      <c r="G23" s="1">
        <v>40689</v>
      </c>
      <c r="H23" s="33">
        <v>0.50568534347274297</v>
      </c>
    </row>
    <row r="24" spans="2:8">
      <c r="B24" s="18">
        <v>42012</v>
      </c>
      <c r="C24" s="30">
        <v>0.63580141506138355</v>
      </c>
      <c r="D24" s="30">
        <f>VLOOKUP(CurrentMtgRatesDataTable825[[#This Row],[asOfDate]],G:H,2,0)</f>
        <v>0.59931706558407905</v>
      </c>
      <c r="E24" s="34">
        <f ca="1">VLOOKUP(CurrentMtgRatesDataTable825[[#This Row],[asOfDate]]+1,Bloomberg!B:C,2,0)</f>
        <v>2271.5</v>
      </c>
      <c r="G24" s="1">
        <v>40696</v>
      </c>
      <c r="H24" s="33">
        <v>0.53450860338875705</v>
      </c>
    </row>
    <row r="25" spans="2:8">
      <c r="B25" s="18">
        <v>42004</v>
      </c>
      <c r="C25" s="30">
        <v>0.59072795930158906</v>
      </c>
      <c r="D25" s="30">
        <f>VLOOKUP(CurrentMtgRatesDataTable825[[#This Row],[asOfDate]],G:H,2,0)</f>
        <v>0.53680415412734395</v>
      </c>
      <c r="E25" s="34">
        <f ca="1">VLOOKUP(CurrentMtgRatesDataTable825[[#This Row],[asOfDate]]+1,Bloomberg!B:C,2,0)</f>
        <v>1347.6</v>
      </c>
      <c r="G25" s="1">
        <v>40703</v>
      </c>
      <c r="H25" s="33">
        <v>0.55556126357331004</v>
      </c>
    </row>
    <row r="26" spans="2:8">
      <c r="B26" s="18">
        <v>41997</v>
      </c>
      <c r="C26" s="30">
        <v>0.60574636223541978</v>
      </c>
      <c r="D26" s="30">
        <f>VLOOKUP(CurrentMtgRatesDataTable825[[#This Row],[asOfDate]],G:H,2,0)</f>
        <v>0.57166642614489205</v>
      </c>
      <c r="E26" s="34">
        <f ca="1">VLOOKUP(CurrentMtgRatesDataTable825[[#This Row],[asOfDate]]+1,Bloomberg!B:C,2,0)</f>
        <v>1164.2</v>
      </c>
      <c r="G26" s="1">
        <v>40710</v>
      </c>
      <c r="H26" s="33">
        <v>0.55544034698333999</v>
      </c>
    </row>
    <row r="27" spans="2:8">
      <c r="B27" s="18">
        <v>41991</v>
      </c>
      <c r="C27" s="30">
        <v>0.6155496963810797</v>
      </c>
      <c r="D27" s="30">
        <f>VLOOKUP(CurrentMtgRatesDataTable825[[#This Row],[asOfDate]],G:H,2,0)</f>
        <v>0.57447022909045797</v>
      </c>
      <c r="E27" s="34">
        <f ca="1">VLOOKUP(CurrentMtgRatesDataTable825[[#This Row],[asOfDate]]+1,Bloomberg!B:C,2,0)</f>
        <v>1538.7</v>
      </c>
      <c r="G27" s="1">
        <v>40717</v>
      </c>
      <c r="H27" s="33">
        <v>0.53450860338875705</v>
      </c>
    </row>
    <row r="28" spans="2:8">
      <c r="B28" s="18">
        <v>41984</v>
      </c>
      <c r="C28" s="30">
        <v>0.5786710507683992</v>
      </c>
      <c r="D28" s="30">
        <f>VLOOKUP(CurrentMtgRatesDataTable825[[#This Row],[asOfDate]],G:H,2,0)</f>
        <v>0.53353274326337596</v>
      </c>
      <c r="E28" s="34">
        <f ca="1">VLOOKUP(CurrentMtgRatesDataTable825[[#This Row],[asOfDate]]+1,Bloomberg!B:C,2,0)</f>
        <v>1518.8</v>
      </c>
      <c r="G28" s="1">
        <v>40724</v>
      </c>
      <c r="H28" s="33">
        <v>0.55445082777023702</v>
      </c>
    </row>
    <row r="29" spans="2:8">
      <c r="B29" s="18">
        <v>41977</v>
      </c>
      <c r="C29" s="30">
        <v>0.59279776197128353</v>
      </c>
      <c r="D29" s="30">
        <f>VLOOKUP(CurrentMtgRatesDataTable825[[#This Row],[asOfDate]],G:H,2,0)</f>
        <v>0.53685925114667898</v>
      </c>
      <c r="E29" s="34">
        <f ca="1">VLOOKUP(CurrentMtgRatesDataTable825[[#This Row],[asOfDate]]+1,Bloomberg!B:C,2,0)</f>
        <v>1548.6</v>
      </c>
      <c r="G29" s="1">
        <v>40731</v>
      </c>
      <c r="H29" s="33">
        <v>0.49771283747510803</v>
      </c>
    </row>
    <row r="30" spans="2:8">
      <c r="B30" s="18">
        <v>41969</v>
      </c>
      <c r="C30" s="30">
        <v>0.57290983086857539</v>
      </c>
      <c r="D30" s="30">
        <f>VLOOKUP(CurrentMtgRatesDataTable825[[#This Row],[asOfDate]],G:H,2,0)</f>
        <v>0.51222876537846296</v>
      </c>
      <c r="E30" s="34" t="e">
        <f ca="1">VLOOKUP(CurrentMtgRatesDataTable825[[#This Row],[asOfDate]]+1,Bloomberg!B:C,2,0)</f>
        <v>#N/A</v>
      </c>
      <c r="G30" s="1">
        <v>40738</v>
      </c>
      <c r="H30" s="33">
        <v>0.55014388201104203</v>
      </c>
    </row>
    <row r="31" spans="2:8">
      <c r="B31" s="18">
        <v>41963</v>
      </c>
      <c r="C31" s="30">
        <v>0.56606721089043732</v>
      </c>
      <c r="D31" s="30">
        <f>VLOOKUP(CurrentMtgRatesDataTable825[[#This Row],[asOfDate]],G:H,2,0)</f>
        <v>0.51126312077979097</v>
      </c>
      <c r="E31" s="34">
        <f ca="1">VLOOKUP(CurrentMtgRatesDataTable825[[#This Row],[asOfDate]]+1,Bloomberg!B:C,2,0)</f>
        <v>1547.9</v>
      </c>
      <c r="G31" s="1">
        <v>40745</v>
      </c>
      <c r="H31" s="33">
        <v>0.53018048409344898</v>
      </c>
    </row>
    <row r="32" spans="2:8">
      <c r="B32" s="18">
        <v>41956</v>
      </c>
      <c r="C32" s="30">
        <v>0.55497671209744126</v>
      </c>
      <c r="D32" s="30">
        <f>VLOOKUP(CurrentMtgRatesDataTable825[[#This Row],[asOfDate]],G:H,2,0)</f>
        <v>0.47696082053878203</v>
      </c>
      <c r="E32" s="34">
        <f ca="1">VLOOKUP(CurrentMtgRatesDataTable825[[#This Row],[asOfDate]]+1,Bloomberg!B:C,2,0)</f>
        <v>1563.2</v>
      </c>
      <c r="G32" s="1">
        <v>40752</v>
      </c>
      <c r="H32" s="33">
        <v>0.52333294764067595</v>
      </c>
    </row>
    <row r="33" spans="2:8">
      <c r="B33" s="18">
        <v>41949</v>
      </c>
      <c r="C33" s="30">
        <v>0.54857982917990311</v>
      </c>
      <c r="D33" s="30">
        <f>VLOOKUP(CurrentMtgRatesDataTable825[[#This Row],[asOfDate]],G:H,2,0)</f>
        <v>0.47679161148246502</v>
      </c>
      <c r="E33" s="34">
        <f ca="1">VLOOKUP(CurrentMtgRatesDataTable825[[#This Row],[asOfDate]]+1,Bloomberg!B:C,2,0)</f>
        <v>1565.3</v>
      </c>
      <c r="G33" s="1">
        <v>40759</v>
      </c>
      <c r="H33" s="33">
        <v>0.59636201439054404</v>
      </c>
    </row>
    <row r="34" spans="2:8">
      <c r="B34" s="18">
        <v>41942</v>
      </c>
      <c r="C34" s="30">
        <v>0.57181297396619646</v>
      </c>
      <c r="D34" s="30">
        <f>VLOOKUP(CurrentMtgRatesDataTable825[[#This Row],[asOfDate]],G:H,2,0)</f>
        <v>0.519221652370358</v>
      </c>
      <c r="E34" s="34">
        <f ca="1">VLOOKUP(CurrentMtgRatesDataTable825[[#This Row],[asOfDate]]+1,Bloomberg!B:C,2,0)</f>
        <v>1604.8</v>
      </c>
      <c r="G34" s="1">
        <v>40766</v>
      </c>
      <c r="H34" s="33">
        <v>0.68796050816059295</v>
      </c>
    </row>
    <row r="35" spans="2:8">
      <c r="B35" s="18">
        <v>41935</v>
      </c>
      <c r="C35" s="30">
        <v>0.58745733896979668</v>
      </c>
      <c r="D35" s="30">
        <f>VLOOKUP(CurrentMtgRatesDataTable825[[#This Row],[asOfDate]],G:H,2,0)</f>
        <v>0.54838604953283498</v>
      </c>
      <c r="E35" s="34">
        <f ca="1">VLOOKUP(CurrentMtgRatesDataTable825[[#This Row],[asOfDate]]+1,Bloomberg!B:C,2,0)</f>
        <v>1713.6</v>
      </c>
      <c r="G35" s="1">
        <v>40773</v>
      </c>
      <c r="H35" s="33">
        <v>0.76968967049094095</v>
      </c>
    </row>
    <row r="36" spans="2:8">
      <c r="B36" s="18">
        <v>41928</v>
      </c>
      <c r="C36" s="30">
        <v>0.57517284737260799</v>
      </c>
      <c r="D36" s="30">
        <f>VLOOKUP(CurrentMtgRatesDataTable825[[#This Row],[asOfDate]],G:H,2,0)</f>
        <v>0.51982909302980596</v>
      </c>
      <c r="E36" s="34">
        <f ca="1">VLOOKUP(CurrentMtgRatesDataTable825[[#This Row],[asOfDate]]+1,Bloomberg!B:C,2,0)</f>
        <v>1898.2</v>
      </c>
      <c r="G36" s="1">
        <v>40780</v>
      </c>
      <c r="H36" s="33">
        <v>0.73013076231760698</v>
      </c>
    </row>
    <row r="37" spans="2:8">
      <c r="B37" s="18">
        <v>41921</v>
      </c>
      <c r="C37" s="30">
        <v>0.47165449273347226</v>
      </c>
      <c r="D37" s="30">
        <f>VLOOKUP(CurrentMtgRatesDataTable825[[#This Row],[asOfDate]],G:H,2,0)</f>
        <v>0.45168042618119703</v>
      </c>
      <c r="E37" s="34">
        <f ca="1">VLOOKUP(CurrentMtgRatesDataTable825[[#This Row],[asOfDate]]+1,Bloomberg!B:C,2,0)</f>
        <v>1560.6</v>
      </c>
      <c r="G37" s="1">
        <v>40787</v>
      </c>
      <c r="H37" s="33">
        <v>0.72518805605942505</v>
      </c>
    </row>
    <row r="38" spans="2:8">
      <c r="B38" s="18">
        <v>41914</v>
      </c>
      <c r="C38" s="30">
        <v>0.43232059685066798</v>
      </c>
      <c r="D38" s="30">
        <f>VLOOKUP(CurrentMtgRatesDataTable825[[#This Row],[asOfDate]],G:H,2,0)</f>
        <v>0.419925946793896</v>
      </c>
      <c r="E38" s="34">
        <f ca="1">VLOOKUP(CurrentMtgRatesDataTable825[[#This Row],[asOfDate]]+1,Bloomberg!B:C,2,0)</f>
        <v>1387.1</v>
      </c>
      <c r="G38" s="1">
        <v>40794</v>
      </c>
      <c r="H38" s="33">
        <v>0.78586619764471199</v>
      </c>
    </row>
    <row r="39" spans="2:8">
      <c r="B39" s="18">
        <v>41907</v>
      </c>
      <c r="C39" s="30">
        <v>0.41373230170663788</v>
      </c>
      <c r="D39" s="30">
        <f>VLOOKUP(CurrentMtgRatesDataTable825[[#This Row],[asOfDate]],G:H,2,0)</f>
        <v>0.40569534905697002</v>
      </c>
      <c r="E39" s="34">
        <f ca="1">VLOOKUP(CurrentMtgRatesDataTable825[[#This Row],[asOfDate]]+1,Bloomberg!B:C,2,0)</f>
        <v>1326.2</v>
      </c>
      <c r="G39" s="1">
        <v>40801</v>
      </c>
      <c r="H39" s="33">
        <v>0.78804143101353397</v>
      </c>
    </row>
    <row r="40" spans="2:8">
      <c r="B40" s="18">
        <v>41900</v>
      </c>
      <c r="C40" s="30">
        <v>0.3981672862675662</v>
      </c>
      <c r="D40" s="30">
        <f>VLOOKUP(CurrentMtgRatesDataTable825[[#This Row],[asOfDate]],G:H,2,0)</f>
        <v>0.403775681059653</v>
      </c>
      <c r="E40" s="34">
        <f ca="1">VLOOKUP(CurrentMtgRatesDataTable825[[#This Row],[asOfDate]]+1,Bloomberg!B:C,2,0)</f>
        <v>1335.1</v>
      </c>
      <c r="G40" s="1">
        <v>40808</v>
      </c>
      <c r="H40" s="33">
        <v>0.78804143101353397</v>
      </c>
    </row>
    <row r="41" spans="2:8">
      <c r="B41" s="18">
        <v>41893</v>
      </c>
      <c r="C41" s="30">
        <v>0.4741591952243816</v>
      </c>
      <c r="D41" s="30">
        <f>VLOOKUP(CurrentMtgRatesDataTable825[[#This Row],[asOfDate]],G:H,2,0)</f>
        <v>0.45995272695767497</v>
      </c>
      <c r="E41" s="34">
        <f ca="1">VLOOKUP(CurrentMtgRatesDataTable825[[#This Row],[asOfDate]]+1,Bloomberg!B:C,2,0)</f>
        <v>1398.4</v>
      </c>
      <c r="G41" s="1">
        <v>40815</v>
      </c>
      <c r="H41" s="33">
        <v>0.83535228019697605</v>
      </c>
    </row>
    <row r="42" spans="2:8">
      <c r="B42" s="18">
        <v>41886</v>
      </c>
      <c r="C42" s="30">
        <v>0.4873264191007175</v>
      </c>
      <c r="D42" s="30">
        <f>VLOOKUP(CurrentMtgRatesDataTable825[[#This Row],[asOfDate]],G:H,2,0)</f>
        <v>0.46145357757128402</v>
      </c>
      <c r="E42" s="34">
        <f ca="1">VLOOKUP(CurrentMtgRatesDataTable825[[#This Row],[asOfDate]]+1,Bloomberg!B:C,2,0)</f>
        <v>1275.8</v>
      </c>
      <c r="G42" s="1">
        <v>40822</v>
      </c>
      <c r="H42" s="33">
        <v>0.82324225699227804</v>
      </c>
    </row>
    <row r="43" spans="2:8">
      <c r="B43" s="18">
        <v>41879</v>
      </c>
      <c r="C43" s="30">
        <v>0.49084413664233395</v>
      </c>
      <c r="D43" s="30">
        <f>VLOOKUP(CurrentMtgRatesDataTable825[[#This Row],[asOfDate]],G:H,2,0)</f>
        <v>0.46725416935729103</v>
      </c>
      <c r="E43" s="34">
        <f ca="1">VLOOKUP(CurrentMtgRatesDataTable825[[#This Row],[asOfDate]]+1,Bloomberg!B:C,2,0)</f>
        <v>1436</v>
      </c>
      <c r="G43" s="1">
        <v>40829</v>
      </c>
      <c r="H43" s="33">
        <v>0.75043074974252599</v>
      </c>
    </row>
    <row r="44" spans="2:8">
      <c r="B44" s="18">
        <v>41872</v>
      </c>
      <c r="C44" s="30">
        <v>0.49084413664233395</v>
      </c>
      <c r="D44" s="30">
        <f>VLOOKUP(CurrentMtgRatesDataTable825[[#This Row],[asOfDate]],G:H,2,0)</f>
        <v>0.46725416935729103</v>
      </c>
      <c r="E44" s="34">
        <f ca="1">VLOOKUP(CurrentMtgRatesDataTable825[[#This Row],[asOfDate]]+1,Bloomberg!B:C,2,0)</f>
        <v>1439.4</v>
      </c>
      <c r="G44" s="1">
        <v>40836</v>
      </c>
      <c r="H44" s="33">
        <v>0.76889855223368597</v>
      </c>
    </row>
    <row r="45" spans="2:8">
      <c r="B45" s="18">
        <v>41865</v>
      </c>
      <c r="C45" s="30">
        <v>0.45575254137027688</v>
      </c>
      <c r="D45" s="30">
        <f>VLOOKUP(CurrentMtgRatesDataTable825[[#This Row],[asOfDate]],G:H,2,0)</f>
        <v>0.437009219217877</v>
      </c>
      <c r="E45" s="34">
        <f ca="1">VLOOKUP(CurrentMtgRatesDataTable825[[#This Row],[asOfDate]]+1,Bloomberg!B:C,2,0)</f>
        <v>1404.9</v>
      </c>
      <c r="G45" s="1">
        <v>40843</v>
      </c>
      <c r="H45" s="33">
        <v>0.77033919514702098</v>
      </c>
    </row>
    <row r="46" spans="2:8">
      <c r="B46" s="18">
        <v>41858</v>
      </c>
      <c r="C46" s="30">
        <v>0.42413376349642812</v>
      </c>
      <c r="D46" s="30">
        <f>VLOOKUP(CurrentMtgRatesDataTable825[[#This Row],[asOfDate]],G:H,2,0)</f>
        <v>0.41284557270170602</v>
      </c>
      <c r="E46" s="34">
        <f ca="1">VLOOKUP(CurrentMtgRatesDataTable825[[#This Row],[asOfDate]]+1,Bloomberg!B:C,2,0)</f>
        <v>1342.6</v>
      </c>
      <c r="G46" s="1">
        <v>40850</v>
      </c>
      <c r="H46" s="33">
        <v>0.80719780316763601</v>
      </c>
    </row>
    <row r="47" spans="2:8">
      <c r="B47" s="18">
        <v>41851</v>
      </c>
      <c r="C47" s="30">
        <v>0.45923072088835232</v>
      </c>
      <c r="D47" s="30">
        <f>VLOOKUP(CurrentMtgRatesDataTable825[[#This Row],[asOfDate]],G:H,2,0)</f>
        <v>0.44366576481104603</v>
      </c>
      <c r="E47" s="34">
        <f ca="1">VLOOKUP(CurrentMtgRatesDataTable825[[#This Row],[asOfDate]]+1,Bloomberg!B:C,2,0)</f>
        <v>1373.9</v>
      </c>
      <c r="G47" s="1">
        <v>40857</v>
      </c>
      <c r="H47" s="33">
        <v>0.80724570771905702</v>
      </c>
    </row>
    <row r="48" spans="2:8">
      <c r="B48" s="18">
        <v>41844</v>
      </c>
      <c r="C48" s="30">
        <v>0.45155296827836544</v>
      </c>
      <c r="D48" s="30">
        <f>VLOOKUP(CurrentMtgRatesDataTable825[[#This Row],[asOfDate]],G:H,2,0)</f>
        <v>0.44241787954298001</v>
      </c>
      <c r="E48" s="34">
        <f ca="1">VLOOKUP(CurrentMtgRatesDataTable825[[#This Row],[asOfDate]]+1,Bloomberg!B:C,2,0)</f>
        <v>1327.5</v>
      </c>
      <c r="G48" s="1">
        <v>40864</v>
      </c>
      <c r="H48" s="33">
        <v>0.80719780316763601</v>
      </c>
    </row>
    <row r="49" spans="2:8">
      <c r="B49" s="18">
        <v>41837</v>
      </c>
      <c r="C49" s="30">
        <v>0.45155296827836544</v>
      </c>
      <c r="D49" s="30">
        <f>VLOOKUP(CurrentMtgRatesDataTable825[[#This Row],[asOfDate]],G:H,2,0)</f>
        <v>0.44241787954298001</v>
      </c>
      <c r="E49" s="34">
        <f ca="1">VLOOKUP(CurrentMtgRatesDataTable825[[#This Row],[asOfDate]]+1,Bloomberg!B:C,2,0)</f>
        <v>1400.7</v>
      </c>
      <c r="G49" s="1">
        <v>40870</v>
      </c>
      <c r="H49" s="33">
        <v>0.80850149462655696</v>
      </c>
    </row>
    <row r="50" spans="2:8">
      <c r="B50" s="18">
        <v>41830</v>
      </c>
      <c r="C50" s="30">
        <v>0.42147742037560049</v>
      </c>
      <c r="D50" s="30">
        <f>VLOOKUP(CurrentMtgRatesDataTable825[[#This Row],[asOfDate]],G:H,2,0)</f>
        <v>0.41926854513922601</v>
      </c>
      <c r="E50" s="34">
        <f ca="1">VLOOKUP(CurrentMtgRatesDataTable825[[#This Row],[asOfDate]]+1,Bloomberg!B:C,2,0)</f>
        <v>1329.7</v>
      </c>
      <c r="G50" s="1">
        <v>40878</v>
      </c>
      <c r="H50" s="33">
        <v>0.79441104681633201</v>
      </c>
    </row>
    <row r="51" spans="2:8">
      <c r="B51" s="18">
        <v>41823</v>
      </c>
      <c r="C51" s="30">
        <v>0.48178321750260522</v>
      </c>
      <c r="D51" s="30">
        <f>VLOOKUP(CurrentMtgRatesDataTable825[[#This Row],[asOfDate]],G:H,2,0)</f>
        <v>0.47241973099249801</v>
      </c>
      <c r="E51" s="34">
        <f ca="1">VLOOKUP(CurrentMtgRatesDataTable825[[#This Row],[asOfDate]]+1,Bloomberg!B:C,2,0)</f>
        <v>1346.8</v>
      </c>
      <c r="G51" s="1">
        <v>40885</v>
      </c>
      <c r="H51" s="33">
        <v>0.79445840936885304</v>
      </c>
    </row>
    <row r="52" spans="2:8">
      <c r="B52" s="18">
        <v>41816</v>
      </c>
      <c r="C52" s="30">
        <v>0.46847875373528863</v>
      </c>
      <c r="D52" s="30">
        <f>VLOOKUP(CurrentMtgRatesDataTable825[[#This Row],[asOfDate]],G:H,2,0)</f>
        <v>0.447997908024105</v>
      </c>
      <c r="E52" s="34">
        <f ca="1">VLOOKUP(CurrentMtgRatesDataTable825[[#This Row],[asOfDate]]+1,Bloomberg!B:C,2,0)</f>
        <v>1341.8</v>
      </c>
      <c r="G52" s="1">
        <v>40892</v>
      </c>
      <c r="H52" s="33">
        <v>0.79646175435893696</v>
      </c>
    </row>
    <row r="53" spans="2:8">
      <c r="B53" s="18">
        <v>41809</v>
      </c>
      <c r="C53" s="30">
        <v>0.42635938692148717</v>
      </c>
      <c r="D53" s="30">
        <f>VLOOKUP(CurrentMtgRatesDataTable825[[#This Row],[asOfDate]],G:H,2,0)</f>
        <v>0.42434402519227898</v>
      </c>
      <c r="E53" s="34">
        <f ca="1">VLOOKUP(CurrentMtgRatesDataTable825[[#This Row],[asOfDate]]+1,Bloomberg!B:C,2,0)</f>
        <v>1333.5</v>
      </c>
      <c r="G53" s="1">
        <v>40899</v>
      </c>
      <c r="H53" s="33">
        <v>0.82537040355923197</v>
      </c>
    </row>
    <row r="54" spans="2:8">
      <c r="B54" s="18">
        <v>41802</v>
      </c>
      <c r="C54" s="30">
        <v>0.41096738430920449</v>
      </c>
      <c r="D54" s="30">
        <f>VLOOKUP(CurrentMtgRatesDataTable825[[#This Row],[asOfDate]],G:H,2,0)</f>
        <v>0.42258598579352902</v>
      </c>
      <c r="E54" s="34">
        <f ca="1">VLOOKUP(CurrentMtgRatesDataTable825[[#This Row],[asOfDate]]+1,Bloomberg!B:C,2,0)</f>
        <v>1321.3</v>
      </c>
      <c r="G54" s="1">
        <v>40906</v>
      </c>
      <c r="H54" s="33">
        <v>0.81734633197465201</v>
      </c>
    </row>
    <row r="55" spans="2:8">
      <c r="B55" s="18">
        <v>41795</v>
      </c>
      <c r="C55" s="30">
        <v>0.46847875373528863</v>
      </c>
      <c r="D55" s="30">
        <f>VLOOKUP(CurrentMtgRatesDataTable825[[#This Row],[asOfDate]],G:H,2,0)</f>
        <v>0.447997908024105</v>
      </c>
      <c r="E55" s="34">
        <f ca="1">VLOOKUP(CurrentMtgRatesDataTable825[[#This Row],[asOfDate]]+1,Bloomberg!B:C,2,0)</f>
        <v>1516.9</v>
      </c>
      <c r="G55" s="1">
        <v>40913</v>
      </c>
      <c r="H55" s="33">
        <v>0.80629912189469399</v>
      </c>
    </row>
    <row r="56" spans="2:8">
      <c r="B56" s="18">
        <v>41788</v>
      </c>
      <c r="C56" s="30">
        <v>0.46362020494951672</v>
      </c>
      <c r="D56" s="30">
        <f>VLOOKUP(CurrentMtgRatesDataTable825[[#This Row],[asOfDate]],G:H,2,0)</f>
        <v>0.44740081291084099</v>
      </c>
      <c r="E56" s="34">
        <f ca="1">VLOOKUP(CurrentMtgRatesDataTable825[[#This Row],[asOfDate]]+1,Bloomberg!B:C,2,0)</f>
        <v>1382.6</v>
      </c>
      <c r="G56" s="1">
        <v>40920</v>
      </c>
      <c r="H56" s="33">
        <v>0.81626218699844599</v>
      </c>
    </row>
    <row r="57" spans="2:8">
      <c r="B57" s="18">
        <v>41781</v>
      </c>
      <c r="C57" s="30">
        <v>0.44799454346559853</v>
      </c>
      <c r="D57" s="30">
        <f>VLOOKUP(CurrentMtgRatesDataTable825[[#This Row],[asOfDate]],G:H,2,0)</f>
        <v>0.44562837110466802</v>
      </c>
      <c r="E57" s="34">
        <f ca="1">VLOOKUP(CurrentMtgRatesDataTable825[[#This Row],[asOfDate]]+1,Bloomberg!B:C,2,0)</f>
        <v>1453.4</v>
      </c>
      <c r="G57" s="1">
        <v>40927</v>
      </c>
      <c r="H57" s="33">
        <v>0.81461584859780101</v>
      </c>
    </row>
    <row r="58" spans="2:8">
      <c r="B58" s="18">
        <v>41774</v>
      </c>
      <c r="C58" s="30">
        <v>0.4132153406951769</v>
      </c>
      <c r="D58" s="30">
        <f>VLOOKUP(CurrentMtgRatesDataTable825[[#This Row],[asOfDate]],G:H,2,0)</f>
        <v>0.42349289634896597</v>
      </c>
      <c r="E58" s="34">
        <f ca="1">VLOOKUP(CurrentMtgRatesDataTable825[[#This Row],[asOfDate]]+1,Bloomberg!B:C,2,0)</f>
        <v>1460.6</v>
      </c>
      <c r="G58" s="1">
        <v>40934</v>
      </c>
      <c r="H58" s="33">
        <v>0.78339393568549298</v>
      </c>
    </row>
    <row r="59" spans="2:8">
      <c r="B59" s="18">
        <v>41767</v>
      </c>
      <c r="C59" s="30">
        <v>0.40975674753773905</v>
      </c>
      <c r="D59" s="30">
        <f>VLOOKUP(CurrentMtgRatesDataTable825[[#This Row],[asOfDate]],G:H,2,0)</f>
        <v>0.42315654967107302</v>
      </c>
      <c r="E59" s="34">
        <f ca="1">VLOOKUP(CurrentMtgRatesDataTable825[[#This Row],[asOfDate]]+1,Bloomberg!B:C,2,0)</f>
        <v>1400.9</v>
      </c>
      <c r="G59" s="1">
        <v>40941</v>
      </c>
      <c r="H59" s="33">
        <v>0.79842547980239797</v>
      </c>
    </row>
    <row r="60" spans="2:8">
      <c r="B60" s="18">
        <v>41760</v>
      </c>
      <c r="C60" s="30">
        <v>0.37360583835556432</v>
      </c>
      <c r="D60" s="30">
        <f>VLOOKUP(CurrentMtgRatesDataTable825[[#This Row],[asOfDate]],G:H,2,0)</f>
        <v>0.37348002875422498</v>
      </c>
      <c r="E60" s="34">
        <f ca="1">VLOOKUP(CurrentMtgRatesDataTable825[[#This Row],[asOfDate]]+1,Bloomberg!B:C,2,0)</f>
        <v>1323.9</v>
      </c>
      <c r="G60" s="1">
        <v>40948</v>
      </c>
      <c r="H60" s="33">
        <v>0.79842547980239797</v>
      </c>
    </row>
    <row r="61" spans="2:8">
      <c r="B61" s="18">
        <v>41753</v>
      </c>
      <c r="C61" s="30">
        <v>0.37393962817107157</v>
      </c>
      <c r="D61" s="30">
        <f>VLOOKUP(CurrentMtgRatesDataTable825[[#This Row],[asOfDate]],G:H,2,0)</f>
        <v>0.37394334466633</v>
      </c>
      <c r="E61" s="34">
        <f ca="1">VLOOKUP(CurrentMtgRatesDataTable825[[#This Row],[asOfDate]]+1,Bloomberg!B:C,2,0)</f>
        <v>1298.0999999999999</v>
      </c>
      <c r="G61" s="1">
        <v>40955</v>
      </c>
      <c r="H61" s="33">
        <v>0.79842547980239797</v>
      </c>
    </row>
    <row r="62" spans="2:8">
      <c r="B62" s="18">
        <v>41746</v>
      </c>
      <c r="C62" s="30">
        <v>0.38166972699665563</v>
      </c>
      <c r="D62" s="30">
        <f>VLOOKUP(CurrentMtgRatesDataTable825[[#This Row],[asOfDate]],G:H,2,0)</f>
        <v>0.37550642358643799</v>
      </c>
      <c r="E62" s="34">
        <f ca="1">VLOOKUP(CurrentMtgRatesDataTable825[[#This Row],[asOfDate]]+1,Bloomberg!B:C,2,0)</f>
        <v>1370.9</v>
      </c>
      <c r="G62" s="1">
        <v>40962</v>
      </c>
      <c r="H62" s="33">
        <v>0.76669716579457303</v>
      </c>
    </row>
    <row r="63" spans="2:8">
      <c r="B63" s="18">
        <v>41739</v>
      </c>
      <c r="C63" s="30">
        <v>0.36683376695248865</v>
      </c>
      <c r="D63" s="30">
        <f>VLOOKUP(CurrentMtgRatesDataTable825[[#This Row],[asOfDate]],G:H,2,0)</f>
        <v>0.34451093908200903</v>
      </c>
      <c r="E63" s="34">
        <f ca="1">VLOOKUP(CurrentMtgRatesDataTable825[[#This Row],[asOfDate]]+1,Bloomberg!B:C,2,0)</f>
        <v>1429.9</v>
      </c>
      <c r="G63" s="1">
        <v>40969</v>
      </c>
      <c r="H63" s="33">
        <v>0.77480777056815697</v>
      </c>
    </row>
    <row r="64" spans="2:8">
      <c r="B64" s="18">
        <v>41732</v>
      </c>
      <c r="C64" s="30">
        <v>0.35521926568999218</v>
      </c>
      <c r="D64" s="30">
        <f>VLOOKUP(CurrentMtgRatesDataTable825[[#This Row],[asOfDate]],G:H,2,0)</f>
        <v>0.31383635422742501</v>
      </c>
      <c r="E64" s="34">
        <f ca="1">VLOOKUP(CurrentMtgRatesDataTable825[[#This Row],[asOfDate]]+1,Bloomberg!B:C,2,0)</f>
        <v>1324.7</v>
      </c>
      <c r="G64" s="1">
        <v>40976</v>
      </c>
      <c r="H64" s="33">
        <v>0.78283886771012201</v>
      </c>
    </row>
    <row r="65" spans="2:8">
      <c r="B65" s="18">
        <v>41725</v>
      </c>
      <c r="C65" s="30">
        <v>0.36565400061256043</v>
      </c>
      <c r="D65" s="30">
        <f>VLOOKUP(CurrentMtgRatesDataTable825[[#This Row],[asOfDate]],G:H,2,0)</f>
        <v>0.34373332978073601</v>
      </c>
      <c r="E65" s="34">
        <f ca="1">VLOOKUP(CurrentMtgRatesDataTable825[[#This Row],[asOfDate]]+1,Bloomberg!B:C,2,0)</f>
        <v>1383.5</v>
      </c>
      <c r="G65" s="1">
        <v>40983</v>
      </c>
      <c r="H65" s="33">
        <v>0.77421402081353796</v>
      </c>
    </row>
    <row r="66" spans="2:8">
      <c r="B66" s="18">
        <v>41718</v>
      </c>
      <c r="C66" s="30">
        <v>0.38030249532079374</v>
      </c>
      <c r="D66" s="30">
        <f>VLOOKUP(CurrentMtgRatesDataTable825[[#This Row],[asOfDate]],G:H,2,0)</f>
        <v>0.37475184713589199</v>
      </c>
      <c r="E66" s="34">
        <f ca="1">VLOOKUP(CurrentMtgRatesDataTable825[[#This Row],[asOfDate]]+1,Bloomberg!B:C,2,0)</f>
        <v>1426.3</v>
      </c>
      <c r="G66" s="1">
        <v>40990</v>
      </c>
      <c r="H66" s="33">
        <v>0.69937061468571404</v>
      </c>
    </row>
    <row r="67" spans="2:8">
      <c r="B67" s="18">
        <v>41711</v>
      </c>
      <c r="C67" s="30">
        <v>0.36933430427665681</v>
      </c>
      <c r="D67" s="30">
        <f>VLOOKUP(CurrentMtgRatesDataTable825[[#This Row],[asOfDate]],G:H,2,0)</f>
        <v>0.34537825411835699</v>
      </c>
      <c r="E67" s="34">
        <f ca="1">VLOOKUP(CurrentMtgRatesDataTable825[[#This Row],[asOfDate]]+1,Bloomberg!B:C,2,0)</f>
        <v>1552.1</v>
      </c>
      <c r="G67" s="1">
        <v>40997</v>
      </c>
      <c r="H67" s="33">
        <v>0.749723434167341</v>
      </c>
    </row>
    <row r="68" spans="2:8">
      <c r="B68" s="18">
        <v>41704</v>
      </c>
      <c r="C68" s="30">
        <v>0.38316963725836589</v>
      </c>
      <c r="D68" s="30">
        <f>VLOOKUP(CurrentMtgRatesDataTable825[[#This Row],[asOfDate]],G:H,2,0)</f>
        <v>0.37584545219724702</v>
      </c>
      <c r="E68" s="34">
        <f ca="1">VLOOKUP(CurrentMtgRatesDataTable825[[#This Row],[asOfDate]]+1,Bloomberg!B:C,2,0)</f>
        <v>1528</v>
      </c>
      <c r="G68" s="1">
        <v>41004</v>
      </c>
      <c r="H68" s="33">
        <v>0.75253147533014197</v>
      </c>
    </row>
    <row r="69" spans="2:8">
      <c r="B69" s="18">
        <v>41697</v>
      </c>
      <c r="C69" s="30">
        <v>0.36967404481869215</v>
      </c>
      <c r="D69" s="30">
        <f>VLOOKUP(CurrentMtgRatesDataTable825[[#This Row],[asOfDate]],G:H,2,0)</f>
        <v>0.34853875137296803</v>
      </c>
      <c r="E69" s="34">
        <f ca="1">VLOOKUP(CurrentMtgRatesDataTable825[[#This Row],[asOfDate]]+1,Bloomberg!B:C,2,0)</f>
        <v>1600.6</v>
      </c>
      <c r="G69" s="1">
        <v>41011</v>
      </c>
      <c r="H69" s="33">
        <v>0.80193881910043296</v>
      </c>
    </row>
    <row r="70" spans="2:8">
      <c r="B70" s="18">
        <v>41690</v>
      </c>
      <c r="C70" s="30">
        <v>0.3755719775185945</v>
      </c>
      <c r="D70" s="30">
        <f>VLOOKUP(CurrentMtgRatesDataTable825[[#This Row],[asOfDate]],G:H,2,0)</f>
        <v>0.35043602810261099</v>
      </c>
      <c r="E70" s="34">
        <f ca="1">VLOOKUP(CurrentMtgRatesDataTable825[[#This Row],[asOfDate]]+1,Bloomberg!B:C,2,0)</f>
        <v>1442.3</v>
      </c>
      <c r="G70" s="1">
        <v>41018</v>
      </c>
      <c r="H70" s="33">
        <v>0.77781138796328697</v>
      </c>
    </row>
    <row r="71" spans="2:8">
      <c r="B71" s="18">
        <v>41683</v>
      </c>
      <c r="C71" s="30">
        <v>0.38532630107916044</v>
      </c>
      <c r="D71" s="30">
        <f>VLOOKUP(CurrentMtgRatesDataTable825[[#This Row],[asOfDate]],G:H,2,0)</f>
        <v>0.380280894786581</v>
      </c>
      <c r="E71" s="34">
        <f ca="1">VLOOKUP(CurrentMtgRatesDataTable825[[#This Row],[asOfDate]]+1,Bloomberg!B:C,2,0)</f>
        <v>1650.6</v>
      </c>
      <c r="G71" s="1">
        <v>41025</v>
      </c>
      <c r="H71" s="33">
        <v>0.80193881910043296</v>
      </c>
    </row>
    <row r="72" spans="2:8">
      <c r="B72" s="18">
        <v>41676</v>
      </c>
      <c r="C72" s="30">
        <v>0.40068103493110224</v>
      </c>
      <c r="D72" s="30">
        <f>VLOOKUP(CurrentMtgRatesDataTable825[[#This Row],[asOfDate]],G:H,2,0)</f>
        <v>0.407383000493176</v>
      </c>
      <c r="E72" s="34">
        <f ca="1">VLOOKUP(CurrentMtgRatesDataTable825[[#This Row],[asOfDate]]+1,Bloomberg!B:C,2,0)</f>
        <v>1674.2</v>
      </c>
      <c r="G72" s="1">
        <v>41032</v>
      </c>
      <c r="H72" s="33">
        <v>0.80437080516661097</v>
      </c>
    </row>
    <row r="73" spans="2:8">
      <c r="B73" s="18">
        <v>41669</v>
      </c>
      <c r="C73" s="30">
        <v>0.38160196936392621</v>
      </c>
      <c r="D73" s="30">
        <f>VLOOKUP(CurrentMtgRatesDataTable825[[#This Row],[asOfDate]],G:H,2,0)</f>
        <v>0.38449844249950499</v>
      </c>
      <c r="E73" s="34">
        <f ca="1">VLOOKUP(CurrentMtgRatesDataTable825[[#This Row],[asOfDate]]+1,Bloomberg!B:C,2,0)</f>
        <v>1667.5</v>
      </c>
      <c r="G73" s="1">
        <v>41039</v>
      </c>
      <c r="H73" s="33">
        <v>0.807152941952609</v>
      </c>
    </row>
    <row r="74" spans="2:8">
      <c r="B74" s="18">
        <v>41662</v>
      </c>
      <c r="C74" s="30">
        <v>0.37084428304329614</v>
      </c>
      <c r="D74" s="30">
        <f>VLOOKUP(CurrentMtgRatesDataTable825[[#This Row],[asOfDate]],G:H,2,0)</f>
        <v>0.32547727058860199</v>
      </c>
      <c r="E74" s="34">
        <f ca="1">VLOOKUP(CurrentMtgRatesDataTable825[[#This Row],[asOfDate]]+1,Bloomberg!B:C,2,0)</f>
        <v>1601.2</v>
      </c>
      <c r="G74" s="1">
        <v>41046</v>
      </c>
      <c r="H74" s="33">
        <v>0.83152220645888697</v>
      </c>
    </row>
    <row r="75" spans="2:8">
      <c r="B75" s="18">
        <v>41655</v>
      </c>
      <c r="C75" s="30">
        <v>0.36774882579493112</v>
      </c>
      <c r="D75" s="30">
        <f>VLOOKUP(CurrentMtgRatesDataTable825[[#This Row],[asOfDate]],G:H,2,0)</f>
        <v>0.32467403778332998</v>
      </c>
      <c r="E75" s="34">
        <f ca="1">VLOOKUP(CurrentMtgRatesDataTable825[[#This Row],[asOfDate]]+1,Bloomberg!B:C,2,0)</f>
        <v>1675.8</v>
      </c>
      <c r="G75" s="1">
        <v>41053</v>
      </c>
      <c r="H75" s="33">
        <v>0.82948257912141399</v>
      </c>
    </row>
    <row r="76" spans="2:8">
      <c r="B76" s="18">
        <v>41648</v>
      </c>
      <c r="C76" s="30">
        <v>0.2902260049252946</v>
      </c>
      <c r="D76" s="30">
        <f>VLOOKUP(CurrentMtgRatesDataTable825[[#This Row],[asOfDate]],G:H,2,0)</f>
        <v>0.29015447722721099</v>
      </c>
      <c r="E76" s="34">
        <f ca="1">VLOOKUP(CurrentMtgRatesDataTable825[[#This Row],[asOfDate]]+1,Bloomberg!B:C,2,0)</f>
        <v>1507</v>
      </c>
      <c r="G76" s="1">
        <v>41060</v>
      </c>
      <c r="H76" s="33">
        <v>0.83268888035603505</v>
      </c>
    </row>
    <row r="77" spans="2:8">
      <c r="B77" s="18">
        <v>41641</v>
      </c>
      <c r="C77" s="30">
        <v>0.26212623729092371</v>
      </c>
      <c r="D77" s="30">
        <f>VLOOKUP(CurrentMtgRatesDataTable825[[#This Row],[asOfDate]],G:H,2,0)</f>
        <v>0.265306805945277</v>
      </c>
      <c r="E77" s="34">
        <f ca="1">VLOOKUP(CurrentMtgRatesDataTable825[[#This Row],[asOfDate]]+1,Bloomberg!B:C,2,0)</f>
        <v>1352.7</v>
      </c>
      <c r="G77" s="1">
        <v>41067</v>
      </c>
      <c r="H77" s="33">
        <v>0.86243439572202496</v>
      </c>
    </row>
    <row r="78" spans="2:8">
      <c r="B78" s="18">
        <v>41634</v>
      </c>
      <c r="C78" s="30">
        <v>0.33029809597210952</v>
      </c>
      <c r="D78" s="30">
        <f>VLOOKUP(CurrentMtgRatesDataTable825[[#This Row],[asOfDate]],G:H,2,0)</f>
        <v>0.29162362501885603</v>
      </c>
      <c r="E78" s="34">
        <f ca="1">VLOOKUP(CurrentMtgRatesDataTable825[[#This Row],[asOfDate]]+1,Bloomberg!B:C,2,0)</f>
        <v>1277.8</v>
      </c>
      <c r="G78" s="1">
        <v>41074</v>
      </c>
      <c r="H78" s="33">
        <v>0.84549296973434196</v>
      </c>
    </row>
    <row r="79" spans="2:8">
      <c r="B79" s="18">
        <v>41627</v>
      </c>
      <c r="C79" s="30">
        <v>0.33974567777608206</v>
      </c>
      <c r="D79" s="30">
        <f>VLOOKUP(CurrentMtgRatesDataTable825[[#This Row],[asOfDate]],G:H,2,0)</f>
        <v>0.29198850689481598</v>
      </c>
      <c r="E79" s="34">
        <f ca="1">VLOOKUP(CurrentMtgRatesDataTable825[[#This Row],[asOfDate]]+1,Bloomberg!B:C,2,0)</f>
        <v>1426.7</v>
      </c>
      <c r="G79" s="1">
        <v>41081</v>
      </c>
      <c r="H79" s="33">
        <v>0.86306170802286497</v>
      </c>
    </row>
    <row r="80" spans="2:8">
      <c r="B80" s="18">
        <v>41620</v>
      </c>
      <c r="C80" s="30">
        <v>0.3707206267478419</v>
      </c>
      <c r="D80" s="30">
        <f>VLOOKUP(CurrentMtgRatesDataTable825[[#This Row],[asOfDate]],G:H,2,0)</f>
        <v>0.33082970500556302</v>
      </c>
      <c r="E80" s="34">
        <f ca="1">VLOOKUP(CurrentMtgRatesDataTable825[[#This Row],[asOfDate]]+1,Bloomberg!B:C,2,0)</f>
        <v>1529.8</v>
      </c>
      <c r="G80" s="1">
        <v>41088</v>
      </c>
      <c r="H80" s="33">
        <v>0.86306170802286497</v>
      </c>
    </row>
    <row r="81" spans="2:8">
      <c r="B81" s="18">
        <v>41613</v>
      </c>
      <c r="C81" s="30">
        <v>0.37338021104571051</v>
      </c>
      <c r="D81" s="30">
        <f>VLOOKUP(CurrentMtgRatesDataTable825[[#This Row],[asOfDate]],G:H,2,0)</f>
        <v>0.331227934580689</v>
      </c>
      <c r="E81" s="34">
        <f ca="1">VLOOKUP(CurrentMtgRatesDataTable825[[#This Row],[asOfDate]]+1,Bloomberg!B:C,2,0)</f>
        <v>1599.4</v>
      </c>
      <c r="G81" s="1">
        <v>41095</v>
      </c>
      <c r="H81" s="33">
        <v>0.85531584833132801</v>
      </c>
    </row>
    <row r="82" spans="2:8">
      <c r="B82" s="18">
        <v>41605</v>
      </c>
      <c r="C82" s="30">
        <v>0.3969981593322805</v>
      </c>
      <c r="D82" s="30">
        <f>VLOOKUP(CurrentMtgRatesDataTable825[[#This Row],[asOfDate]],G:H,2,0)</f>
        <v>0.401262959025458</v>
      </c>
      <c r="E82" s="34" t="e">
        <f ca="1">VLOOKUP(CurrentMtgRatesDataTable825[[#This Row],[asOfDate]]+1,Bloomberg!B:C,2,0)</f>
        <v>#N/A</v>
      </c>
      <c r="G82" s="1">
        <v>41102</v>
      </c>
      <c r="H82" s="33">
        <v>0.88265848165302496</v>
      </c>
    </row>
    <row r="83" spans="2:8">
      <c r="B83" s="18">
        <v>41599</v>
      </c>
      <c r="C83" s="30">
        <v>0.41410653536495057</v>
      </c>
      <c r="D83" s="30">
        <f>VLOOKUP(CurrentMtgRatesDataTable825[[#This Row],[asOfDate]],G:H,2,0)</f>
        <v>0.42989701258795199</v>
      </c>
      <c r="E83" s="34">
        <f ca="1">VLOOKUP(CurrentMtgRatesDataTable825[[#This Row],[asOfDate]]+1,Bloomberg!B:C,2,0)</f>
        <v>1917.2</v>
      </c>
      <c r="G83" s="1">
        <v>41109</v>
      </c>
      <c r="H83" s="33">
        <v>0.88516739973977598</v>
      </c>
    </row>
    <row r="84" spans="2:8">
      <c r="B84" s="18">
        <v>41592</v>
      </c>
      <c r="C84" s="30">
        <v>0.38756459325455095</v>
      </c>
      <c r="D84" s="30">
        <f>VLOOKUP(CurrentMtgRatesDataTable825[[#This Row],[asOfDate]],G:H,2,0)</f>
        <v>0.37120289750535601</v>
      </c>
      <c r="E84" s="34">
        <f ca="1">VLOOKUP(CurrentMtgRatesDataTable825[[#This Row],[asOfDate]]+1,Bloomberg!B:C,2,0)</f>
        <v>1903.5</v>
      </c>
      <c r="G84" s="1">
        <v>41116</v>
      </c>
      <c r="H84" s="33">
        <v>0.89814744996460805</v>
      </c>
    </row>
    <row r="85" spans="2:8">
      <c r="B85" s="18">
        <v>41585</v>
      </c>
      <c r="C85" s="30">
        <v>0.42159370418067171</v>
      </c>
      <c r="D85" s="30">
        <f>VLOOKUP(CurrentMtgRatesDataTable825[[#This Row],[asOfDate]],G:H,2,0)</f>
        <v>0.44788779304034998</v>
      </c>
      <c r="E85" s="34">
        <f ca="1">VLOOKUP(CurrentMtgRatesDataTable825[[#This Row],[asOfDate]]+1,Bloomberg!B:C,2,0)</f>
        <v>2056.9</v>
      </c>
      <c r="G85" s="1">
        <v>41123</v>
      </c>
      <c r="H85" s="33">
        <v>0.86768818253450297</v>
      </c>
    </row>
    <row r="86" spans="2:8">
      <c r="B86" s="18">
        <v>41578</v>
      </c>
      <c r="C86" s="30">
        <v>0.4605405147219428</v>
      </c>
      <c r="D86" s="30">
        <f>VLOOKUP(CurrentMtgRatesDataTable825[[#This Row],[asOfDate]],G:H,2,0)</f>
        <v>0.47501022290439499</v>
      </c>
      <c r="E86" s="34">
        <f ca="1">VLOOKUP(CurrentMtgRatesDataTable825[[#This Row],[asOfDate]]+1,Bloomberg!B:C,2,0)</f>
        <v>2105.6</v>
      </c>
      <c r="G86" s="1">
        <v>41130</v>
      </c>
      <c r="H86" s="33">
        <v>0.86745968477328095</v>
      </c>
    </row>
    <row r="87" spans="2:8">
      <c r="B87" s="18">
        <v>41571</v>
      </c>
      <c r="C87" s="30">
        <v>0.43156912924668556</v>
      </c>
      <c r="D87" s="30">
        <f>VLOOKUP(CurrentMtgRatesDataTable825[[#This Row],[asOfDate]],G:H,2,0)</f>
        <v>0.45648777309490202</v>
      </c>
      <c r="E87" s="34">
        <f ca="1">VLOOKUP(CurrentMtgRatesDataTable825[[#This Row],[asOfDate]]+1,Bloomberg!B:C,2,0)</f>
        <v>2211.8000000000002</v>
      </c>
      <c r="G87" s="1">
        <v>41137</v>
      </c>
      <c r="H87" s="33">
        <v>0.85198632502448901</v>
      </c>
    </row>
    <row r="88" spans="2:8">
      <c r="B88" s="18">
        <v>41564</v>
      </c>
      <c r="C88" s="30">
        <v>0.40232481590336117</v>
      </c>
      <c r="D88" s="30">
        <f>VLOOKUP(CurrentMtgRatesDataTable825[[#This Row],[asOfDate]],G:H,2,0)</f>
        <v>0.40902347477168999</v>
      </c>
      <c r="E88" s="34">
        <f ca="1">VLOOKUP(CurrentMtgRatesDataTable825[[#This Row],[asOfDate]]+1,Bloomberg!B:C,2,0)</f>
        <v>2033.7</v>
      </c>
      <c r="G88" s="1">
        <v>41144</v>
      </c>
      <c r="H88" s="33">
        <v>0.83819941388679298</v>
      </c>
    </row>
    <row r="89" spans="2:8">
      <c r="B89" s="18">
        <v>41557</v>
      </c>
      <c r="C89" s="30">
        <v>0.41314719259777027</v>
      </c>
      <c r="D89" s="30">
        <f>VLOOKUP(CurrentMtgRatesDataTable825[[#This Row],[asOfDate]],G:H,2,0)</f>
        <v>0.43701315967767701</v>
      </c>
      <c r="E89" s="34">
        <f ca="1">VLOOKUP(CurrentMtgRatesDataTable825[[#This Row],[asOfDate]]+1,Bloomberg!B:C,2,0)</f>
        <v>2102.6999999999998</v>
      </c>
      <c r="G89" s="1">
        <v>41151</v>
      </c>
      <c r="H89" s="33">
        <v>0.86745968477328095</v>
      </c>
    </row>
    <row r="90" spans="2:8">
      <c r="B90" s="18">
        <v>41550</v>
      </c>
      <c r="C90" s="30">
        <v>0.41528178559290679</v>
      </c>
      <c r="D90" s="30">
        <f>VLOOKUP(CurrentMtgRatesDataTable825[[#This Row],[asOfDate]],G:H,2,0)</f>
        <v>0.43751781158176101</v>
      </c>
      <c r="E90" s="34">
        <f ca="1">VLOOKUP(CurrentMtgRatesDataTable825[[#This Row],[asOfDate]]+1,Bloomberg!B:C,2,0)</f>
        <v>2025.3</v>
      </c>
      <c r="G90" s="1">
        <v>41158</v>
      </c>
      <c r="H90" s="33">
        <v>0.854493626143913</v>
      </c>
    </row>
    <row r="91" spans="2:8">
      <c r="B91" s="18">
        <v>41543</v>
      </c>
      <c r="C91" s="30">
        <v>0.40445747526612724</v>
      </c>
      <c r="D91" s="30">
        <f>VLOOKUP(CurrentMtgRatesDataTable825[[#This Row],[asOfDate]],G:H,2,0)</f>
        <v>0.41607421536967498</v>
      </c>
      <c r="E91" s="34">
        <f ca="1">VLOOKUP(CurrentMtgRatesDataTable825[[#This Row],[asOfDate]]+1,Bloomberg!B:C,2,0)</f>
        <v>1956.6</v>
      </c>
      <c r="G91" s="1">
        <v>41165</v>
      </c>
      <c r="H91" s="33">
        <v>0.85731125996939705</v>
      </c>
    </row>
    <row r="92" spans="2:8">
      <c r="B92" s="18">
        <v>41536</v>
      </c>
      <c r="C92" s="30">
        <v>0.33277831045649614</v>
      </c>
      <c r="D92" s="30">
        <f>VLOOKUP(CurrentMtgRatesDataTable825[[#This Row],[asOfDate]],G:H,2,0)</f>
        <v>0.32091811677951898</v>
      </c>
      <c r="E92" s="34">
        <f ca="1">VLOOKUP(CurrentMtgRatesDataTable825[[#This Row],[asOfDate]]+1,Bloomberg!B:C,2,0)</f>
        <v>1922.9</v>
      </c>
      <c r="G92" s="1">
        <v>41172</v>
      </c>
      <c r="H92" s="33">
        <v>0.87344930653794395</v>
      </c>
    </row>
    <row r="93" spans="2:8">
      <c r="B93" s="18">
        <v>41529</v>
      </c>
      <c r="C93" s="30">
        <v>0.27463010199382165</v>
      </c>
      <c r="D93" s="30">
        <f>VLOOKUP(CurrentMtgRatesDataTable825[[#This Row],[asOfDate]],G:H,2,0)</f>
        <v>0.28251411119681702</v>
      </c>
      <c r="E93" s="34">
        <f ca="1">VLOOKUP(CurrentMtgRatesDataTable825[[#This Row],[asOfDate]]+1,Bloomberg!B:C,2,0)</f>
        <v>1814</v>
      </c>
      <c r="G93" s="1">
        <v>41179</v>
      </c>
      <c r="H93" s="33">
        <v>0.91259028169208301</v>
      </c>
    </row>
    <row r="94" spans="2:8">
      <c r="B94" s="18">
        <v>41522</v>
      </c>
      <c r="C94" s="30">
        <v>0.2818649256036454</v>
      </c>
      <c r="D94" s="30">
        <f>VLOOKUP(CurrentMtgRatesDataTable825[[#This Row],[asOfDate]],G:H,2,0)</f>
        <v>0.29894428975906101</v>
      </c>
      <c r="E94" s="34">
        <f ca="1">VLOOKUP(CurrentMtgRatesDataTable825[[#This Row],[asOfDate]]+1,Bloomberg!B:C,2,0)</f>
        <v>1512.9</v>
      </c>
      <c r="G94" s="1">
        <v>41186</v>
      </c>
      <c r="H94" s="33">
        <v>0.89522709255279198</v>
      </c>
    </row>
    <row r="95" spans="2:8">
      <c r="B95" s="18">
        <v>41515</v>
      </c>
      <c r="C95" s="30">
        <v>0.32707732602530493</v>
      </c>
      <c r="D95" s="30">
        <f>VLOOKUP(CurrentMtgRatesDataTable825[[#This Row],[asOfDate]],G:H,2,0)</f>
        <v>0.32738957382411199</v>
      </c>
      <c r="E95" s="34">
        <f ca="1">VLOOKUP(CurrentMtgRatesDataTable825[[#This Row],[asOfDate]]+1,Bloomberg!B:C,2,0)</f>
        <v>1909</v>
      </c>
      <c r="G95" s="1">
        <v>41193</v>
      </c>
      <c r="H95" s="33">
        <v>0.87811016351224602</v>
      </c>
    </row>
    <row r="96" spans="2:8">
      <c r="B96" s="18">
        <v>41508</v>
      </c>
      <c r="C96" s="30">
        <v>0.28211495793674252</v>
      </c>
      <c r="D96" s="30">
        <f>VLOOKUP(CurrentMtgRatesDataTable825[[#This Row],[asOfDate]],G:H,2,0)</f>
        <v>0.28848466841060699</v>
      </c>
      <c r="E96" s="34">
        <f ca="1">VLOOKUP(CurrentMtgRatesDataTable825[[#This Row],[asOfDate]]+1,Bloomberg!B:C,2,0)</f>
        <v>1842.6</v>
      </c>
      <c r="G96" s="1">
        <v>41200</v>
      </c>
      <c r="H96" s="33">
        <v>0.89368551357821302</v>
      </c>
    </row>
    <row r="97" spans="2:8">
      <c r="B97" s="18">
        <v>41501</v>
      </c>
      <c r="C97" s="30">
        <v>0.40797811985401045</v>
      </c>
      <c r="D97" s="30">
        <f>VLOOKUP(CurrentMtgRatesDataTable825[[#This Row],[asOfDate]],G:H,2,0)</f>
        <v>0.36292296585782302</v>
      </c>
      <c r="E97" s="34">
        <f ca="1">VLOOKUP(CurrentMtgRatesDataTable825[[#This Row],[asOfDate]]+1,Bloomberg!B:C,2,0)</f>
        <v>1935.1</v>
      </c>
      <c r="G97" s="1">
        <v>41207</v>
      </c>
      <c r="H97" s="33">
        <v>0.87683234085301398</v>
      </c>
    </row>
    <row r="98" spans="2:8">
      <c r="B98" s="18">
        <v>41494</v>
      </c>
      <c r="C98" s="30">
        <v>0.40797811985401045</v>
      </c>
      <c r="D98" s="30">
        <f>VLOOKUP(CurrentMtgRatesDataTable825[[#This Row],[asOfDate]],G:H,2,0)</f>
        <v>0.36292296585782302</v>
      </c>
      <c r="E98" s="34">
        <f ca="1">VLOOKUP(CurrentMtgRatesDataTable825[[#This Row],[asOfDate]]+1,Bloomberg!B:C,2,0)</f>
        <v>2110.6</v>
      </c>
      <c r="G98" s="1">
        <v>41214</v>
      </c>
      <c r="H98" s="33">
        <v>0.85225052894835196</v>
      </c>
    </row>
    <row r="99" spans="2:8">
      <c r="B99" s="18">
        <v>41487</v>
      </c>
      <c r="C99" s="30">
        <v>0.40917398895537016</v>
      </c>
      <c r="D99" s="30">
        <f>VLOOKUP(CurrentMtgRatesDataTable825[[#This Row],[asOfDate]],G:H,2,0)</f>
        <v>0.36357930006355599</v>
      </c>
      <c r="E99" s="34">
        <f ca="1">VLOOKUP(CurrentMtgRatesDataTable825[[#This Row],[asOfDate]]+1,Bloomberg!B:C,2,0)</f>
        <v>2228.9</v>
      </c>
      <c r="G99" s="1">
        <v>41221</v>
      </c>
      <c r="H99" s="33">
        <v>0.85194480836680198</v>
      </c>
    </row>
    <row r="100" spans="2:8">
      <c r="B100" s="18">
        <v>41480</v>
      </c>
      <c r="C100" s="30">
        <v>0.42922629610906576</v>
      </c>
      <c r="D100" s="30">
        <f>VLOOKUP(CurrentMtgRatesDataTable825[[#This Row],[asOfDate]],G:H,2,0)</f>
        <v>0.40895553727695599</v>
      </c>
      <c r="E100" s="34">
        <f ca="1">VLOOKUP(CurrentMtgRatesDataTable825[[#This Row],[asOfDate]]+1,Bloomberg!B:C,2,0)</f>
        <v>2218.3000000000002</v>
      </c>
      <c r="G100" s="1">
        <v>41228</v>
      </c>
      <c r="H100" s="33">
        <v>0.86999483052125803</v>
      </c>
    </row>
    <row r="101" spans="2:8">
      <c r="B101" s="18">
        <v>41473</v>
      </c>
      <c r="C101" s="30">
        <v>0.42624975952077765</v>
      </c>
      <c r="D101" s="30">
        <f>VLOOKUP(CurrentMtgRatesDataTable825[[#This Row],[asOfDate]],G:H,2,0)</f>
        <v>0.407195502334876</v>
      </c>
      <c r="E101" s="34">
        <f ca="1">VLOOKUP(CurrentMtgRatesDataTable825[[#This Row],[asOfDate]]+1,Bloomberg!B:C,2,0)</f>
        <v>2288</v>
      </c>
      <c r="G101" s="1">
        <v>41234</v>
      </c>
      <c r="H101" s="33">
        <v>0.88773399472374204</v>
      </c>
    </row>
    <row r="102" spans="2:8">
      <c r="B102" s="18">
        <v>41466</v>
      </c>
      <c r="C102" s="30">
        <v>0.31856955774356621</v>
      </c>
      <c r="D102" s="30">
        <f>VLOOKUP(CurrentMtgRatesDataTable825[[#This Row],[asOfDate]],G:H,2,0)</f>
        <v>0.32003461094412999</v>
      </c>
      <c r="E102" s="34">
        <f ca="1">VLOOKUP(CurrentMtgRatesDataTable825[[#This Row],[asOfDate]]+1,Bloomberg!B:C,2,0)</f>
        <v>2242.1999999999998</v>
      </c>
      <c r="G102" s="1">
        <v>41242</v>
      </c>
      <c r="H102" s="33">
        <v>0.86996445945149903</v>
      </c>
    </row>
    <row r="103" spans="2:8">
      <c r="B103" s="18">
        <v>41458</v>
      </c>
      <c r="C103" s="30">
        <v>0.4330864642120939</v>
      </c>
      <c r="D103" s="30">
        <f>VLOOKUP(CurrentMtgRatesDataTable825[[#This Row],[asOfDate]],G:H,2,0)</f>
        <v>0.439218479739446</v>
      </c>
      <c r="E103" s="34" t="e">
        <f ca="1">VLOOKUP(CurrentMtgRatesDataTable825[[#This Row],[asOfDate]]+1,Bloomberg!B:C,2,0)</f>
        <v>#N/A</v>
      </c>
      <c r="G103" s="1">
        <v>41249</v>
      </c>
      <c r="H103" s="33">
        <v>0.85662578219432695</v>
      </c>
    </row>
    <row r="104" spans="2:8">
      <c r="B104" s="18">
        <v>41452</v>
      </c>
      <c r="C104" s="30">
        <v>0.39082116641682313</v>
      </c>
      <c r="D104" s="30">
        <f>VLOOKUP(CurrentMtgRatesDataTable825[[#This Row],[asOfDate]],G:H,2,0)</f>
        <v>0.35042164075900101</v>
      </c>
      <c r="E104" s="34">
        <f ca="1">VLOOKUP(CurrentMtgRatesDataTable825[[#This Row],[asOfDate]]+1,Bloomberg!B:C,2,0)</f>
        <v>2573.4</v>
      </c>
      <c r="G104" s="1">
        <v>41256</v>
      </c>
      <c r="H104" s="33">
        <v>0.87412257034895602</v>
      </c>
    </row>
    <row r="105" spans="2:8">
      <c r="B105" s="18">
        <v>41445</v>
      </c>
      <c r="C105" s="30">
        <v>0.58795254732817659</v>
      </c>
      <c r="D105" s="30">
        <f>VLOOKUP(CurrentMtgRatesDataTable825[[#This Row],[asOfDate]],G:H,2,0)</f>
        <v>0.55919632116239604</v>
      </c>
      <c r="E105" s="34">
        <f ca="1">VLOOKUP(CurrentMtgRatesDataTable825[[#This Row],[asOfDate]]+1,Bloomberg!B:C,2,0)</f>
        <v>3040.1</v>
      </c>
      <c r="G105" s="1">
        <v>41263</v>
      </c>
      <c r="H105" s="33">
        <v>0.85522983991809798</v>
      </c>
    </row>
    <row r="106" spans="2:8">
      <c r="B106" s="18">
        <v>41438</v>
      </c>
      <c r="C106" s="30">
        <v>0.57343184072471942</v>
      </c>
      <c r="D106" s="30">
        <f>VLOOKUP(CurrentMtgRatesDataTable825[[#This Row],[asOfDate]],G:H,2,0)</f>
        <v>0.55842108987699401</v>
      </c>
      <c r="E106" s="34">
        <f ca="1">VLOOKUP(CurrentMtgRatesDataTable825[[#This Row],[asOfDate]]+1,Bloomberg!B:C,2,0)</f>
        <v>3214.4</v>
      </c>
      <c r="G106" s="1">
        <v>41270</v>
      </c>
      <c r="H106" s="33">
        <v>0.85626060279274896</v>
      </c>
    </row>
    <row r="107" spans="2:8">
      <c r="B107" s="18">
        <v>41431</v>
      </c>
      <c r="C107" s="30">
        <v>0.60569175356282723</v>
      </c>
      <c r="D107" s="30">
        <f>VLOOKUP(CurrentMtgRatesDataTable825[[#This Row],[asOfDate]],G:H,2,0)</f>
        <v>0.57861777554698002</v>
      </c>
      <c r="E107" s="34">
        <f ca="1">VLOOKUP(CurrentMtgRatesDataTable825[[#This Row],[asOfDate]]+1,Bloomberg!B:C,2,0)</f>
        <v>3339.8</v>
      </c>
      <c r="G107" s="1">
        <v>41277</v>
      </c>
      <c r="H107" s="33">
        <v>0.83696581575361895</v>
      </c>
    </row>
    <row r="108" spans="2:8">
      <c r="B108" s="18">
        <v>41424</v>
      </c>
      <c r="C108" s="30">
        <v>0.63267241864898449</v>
      </c>
      <c r="D108" s="30">
        <f>VLOOKUP(CurrentMtgRatesDataTable825[[#This Row],[asOfDate]],G:H,2,0)</f>
        <v>0.61546645850988302</v>
      </c>
      <c r="E108" s="34">
        <f ca="1">VLOOKUP(CurrentMtgRatesDataTable825[[#This Row],[asOfDate]]+1,Bloomberg!B:C,2,0)</f>
        <v>3163.6</v>
      </c>
      <c r="G108" s="1">
        <v>41284</v>
      </c>
      <c r="H108" s="33">
        <v>0.81798384699460103</v>
      </c>
    </row>
    <row r="109" spans="2:8">
      <c r="B109" s="18">
        <v>41417</v>
      </c>
      <c r="C109" s="30">
        <v>0.69528028144531095</v>
      </c>
      <c r="D109" s="30">
        <f>VLOOKUP(CurrentMtgRatesDataTable825[[#This Row],[asOfDate]],G:H,2,0)</f>
        <v>0.68530860108825797</v>
      </c>
      <c r="E109" s="34">
        <f ca="1">VLOOKUP(CurrentMtgRatesDataTable825[[#This Row],[asOfDate]]+1,Bloomberg!B:C,2,0)</f>
        <v>3709.4</v>
      </c>
      <c r="G109" s="1">
        <v>41291</v>
      </c>
      <c r="H109" s="33">
        <v>0.83503612629874802</v>
      </c>
    </row>
    <row r="110" spans="2:8">
      <c r="B110" s="18">
        <v>41410</v>
      </c>
      <c r="C110" s="30">
        <v>0.77783403735744605</v>
      </c>
      <c r="D110" s="30">
        <f>VLOOKUP(CurrentMtgRatesDataTable825[[#This Row],[asOfDate]],G:H,2,0)</f>
        <v>0.72159050384319001</v>
      </c>
      <c r="E110" s="34">
        <f ca="1">VLOOKUP(CurrentMtgRatesDataTable825[[#This Row],[asOfDate]]+1,Bloomberg!B:C,2,0)</f>
        <v>4241.5</v>
      </c>
      <c r="G110" s="1">
        <v>41298</v>
      </c>
      <c r="H110" s="33">
        <v>0.81634992305868503</v>
      </c>
    </row>
    <row r="111" spans="2:8">
      <c r="B111" s="18">
        <v>41403</v>
      </c>
      <c r="C111" s="30">
        <v>0.80807149473903783</v>
      </c>
      <c r="D111" s="30">
        <f>VLOOKUP(CurrentMtgRatesDataTable825[[#This Row],[asOfDate]],G:H,2,0)</f>
        <v>0.75094523370436095</v>
      </c>
      <c r="E111" s="34">
        <f ca="1">VLOOKUP(CurrentMtgRatesDataTable825[[#This Row],[asOfDate]]+1,Bloomberg!B:C,2,0)</f>
        <v>4797.2</v>
      </c>
      <c r="G111" s="1">
        <v>41305</v>
      </c>
      <c r="H111" s="33">
        <v>0.77322369572310801</v>
      </c>
    </row>
    <row r="112" spans="2:8">
      <c r="B112" s="18">
        <v>41396</v>
      </c>
      <c r="C112" s="30">
        <v>0.81686282095814366</v>
      </c>
      <c r="D112" s="30">
        <f>VLOOKUP(CurrentMtgRatesDataTable825[[#This Row],[asOfDate]],G:H,2,0)</f>
        <v>0.77520531199879605</v>
      </c>
      <c r="E112" s="34">
        <f ca="1">VLOOKUP(CurrentMtgRatesDataTable825[[#This Row],[asOfDate]]+1,Bloomberg!B:C,2,0)</f>
        <v>5279.9</v>
      </c>
      <c r="G112" s="1">
        <v>41312</v>
      </c>
      <c r="H112" s="33">
        <v>0.75155379277106704</v>
      </c>
    </row>
    <row r="113" spans="2:8">
      <c r="B113" s="18">
        <v>41389</v>
      </c>
      <c r="C113" s="30">
        <v>0.82478602429419701</v>
      </c>
      <c r="D113" s="30">
        <f>VLOOKUP(CurrentMtgRatesDataTable825[[#This Row],[asOfDate]],G:H,2,0)</f>
        <v>0.759939269856726</v>
      </c>
      <c r="E113" s="34">
        <f ca="1">VLOOKUP(CurrentMtgRatesDataTable825[[#This Row],[asOfDate]]+1,Bloomberg!B:C,2,0)</f>
        <v>4854.1000000000004</v>
      </c>
      <c r="G113" s="1">
        <v>41319</v>
      </c>
      <c r="H113" s="33">
        <v>0.75155379277106704</v>
      </c>
    </row>
    <row r="114" spans="2:8">
      <c r="B114" s="18">
        <v>41382</v>
      </c>
      <c r="C114" s="30">
        <v>0.8263799320049966</v>
      </c>
      <c r="D114" s="30">
        <f>VLOOKUP(CurrentMtgRatesDataTable825[[#This Row],[asOfDate]],G:H,2,0)</f>
        <v>0.76108985756873504</v>
      </c>
      <c r="E114" s="34">
        <f ca="1">VLOOKUP(CurrentMtgRatesDataTable825[[#This Row],[asOfDate]]+1,Bloomberg!B:C,2,0)</f>
        <v>4672.1000000000004</v>
      </c>
      <c r="G114" s="1">
        <v>41326</v>
      </c>
      <c r="H114" s="33">
        <v>0.73462902469773095</v>
      </c>
    </row>
    <row r="115" spans="2:8">
      <c r="B115" s="18">
        <v>41375</v>
      </c>
      <c r="C115" s="30">
        <v>0.81951890925716175</v>
      </c>
      <c r="D115" s="30">
        <f>VLOOKUP(CurrentMtgRatesDataTable825[[#This Row],[asOfDate]],G:H,2,0)</f>
        <v>0.73719138808657003</v>
      </c>
      <c r="E115" s="34">
        <f ca="1">VLOOKUP(CurrentMtgRatesDataTable825[[#This Row],[asOfDate]]+1,Bloomberg!B:C,2,0)</f>
        <v>4726.8999999999996</v>
      </c>
      <c r="G115" s="1">
        <v>41333</v>
      </c>
      <c r="H115" s="33">
        <v>0.75332777657917305</v>
      </c>
    </row>
    <row r="116" spans="2:8">
      <c r="B116" s="18">
        <v>41368</v>
      </c>
      <c r="C116" s="30">
        <v>0.74812714109915845</v>
      </c>
      <c r="D116" s="30">
        <f>VLOOKUP(CurrentMtgRatesDataTable825[[#This Row],[asOfDate]],G:H,2,0)</f>
        <v>0.71361316522728502</v>
      </c>
      <c r="E116" s="34">
        <f ca="1">VLOOKUP(CurrentMtgRatesDataTable825[[#This Row],[asOfDate]]+1,Bloomberg!B:C,2,0)</f>
        <v>4528.8999999999996</v>
      </c>
      <c r="G116" s="1">
        <v>41340</v>
      </c>
      <c r="H116" s="33">
        <v>0.731898053840778</v>
      </c>
    </row>
    <row r="117" spans="2:8">
      <c r="B117" s="18">
        <v>41361</v>
      </c>
      <c r="C117" s="30">
        <v>0.73085022058809757</v>
      </c>
      <c r="D117" s="30">
        <f>VLOOKUP(CurrentMtgRatesDataTable825[[#This Row],[asOfDate]],G:H,2,0)</f>
        <v>0.712062870316722</v>
      </c>
      <c r="E117" s="34">
        <f ca="1">VLOOKUP(CurrentMtgRatesDataTable825[[#This Row],[asOfDate]]+1,Bloomberg!B:C,2,0)</f>
        <v>4119.2</v>
      </c>
      <c r="G117" s="1">
        <v>41347</v>
      </c>
      <c r="H117" s="33">
        <v>0.69793386100167498</v>
      </c>
    </row>
    <row r="118" spans="2:8">
      <c r="B118" s="18">
        <v>41354</v>
      </c>
      <c r="C118" s="30">
        <v>0.76832708554350626</v>
      </c>
      <c r="D118" s="30">
        <f>VLOOKUP(CurrentMtgRatesDataTable825[[#This Row],[asOfDate]],G:H,2,0)</f>
        <v>0.72870485724391698</v>
      </c>
      <c r="E118" s="34">
        <f ca="1">VLOOKUP(CurrentMtgRatesDataTable825[[#This Row],[asOfDate]]+1,Bloomberg!B:C,2,0)</f>
        <v>4412.8999999999996</v>
      </c>
      <c r="G118" s="1">
        <v>41354</v>
      </c>
      <c r="H118" s="33">
        <v>0.72870485724391698</v>
      </c>
    </row>
    <row r="119" spans="2:8">
      <c r="B119" s="18">
        <v>41347</v>
      </c>
      <c r="C119" s="30">
        <v>0.70260073761186825</v>
      </c>
      <c r="D119" s="30">
        <f>VLOOKUP(CurrentMtgRatesDataTable825[[#This Row],[asOfDate]],G:H,2,0)</f>
        <v>0.69793386100167498</v>
      </c>
      <c r="E119" s="34">
        <f ca="1">VLOOKUP(CurrentMtgRatesDataTable825[[#This Row],[asOfDate]]+1,Bloomberg!B:C,2,0)</f>
        <v>4111.3</v>
      </c>
      <c r="G119" s="1">
        <v>41361</v>
      </c>
      <c r="H119" s="33">
        <v>0.712062870316722</v>
      </c>
    </row>
    <row r="120" spans="2:8">
      <c r="B120" s="18">
        <v>41340</v>
      </c>
      <c r="C120" s="30">
        <v>0.81254588826988361</v>
      </c>
      <c r="D120" s="30">
        <f>VLOOKUP(CurrentMtgRatesDataTable825[[#This Row],[asOfDate]],G:H,2,0)</f>
        <v>0.731898053840778</v>
      </c>
      <c r="E120" s="34">
        <f ca="1">VLOOKUP(CurrentMtgRatesDataTable825[[#This Row],[asOfDate]]+1,Bloomberg!B:C,2,0)</f>
        <v>4485.2</v>
      </c>
      <c r="G120" s="1">
        <v>41368</v>
      </c>
      <c r="H120" s="33">
        <v>0.71361316522728502</v>
      </c>
    </row>
    <row r="121" spans="2:8">
      <c r="B121" s="18">
        <v>41333</v>
      </c>
      <c r="C121" s="30">
        <v>0.81599621049204552</v>
      </c>
      <c r="D121" s="30">
        <f>VLOOKUP(CurrentMtgRatesDataTable825[[#This Row],[asOfDate]],G:H,2,0)</f>
        <v>0.75332777657917305</v>
      </c>
      <c r="E121" s="34">
        <f ca="1">VLOOKUP(CurrentMtgRatesDataTable825[[#This Row],[asOfDate]]+1,Bloomberg!B:C,2,0)</f>
        <v>4724.8999999999996</v>
      </c>
      <c r="G121" s="1">
        <v>41375</v>
      </c>
      <c r="H121" s="33">
        <v>0.73719138808657003</v>
      </c>
    </row>
    <row r="122" spans="2:8">
      <c r="B122" s="18">
        <v>41326</v>
      </c>
      <c r="C122" s="30">
        <v>0.75767121274967097</v>
      </c>
      <c r="D122" s="30">
        <f>VLOOKUP(CurrentMtgRatesDataTable825[[#This Row],[asOfDate]],G:H,2,0)</f>
        <v>0.73462902469773095</v>
      </c>
      <c r="E122" s="34">
        <f ca="1">VLOOKUP(CurrentMtgRatesDataTable825[[#This Row],[asOfDate]]+1,Bloomberg!B:C,2,0)</f>
        <v>4136.3</v>
      </c>
      <c r="G122" s="1">
        <v>41382</v>
      </c>
      <c r="H122" s="33">
        <v>0.76108985756873504</v>
      </c>
    </row>
    <row r="123" spans="2:8">
      <c r="B123" s="18">
        <v>41319</v>
      </c>
      <c r="C123" s="30">
        <v>0.79744674672768578</v>
      </c>
      <c r="D123" s="30">
        <f>VLOOKUP(CurrentMtgRatesDataTable825[[#This Row],[asOfDate]],G:H,2,0)</f>
        <v>0.75155379277106704</v>
      </c>
      <c r="E123" s="34">
        <f ca="1">VLOOKUP(CurrentMtgRatesDataTable825[[#This Row],[asOfDate]]+1,Bloomberg!B:C,2,0)</f>
        <v>4261.8</v>
      </c>
      <c r="G123" s="1">
        <v>41389</v>
      </c>
      <c r="H123" s="33">
        <v>0.759939269856726</v>
      </c>
    </row>
    <row r="124" spans="2:8">
      <c r="B124" s="18">
        <v>41312</v>
      </c>
      <c r="C124" s="30">
        <v>0.79744674672768578</v>
      </c>
      <c r="D124" s="30">
        <f>VLOOKUP(CurrentMtgRatesDataTable825[[#This Row],[asOfDate]],G:H,2,0)</f>
        <v>0.75155379277106704</v>
      </c>
      <c r="E124" s="34">
        <f ca="1">VLOOKUP(CurrentMtgRatesDataTable825[[#This Row],[asOfDate]]+1,Bloomberg!B:C,2,0)</f>
        <v>4284.3</v>
      </c>
      <c r="G124" s="1">
        <v>41396</v>
      </c>
      <c r="H124" s="33">
        <v>0.77520531199879605</v>
      </c>
    </row>
    <row r="125" spans="2:8">
      <c r="B125" s="18">
        <v>41305</v>
      </c>
      <c r="C125" s="30">
        <v>0.84748759806752005</v>
      </c>
      <c r="D125" s="30">
        <f>VLOOKUP(CurrentMtgRatesDataTable825[[#This Row],[asOfDate]],G:H,2,0)</f>
        <v>0.77322369572310801</v>
      </c>
      <c r="E125" s="34">
        <f ca="1">VLOOKUP(CurrentMtgRatesDataTable825[[#This Row],[asOfDate]]+1,Bloomberg!B:C,2,0)</f>
        <v>4579</v>
      </c>
      <c r="G125" s="1">
        <v>41403</v>
      </c>
      <c r="H125" s="33">
        <v>0.75094523370436095</v>
      </c>
    </row>
    <row r="126" spans="2:8">
      <c r="B126" s="18">
        <v>41298</v>
      </c>
      <c r="C126" s="30">
        <v>0.88379536104531342</v>
      </c>
      <c r="D126" s="30">
        <f>VLOOKUP(CurrentMtgRatesDataTable825[[#This Row],[asOfDate]],G:H,2,0)</f>
        <v>0.81634992305868503</v>
      </c>
      <c r="E126" s="34">
        <f ca="1">VLOOKUP(CurrentMtgRatesDataTable825[[#This Row],[asOfDate]]+1,Bloomberg!B:C,2,0)</f>
        <v>4433.6000000000004</v>
      </c>
      <c r="G126" s="1">
        <v>41410</v>
      </c>
      <c r="H126" s="33">
        <v>0.72159050384319001</v>
      </c>
    </row>
    <row r="127" spans="2:8">
      <c r="B127" s="18">
        <v>41291</v>
      </c>
      <c r="C127" s="30">
        <v>0.88631407683414742</v>
      </c>
      <c r="D127" s="30">
        <f>VLOOKUP(CurrentMtgRatesDataTable825[[#This Row],[asOfDate]],G:H,2,0)</f>
        <v>0.83503612629874802</v>
      </c>
      <c r="E127" s="34">
        <f ca="1">VLOOKUP(CurrentMtgRatesDataTable825[[#This Row],[asOfDate]]+1,Bloomberg!B:C,2,0)</f>
        <v>4937.3999999999996</v>
      </c>
      <c r="G127" s="1">
        <v>41417</v>
      </c>
      <c r="H127" s="33">
        <v>0.68530860108825797</v>
      </c>
    </row>
    <row r="128" spans="2:8">
      <c r="B128" s="18">
        <v>41284</v>
      </c>
      <c r="C128" s="30">
        <v>0.88507237465236011</v>
      </c>
      <c r="D128" s="30">
        <f>VLOOKUP(CurrentMtgRatesDataTable825[[#This Row],[asOfDate]],G:H,2,0)</f>
        <v>0.81798384699460103</v>
      </c>
      <c r="E128" s="34">
        <f ca="1">VLOOKUP(CurrentMtgRatesDataTable825[[#This Row],[asOfDate]]+1,Bloomberg!B:C,2,0)</f>
        <v>4554.3999999999996</v>
      </c>
      <c r="G128" s="1">
        <v>41424</v>
      </c>
      <c r="H128" s="33">
        <v>0.61546645850988302</v>
      </c>
    </row>
    <row r="129" spans="2:8">
      <c r="B129" s="18">
        <v>41277</v>
      </c>
      <c r="C129" s="30">
        <v>0.88829814088555981</v>
      </c>
      <c r="D129" s="30">
        <f>VLOOKUP(CurrentMtgRatesDataTable825[[#This Row],[asOfDate]],G:H,2,0)</f>
        <v>0.83696581575361895</v>
      </c>
      <c r="E129" s="34">
        <f ca="1">VLOOKUP(CurrentMtgRatesDataTable825[[#This Row],[asOfDate]]+1,Bloomberg!B:C,2,0)</f>
        <v>3896.4</v>
      </c>
      <c r="G129" s="1">
        <v>41431</v>
      </c>
      <c r="H129" s="33">
        <v>0.57861777554698002</v>
      </c>
    </row>
    <row r="130" spans="2:8">
      <c r="B130" s="18">
        <v>41270</v>
      </c>
      <c r="C130" s="30">
        <v>0.91018597538933266</v>
      </c>
      <c r="D130" s="30">
        <f>VLOOKUP(CurrentMtgRatesDataTable825[[#This Row],[asOfDate]],G:H,2,0)</f>
        <v>0.85626060279274896</v>
      </c>
      <c r="E130" s="34">
        <f ca="1">VLOOKUP(CurrentMtgRatesDataTable825[[#This Row],[asOfDate]]+1,Bloomberg!B:C,2,0)</f>
        <v>3488.9</v>
      </c>
      <c r="G130" s="1">
        <v>41438</v>
      </c>
      <c r="H130" s="33">
        <v>0.55842108987699401</v>
      </c>
    </row>
    <row r="131" spans="2:8">
      <c r="B131" s="18">
        <v>41263</v>
      </c>
      <c r="C131" s="30">
        <v>0.90965157918840345</v>
      </c>
      <c r="D131" s="30">
        <f>VLOOKUP(CurrentMtgRatesDataTable825[[#This Row],[asOfDate]],G:H,2,0)</f>
        <v>0.85522983991809798</v>
      </c>
      <c r="E131" s="34">
        <f ca="1">VLOOKUP(CurrentMtgRatesDataTable825[[#This Row],[asOfDate]]+1,Bloomberg!B:C,2,0)</f>
        <v>3983.2</v>
      </c>
      <c r="G131" s="1">
        <v>41445</v>
      </c>
      <c r="H131" s="33">
        <v>0.55919632116239604</v>
      </c>
    </row>
    <row r="132" spans="2:8">
      <c r="B132" s="18">
        <v>41256</v>
      </c>
      <c r="C132" s="30">
        <v>0.9126136851792267</v>
      </c>
      <c r="D132" s="30">
        <f>VLOOKUP(CurrentMtgRatesDataTable825[[#This Row],[asOfDate]],G:H,2,0)</f>
        <v>0.87412257034895602</v>
      </c>
      <c r="E132" s="34">
        <f ca="1">VLOOKUP(CurrentMtgRatesDataTable825[[#This Row],[asOfDate]]+1,Bloomberg!B:C,2,0)</f>
        <v>4564.3999999999996</v>
      </c>
      <c r="G132" s="1">
        <v>41452</v>
      </c>
      <c r="H132" s="33">
        <v>0.35042164075900101</v>
      </c>
    </row>
    <row r="133" spans="2:8">
      <c r="B133" s="18">
        <v>41249</v>
      </c>
      <c r="C133" s="30">
        <v>0.9105479087849232</v>
      </c>
      <c r="D133" s="30">
        <f>VLOOKUP(CurrentMtgRatesDataTable825[[#This Row],[asOfDate]],G:H,2,0)</f>
        <v>0.85662578219432695</v>
      </c>
      <c r="E133" s="34">
        <f ca="1">VLOOKUP(CurrentMtgRatesDataTable825[[#This Row],[asOfDate]]+1,Bloomberg!B:C,2,0)</f>
        <v>5368.1</v>
      </c>
      <c r="G133" s="1">
        <v>41458</v>
      </c>
      <c r="H133" s="33">
        <v>0.439218479739446</v>
      </c>
    </row>
    <row r="134" spans="2:8">
      <c r="B134" s="18">
        <v>41242</v>
      </c>
      <c r="C134" s="30">
        <v>0.92756020040727527</v>
      </c>
      <c r="D134" s="30">
        <f>VLOOKUP(CurrentMtgRatesDataTable825[[#This Row],[asOfDate]],G:H,2,0)</f>
        <v>0.86996445945149903</v>
      </c>
      <c r="E134" s="34">
        <f ca="1">VLOOKUP(CurrentMtgRatesDataTable825[[#This Row],[asOfDate]]+1,Bloomberg!B:C,2,0)</f>
        <v>4943</v>
      </c>
      <c r="G134" s="1">
        <v>41466</v>
      </c>
      <c r="H134" s="33">
        <v>0.32003461094412999</v>
      </c>
    </row>
    <row r="135" spans="2:8">
      <c r="B135" s="18">
        <v>41234</v>
      </c>
      <c r="C135" s="30">
        <v>0.9299301195282087</v>
      </c>
      <c r="D135" s="30">
        <f>VLOOKUP(CurrentMtgRatesDataTable825[[#This Row],[asOfDate]],G:H,2,0)</f>
        <v>0.88773399472374204</v>
      </c>
      <c r="E135" s="34" t="e">
        <f ca="1">VLOOKUP(CurrentMtgRatesDataTable825[[#This Row],[asOfDate]]+1,Bloomberg!B:C,2,0)</f>
        <v>#N/A</v>
      </c>
      <c r="G135" s="1">
        <v>41473</v>
      </c>
      <c r="H135" s="33">
        <v>0.407195502334876</v>
      </c>
    </row>
    <row r="136" spans="2:8">
      <c r="B136" s="18">
        <v>41228</v>
      </c>
      <c r="C136" s="30">
        <v>0.92772026190850965</v>
      </c>
      <c r="D136" s="30">
        <f>VLOOKUP(CurrentMtgRatesDataTable825[[#This Row],[asOfDate]],G:H,2,0)</f>
        <v>0.86999483052125803</v>
      </c>
      <c r="E136" s="34">
        <f ca="1">VLOOKUP(CurrentMtgRatesDataTable825[[#This Row],[asOfDate]]+1,Bloomberg!B:C,2,0)</f>
        <v>4702.3999999999996</v>
      </c>
      <c r="G136" s="1">
        <v>41480</v>
      </c>
      <c r="H136" s="33">
        <v>0.40895553727695599</v>
      </c>
    </row>
    <row r="137" spans="2:8">
      <c r="B137" s="18">
        <v>41221</v>
      </c>
      <c r="C137" s="30">
        <v>0.9252942527060104</v>
      </c>
      <c r="D137" s="30">
        <f>VLOOKUP(CurrentMtgRatesDataTable825[[#This Row],[asOfDate]],G:H,2,0)</f>
        <v>0.85194480836680198</v>
      </c>
      <c r="E137" s="34">
        <f ca="1">VLOOKUP(CurrentMtgRatesDataTable825[[#This Row],[asOfDate]]+1,Bloomberg!B:C,2,0)</f>
        <v>4856.1000000000004</v>
      </c>
      <c r="G137" s="1">
        <v>41487</v>
      </c>
      <c r="H137" s="33">
        <v>0.36357930006355599</v>
      </c>
    </row>
    <row r="138" spans="2:8">
      <c r="B138" s="18">
        <v>41214</v>
      </c>
      <c r="C138" s="30">
        <v>0.92571311512973709</v>
      </c>
      <c r="D138" s="30">
        <f>VLOOKUP(CurrentMtgRatesDataTable825[[#This Row],[asOfDate]],G:H,2,0)</f>
        <v>0.85225052894835196</v>
      </c>
      <c r="E138" s="34">
        <f ca="1">VLOOKUP(CurrentMtgRatesDataTable825[[#This Row],[asOfDate]]+1,Bloomberg!B:C,2,0)</f>
        <v>4297.7</v>
      </c>
      <c r="G138" s="1">
        <v>41494</v>
      </c>
      <c r="H138" s="33">
        <v>0.36292296585782302</v>
      </c>
    </row>
    <row r="139" spans="2:8">
      <c r="B139" s="18">
        <v>41207</v>
      </c>
      <c r="C139" s="30">
        <v>0.95079229345734595</v>
      </c>
      <c r="D139" s="30">
        <f>VLOOKUP(CurrentMtgRatesDataTable825[[#This Row],[asOfDate]],G:H,2,0)</f>
        <v>0.87683234085301398</v>
      </c>
      <c r="E139" s="34">
        <f ca="1">VLOOKUP(CurrentMtgRatesDataTable825[[#This Row],[asOfDate]]+1,Bloomberg!B:C,2,0)</f>
        <v>4550.7</v>
      </c>
      <c r="G139" s="1">
        <v>41501</v>
      </c>
      <c r="H139" s="33">
        <v>0.36292296585782302</v>
      </c>
    </row>
    <row r="140" spans="2:8">
      <c r="B140" s="18">
        <v>41200</v>
      </c>
      <c r="C140" s="30">
        <v>0.95277295236812309</v>
      </c>
      <c r="D140" s="30">
        <f>VLOOKUP(CurrentMtgRatesDataTable825[[#This Row],[asOfDate]],G:H,2,0)</f>
        <v>0.89368551357821302</v>
      </c>
      <c r="E140" s="34">
        <f ca="1">VLOOKUP(CurrentMtgRatesDataTable825[[#This Row],[asOfDate]]+1,Bloomberg!B:C,2,0)</f>
        <v>4847.2</v>
      </c>
      <c r="G140" s="1">
        <v>41508</v>
      </c>
      <c r="H140" s="33">
        <v>0.28848466841060699</v>
      </c>
    </row>
    <row r="141" spans="2:8">
      <c r="B141" s="18">
        <v>41193</v>
      </c>
      <c r="C141" s="30">
        <v>0.95159604304738465</v>
      </c>
      <c r="D141" s="30">
        <f>VLOOKUP(CurrentMtgRatesDataTable825[[#This Row],[asOfDate]],G:H,2,0)</f>
        <v>0.87811016351224602</v>
      </c>
      <c r="E141" s="34">
        <f ca="1">VLOOKUP(CurrentMtgRatesDataTable825[[#This Row],[asOfDate]]+1,Bloomberg!B:C,2,0)</f>
        <v>5572.2</v>
      </c>
      <c r="G141" s="1">
        <v>41515</v>
      </c>
      <c r="H141" s="33">
        <v>0.32738957382411199</v>
      </c>
    </row>
    <row r="142" spans="2:8">
      <c r="B142" s="18">
        <v>41186</v>
      </c>
      <c r="C142" s="30">
        <v>0.95362908529618629</v>
      </c>
      <c r="D142" s="30">
        <f>VLOOKUP(CurrentMtgRatesDataTable825[[#This Row],[asOfDate]],G:H,2,0)</f>
        <v>0.89522709255279198</v>
      </c>
      <c r="E142" s="34">
        <f ca="1">VLOOKUP(CurrentMtgRatesDataTable825[[#This Row],[asOfDate]]+1,Bloomberg!B:C,2,0)</f>
        <v>5892.5</v>
      </c>
      <c r="G142" s="1">
        <v>41522</v>
      </c>
      <c r="H142" s="33">
        <v>0.29894428975906101</v>
      </c>
    </row>
    <row r="143" spans="2:8">
      <c r="B143" s="18">
        <v>41179</v>
      </c>
      <c r="C143" s="30">
        <v>0.96459917415866681</v>
      </c>
      <c r="D143" s="30">
        <f>VLOOKUP(CurrentMtgRatesDataTable825[[#This Row],[asOfDate]],G:H,2,0)</f>
        <v>0.91259028169208301</v>
      </c>
      <c r="E143" s="34">
        <f ca="1">VLOOKUP(CurrentMtgRatesDataTable825[[#This Row],[asOfDate]]+1,Bloomberg!B:C,2,0)</f>
        <v>5965.5</v>
      </c>
      <c r="G143" s="1">
        <v>41529</v>
      </c>
      <c r="H143" s="33">
        <v>0.28251411119681702</v>
      </c>
    </row>
    <row r="144" spans="2:8">
      <c r="B144" s="18">
        <v>41172</v>
      </c>
      <c r="C144" s="30">
        <v>0.95891425076544745</v>
      </c>
      <c r="D144" s="30">
        <f>VLOOKUP(CurrentMtgRatesDataTable825[[#This Row],[asOfDate]],G:H,2,0)</f>
        <v>0.87344930653794395</v>
      </c>
      <c r="E144" s="34">
        <f ca="1">VLOOKUP(CurrentMtgRatesDataTable825[[#This Row],[asOfDate]]+1,Bloomberg!B:C,2,0)</f>
        <v>4979</v>
      </c>
      <c r="G144" s="1">
        <v>41536</v>
      </c>
      <c r="H144" s="33">
        <v>0.32091811677951898</v>
      </c>
    </row>
    <row r="145" spans="2:8">
      <c r="B145" s="18">
        <v>41165</v>
      </c>
      <c r="C145" s="30">
        <v>0.94047646256577366</v>
      </c>
      <c r="D145" s="30">
        <f>VLOOKUP(CurrentMtgRatesDataTable825[[#This Row],[asOfDate]],G:H,2,0)</f>
        <v>0.85731125996939705</v>
      </c>
      <c r="E145" s="34">
        <f ca="1">VLOOKUP(CurrentMtgRatesDataTable825[[#This Row],[asOfDate]]+1,Bloomberg!B:C,2,0)</f>
        <v>4823.3</v>
      </c>
      <c r="G145" s="1">
        <v>41543</v>
      </c>
      <c r="H145" s="33">
        <v>0.41607421536967498</v>
      </c>
    </row>
    <row r="146" spans="2:8">
      <c r="B146" s="18">
        <v>41158</v>
      </c>
      <c r="C146" s="30">
        <v>0.91761037893987563</v>
      </c>
      <c r="D146" s="30">
        <f>VLOOKUP(CurrentMtgRatesDataTable825[[#This Row],[asOfDate]],G:H,2,0)</f>
        <v>0.854493626143913</v>
      </c>
      <c r="E146" s="34">
        <f ca="1">VLOOKUP(CurrentMtgRatesDataTable825[[#This Row],[asOfDate]]+1,Bloomberg!B:C,2,0)</f>
        <v>4779.1000000000004</v>
      </c>
      <c r="G146" s="1">
        <v>41550</v>
      </c>
      <c r="H146" s="33">
        <v>0.43751781158176101</v>
      </c>
    </row>
    <row r="147" spans="2:8">
      <c r="B147" s="18">
        <v>41151</v>
      </c>
      <c r="C147" s="30">
        <v>0.92408794393225557</v>
      </c>
      <c r="D147" s="30">
        <f>VLOOKUP(CurrentMtgRatesDataTable825[[#This Row],[asOfDate]],G:H,2,0)</f>
        <v>0.86745968477328095</v>
      </c>
      <c r="E147" s="34">
        <f ca="1">VLOOKUP(CurrentMtgRatesDataTable825[[#This Row],[asOfDate]]+1,Bloomberg!B:C,2,0)</f>
        <v>4274.8</v>
      </c>
      <c r="G147" s="1">
        <v>41557</v>
      </c>
      <c r="H147" s="33">
        <v>0.43701315967767701</v>
      </c>
    </row>
    <row r="148" spans="2:8">
      <c r="B148" s="18">
        <v>41144</v>
      </c>
      <c r="C148" s="30">
        <v>0.85694996797233836</v>
      </c>
      <c r="D148" s="30">
        <f>VLOOKUP(CurrentMtgRatesDataTable825[[#This Row],[asOfDate]],G:H,2,0)</f>
        <v>0.83819941388679298</v>
      </c>
      <c r="E148" s="34">
        <f ca="1">VLOOKUP(CurrentMtgRatesDataTable825[[#This Row],[asOfDate]]+1,Bloomberg!B:C,2,0)</f>
        <v>4414.6000000000004</v>
      </c>
      <c r="G148" s="1">
        <v>41564</v>
      </c>
      <c r="H148" s="33">
        <v>0.40902347477168999</v>
      </c>
    </row>
    <row r="149" spans="2:8">
      <c r="B149" s="18">
        <v>41137</v>
      </c>
      <c r="C149" s="30">
        <v>0.88445471641937157</v>
      </c>
      <c r="D149" s="30">
        <f>VLOOKUP(CurrentMtgRatesDataTable825[[#This Row],[asOfDate]],G:H,2,0)</f>
        <v>0.85198632502448901</v>
      </c>
      <c r="E149" s="34">
        <f ca="1">VLOOKUP(CurrentMtgRatesDataTable825[[#This Row],[asOfDate]]+1,Bloomberg!B:C,2,0)</f>
        <v>4671.1000000000004</v>
      </c>
      <c r="G149" s="1">
        <v>41571</v>
      </c>
      <c r="H149" s="33">
        <v>0.45648777309490202</v>
      </c>
    </row>
    <row r="150" spans="2:8">
      <c r="B150" s="18">
        <v>41130</v>
      </c>
      <c r="C150" s="30">
        <v>0.92408794393225557</v>
      </c>
      <c r="D150" s="30">
        <f>VLOOKUP(CurrentMtgRatesDataTable825[[#This Row],[asOfDate]],G:H,2,0)</f>
        <v>0.86745968477328095</v>
      </c>
      <c r="E150" s="34">
        <f ca="1">VLOOKUP(CurrentMtgRatesDataTable825[[#This Row],[asOfDate]]+1,Bloomberg!B:C,2,0)</f>
        <v>5172.2</v>
      </c>
      <c r="G150" s="1">
        <v>41578</v>
      </c>
      <c r="H150" s="33">
        <v>0.47501022290439499</v>
      </c>
    </row>
    <row r="151" spans="2:8">
      <c r="B151" s="18">
        <v>41123</v>
      </c>
      <c r="C151" s="30">
        <v>0.9385222539497815</v>
      </c>
      <c r="D151" s="30">
        <f>VLOOKUP(CurrentMtgRatesDataTable825[[#This Row],[asOfDate]],G:H,2,0)</f>
        <v>0.86768818253450297</v>
      </c>
      <c r="E151" s="34">
        <f ca="1">VLOOKUP(CurrentMtgRatesDataTable825[[#This Row],[asOfDate]]+1,Bloomberg!B:C,2,0)</f>
        <v>5444.3</v>
      </c>
      <c r="G151" s="1">
        <v>41585</v>
      </c>
      <c r="H151" s="33">
        <v>0.44788779304034998</v>
      </c>
    </row>
    <row r="152" spans="2:8">
      <c r="B152" s="18">
        <v>41116</v>
      </c>
      <c r="C152" s="30">
        <v>0.98451993370244106</v>
      </c>
      <c r="D152" s="30">
        <f>VLOOKUP(CurrentMtgRatesDataTable825[[#This Row],[asOfDate]],G:H,2,0)</f>
        <v>0.89814744996460805</v>
      </c>
      <c r="E152" s="34">
        <f ca="1">VLOOKUP(CurrentMtgRatesDataTable825[[#This Row],[asOfDate]]+1,Bloomberg!B:C,2,0)</f>
        <v>5492.1</v>
      </c>
      <c r="G152" s="1">
        <v>41592</v>
      </c>
      <c r="H152" s="33">
        <v>0.37120289750535601</v>
      </c>
    </row>
    <row r="153" spans="2:8">
      <c r="B153" s="18">
        <v>41109</v>
      </c>
      <c r="C153" s="30">
        <v>0.97186924857158052</v>
      </c>
      <c r="D153" s="30">
        <f>VLOOKUP(CurrentMtgRatesDataTable825[[#This Row],[asOfDate]],G:H,2,0)</f>
        <v>0.88516739973977598</v>
      </c>
      <c r="E153" s="34">
        <f ca="1">VLOOKUP(CurrentMtgRatesDataTable825[[#This Row],[asOfDate]]+1,Bloomberg!B:C,2,0)</f>
        <v>5383.1</v>
      </c>
      <c r="G153" s="1">
        <v>41599</v>
      </c>
      <c r="H153" s="33">
        <v>0.42989701258795199</v>
      </c>
    </row>
    <row r="154" spans="2:8">
      <c r="B154" s="18">
        <v>41102</v>
      </c>
      <c r="C154" s="30">
        <v>0.94551237246929465</v>
      </c>
      <c r="D154" s="30">
        <f>VLOOKUP(CurrentMtgRatesDataTable825[[#This Row],[asOfDate]],G:H,2,0)</f>
        <v>0.88265848165302496</v>
      </c>
      <c r="E154" s="34">
        <f ca="1">VLOOKUP(CurrentMtgRatesDataTable825[[#This Row],[asOfDate]]+1,Bloomberg!B:C,2,0)</f>
        <v>5246.8</v>
      </c>
      <c r="G154" s="1">
        <v>41605</v>
      </c>
      <c r="H154" s="33">
        <v>0.401262959025458</v>
      </c>
    </row>
    <row r="155" spans="2:8">
      <c r="B155" s="18">
        <v>41095</v>
      </c>
      <c r="C155" s="30">
        <v>0.8819114104860859</v>
      </c>
      <c r="D155" s="30">
        <f>VLOOKUP(CurrentMtgRatesDataTable825[[#This Row],[asOfDate]],G:H,2,0)</f>
        <v>0.85531584833132801</v>
      </c>
      <c r="E155" s="34">
        <f ca="1">VLOOKUP(CurrentMtgRatesDataTable825[[#This Row],[asOfDate]]+1,Bloomberg!B:C,2,0)</f>
        <v>4267.8999999999996</v>
      </c>
      <c r="G155" s="1">
        <v>41613</v>
      </c>
      <c r="H155" s="33">
        <v>0.331227934580689</v>
      </c>
    </row>
    <row r="156" spans="2:8">
      <c r="B156" s="18">
        <v>41088</v>
      </c>
      <c r="C156" s="30">
        <v>0.89407594990163874</v>
      </c>
      <c r="D156" s="30">
        <f>VLOOKUP(CurrentMtgRatesDataTable825[[#This Row],[asOfDate]],G:H,2,0)</f>
        <v>0.86306170802286497</v>
      </c>
      <c r="E156" s="34">
        <f ca="1">VLOOKUP(CurrentMtgRatesDataTable825[[#This Row],[asOfDate]]+1,Bloomberg!B:C,2,0)</f>
        <v>4372.2</v>
      </c>
      <c r="G156" s="1">
        <v>41620</v>
      </c>
      <c r="H156" s="33">
        <v>0.33082970500556302</v>
      </c>
    </row>
    <row r="157" spans="2:8">
      <c r="B157" s="18">
        <v>41081</v>
      </c>
      <c r="C157" s="30">
        <v>0.89407594990163874</v>
      </c>
      <c r="D157" s="30">
        <f>VLOOKUP(CurrentMtgRatesDataTable825[[#This Row],[asOfDate]],G:H,2,0)</f>
        <v>0.86306170802286497</v>
      </c>
      <c r="E157" s="34">
        <f ca="1">VLOOKUP(CurrentMtgRatesDataTable825[[#This Row],[asOfDate]]+1,Bloomberg!B:C,2,0)</f>
        <v>4585.8</v>
      </c>
      <c r="G157" s="1">
        <v>41627</v>
      </c>
      <c r="H157" s="33">
        <v>0.29198850689481598</v>
      </c>
    </row>
    <row r="158" spans="2:8">
      <c r="B158" s="18">
        <v>41074</v>
      </c>
      <c r="C158" s="30">
        <v>0.88667449797815956</v>
      </c>
      <c r="D158" s="30">
        <f>VLOOKUP(CurrentMtgRatesDataTable825[[#This Row],[asOfDate]],G:H,2,0)</f>
        <v>0.84549296973434196</v>
      </c>
      <c r="E158" s="34">
        <f ca="1">VLOOKUP(CurrentMtgRatesDataTable825[[#This Row],[asOfDate]]+1,Bloomberg!B:C,2,0)</f>
        <v>4719.6000000000004</v>
      </c>
      <c r="G158" s="1">
        <v>41634</v>
      </c>
      <c r="H158" s="33">
        <v>0.29162362501885603</v>
      </c>
    </row>
    <row r="159" spans="2:8">
      <c r="B159" s="18">
        <v>41067</v>
      </c>
      <c r="C159" s="30">
        <v>0.8920195449585564</v>
      </c>
      <c r="D159" s="30">
        <f>VLOOKUP(CurrentMtgRatesDataTable825[[#This Row],[asOfDate]],G:H,2,0)</f>
        <v>0.86243439572202496</v>
      </c>
      <c r="E159" s="34">
        <f ca="1">VLOOKUP(CurrentMtgRatesDataTable825[[#This Row],[asOfDate]]+1,Bloomberg!B:C,2,0)</f>
        <v>5590</v>
      </c>
      <c r="G159" s="1">
        <v>41641</v>
      </c>
      <c r="H159" s="33">
        <v>0.265306805945277</v>
      </c>
    </row>
    <row r="160" spans="2:8">
      <c r="B160" s="18">
        <v>41060</v>
      </c>
      <c r="C160" s="30">
        <v>0.89512122084695944</v>
      </c>
      <c r="D160" s="30">
        <f>VLOOKUP(CurrentMtgRatesDataTable825[[#This Row],[asOfDate]],G:H,2,0)</f>
        <v>0.83268888035603505</v>
      </c>
      <c r="E160" s="34">
        <f ca="1">VLOOKUP(CurrentMtgRatesDataTable825[[#This Row],[asOfDate]]+1,Bloomberg!B:C,2,0)</f>
        <v>4736</v>
      </c>
      <c r="G160" s="1">
        <v>41648</v>
      </c>
      <c r="H160" s="33">
        <v>0.29015447722721099</v>
      </c>
    </row>
    <row r="161" spans="2:8">
      <c r="B161" s="18">
        <v>41053</v>
      </c>
      <c r="C161" s="30">
        <v>0.89443957907281746</v>
      </c>
      <c r="D161" s="30">
        <f>VLOOKUP(CurrentMtgRatesDataTable825[[#This Row],[asOfDate]],G:H,2,0)</f>
        <v>0.82948257912141399</v>
      </c>
      <c r="E161" s="34">
        <f ca="1">VLOOKUP(CurrentMtgRatesDataTable825[[#This Row],[asOfDate]]+1,Bloomberg!B:C,2,0)</f>
        <v>4675.8999999999996</v>
      </c>
      <c r="G161" s="1">
        <v>41655</v>
      </c>
      <c r="H161" s="33">
        <v>0.32467403778332998</v>
      </c>
    </row>
    <row r="162" spans="2:8">
      <c r="B162" s="18">
        <v>41046</v>
      </c>
      <c r="C162" s="30">
        <v>0.8948997967143093</v>
      </c>
      <c r="D162" s="30">
        <f>VLOOKUP(CurrentMtgRatesDataTable825[[#This Row],[asOfDate]],G:H,2,0)</f>
        <v>0.83152220645888697</v>
      </c>
      <c r="E162" s="34">
        <f ca="1">VLOOKUP(CurrentMtgRatesDataTable825[[#This Row],[asOfDate]]+1,Bloomberg!B:C,2,0)</f>
        <v>4732</v>
      </c>
      <c r="G162" s="1">
        <v>41662</v>
      </c>
      <c r="H162" s="33">
        <v>0.32547727058860199</v>
      </c>
    </row>
    <row r="163" spans="2:8">
      <c r="B163" s="18">
        <v>41039</v>
      </c>
      <c r="C163" s="30">
        <v>0.89337268606647302</v>
      </c>
      <c r="D163" s="30">
        <f>VLOOKUP(CurrentMtgRatesDataTable825[[#This Row],[asOfDate]],G:H,2,0)</f>
        <v>0.807152941952609</v>
      </c>
      <c r="E163" s="34">
        <f ca="1">VLOOKUP(CurrentMtgRatesDataTable825[[#This Row],[asOfDate]]+1,Bloomberg!B:C,2,0)</f>
        <v>4482</v>
      </c>
      <c r="G163" s="1">
        <v>41669</v>
      </c>
      <c r="H163" s="33">
        <v>0.38449844249950499</v>
      </c>
    </row>
    <row r="164" spans="2:8">
      <c r="B164" s="18">
        <v>41032</v>
      </c>
      <c r="C164" s="30">
        <v>0.89225108632442729</v>
      </c>
      <c r="D164" s="30">
        <f>VLOOKUP(CurrentMtgRatesDataTable825[[#This Row],[asOfDate]],G:H,2,0)</f>
        <v>0.80437080516661097</v>
      </c>
      <c r="E164" s="34">
        <f ca="1">VLOOKUP(CurrentMtgRatesDataTable825[[#This Row],[asOfDate]]+1,Bloomberg!B:C,2,0)</f>
        <v>3924.4</v>
      </c>
      <c r="G164" s="1">
        <v>41676</v>
      </c>
      <c r="H164" s="33">
        <v>0.407383000493176</v>
      </c>
    </row>
    <row r="165" spans="2:8">
      <c r="B165" s="18">
        <v>41025</v>
      </c>
      <c r="C165" s="30">
        <v>0.90849340717481886</v>
      </c>
      <c r="D165" s="30">
        <f>VLOOKUP(CurrentMtgRatesDataTable825[[#This Row],[asOfDate]],G:H,2,0)</f>
        <v>0.80193881910043296</v>
      </c>
      <c r="E165" s="34">
        <f ca="1">VLOOKUP(CurrentMtgRatesDataTable825[[#This Row],[asOfDate]]+1,Bloomberg!B:C,2,0)</f>
        <v>3856</v>
      </c>
      <c r="G165" s="1">
        <v>41683</v>
      </c>
      <c r="H165" s="33">
        <v>0.380280894786581</v>
      </c>
    </row>
    <row r="166" spans="2:8">
      <c r="B166" s="18">
        <v>41018</v>
      </c>
      <c r="C166" s="30">
        <v>0.9034983903169389</v>
      </c>
      <c r="D166" s="30">
        <f>VLOOKUP(CurrentMtgRatesDataTable825[[#This Row],[asOfDate]],G:H,2,0)</f>
        <v>0.77781138796328697</v>
      </c>
      <c r="E166" s="34">
        <f ca="1">VLOOKUP(CurrentMtgRatesDataTable825[[#This Row],[asOfDate]]+1,Bloomberg!B:C,2,0)</f>
        <v>3892.2</v>
      </c>
      <c r="G166" s="1">
        <v>41690</v>
      </c>
      <c r="H166" s="33">
        <v>0.35043602810261099</v>
      </c>
    </row>
    <row r="167" spans="2:8">
      <c r="B167" s="18">
        <v>41011</v>
      </c>
      <c r="C167" s="30">
        <v>0.90849340717481886</v>
      </c>
      <c r="D167" s="30">
        <f>VLOOKUP(CurrentMtgRatesDataTable825[[#This Row],[asOfDate]],G:H,2,0)</f>
        <v>0.80193881910043296</v>
      </c>
      <c r="E167" s="34">
        <f ca="1">VLOOKUP(CurrentMtgRatesDataTable825[[#This Row],[asOfDate]]+1,Bloomberg!B:C,2,0)</f>
        <v>4144.3</v>
      </c>
      <c r="G167" s="1">
        <v>41697</v>
      </c>
      <c r="H167" s="33">
        <v>0.34853875137296803</v>
      </c>
    </row>
    <row r="168" spans="2:8">
      <c r="B168" s="18">
        <v>41004</v>
      </c>
      <c r="C168" s="30">
        <v>0.86928745494692716</v>
      </c>
      <c r="D168" s="30">
        <f>VLOOKUP(CurrentMtgRatesDataTable825[[#This Row],[asOfDate]],G:H,2,0)</f>
        <v>0.75253147533014197</v>
      </c>
      <c r="E168" s="34">
        <f ca="1">VLOOKUP(CurrentMtgRatesDataTable825[[#This Row],[asOfDate]]+1,Bloomberg!B:C,2,0)</f>
        <v>3549.3</v>
      </c>
      <c r="G168" s="1">
        <v>41704</v>
      </c>
      <c r="H168" s="33">
        <v>0.37584545219724702</v>
      </c>
    </row>
    <row r="169" spans="2:8">
      <c r="B169" s="18">
        <v>40997</v>
      </c>
      <c r="C169" s="30">
        <v>0.87490910290764468</v>
      </c>
      <c r="D169" s="30">
        <f>VLOOKUP(CurrentMtgRatesDataTable825[[#This Row],[asOfDate]],G:H,2,0)</f>
        <v>0.749723434167341</v>
      </c>
      <c r="E169" s="34">
        <f ca="1">VLOOKUP(CurrentMtgRatesDataTable825[[#This Row],[asOfDate]]+1,Bloomberg!B:C,2,0)</f>
        <v>3699.5</v>
      </c>
      <c r="G169" s="1">
        <v>41711</v>
      </c>
      <c r="H169" s="33">
        <v>0.34537825411835699</v>
      </c>
    </row>
    <row r="170" spans="2:8">
      <c r="B170" s="18">
        <v>40990</v>
      </c>
      <c r="C170" s="30">
        <v>0.78959380464288376</v>
      </c>
      <c r="D170" s="30">
        <f>VLOOKUP(CurrentMtgRatesDataTable825[[#This Row],[asOfDate]],G:H,2,0)</f>
        <v>0.69937061468571404</v>
      </c>
      <c r="E170" s="34">
        <f ca="1">VLOOKUP(CurrentMtgRatesDataTable825[[#This Row],[asOfDate]]+1,Bloomberg!B:C,2,0)</f>
        <v>3588.4</v>
      </c>
      <c r="G170" s="1">
        <v>41718</v>
      </c>
      <c r="H170" s="33">
        <v>0.37475184713589199</v>
      </c>
    </row>
    <row r="171" spans="2:8">
      <c r="B171" s="18">
        <v>40983</v>
      </c>
      <c r="C171" s="30">
        <v>0.90514599034862198</v>
      </c>
      <c r="D171" s="30">
        <f>VLOOKUP(CurrentMtgRatesDataTable825[[#This Row],[asOfDate]],G:H,2,0)</f>
        <v>0.77421402081353796</v>
      </c>
      <c r="E171" s="34">
        <f ca="1">VLOOKUP(CurrentMtgRatesDataTable825[[#This Row],[asOfDate]]+1,Bloomberg!B:C,2,0)</f>
        <v>3715.2</v>
      </c>
      <c r="G171" s="1">
        <v>41725</v>
      </c>
      <c r="H171" s="33">
        <v>0.34373332978073601</v>
      </c>
    </row>
    <row r="172" spans="2:8">
      <c r="B172" s="18">
        <v>40976</v>
      </c>
      <c r="C172" s="30">
        <v>0.91902765125865959</v>
      </c>
      <c r="D172" s="30">
        <f>VLOOKUP(CurrentMtgRatesDataTable825[[#This Row],[asOfDate]],G:H,2,0)</f>
        <v>0.78283886771012201</v>
      </c>
      <c r="E172" s="34">
        <f ca="1">VLOOKUP(CurrentMtgRatesDataTable825[[#This Row],[asOfDate]]+1,Bloomberg!B:C,2,0)</f>
        <v>4063.4</v>
      </c>
      <c r="G172" s="1">
        <v>41732</v>
      </c>
      <c r="H172" s="33">
        <v>0.31383635422742501</v>
      </c>
    </row>
    <row r="173" spans="2:8">
      <c r="B173" s="18">
        <v>40969</v>
      </c>
      <c r="C173" s="30">
        <v>0.91584710240533518</v>
      </c>
      <c r="D173" s="30">
        <f>VLOOKUP(CurrentMtgRatesDataTable825[[#This Row],[asOfDate]],G:H,2,0)</f>
        <v>0.77480777056815697</v>
      </c>
      <c r="E173" s="34">
        <f ca="1">VLOOKUP(CurrentMtgRatesDataTable825[[#This Row],[asOfDate]]+1,Bloomberg!B:C,2,0)</f>
        <v>4277.6000000000004</v>
      </c>
      <c r="G173" s="1">
        <v>41739</v>
      </c>
      <c r="H173" s="33">
        <v>0.34451093908200903</v>
      </c>
    </row>
    <row r="174" spans="2:8">
      <c r="B174" s="18">
        <v>40962</v>
      </c>
      <c r="C174" s="30">
        <v>0.90921329115869776</v>
      </c>
      <c r="D174" s="30">
        <f>VLOOKUP(CurrentMtgRatesDataTable825[[#This Row],[asOfDate]],G:H,2,0)</f>
        <v>0.76669716579457303</v>
      </c>
      <c r="E174" s="34">
        <f ca="1">VLOOKUP(CurrentMtgRatesDataTable825[[#This Row],[asOfDate]]+1,Bloomberg!B:C,2,0)</f>
        <v>4379.1000000000004</v>
      </c>
      <c r="G174" s="1">
        <v>41746</v>
      </c>
      <c r="H174" s="33">
        <v>0.37550642358643799</v>
      </c>
    </row>
    <row r="175" spans="2:8">
      <c r="B175" s="18">
        <v>40955</v>
      </c>
      <c r="C175" s="30">
        <v>0.94107838104995334</v>
      </c>
      <c r="D175" s="30">
        <f>VLOOKUP(CurrentMtgRatesDataTable825[[#This Row],[asOfDate]],G:H,2,0)</f>
        <v>0.79842547980239797</v>
      </c>
      <c r="E175" s="34">
        <f ca="1">VLOOKUP(CurrentMtgRatesDataTable825[[#This Row],[asOfDate]]+1,Bloomberg!B:C,2,0)</f>
        <v>4466.8999999999996</v>
      </c>
      <c r="G175" s="1">
        <v>41753</v>
      </c>
      <c r="H175" s="33">
        <v>0.37394334466633</v>
      </c>
    </row>
    <row r="176" spans="2:8">
      <c r="B176" s="18">
        <v>40948</v>
      </c>
      <c r="C176" s="30">
        <v>0.94107838104995334</v>
      </c>
      <c r="D176" s="30">
        <f>VLOOKUP(CurrentMtgRatesDataTable825[[#This Row],[asOfDate]],G:H,2,0)</f>
        <v>0.79842547980239797</v>
      </c>
      <c r="E176" s="34">
        <f ca="1">VLOOKUP(CurrentMtgRatesDataTable825[[#This Row],[asOfDate]]+1,Bloomberg!B:C,2,0)</f>
        <v>4716.1000000000004</v>
      </c>
      <c r="G176" s="1">
        <v>41760</v>
      </c>
      <c r="H176" s="33">
        <v>0.37348002875422498</v>
      </c>
    </row>
    <row r="177" spans="2:8">
      <c r="B177" s="18">
        <v>40941</v>
      </c>
      <c r="C177" s="30">
        <v>0.94107838104995334</v>
      </c>
      <c r="D177" s="30">
        <f>VLOOKUP(CurrentMtgRatesDataTable825[[#This Row],[asOfDate]],G:H,2,0)</f>
        <v>0.79842547980239797</v>
      </c>
      <c r="E177" s="34">
        <f ca="1">VLOOKUP(CurrentMtgRatesDataTable825[[#This Row],[asOfDate]]+1,Bloomberg!B:C,2,0)</f>
        <v>4617.1000000000004</v>
      </c>
      <c r="G177" s="1">
        <v>41767</v>
      </c>
      <c r="H177" s="33">
        <v>0.42315654967107302</v>
      </c>
    </row>
    <row r="178" spans="2:8">
      <c r="B178" s="18">
        <v>40934</v>
      </c>
      <c r="C178" s="30">
        <v>0.91861521434498927</v>
      </c>
      <c r="D178" s="30">
        <f>VLOOKUP(CurrentMtgRatesDataTable825[[#This Row],[asOfDate]],G:H,2,0)</f>
        <v>0.78339393568549298</v>
      </c>
      <c r="E178" s="34">
        <f ca="1">VLOOKUP(CurrentMtgRatesDataTable825[[#This Row],[asOfDate]]+1,Bloomberg!B:C,2,0)</f>
        <v>4184.3</v>
      </c>
      <c r="G178" s="1">
        <v>41774</v>
      </c>
      <c r="H178" s="33">
        <v>0.42349289634896597</v>
      </c>
    </row>
    <row r="179" spans="2:8">
      <c r="B179" s="18">
        <v>40927</v>
      </c>
      <c r="C179" s="30">
        <v>0.95182771809710431</v>
      </c>
      <c r="D179" s="30">
        <f>VLOOKUP(CurrentMtgRatesDataTable825[[#This Row],[asOfDate]],G:H,2,0)</f>
        <v>0.81461584859780101</v>
      </c>
      <c r="E179" s="34">
        <f ca="1">VLOOKUP(CurrentMtgRatesDataTable825[[#This Row],[asOfDate]]+1,Bloomberg!B:C,2,0)</f>
        <v>4326.3999999999996</v>
      </c>
      <c r="G179" s="1">
        <v>41781</v>
      </c>
      <c r="H179" s="33">
        <v>0.44562837110466802</v>
      </c>
    </row>
    <row r="180" spans="2:8">
      <c r="B180" s="18">
        <v>40920</v>
      </c>
      <c r="C180" s="30">
        <v>0.95320351892281485</v>
      </c>
      <c r="D180" s="30">
        <f>VLOOKUP(CurrentMtgRatesDataTable825[[#This Row],[asOfDate]],G:H,2,0)</f>
        <v>0.81626218699844599</v>
      </c>
      <c r="E180" s="34">
        <f ca="1">VLOOKUP(CurrentMtgRatesDataTable825[[#This Row],[asOfDate]]+1,Bloomberg!B:C,2,0)</f>
        <v>4626.5</v>
      </c>
      <c r="G180" s="1">
        <v>41788</v>
      </c>
      <c r="H180" s="33">
        <v>0.44740081291084099</v>
      </c>
    </row>
    <row r="181" spans="2:8">
      <c r="B181" s="18">
        <v>40913</v>
      </c>
      <c r="C181" s="30">
        <v>0.94481773750585774</v>
      </c>
      <c r="D181" s="30">
        <f>VLOOKUP(CurrentMtgRatesDataTable825[[#This Row],[asOfDate]],G:H,2,0)</f>
        <v>0.80629912189469399</v>
      </c>
      <c r="E181" s="34">
        <f ca="1">VLOOKUP(CurrentMtgRatesDataTable825[[#This Row],[asOfDate]]+1,Bloomberg!B:C,2,0)</f>
        <v>3668.3</v>
      </c>
      <c r="G181" s="1">
        <v>41795</v>
      </c>
      <c r="H181" s="33">
        <v>0.447997908024105</v>
      </c>
    </row>
    <row r="182" spans="2:8">
      <c r="B182" s="18">
        <v>40906</v>
      </c>
      <c r="C182" s="30">
        <v>0.94762260030460288</v>
      </c>
      <c r="D182" s="30">
        <f>VLOOKUP(CurrentMtgRatesDataTable825[[#This Row],[asOfDate]],G:H,2,0)</f>
        <v>0.81734633197465201</v>
      </c>
      <c r="E182" s="34">
        <f ca="1">VLOOKUP(CurrentMtgRatesDataTable825[[#This Row],[asOfDate]]+1,Bloomberg!B:C,2,0)</f>
        <v>3608.1</v>
      </c>
      <c r="G182" s="1">
        <v>41802</v>
      </c>
      <c r="H182" s="33">
        <v>0.42258598579352902</v>
      </c>
    </row>
    <row r="183" spans="2:8">
      <c r="B183" s="18">
        <v>40899</v>
      </c>
      <c r="C183" s="30">
        <v>0.9601958662364245</v>
      </c>
      <c r="D183" s="30">
        <f>VLOOKUP(CurrentMtgRatesDataTable825[[#This Row],[asOfDate]],G:H,2,0)</f>
        <v>0.82537040355923197</v>
      </c>
      <c r="E183" s="34">
        <f ca="1">VLOOKUP(CurrentMtgRatesDataTable825[[#This Row],[asOfDate]]+1,Bloomberg!B:C,2,0)</f>
        <v>3684.5</v>
      </c>
      <c r="G183" s="1">
        <v>41809</v>
      </c>
      <c r="H183" s="33">
        <v>0.42434402519227898</v>
      </c>
    </row>
    <row r="184" spans="2:8">
      <c r="B184" s="18">
        <v>40892</v>
      </c>
      <c r="C184" s="30">
        <v>0.93969161247928745</v>
      </c>
      <c r="D184" s="30">
        <f>VLOOKUP(CurrentMtgRatesDataTable825[[#This Row],[asOfDate]],G:H,2,0)</f>
        <v>0.79646175435893696</v>
      </c>
      <c r="E184" s="34">
        <f ca="1">VLOOKUP(CurrentMtgRatesDataTable825[[#This Row],[asOfDate]]+1,Bloomberg!B:C,2,0)</f>
        <v>3676.1</v>
      </c>
      <c r="G184" s="1">
        <v>41816</v>
      </c>
      <c r="H184" s="33">
        <v>0.447997908024105</v>
      </c>
    </row>
    <row r="185" spans="2:8">
      <c r="B185" s="18">
        <v>40885</v>
      </c>
      <c r="C185" s="30">
        <v>0.9248746068169833</v>
      </c>
      <c r="D185" s="30">
        <f>VLOOKUP(CurrentMtgRatesDataTable825[[#This Row],[asOfDate]],G:H,2,0)</f>
        <v>0.79445840936885304</v>
      </c>
      <c r="E185" s="34">
        <f ca="1">VLOOKUP(CurrentMtgRatesDataTable825[[#This Row],[asOfDate]]+1,Bloomberg!B:C,2,0)</f>
        <v>3708.6</v>
      </c>
      <c r="G185" s="1">
        <v>41823</v>
      </c>
      <c r="H185" s="33">
        <v>0.47241973099249801</v>
      </c>
    </row>
    <row r="186" spans="2:8">
      <c r="B186" s="18">
        <v>40878</v>
      </c>
      <c r="C186" s="30">
        <v>0.91542628506626045</v>
      </c>
      <c r="D186" s="30">
        <f>VLOOKUP(CurrentMtgRatesDataTable825[[#This Row],[asOfDate]],G:H,2,0)</f>
        <v>0.79441104681633201</v>
      </c>
      <c r="E186" s="34">
        <f ca="1">VLOOKUP(CurrentMtgRatesDataTable825[[#This Row],[asOfDate]]+1,Bloomberg!B:C,2,0)</f>
        <v>3394.7</v>
      </c>
      <c r="G186" s="1">
        <v>41830</v>
      </c>
      <c r="H186" s="33">
        <v>0.41926854513922601</v>
      </c>
    </row>
    <row r="187" spans="2:8">
      <c r="B187" s="18">
        <v>40870</v>
      </c>
      <c r="C187" s="30">
        <v>0.94997170807452469</v>
      </c>
      <c r="D187" s="30">
        <f>VLOOKUP(CurrentMtgRatesDataTable825[[#This Row],[asOfDate]],G:H,2,0)</f>
        <v>0.80850149462655696</v>
      </c>
      <c r="E187" s="34" t="e">
        <f ca="1">VLOOKUP(CurrentMtgRatesDataTable825[[#This Row],[asOfDate]]+1,Bloomberg!B:C,2,0)</f>
        <v>#N/A</v>
      </c>
      <c r="G187" s="1">
        <v>41837</v>
      </c>
      <c r="H187" s="33">
        <v>0.44241787954298001</v>
      </c>
    </row>
    <row r="188" spans="2:8">
      <c r="B188" s="18">
        <v>40864</v>
      </c>
      <c r="C188" s="30">
        <v>0.93485323798856346</v>
      </c>
      <c r="D188" s="30">
        <f>VLOOKUP(CurrentMtgRatesDataTable825[[#This Row],[asOfDate]],G:H,2,0)</f>
        <v>0.80719780316763601</v>
      </c>
      <c r="E188" s="34">
        <f ca="1">VLOOKUP(CurrentMtgRatesDataTable825[[#This Row],[asOfDate]]+1,Bloomberg!B:C,2,0)</f>
        <v>3466.8</v>
      </c>
      <c r="G188" s="1">
        <v>41844</v>
      </c>
      <c r="H188" s="33">
        <v>0.44241787954298001</v>
      </c>
    </row>
    <row r="189" spans="2:8">
      <c r="B189" s="18">
        <v>40857</v>
      </c>
      <c r="C189" s="30">
        <v>0.94404770550683115</v>
      </c>
      <c r="D189" s="30">
        <f>VLOOKUP(CurrentMtgRatesDataTable825[[#This Row],[asOfDate]],G:H,2,0)</f>
        <v>0.80724570771905702</v>
      </c>
      <c r="E189" s="34">
        <f ca="1">VLOOKUP(CurrentMtgRatesDataTable825[[#This Row],[asOfDate]]+1,Bloomberg!B:C,2,0)</f>
        <v>3664.5</v>
      </c>
      <c r="G189" s="1">
        <v>41851</v>
      </c>
      <c r="H189" s="33">
        <v>0.44366576481104603</v>
      </c>
    </row>
    <row r="190" spans="2:8">
      <c r="B190" s="18">
        <v>40850</v>
      </c>
      <c r="C190" s="30">
        <v>0.93485323798856346</v>
      </c>
      <c r="D190" s="30">
        <f>VLOOKUP(CurrentMtgRatesDataTable825[[#This Row],[asOfDate]],G:H,2,0)</f>
        <v>0.80719780316763601</v>
      </c>
      <c r="E190" s="34">
        <f ca="1">VLOOKUP(CurrentMtgRatesDataTable825[[#This Row],[asOfDate]]+1,Bloomberg!B:C,2,0)</f>
        <v>4137.6000000000004</v>
      </c>
      <c r="G190" s="1">
        <v>41858</v>
      </c>
      <c r="H190" s="33">
        <v>0.41284557270170602</v>
      </c>
    </row>
    <row r="191" spans="2:8">
      <c r="B191" s="18">
        <v>40843</v>
      </c>
      <c r="C191" s="30">
        <v>0.86512672485653175</v>
      </c>
      <c r="D191" s="30">
        <f>VLOOKUP(CurrentMtgRatesDataTable825[[#This Row],[asOfDate]],G:H,2,0)</f>
        <v>0.77033919514702098</v>
      </c>
      <c r="E191" s="34">
        <f ca="1">VLOOKUP(CurrentMtgRatesDataTable825[[#This Row],[asOfDate]]+1,Bloomberg!B:C,2,0)</f>
        <v>3695</v>
      </c>
      <c r="G191" s="1">
        <v>41865</v>
      </c>
      <c r="H191" s="33">
        <v>0.437009219217877</v>
      </c>
    </row>
    <row r="192" spans="2:8">
      <c r="B192" s="18">
        <v>40836</v>
      </c>
      <c r="C192" s="30">
        <v>0.85635864773186432</v>
      </c>
      <c r="D192" s="30">
        <f>VLOOKUP(CurrentMtgRatesDataTable825[[#This Row],[asOfDate]],G:H,2,0)</f>
        <v>0.76889855223368597</v>
      </c>
      <c r="E192" s="34">
        <f ca="1">VLOOKUP(CurrentMtgRatesDataTable825[[#This Row],[asOfDate]]+1,Bloomberg!B:C,2,0)</f>
        <v>3719.3</v>
      </c>
      <c r="G192" s="1">
        <v>41872</v>
      </c>
      <c r="H192" s="33">
        <v>0.46725416935729103</v>
      </c>
    </row>
    <row r="193" spans="2:8">
      <c r="B193" s="18">
        <v>40829</v>
      </c>
      <c r="C193" s="30">
        <v>0.84917694017596268</v>
      </c>
      <c r="D193" s="30">
        <f>VLOOKUP(CurrentMtgRatesDataTable825[[#This Row],[asOfDate]],G:H,2,0)</f>
        <v>0.75043074974252599</v>
      </c>
      <c r="E193" s="34">
        <f ca="1">VLOOKUP(CurrentMtgRatesDataTable825[[#This Row],[asOfDate]]+1,Bloomberg!B:C,2,0)</f>
        <v>3553.2</v>
      </c>
      <c r="G193" s="1">
        <v>41879</v>
      </c>
      <c r="H193" s="33">
        <v>0.46725416935729103</v>
      </c>
    </row>
    <row r="194" spans="2:8">
      <c r="B194" s="18">
        <v>40822</v>
      </c>
      <c r="C194" s="30">
        <v>0.96725200604215567</v>
      </c>
      <c r="D194" s="30">
        <f>VLOOKUP(CurrentMtgRatesDataTable825[[#This Row],[asOfDate]],G:H,2,0)</f>
        <v>0.82324225699227804</v>
      </c>
      <c r="E194" s="34">
        <f ca="1">VLOOKUP(CurrentMtgRatesDataTable825[[#This Row],[asOfDate]]+1,Bloomberg!B:C,2,0)</f>
        <v>4251.1000000000004</v>
      </c>
      <c r="G194" s="1">
        <v>41886</v>
      </c>
      <c r="H194" s="33">
        <v>0.46145357757128402</v>
      </c>
    </row>
    <row r="195" spans="2:8">
      <c r="B195" s="18">
        <v>40815</v>
      </c>
      <c r="C195" s="30">
        <v>0.94644262124543443</v>
      </c>
      <c r="D195" s="30">
        <f>VLOOKUP(CurrentMtgRatesDataTable825[[#This Row],[asOfDate]],G:H,2,0)</f>
        <v>0.83535228019697605</v>
      </c>
      <c r="E195" s="34">
        <f ca="1">VLOOKUP(CurrentMtgRatesDataTable825[[#This Row],[asOfDate]]+1,Bloomberg!B:C,2,0)</f>
        <v>4241.8</v>
      </c>
      <c r="G195" s="1">
        <v>41893</v>
      </c>
      <c r="H195" s="33">
        <v>0.45995272695767497</v>
      </c>
    </row>
    <row r="196" spans="2:8">
      <c r="B196" s="18">
        <v>40808</v>
      </c>
      <c r="C196" s="30">
        <v>0.90242289630359074</v>
      </c>
      <c r="D196" s="30">
        <f>VLOOKUP(CurrentMtgRatesDataTable825[[#This Row],[asOfDate]],G:H,2,0)</f>
        <v>0.78804143101353397</v>
      </c>
      <c r="E196" s="34">
        <f ca="1">VLOOKUP(CurrentMtgRatesDataTable825[[#This Row],[asOfDate]]+1,Bloomberg!B:C,2,0)</f>
        <v>4512.1000000000004</v>
      </c>
      <c r="G196" s="1">
        <v>41900</v>
      </c>
      <c r="H196" s="33">
        <v>0.403775681059653</v>
      </c>
    </row>
    <row r="197" spans="2:8">
      <c r="B197" s="18">
        <v>40801</v>
      </c>
      <c r="C197" s="30">
        <v>0.90242289630359074</v>
      </c>
      <c r="D197" s="30">
        <f>VLOOKUP(CurrentMtgRatesDataTable825[[#This Row],[asOfDate]],G:H,2,0)</f>
        <v>0.78804143101353397</v>
      </c>
      <c r="E197" s="34">
        <f ca="1">VLOOKUP(CurrentMtgRatesDataTable825[[#This Row],[asOfDate]]+1,Bloomberg!B:C,2,0)</f>
        <v>4033.8</v>
      </c>
      <c r="G197" s="1">
        <v>41907</v>
      </c>
      <c r="H197" s="33">
        <v>0.40569534905697002</v>
      </c>
    </row>
    <row r="198" spans="2:8">
      <c r="B198" s="18">
        <v>40794</v>
      </c>
      <c r="C198" s="30">
        <v>0.87859103936280614</v>
      </c>
      <c r="D198" s="30">
        <f>VLOOKUP(CurrentMtgRatesDataTable825[[#This Row],[asOfDate]],G:H,2,0)</f>
        <v>0.78586619764471199</v>
      </c>
      <c r="E198" s="34">
        <f ca="1">VLOOKUP(CurrentMtgRatesDataTable825[[#This Row],[asOfDate]]+1,Bloomberg!B:C,2,0)</f>
        <v>3571.7</v>
      </c>
      <c r="G198" s="1">
        <v>41914</v>
      </c>
      <c r="H198" s="33">
        <v>0.419925946793896</v>
      </c>
    </row>
    <row r="199" spans="2:8">
      <c r="B199" s="18">
        <v>40787</v>
      </c>
      <c r="C199" s="30">
        <v>0.84129278814437181</v>
      </c>
      <c r="D199" s="30">
        <f>VLOOKUP(CurrentMtgRatesDataTable825[[#This Row],[asOfDate]],G:H,2,0)</f>
        <v>0.72518805605942505</v>
      </c>
      <c r="E199" s="34">
        <f ca="1">VLOOKUP(CurrentMtgRatesDataTable825[[#This Row],[asOfDate]]+1,Bloomberg!B:C,2,0)</f>
        <v>3372</v>
      </c>
      <c r="G199" s="1">
        <v>41921</v>
      </c>
      <c r="H199" s="33">
        <v>0.45168042618119703</v>
      </c>
    </row>
    <row r="200" spans="2:8">
      <c r="B200" s="18">
        <v>40780</v>
      </c>
      <c r="C200" s="30">
        <v>0.84714025108084823</v>
      </c>
      <c r="D200" s="30">
        <f>VLOOKUP(CurrentMtgRatesDataTable825[[#This Row],[asOfDate]],G:H,2,0)</f>
        <v>0.73013076231760698</v>
      </c>
      <c r="E200" s="34">
        <f ca="1">VLOOKUP(CurrentMtgRatesDataTable825[[#This Row],[asOfDate]]+1,Bloomberg!B:C,2,0)</f>
        <v>3601.3</v>
      </c>
      <c r="G200" s="1">
        <v>41928</v>
      </c>
      <c r="H200" s="33">
        <v>0.51982909302980596</v>
      </c>
    </row>
    <row r="201" spans="2:8">
      <c r="B201" s="18">
        <v>40773</v>
      </c>
      <c r="C201" s="30">
        <v>0.86117434904403212</v>
      </c>
      <c r="D201" s="30">
        <f>VLOOKUP(CurrentMtgRatesDataTable825[[#This Row],[asOfDate]],G:H,2,0)</f>
        <v>0.76968967049094095</v>
      </c>
      <c r="E201" s="34">
        <f ca="1">VLOOKUP(CurrentMtgRatesDataTable825[[#This Row],[asOfDate]]+1,Bloomberg!B:C,2,0)</f>
        <v>4110.8</v>
      </c>
      <c r="G201" s="1">
        <v>41935</v>
      </c>
      <c r="H201" s="33">
        <v>0.54838604953283498</v>
      </c>
    </row>
    <row r="202" spans="2:8">
      <c r="B202" s="18">
        <v>40766</v>
      </c>
      <c r="C202" s="30">
        <v>0.83404184296119399</v>
      </c>
      <c r="D202" s="30">
        <f>VLOOKUP(CurrentMtgRatesDataTable825[[#This Row],[asOfDate]],G:H,2,0)</f>
        <v>0.68796050816059295</v>
      </c>
      <c r="E202" s="34">
        <f ca="1">VLOOKUP(CurrentMtgRatesDataTable825[[#This Row],[asOfDate]]+1,Bloomberg!B:C,2,0)</f>
        <v>4184.3999999999996</v>
      </c>
      <c r="G202" s="1">
        <v>41942</v>
      </c>
      <c r="H202" s="33">
        <v>0.519221652370358</v>
      </c>
    </row>
    <row r="203" spans="2:8">
      <c r="B203" s="18">
        <v>40759</v>
      </c>
      <c r="C203" s="30">
        <v>0.81803711941746404</v>
      </c>
      <c r="D203" s="30">
        <f>VLOOKUP(CurrentMtgRatesDataTable825[[#This Row],[asOfDate]],G:H,2,0)</f>
        <v>0.59636201439054404</v>
      </c>
      <c r="E203" s="34">
        <f ca="1">VLOOKUP(CurrentMtgRatesDataTable825[[#This Row],[asOfDate]]+1,Bloomberg!B:C,2,0)</f>
        <v>3880.9</v>
      </c>
      <c r="G203" s="1">
        <v>41949</v>
      </c>
      <c r="H203" s="33">
        <v>0.47679161148246502</v>
      </c>
    </row>
    <row r="204" spans="2:8">
      <c r="B204" s="18">
        <v>40752</v>
      </c>
      <c r="C204" s="30">
        <v>0.61660059317974736</v>
      </c>
      <c r="D204" s="30">
        <f>VLOOKUP(CurrentMtgRatesDataTable825[[#This Row],[asOfDate]],G:H,2,0)</f>
        <v>0.52333294764067595</v>
      </c>
      <c r="E204" s="34">
        <f ca="1">VLOOKUP(CurrentMtgRatesDataTable825[[#This Row],[asOfDate]]+1,Bloomberg!B:C,2,0)</f>
        <v>2974.1</v>
      </c>
      <c r="G204" s="1">
        <v>41956</v>
      </c>
      <c r="H204" s="33">
        <v>0.47696082053878203</v>
      </c>
    </row>
    <row r="205" spans="2:8">
      <c r="B205" s="18">
        <v>40745</v>
      </c>
      <c r="C205" s="30">
        <v>0.66675683999516944</v>
      </c>
      <c r="D205" s="30">
        <f>VLOOKUP(CurrentMtgRatesDataTable825[[#This Row],[asOfDate]],G:H,2,0)</f>
        <v>0.53018048409344898</v>
      </c>
      <c r="E205" s="34">
        <f ca="1">VLOOKUP(CurrentMtgRatesDataTable825[[#This Row],[asOfDate]]+1,Bloomberg!B:C,2,0)</f>
        <v>2769.6</v>
      </c>
      <c r="G205" s="1">
        <v>41963</v>
      </c>
      <c r="H205" s="33">
        <v>0.51126312077979097</v>
      </c>
    </row>
    <row r="206" spans="2:8">
      <c r="B206" s="18">
        <v>40738</v>
      </c>
      <c r="C206" s="30">
        <v>0.684475421712615</v>
      </c>
      <c r="D206" s="30">
        <f>VLOOKUP(CurrentMtgRatesDataTable825[[#This Row],[asOfDate]],G:H,2,0)</f>
        <v>0.55014388201104203</v>
      </c>
      <c r="E206" s="34">
        <f ca="1">VLOOKUP(CurrentMtgRatesDataTable825[[#This Row],[asOfDate]]+1,Bloomberg!B:C,2,0)</f>
        <v>2923.8</v>
      </c>
      <c r="G206" s="1">
        <v>41969</v>
      </c>
      <c r="H206" s="33">
        <v>0.51222876537846296</v>
      </c>
    </row>
    <row r="207" spans="2:8">
      <c r="B207" s="18">
        <v>40731</v>
      </c>
      <c r="C207" s="30">
        <v>0.60410549631050647</v>
      </c>
      <c r="D207" s="30">
        <f>VLOOKUP(CurrentMtgRatesDataTable825[[#This Row],[asOfDate]],G:H,2,0)</f>
        <v>0.49771283747510803</v>
      </c>
      <c r="E207" s="34">
        <f ca="1">VLOOKUP(CurrentMtgRatesDataTable825[[#This Row],[asOfDate]]+1,Bloomberg!B:C,2,0)</f>
        <v>2362.6999999999998</v>
      </c>
      <c r="G207" s="1">
        <v>41977</v>
      </c>
      <c r="H207" s="33">
        <v>0.53685925114667898</v>
      </c>
    </row>
    <row r="208" spans="2:8">
      <c r="B208" s="18">
        <v>40724</v>
      </c>
      <c r="C208" s="30">
        <v>0.69050447134038251</v>
      </c>
      <c r="D208" s="30">
        <f>VLOOKUP(CurrentMtgRatesDataTable825[[#This Row],[asOfDate]],G:H,2,0)</f>
        <v>0.55445082777023702</v>
      </c>
      <c r="E208" s="34">
        <f ca="1">VLOOKUP(CurrentMtgRatesDataTable825[[#This Row],[asOfDate]]+1,Bloomberg!B:C,2,0)</f>
        <v>2527.5</v>
      </c>
      <c r="G208" s="1">
        <v>41984</v>
      </c>
      <c r="H208" s="33">
        <v>0.53353274326337596</v>
      </c>
    </row>
    <row r="209" spans="2:8">
      <c r="B209" s="18">
        <v>40717</v>
      </c>
      <c r="C209" s="30">
        <v>0.66311590107349083</v>
      </c>
      <c r="D209" s="30">
        <f>VLOOKUP(CurrentMtgRatesDataTable825[[#This Row],[asOfDate]],G:H,2,0)</f>
        <v>0.53450860338875705</v>
      </c>
      <c r="E209" s="34">
        <f ca="1">VLOOKUP(CurrentMtgRatesDataTable825[[#This Row],[asOfDate]]+1,Bloomberg!B:C,2,0)</f>
        <v>2809.5</v>
      </c>
      <c r="G209" s="1">
        <v>41991</v>
      </c>
      <c r="H209" s="33">
        <v>0.57447022909045797</v>
      </c>
    </row>
    <row r="210" spans="2:8">
      <c r="B210" s="18">
        <v>40710</v>
      </c>
      <c r="C210" s="30">
        <v>0.72397022872334449</v>
      </c>
      <c r="D210" s="30">
        <f>VLOOKUP(CurrentMtgRatesDataTable825[[#This Row],[asOfDate]],G:H,2,0)</f>
        <v>0.55544034698333999</v>
      </c>
      <c r="E210" s="34">
        <f ca="1">VLOOKUP(CurrentMtgRatesDataTable825[[#This Row],[asOfDate]]+1,Bloomberg!B:C,2,0)</f>
        <v>2857.9</v>
      </c>
      <c r="G210" s="1">
        <v>41997</v>
      </c>
      <c r="H210" s="33">
        <v>0.57166642614489205</v>
      </c>
    </row>
    <row r="211" spans="2:8">
      <c r="B211" s="18">
        <v>40703</v>
      </c>
      <c r="C211" s="30">
        <v>0.74517189360077984</v>
      </c>
      <c r="D211" s="30">
        <f>VLOOKUP(CurrentMtgRatesDataTable825[[#This Row],[asOfDate]],G:H,2,0)</f>
        <v>0.55556126357331004</v>
      </c>
      <c r="E211" s="34">
        <f ca="1">VLOOKUP(CurrentMtgRatesDataTable825[[#This Row],[asOfDate]]+1,Bloomberg!B:C,2,0)</f>
        <v>3101.7</v>
      </c>
      <c r="G211" s="1">
        <v>42004</v>
      </c>
      <c r="H211" s="33">
        <v>0.53680415412734395</v>
      </c>
    </row>
    <row r="212" spans="2:8">
      <c r="B212" s="18">
        <v>40696</v>
      </c>
      <c r="C212" s="30">
        <v>0.66311590107349083</v>
      </c>
      <c r="D212" s="30">
        <f>VLOOKUP(CurrentMtgRatesDataTable825[[#This Row],[asOfDate]],G:H,2,0)</f>
        <v>0.53450860338875705</v>
      </c>
      <c r="E212" s="34">
        <f ca="1">VLOOKUP(CurrentMtgRatesDataTable825[[#This Row],[asOfDate]]+1,Bloomberg!B:C,2,0)</f>
        <v>2648</v>
      </c>
      <c r="G212" s="1">
        <v>42012</v>
      </c>
      <c r="H212" s="33">
        <v>0.59931706558407905</v>
      </c>
    </row>
    <row r="213" spans="2:8">
      <c r="B213" s="18">
        <v>40689</v>
      </c>
      <c r="C213" s="30">
        <v>0.61599363608099678</v>
      </c>
      <c r="D213" s="30">
        <f>VLOOKUP(CurrentMtgRatesDataTable825[[#This Row],[asOfDate]],G:H,2,0)</f>
        <v>0.50568534347274297</v>
      </c>
      <c r="E213" s="34">
        <f ca="1">VLOOKUP(CurrentMtgRatesDataTable825[[#This Row],[asOfDate]]+1,Bloomberg!B:C,2,0)</f>
        <v>2619.6999999999998</v>
      </c>
      <c r="G213" s="1">
        <v>42019</v>
      </c>
      <c r="H213" s="33">
        <v>0.65582330233583797</v>
      </c>
    </row>
    <row r="214" spans="2:8">
      <c r="B214" s="18">
        <v>40682</v>
      </c>
      <c r="C214" s="30">
        <v>0.61264076908113763</v>
      </c>
      <c r="D214" s="30">
        <f>VLOOKUP(CurrentMtgRatesDataTable825[[#This Row],[asOfDate]],G:H,2,0)</f>
        <v>0.50447592982476996</v>
      </c>
      <c r="E214" s="34">
        <f ca="1">VLOOKUP(CurrentMtgRatesDataTable825[[#This Row],[asOfDate]]+1,Bloomberg!B:C,2,0)</f>
        <v>2764.6</v>
      </c>
      <c r="G214" s="1">
        <v>42026</v>
      </c>
      <c r="H214" s="33">
        <v>0.65720471867066899</v>
      </c>
    </row>
    <row r="215" spans="2:8">
      <c r="B215" s="18">
        <v>40675</v>
      </c>
      <c r="C215" s="30">
        <v>0.60662155942020002</v>
      </c>
      <c r="D215" s="30">
        <f>VLOOKUP(CurrentMtgRatesDataTable825[[#This Row],[asOfDate]],G:H,2,0)</f>
        <v>0.50042582297659</v>
      </c>
      <c r="E215" s="34">
        <f ca="1">VLOOKUP(CurrentMtgRatesDataTable825[[#This Row],[asOfDate]]+1,Bloomberg!B:C,2,0)</f>
        <v>2742.2</v>
      </c>
      <c r="G215" s="1">
        <v>42033</v>
      </c>
      <c r="H215" s="33">
        <v>0.65582330233583797</v>
      </c>
    </row>
    <row r="216" spans="2:8">
      <c r="B216" s="18">
        <v>40668</v>
      </c>
      <c r="C216" s="30">
        <v>0.59391131067456038</v>
      </c>
      <c r="D216" s="30">
        <f>VLOOKUP(CurrentMtgRatesDataTable825[[#This Row],[asOfDate]],G:H,2,0)</f>
        <v>0.45891120103405703</v>
      </c>
      <c r="E216" s="34">
        <f ca="1">VLOOKUP(CurrentMtgRatesDataTable825[[#This Row],[asOfDate]]+1,Bloomberg!B:C,2,0)</f>
        <v>2414.9</v>
      </c>
      <c r="G216" s="1">
        <v>42040</v>
      </c>
      <c r="H216" s="33">
        <v>0.65455905311871299</v>
      </c>
    </row>
    <row r="217" spans="2:8">
      <c r="B217" s="18">
        <v>40661</v>
      </c>
      <c r="C217" s="30">
        <v>0.59445921362542997</v>
      </c>
      <c r="D217" s="30">
        <f>VLOOKUP(CurrentMtgRatesDataTable825[[#This Row],[asOfDate]],G:H,2,0)</f>
        <v>0.44565511936132601</v>
      </c>
      <c r="E217" s="34">
        <f ca="1">VLOOKUP(CurrentMtgRatesDataTable825[[#This Row],[asOfDate]]+1,Bloomberg!B:C,2,0)</f>
        <v>2220.1</v>
      </c>
      <c r="G217" s="1">
        <v>42047</v>
      </c>
      <c r="H217" s="33">
        <v>0.62719075850631201</v>
      </c>
    </row>
    <row r="218" spans="2:8">
      <c r="B218" s="18">
        <v>40654</v>
      </c>
      <c r="C218" s="30">
        <v>0.59356262313394537</v>
      </c>
      <c r="D218" s="30">
        <f>VLOOKUP(CurrentMtgRatesDataTable825[[#This Row],[asOfDate]],G:H,2,0)</f>
        <v>0.44381782258269298</v>
      </c>
      <c r="E218" s="34">
        <f ca="1">VLOOKUP(CurrentMtgRatesDataTable825[[#This Row],[asOfDate]]+1,Bloomberg!B:C,2,0)</f>
        <v>2091.4</v>
      </c>
      <c r="G218" s="1">
        <v>42054</v>
      </c>
      <c r="H218" s="33">
        <v>0.59003468905342005</v>
      </c>
    </row>
    <row r="219" spans="2:8">
      <c r="B219" s="18">
        <v>40647</v>
      </c>
      <c r="C219" s="30">
        <v>0.58155199492979581</v>
      </c>
      <c r="D219" s="30">
        <f>VLOOKUP(CurrentMtgRatesDataTable825[[#This Row],[asOfDate]],G:H,2,0)</f>
        <v>0.41340612440810998</v>
      </c>
      <c r="E219" s="34">
        <f ca="1">VLOOKUP(CurrentMtgRatesDataTable825[[#This Row],[asOfDate]]+1,Bloomberg!B:C,2,0)</f>
        <v>2065.3000000000002</v>
      </c>
      <c r="G219" s="1">
        <v>42061</v>
      </c>
      <c r="H219" s="33">
        <v>0.56144623129586702</v>
      </c>
    </row>
    <row r="220" spans="2:8">
      <c r="B220" s="18">
        <v>40640</v>
      </c>
      <c r="C220" s="30">
        <v>0.58542144661011908</v>
      </c>
      <c r="D220" s="30">
        <f>VLOOKUP(CurrentMtgRatesDataTable825[[#This Row],[asOfDate]],G:H,2,0)</f>
        <v>0.414778538159287</v>
      </c>
      <c r="E220" s="34">
        <f ca="1">VLOOKUP(CurrentMtgRatesDataTable825[[#This Row],[asOfDate]]+1,Bloomberg!B:C,2,0)</f>
        <v>2010.6</v>
      </c>
      <c r="G220" s="1">
        <v>42068</v>
      </c>
      <c r="H220" s="33">
        <v>0.58384753948448997</v>
      </c>
    </row>
    <row r="221" spans="2:8">
      <c r="B221" s="18">
        <v>40633</v>
      </c>
      <c r="C221" s="30">
        <v>0.593225708201635</v>
      </c>
      <c r="D221" s="30">
        <f>VLOOKUP(CurrentMtgRatesDataTable825[[#This Row],[asOfDate]],G:H,2,0)</f>
        <v>0.42282958858632702</v>
      </c>
      <c r="E221" s="34">
        <f ca="1">VLOOKUP(CurrentMtgRatesDataTable825[[#This Row],[asOfDate]]+1,Bloomberg!B:C,2,0)</f>
        <v>2194.4</v>
      </c>
      <c r="G221" s="1">
        <v>42075</v>
      </c>
      <c r="H221" s="33">
        <v>0.51703371456013503</v>
      </c>
    </row>
    <row r="222" spans="2:8">
      <c r="B222" s="18">
        <v>40626</v>
      </c>
      <c r="C222" s="30">
        <v>0.59950595681897523</v>
      </c>
      <c r="D222" s="30">
        <f>VLOOKUP(CurrentMtgRatesDataTable825[[#This Row],[asOfDate]],G:H,2,0)</f>
        <v>0.450158099668103</v>
      </c>
      <c r="E222" s="34">
        <f ca="1">VLOOKUP(CurrentMtgRatesDataTable825[[#This Row],[asOfDate]]+1,Bloomberg!B:C,2,0)</f>
        <v>2350.6999999999998</v>
      </c>
      <c r="G222" s="1">
        <v>42082</v>
      </c>
      <c r="H222" s="33">
        <v>0.58146564562660097</v>
      </c>
    </row>
    <row r="223" spans="2:8">
      <c r="B223" s="18">
        <v>40619</v>
      </c>
      <c r="C223" s="30">
        <v>0.60261779474869925</v>
      </c>
      <c r="D223" s="30">
        <f>VLOOKUP(CurrentMtgRatesDataTable825[[#This Row],[asOfDate]],G:H,2,0)</f>
        <v>0.46784663358763601</v>
      </c>
      <c r="E223" s="34">
        <f ca="1">VLOOKUP(CurrentMtgRatesDataTable825[[#This Row],[asOfDate]]+1,Bloomberg!B:C,2,0)</f>
        <v>2620.8000000000002</v>
      </c>
      <c r="G223" s="1">
        <v>42089</v>
      </c>
      <c r="H223" s="33">
        <v>0.61985540937113104</v>
      </c>
    </row>
    <row r="224" spans="2:8">
      <c r="B224" s="18">
        <v>40612</v>
      </c>
      <c r="C224" s="30">
        <v>0.59090570789662444</v>
      </c>
      <c r="D224" s="30">
        <f>VLOOKUP(CurrentMtgRatesDataTable825[[#This Row],[asOfDate]],G:H,2,0)</f>
        <v>0.42124985629360401</v>
      </c>
      <c r="E224" s="34">
        <f ca="1">VLOOKUP(CurrentMtgRatesDataTable825[[#This Row],[asOfDate]]+1,Bloomberg!B:C,2,0)</f>
        <v>2563.6</v>
      </c>
      <c r="G224" s="1">
        <v>42096</v>
      </c>
      <c r="H224" s="33">
        <v>0.60618674833379105</v>
      </c>
    </row>
    <row r="225" spans="2:8">
      <c r="B225" s="18">
        <v>40605</v>
      </c>
      <c r="C225" s="30">
        <v>0.59224775585706535</v>
      </c>
      <c r="D225" s="30">
        <f>VLOOKUP(CurrentMtgRatesDataTable825[[#This Row],[asOfDate]],G:H,2,0)</f>
        <v>0.42215163100202302</v>
      </c>
      <c r="E225" s="34">
        <f ca="1">VLOOKUP(CurrentMtgRatesDataTable825[[#This Row],[asOfDate]]+1,Bloomberg!B:C,2,0)</f>
        <v>2539.4</v>
      </c>
      <c r="G225" s="1">
        <v>42103</v>
      </c>
      <c r="H225" s="33">
        <v>0.63179874985391804</v>
      </c>
    </row>
    <row r="226" spans="2:8">
      <c r="B226" s="18">
        <v>40598</v>
      </c>
      <c r="C226" s="30">
        <v>0.57709503787578109</v>
      </c>
      <c r="D226" s="30">
        <f>VLOOKUP(CurrentMtgRatesDataTable825[[#This Row],[asOfDate]],G:H,2,0)</f>
        <v>0.41551493659156002</v>
      </c>
      <c r="E226" s="34">
        <f ca="1">VLOOKUP(CurrentMtgRatesDataTable825[[#This Row],[asOfDate]]+1,Bloomberg!B:C,2,0)</f>
        <v>2155.5</v>
      </c>
      <c r="G226" s="1">
        <v>42110</v>
      </c>
      <c r="H226" s="33">
        <v>0.60745911385405604</v>
      </c>
    </row>
    <row r="227" spans="2:8">
      <c r="B227" s="18">
        <v>40591</v>
      </c>
      <c r="C227" s="30">
        <v>0.52965901814335548</v>
      </c>
      <c r="D227" s="30">
        <f>VLOOKUP(CurrentMtgRatesDataTable825[[#This Row],[asOfDate]],G:H,2,0)</f>
        <v>0.37678804128174298</v>
      </c>
      <c r="E227" s="34">
        <f ca="1">VLOOKUP(CurrentMtgRatesDataTable825[[#This Row],[asOfDate]]+1,Bloomberg!B:C,2,0)</f>
        <v>2325.3000000000002</v>
      </c>
      <c r="G227" s="1">
        <v>42117</v>
      </c>
      <c r="H227" s="33">
        <v>0.63350921207897204</v>
      </c>
    </row>
    <row r="228" spans="2:8">
      <c r="B228" s="18">
        <v>40584</v>
      </c>
      <c r="C228" s="31">
        <v>0.50868797673712363</v>
      </c>
      <c r="D228" s="31">
        <f>VLOOKUP(CurrentMtgRatesDataTable825[[#This Row],[asOfDate]],G:H,2,0)</f>
        <v>0.35529176669040102</v>
      </c>
      <c r="E228" s="35">
        <f ca="1">VLOOKUP(CurrentMtgRatesDataTable825[[#This Row],[asOfDate]]+1,Bloomberg!B:C,2,0)</f>
        <v>1953.2</v>
      </c>
      <c r="G228" s="1">
        <v>42124</v>
      </c>
      <c r="H228" s="33">
        <v>0.608876308109219</v>
      </c>
    </row>
    <row r="229" spans="2:8">
      <c r="B229" s="18">
        <v>40577</v>
      </c>
      <c r="C229" s="31">
        <v>0.60653142223595213</v>
      </c>
      <c r="D229" s="31">
        <f>VLOOKUP(CurrentMtgRatesDataTable825[[#This Row],[asOfDate]],G:H,2,0)</f>
        <v>0.43462013043084002</v>
      </c>
      <c r="E229" s="35">
        <f ca="1">VLOOKUP(CurrentMtgRatesDataTable825[[#This Row],[asOfDate]]+1,Bloomberg!B:C,2,0)</f>
        <v>2190.4</v>
      </c>
      <c r="G229" s="1">
        <v>42131</v>
      </c>
      <c r="H229" s="33">
        <v>0.53238458781035902</v>
      </c>
    </row>
    <row r="230" spans="2:8">
      <c r="B230" s="18">
        <v>40570</v>
      </c>
      <c r="C230" s="31">
        <v>0.62392159162868732</v>
      </c>
      <c r="D230" s="31">
        <f>VLOOKUP(CurrentMtgRatesDataTable825[[#This Row],[asOfDate]],G:H,2,0)</f>
        <v>0.47679593730615699</v>
      </c>
      <c r="E230" s="35">
        <f ca="1">VLOOKUP(CurrentMtgRatesDataTable825[[#This Row],[asOfDate]]+1,Bloomberg!B:C,2,0)</f>
        <v>2371.1</v>
      </c>
      <c r="G230" s="1">
        <v>42138</v>
      </c>
      <c r="H230" s="33">
        <v>0.52626041924754496</v>
      </c>
    </row>
    <row r="231" spans="2:8">
      <c r="B231" s="18">
        <v>40563</v>
      </c>
      <c r="C231" s="31">
        <v>0.62597730951219899</v>
      </c>
      <c r="D231" s="31">
        <f>VLOOKUP(CurrentMtgRatesDataTable825[[#This Row],[asOfDate]],G:H,2,0)</f>
        <v>0.48029569588235599</v>
      </c>
      <c r="E231" s="35">
        <f ca="1">VLOOKUP(CurrentMtgRatesDataTable825[[#This Row],[asOfDate]]+1,Bloomberg!B:C,2,0)</f>
        <v>2129.6999999999998</v>
      </c>
      <c r="G231" s="1">
        <v>42145</v>
      </c>
      <c r="H231" s="33">
        <v>0.49530657385961702</v>
      </c>
    </row>
    <row r="232" spans="2:8">
      <c r="B232" s="18">
        <v>40556</v>
      </c>
      <c r="C232" s="31">
        <v>0.62817294477626939</v>
      </c>
      <c r="D232" s="31">
        <f>VLOOKUP(CurrentMtgRatesDataTable825[[#This Row],[asOfDate]],G:H,2,0)</f>
        <v>0.49650185657562101</v>
      </c>
      <c r="E232" s="35">
        <f ca="1">VLOOKUP(CurrentMtgRatesDataTable825[[#This Row],[asOfDate]]+1,Bloomberg!B:C,2,0)</f>
        <v>2528.6999999999998</v>
      </c>
      <c r="G232" s="28">
        <v>42152</v>
      </c>
      <c r="H232" s="32">
        <v>0.49518214427458052</v>
      </c>
    </row>
    <row r="233" spans="2:8">
      <c r="B233" s="18">
        <v>40549</v>
      </c>
      <c r="C233" s="31">
        <v>0.62402170072443153</v>
      </c>
      <c r="D233" s="31">
        <f>VLOOKUP(CurrentMtgRatesDataTable825[[#This Row],[asOfDate]],G:H,2,0)</f>
        <v>0.477996028899563</v>
      </c>
      <c r="E233" s="35">
        <f ca="1">VLOOKUP(CurrentMtgRatesDataTable825[[#This Row],[asOfDate]]+1,Bloomberg!B:C,2,0)</f>
        <v>2344.3000000000002</v>
      </c>
      <c r="G233" s="28">
        <v>42159</v>
      </c>
      <c r="H233" s="32">
        <v>0.49151040605794738</v>
      </c>
    </row>
    <row r="234" spans="2:8">
      <c r="G234" s="28"/>
      <c r="H234" s="32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4"/>
  <sheetViews>
    <sheetView topLeftCell="A382" workbookViewId="0">
      <selection activeCell="H382" sqref="H382"/>
    </sheetView>
  </sheetViews>
  <sheetFormatPr defaultRowHeight="15"/>
  <cols>
    <col min="2" max="2" width="16.28515625" customWidth="1"/>
  </cols>
  <sheetData>
    <row r="1" spans="2:3">
      <c r="C1" t="s">
        <v>30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/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3"/>
  <sheetViews>
    <sheetView workbookViewId="0">
      <selection activeCell="B4" sqref="B4"/>
    </sheetView>
  </sheetViews>
  <sheetFormatPr defaultRowHeight="15"/>
  <sheetData>
    <row r="1" spans="2:16">
      <c r="F1" t="s">
        <v>27</v>
      </c>
    </row>
    <row r="2" spans="2:16">
      <c r="B2" s="6" t="s">
        <v>38</v>
      </c>
      <c r="C2" s="6" t="s">
        <v>39</v>
      </c>
      <c r="F2" s="6" t="s">
        <v>40</v>
      </c>
      <c r="G2" s="6" t="s">
        <v>41</v>
      </c>
      <c r="H2" s="6" t="s">
        <v>42</v>
      </c>
      <c r="I2" s="6" t="s">
        <v>43</v>
      </c>
      <c r="J2" s="6" t="s">
        <v>44</v>
      </c>
      <c r="K2" s="6" t="s">
        <v>45</v>
      </c>
      <c r="L2" s="6" t="s">
        <v>46</v>
      </c>
      <c r="M2" s="6" t="s">
        <v>47</v>
      </c>
      <c r="N2" s="6" t="s">
        <v>48</v>
      </c>
      <c r="O2" s="6" t="s">
        <v>49</v>
      </c>
      <c r="P2" s="6" t="s">
        <v>50</v>
      </c>
    </row>
    <row r="3" spans="2:16">
      <c r="B3" s="18">
        <v>42159</v>
      </c>
      <c r="C3" s="35">
        <v>3.77</v>
      </c>
      <c r="F3" s="33">
        <v>0.80799498708842732</v>
      </c>
      <c r="G3" s="33">
        <v>0.78392915809988017</v>
      </c>
      <c r="H3" s="33">
        <v>0.71651730665930002</v>
      </c>
      <c r="I3" s="33">
        <v>0.62920207708920783</v>
      </c>
      <c r="J3" s="33">
        <v>0.58891575870881585</v>
      </c>
      <c r="K3" s="33">
        <v>0.54411437418255881</v>
      </c>
      <c r="L3" s="33">
        <v>0.50889439316160145</v>
      </c>
      <c r="M3" s="33">
        <v>0.43580375995722553</v>
      </c>
      <c r="N3" s="33">
        <v>0.365245741938859</v>
      </c>
      <c r="O3" s="33">
        <v>0.31536824589657764</v>
      </c>
      <c r="P3" s="33">
        <v>0.28418221163239366</v>
      </c>
    </row>
    <row r="5" spans="2:16">
      <c r="B5" s="1">
        <f>CurrentMtgRatesDataTable82523[AsOfDate]</f>
        <v>42159</v>
      </c>
      <c r="C5">
        <f>CurrentMtgRatesDataTable82523[SeriesNumValue]</f>
        <v>3.77</v>
      </c>
    </row>
    <row r="6" spans="2:16">
      <c r="F6" t="s">
        <v>28</v>
      </c>
    </row>
    <row r="7" spans="2:16">
      <c r="F7" s="6" t="s">
        <v>61</v>
      </c>
      <c r="G7" s="6" t="s">
        <v>62</v>
      </c>
      <c r="H7" s="6" t="s">
        <v>63</v>
      </c>
      <c r="I7" s="6" t="s">
        <v>64</v>
      </c>
      <c r="J7" s="6" t="s">
        <v>65</v>
      </c>
      <c r="K7" s="6" t="s">
        <v>66</v>
      </c>
      <c r="L7" s="6" t="s">
        <v>67</v>
      </c>
      <c r="M7" s="6" t="s">
        <v>68</v>
      </c>
      <c r="N7" s="6" t="s">
        <v>69</v>
      </c>
      <c r="O7" s="6" t="s">
        <v>70</v>
      </c>
      <c r="P7" s="6" t="s">
        <v>71</v>
      </c>
    </row>
    <row r="8" spans="2:16">
      <c r="F8" s="33">
        <v>0.76344407772862821</v>
      </c>
      <c r="G8" s="33">
        <v>0.72773036028524607</v>
      </c>
      <c r="H8" s="33">
        <v>0.66063522577239353</v>
      </c>
      <c r="I8" s="33">
        <v>0.59584864654221092</v>
      </c>
      <c r="J8" s="33">
        <v>0.55623972238487351</v>
      </c>
      <c r="K8" s="33">
        <v>0.49151040605794738</v>
      </c>
      <c r="L8" s="33">
        <v>0.45975079201585678</v>
      </c>
      <c r="M8" s="33">
        <v>0.39825759910940028</v>
      </c>
      <c r="N8" s="33">
        <v>0.3459780428592461</v>
      </c>
      <c r="O8" s="33">
        <v>0.32101461201332909</v>
      </c>
      <c r="P8" s="33">
        <v>0.27064818379051486</v>
      </c>
    </row>
    <row r="11" spans="2:16">
      <c r="E11" s="29"/>
      <c r="F11" s="29" t="s">
        <v>55</v>
      </c>
      <c r="G11" s="29" t="s">
        <v>54</v>
      </c>
      <c r="H11" s="29" t="s">
        <v>53</v>
      </c>
      <c r="I11" s="29" t="s">
        <v>52</v>
      </c>
      <c r="J11" s="29" t="s">
        <v>51</v>
      </c>
      <c r="K11" s="41">
        <f>CurrentRate1</f>
        <v>3.77</v>
      </c>
      <c r="L11" s="29" t="s">
        <v>56</v>
      </c>
      <c r="M11" s="29" t="s">
        <v>57</v>
      </c>
      <c r="N11" s="29" t="s">
        <v>58</v>
      </c>
      <c r="O11" s="29" t="s">
        <v>59</v>
      </c>
      <c r="P11" s="29" t="s">
        <v>60</v>
      </c>
    </row>
    <row r="12" spans="2:16">
      <c r="E12" s="39" t="s">
        <v>29</v>
      </c>
      <c r="F12" s="40">
        <f>CurrentMtgRatesDataTable825234[refinancible1]</f>
        <v>0.80799498708842732</v>
      </c>
      <c r="G12" s="40">
        <f>CurrentMtgRatesDataTable825234[refinancible2]</f>
        <v>0.78392915809988017</v>
      </c>
      <c r="H12" s="40">
        <f>CurrentMtgRatesDataTable825234[refinancible3]</f>
        <v>0.71651730665930002</v>
      </c>
      <c r="I12" s="40">
        <f>CurrentMtgRatesDataTable825234[refinancible4]</f>
        <v>0.62920207708920783</v>
      </c>
      <c r="J12" s="40">
        <f>CurrentMtgRatesDataTable825234[refinancible5]</f>
        <v>0.58891575870881585</v>
      </c>
      <c r="K12" s="40">
        <f>CurrentMtgRatesDataTable825234[refinancible6]</f>
        <v>0.54411437418255881</v>
      </c>
      <c r="L12" s="40">
        <f>CurrentMtgRatesDataTable825234[refinancible7]</f>
        <v>0.50889439316160145</v>
      </c>
      <c r="M12" s="40">
        <f>CurrentMtgRatesDataTable825234[refinancible8]</f>
        <v>0.43580375995722553</v>
      </c>
      <c r="N12" s="40">
        <f>CurrentMtgRatesDataTable825234[refinancible9]</f>
        <v>0.365245741938859</v>
      </c>
      <c r="O12" s="40">
        <f>CurrentMtgRatesDataTable825234[refinancible10]</f>
        <v>0.31536824589657764</v>
      </c>
      <c r="P12" s="40">
        <f>CurrentMtgRatesDataTable825234[refinancible11]</f>
        <v>0.28418221163239366</v>
      </c>
    </row>
    <row r="13" spans="2:16">
      <c r="E13" s="39" t="s">
        <v>26</v>
      </c>
      <c r="F13" s="40">
        <f>CurrentMtgRatesDataTable8252346[refinanceible1]</f>
        <v>0.76344407772862821</v>
      </c>
      <c r="G13" s="40">
        <f>CurrentMtgRatesDataTable8252346[refinanceible2]</f>
        <v>0.72773036028524607</v>
      </c>
      <c r="H13" s="40">
        <f>CurrentMtgRatesDataTable8252346[refinanceible3]</f>
        <v>0.66063522577239353</v>
      </c>
      <c r="I13" s="40">
        <f>CurrentMtgRatesDataTable8252346[refinanceible4]</f>
        <v>0.59584864654221092</v>
      </c>
      <c r="J13" s="40">
        <f>CurrentMtgRatesDataTable8252346[refinanceible5]</f>
        <v>0.55623972238487351</v>
      </c>
      <c r="K13" s="40">
        <f>CurrentMtgRatesDataTable8252346[refinanceible6]</f>
        <v>0.49151040605794738</v>
      </c>
      <c r="L13" s="40">
        <f>CurrentMtgRatesDataTable8252346[refinanceible7]</f>
        <v>0.45975079201585678</v>
      </c>
      <c r="M13" s="40">
        <f>CurrentMtgRatesDataTable8252346[refinanceible8]</f>
        <v>0.39825759910940028</v>
      </c>
      <c r="N13" s="40">
        <f>CurrentMtgRatesDataTable8252346[refinanceible9]</f>
        <v>0.3459780428592461</v>
      </c>
      <c r="O13" s="40">
        <f>CurrentMtgRatesDataTable8252346[refinanceible10]</f>
        <v>0.32101461201332909</v>
      </c>
      <c r="P13" s="40">
        <f>CurrentMtgRatesDataTable8252346[refinanceible11]</f>
        <v>0.27064818379051486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2015-06-09T20:53:56Z</cp:lastPrinted>
  <dcterms:created xsi:type="dcterms:W3CDTF">2006-09-16T00:00:00Z</dcterms:created>
  <dcterms:modified xsi:type="dcterms:W3CDTF">2015-06-09T21:15:02Z</dcterms:modified>
</cp:coreProperties>
</file>